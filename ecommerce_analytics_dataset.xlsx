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pivotTables/pivotTable5.xml" ContentType="application/vnd.openxmlformats-officedocument.spreadsheetml.pivotTable+xml"/>
  <Override PartName="/xl/pivotTables/pivotTable6.xml" ContentType="application/vnd.openxmlformats-officedocument.spreadsheetml.pivotTable+xml"/>
  <Override PartName="/xl/pivotTables/pivotTable7.xml" ContentType="application/vnd.openxmlformats-officedocument.spreadsheetml.pivotTable+xml"/>
  <Override PartName="/xl/drawings/drawing1.xml" ContentType="application/vnd.openxmlformats-officedocument.drawing+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drawings/drawing2.xml" ContentType="application/vnd.openxmlformats-officedocument.drawing+xml"/>
  <Override PartName="/xl/slicers/slicer1.xml" ContentType="application/vnd.ms-excel.slicer+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xl/charts/chart7.xml" ContentType="application/vnd.openxmlformats-officedocument.drawingml.chart+xml"/>
  <Override PartName="/xl/charts/style7.xml" ContentType="application/vnd.ms-office.chartstyle+xml"/>
  <Override PartName="/xl/charts/colors7.xml" ContentType="application/vnd.ms-office.chartcolorstyle+xml"/>
  <Override PartName="/xl/charts/chart8.xml" ContentType="application/vnd.openxmlformats-officedocument.drawingml.chart+xml"/>
  <Override PartName="/xl/charts/style8.xml" ContentType="application/vnd.ms-office.chartstyle+xml"/>
  <Override PartName="/xl/charts/colors8.xml" ContentType="application/vnd.ms-office.chartcolorstyle+xml"/>
  <Override PartName="/xl/charts/chart9.xml" ContentType="application/vnd.openxmlformats-officedocument.drawingml.chart+xml"/>
  <Override PartName="/xl/charts/style9.xml" ContentType="application/vnd.ms-office.chartstyle+xml"/>
  <Override PartName="/xl/charts/colors9.xml" ContentType="application/vnd.ms-office.chartcolorstyle+xml"/>
  <Override PartName="/xl/charts/chart10.xml" ContentType="application/vnd.openxmlformats-officedocument.drawingml.chart+xml"/>
  <Override PartName="/xl/charts/style10.xml" ContentType="application/vnd.ms-office.chartstyle+xml"/>
  <Override PartName="/xl/charts/colors10.xml" ContentType="application/vnd.ms-office.chartcolorsty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426"/>
  <workbookPr hidePivotFieldList="1"/>
  <mc:AlternateContent xmlns:mc="http://schemas.openxmlformats.org/markup-compatibility/2006">
    <mc:Choice Requires="x15">
      <x15ac:absPath xmlns:x15ac="http://schemas.microsoft.com/office/spreadsheetml/2010/11/ac" url="C:\Users\Manikanta\Downloads\"/>
    </mc:Choice>
  </mc:AlternateContent>
  <xr:revisionPtr revIDLastSave="0" documentId="13_ncr:1_{3189C61E-3524-4E9A-9278-916028861741}" xr6:coauthVersionLast="47" xr6:coauthVersionMax="47" xr10:uidLastSave="{00000000-0000-0000-0000-000000000000}"/>
  <bookViews>
    <workbookView xWindow="-110" yWindow="-110" windowWidth="19420" windowHeight="11500" activeTab="2" xr2:uid="{00000000-000D-0000-FFFF-FFFF00000000}"/>
  </bookViews>
  <sheets>
    <sheet name="ecommerce_data" sheetId="1" r:id="rId1"/>
    <sheet name="Pivot_Table" sheetId="3" r:id="rId2"/>
    <sheet name="Dashboard" sheetId="4" r:id="rId3"/>
  </sheets>
  <definedNames>
    <definedName name="Slicer_order_month">#N/A</definedName>
    <definedName name="Slicer_product_name">#N/A</definedName>
  </definedNames>
  <calcPr calcId="191029"/>
  <pivotCaches>
    <pivotCache cacheId="1" r:id="rId4"/>
  </pivotCaches>
  <extLst>
    <ext xmlns:x14="http://schemas.microsoft.com/office/spreadsheetml/2009/9/main" uri="{BBE1A952-AA13-448e-AADC-164F8A28A991}">
      <x14:slicerCaches>
        <x14:slicerCache r:id="rId5"/>
        <x14:slicerCache r:id="rId6"/>
      </x14:slicerCaches>
    </ext>
    <ext xmlns:x14="http://schemas.microsoft.com/office/spreadsheetml/2009/9/main" uri="{79F54976-1DA5-4618-B147-4CDE4B953A38}">
      <x14:workbookPr/>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alcChain.xml><?xml version="1.0" encoding="utf-8"?>
<calcChain xmlns="http://schemas.openxmlformats.org/spreadsheetml/2006/main">
  <c r="R2" i="1" l="1"/>
  <c r="R3" i="1"/>
  <c r="R4" i="1"/>
  <c r="R5" i="1"/>
  <c r="R6" i="1"/>
  <c r="R7" i="1"/>
  <c r="R8" i="1"/>
  <c r="R9" i="1"/>
  <c r="R10" i="1"/>
  <c r="R11" i="1"/>
  <c r="R12" i="1"/>
  <c r="R13" i="1"/>
  <c r="R14" i="1"/>
  <c r="R15" i="1"/>
  <c r="R16" i="1"/>
  <c r="R17" i="1"/>
  <c r="R18" i="1"/>
  <c r="R19" i="1"/>
  <c r="R20" i="1"/>
  <c r="R21" i="1"/>
  <c r="R22" i="1"/>
  <c r="R23" i="1"/>
  <c r="R24" i="1"/>
  <c r="R25" i="1"/>
  <c r="R26" i="1"/>
  <c r="R27" i="1"/>
  <c r="R28" i="1"/>
  <c r="R29" i="1"/>
  <c r="R30" i="1"/>
  <c r="R31" i="1"/>
  <c r="R32" i="1"/>
  <c r="R33" i="1"/>
  <c r="R34" i="1"/>
  <c r="R35" i="1"/>
  <c r="R36" i="1"/>
  <c r="R37" i="1"/>
  <c r="R38" i="1"/>
  <c r="R39" i="1"/>
  <c r="R40" i="1"/>
  <c r="R41" i="1"/>
  <c r="R42" i="1"/>
  <c r="R43" i="1"/>
  <c r="R44" i="1"/>
  <c r="R45" i="1"/>
  <c r="R46" i="1"/>
  <c r="R47" i="1"/>
  <c r="R48" i="1"/>
  <c r="R49" i="1"/>
  <c r="R50" i="1"/>
  <c r="R51" i="1"/>
  <c r="R52" i="1"/>
  <c r="R53" i="1"/>
  <c r="R54" i="1"/>
  <c r="R55" i="1"/>
  <c r="R56" i="1"/>
  <c r="R57" i="1"/>
  <c r="R58" i="1"/>
  <c r="R59" i="1"/>
  <c r="R60" i="1"/>
  <c r="R61" i="1"/>
  <c r="R62" i="1"/>
  <c r="R63" i="1"/>
  <c r="R64" i="1"/>
  <c r="R65" i="1"/>
  <c r="R66" i="1"/>
  <c r="R67" i="1"/>
  <c r="R68" i="1"/>
  <c r="R69" i="1"/>
  <c r="R70" i="1"/>
  <c r="R71" i="1"/>
  <c r="R72" i="1"/>
  <c r="R73" i="1"/>
  <c r="R74" i="1"/>
  <c r="R75" i="1"/>
  <c r="R76" i="1"/>
  <c r="R77" i="1"/>
  <c r="R78" i="1"/>
  <c r="R79" i="1"/>
  <c r="R80" i="1"/>
  <c r="R81" i="1"/>
  <c r="R82" i="1"/>
  <c r="R83" i="1"/>
  <c r="R84" i="1"/>
  <c r="R85" i="1"/>
  <c r="R86" i="1"/>
  <c r="R87" i="1"/>
  <c r="R88" i="1"/>
  <c r="R89" i="1"/>
  <c r="R90" i="1"/>
  <c r="R91" i="1"/>
  <c r="R92" i="1"/>
  <c r="R93" i="1"/>
  <c r="R94" i="1"/>
  <c r="R95" i="1"/>
  <c r="R96" i="1"/>
  <c r="R97" i="1"/>
  <c r="R98" i="1"/>
  <c r="R99" i="1"/>
  <c r="R100" i="1"/>
  <c r="R101" i="1"/>
  <c r="R102" i="1"/>
  <c r="R103" i="1"/>
  <c r="R104" i="1"/>
  <c r="R105" i="1"/>
  <c r="R106" i="1"/>
  <c r="R107" i="1"/>
  <c r="R108" i="1"/>
  <c r="R109" i="1"/>
  <c r="R110" i="1"/>
  <c r="R111" i="1"/>
  <c r="R112" i="1"/>
  <c r="R113" i="1"/>
  <c r="R114" i="1"/>
  <c r="R115" i="1"/>
  <c r="R116" i="1"/>
  <c r="R117" i="1"/>
  <c r="R118" i="1"/>
  <c r="R119" i="1"/>
  <c r="R120" i="1"/>
  <c r="R121" i="1"/>
  <c r="R122" i="1"/>
  <c r="R123" i="1"/>
  <c r="R124" i="1"/>
  <c r="R125" i="1"/>
  <c r="R126" i="1"/>
  <c r="R127" i="1"/>
  <c r="R128" i="1"/>
  <c r="R129" i="1"/>
  <c r="R130" i="1"/>
  <c r="R131" i="1"/>
  <c r="R132" i="1"/>
  <c r="R133" i="1"/>
  <c r="R134" i="1"/>
  <c r="R135" i="1"/>
  <c r="R136" i="1"/>
  <c r="R137" i="1"/>
  <c r="R138" i="1"/>
  <c r="R139" i="1"/>
  <c r="R140" i="1"/>
  <c r="R141" i="1"/>
  <c r="R142" i="1"/>
  <c r="R143" i="1"/>
  <c r="R144" i="1"/>
  <c r="R145" i="1"/>
  <c r="R146" i="1"/>
  <c r="R147" i="1"/>
  <c r="R148" i="1"/>
  <c r="R149" i="1"/>
  <c r="R150" i="1"/>
  <c r="R151" i="1"/>
  <c r="R152" i="1"/>
  <c r="R153" i="1"/>
  <c r="R154" i="1"/>
  <c r="R155" i="1"/>
  <c r="R156" i="1"/>
  <c r="R157" i="1"/>
  <c r="R158" i="1"/>
  <c r="R159" i="1"/>
  <c r="R160" i="1"/>
  <c r="R161" i="1"/>
  <c r="R162" i="1"/>
  <c r="R163" i="1"/>
  <c r="R164" i="1"/>
  <c r="R165" i="1"/>
  <c r="R166" i="1"/>
  <c r="R167" i="1"/>
  <c r="R168" i="1"/>
  <c r="R169" i="1"/>
  <c r="R170" i="1"/>
  <c r="R171" i="1"/>
  <c r="R172" i="1"/>
  <c r="R173" i="1"/>
  <c r="R174" i="1"/>
  <c r="R175" i="1"/>
  <c r="R176" i="1"/>
  <c r="R177" i="1"/>
  <c r="R178" i="1"/>
  <c r="R179" i="1"/>
  <c r="R180" i="1"/>
  <c r="R181" i="1"/>
  <c r="R182" i="1"/>
  <c r="R183" i="1"/>
  <c r="R184" i="1"/>
  <c r="R185" i="1"/>
  <c r="R186" i="1"/>
  <c r="R187" i="1"/>
  <c r="R188" i="1"/>
  <c r="R189" i="1"/>
  <c r="R190" i="1"/>
  <c r="R191" i="1"/>
  <c r="R192" i="1"/>
  <c r="R193" i="1"/>
  <c r="R194" i="1"/>
  <c r="R195" i="1"/>
  <c r="R196" i="1"/>
  <c r="R197" i="1"/>
  <c r="R198" i="1"/>
  <c r="R199" i="1"/>
  <c r="R200" i="1"/>
  <c r="R201" i="1"/>
  <c r="R202" i="1"/>
  <c r="R203" i="1"/>
  <c r="R204" i="1"/>
  <c r="R205" i="1"/>
  <c r="R206" i="1"/>
  <c r="R207" i="1"/>
  <c r="R208" i="1"/>
  <c r="R209" i="1"/>
  <c r="R210" i="1"/>
  <c r="R211" i="1"/>
  <c r="R212" i="1"/>
  <c r="R213" i="1"/>
  <c r="R214" i="1"/>
  <c r="R215" i="1"/>
  <c r="R216" i="1"/>
  <c r="R217" i="1"/>
  <c r="R218" i="1"/>
  <c r="R219" i="1"/>
  <c r="R220" i="1"/>
  <c r="R221" i="1"/>
  <c r="R222" i="1"/>
  <c r="R223" i="1"/>
  <c r="R224" i="1"/>
  <c r="R225" i="1"/>
  <c r="R226" i="1"/>
  <c r="R227" i="1"/>
  <c r="R228" i="1"/>
  <c r="R229" i="1"/>
  <c r="R230" i="1"/>
  <c r="R231" i="1"/>
  <c r="R232" i="1"/>
  <c r="R233" i="1"/>
  <c r="R234" i="1"/>
  <c r="R235" i="1"/>
  <c r="R236" i="1"/>
  <c r="R237" i="1"/>
  <c r="R238" i="1"/>
  <c r="R239" i="1"/>
  <c r="R240" i="1"/>
  <c r="R241" i="1"/>
  <c r="R242" i="1"/>
  <c r="R243" i="1"/>
  <c r="R244" i="1"/>
  <c r="R245" i="1"/>
  <c r="R246" i="1"/>
  <c r="R247" i="1"/>
  <c r="R248" i="1"/>
  <c r="R249" i="1"/>
  <c r="R250" i="1"/>
  <c r="R251" i="1"/>
  <c r="R252" i="1"/>
  <c r="R253" i="1"/>
  <c r="R254" i="1"/>
  <c r="R255" i="1"/>
  <c r="R256" i="1"/>
  <c r="R257" i="1"/>
  <c r="R258" i="1"/>
  <c r="R259" i="1"/>
  <c r="R260" i="1"/>
  <c r="R261" i="1"/>
  <c r="R262" i="1"/>
  <c r="R263" i="1"/>
  <c r="R264" i="1"/>
  <c r="R265" i="1"/>
  <c r="R266" i="1"/>
  <c r="R267" i="1"/>
  <c r="R268" i="1"/>
  <c r="R269" i="1"/>
  <c r="R270" i="1"/>
  <c r="R271" i="1"/>
  <c r="R272" i="1"/>
  <c r="R273" i="1"/>
  <c r="R274" i="1"/>
  <c r="R275" i="1"/>
  <c r="R276" i="1"/>
  <c r="R277" i="1"/>
  <c r="R278" i="1"/>
  <c r="R279" i="1"/>
  <c r="R280" i="1"/>
  <c r="R281" i="1"/>
  <c r="R282" i="1"/>
  <c r="R283" i="1"/>
  <c r="R284" i="1"/>
  <c r="R285" i="1"/>
  <c r="R286" i="1"/>
  <c r="R287" i="1"/>
  <c r="R288" i="1"/>
  <c r="R289" i="1"/>
  <c r="R290" i="1"/>
  <c r="R291" i="1"/>
  <c r="R292" i="1"/>
  <c r="R293" i="1"/>
  <c r="R294" i="1"/>
  <c r="R295" i="1"/>
  <c r="R296" i="1"/>
  <c r="R297" i="1"/>
  <c r="R298" i="1"/>
  <c r="R299" i="1"/>
  <c r="R300" i="1"/>
  <c r="R301" i="1"/>
  <c r="R302" i="1"/>
  <c r="R303" i="1"/>
  <c r="R304" i="1"/>
  <c r="R305" i="1"/>
  <c r="R306" i="1"/>
  <c r="R307" i="1"/>
  <c r="R308" i="1"/>
  <c r="R309" i="1"/>
  <c r="R310" i="1"/>
  <c r="R311" i="1"/>
  <c r="R312" i="1"/>
  <c r="R313" i="1"/>
  <c r="R314" i="1"/>
  <c r="R315" i="1"/>
  <c r="R316" i="1"/>
  <c r="R317" i="1"/>
  <c r="R318" i="1"/>
  <c r="R319" i="1"/>
  <c r="R320" i="1"/>
  <c r="R321" i="1"/>
  <c r="R322" i="1"/>
  <c r="R323" i="1"/>
  <c r="R324" i="1"/>
  <c r="R325" i="1"/>
  <c r="R326" i="1"/>
  <c r="R327" i="1"/>
  <c r="R328" i="1"/>
  <c r="R329" i="1"/>
  <c r="R330" i="1"/>
  <c r="R331" i="1"/>
  <c r="R332" i="1"/>
  <c r="R333" i="1"/>
  <c r="R334" i="1"/>
  <c r="R335" i="1"/>
  <c r="R336" i="1"/>
  <c r="R337" i="1"/>
  <c r="R338" i="1"/>
  <c r="R339" i="1"/>
  <c r="R340" i="1"/>
  <c r="R341" i="1"/>
  <c r="R342" i="1"/>
  <c r="R343" i="1"/>
  <c r="R344" i="1"/>
  <c r="R345" i="1"/>
  <c r="R346" i="1"/>
  <c r="R347" i="1"/>
  <c r="R348" i="1"/>
  <c r="R349" i="1"/>
  <c r="R350" i="1"/>
  <c r="R351" i="1"/>
  <c r="R352" i="1"/>
  <c r="R353" i="1"/>
  <c r="R354" i="1"/>
  <c r="R355" i="1"/>
  <c r="R356" i="1"/>
  <c r="R357" i="1"/>
  <c r="R358" i="1"/>
  <c r="R359" i="1"/>
  <c r="R360" i="1"/>
  <c r="R361" i="1"/>
  <c r="R362" i="1"/>
  <c r="R363" i="1"/>
  <c r="R364" i="1"/>
  <c r="R365" i="1"/>
  <c r="R366" i="1"/>
  <c r="R367" i="1"/>
  <c r="R368" i="1"/>
  <c r="R369" i="1"/>
  <c r="R370" i="1"/>
  <c r="R371" i="1"/>
  <c r="R372" i="1"/>
  <c r="R373" i="1"/>
  <c r="R374" i="1"/>
  <c r="R375" i="1"/>
  <c r="R376" i="1"/>
  <c r="R377" i="1"/>
  <c r="R378" i="1"/>
  <c r="R379" i="1"/>
  <c r="R380" i="1"/>
  <c r="R381" i="1"/>
  <c r="R382" i="1"/>
  <c r="R383" i="1"/>
  <c r="R384" i="1"/>
  <c r="R385" i="1"/>
  <c r="R386" i="1"/>
  <c r="R387" i="1"/>
  <c r="R388" i="1"/>
  <c r="R389" i="1"/>
  <c r="R390" i="1"/>
  <c r="R391" i="1"/>
  <c r="R392" i="1"/>
  <c r="R393" i="1"/>
  <c r="R394" i="1"/>
  <c r="R395" i="1"/>
  <c r="R396" i="1"/>
  <c r="R397" i="1"/>
  <c r="R398" i="1"/>
  <c r="R399" i="1"/>
  <c r="R400" i="1"/>
  <c r="R401" i="1"/>
  <c r="R402" i="1"/>
  <c r="R403" i="1"/>
  <c r="R404" i="1"/>
  <c r="R405" i="1"/>
  <c r="R406" i="1"/>
  <c r="R407" i="1"/>
  <c r="R408" i="1"/>
  <c r="R409" i="1"/>
  <c r="R410" i="1"/>
  <c r="R411" i="1"/>
  <c r="R412" i="1"/>
  <c r="R413" i="1"/>
  <c r="R414" i="1"/>
  <c r="R415" i="1"/>
  <c r="R416" i="1"/>
  <c r="R417" i="1"/>
  <c r="R418" i="1"/>
  <c r="R419" i="1"/>
  <c r="R420" i="1"/>
  <c r="R421" i="1"/>
  <c r="R422" i="1"/>
  <c r="R423" i="1"/>
  <c r="R424" i="1"/>
  <c r="R425" i="1"/>
  <c r="R426" i="1"/>
  <c r="R427" i="1"/>
  <c r="R428" i="1"/>
  <c r="R429" i="1"/>
  <c r="R430" i="1"/>
  <c r="R431" i="1"/>
  <c r="R432" i="1"/>
  <c r="R433" i="1"/>
  <c r="R434" i="1"/>
  <c r="R435" i="1"/>
  <c r="R436" i="1"/>
  <c r="R437" i="1"/>
  <c r="R438" i="1"/>
  <c r="R439" i="1"/>
  <c r="R440" i="1"/>
  <c r="R441" i="1"/>
  <c r="R442" i="1"/>
  <c r="R443" i="1"/>
  <c r="R444" i="1"/>
  <c r="R445" i="1"/>
  <c r="R446" i="1"/>
  <c r="R447" i="1"/>
  <c r="R448" i="1"/>
  <c r="R449" i="1"/>
  <c r="R450" i="1"/>
  <c r="R451" i="1"/>
  <c r="R452" i="1"/>
  <c r="R453" i="1"/>
  <c r="R454" i="1"/>
  <c r="R455" i="1"/>
  <c r="R456" i="1"/>
  <c r="R457" i="1"/>
  <c r="R458" i="1"/>
  <c r="R459" i="1"/>
  <c r="R460" i="1"/>
  <c r="R461" i="1"/>
  <c r="R462" i="1"/>
  <c r="R463" i="1"/>
  <c r="R464" i="1"/>
  <c r="R465" i="1"/>
  <c r="R466" i="1"/>
  <c r="R467" i="1"/>
  <c r="R468" i="1"/>
  <c r="R469" i="1"/>
  <c r="R470" i="1"/>
  <c r="R471" i="1"/>
  <c r="R472" i="1"/>
  <c r="R473" i="1"/>
  <c r="R474" i="1"/>
  <c r="R475" i="1"/>
  <c r="R476" i="1"/>
  <c r="R477" i="1"/>
  <c r="R478" i="1"/>
  <c r="R479" i="1"/>
  <c r="R480" i="1"/>
  <c r="R481" i="1"/>
  <c r="R482" i="1"/>
  <c r="R483" i="1"/>
  <c r="R484" i="1"/>
  <c r="R485" i="1"/>
  <c r="R486" i="1"/>
  <c r="R487" i="1"/>
  <c r="R488" i="1"/>
  <c r="R489" i="1"/>
  <c r="R490" i="1"/>
  <c r="R491" i="1"/>
  <c r="R492" i="1"/>
  <c r="R493" i="1"/>
  <c r="R494" i="1"/>
  <c r="R495" i="1"/>
  <c r="R496" i="1"/>
  <c r="R497" i="1"/>
  <c r="R498" i="1"/>
  <c r="R499" i="1"/>
  <c r="R500" i="1"/>
  <c r="R501" i="1"/>
  <c r="R502" i="1"/>
  <c r="R503" i="1"/>
  <c r="R504" i="1"/>
  <c r="R505" i="1"/>
  <c r="R506" i="1"/>
  <c r="R507" i="1"/>
  <c r="R508" i="1"/>
  <c r="R509" i="1"/>
  <c r="R510" i="1"/>
  <c r="R511" i="1"/>
  <c r="R512" i="1"/>
  <c r="R513" i="1"/>
  <c r="R514" i="1"/>
  <c r="R515" i="1"/>
  <c r="R516" i="1"/>
  <c r="R517" i="1"/>
  <c r="R518" i="1"/>
  <c r="R519" i="1"/>
  <c r="R520" i="1"/>
  <c r="R521" i="1"/>
  <c r="R522" i="1"/>
  <c r="R523" i="1"/>
  <c r="R524" i="1"/>
  <c r="R525" i="1"/>
  <c r="R526" i="1"/>
  <c r="R527" i="1"/>
  <c r="R528" i="1"/>
  <c r="R529" i="1"/>
  <c r="R530" i="1"/>
  <c r="R531" i="1"/>
  <c r="R532" i="1"/>
  <c r="R533" i="1"/>
  <c r="R534" i="1"/>
  <c r="R535" i="1"/>
  <c r="R536" i="1"/>
  <c r="R537" i="1"/>
  <c r="R538" i="1"/>
  <c r="R539" i="1"/>
  <c r="R540" i="1"/>
  <c r="R541" i="1"/>
  <c r="R542" i="1"/>
  <c r="R543" i="1"/>
  <c r="R544" i="1"/>
  <c r="R545" i="1"/>
  <c r="R546" i="1"/>
  <c r="R547" i="1"/>
  <c r="R548" i="1"/>
  <c r="R549" i="1"/>
  <c r="R550" i="1"/>
  <c r="R551" i="1"/>
  <c r="R552" i="1"/>
  <c r="R553" i="1"/>
  <c r="R554" i="1"/>
  <c r="R555" i="1"/>
  <c r="R556" i="1"/>
  <c r="R557" i="1"/>
  <c r="R558" i="1"/>
  <c r="R559" i="1"/>
  <c r="R560" i="1"/>
  <c r="R561" i="1"/>
  <c r="R562" i="1"/>
  <c r="R563" i="1"/>
  <c r="R564" i="1"/>
  <c r="R565" i="1"/>
  <c r="R566" i="1"/>
  <c r="R567" i="1"/>
  <c r="R568" i="1"/>
  <c r="R569" i="1"/>
  <c r="R570" i="1"/>
  <c r="R571" i="1"/>
  <c r="R572" i="1"/>
  <c r="R573" i="1"/>
  <c r="R574" i="1"/>
  <c r="R575" i="1"/>
  <c r="R576" i="1"/>
  <c r="R577" i="1"/>
  <c r="R578" i="1"/>
  <c r="R579" i="1"/>
  <c r="R580" i="1"/>
  <c r="R581" i="1"/>
  <c r="R582" i="1"/>
  <c r="R583" i="1"/>
  <c r="R584" i="1"/>
  <c r="R585" i="1"/>
  <c r="R586" i="1"/>
  <c r="R587" i="1"/>
  <c r="R588" i="1"/>
  <c r="R589" i="1"/>
  <c r="R590" i="1"/>
  <c r="R591" i="1"/>
  <c r="R592" i="1"/>
  <c r="R593" i="1"/>
  <c r="R594" i="1"/>
  <c r="R595" i="1"/>
  <c r="R596" i="1"/>
  <c r="R597" i="1"/>
  <c r="R598" i="1"/>
  <c r="R599" i="1"/>
  <c r="R600" i="1"/>
  <c r="R601" i="1"/>
  <c r="R602" i="1"/>
  <c r="R603" i="1"/>
  <c r="R604" i="1"/>
  <c r="R605" i="1"/>
  <c r="R606" i="1"/>
  <c r="R607" i="1"/>
  <c r="R608" i="1"/>
  <c r="R609" i="1"/>
  <c r="R610" i="1"/>
  <c r="R611" i="1"/>
  <c r="R612" i="1"/>
  <c r="R613" i="1"/>
  <c r="R614" i="1"/>
  <c r="R615" i="1"/>
  <c r="R616" i="1"/>
  <c r="R617" i="1"/>
  <c r="R618" i="1"/>
  <c r="R619" i="1"/>
  <c r="R620" i="1"/>
  <c r="R621" i="1"/>
  <c r="R622" i="1"/>
  <c r="R623" i="1"/>
  <c r="R624" i="1"/>
  <c r="R625" i="1"/>
  <c r="R626" i="1"/>
  <c r="R627" i="1"/>
  <c r="R628" i="1"/>
  <c r="R629" i="1"/>
  <c r="R630" i="1"/>
  <c r="R631" i="1"/>
  <c r="R632" i="1"/>
  <c r="R633" i="1"/>
  <c r="R634" i="1"/>
  <c r="R635" i="1"/>
  <c r="R636" i="1"/>
  <c r="R637" i="1"/>
  <c r="R638" i="1"/>
  <c r="R639" i="1"/>
  <c r="R640" i="1"/>
  <c r="R641" i="1"/>
  <c r="R642" i="1"/>
  <c r="R643" i="1"/>
  <c r="R644" i="1"/>
  <c r="R645" i="1"/>
  <c r="R646" i="1"/>
  <c r="R647" i="1"/>
  <c r="R648" i="1"/>
  <c r="R649" i="1"/>
  <c r="R650" i="1"/>
  <c r="R651" i="1"/>
  <c r="R652" i="1"/>
  <c r="R653" i="1"/>
  <c r="R654" i="1"/>
  <c r="R655" i="1"/>
  <c r="R656" i="1"/>
  <c r="R657" i="1"/>
  <c r="R658" i="1"/>
  <c r="R659" i="1"/>
  <c r="R660" i="1"/>
  <c r="R661" i="1"/>
  <c r="R662" i="1"/>
  <c r="R663" i="1"/>
  <c r="R664" i="1"/>
  <c r="R665" i="1"/>
  <c r="R666" i="1"/>
  <c r="R667" i="1"/>
  <c r="R668" i="1"/>
  <c r="R669" i="1"/>
  <c r="R670" i="1"/>
  <c r="R671" i="1"/>
  <c r="R672" i="1"/>
  <c r="R673" i="1"/>
  <c r="R674" i="1"/>
  <c r="R675" i="1"/>
  <c r="R676" i="1"/>
  <c r="R677" i="1"/>
  <c r="R678" i="1"/>
  <c r="R679" i="1"/>
  <c r="R680" i="1"/>
  <c r="R681" i="1"/>
  <c r="R682" i="1"/>
  <c r="R683" i="1"/>
  <c r="R684" i="1"/>
  <c r="R685" i="1"/>
  <c r="R686" i="1"/>
  <c r="R687" i="1"/>
  <c r="R688" i="1"/>
  <c r="R689" i="1"/>
  <c r="R690" i="1"/>
  <c r="R691" i="1"/>
  <c r="R692" i="1"/>
  <c r="R693" i="1"/>
  <c r="R694" i="1"/>
  <c r="R695" i="1"/>
  <c r="R696" i="1"/>
  <c r="R697" i="1"/>
  <c r="R698" i="1"/>
  <c r="R699" i="1"/>
  <c r="R700" i="1"/>
  <c r="R701" i="1"/>
  <c r="R702" i="1"/>
  <c r="R703" i="1"/>
  <c r="R704" i="1"/>
  <c r="R705" i="1"/>
  <c r="R706" i="1"/>
  <c r="R707" i="1"/>
  <c r="R708" i="1"/>
  <c r="R709" i="1"/>
  <c r="R710" i="1"/>
  <c r="R711" i="1"/>
  <c r="R712" i="1"/>
  <c r="R713" i="1"/>
  <c r="R714" i="1"/>
  <c r="R715" i="1"/>
  <c r="R716" i="1"/>
  <c r="R717" i="1"/>
  <c r="R718" i="1"/>
  <c r="R719" i="1"/>
  <c r="R720" i="1"/>
  <c r="R721" i="1"/>
  <c r="R722" i="1"/>
  <c r="R723" i="1"/>
  <c r="R724" i="1"/>
  <c r="R725" i="1"/>
  <c r="R726" i="1"/>
  <c r="R727" i="1"/>
  <c r="R728" i="1"/>
  <c r="R729" i="1"/>
  <c r="R730" i="1"/>
  <c r="R731" i="1"/>
  <c r="R732" i="1"/>
  <c r="R733" i="1"/>
  <c r="R734" i="1"/>
  <c r="R735" i="1"/>
  <c r="R736" i="1"/>
  <c r="R737" i="1"/>
  <c r="R738" i="1"/>
  <c r="R739" i="1"/>
  <c r="R740" i="1"/>
  <c r="R741" i="1"/>
  <c r="R742" i="1"/>
  <c r="R743" i="1"/>
  <c r="R744" i="1"/>
  <c r="R745" i="1"/>
  <c r="R746" i="1"/>
  <c r="R747" i="1"/>
  <c r="R748" i="1"/>
  <c r="R749" i="1"/>
  <c r="R750" i="1"/>
  <c r="R751" i="1"/>
  <c r="R752" i="1"/>
  <c r="R753" i="1"/>
  <c r="R754" i="1"/>
  <c r="R755" i="1"/>
  <c r="R756" i="1"/>
  <c r="R757" i="1"/>
  <c r="R758" i="1"/>
  <c r="R759" i="1"/>
  <c r="R760" i="1"/>
  <c r="R761" i="1"/>
  <c r="R762" i="1"/>
  <c r="R763" i="1"/>
  <c r="R764" i="1"/>
  <c r="R765" i="1"/>
  <c r="R766" i="1"/>
  <c r="R767" i="1"/>
  <c r="R768" i="1"/>
  <c r="R769" i="1"/>
  <c r="R770" i="1"/>
  <c r="R771" i="1"/>
  <c r="R772" i="1"/>
  <c r="R773" i="1"/>
  <c r="R774" i="1"/>
  <c r="R775" i="1"/>
  <c r="R776" i="1"/>
  <c r="R777" i="1"/>
  <c r="R778" i="1"/>
  <c r="R779" i="1"/>
  <c r="R780" i="1"/>
  <c r="R781" i="1"/>
  <c r="R782" i="1"/>
  <c r="R783" i="1"/>
  <c r="R784" i="1"/>
  <c r="R785" i="1"/>
  <c r="R786" i="1"/>
  <c r="R787" i="1"/>
  <c r="R788" i="1"/>
  <c r="R789" i="1"/>
  <c r="R790" i="1"/>
  <c r="R791" i="1"/>
  <c r="R792" i="1"/>
  <c r="R793" i="1"/>
  <c r="R794" i="1"/>
  <c r="R795" i="1"/>
  <c r="R796" i="1"/>
  <c r="R797" i="1"/>
  <c r="R798" i="1"/>
  <c r="R799" i="1"/>
  <c r="R800" i="1"/>
  <c r="R801" i="1"/>
  <c r="R802" i="1"/>
  <c r="R803" i="1"/>
  <c r="R804" i="1"/>
  <c r="R805" i="1"/>
  <c r="R806" i="1"/>
  <c r="R807" i="1"/>
  <c r="R808" i="1"/>
  <c r="R809" i="1"/>
  <c r="R810" i="1"/>
  <c r="R811" i="1"/>
  <c r="R812" i="1"/>
  <c r="R813" i="1"/>
  <c r="R814" i="1"/>
  <c r="R815" i="1"/>
  <c r="R816" i="1"/>
  <c r="R817" i="1"/>
  <c r="R818" i="1"/>
  <c r="R819" i="1"/>
  <c r="R820" i="1"/>
  <c r="R821" i="1"/>
  <c r="R822" i="1"/>
  <c r="R823" i="1"/>
  <c r="R824" i="1"/>
  <c r="R825" i="1"/>
  <c r="R826" i="1"/>
  <c r="R827" i="1"/>
  <c r="R828" i="1"/>
  <c r="R829" i="1"/>
  <c r="R830" i="1"/>
  <c r="R831" i="1"/>
  <c r="R832" i="1"/>
  <c r="R833" i="1"/>
  <c r="R834" i="1"/>
  <c r="R835" i="1"/>
  <c r="R836" i="1"/>
  <c r="R837" i="1"/>
  <c r="R838" i="1"/>
  <c r="R839" i="1"/>
  <c r="R840" i="1"/>
  <c r="R841" i="1"/>
  <c r="R842" i="1"/>
  <c r="R843" i="1"/>
  <c r="R844" i="1"/>
  <c r="R845" i="1"/>
  <c r="R846" i="1"/>
  <c r="R847" i="1"/>
  <c r="R848" i="1"/>
  <c r="R849" i="1"/>
  <c r="R850" i="1"/>
  <c r="R851" i="1"/>
  <c r="R852" i="1"/>
  <c r="R853" i="1"/>
  <c r="R854" i="1"/>
  <c r="R855" i="1"/>
  <c r="R856" i="1"/>
  <c r="R857" i="1"/>
  <c r="R858" i="1"/>
  <c r="R859" i="1"/>
  <c r="R860" i="1"/>
  <c r="R861" i="1"/>
  <c r="R862" i="1"/>
  <c r="R863" i="1"/>
  <c r="R864" i="1"/>
  <c r="R865" i="1"/>
  <c r="R866" i="1"/>
  <c r="R867" i="1"/>
  <c r="R868" i="1"/>
  <c r="R869" i="1"/>
  <c r="R870" i="1"/>
  <c r="R871" i="1"/>
  <c r="R872" i="1"/>
  <c r="R873" i="1"/>
  <c r="R874" i="1"/>
  <c r="R875" i="1"/>
  <c r="R876" i="1"/>
  <c r="R877" i="1"/>
  <c r="R878" i="1"/>
  <c r="R879" i="1"/>
  <c r="R880" i="1"/>
  <c r="R881" i="1"/>
  <c r="R882" i="1"/>
  <c r="R883" i="1"/>
  <c r="R884" i="1"/>
  <c r="R885" i="1"/>
  <c r="R886" i="1"/>
  <c r="R887" i="1"/>
  <c r="R888" i="1"/>
  <c r="R889" i="1"/>
  <c r="R890" i="1"/>
  <c r="R891" i="1"/>
  <c r="R892" i="1"/>
  <c r="R893" i="1"/>
  <c r="R894" i="1"/>
  <c r="R895" i="1"/>
  <c r="R896" i="1"/>
  <c r="R897" i="1"/>
  <c r="R898" i="1"/>
  <c r="R899" i="1"/>
  <c r="R900" i="1"/>
  <c r="R901" i="1"/>
  <c r="R902" i="1"/>
  <c r="R903" i="1"/>
  <c r="R904" i="1"/>
  <c r="R905" i="1"/>
  <c r="R906" i="1"/>
  <c r="R907" i="1"/>
  <c r="R908" i="1"/>
  <c r="R909" i="1"/>
  <c r="R910" i="1"/>
  <c r="R911" i="1"/>
  <c r="R912" i="1"/>
  <c r="R913" i="1"/>
  <c r="R914" i="1"/>
  <c r="R915" i="1"/>
  <c r="R916" i="1"/>
  <c r="R917" i="1"/>
  <c r="R918" i="1"/>
  <c r="R919" i="1"/>
  <c r="R920" i="1"/>
  <c r="R921" i="1"/>
  <c r="R922" i="1"/>
  <c r="R923" i="1"/>
  <c r="R924" i="1"/>
  <c r="R925" i="1"/>
  <c r="R926" i="1"/>
  <c r="R927" i="1"/>
  <c r="R928" i="1"/>
  <c r="R929" i="1"/>
  <c r="R930" i="1"/>
  <c r="R931" i="1"/>
  <c r="R932" i="1"/>
  <c r="R933" i="1"/>
  <c r="R934" i="1"/>
  <c r="R935" i="1"/>
  <c r="R936" i="1"/>
  <c r="R937" i="1"/>
  <c r="R938" i="1"/>
  <c r="R939" i="1"/>
  <c r="R940" i="1"/>
  <c r="R941" i="1"/>
  <c r="R942" i="1"/>
  <c r="R943" i="1"/>
  <c r="R944" i="1"/>
  <c r="R945" i="1"/>
  <c r="R946" i="1"/>
  <c r="R947" i="1"/>
  <c r="R948" i="1"/>
  <c r="R949" i="1"/>
  <c r="R950" i="1"/>
  <c r="R951" i="1"/>
  <c r="R952" i="1"/>
  <c r="R953" i="1"/>
  <c r="R954" i="1"/>
  <c r="R955" i="1"/>
  <c r="R956" i="1"/>
  <c r="R957" i="1"/>
  <c r="R958" i="1"/>
  <c r="R959" i="1"/>
  <c r="R960" i="1"/>
  <c r="R961" i="1"/>
  <c r="R962" i="1"/>
  <c r="R963" i="1"/>
  <c r="R964" i="1"/>
  <c r="R965" i="1"/>
  <c r="R966" i="1"/>
  <c r="R967" i="1"/>
  <c r="R968" i="1"/>
  <c r="R969" i="1"/>
  <c r="R970" i="1"/>
  <c r="R971" i="1"/>
  <c r="R972" i="1"/>
  <c r="R973" i="1"/>
  <c r="R974" i="1"/>
  <c r="R975" i="1"/>
  <c r="R976" i="1"/>
  <c r="R977" i="1"/>
  <c r="R978" i="1"/>
  <c r="R979" i="1"/>
  <c r="R980" i="1"/>
  <c r="R981" i="1"/>
  <c r="R982" i="1"/>
  <c r="R983" i="1"/>
  <c r="R984" i="1"/>
  <c r="R985" i="1"/>
  <c r="R986" i="1"/>
  <c r="R987" i="1"/>
  <c r="R988" i="1"/>
  <c r="R989" i="1"/>
  <c r="R990" i="1"/>
  <c r="R991" i="1"/>
  <c r="R992" i="1"/>
  <c r="R993" i="1"/>
  <c r="R994" i="1"/>
  <c r="R995" i="1"/>
  <c r="R996" i="1"/>
  <c r="R997" i="1"/>
  <c r="R998" i="1"/>
  <c r="R999" i="1"/>
  <c r="R1000" i="1"/>
  <c r="R1001" i="1"/>
  <c r="R1002" i="1"/>
  <c r="R1003" i="1"/>
  <c r="R1004" i="1"/>
  <c r="R1005" i="1"/>
  <c r="R1006" i="1"/>
  <c r="R1007" i="1"/>
  <c r="R1008" i="1"/>
  <c r="R1009" i="1"/>
  <c r="R1010" i="1"/>
  <c r="R1011" i="1"/>
  <c r="R1012" i="1"/>
  <c r="R1013" i="1"/>
  <c r="R1014" i="1"/>
  <c r="R1015" i="1"/>
  <c r="R1016" i="1"/>
  <c r="R1017" i="1"/>
  <c r="R1018" i="1"/>
  <c r="R1019" i="1"/>
  <c r="R1020" i="1"/>
  <c r="R1021" i="1"/>
  <c r="R1022" i="1"/>
  <c r="R1023" i="1"/>
  <c r="R1024" i="1"/>
  <c r="R1025" i="1"/>
  <c r="R1026" i="1"/>
  <c r="R1027" i="1"/>
  <c r="R1028" i="1"/>
  <c r="R1029" i="1"/>
  <c r="R1030" i="1"/>
  <c r="R1031" i="1"/>
  <c r="R1032" i="1"/>
  <c r="R1033" i="1"/>
  <c r="R1034" i="1"/>
  <c r="R1035" i="1"/>
  <c r="R1036" i="1"/>
  <c r="R1037" i="1"/>
  <c r="R1038" i="1"/>
  <c r="R1039" i="1"/>
  <c r="R1040" i="1"/>
  <c r="R1041" i="1"/>
  <c r="R1042" i="1"/>
  <c r="R1043" i="1"/>
  <c r="R1044" i="1"/>
  <c r="R1045" i="1"/>
  <c r="R1046" i="1"/>
  <c r="R1047" i="1"/>
  <c r="R1048" i="1"/>
  <c r="R1049" i="1"/>
  <c r="R1050" i="1"/>
  <c r="R1051" i="1"/>
  <c r="R1052" i="1"/>
  <c r="R1053" i="1"/>
  <c r="R1054" i="1"/>
  <c r="R1055" i="1"/>
  <c r="R1056" i="1"/>
  <c r="R1057" i="1"/>
  <c r="R1058" i="1"/>
  <c r="R1059" i="1"/>
  <c r="R1060" i="1"/>
  <c r="R1061" i="1"/>
  <c r="R1062" i="1"/>
  <c r="R1063" i="1"/>
  <c r="R1064" i="1"/>
  <c r="R1065" i="1"/>
  <c r="R1066" i="1"/>
  <c r="R1067" i="1"/>
  <c r="R1068" i="1"/>
  <c r="R1069" i="1"/>
  <c r="R1070" i="1"/>
  <c r="R1071" i="1"/>
  <c r="R1072" i="1"/>
  <c r="R1073" i="1"/>
  <c r="R1074" i="1"/>
  <c r="R1075" i="1"/>
  <c r="R1076" i="1"/>
  <c r="R1077" i="1"/>
  <c r="R1078" i="1"/>
  <c r="R1079" i="1"/>
  <c r="R1080" i="1"/>
  <c r="R1081" i="1"/>
  <c r="R1082" i="1"/>
  <c r="R1083" i="1"/>
  <c r="R1084" i="1"/>
  <c r="R1085" i="1"/>
  <c r="R1086" i="1"/>
  <c r="R1087" i="1"/>
  <c r="R1088" i="1"/>
  <c r="R1089" i="1"/>
  <c r="R1090" i="1"/>
  <c r="R1091" i="1"/>
  <c r="R1092" i="1"/>
  <c r="R1093" i="1"/>
  <c r="R1094" i="1"/>
  <c r="R1095" i="1"/>
  <c r="R1096" i="1"/>
  <c r="R1097" i="1"/>
  <c r="R1098" i="1"/>
  <c r="R1099" i="1"/>
  <c r="R1100" i="1"/>
  <c r="R1101" i="1"/>
  <c r="R1102" i="1"/>
  <c r="R1103" i="1"/>
  <c r="R1104" i="1"/>
  <c r="R1105" i="1"/>
  <c r="R1106" i="1"/>
  <c r="R1107" i="1"/>
  <c r="R1108" i="1"/>
  <c r="R1109" i="1"/>
  <c r="R1110" i="1"/>
  <c r="R1111" i="1"/>
  <c r="R1112" i="1"/>
  <c r="R1113" i="1"/>
  <c r="R1114" i="1"/>
  <c r="R1115" i="1"/>
  <c r="R1116" i="1"/>
  <c r="R1117" i="1"/>
  <c r="R1118" i="1"/>
  <c r="R1119" i="1"/>
  <c r="R1120" i="1"/>
  <c r="R1121" i="1"/>
  <c r="R1122" i="1"/>
  <c r="R1123" i="1"/>
  <c r="R1124" i="1"/>
  <c r="R1125" i="1"/>
  <c r="R1126" i="1"/>
  <c r="R1127" i="1"/>
  <c r="R1128" i="1"/>
  <c r="R1129" i="1"/>
  <c r="R1130" i="1"/>
  <c r="R1131" i="1"/>
  <c r="R1132" i="1"/>
  <c r="R1133" i="1"/>
  <c r="R1134" i="1"/>
  <c r="R1135" i="1"/>
  <c r="R1136" i="1"/>
  <c r="R1137" i="1"/>
  <c r="R1138" i="1"/>
  <c r="R1139" i="1"/>
  <c r="R1140" i="1"/>
  <c r="R1141" i="1"/>
  <c r="R1142" i="1"/>
  <c r="R1143" i="1"/>
  <c r="R1144" i="1"/>
  <c r="R1145" i="1"/>
  <c r="R1146" i="1"/>
  <c r="R1147" i="1"/>
  <c r="R1148" i="1"/>
  <c r="R1149" i="1"/>
  <c r="R1150" i="1"/>
  <c r="R1151" i="1"/>
  <c r="R1152" i="1"/>
  <c r="R1153" i="1"/>
  <c r="R1154" i="1"/>
  <c r="R1155" i="1"/>
  <c r="R1156" i="1"/>
  <c r="R1157" i="1"/>
  <c r="R1158" i="1"/>
  <c r="R1159" i="1"/>
  <c r="R1160" i="1"/>
  <c r="R1161" i="1"/>
  <c r="R1162" i="1"/>
  <c r="R1163" i="1"/>
  <c r="R1164" i="1"/>
  <c r="R1165" i="1"/>
  <c r="R1166" i="1"/>
  <c r="R1167" i="1"/>
  <c r="R1168" i="1"/>
  <c r="R1169" i="1"/>
  <c r="R1170" i="1"/>
  <c r="R1171" i="1"/>
  <c r="R1172" i="1"/>
  <c r="R1173" i="1"/>
  <c r="R1174" i="1"/>
  <c r="R1175" i="1"/>
  <c r="R1176" i="1"/>
  <c r="R1177" i="1"/>
  <c r="R1178" i="1"/>
  <c r="R1179" i="1"/>
  <c r="R1180" i="1"/>
  <c r="R1181" i="1"/>
  <c r="R1182" i="1"/>
  <c r="R1183" i="1"/>
  <c r="R1184" i="1"/>
  <c r="R1185" i="1"/>
  <c r="R1186" i="1"/>
  <c r="R1187" i="1"/>
  <c r="R1188" i="1"/>
  <c r="R1189" i="1"/>
  <c r="R1190" i="1"/>
  <c r="R1191" i="1"/>
  <c r="R1192" i="1"/>
  <c r="R1193" i="1"/>
  <c r="R1194" i="1"/>
  <c r="R1195" i="1"/>
  <c r="R1196" i="1"/>
  <c r="R1197" i="1"/>
  <c r="R1198" i="1"/>
  <c r="R1199" i="1"/>
  <c r="R1200" i="1"/>
  <c r="R1201" i="1"/>
  <c r="R1202" i="1"/>
  <c r="R1203" i="1"/>
  <c r="R1204" i="1"/>
  <c r="R1205" i="1"/>
  <c r="R1206" i="1"/>
  <c r="R1207" i="1"/>
  <c r="R1208" i="1"/>
  <c r="R1209" i="1"/>
  <c r="R1210" i="1"/>
  <c r="R1211" i="1"/>
  <c r="R1212" i="1"/>
  <c r="R1213" i="1"/>
  <c r="R1214" i="1"/>
  <c r="R1215" i="1"/>
  <c r="R1216" i="1"/>
  <c r="R1217" i="1"/>
  <c r="R1218" i="1"/>
  <c r="R1219" i="1"/>
  <c r="R1220" i="1"/>
  <c r="R1221" i="1"/>
  <c r="R1222" i="1"/>
  <c r="R1223" i="1"/>
  <c r="R1224" i="1"/>
  <c r="R1225" i="1"/>
  <c r="R1226" i="1"/>
  <c r="R1227" i="1"/>
  <c r="R1228" i="1"/>
  <c r="R1229" i="1"/>
  <c r="R1230" i="1"/>
  <c r="R1231" i="1"/>
  <c r="R1232" i="1"/>
  <c r="R1233" i="1"/>
  <c r="R1234" i="1"/>
  <c r="R1235" i="1"/>
  <c r="R1236" i="1"/>
  <c r="R1237" i="1"/>
  <c r="R1238" i="1"/>
  <c r="R1239" i="1"/>
  <c r="R1240" i="1"/>
  <c r="R1241" i="1"/>
  <c r="R1242" i="1"/>
  <c r="R1243" i="1"/>
  <c r="R1244" i="1"/>
  <c r="R1245" i="1"/>
  <c r="R1246" i="1"/>
  <c r="R1247" i="1"/>
  <c r="R1248" i="1"/>
  <c r="R1249" i="1"/>
  <c r="R1250" i="1"/>
  <c r="R1251" i="1"/>
  <c r="R1252" i="1"/>
  <c r="R1253" i="1"/>
  <c r="R1254" i="1"/>
  <c r="R1255" i="1"/>
  <c r="R1256" i="1"/>
  <c r="R1257" i="1"/>
  <c r="R1258" i="1"/>
  <c r="R1259" i="1"/>
  <c r="R1260" i="1"/>
  <c r="R1261" i="1"/>
  <c r="R1262" i="1"/>
  <c r="R1263" i="1"/>
  <c r="R1264" i="1"/>
  <c r="R1265" i="1"/>
  <c r="R1266" i="1"/>
  <c r="R1267" i="1"/>
  <c r="R1268" i="1"/>
  <c r="R1269" i="1"/>
  <c r="R1270" i="1"/>
  <c r="R1271" i="1"/>
  <c r="R1272" i="1"/>
  <c r="R1273" i="1"/>
  <c r="R1274" i="1"/>
  <c r="R1275" i="1"/>
  <c r="R1276" i="1"/>
  <c r="R1277" i="1"/>
  <c r="R1278" i="1"/>
  <c r="R1279" i="1"/>
  <c r="R1280" i="1"/>
  <c r="R1281" i="1"/>
  <c r="R1282" i="1"/>
  <c r="R1283" i="1"/>
  <c r="R1284" i="1"/>
  <c r="R1285" i="1"/>
  <c r="R1286" i="1"/>
  <c r="R1287" i="1"/>
  <c r="R1288" i="1"/>
  <c r="R1289" i="1"/>
  <c r="R1290" i="1"/>
  <c r="R1291" i="1"/>
  <c r="R1292" i="1"/>
  <c r="R1293" i="1"/>
  <c r="R1294" i="1"/>
  <c r="R1295" i="1"/>
  <c r="R1296" i="1"/>
  <c r="R1297" i="1"/>
  <c r="R1298" i="1"/>
  <c r="R1299" i="1"/>
  <c r="R1300" i="1"/>
  <c r="R1301" i="1"/>
  <c r="R1302" i="1"/>
  <c r="R1303" i="1"/>
  <c r="R1304" i="1"/>
  <c r="R1305" i="1"/>
  <c r="R1306" i="1"/>
  <c r="R1307" i="1"/>
  <c r="R1308" i="1"/>
  <c r="R1309" i="1"/>
  <c r="R1310" i="1"/>
  <c r="R1311" i="1"/>
  <c r="R1312" i="1"/>
  <c r="R1313" i="1"/>
  <c r="R1314" i="1"/>
  <c r="R1315" i="1"/>
  <c r="R1316" i="1"/>
  <c r="R1317" i="1"/>
  <c r="R1318" i="1"/>
  <c r="R1319" i="1"/>
  <c r="R1320" i="1"/>
  <c r="R1321" i="1"/>
  <c r="R1322" i="1"/>
  <c r="R1323" i="1"/>
  <c r="R1324" i="1"/>
  <c r="R1325" i="1"/>
  <c r="R1326" i="1"/>
  <c r="R1327" i="1"/>
  <c r="R1328" i="1"/>
  <c r="R1329" i="1"/>
  <c r="R1330" i="1"/>
  <c r="R1331" i="1"/>
  <c r="R1332" i="1"/>
  <c r="R1333" i="1"/>
  <c r="R1334" i="1"/>
  <c r="R1335" i="1"/>
  <c r="R1336" i="1"/>
  <c r="R1337" i="1"/>
  <c r="R1338" i="1"/>
  <c r="R1339" i="1"/>
  <c r="R1340" i="1"/>
  <c r="R1341" i="1"/>
  <c r="R1342" i="1"/>
  <c r="R1343" i="1"/>
  <c r="R1344" i="1"/>
  <c r="R1345" i="1"/>
  <c r="R1346" i="1"/>
  <c r="R1347" i="1"/>
  <c r="R1348" i="1"/>
  <c r="R1349" i="1"/>
  <c r="R1350" i="1"/>
  <c r="R1351" i="1"/>
  <c r="R1352" i="1"/>
  <c r="R1353" i="1"/>
  <c r="R1354" i="1"/>
  <c r="R1355" i="1"/>
  <c r="R1356" i="1"/>
  <c r="R1357" i="1"/>
  <c r="R1358" i="1"/>
  <c r="R1359" i="1"/>
  <c r="R1360" i="1"/>
  <c r="R1361" i="1"/>
  <c r="R1362" i="1"/>
  <c r="R1363" i="1"/>
  <c r="R1364" i="1"/>
  <c r="R1365" i="1"/>
  <c r="R1366" i="1"/>
  <c r="R1367" i="1"/>
  <c r="R1368" i="1"/>
  <c r="R1369" i="1"/>
  <c r="R1370" i="1"/>
  <c r="R1371" i="1"/>
  <c r="R1372" i="1"/>
  <c r="R1373" i="1"/>
  <c r="R1374" i="1"/>
  <c r="R1375" i="1"/>
  <c r="R1376" i="1"/>
  <c r="R1377" i="1"/>
  <c r="R1378" i="1"/>
  <c r="R1379" i="1"/>
  <c r="R1380" i="1"/>
  <c r="R1381" i="1"/>
  <c r="R1382" i="1"/>
  <c r="R1383" i="1"/>
  <c r="R1384" i="1"/>
  <c r="R1385" i="1"/>
  <c r="R1386" i="1"/>
  <c r="R1387" i="1"/>
  <c r="R1388" i="1"/>
  <c r="R1389" i="1"/>
  <c r="R1390" i="1"/>
  <c r="R1391" i="1"/>
  <c r="R1392" i="1"/>
  <c r="R1393" i="1"/>
  <c r="R1394" i="1"/>
  <c r="R1395" i="1"/>
  <c r="R1396" i="1"/>
  <c r="R1397" i="1"/>
  <c r="R1398" i="1"/>
  <c r="R1399" i="1"/>
  <c r="R1400" i="1"/>
  <c r="R1401" i="1"/>
  <c r="R1402" i="1"/>
  <c r="R1403" i="1"/>
  <c r="R1404" i="1"/>
  <c r="R1405" i="1"/>
  <c r="R1406" i="1"/>
  <c r="R1407" i="1"/>
  <c r="R1408" i="1"/>
  <c r="R1409" i="1"/>
  <c r="R1410" i="1"/>
  <c r="R1411" i="1"/>
  <c r="R1412" i="1"/>
  <c r="R1413" i="1"/>
  <c r="R1414" i="1"/>
  <c r="R1415" i="1"/>
  <c r="R1416" i="1"/>
  <c r="R1417" i="1"/>
  <c r="R1418" i="1"/>
  <c r="R1419" i="1"/>
  <c r="R1420" i="1"/>
  <c r="R1421" i="1"/>
  <c r="R1422" i="1"/>
  <c r="R1423" i="1"/>
  <c r="R1424" i="1"/>
  <c r="R1425" i="1"/>
  <c r="R1426" i="1"/>
  <c r="R1427" i="1"/>
  <c r="R1428" i="1"/>
  <c r="R1429" i="1"/>
  <c r="R1430" i="1"/>
  <c r="R1431" i="1"/>
  <c r="R1432" i="1"/>
  <c r="R1433" i="1"/>
  <c r="R1434" i="1"/>
  <c r="R1435" i="1"/>
  <c r="R1436" i="1"/>
  <c r="R1437" i="1"/>
  <c r="R1438" i="1"/>
  <c r="R1439" i="1"/>
  <c r="R1440" i="1"/>
  <c r="R1441" i="1"/>
  <c r="R1442" i="1"/>
  <c r="R1443" i="1"/>
  <c r="R1444" i="1"/>
  <c r="R1445" i="1"/>
  <c r="R1446" i="1"/>
  <c r="R1447" i="1"/>
  <c r="R1448" i="1"/>
  <c r="R1449" i="1"/>
  <c r="R1450" i="1"/>
  <c r="R1451" i="1"/>
  <c r="R1452" i="1"/>
  <c r="R1453" i="1"/>
  <c r="R1454" i="1"/>
  <c r="R1455" i="1"/>
  <c r="R1456" i="1"/>
  <c r="R1457" i="1"/>
  <c r="R1458" i="1"/>
  <c r="R1459" i="1"/>
  <c r="R1460" i="1"/>
  <c r="R1461" i="1"/>
  <c r="R1462" i="1"/>
  <c r="R1463" i="1"/>
  <c r="R1464" i="1"/>
  <c r="R1465" i="1"/>
  <c r="R1466" i="1"/>
  <c r="R1467" i="1"/>
  <c r="R1468" i="1"/>
  <c r="R1469" i="1"/>
  <c r="R1470" i="1"/>
  <c r="R1471" i="1"/>
  <c r="R1472" i="1"/>
  <c r="R1473" i="1"/>
  <c r="R1474" i="1"/>
  <c r="R1475" i="1"/>
  <c r="R1476" i="1"/>
  <c r="R1477" i="1"/>
  <c r="R1478" i="1"/>
  <c r="R1479" i="1"/>
  <c r="R1480" i="1"/>
  <c r="R1481" i="1"/>
  <c r="R1482" i="1"/>
  <c r="R1483" i="1"/>
  <c r="R1484" i="1"/>
  <c r="R1485" i="1"/>
  <c r="R1486" i="1"/>
  <c r="R1487" i="1"/>
  <c r="R1488" i="1"/>
  <c r="R1489" i="1"/>
  <c r="R1490" i="1"/>
  <c r="R1491" i="1"/>
  <c r="R1492" i="1"/>
  <c r="R1493" i="1"/>
  <c r="R1494" i="1"/>
  <c r="R1495" i="1"/>
  <c r="R1496" i="1"/>
  <c r="R1497" i="1"/>
  <c r="R1498" i="1"/>
  <c r="R1499" i="1"/>
  <c r="R1500" i="1"/>
  <c r="R1501" i="1"/>
  <c r="R1502" i="1"/>
  <c r="R1503" i="1"/>
  <c r="R1504" i="1"/>
  <c r="R1505" i="1"/>
  <c r="R1506" i="1"/>
  <c r="R1507" i="1"/>
  <c r="R1508" i="1"/>
  <c r="R1509" i="1"/>
  <c r="R1510" i="1"/>
  <c r="R1511" i="1"/>
  <c r="R1512" i="1"/>
  <c r="R1513" i="1"/>
  <c r="R1514" i="1"/>
  <c r="R1515" i="1"/>
  <c r="R1516" i="1"/>
  <c r="R1517" i="1"/>
  <c r="R1518" i="1"/>
  <c r="R1519" i="1"/>
  <c r="R1520" i="1"/>
  <c r="R1521" i="1"/>
  <c r="R1522" i="1"/>
  <c r="R1523" i="1"/>
  <c r="R1524" i="1"/>
  <c r="R1525" i="1"/>
  <c r="R1526" i="1"/>
  <c r="R1527" i="1"/>
  <c r="R1528" i="1"/>
  <c r="R1529" i="1"/>
  <c r="R1530" i="1"/>
  <c r="R1531" i="1"/>
  <c r="R1532" i="1"/>
  <c r="R1533" i="1"/>
  <c r="R1534" i="1"/>
  <c r="R1535" i="1"/>
  <c r="R1536" i="1"/>
  <c r="R1537" i="1"/>
  <c r="R1538" i="1"/>
  <c r="R1539" i="1"/>
  <c r="R1540" i="1"/>
  <c r="R1541" i="1"/>
  <c r="R1542" i="1"/>
  <c r="R1543" i="1"/>
  <c r="R1544" i="1"/>
  <c r="R1545" i="1"/>
  <c r="R1546" i="1"/>
  <c r="R1547" i="1"/>
  <c r="R1548" i="1"/>
  <c r="R1549" i="1"/>
  <c r="R1550" i="1"/>
  <c r="R1551" i="1"/>
  <c r="R1552" i="1"/>
  <c r="R1553" i="1"/>
  <c r="R1554" i="1"/>
  <c r="R1555" i="1"/>
  <c r="R1556" i="1"/>
  <c r="R1557" i="1"/>
  <c r="R1558" i="1"/>
  <c r="R1559" i="1"/>
  <c r="R1560" i="1"/>
  <c r="R1561" i="1"/>
  <c r="R1562" i="1"/>
  <c r="R1563" i="1"/>
  <c r="R1564" i="1"/>
  <c r="R1565" i="1"/>
  <c r="R1566" i="1"/>
  <c r="R1567" i="1"/>
  <c r="R1568" i="1"/>
  <c r="R1569" i="1"/>
  <c r="R1570" i="1"/>
  <c r="R1571" i="1"/>
  <c r="R1572" i="1"/>
  <c r="R1573" i="1"/>
  <c r="R1574" i="1"/>
  <c r="R1575" i="1"/>
  <c r="R1576" i="1"/>
  <c r="R1577" i="1"/>
  <c r="R1578" i="1"/>
  <c r="R1579" i="1"/>
  <c r="R1580" i="1"/>
  <c r="R1581" i="1"/>
  <c r="R1582" i="1"/>
  <c r="R1583" i="1"/>
  <c r="R1584" i="1"/>
  <c r="R1585" i="1"/>
  <c r="R1586" i="1"/>
  <c r="R1587" i="1"/>
  <c r="R1588" i="1"/>
  <c r="R1589" i="1"/>
  <c r="R1590" i="1"/>
  <c r="R1591" i="1"/>
  <c r="R1592" i="1"/>
  <c r="R1593" i="1"/>
  <c r="R1594" i="1"/>
  <c r="R1595" i="1"/>
  <c r="R1596" i="1"/>
  <c r="R1597" i="1"/>
  <c r="R1598" i="1"/>
  <c r="R1599" i="1"/>
  <c r="R1600" i="1"/>
  <c r="R1601" i="1"/>
  <c r="R1602" i="1"/>
  <c r="R1603" i="1"/>
  <c r="R1604" i="1"/>
  <c r="R1605" i="1"/>
  <c r="R1606" i="1"/>
  <c r="R1607" i="1"/>
  <c r="R1608" i="1"/>
  <c r="R1609" i="1"/>
  <c r="R1610" i="1"/>
  <c r="R1611" i="1"/>
  <c r="R1612" i="1"/>
  <c r="R1613" i="1"/>
  <c r="R1614" i="1"/>
  <c r="R1615" i="1"/>
  <c r="R1616" i="1"/>
  <c r="R1617" i="1"/>
  <c r="R1618" i="1"/>
  <c r="R1619" i="1"/>
  <c r="R1620" i="1"/>
  <c r="R1621" i="1"/>
  <c r="R1622" i="1"/>
  <c r="R1623" i="1"/>
  <c r="R1624" i="1"/>
  <c r="R1625" i="1"/>
  <c r="R1626" i="1"/>
  <c r="R1627" i="1"/>
  <c r="R1628" i="1"/>
  <c r="R1629" i="1"/>
  <c r="R1630" i="1"/>
  <c r="R1631" i="1"/>
  <c r="R1632" i="1"/>
  <c r="R1633" i="1"/>
  <c r="R1634" i="1"/>
  <c r="R1635" i="1"/>
  <c r="R1636" i="1"/>
  <c r="R1637" i="1"/>
  <c r="R1638" i="1"/>
  <c r="R1639" i="1"/>
  <c r="R1640" i="1"/>
  <c r="R1641" i="1"/>
  <c r="R1642" i="1"/>
  <c r="R1643" i="1"/>
  <c r="R1644" i="1"/>
  <c r="R1645" i="1"/>
  <c r="R1646" i="1"/>
  <c r="R1647" i="1"/>
  <c r="R1648" i="1"/>
  <c r="R1649" i="1"/>
  <c r="R1650" i="1"/>
  <c r="R1651" i="1"/>
  <c r="R1652" i="1"/>
  <c r="R1653" i="1"/>
  <c r="R1654" i="1"/>
  <c r="R1655" i="1"/>
  <c r="R1656" i="1"/>
  <c r="R1657" i="1"/>
  <c r="R1658" i="1"/>
  <c r="R1659" i="1"/>
  <c r="R1660" i="1"/>
  <c r="R1661" i="1"/>
  <c r="R1662" i="1"/>
  <c r="R1663" i="1"/>
  <c r="R1664" i="1"/>
  <c r="R1665" i="1"/>
  <c r="R1666" i="1"/>
  <c r="R1667" i="1"/>
  <c r="R1668" i="1"/>
  <c r="R1669" i="1"/>
  <c r="R1670" i="1"/>
  <c r="R1671" i="1"/>
  <c r="R1672" i="1"/>
  <c r="R1673" i="1"/>
  <c r="R1674" i="1"/>
  <c r="R1675" i="1"/>
  <c r="R1676" i="1"/>
  <c r="R1677" i="1"/>
  <c r="R1678" i="1"/>
  <c r="R1679" i="1"/>
  <c r="R1680" i="1"/>
  <c r="R1681" i="1"/>
  <c r="R1682" i="1"/>
  <c r="R1683" i="1"/>
  <c r="R1684" i="1"/>
  <c r="R1685" i="1"/>
  <c r="R1686" i="1"/>
  <c r="R1687" i="1"/>
  <c r="R1688" i="1"/>
  <c r="R1689" i="1"/>
  <c r="R1690" i="1"/>
  <c r="R1691" i="1"/>
  <c r="R1692" i="1"/>
  <c r="R1693" i="1"/>
  <c r="R1694" i="1"/>
  <c r="R1695" i="1"/>
  <c r="R1696" i="1"/>
  <c r="R1697" i="1"/>
  <c r="R1698" i="1"/>
  <c r="R1699" i="1"/>
  <c r="R1700" i="1"/>
  <c r="R1701" i="1"/>
  <c r="R1702" i="1"/>
  <c r="R1703" i="1"/>
  <c r="R1704" i="1"/>
  <c r="R1705" i="1"/>
  <c r="R1706" i="1"/>
  <c r="R1707" i="1"/>
  <c r="R1708" i="1"/>
  <c r="R1709" i="1"/>
  <c r="R1710" i="1"/>
  <c r="R1711" i="1"/>
  <c r="R1712" i="1"/>
  <c r="R1713" i="1"/>
  <c r="R1714" i="1"/>
  <c r="R1715" i="1"/>
  <c r="R1716" i="1"/>
  <c r="R1717" i="1"/>
  <c r="R1718" i="1"/>
  <c r="R1719" i="1"/>
  <c r="R1720" i="1"/>
  <c r="R1721" i="1"/>
  <c r="R1722" i="1"/>
  <c r="R1723" i="1"/>
  <c r="R1724" i="1"/>
  <c r="R1725" i="1"/>
  <c r="R1726" i="1"/>
  <c r="R1727" i="1"/>
  <c r="R1728" i="1"/>
  <c r="R1729" i="1"/>
  <c r="R1730" i="1"/>
  <c r="R1731" i="1"/>
  <c r="R1732" i="1"/>
  <c r="R1733" i="1"/>
  <c r="R1734" i="1"/>
  <c r="R1735" i="1"/>
  <c r="R1736" i="1"/>
  <c r="R1737" i="1"/>
  <c r="R1738" i="1"/>
  <c r="R1739" i="1"/>
  <c r="R1740" i="1"/>
  <c r="R1741" i="1"/>
  <c r="R1742" i="1"/>
  <c r="R1743" i="1"/>
  <c r="R1744" i="1"/>
  <c r="R1745" i="1"/>
  <c r="R1746" i="1"/>
  <c r="R1747" i="1"/>
  <c r="R1748" i="1"/>
  <c r="R1749" i="1"/>
  <c r="R1750" i="1"/>
  <c r="R1751" i="1"/>
  <c r="R1752" i="1"/>
  <c r="R1753" i="1"/>
  <c r="R1754" i="1"/>
  <c r="R1755" i="1"/>
  <c r="R1756" i="1"/>
  <c r="R1757" i="1"/>
  <c r="R1758" i="1"/>
  <c r="R1759" i="1"/>
  <c r="R1760" i="1"/>
  <c r="R1761" i="1"/>
  <c r="R1762" i="1"/>
  <c r="R1763" i="1"/>
  <c r="R1764" i="1"/>
  <c r="R1765" i="1"/>
  <c r="R1766" i="1"/>
  <c r="R1767" i="1"/>
  <c r="R1768" i="1"/>
  <c r="R1769" i="1"/>
  <c r="R1770" i="1"/>
  <c r="R1771" i="1"/>
  <c r="R1772" i="1"/>
  <c r="R1773" i="1"/>
  <c r="R1774" i="1"/>
  <c r="R1775" i="1"/>
  <c r="R1776" i="1"/>
  <c r="R1777" i="1"/>
  <c r="R1778" i="1"/>
  <c r="R1779" i="1"/>
  <c r="R1780" i="1"/>
  <c r="R1781" i="1"/>
  <c r="R1782" i="1"/>
  <c r="R1783" i="1"/>
  <c r="R1784" i="1"/>
  <c r="R1785" i="1"/>
  <c r="R1786" i="1"/>
  <c r="R1787" i="1"/>
  <c r="R1788" i="1"/>
  <c r="R1789" i="1"/>
  <c r="R1790" i="1"/>
  <c r="R1791" i="1"/>
  <c r="R1792" i="1"/>
  <c r="R1793" i="1"/>
  <c r="R1794" i="1"/>
  <c r="R1795" i="1"/>
  <c r="R1796" i="1"/>
  <c r="R1797" i="1"/>
  <c r="R1798" i="1"/>
  <c r="R1799" i="1"/>
  <c r="R1800" i="1"/>
  <c r="R1801" i="1"/>
  <c r="R1802" i="1"/>
  <c r="R1803" i="1"/>
  <c r="R1804" i="1"/>
  <c r="R1805" i="1"/>
  <c r="R1806" i="1"/>
  <c r="R1807" i="1"/>
  <c r="R1808" i="1"/>
  <c r="R1809" i="1"/>
  <c r="R1810" i="1"/>
  <c r="R1811" i="1"/>
  <c r="R1812" i="1"/>
  <c r="R1813" i="1"/>
  <c r="R1814" i="1"/>
  <c r="R1815" i="1"/>
  <c r="R1816" i="1"/>
  <c r="R1817" i="1"/>
  <c r="R1818" i="1"/>
  <c r="R1819" i="1"/>
  <c r="R1820" i="1"/>
  <c r="R1821" i="1"/>
  <c r="R1822" i="1"/>
  <c r="R1823" i="1"/>
  <c r="R1824" i="1"/>
  <c r="R1825" i="1"/>
  <c r="R1826" i="1"/>
  <c r="R1827" i="1"/>
  <c r="R1828" i="1"/>
  <c r="R1829" i="1"/>
  <c r="R1830" i="1"/>
  <c r="R1831" i="1"/>
  <c r="R1832" i="1"/>
  <c r="R1833" i="1"/>
  <c r="R1834" i="1"/>
  <c r="R1835" i="1"/>
  <c r="R1836" i="1"/>
  <c r="R1837" i="1"/>
  <c r="R1838" i="1"/>
  <c r="R1839" i="1"/>
  <c r="R1840" i="1"/>
  <c r="R1841" i="1"/>
  <c r="R1842" i="1"/>
  <c r="R1843" i="1"/>
  <c r="R1844" i="1"/>
  <c r="R1845" i="1"/>
  <c r="R1846" i="1"/>
  <c r="R1847" i="1"/>
  <c r="R1848" i="1"/>
  <c r="R1849" i="1"/>
  <c r="R1850" i="1"/>
  <c r="R1851" i="1"/>
  <c r="R1852" i="1"/>
  <c r="R1853" i="1"/>
  <c r="R1854" i="1"/>
  <c r="R1855" i="1"/>
  <c r="R1856" i="1"/>
  <c r="R1857" i="1"/>
  <c r="R1858" i="1"/>
  <c r="R1859" i="1"/>
  <c r="R1860" i="1"/>
  <c r="R1861" i="1"/>
  <c r="R1862" i="1"/>
  <c r="R1863" i="1"/>
  <c r="R1864" i="1"/>
  <c r="R1865" i="1"/>
  <c r="R1866" i="1"/>
  <c r="R1867" i="1"/>
  <c r="R1868" i="1"/>
  <c r="R1869" i="1"/>
  <c r="R1870" i="1"/>
  <c r="R1871" i="1"/>
  <c r="R1872" i="1"/>
  <c r="R1873" i="1"/>
  <c r="R1874" i="1"/>
  <c r="R1875" i="1"/>
  <c r="R1876" i="1"/>
  <c r="R1877" i="1"/>
  <c r="R1878" i="1"/>
  <c r="R1879" i="1"/>
  <c r="R1880" i="1"/>
  <c r="R1881" i="1"/>
  <c r="R1882" i="1"/>
  <c r="R1883" i="1"/>
  <c r="R1884" i="1"/>
  <c r="R1885" i="1"/>
  <c r="R1886" i="1"/>
  <c r="R1887" i="1"/>
  <c r="R1888" i="1"/>
  <c r="R1889" i="1"/>
  <c r="R1890" i="1"/>
  <c r="R1891" i="1"/>
  <c r="R1892" i="1"/>
  <c r="R1893" i="1"/>
  <c r="R1894" i="1"/>
  <c r="R1895" i="1"/>
  <c r="R1896" i="1"/>
  <c r="R1897" i="1"/>
  <c r="R1898" i="1"/>
  <c r="R1899" i="1"/>
  <c r="R1900" i="1"/>
  <c r="R1901" i="1"/>
  <c r="R1902" i="1"/>
  <c r="R1903" i="1"/>
  <c r="R1904" i="1"/>
  <c r="R1905" i="1"/>
  <c r="R1906" i="1"/>
  <c r="R1907" i="1"/>
  <c r="R1908" i="1"/>
  <c r="R1909" i="1"/>
  <c r="R1910" i="1"/>
  <c r="R1911" i="1"/>
  <c r="R1912" i="1"/>
  <c r="R1913" i="1"/>
  <c r="R1914" i="1"/>
  <c r="R1915" i="1"/>
  <c r="R1916" i="1"/>
  <c r="R1917" i="1"/>
  <c r="R1918" i="1"/>
  <c r="R1919" i="1"/>
  <c r="R1920" i="1"/>
  <c r="R1921" i="1"/>
  <c r="R1922" i="1"/>
  <c r="R1923" i="1"/>
  <c r="R1924" i="1"/>
  <c r="R1925" i="1"/>
  <c r="R1926" i="1"/>
  <c r="R1927" i="1"/>
  <c r="R1928" i="1"/>
  <c r="R1929" i="1"/>
  <c r="R1930" i="1"/>
  <c r="R1931" i="1"/>
  <c r="R1932" i="1"/>
  <c r="R1933" i="1"/>
  <c r="R1934" i="1"/>
  <c r="R1935" i="1"/>
  <c r="R1936" i="1"/>
  <c r="R1937" i="1"/>
  <c r="R1938" i="1"/>
  <c r="R1939" i="1"/>
  <c r="R1940" i="1"/>
  <c r="R1941" i="1"/>
  <c r="R1942" i="1"/>
  <c r="R1943" i="1"/>
  <c r="R1944" i="1"/>
  <c r="R1945" i="1"/>
  <c r="R1946" i="1"/>
  <c r="R1947" i="1"/>
  <c r="R1948" i="1"/>
  <c r="R1949" i="1"/>
  <c r="R1950" i="1"/>
  <c r="R1951" i="1"/>
  <c r="R1952" i="1"/>
  <c r="R1953" i="1"/>
  <c r="R1954" i="1"/>
  <c r="R1955" i="1"/>
  <c r="R1956" i="1"/>
  <c r="R1957" i="1"/>
  <c r="R1958" i="1"/>
  <c r="R1959" i="1"/>
  <c r="R1960" i="1"/>
  <c r="R1961" i="1"/>
  <c r="R1962" i="1"/>
  <c r="R1963" i="1"/>
  <c r="R1964" i="1"/>
  <c r="R1965" i="1"/>
  <c r="R1966" i="1"/>
  <c r="R1967" i="1"/>
  <c r="R1968" i="1"/>
  <c r="R1969" i="1"/>
  <c r="R1970" i="1"/>
  <c r="R1971" i="1"/>
  <c r="R1972" i="1"/>
  <c r="R1973" i="1"/>
  <c r="R1974" i="1"/>
  <c r="R1975" i="1"/>
  <c r="R1976" i="1"/>
  <c r="R1977" i="1"/>
  <c r="R1978" i="1"/>
  <c r="R1979" i="1"/>
  <c r="R1980" i="1"/>
  <c r="R1981" i="1"/>
  <c r="R1982" i="1"/>
  <c r="R1983" i="1"/>
  <c r="R1984" i="1"/>
  <c r="R1985" i="1"/>
  <c r="R1986" i="1"/>
  <c r="R1987" i="1"/>
  <c r="R1988" i="1"/>
  <c r="R1989" i="1"/>
  <c r="R1990" i="1"/>
  <c r="R1991" i="1"/>
  <c r="R1992" i="1"/>
  <c r="R1993" i="1"/>
  <c r="R1994" i="1"/>
  <c r="R1995" i="1"/>
  <c r="R1996" i="1"/>
  <c r="R1997" i="1"/>
  <c r="R1998" i="1"/>
  <c r="R1999" i="1"/>
  <c r="R2000" i="1"/>
  <c r="R2001" i="1"/>
  <c r="R2002" i="1"/>
  <c r="R2003" i="1"/>
  <c r="R2004" i="1"/>
  <c r="R2005" i="1"/>
  <c r="R2006" i="1"/>
  <c r="R2007" i="1"/>
  <c r="R2008" i="1"/>
  <c r="R2009" i="1"/>
  <c r="R2010" i="1"/>
  <c r="R2011" i="1"/>
  <c r="R2012" i="1"/>
  <c r="R2013" i="1"/>
  <c r="R2014" i="1"/>
  <c r="R2015" i="1"/>
  <c r="R2016" i="1"/>
  <c r="R2017" i="1"/>
  <c r="R2018" i="1"/>
  <c r="R2019" i="1"/>
  <c r="R2020" i="1"/>
  <c r="R2021" i="1"/>
  <c r="R2022" i="1"/>
  <c r="R2023" i="1"/>
  <c r="R2024" i="1"/>
  <c r="R2025" i="1"/>
  <c r="R2026" i="1"/>
  <c r="R2027" i="1"/>
  <c r="R2028" i="1"/>
  <c r="R2029" i="1"/>
  <c r="R2030" i="1"/>
  <c r="R2031" i="1"/>
  <c r="R2032" i="1"/>
  <c r="R2033" i="1"/>
  <c r="R2034" i="1"/>
  <c r="R2035" i="1"/>
  <c r="R2036" i="1"/>
  <c r="R2037" i="1"/>
  <c r="R2038" i="1"/>
  <c r="R2039" i="1"/>
  <c r="R2040" i="1"/>
  <c r="R2041" i="1"/>
  <c r="R2042" i="1"/>
  <c r="R2043" i="1"/>
  <c r="R2044" i="1"/>
  <c r="R2045" i="1"/>
  <c r="R2046" i="1"/>
  <c r="R2047" i="1"/>
  <c r="R2048" i="1"/>
  <c r="R2049" i="1"/>
  <c r="R2050" i="1"/>
  <c r="R2051" i="1"/>
  <c r="R2052" i="1"/>
  <c r="R2053" i="1"/>
  <c r="R2054" i="1"/>
  <c r="R2055" i="1"/>
  <c r="R2056" i="1"/>
  <c r="R2057" i="1"/>
  <c r="R2058" i="1"/>
  <c r="R2059" i="1"/>
  <c r="R2060" i="1"/>
  <c r="R2061" i="1"/>
  <c r="R2062" i="1"/>
  <c r="R2063" i="1"/>
  <c r="R2064" i="1"/>
  <c r="R2065" i="1"/>
  <c r="R2066" i="1"/>
  <c r="R2067" i="1"/>
  <c r="R2068" i="1"/>
  <c r="R2069" i="1"/>
  <c r="R2070" i="1"/>
  <c r="R2071" i="1"/>
  <c r="R2072" i="1"/>
  <c r="R2073" i="1"/>
  <c r="R2074" i="1"/>
  <c r="R2075" i="1"/>
  <c r="R2076" i="1"/>
  <c r="R2077" i="1"/>
  <c r="R2078" i="1"/>
  <c r="R2079" i="1"/>
  <c r="R2080" i="1"/>
  <c r="R2081" i="1"/>
  <c r="R2082" i="1"/>
  <c r="R2083" i="1"/>
  <c r="R2084" i="1"/>
  <c r="R2085" i="1"/>
  <c r="R2086" i="1"/>
  <c r="R2087" i="1"/>
  <c r="R2088" i="1"/>
  <c r="R2089" i="1"/>
  <c r="R2090" i="1"/>
  <c r="R2091" i="1"/>
  <c r="R2092" i="1"/>
  <c r="R2093" i="1"/>
  <c r="R2094" i="1"/>
  <c r="R2095" i="1"/>
  <c r="R2096" i="1"/>
  <c r="R2097" i="1"/>
  <c r="R2098" i="1"/>
  <c r="R2099" i="1"/>
  <c r="R2100" i="1"/>
  <c r="R2101" i="1"/>
  <c r="R2102" i="1"/>
  <c r="R2103" i="1"/>
  <c r="R2104" i="1"/>
  <c r="R2105" i="1"/>
  <c r="R2106" i="1"/>
  <c r="R2107" i="1"/>
  <c r="R2108" i="1"/>
  <c r="R2109" i="1"/>
  <c r="R2110" i="1"/>
  <c r="R2111" i="1"/>
  <c r="R2112" i="1"/>
  <c r="R2113" i="1"/>
  <c r="R2114" i="1"/>
  <c r="R2115" i="1"/>
  <c r="R2116" i="1"/>
  <c r="R2117" i="1"/>
  <c r="R2118" i="1"/>
  <c r="R2119" i="1"/>
  <c r="R2120" i="1"/>
  <c r="R2121" i="1"/>
  <c r="R2122" i="1"/>
  <c r="R2123" i="1"/>
  <c r="R2124" i="1"/>
  <c r="R2125" i="1"/>
  <c r="R2126" i="1"/>
  <c r="R2127" i="1"/>
  <c r="R2128" i="1"/>
  <c r="R2129" i="1"/>
  <c r="R2130" i="1"/>
  <c r="R2131" i="1"/>
  <c r="R2132" i="1"/>
  <c r="R2133" i="1"/>
  <c r="R2134" i="1"/>
  <c r="R2135" i="1"/>
  <c r="R2136" i="1"/>
  <c r="R2137" i="1"/>
  <c r="R2138" i="1"/>
  <c r="R2139" i="1"/>
  <c r="R2140" i="1"/>
  <c r="R2141" i="1"/>
  <c r="R2142" i="1"/>
  <c r="R2143" i="1"/>
  <c r="R2144" i="1"/>
  <c r="R2145" i="1"/>
  <c r="R2146" i="1"/>
  <c r="R2147" i="1"/>
  <c r="R2148" i="1"/>
  <c r="R2149" i="1"/>
  <c r="R2150" i="1"/>
  <c r="R2151" i="1"/>
  <c r="R2152" i="1"/>
  <c r="R2153" i="1"/>
  <c r="R2154" i="1"/>
  <c r="R2155" i="1"/>
  <c r="R2156" i="1"/>
  <c r="R2157" i="1"/>
  <c r="R2158" i="1"/>
  <c r="R2159" i="1"/>
  <c r="R2160" i="1"/>
  <c r="R2161" i="1"/>
  <c r="R2162" i="1"/>
  <c r="R2163" i="1"/>
  <c r="R2164" i="1"/>
  <c r="R2165" i="1"/>
  <c r="R2166" i="1"/>
  <c r="R2167" i="1"/>
  <c r="R2168" i="1"/>
  <c r="R2169" i="1"/>
  <c r="R2170" i="1"/>
  <c r="R2171" i="1"/>
  <c r="R2172" i="1"/>
  <c r="R2173" i="1"/>
  <c r="R2174" i="1"/>
  <c r="R2175" i="1"/>
  <c r="R2176" i="1"/>
  <c r="R2177" i="1"/>
  <c r="R2178" i="1"/>
  <c r="R2179" i="1"/>
  <c r="R2180" i="1"/>
  <c r="R2181" i="1"/>
  <c r="R2182" i="1"/>
  <c r="R2183" i="1"/>
  <c r="R2184" i="1"/>
  <c r="R2185" i="1"/>
  <c r="R2186" i="1"/>
  <c r="R2187" i="1"/>
  <c r="R2188" i="1"/>
  <c r="R2189" i="1"/>
  <c r="R2190" i="1"/>
  <c r="R2191" i="1"/>
  <c r="R2192" i="1"/>
  <c r="R2193" i="1"/>
  <c r="R2194" i="1"/>
  <c r="R2195" i="1"/>
  <c r="R2196" i="1"/>
  <c r="R2197" i="1"/>
  <c r="R2198" i="1"/>
  <c r="R2199" i="1"/>
  <c r="R2200" i="1"/>
  <c r="R2201" i="1"/>
  <c r="R2202" i="1"/>
  <c r="R2203" i="1"/>
  <c r="R2204" i="1"/>
  <c r="R2205" i="1"/>
  <c r="R2206" i="1"/>
  <c r="R2207" i="1"/>
  <c r="R2208" i="1"/>
  <c r="R2209" i="1"/>
  <c r="R2210" i="1"/>
  <c r="R2211" i="1"/>
  <c r="R2212" i="1"/>
  <c r="R2213" i="1"/>
  <c r="R2214" i="1"/>
  <c r="R2215" i="1"/>
  <c r="R2216" i="1"/>
  <c r="R2217" i="1"/>
  <c r="R2218" i="1"/>
  <c r="R2219" i="1"/>
  <c r="R2220" i="1"/>
  <c r="R2221" i="1"/>
  <c r="R2222" i="1"/>
  <c r="R2223" i="1"/>
  <c r="R2224" i="1"/>
  <c r="R2225" i="1"/>
  <c r="R2226" i="1"/>
  <c r="R2227" i="1"/>
  <c r="R2228" i="1"/>
  <c r="R2229" i="1"/>
  <c r="R2230" i="1"/>
  <c r="R2231" i="1"/>
  <c r="R2232" i="1"/>
  <c r="R2233" i="1"/>
  <c r="R2234" i="1"/>
  <c r="R2235" i="1"/>
  <c r="R2236" i="1"/>
  <c r="R2237" i="1"/>
  <c r="R2238" i="1"/>
  <c r="R2239" i="1"/>
  <c r="R2240" i="1"/>
  <c r="R2241" i="1"/>
  <c r="R2242" i="1"/>
  <c r="R2243" i="1"/>
  <c r="R2244" i="1"/>
  <c r="R2245" i="1"/>
  <c r="R2246" i="1"/>
  <c r="R2247" i="1"/>
  <c r="R2248" i="1"/>
  <c r="R2249" i="1"/>
  <c r="R2250" i="1"/>
  <c r="R2251" i="1"/>
  <c r="R2252" i="1"/>
  <c r="R2253" i="1"/>
  <c r="R2254" i="1"/>
  <c r="R2255" i="1"/>
  <c r="R2256" i="1"/>
  <c r="R2257" i="1"/>
  <c r="R2258" i="1"/>
  <c r="R2259" i="1"/>
  <c r="R2260" i="1"/>
  <c r="R2261" i="1"/>
  <c r="R2262" i="1"/>
  <c r="R2263" i="1"/>
  <c r="R2264" i="1"/>
  <c r="R2265" i="1"/>
  <c r="R2266" i="1"/>
  <c r="R2267" i="1"/>
  <c r="R2268" i="1"/>
  <c r="R2269" i="1"/>
  <c r="R2270" i="1"/>
  <c r="R2271" i="1"/>
  <c r="R2272" i="1"/>
  <c r="R2273" i="1"/>
  <c r="R2274" i="1"/>
  <c r="R2275" i="1"/>
  <c r="R2276" i="1"/>
  <c r="R2277" i="1"/>
  <c r="R2278" i="1"/>
  <c r="R2279" i="1"/>
  <c r="R2280" i="1"/>
  <c r="R2281" i="1"/>
  <c r="R2282" i="1"/>
  <c r="R2283" i="1"/>
  <c r="R2284" i="1"/>
  <c r="R2285" i="1"/>
  <c r="R2286" i="1"/>
  <c r="R2287" i="1"/>
  <c r="R2288" i="1"/>
  <c r="R2289" i="1"/>
  <c r="R2290" i="1"/>
  <c r="R2291" i="1"/>
  <c r="R2292" i="1"/>
  <c r="R2293" i="1"/>
  <c r="R2294" i="1"/>
  <c r="R2295" i="1"/>
  <c r="R2296" i="1"/>
  <c r="R2297" i="1"/>
  <c r="R2298" i="1"/>
  <c r="R2299" i="1"/>
  <c r="R2300" i="1"/>
  <c r="R2301" i="1"/>
  <c r="R2302" i="1"/>
  <c r="R2303" i="1"/>
  <c r="R2304" i="1"/>
  <c r="R2305" i="1"/>
  <c r="R2306" i="1"/>
  <c r="R2307" i="1"/>
  <c r="R2308" i="1"/>
  <c r="R2309" i="1"/>
  <c r="R2310" i="1"/>
  <c r="R2311" i="1"/>
  <c r="R2312" i="1"/>
  <c r="R2313" i="1"/>
  <c r="R2314" i="1"/>
  <c r="R2315" i="1"/>
  <c r="R2316" i="1"/>
  <c r="R2317" i="1"/>
  <c r="R2318" i="1"/>
  <c r="R2319" i="1"/>
  <c r="R2320" i="1"/>
  <c r="R2321" i="1"/>
  <c r="R2322" i="1"/>
  <c r="R2323" i="1"/>
  <c r="R2324" i="1"/>
  <c r="R2325" i="1"/>
  <c r="R2326" i="1"/>
  <c r="R2327" i="1"/>
  <c r="R2328" i="1"/>
  <c r="R2329" i="1"/>
  <c r="R2330" i="1"/>
  <c r="R2331" i="1"/>
  <c r="R2332" i="1"/>
  <c r="R2333" i="1"/>
  <c r="R2334" i="1"/>
  <c r="R2335" i="1"/>
  <c r="R2336" i="1"/>
  <c r="R2337" i="1"/>
  <c r="R2338" i="1"/>
  <c r="R2339" i="1"/>
  <c r="R2340" i="1"/>
  <c r="R2341" i="1"/>
  <c r="R2342" i="1"/>
  <c r="R2343" i="1"/>
  <c r="R2344" i="1"/>
  <c r="R2345" i="1"/>
  <c r="R2346" i="1"/>
  <c r="R2347" i="1"/>
  <c r="R2348" i="1"/>
  <c r="R2349" i="1"/>
  <c r="R2350" i="1"/>
  <c r="R2351" i="1"/>
  <c r="R2352" i="1"/>
  <c r="R2353" i="1"/>
  <c r="R2354" i="1"/>
  <c r="R2355" i="1"/>
  <c r="R2356" i="1"/>
  <c r="R2357" i="1"/>
  <c r="R2358" i="1"/>
  <c r="R2359" i="1"/>
  <c r="R2360" i="1"/>
  <c r="R2361" i="1"/>
  <c r="R2362" i="1"/>
  <c r="R2363" i="1"/>
  <c r="R2364" i="1"/>
  <c r="R2365" i="1"/>
  <c r="R2366" i="1"/>
  <c r="R2367" i="1"/>
  <c r="R2368" i="1"/>
  <c r="R2369" i="1"/>
  <c r="R2370" i="1"/>
  <c r="R2371" i="1"/>
  <c r="R2372" i="1"/>
  <c r="R2373" i="1"/>
  <c r="R2374" i="1"/>
  <c r="R2375" i="1"/>
  <c r="R2376" i="1"/>
  <c r="R2377" i="1"/>
  <c r="R2378" i="1"/>
  <c r="R2379" i="1"/>
  <c r="R2380" i="1"/>
  <c r="R2381" i="1"/>
  <c r="R2382" i="1"/>
  <c r="R2383" i="1"/>
  <c r="R2384" i="1"/>
  <c r="R2385" i="1"/>
  <c r="R2386" i="1"/>
  <c r="R2387" i="1"/>
  <c r="R2388" i="1"/>
  <c r="R2389" i="1"/>
  <c r="R2390" i="1"/>
  <c r="R2391" i="1"/>
  <c r="R2392" i="1"/>
  <c r="R2393" i="1"/>
  <c r="R2394" i="1"/>
  <c r="R2395" i="1"/>
  <c r="R2396" i="1"/>
  <c r="R2397" i="1"/>
  <c r="R2398" i="1"/>
  <c r="R2399" i="1"/>
  <c r="R2400" i="1"/>
  <c r="R2401" i="1"/>
  <c r="R2402" i="1"/>
  <c r="R2403" i="1"/>
  <c r="R2404" i="1"/>
  <c r="R2405" i="1"/>
  <c r="R2406" i="1"/>
  <c r="R2407" i="1"/>
  <c r="R2408" i="1"/>
  <c r="R2409" i="1"/>
  <c r="R2410" i="1"/>
  <c r="R2411" i="1"/>
  <c r="R2412" i="1"/>
  <c r="R2413" i="1"/>
  <c r="R2414" i="1"/>
  <c r="R2415" i="1"/>
  <c r="R2416" i="1"/>
  <c r="R2417" i="1"/>
  <c r="R2418" i="1"/>
  <c r="R2419" i="1"/>
  <c r="R2420" i="1"/>
  <c r="R2421" i="1"/>
  <c r="R2422" i="1"/>
  <c r="R2423" i="1"/>
  <c r="R2424" i="1"/>
  <c r="R2425" i="1"/>
  <c r="R2426" i="1"/>
  <c r="R2427" i="1"/>
  <c r="R2428" i="1"/>
  <c r="R2429" i="1"/>
  <c r="R2430" i="1"/>
  <c r="R2431" i="1"/>
  <c r="R2432" i="1"/>
  <c r="R2433" i="1"/>
  <c r="R2434" i="1"/>
  <c r="R2435" i="1"/>
  <c r="R2436" i="1"/>
  <c r="R2437" i="1"/>
  <c r="R2438" i="1"/>
  <c r="R2439" i="1"/>
  <c r="R2440" i="1"/>
  <c r="R2441" i="1"/>
  <c r="R2442" i="1"/>
  <c r="R2443" i="1"/>
  <c r="R2444" i="1"/>
  <c r="R2445" i="1"/>
  <c r="R2446" i="1"/>
  <c r="R2447" i="1"/>
  <c r="R2448" i="1"/>
  <c r="R2449" i="1"/>
  <c r="R2450" i="1"/>
  <c r="R2451" i="1"/>
  <c r="R2452" i="1"/>
  <c r="R2453" i="1"/>
  <c r="R2454" i="1"/>
  <c r="R2455" i="1"/>
  <c r="R2456" i="1"/>
  <c r="R2457" i="1"/>
  <c r="R2458" i="1"/>
  <c r="R2459" i="1"/>
  <c r="R2460" i="1"/>
  <c r="R2461" i="1"/>
  <c r="R2462" i="1"/>
  <c r="R2463" i="1"/>
  <c r="R2464" i="1"/>
  <c r="R2465" i="1"/>
  <c r="R2466" i="1"/>
  <c r="R2467" i="1"/>
  <c r="R2468" i="1"/>
  <c r="R2469" i="1"/>
  <c r="R2470" i="1"/>
  <c r="R2471" i="1"/>
  <c r="R2472" i="1"/>
  <c r="R2473" i="1"/>
  <c r="R2474" i="1"/>
  <c r="R2475" i="1"/>
  <c r="R2476" i="1"/>
  <c r="R2477" i="1"/>
  <c r="R2478" i="1"/>
  <c r="R2479" i="1"/>
  <c r="R2480" i="1"/>
  <c r="R2481" i="1"/>
  <c r="R2482" i="1"/>
  <c r="R2483" i="1"/>
  <c r="R2484" i="1"/>
  <c r="R2485" i="1"/>
  <c r="R2486" i="1"/>
  <c r="R2487" i="1"/>
  <c r="R2488" i="1"/>
  <c r="R2489" i="1"/>
  <c r="R2490" i="1"/>
  <c r="R2491" i="1"/>
  <c r="R2492" i="1"/>
  <c r="R2493" i="1"/>
  <c r="R2494" i="1"/>
  <c r="R2495" i="1"/>
  <c r="R2496" i="1"/>
  <c r="R2497" i="1"/>
  <c r="R2498" i="1"/>
  <c r="R2499" i="1"/>
  <c r="R2500" i="1"/>
  <c r="R2501" i="1"/>
  <c r="R2502" i="1"/>
  <c r="R2503" i="1"/>
  <c r="R2504" i="1"/>
  <c r="R2505" i="1"/>
  <c r="R2506" i="1"/>
  <c r="R2507" i="1"/>
  <c r="R2508" i="1"/>
  <c r="R2509" i="1"/>
  <c r="R2510" i="1"/>
  <c r="R2511" i="1"/>
  <c r="R2512" i="1"/>
  <c r="R2513" i="1"/>
  <c r="R2514" i="1"/>
  <c r="R2515" i="1"/>
  <c r="R2516" i="1"/>
  <c r="R2517" i="1"/>
  <c r="R2518" i="1"/>
  <c r="R2519" i="1"/>
  <c r="R2520" i="1"/>
  <c r="R2521" i="1"/>
  <c r="R2522" i="1"/>
  <c r="R2523" i="1"/>
  <c r="R2524" i="1"/>
  <c r="R2525" i="1"/>
  <c r="R2526" i="1"/>
  <c r="R2527" i="1"/>
  <c r="R2528" i="1"/>
  <c r="R2529" i="1"/>
  <c r="R2530" i="1"/>
  <c r="R2531" i="1"/>
  <c r="R2532" i="1"/>
  <c r="R2533" i="1"/>
  <c r="R2534" i="1"/>
  <c r="R2535" i="1"/>
  <c r="R2536" i="1"/>
  <c r="R2537" i="1"/>
  <c r="R2538" i="1"/>
  <c r="R2539" i="1"/>
  <c r="R2540" i="1"/>
  <c r="R2541" i="1"/>
  <c r="R2542" i="1"/>
  <c r="R2543" i="1"/>
  <c r="R2544" i="1"/>
  <c r="R2545" i="1"/>
  <c r="R2546" i="1"/>
  <c r="R2547" i="1"/>
  <c r="R2548" i="1"/>
  <c r="R2549" i="1"/>
  <c r="R2550" i="1"/>
  <c r="R2551" i="1"/>
  <c r="R2552" i="1"/>
  <c r="R2553" i="1"/>
  <c r="R2554" i="1"/>
  <c r="R2555" i="1"/>
  <c r="R2556" i="1"/>
  <c r="R2557" i="1"/>
  <c r="R2558" i="1"/>
  <c r="R2559" i="1"/>
  <c r="R2560" i="1"/>
  <c r="R2561" i="1"/>
  <c r="R2562" i="1"/>
  <c r="R2563" i="1"/>
  <c r="R2564" i="1"/>
  <c r="R2565" i="1"/>
  <c r="R2566" i="1"/>
  <c r="R2567" i="1"/>
  <c r="R2568" i="1"/>
  <c r="R2569" i="1"/>
  <c r="R2570" i="1"/>
  <c r="R2571" i="1"/>
  <c r="R2572" i="1"/>
  <c r="R2573" i="1"/>
  <c r="R2574" i="1"/>
  <c r="R2575" i="1"/>
  <c r="R2576" i="1"/>
  <c r="R2577" i="1"/>
  <c r="R2578" i="1"/>
  <c r="R2579" i="1"/>
  <c r="R2580" i="1"/>
  <c r="R2581" i="1"/>
  <c r="R2582" i="1"/>
  <c r="R2583" i="1"/>
  <c r="R2584" i="1"/>
  <c r="R2585" i="1"/>
  <c r="R2586" i="1"/>
  <c r="R2587" i="1"/>
  <c r="R2588" i="1"/>
  <c r="R2589" i="1"/>
  <c r="R2590" i="1"/>
  <c r="R2591" i="1"/>
  <c r="R2592" i="1"/>
  <c r="R2593" i="1"/>
  <c r="R2594" i="1"/>
  <c r="R2595" i="1"/>
  <c r="R2596" i="1"/>
  <c r="R2597" i="1"/>
  <c r="R2598" i="1"/>
  <c r="R2599" i="1"/>
  <c r="R2600" i="1"/>
  <c r="R2601" i="1"/>
  <c r="R2602" i="1"/>
  <c r="R2603" i="1"/>
  <c r="R2604" i="1"/>
  <c r="R2605" i="1"/>
  <c r="R2606" i="1"/>
  <c r="R2607" i="1"/>
  <c r="R2608" i="1"/>
  <c r="R2609" i="1"/>
  <c r="R2610" i="1"/>
  <c r="R2611" i="1"/>
  <c r="R2612" i="1"/>
  <c r="R2613" i="1"/>
  <c r="R2614" i="1"/>
  <c r="R2615" i="1"/>
  <c r="R2616" i="1"/>
  <c r="R2617" i="1"/>
  <c r="R2618" i="1"/>
  <c r="R2619" i="1"/>
  <c r="R2620" i="1"/>
  <c r="R2621" i="1"/>
  <c r="R2622" i="1"/>
  <c r="R2623" i="1"/>
  <c r="R2624" i="1"/>
  <c r="R2625" i="1"/>
  <c r="R2626" i="1"/>
  <c r="R2627" i="1"/>
  <c r="R2628" i="1"/>
  <c r="R2629" i="1"/>
  <c r="R2630" i="1"/>
  <c r="R2631" i="1"/>
  <c r="R2632" i="1"/>
  <c r="R2633" i="1"/>
  <c r="R2634" i="1"/>
  <c r="R2635" i="1"/>
  <c r="R2636" i="1"/>
  <c r="R2637" i="1"/>
  <c r="R2638" i="1"/>
  <c r="R2639" i="1"/>
  <c r="R2640" i="1"/>
  <c r="R2641" i="1"/>
  <c r="R2642" i="1"/>
  <c r="R2643" i="1"/>
  <c r="R2644" i="1"/>
  <c r="R2645" i="1"/>
  <c r="R2646" i="1"/>
  <c r="R2647" i="1"/>
  <c r="R2648" i="1"/>
  <c r="R2649" i="1"/>
  <c r="R2650" i="1"/>
  <c r="R2651" i="1"/>
  <c r="R2652" i="1"/>
  <c r="R2653" i="1"/>
  <c r="R2654" i="1"/>
  <c r="R2655" i="1"/>
  <c r="R2656" i="1"/>
  <c r="R2657" i="1"/>
  <c r="R2658" i="1"/>
  <c r="R2659" i="1"/>
  <c r="R2660" i="1"/>
  <c r="R2661" i="1"/>
  <c r="R2662" i="1"/>
  <c r="R2663" i="1"/>
  <c r="R2664" i="1"/>
  <c r="R2665" i="1"/>
  <c r="R2666" i="1"/>
  <c r="R2667" i="1"/>
  <c r="R2668" i="1"/>
  <c r="R2669" i="1"/>
  <c r="R2670" i="1"/>
  <c r="R2671" i="1"/>
  <c r="R2672" i="1"/>
  <c r="R2673" i="1"/>
  <c r="R2674" i="1"/>
  <c r="R2675" i="1"/>
  <c r="R2676" i="1"/>
  <c r="R2677" i="1"/>
  <c r="R2678" i="1"/>
  <c r="R2679" i="1"/>
  <c r="R2680" i="1"/>
  <c r="R2681" i="1"/>
  <c r="R2682" i="1"/>
  <c r="R2683" i="1"/>
  <c r="R2684" i="1"/>
  <c r="R2685" i="1"/>
  <c r="R2686" i="1"/>
  <c r="R2687" i="1"/>
  <c r="R2688" i="1"/>
  <c r="R2689" i="1"/>
  <c r="R2690" i="1"/>
  <c r="R2691" i="1"/>
  <c r="R2692" i="1"/>
  <c r="R2693" i="1"/>
  <c r="R2694" i="1"/>
  <c r="R2695" i="1"/>
  <c r="R2696" i="1"/>
  <c r="R2697" i="1"/>
  <c r="R2698" i="1"/>
  <c r="R2699" i="1"/>
  <c r="R2700" i="1"/>
  <c r="R2701" i="1"/>
  <c r="R2702" i="1"/>
  <c r="R2703" i="1"/>
  <c r="R2704" i="1"/>
  <c r="R2705" i="1"/>
  <c r="R2706" i="1"/>
  <c r="R2707" i="1"/>
  <c r="R2708" i="1"/>
  <c r="R2709" i="1"/>
  <c r="R2710" i="1"/>
  <c r="R2711" i="1"/>
  <c r="R2712" i="1"/>
  <c r="R2713" i="1"/>
  <c r="R2714" i="1"/>
  <c r="R2715" i="1"/>
  <c r="R2716" i="1"/>
  <c r="R2717" i="1"/>
  <c r="R2718" i="1"/>
  <c r="R2719" i="1"/>
  <c r="R2720" i="1"/>
  <c r="R2721" i="1"/>
  <c r="R2722" i="1"/>
  <c r="R2723" i="1"/>
  <c r="R2724" i="1"/>
  <c r="R2725" i="1"/>
  <c r="R2726" i="1"/>
  <c r="R2727" i="1"/>
  <c r="R2728" i="1"/>
  <c r="R2729" i="1"/>
  <c r="R2730" i="1"/>
  <c r="R2731" i="1"/>
  <c r="R2732" i="1"/>
  <c r="R2733" i="1"/>
  <c r="R2734" i="1"/>
  <c r="R2735" i="1"/>
  <c r="R2736" i="1"/>
  <c r="R2737" i="1"/>
  <c r="R2738" i="1"/>
  <c r="R2739" i="1"/>
  <c r="R2740" i="1"/>
  <c r="R2741" i="1"/>
  <c r="R2742" i="1"/>
  <c r="R2743" i="1"/>
  <c r="R2744" i="1"/>
  <c r="R2745" i="1"/>
  <c r="R2746" i="1"/>
  <c r="R2747" i="1"/>
  <c r="R2748" i="1"/>
  <c r="R2749" i="1"/>
  <c r="R2750" i="1"/>
  <c r="R2751" i="1"/>
  <c r="R2752" i="1"/>
  <c r="R2753" i="1"/>
  <c r="R2754" i="1"/>
  <c r="R2755" i="1"/>
  <c r="R2756" i="1"/>
  <c r="R2757" i="1"/>
  <c r="R2758" i="1"/>
  <c r="R2759" i="1"/>
  <c r="R2760" i="1"/>
  <c r="R2761" i="1"/>
  <c r="R2762" i="1"/>
  <c r="R2763" i="1"/>
  <c r="R2764" i="1"/>
  <c r="R2765" i="1"/>
  <c r="R2766" i="1"/>
  <c r="R2767" i="1"/>
  <c r="R2768" i="1"/>
  <c r="R2769" i="1"/>
  <c r="R2770" i="1"/>
  <c r="R2771" i="1"/>
  <c r="R2772" i="1"/>
  <c r="R2773" i="1"/>
  <c r="R2774" i="1"/>
  <c r="R2775" i="1"/>
  <c r="R2776" i="1"/>
  <c r="R2777" i="1"/>
  <c r="R2778" i="1"/>
  <c r="R2779" i="1"/>
  <c r="R2780" i="1"/>
  <c r="R2781" i="1"/>
  <c r="R2782" i="1"/>
  <c r="R2783" i="1"/>
  <c r="R2784" i="1"/>
  <c r="R2785" i="1"/>
  <c r="R2786" i="1"/>
  <c r="R2787" i="1"/>
  <c r="R2788" i="1"/>
  <c r="R2789" i="1"/>
  <c r="R2790" i="1"/>
  <c r="R2791" i="1"/>
  <c r="R2792" i="1"/>
  <c r="R2793" i="1"/>
  <c r="R2794" i="1"/>
  <c r="R2795" i="1"/>
  <c r="R2796" i="1"/>
  <c r="R2797" i="1"/>
  <c r="R2798" i="1"/>
  <c r="R2799" i="1"/>
  <c r="R2800" i="1"/>
  <c r="R2801" i="1"/>
  <c r="R2802" i="1"/>
  <c r="R2803" i="1"/>
  <c r="R2804" i="1"/>
  <c r="R2805" i="1"/>
  <c r="R2806" i="1"/>
  <c r="R2807" i="1"/>
  <c r="R2808" i="1"/>
  <c r="R2809" i="1"/>
  <c r="R2810" i="1"/>
  <c r="R2811" i="1"/>
  <c r="R2812" i="1"/>
  <c r="R2813" i="1"/>
  <c r="R2814" i="1"/>
  <c r="R2815" i="1"/>
  <c r="R2816" i="1"/>
  <c r="R2817" i="1"/>
  <c r="R2818" i="1"/>
  <c r="R2819" i="1"/>
  <c r="R2820" i="1"/>
  <c r="R2821" i="1"/>
  <c r="R2822" i="1"/>
  <c r="R2823" i="1"/>
  <c r="R2824" i="1"/>
  <c r="R2825" i="1"/>
  <c r="R2826" i="1"/>
  <c r="R2827" i="1"/>
  <c r="R2828" i="1"/>
  <c r="R2829" i="1"/>
  <c r="R2830" i="1"/>
  <c r="R2831" i="1"/>
  <c r="R2832" i="1"/>
  <c r="R2833" i="1"/>
  <c r="R2834" i="1"/>
  <c r="R2835" i="1"/>
  <c r="R2836" i="1"/>
  <c r="R2837" i="1"/>
  <c r="R2838" i="1"/>
  <c r="R2839" i="1"/>
  <c r="R2840" i="1"/>
  <c r="R2841" i="1"/>
  <c r="R2842" i="1"/>
  <c r="R2843" i="1"/>
  <c r="R2844" i="1"/>
  <c r="R2845" i="1"/>
  <c r="R2846" i="1"/>
  <c r="R2847" i="1"/>
  <c r="R2848" i="1"/>
  <c r="R2849" i="1"/>
  <c r="R2850" i="1"/>
  <c r="R2851" i="1"/>
  <c r="R2852" i="1"/>
  <c r="R2853" i="1"/>
  <c r="R2854" i="1"/>
  <c r="R2855" i="1"/>
  <c r="R2856" i="1"/>
  <c r="R2857" i="1"/>
  <c r="R2858" i="1"/>
  <c r="R2859" i="1"/>
  <c r="R2860" i="1"/>
  <c r="R2861" i="1"/>
  <c r="R2862" i="1"/>
  <c r="R2863" i="1"/>
  <c r="R2864" i="1"/>
  <c r="R2865" i="1"/>
  <c r="R2866" i="1"/>
  <c r="R2867" i="1"/>
  <c r="R2868" i="1"/>
  <c r="R2869" i="1"/>
  <c r="R2870" i="1"/>
  <c r="R2871" i="1"/>
  <c r="R2872" i="1"/>
  <c r="R2873" i="1"/>
  <c r="R2874" i="1"/>
  <c r="R2875" i="1"/>
  <c r="R2876" i="1"/>
  <c r="R2877" i="1"/>
  <c r="R2878" i="1"/>
  <c r="R2879" i="1"/>
  <c r="R2880" i="1"/>
  <c r="R2881" i="1"/>
  <c r="R2882" i="1"/>
  <c r="R2883" i="1"/>
  <c r="R2884" i="1"/>
  <c r="R2885" i="1"/>
  <c r="R2886" i="1"/>
  <c r="R2887" i="1"/>
  <c r="R2888" i="1"/>
  <c r="R2889" i="1"/>
  <c r="R2890" i="1"/>
  <c r="R2891" i="1"/>
  <c r="R2892" i="1"/>
  <c r="R2893" i="1"/>
  <c r="R2894" i="1"/>
  <c r="R2895" i="1"/>
  <c r="R2896" i="1"/>
  <c r="R2897" i="1"/>
  <c r="R2898" i="1"/>
  <c r="R2899" i="1"/>
  <c r="R2900" i="1"/>
  <c r="R2901" i="1"/>
  <c r="R2902" i="1"/>
  <c r="R2903" i="1"/>
  <c r="R2904" i="1"/>
  <c r="R2905" i="1"/>
  <c r="R2906" i="1"/>
  <c r="R2907" i="1"/>
  <c r="R2908" i="1"/>
  <c r="R2909" i="1"/>
  <c r="R2910" i="1"/>
  <c r="R2911" i="1"/>
  <c r="R2912" i="1"/>
  <c r="R2913" i="1"/>
  <c r="R2914" i="1"/>
  <c r="R2915" i="1"/>
  <c r="R2916" i="1"/>
  <c r="R2917" i="1"/>
  <c r="R2918" i="1"/>
  <c r="R2919" i="1"/>
  <c r="R2920" i="1"/>
  <c r="R2921" i="1"/>
  <c r="R2922" i="1"/>
  <c r="R2923" i="1"/>
  <c r="R2924" i="1"/>
  <c r="R2925" i="1"/>
  <c r="R2926" i="1"/>
  <c r="R2927" i="1"/>
  <c r="R2928" i="1"/>
  <c r="R2929" i="1"/>
  <c r="R2930" i="1"/>
  <c r="R2931" i="1"/>
  <c r="R2932" i="1"/>
  <c r="R2933" i="1"/>
  <c r="R2934" i="1"/>
  <c r="R2935" i="1"/>
  <c r="R2936" i="1"/>
  <c r="R2937" i="1"/>
  <c r="R2938" i="1"/>
  <c r="R2939" i="1"/>
  <c r="R2940" i="1"/>
  <c r="R2941" i="1"/>
  <c r="R2942" i="1"/>
  <c r="R2943" i="1"/>
  <c r="R2944" i="1"/>
  <c r="R2945" i="1"/>
  <c r="R2946" i="1"/>
  <c r="R2947" i="1"/>
  <c r="R2948" i="1"/>
  <c r="R2949" i="1"/>
  <c r="R2950" i="1"/>
  <c r="R2951" i="1"/>
  <c r="R2952" i="1"/>
  <c r="R2953" i="1"/>
  <c r="R2954" i="1"/>
  <c r="R2955" i="1"/>
  <c r="R2956" i="1"/>
  <c r="R2957" i="1"/>
  <c r="R2958" i="1"/>
  <c r="R2959" i="1"/>
  <c r="R2960" i="1"/>
  <c r="R2961" i="1"/>
  <c r="R2962" i="1"/>
  <c r="R2963" i="1"/>
  <c r="R2964" i="1"/>
  <c r="R2965" i="1"/>
  <c r="R2966" i="1"/>
  <c r="R2967" i="1"/>
  <c r="R2968" i="1"/>
  <c r="R2969" i="1"/>
  <c r="R2970" i="1"/>
  <c r="R2971" i="1"/>
  <c r="R2972" i="1"/>
  <c r="R2973" i="1"/>
  <c r="R2974" i="1"/>
  <c r="R2975" i="1"/>
  <c r="R2976" i="1"/>
  <c r="R2977" i="1"/>
  <c r="R2978" i="1"/>
  <c r="R2979" i="1"/>
  <c r="R2980" i="1"/>
  <c r="R2981" i="1"/>
  <c r="R2982" i="1"/>
  <c r="R2983" i="1"/>
  <c r="R2984" i="1"/>
  <c r="R2985" i="1"/>
  <c r="R2986" i="1"/>
  <c r="R2987" i="1"/>
  <c r="R2988" i="1"/>
  <c r="R2989" i="1"/>
  <c r="R2990" i="1"/>
  <c r="R2991" i="1"/>
  <c r="R2992" i="1"/>
  <c r="R2993" i="1"/>
  <c r="R2994" i="1"/>
  <c r="R2995" i="1"/>
  <c r="R2996" i="1"/>
  <c r="R2997" i="1"/>
  <c r="R2998" i="1"/>
  <c r="R2999" i="1"/>
  <c r="R3000" i="1"/>
  <c r="R3001" i="1"/>
  <c r="R3002" i="1"/>
  <c r="R3003" i="1"/>
  <c r="R3004" i="1"/>
  <c r="R3005" i="1"/>
  <c r="R3006" i="1"/>
  <c r="R3007" i="1"/>
  <c r="R3008" i="1"/>
  <c r="R3009" i="1"/>
  <c r="R3010" i="1"/>
  <c r="R3011" i="1"/>
  <c r="R3012" i="1"/>
  <c r="R3013" i="1"/>
  <c r="R3014" i="1"/>
  <c r="R3015" i="1"/>
  <c r="R3016" i="1"/>
  <c r="R3017" i="1"/>
  <c r="R3018" i="1"/>
  <c r="R3019" i="1"/>
  <c r="R3020" i="1"/>
  <c r="R3021" i="1"/>
  <c r="R3022" i="1"/>
  <c r="R3023" i="1"/>
  <c r="R3024" i="1"/>
  <c r="R3025" i="1"/>
  <c r="R3026" i="1"/>
  <c r="R3027" i="1"/>
  <c r="R3028" i="1"/>
  <c r="R3029" i="1"/>
  <c r="R3030" i="1"/>
  <c r="R3031" i="1"/>
  <c r="R3032" i="1"/>
  <c r="R3033" i="1"/>
  <c r="R3034" i="1"/>
  <c r="R3035" i="1"/>
  <c r="R3036" i="1"/>
  <c r="R3037" i="1"/>
  <c r="R3038" i="1"/>
  <c r="R3039" i="1"/>
  <c r="R3040" i="1"/>
  <c r="R3041" i="1"/>
  <c r="R3042" i="1"/>
  <c r="R3043" i="1"/>
  <c r="R3044" i="1"/>
  <c r="R3045" i="1"/>
  <c r="R3046" i="1"/>
  <c r="R3047" i="1"/>
  <c r="R3048" i="1"/>
  <c r="R3049" i="1"/>
  <c r="R3050" i="1"/>
  <c r="R3051" i="1"/>
  <c r="R3052" i="1"/>
  <c r="R3053" i="1"/>
  <c r="R3054" i="1"/>
  <c r="R3055" i="1"/>
  <c r="R3056" i="1"/>
  <c r="R3057" i="1"/>
  <c r="R3058" i="1"/>
  <c r="R3059" i="1"/>
  <c r="R3060" i="1"/>
  <c r="R3061" i="1"/>
  <c r="R3062" i="1"/>
  <c r="R3063" i="1"/>
  <c r="R3064" i="1"/>
  <c r="R3065" i="1"/>
  <c r="R3066" i="1"/>
  <c r="R3067" i="1"/>
  <c r="R3068" i="1"/>
  <c r="R3069" i="1"/>
  <c r="R3070" i="1"/>
  <c r="R3071" i="1"/>
  <c r="R3072" i="1"/>
  <c r="R3073" i="1"/>
  <c r="R3074" i="1"/>
  <c r="R3075" i="1"/>
  <c r="R3076" i="1"/>
  <c r="R3077" i="1"/>
  <c r="R3078" i="1"/>
  <c r="R3079" i="1"/>
  <c r="R3080" i="1"/>
  <c r="R3081" i="1"/>
  <c r="R3082" i="1"/>
  <c r="R3083" i="1"/>
  <c r="R3084" i="1"/>
  <c r="R3085" i="1"/>
  <c r="R3086" i="1"/>
  <c r="R3087" i="1"/>
  <c r="R3088" i="1"/>
  <c r="R3089" i="1"/>
  <c r="R3090" i="1"/>
  <c r="R3091" i="1"/>
  <c r="R3092" i="1"/>
  <c r="R3093" i="1"/>
  <c r="R3094" i="1"/>
  <c r="R3095" i="1"/>
  <c r="R3096" i="1"/>
  <c r="R3097" i="1"/>
  <c r="R3098" i="1"/>
  <c r="R3099" i="1"/>
  <c r="R3100" i="1"/>
  <c r="R3101" i="1"/>
  <c r="R3102" i="1"/>
  <c r="R3103" i="1"/>
  <c r="R3104" i="1"/>
  <c r="R3105" i="1"/>
  <c r="R3106" i="1"/>
  <c r="R3107" i="1"/>
  <c r="R3108" i="1"/>
  <c r="R3109" i="1"/>
  <c r="R3110" i="1"/>
  <c r="R3111" i="1"/>
  <c r="R3112" i="1"/>
  <c r="R3113" i="1"/>
  <c r="R3114" i="1"/>
  <c r="R3115" i="1"/>
  <c r="R3116" i="1"/>
  <c r="R3117" i="1"/>
  <c r="R3118" i="1"/>
  <c r="R3119" i="1"/>
  <c r="R3120" i="1"/>
  <c r="R3121" i="1"/>
  <c r="R3122" i="1"/>
  <c r="R3123" i="1"/>
  <c r="R3124" i="1"/>
  <c r="R3125" i="1"/>
  <c r="R3126" i="1"/>
  <c r="R3127" i="1"/>
  <c r="R3128" i="1"/>
  <c r="R3129" i="1"/>
  <c r="R3130" i="1"/>
  <c r="R3131" i="1"/>
  <c r="R3132" i="1"/>
  <c r="R3133" i="1"/>
  <c r="R3134" i="1"/>
  <c r="R3135" i="1"/>
  <c r="R3136" i="1"/>
  <c r="R3137" i="1"/>
  <c r="R3138" i="1"/>
  <c r="R3139" i="1"/>
  <c r="R3140" i="1"/>
  <c r="R3141" i="1"/>
  <c r="R3142" i="1"/>
  <c r="R3143" i="1"/>
  <c r="R3144" i="1"/>
  <c r="R3145" i="1"/>
  <c r="R3146" i="1"/>
  <c r="R3147" i="1"/>
  <c r="R3148" i="1"/>
  <c r="R3149" i="1"/>
  <c r="R3150" i="1"/>
  <c r="R3151" i="1"/>
  <c r="R3152" i="1"/>
  <c r="R3153" i="1"/>
  <c r="R3154" i="1"/>
  <c r="R3155" i="1"/>
  <c r="R3156" i="1"/>
  <c r="R3157" i="1"/>
  <c r="R3158" i="1"/>
  <c r="R3159" i="1"/>
  <c r="R3160" i="1"/>
  <c r="R3161" i="1"/>
  <c r="R3162" i="1"/>
  <c r="R3163" i="1"/>
  <c r="R3164" i="1"/>
  <c r="R3165" i="1"/>
  <c r="R3166" i="1"/>
  <c r="R3167" i="1"/>
  <c r="R3168" i="1"/>
  <c r="R3169" i="1"/>
  <c r="R3170" i="1"/>
  <c r="R3171" i="1"/>
  <c r="R3172" i="1"/>
  <c r="R3173" i="1"/>
  <c r="R3174" i="1"/>
  <c r="R3175" i="1"/>
  <c r="R3176" i="1"/>
  <c r="R3177" i="1"/>
  <c r="R3178" i="1"/>
  <c r="R3179" i="1"/>
  <c r="R3180" i="1"/>
  <c r="R3181" i="1"/>
  <c r="R3182" i="1"/>
  <c r="R3183" i="1"/>
  <c r="R3184" i="1"/>
  <c r="R3185" i="1"/>
  <c r="R3186" i="1"/>
  <c r="R3187" i="1"/>
  <c r="R3188" i="1"/>
  <c r="R3189" i="1"/>
  <c r="R3190" i="1"/>
  <c r="R3191" i="1"/>
  <c r="R3192" i="1"/>
  <c r="R3193" i="1"/>
  <c r="R3194" i="1"/>
  <c r="R3195" i="1"/>
  <c r="R3196" i="1"/>
  <c r="R3197" i="1"/>
  <c r="R3198" i="1"/>
  <c r="R3199" i="1"/>
  <c r="R3200" i="1"/>
  <c r="R3201" i="1"/>
  <c r="R3202" i="1"/>
  <c r="R3203" i="1"/>
  <c r="R3204" i="1"/>
  <c r="R3205" i="1"/>
  <c r="R3206" i="1"/>
  <c r="R3207" i="1"/>
  <c r="R3208" i="1"/>
  <c r="R3209" i="1"/>
  <c r="R3210" i="1"/>
  <c r="R3211" i="1"/>
  <c r="R3212" i="1"/>
  <c r="R3213" i="1"/>
  <c r="R3214" i="1"/>
  <c r="R3215" i="1"/>
  <c r="R3216" i="1"/>
  <c r="R3217" i="1"/>
  <c r="R3218" i="1"/>
  <c r="R3219" i="1"/>
  <c r="R3220" i="1"/>
  <c r="R3221" i="1"/>
  <c r="R3222" i="1"/>
  <c r="R3223" i="1"/>
  <c r="R3224" i="1"/>
  <c r="R3225" i="1"/>
  <c r="R3226" i="1"/>
  <c r="R3227" i="1"/>
  <c r="R3228" i="1"/>
  <c r="R3229" i="1"/>
  <c r="R3230" i="1"/>
  <c r="R3231" i="1"/>
  <c r="R3232" i="1"/>
  <c r="R3233" i="1"/>
  <c r="R3234" i="1"/>
  <c r="R3235" i="1"/>
  <c r="R3236" i="1"/>
  <c r="R3237" i="1"/>
  <c r="R3238" i="1"/>
  <c r="R3239" i="1"/>
  <c r="R3240" i="1"/>
  <c r="R3241" i="1"/>
  <c r="R3242" i="1"/>
  <c r="R3243" i="1"/>
  <c r="R3244" i="1"/>
  <c r="R3245" i="1"/>
  <c r="R3246" i="1"/>
  <c r="R3247" i="1"/>
  <c r="R3248" i="1"/>
  <c r="R3249" i="1"/>
  <c r="R3250" i="1"/>
  <c r="R3251" i="1"/>
  <c r="R3252" i="1"/>
  <c r="R3253" i="1"/>
  <c r="R3254" i="1"/>
  <c r="R3255" i="1"/>
  <c r="R3256" i="1"/>
  <c r="R3257" i="1"/>
  <c r="R3258" i="1"/>
  <c r="R3259" i="1"/>
  <c r="R3260" i="1"/>
  <c r="R3261" i="1"/>
  <c r="R3262" i="1"/>
  <c r="R3263" i="1"/>
  <c r="R3264" i="1"/>
  <c r="R3265" i="1"/>
  <c r="R3266" i="1"/>
  <c r="R3267" i="1"/>
  <c r="R3268" i="1"/>
  <c r="R3269" i="1"/>
  <c r="R3270" i="1"/>
  <c r="R3271" i="1"/>
  <c r="R3272" i="1"/>
  <c r="R3273" i="1"/>
  <c r="R3274" i="1"/>
  <c r="R3275" i="1"/>
  <c r="R3276" i="1"/>
  <c r="R3277" i="1"/>
  <c r="R3278" i="1"/>
  <c r="R3279" i="1"/>
  <c r="R3280" i="1"/>
  <c r="R3281" i="1"/>
  <c r="R3282" i="1"/>
  <c r="R3283" i="1"/>
  <c r="R3284" i="1"/>
  <c r="R3285" i="1"/>
  <c r="R3286" i="1"/>
  <c r="R3287" i="1"/>
  <c r="R3288" i="1"/>
  <c r="R3289" i="1"/>
  <c r="R3290" i="1"/>
  <c r="R3291" i="1"/>
  <c r="R3292" i="1"/>
  <c r="R3293" i="1"/>
  <c r="R3294" i="1"/>
  <c r="R3295" i="1"/>
  <c r="R3296" i="1"/>
  <c r="R3297" i="1"/>
  <c r="R3298" i="1"/>
  <c r="R3299" i="1"/>
  <c r="R3300" i="1"/>
  <c r="R3301" i="1"/>
  <c r="R3302" i="1"/>
  <c r="R3303" i="1"/>
  <c r="R3304" i="1"/>
  <c r="R3305" i="1"/>
  <c r="R3306" i="1"/>
  <c r="R3307" i="1"/>
  <c r="R3308" i="1"/>
  <c r="R3309" i="1"/>
  <c r="R3310" i="1"/>
  <c r="R3311" i="1"/>
  <c r="R3312" i="1"/>
  <c r="R3313" i="1"/>
  <c r="R3314" i="1"/>
  <c r="R3315" i="1"/>
  <c r="R3316" i="1"/>
  <c r="R3317" i="1"/>
  <c r="R3318" i="1"/>
  <c r="R3319" i="1"/>
  <c r="R3320" i="1"/>
  <c r="R3321" i="1"/>
  <c r="R3322" i="1"/>
  <c r="R3323" i="1"/>
  <c r="R3324" i="1"/>
  <c r="R3325" i="1"/>
  <c r="R3326" i="1"/>
  <c r="R3327" i="1"/>
  <c r="R3328" i="1"/>
  <c r="R3329" i="1"/>
  <c r="R3330" i="1"/>
  <c r="R3331" i="1"/>
  <c r="R3332" i="1"/>
  <c r="R3333" i="1"/>
  <c r="R3334" i="1"/>
  <c r="R3335" i="1"/>
  <c r="R3336" i="1"/>
  <c r="R3337" i="1"/>
  <c r="R3338" i="1"/>
  <c r="R3339" i="1"/>
  <c r="R3340" i="1"/>
  <c r="R3341" i="1"/>
  <c r="R3342" i="1"/>
  <c r="R3343" i="1"/>
  <c r="R3344" i="1"/>
  <c r="R3345" i="1"/>
  <c r="R3346" i="1"/>
  <c r="R3347" i="1"/>
  <c r="R3348" i="1"/>
  <c r="R3349" i="1"/>
  <c r="R3350" i="1"/>
  <c r="R3351" i="1"/>
  <c r="R3352" i="1"/>
  <c r="R3353" i="1"/>
  <c r="R3354" i="1"/>
  <c r="R3355" i="1"/>
  <c r="R3356" i="1"/>
  <c r="R3357" i="1"/>
  <c r="R3358" i="1"/>
  <c r="R3359" i="1"/>
  <c r="R3360" i="1"/>
  <c r="R3361" i="1"/>
  <c r="R3362" i="1"/>
  <c r="R3363" i="1"/>
  <c r="R3364" i="1"/>
  <c r="R3365" i="1"/>
  <c r="R3366" i="1"/>
  <c r="R3367" i="1"/>
  <c r="R3368" i="1"/>
  <c r="R3369" i="1"/>
  <c r="R3370" i="1"/>
  <c r="R3371" i="1"/>
  <c r="R3372" i="1"/>
  <c r="R3373" i="1"/>
  <c r="R3374" i="1"/>
  <c r="R3375" i="1"/>
  <c r="R3376" i="1"/>
  <c r="R3377" i="1"/>
  <c r="R3378" i="1"/>
  <c r="R3379" i="1"/>
  <c r="R3380" i="1"/>
  <c r="R3381" i="1"/>
  <c r="R3382" i="1"/>
  <c r="R3383" i="1"/>
  <c r="R3384" i="1"/>
  <c r="R3385" i="1"/>
  <c r="R3386" i="1"/>
  <c r="R3387" i="1"/>
  <c r="R3388" i="1"/>
  <c r="R3389" i="1"/>
  <c r="R3390" i="1"/>
  <c r="R3391" i="1"/>
  <c r="R3392" i="1"/>
  <c r="R3393" i="1"/>
  <c r="R3394" i="1"/>
  <c r="R3395" i="1"/>
  <c r="R3396" i="1"/>
  <c r="R3397" i="1"/>
  <c r="R3398" i="1"/>
  <c r="R3399" i="1"/>
  <c r="R3400" i="1"/>
  <c r="R3401" i="1"/>
  <c r="R3402" i="1"/>
  <c r="R3403" i="1"/>
  <c r="R3404" i="1"/>
  <c r="R3405" i="1"/>
  <c r="R3406" i="1"/>
  <c r="R3407" i="1"/>
  <c r="R3408" i="1"/>
  <c r="R3409" i="1"/>
  <c r="R3410" i="1"/>
  <c r="R3411" i="1"/>
  <c r="R3412" i="1"/>
  <c r="R3413" i="1"/>
  <c r="R3414" i="1"/>
  <c r="R3415" i="1"/>
  <c r="R3416" i="1"/>
  <c r="R3417" i="1"/>
  <c r="R3418" i="1"/>
  <c r="R3419" i="1"/>
  <c r="R3420" i="1"/>
  <c r="R3421" i="1"/>
  <c r="R3422" i="1"/>
  <c r="R3423" i="1"/>
  <c r="R3424" i="1"/>
  <c r="R3425" i="1"/>
  <c r="R3426" i="1"/>
  <c r="R3427" i="1"/>
  <c r="R3428" i="1"/>
  <c r="R3429" i="1"/>
  <c r="R3430" i="1"/>
  <c r="R3431" i="1"/>
  <c r="R3432" i="1"/>
  <c r="R3433" i="1"/>
  <c r="R3434" i="1"/>
  <c r="R3435" i="1"/>
  <c r="R3436" i="1"/>
  <c r="R3437" i="1"/>
  <c r="R3438" i="1"/>
  <c r="R3439" i="1"/>
  <c r="R3440" i="1"/>
  <c r="R3441" i="1"/>
  <c r="R3442" i="1"/>
  <c r="R3443" i="1"/>
  <c r="R3444" i="1"/>
  <c r="R3445" i="1"/>
  <c r="R3446" i="1"/>
  <c r="R3447" i="1"/>
  <c r="R3448" i="1"/>
  <c r="R3449" i="1"/>
  <c r="R3450" i="1"/>
  <c r="R3451" i="1"/>
  <c r="R3452" i="1"/>
  <c r="R3453" i="1"/>
  <c r="R3454" i="1"/>
  <c r="R3455" i="1"/>
  <c r="R3456" i="1"/>
  <c r="R3457" i="1"/>
  <c r="R3458" i="1"/>
  <c r="R3459" i="1"/>
  <c r="R3460" i="1"/>
  <c r="R3461" i="1"/>
  <c r="R3462" i="1"/>
  <c r="R3463" i="1"/>
  <c r="R3464" i="1"/>
  <c r="R3465" i="1"/>
  <c r="R3466" i="1"/>
  <c r="R3467" i="1"/>
  <c r="R3468" i="1"/>
  <c r="R3469" i="1"/>
  <c r="R3470" i="1"/>
  <c r="R3471" i="1"/>
  <c r="R3472" i="1"/>
  <c r="R3473" i="1"/>
  <c r="R3474" i="1"/>
  <c r="R3475" i="1"/>
  <c r="R3476" i="1"/>
  <c r="R3477" i="1"/>
  <c r="R3478" i="1"/>
  <c r="R3479" i="1"/>
  <c r="R3480" i="1"/>
  <c r="R3481" i="1"/>
  <c r="R3482" i="1"/>
  <c r="R3483" i="1"/>
  <c r="R3484" i="1"/>
  <c r="R3485" i="1"/>
  <c r="R3486" i="1"/>
  <c r="R3487" i="1"/>
  <c r="R3488" i="1"/>
  <c r="R3489" i="1"/>
  <c r="R3490" i="1"/>
  <c r="R3491" i="1"/>
  <c r="R3492" i="1"/>
  <c r="R3493" i="1"/>
  <c r="R3494" i="1"/>
  <c r="R3495" i="1"/>
  <c r="R3496" i="1"/>
  <c r="R3497" i="1"/>
  <c r="R3498" i="1"/>
  <c r="R3499" i="1"/>
  <c r="R3500" i="1"/>
  <c r="R3501" i="1"/>
  <c r="R3502" i="1"/>
  <c r="R3503" i="1"/>
  <c r="R3504" i="1"/>
  <c r="R3505" i="1"/>
  <c r="R3506" i="1"/>
  <c r="R3507" i="1"/>
  <c r="R3508" i="1"/>
  <c r="R3509" i="1"/>
  <c r="R3510" i="1"/>
  <c r="R3511" i="1"/>
  <c r="R3512" i="1"/>
  <c r="R3513" i="1"/>
  <c r="R3514" i="1"/>
  <c r="R3515" i="1"/>
  <c r="R3516" i="1"/>
  <c r="R3517" i="1"/>
  <c r="R3518" i="1"/>
  <c r="R3519" i="1"/>
  <c r="R3520" i="1"/>
  <c r="R3521" i="1"/>
  <c r="R3522" i="1"/>
  <c r="R3523" i="1"/>
  <c r="R3524" i="1"/>
  <c r="R3525" i="1"/>
  <c r="R3526" i="1"/>
  <c r="R3527" i="1"/>
  <c r="R3528" i="1"/>
  <c r="R3529" i="1"/>
  <c r="R3530" i="1"/>
  <c r="R3531" i="1"/>
  <c r="R3532" i="1"/>
  <c r="R3533" i="1"/>
  <c r="R3534" i="1"/>
  <c r="R3535" i="1"/>
  <c r="R3536" i="1"/>
  <c r="R3537" i="1"/>
  <c r="R3538" i="1"/>
  <c r="R3539" i="1"/>
  <c r="R3540" i="1"/>
  <c r="R3541" i="1"/>
  <c r="R3542" i="1"/>
  <c r="R3543" i="1"/>
  <c r="R3544" i="1"/>
  <c r="R3545" i="1"/>
  <c r="R3546" i="1"/>
  <c r="R3547" i="1"/>
  <c r="R3548" i="1"/>
  <c r="R3549" i="1"/>
  <c r="R3550" i="1"/>
  <c r="R3551" i="1"/>
  <c r="R3552" i="1"/>
  <c r="R3553" i="1"/>
  <c r="R3554" i="1"/>
  <c r="R3555" i="1"/>
  <c r="R3556" i="1"/>
  <c r="R3557" i="1"/>
  <c r="R3558" i="1"/>
  <c r="R3559" i="1"/>
  <c r="R3560" i="1"/>
  <c r="R3561" i="1"/>
  <c r="R3562" i="1"/>
  <c r="R3563" i="1"/>
  <c r="R3564" i="1"/>
  <c r="R3565" i="1"/>
  <c r="R3566" i="1"/>
  <c r="R3567" i="1"/>
  <c r="R3568" i="1"/>
  <c r="R3569" i="1"/>
  <c r="R3570" i="1"/>
  <c r="R3571" i="1"/>
  <c r="R3572" i="1"/>
  <c r="R3573" i="1"/>
  <c r="R3574" i="1"/>
  <c r="R3575" i="1"/>
  <c r="R3576" i="1"/>
  <c r="R3577" i="1"/>
  <c r="R3578" i="1"/>
  <c r="R3579" i="1"/>
  <c r="R3580" i="1"/>
  <c r="R3581" i="1"/>
  <c r="R3582" i="1"/>
  <c r="R3583" i="1"/>
  <c r="R3584" i="1"/>
  <c r="R3585" i="1"/>
  <c r="R3586" i="1"/>
  <c r="R3587" i="1"/>
  <c r="R3588" i="1"/>
  <c r="R3589" i="1"/>
  <c r="R3590" i="1"/>
  <c r="R3591" i="1"/>
  <c r="R3592" i="1"/>
  <c r="R3593" i="1"/>
  <c r="R3594" i="1"/>
  <c r="R3595" i="1"/>
  <c r="R3596" i="1"/>
  <c r="R3597" i="1"/>
  <c r="R3598" i="1"/>
  <c r="R3599" i="1"/>
  <c r="R3600" i="1"/>
  <c r="R3601" i="1"/>
  <c r="R3602" i="1"/>
  <c r="R3603" i="1"/>
  <c r="R3604" i="1"/>
  <c r="R3605" i="1"/>
  <c r="R3606" i="1"/>
  <c r="R3607" i="1"/>
  <c r="R3608" i="1"/>
  <c r="R3609" i="1"/>
  <c r="R3610" i="1"/>
  <c r="R3611" i="1"/>
  <c r="R3612" i="1"/>
  <c r="R3613" i="1"/>
  <c r="R3614" i="1"/>
  <c r="R3615" i="1"/>
  <c r="R3616" i="1"/>
  <c r="R3617" i="1"/>
  <c r="R3618" i="1"/>
  <c r="R3619" i="1"/>
  <c r="R3620" i="1"/>
  <c r="R3621" i="1"/>
  <c r="R3622" i="1"/>
  <c r="R3623" i="1"/>
  <c r="R3624" i="1"/>
  <c r="R3625" i="1"/>
  <c r="R3626" i="1"/>
  <c r="R3627" i="1"/>
  <c r="R3628" i="1"/>
  <c r="R3629" i="1"/>
  <c r="R3630" i="1"/>
  <c r="R3631" i="1"/>
  <c r="R3632" i="1"/>
  <c r="R3633" i="1"/>
  <c r="R3634" i="1"/>
  <c r="R3635" i="1"/>
  <c r="R3636" i="1"/>
  <c r="R3637" i="1"/>
  <c r="R3638" i="1"/>
  <c r="R3639" i="1"/>
  <c r="R3640" i="1"/>
  <c r="R3641" i="1"/>
  <c r="R3642" i="1"/>
  <c r="R3643" i="1"/>
  <c r="R3644" i="1"/>
  <c r="R3645" i="1"/>
  <c r="R3646" i="1"/>
  <c r="R3647" i="1"/>
  <c r="R3648" i="1"/>
  <c r="R3649" i="1"/>
  <c r="R3650" i="1"/>
  <c r="R3651" i="1"/>
  <c r="R3652" i="1"/>
  <c r="R3653" i="1"/>
  <c r="R3654" i="1"/>
  <c r="R3655" i="1"/>
  <c r="R3656" i="1"/>
  <c r="R3657" i="1"/>
  <c r="R3658" i="1"/>
  <c r="R3659" i="1"/>
  <c r="R3660" i="1"/>
  <c r="R3661" i="1"/>
  <c r="R3662" i="1"/>
  <c r="R3663" i="1"/>
  <c r="R3664" i="1"/>
  <c r="R3665" i="1"/>
  <c r="R3666" i="1"/>
  <c r="R3667" i="1"/>
  <c r="R3668" i="1"/>
  <c r="R3669" i="1"/>
  <c r="R3670" i="1"/>
  <c r="R3671" i="1"/>
  <c r="R3672" i="1"/>
  <c r="R3673" i="1"/>
  <c r="R3674" i="1"/>
  <c r="R3675" i="1"/>
  <c r="R3676" i="1"/>
  <c r="R3677" i="1"/>
  <c r="R3678" i="1"/>
  <c r="R3679" i="1"/>
  <c r="R3680" i="1"/>
  <c r="R3681" i="1"/>
  <c r="R3682" i="1"/>
  <c r="R3683" i="1"/>
  <c r="R3684" i="1"/>
  <c r="R3685" i="1"/>
  <c r="R3686" i="1"/>
  <c r="R3687" i="1"/>
  <c r="R3688" i="1"/>
  <c r="R3689" i="1"/>
  <c r="R3690" i="1"/>
  <c r="R3691" i="1"/>
  <c r="R3692" i="1"/>
  <c r="R3693" i="1"/>
  <c r="R3694" i="1"/>
  <c r="R3695" i="1"/>
  <c r="R3696" i="1"/>
  <c r="R3697" i="1"/>
  <c r="R3698" i="1"/>
  <c r="R3699" i="1"/>
  <c r="R3700" i="1"/>
  <c r="R3701" i="1"/>
  <c r="R3702" i="1"/>
  <c r="R3703" i="1"/>
  <c r="R3704" i="1"/>
  <c r="R3705" i="1"/>
  <c r="R3706" i="1"/>
  <c r="R3707" i="1"/>
  <c r="R3708" i="1"/>
  <c r="R3709" i="1"/>
  <c r="R3710" i="1"/>
  <c r="R3711" i="1"/>
  <c r="R3712" i="1"/>
  <c r="R3713" i="1"/>
  <c r="R3714" i="1"/>
  <c r="R3715" i="1"/>
  <c r="R3716" i="1"/>
  <c r="R3717" i="1"/>
  <c r="R3718" i="1"/>
  <c r="R3719" i="1"/>
  <c r="R3720" i="1"/>
  <c r="R3721" i="1"/>
  <c r="R3722" i="1"/>
  <c r="R3723" i="1"/>
  <c r="R3724" i="1"/>
  <c r="R3725" i="1"/>
  <c r="R3726" i="1"/>
  <c r="R3727" i="1"/>
  <c r="R3728" i="1"/>
  <c r="R3729" i="1"/>
  <c r="R3730" i="1"/>
  <c r="R3731" i="1"/>
  <c r="R3732" i="1"/>
  <c r="R3733" i="1"/>
  <c r="R3734" i="1"/>
  <c r="R3735" i="1"/>
  <c r="R3736" i="1"/>
  <c r="R3737" i="1"/>
  <c r="R3738" i="1"/>
  <c r="R3739" i="1"/>
  <c r="R3740" i="1"/>
  <c r="R3741" i="1"/>
  <c r="R3742" i="1"/>
  <c r="R3743" i="1"/>
  <c r="R3744" i="1"/>
  <c r="R3745" i="1"/>
  <c r="R3746" i="1"/>
  <c r="R3747" i="1"/>
  <c r="R3748" i="1"/>
  <c r="R3749" i="1"/>
  <c r="R3750" i="1"/>
  <c r="R3751" i="1"/>
  <c r="R3752" i="1"/>
  <c r="R3753" i="1"/>
  <c r="R3754" i="1"/>
  <c r="R3755" i="1"/>
  <c r="R3756" i="1"/>
  <c r="R3757" i="1"/>
  <c r="R3758" i="1"/>
  <c r="R3759" i="1"/>
  <c r="R3760" i="1"/>
  <c r="R3761" i="1"/>
  <c r="R3762" i="1"/>
  <c r="R3763" i="1"/>
  <c r="R3764" i="1"/>
  <c r="R3765" i="1"/>
  <c r="R3766" i="1"/>
  <c r="R3767" i="1"/>
  <c r="R3768" i="1"/>
  <c r="R3769" i="1"/>
  <c r="R3770" i="1"/>
  <c r="R3771" i="1"/>
  <c r="R3772" i="1"/>
  <c r="R3773" i="1"/>
  <c r="R3774" i="1"/>
  <c r="R3775" i="1"/>
  <c r="R3776" i="1"/>
  <c r="R3777" i="1"/>
  <c r="R3778" i="1"/>
  <c r="R3779" i="1"/>
  <c r="R3780" i="1"/>
  <c r="R3781" i="1"/>
  <c r="R3782" i="1"/>
  <c r="R3783" i="1"/>
  <c r="R3784" i="1"/>
  <c r="R3785" i="1"/>
  <c r="R3786" i="1"/>
  <c r="R3787" i="1"/>
  <c r="R3788" i="1"/>
  <c r="R3789" i="1"/>
  <c r="R3790" i="1"/>
  <c r="R3791" i="1"/>
  <c r="R3792" i="1"/>
  <c r="R3793" i="1"/>
  <c r="R3794" i="1"/>
  <c r="R3795" i="1"/>
  <c r="R3796" i="1"/>
  <c r="R3797" i="1"/>
  <c r="R3798" i="1"/>
  <c r="R3799" i="1"/>
  <c r="R3800" i="1"/>
  <c r="R3801" i="1"/>
  <c r="R3802" i="1"/>
  <c r="R3803" i="1"/>
  <c r="R3804" i="1"/>
  <c r="R3805" i="1"/>
  <c r="R3806" i="1"/>
  <c r="R3807" i="1"/>
  <c r="R3808" i="1"/>
  <c r="R3809" i="1"/>
  <c r="R3810" i="1"/>
  <c r="R3811" i="1"/>
  <c r="R3812" i="1"/>
  <c r="R3813" i="1"/>
  <c r="R3814" i="1"/>
  <c r="R3815" i="1"/>
  <c r="R3816" i="1"/>
  <c r="R3817" i="1"/>
  <c r="R3818" i="1"/>
  <c r="R3819" i="1"/>
  <c r="R3820" i="1"/>
  <c r="R3821" i="1"/>
  <c r="R3822" i="1"/>
  <c r="R3823" i="1"/>
  <c r="R3824" i="1"/>
  <c r="R3825" i="1"/>
  <c r="R3826" i="1"/>
  <c r="R3827" i="1"/>
  <c r="R3828" i="1"/>
  <c r="R3829" i="1"/>
  <c r="R3830" i="1"/>
  <c r="R3831" i="1"/>
  <c r="R3832" i="1"/>
  <c r="R3833" i="1"/>
  <c r="R3834" i="1"/>
  <c r="R3835" i="1"/>
  <c r="R3836" i="1"/>
  <c r="R3837" i="1"/>
  <c r="R3838" i="1"/>
  <c r="R3839" i="1"/>
  <c r="R3840" i="1"/>
  <c r="R3841" i="1"/>
  <c r="R3842" i="1"/>
  <c r="R3843" i="1"/>
  <c r="R3844" i="1"/>
  <c r="R3845" i="1"/>
  <c r="R3846" i="1"/>
  <c r="R3847" i="1"/>
  <c r="R3848" i="1"/>
  <c r="R3849" i="1"/>
  <c r="R3850" i="1"/>
  <c r="R3851" i="1"/>
  <c r="R3852" i="1"/>
  <c r="R3853" i="1"/>
  <c r="R3854" i="1"/>
  <c r="R3855" i="1"/>
  <c r="R3856" i="1"/>
  <c r="R3857" i="1"/>
  <c r="R3858" i="1"/>
  <c r="R3859" i="1"/>
  <c r="R3860" i="1"/>
  <c r="R3861" i="1"/>
  <c r="R3862" i="1"/>
  <c r="R3863" i="1"/>
  <c r="R3864" i="1"/>
  <c r="R3865" i="1"/>
  <c r="R3866" i="1"/>
  <c r="R3867" i="1"/>
  <c r="R3868" i="1"/>
  <c r="R3869" i="1"/>
  <c r="R3870" i="1"/>
  <c r="R3871" i="1"/>
  <c r="R3872" i="1"/>
  <c r="R3873" i="1"/>
  <c r="R3874" i="1"/>
  <c r="R3875" i="1"/>
  <c r="R3876" i="1"/>
  <c r="R3877" i="1"/>
  <c r="R3878" i="1"/>
  <c r="R3879" i="1"/>
  <c r="R3880" i="1"/>
  <c r="R3881" i="1"/>
  <c r="R3882" i="1"/>
  <c r="R3883" i="1"/>
  <c r="R3884" i="1"/>
  <c r="R3885" i="1"/>
  <c r="R3886" i="1"/>
  <c r="R3887" i="1"/>
  <c r="R3888" i="1"/>
  <c r="R3889" i="1"/>
  <c r="R3890" i="1"/>
  <c r="R3891" i="1"/>
  <c r="R3892" i="1"/>
  <c r="R3893" i="1"/>
  <c r="R3894" i="1"/>
  <c r="R3895" i="1"/>
  <c r="R3896" i="1"/>
  <c r="R3897" i="1"/>
  <c r="R3898" i="1"/>
  <c r="R3899" i="1"/>
  <c r="R3900" i="1"/>
  <c r="R3901" i="1"/>
  <c r="R3902" i="1"/>
  <c r="R3903" i="1"/>
  <c r="R3904" i="1"/>
  <c r="R3905" i="1"/>
  <c r="R3906" i="1"/>
  <c r="R3907" i="1"/>
  <c r="R3908" i="1"/>
  <c r="R3909" i="1"/>
  <c r="R3910" i="1"/>
  <c r="R3911" i="1"/>
  <c r="R3912" i="1"/>
  <c r="R3913" i="1"/>
  <c r="R3914" i="1"/>
  <c r="R3915" i="1"/>
  <c r="R3916" i="1"/>
  <c r="R3917" i="1"/>
  <c r="R3918" i="1"/>
  <c r="R3919" i="1"/>
  <c r="R3920" i="1"/>
  <c r="R3921" i="1"/>
  <c r="R3922" i="1"/>
  <c r="R3923" i="1"/>
  <c r="R3924" i="1"/>
  <c r="R3925" i="1"/>
  <c r="R3926" i="1"/>
  <c r="R3927" i="1"/>
  <c r="R3928" i="1"/>
  <c r="R3929" i="1"/>
  <c r="R3930" i="1"/>
  <c r="R3931" i="1"/>
  <c r="R3932" i="1"/>
  <c r="R3933" i="1"/>
  <c r="R3934" i="1"/>
  <c r="R3935" i="1"/>
  <c r="R3936" i="1"/>
  <c r="R3937" i="1"/>
  <c r="R3938" i="1"/>
  <c r="R3939" i="1"/>
  <c r="R3940" i="1"/>
  <c r="R3941" i="1"/>
  <c r="R3942" i="1"/>
  <c r="R3943" i="1"/>
  <c r="R3944" i="1"/>
  <c r="R3945" i="1"/>
  <c r="R3946" i="1"/>
  <c r="R3947" i="1"/>
  <c r="R3948" i="1"/>
  <c r="R3949" i="1"/>
  <c r="R3950" i="1"/>
  <c r="R3951" i="1"/>
  <c r="R3952" i="1"/>
  <c r="R3953" i="1"/>
  <c r="R3954" i="1"/>
  <c r="R3955" i="1"/>
  <c r="R3956" i="1"/>
  <c r="R3957" i="1"/>
  <c r="R3958" i="1"/>
  <c r="R3959" i="1"/>
  <c r="R3960" i="1"/>
  <c r="R3961" i="1"/>
  <c r="R3962" i="1"/>
  <c r="R3963" i="1"/>
  <c r="R3964" i="1"/>
  <c r="R3965" i="1"/>
  <c r="R3966" i="1"/>
  <c r="R3967" i="1"/>
  <c r="R3968" i="1"/>
  <c r="R3969" i="1"/>
  <c r="R3970" i="1"/>
  <c r="R3971" i="1"/>
  <c r="R3972" i="1"/>
  <c r="R3973" i="1"/>
  <c r="R3974" i="1"/>
  <c r="R3975" i="1"/>
  <c r="R3976" i="1"/>
  <c r="R3977" i="1"/>
  <c r="R3978" i="1"/>
  <c r="R3979" i="1"/>
  <c r="R3980" i="1"/>
  <c r="R3981" i="1"/>
  <c r="R3982" i="1"/>
  <c r="R3983" i="1"/>
  <c r="R3984" i="1"/>
  <c r="R3985" i="1"/>
  <c r="R3986" i="1"/>
  <c r="R3987" i="1"/>
  <c r="R3988" i="1"/>
  <c r="R3989" i="1"/>
  <c r="R3990" i="1"/>
  <c r="R3991" i="1"/>
  <c r="R3992" i="1"/>
  <c r="R3993" i="1"/>
  <c r="R3994" i="1"/>
  <c r="R3995" i="1"/>
  <c r="R3996" i="1"/>
  <c r="R3997" i="1"/>
  <c r="R3998" i="1"/>
  <c r="R3999" i="1"/>
  <c r="R4000" i="1"/>
  <c r="R4001" i="1"/>
  <c r="R4002" i="1"/>
  <c r="R4003" i="1"/>
  <c r="R4004" i="1"/>
  <c r="R4005" i="1"/>
  <c r="R4006" i="1"/>
  <c r="R4007" i="1"/>
  <c r="R4008" i="1"/>
  <c r="R4009" i="1"/>
  <c r="R4010" i="1"/>
  <c r="R4011" i="1"/>
  <c r="R4012" i="1"/>
  <c r="R4013" i="1"/>
  <c r="R4014" i="1"/>
  <c r="R4015" i="1"/>
  <c r="R4016" i="1"/>
  <c r="R4017" i="1"/>
  <c r="R4018" i="1"/>
  <c r="R4019" i="1"/>
  <c r="R4020" i="1"/>
  <c r="R4021" i="1"/>
  <c r="R4022" i="1"/>
  <c r="R4023" i="1"/>
  <c r="R4024" i="1"/>
  <c r="R4025" i="1"/>
  <c r="R4026" i="1"/>
  <c r="R4027" i="1"/>
  <c r="R4028" i="1"/>
  <c r="R4029" i="1"/>
  <c r="R4030" i="1"/>
  <c r="R4031" i="1"/>
  <c r="R4032" i="1"/>
  <c r="R4033" i="1"/>
  <c r="R4034" i="1"/>
  <c r="R4035" i="1"/>
  <c r="R4036" i="1"/>
  <c r="R4037" i="1"/>
  <c r="R4038" i="1"/>
  <c r="R4039" i="1"/>
  <c r="R4040" i="1"/>
  <c r="R4041" i="1"/>
  <c r="R4042" i="1"/>
  <c r="R4043" i="1"/>
  <c r="R4044" i="1"/>
  <c r="R4045" i="1"/>
  <c r="R4046" i="1"/>
  <c r="R4047" i="1"/>
  <c r="R4048" i="1"/>
  <c r="R4049" i="1"/>
  <c r="R4050" i="1"/>
  <c r="R4051" i="1"/>
  <c r="R4052" i="1"/>
  <c r="R4053" i="1"/>
  <c r="R4054" i="1"/>
  <c r="R4055" i="1"/>
  <c r="R4056" i="1"/>
  <c r="R4057" i="1"/>
  <c r="R4058" i="1"/>
  <c r="R4059" i="1"/>
  <c r="R4060" i="1"/>
  <c r="R4061" i="1"/>
  <c r="R4062" i="1"/>
  <c r="R4063" i="1"/>
  <c r="R4064" i="1"/>
  <c r="R4065" i="1"/>
  <c r="R4066" i="1"/>
  <c r="R4067" i="1"/>
  <c r="R4068" i="1"/>
  <c r="R4069" i="1"/>
  <c r="R4070" i="1"/>
  <c r="R4071" i="1"/>
  <c r="R4072" i="1"/>
  <c r="R4073" i="1"/>
  <c r="R4074" i="1"/>
  <c r="R4075" i="1"/>
  <c r="R4076" i="1"/>
  <c r="R4077" i="1"/>
  <c r="R4078" i="1"/>
  <c r="R4079" i="1"/>
  <c r="R4080" i="1"/>
  <c r="R4081" i="1"/>
  <c r="R4082" i="1"/>
  <c r="R4083" i="1"/>
  <c r="R4084" i="1"/>
  <c r="R4085" i="1"/>
  <c r="R4086" i="1"/>
  <c r="R4087" i="1"/>
  <c r="R4088" i="1"/>
  <c r="R4089" i="1"/>
  <c r="R4090" i="1"/>
  <c r="R4091" i="1"/>
  <c r="R4092" i="1"/>
  <c r="R4093" i="1"/>
  <c r="R4094" i="1"/>
  <c r="R4095" i="1"/>
  <c r="R4096" i="1"/>
  <c r="R4097" i="1"/>
  <c r="R4098" i="1"/>
  <c r="R4099" i="1"/>
  <c r="R4100" i="1"/>
  <c r="R4101" i="1"/>
  <c r="R4102" i="1"/>
  <c r="R4103" i="1"/>
  <c r="R4104" i="1"/>
  <c r="R4105" i="1"/>
  <c r="R4106" i="1"/>
  <c r="R4107" i="1"/>
  <c r="R4108" i="1"/>
  <c r="R4109" i="1"/>
  <c r="R4110" i="1"/>
  <c r="R4111" i="1"/>
  <c r="R4112" i="1"/>
  <c r="R4113" i="1"/>
  <c r="R4114" i="1"/>
  <c r="R4115" i="1"/>
  <c r="R4116" i="1"/>
  <c r="R4117" i="1"/>
  <c r="R4118" i="1"/>
  <c r="R4119" i="1"/>
  <c r="R4120" i="1"/>
  <c r="R4121" i="1"/>
  <c r="R4122" i="1"/>
  <c r="R4123" i="1"/>
  <c r="R4124" i="1"/>
  <c r="R4125" i="1"/>
  <c r="R4126" i="1"/>
  <c r="R4127" i="1"/>
  <c r="R4128" i="1"/>
  <c r="R4129" i="1"/>
  <c r="R4130" i="1"/>
  <c r="R4131" i="1"/>
  <c r="R4132" i="1"/>
  <c r="R4133" i="1"/>
  <c r="R4134" i="1"/>
  <c r="R4135" i="1"/>
  <c r="R4136" i="1"/>
  <c r="R4137" i="1"/>
  <c r="R4138" i="1"/>
  <c r="R4139" i="1"/>
  <c r="R4140" i="1"/>
  <c r="R4141" i="1"/>
  <c r="R4142" i="1"/>
  <c r="R4143" i="1"/>
  <c r="R4144" i="1"/>
  <c r="R4145" i="1"/>
  <c r="R4146" i="1"/>
  <c r="R4147" i="1"/>
  <c r="R4148" i="1"/>
  <c r="R4149" i="1"/>
  <c r="R4150" i="1"/>
  <c r="R4151" i="1"/>
  <c r="R4152" i="1"/>
  <c r="R4153" i="1"/>
  <c r="R4154" i="1"/>
  <c r="R4155" i="1"/>
  <c r="R4156" i="1"/>
  <c r="R4157" i="1"/>
  <c r="R4158" i="1"/>
  <c r="R4159" i="1"/>
  <c r="R4160" i="1"/>
  <c r="R4161" i="1"/>
  <c r="R4162" i="1"/>
  <c r="R4163" i="1"/>
  <c r="R4164" i="1"/>
  <c r="R4165" i="1"/>
  <c r="R4166" i="1"/>
  <c r="R4167" i="1"/>
  <c r="R4168" i="1"/>
  <c r="R4169" i="1"/>
  <c r="R4170" i="1"/>
  <c r="R4171" i="1"/>
  <c r="R4172" i="1"/>
  <c r="R4173" i="1"/>
  <c r="R4174" i="1"/>
  <c r="R4175" i="1"/>
  <c r="R4176" i="1"/>
  <c r="R4177" i="1"/>
  <c r="R4178" i="1"/>
  <c r="R4179" i="1"/>
  <c r="R4180" i="1"/>
  <c r="R4181" i="1"/>
  <c r="R4182" i="1"/>
  <c r="R4183" i="1"/>
  <c r="R4184" i="1"/>
  <c r="R4185" i="1"/>
  <c r="R4186" i="1"/>
  <c r="R4187" i="1"/>
  <c r="R4188" i="1"/>
  <c r="R4189" i="1"/>
  <c r="R4190" i="1"/>
  <c r="R4191" i="1"/>
  <c r="R4192" i="1"/>
  <c r="R4193" i="1"/>
  <c r="R4194" i="1"/>
  <c r="R4195" i="1"/>
  <c r="R4196" i="1"/>
  <c r="R4197" i="1"/>
  <c r="R4198" i="1"/>
  <c r="R4199" i="1"/>
  <c r="R4200" i="1"/>
  <c r="R4201" i="1"/>
  <c r="R4202" i="1"/>
  <c r="R4203" i="1"/>
  <c r="R4204" i="1"/>
  <c r="R4205" i="1"/>
  <c r="R4206" i="1"/>
  <c r="R4207" i="1"/>
  <c r="R4208" i="1"/>
  <c r="R4209" i="1"/>
  <c r="R4210" i="1"/>
  <c r="R4211" i="1"/>
  <c r="R4212" i="1"/>
  <c r="R4213" i="1"/>
  <c r="R4214" i="1"/>
  <c r="R4215" i="1"/>
  <c r="R4216" i="1"/>
  <c r="R4217" i="1"/>
  <c r="R4218" i="1"/>
  <c r="R4219" i="1"/>
  <c r="R4220" i="1"/>
  <c r="R4221" i="1"/>
  <c r="R4222" i="1"/>
  <c r="R4223" i="1"/>
  <c r="R4224" i="1"/>
  <c r="R4225" i="1"/>
  <c r="R4226" i="1"/>
  <c r="R4227" i="1"/>
  <c r="R4228" i="1"/>
  <c r="R4229" i="1"/>
  <c r="R4230" i="1"/>
  <c r="R4231" i="1"/>
  <c r="R4232" i="1"/>
  <c r="R4233" i="1"/>
  <c r="R4234" i="1"/>
  <c r="R4235" i="1"/>
  <c r="R4236" i="1"/>
  <c r="R4237" i="1"/>
  <c r="R4238" i="1"/>
  <c r="R4239" i="1"/>
  <c r="R4240" i="1"/>
  <c r="R4241" i="1"/>
  <c r="R4242" i="1"/>
  <c r="R4243" i="1"/>
  <c r="R4244" i="1"/>
  <c r="R4245" i="1"/>
  <c r="R4246" i="1"/>
  <c r="R4247" i="1"/>
  <c r="R4248" i="1"/>
  <c r="R4249" i="1"/>
  <c r="R4250" i="1"/>
  <c r="R4251" i="1"/>
  <c r="R4252" i="1"/>
  <c r="R4253" i="1"/>
  <c r="R4254" i="1"/>
  <c r="R4255" i="1"/>
  <c r="R4256" i="1"/>
  <c r="R4257" i="1"/>
  <c r="R4258" i="1"/>
  <c r="R4259" i="1"/>
  <c r="R4260" i="1"/>
  <c r="R4261" i="1"/>
  <c r="R4262" i="1"/>
  <c r="R4263" i="1"/>
  <c r="R4264" i="1"/>
  <c r="R4265" i="1"/>
  <c r="R4266" i="1"/>
  <c r="R4267" i="1"/>
  <c r="R4268" i="1"/>
  <c r="R4269" i="1"/>
  <c r="R4270" i="1"/>
  <c r="R4271" i="1"/>
  <c r="R4272" i="1"/>
  <c r="R4273" i="1"/>
  <c r="R4274" i="1"/>
  <c r="R4275" i="1"/>
  <c r="R4276" i="1"/>
  <c r="R4277" i="1"/>
  <c r="R4278" i="1"/>
  <c r="R4279" i="1"/>
  <c r="R4280" i="1"/>
  <c r="R4281" i="1"/>
  <c r="R4282" i="1"/>
  <c r="R4283" i="1"/>
  <c r="R4284" i="1"/>
  <c r="R4285" i="1"/>
  <c r="R4286" i="1"/>
  <c r="R4287" i="1"/>
  <c r="R4288" i="1"/>
  <c r="R4289" i="1"/>
  <c r="R4290" i="1"/>
  <c r="R4291" i="1"/>
  <c r="R4292" i="1"/>
  <c r="R4293" i="1"/>
  <c r="R4294" i="1"/>
  <c r="R4295" i="1"/>
  <c r="R4296" i="1"/>
  <c r="R4297" i="1"/>
  <c r="R4298" i="1"/>
  <c r="R4299" i="1"/>
  <c r="R4300" i="1"/>
  <c r="R4301" i="1"/>
  <c r="R4302" i="1"/>
  <c r="R4303" i="1"/>
  <c r="R4304" i="1"/>
  <c r="R4305" i="1"/>
  <c r="R4306" i="1"/>
  <c r="R4307" i="1"/>
  <c r="R4308" i="1"/>
  <c r="R4309" i="1"/>
  <c r="R4310" i="1"/>
  <c r="R4311" i="1"/>
  <c r="R4312" i="1"/>
  <c r="R4313" i="1"/>
  <c r="R4314" i="1"/>
  <c r="R4315" i="1"/>
  <c r="R4316" i="1"/>
  <c r="R4317" i="1"/>
  <c r="R4318" i="1"/>
  <c r="R4319" i="1"/>
  <c r="R4320" i="1"/>
  <c r="R4321" i="1"/>
  <c r="R4322" i="1"/>
  <c r="R4323" i="1"/>
  <c r="R4324" i="1"/>
  <c r="R4325" i="1"/>
  <c r="R4326" i="1"/>
  <c r="R4327" i="1"/>
  <c r="R4328" i="1"/>
  <c r="R4329" i="1"/>
  <c r="R4330" i="1"/>
  <c r="R4331" i="1"/>
  <c r="R4332" i="1"/>
  <c r="R4333" i="1"/>
  <c r="R4334" i="1"/>
  <c r="R4335" i="1"/>
  <c r="R4336" i="1"/>
  <c r="R4337" i="1"/>
  <c r="R4338" i="1"/>
  <c r="R4339" i="1"/>
  <c r="R4340" i="1"/>
  <c r="R4341" i="1"/>
  <c r="R4342" i="1"/>
  <c r="R4343" i="1"/>
  <c r="R4344" i="1"/>
  <c r="R4345" i="1"/>
  <c r="R4346" i="1"/>
  <c r="R4347" i="1"/>
  <c r="R4348" i="1"/>
  <c r="R4349" i="1"/>
  <c r="R4350" i="1"/>
  <c r="R4351" i="1"/>
  <c r="R4352" i="1"/>
  <c r="R4353" i="1"/>
  <c r="R4354" i="1"/>
  <c r="R4355" i="1"/>
  <c r="R4356" i="1"/>
  <c r="R4357" i="1"/>
  <c r="R4358" i="1"/>
  <c r="R4359" i="1"/>
  <c r="R4360" i="1"/>
  <c r="R4361" i="1"/>
  <c r="R4362" i="1"/>
  <c r="R4363" i="1"/>
  <c r="R4364" i="1"/>
  <c r="R4365" i="1"/>
  <c r="R4366" i="1"/>
  <c r="R4367" i="1"/>
  <c r="R4368" i="1"/>
  <c r="R4369" i="1"/>
  <c r="R4370" i="1"/>
  <c r="R4371" i="1"/>
  <c r="R4372" i="1"/>
  <c r="R4373" i="1"/>
  <c r="R4374" i="1"/>
  <c r="R4375" i="1"/>
  <c r="R4376" i="1"/>
  <c r="R4377" i="1"/>
  <c r="R4378" i="1"/>
  <c r="R4379" i="1"/>
  <c r="R4380" i="1"/>
  <c r="R4381" i="1"/>
  <c r="R4382" i="1"/>
  <c r="R4383" i="1"/>
  <c r="R4384" i="1"/>
  <c r="R4385" i="1"/>
  <c r="R4386" i="1"/>
  <c r="R4387" i="1"/>
  <c r="R4388" i="1"/>
  <c r="R4389" i="1"/>
  <c r="R4390" i="1"/>
  <c r="R4391" i="1"/>
  <c r="R4392" i="1"/>
  <c r="R4393" i="1"/>
  <c r="R4394" i="1"/>
  <c r="R4395" i="1"/>
  <c r="R4396" i="1"/>
  <c r="R4397" i="1"/>
  <c r="R4398" i="1"/>
  <c r="R4399" i="1"/>
  <c r="R4400" i="1"/>
  <c r="R4401" i="1"/>
  <c r="R4402" i="1"/>
  <c r="R4403" i="1"/>
  <c r="R4404" i="1"/>
  <c r="R4405" i="1"/>
  <c r="R4406" i="1"/>
  <c r="R4407" i="1"/>
  <c r="R4408" i="1"/>
  <c r="R4409" i="1"/>
  <c r="R4410" i="1"/>
  <c r="R4411" i="1"/>
  <c r="R4412" i="1"/>
  <c r="R4413" i="1"/>
  <c r="R4414" i="1"/>
  <c r="R4415" i="1"/>
  <c r="R4416" i="1"/>
  <c r="R4417" i="1"/>
  <c r="R4418" i="1"/>
  <c r="R4419" i="1"/>
  <c r="R4420" i="1"/>
  <c r="R4421" i="1"/>
  <c r="R4422" i="1"/>
  <c r="R4423" i="1"/>
  <c r="R4424" i="1"/>
  <c r="R4425" i="1"/>
  <c r="R4426" i="1"/>
  <c r="R4427" i="1"/>
  <c r="R4428" i="1"/>
  <c r="R4429" i="1"/>
  <c r="R4430" i="1"/>
  <c r="R4431" i="1"/>
  <c r="R4432" i="1"/>
  <c r="R4433" i="1"/>
  <c r="R4434" i="1"/>
  <c r="R4435" i="1"/>
  <c r="R4436" i="1"/>
  <c r="R4437" i="1"/>
  <c r="R4438" i="1"/>
  <c r="R4439" i="1"/>
  <c r="R4440" i="1"/>
  <c r="R4441" i="1"/>
  <c r="R4442" i="1"/>
  <c r="R4443" i="1"/>
  <c r="R4444" i="1"/>
  <c r="R4445" i="1"/>
  <c r="R4446" i="1"/>
  <c r="R4447" i="1"/>
  <c r="R4448" i="1"/>
  <c r="R4449" i="1"/>
  <c r="R4450" i="1"/>
  <c r="R4451" i="1"/>
  <c r="R4452" i="1"/>
  <c r="R4453" i="1"/>
  <c r="R4454" i="1"/>
  <c r="R4455" i="1"/>
  <c r="R4456" i="1"/>
  <c r="R4457" i="1"/>
  <c r="R4458" i="1"/>
  <c r="R4459" i="1"/>
  <c r="R4460" i="1"/>
  <c r="R4461" i="1"/>
  <c r="R4462" i="1"/>
  <c r="R4463" i="1"/>
  <c r="R4464" i="1"/>
  <c r="R4465" i="1"/>
  <c r="R4466" i="1"/>
  <c r="R4467" i="1"/>
  <c r="R4468" i="1"/>
  <c r="R4469" i="1"/>
  <c r="R4470" i="1"/>
  <c r="R4471" i="1"/>
  <c r="R4472" i="1"/>
  <c r="R4473" i="1"/>
  <c r="R4474" i="1"/>
  <c r="R4475" i="1"/>
  <c r="R4476" i="1"/>
  <c r="R4477" i="1"/>
  <c r="R4478" i="1"/>
  <c r="R4479" i="1"/>
  <c r="R4480" i="1"/>
  <c r="R4481" i="1"/>
  <c r="R4482" i="1"/>
  <c r="R4483" i="1"/>
  <c r="R4484" i="1"/>
  <c r="R4485" i="1"/>
  <c r="R4486" i="1"/>
  <c r="R4487" i="1"/>
  <c r="R4488" i="1"/>
  <c r="R4489" i="1"/>
  <c r="R4490" i="1"/>
  <c r="R4491" i="1"/>
  <c r="R4492" i="1"/>
  <c r="R4493" i="1"/>
  <c r="R4494" i="1"/>
  <c r="R4495" i="1"/>
  <c r="R4496" i="1"/>
  <c r="R4497" i="1"/>
  <c r="R4498" i="1"/>
  <c r="R4499" i="1"/>
  <c r="R4500" i="1"/>
  <c r="R4501" i="1"/>
  <c r="R4502" i="1"/>
  <c r="R4503" i="1"/>
  <c r="R4504" i="1"/>
  <c r="R4505" i="1"/>
  <c r="R4506" i="1"/>
  <c r="R4507" i="1"/>
  <c r="R4508" i="1"/>
  <c r="R4509" i="1"/>
  <c r="R4510" i="1"/>
  <c r="R4511" i="1"/>
  <c r="R4512" i="1"/>
  <c r="R4513" i="1"/>
  <c r="R4514" i="1"/>
  <c r="R4515" i="1"/>
  <c r="R4516" i="1"/>
  <c r="R4517" i="1"/>
  <c r="R4518" i="1"/>
  <c r="R4519" i="1"/>
  <c r="R4520" i="1"/>
  <c r="R4521" i="1"/>
  <c r="R4522" i="1"/>
  <c r="R4523" i="1"/>
  <c r="R4524" i="1"/>
  <c r="R4525" i="1"/>
  <c r="R4526" i="1"/>
  <c r="R4527" i="1"/>
  <c r="R4528" i="1"/>
  <c r="R4529" i="1"/>
  <c r="R4530" i="1"/>
  <c r="R4531" i="1"/>
  <c r="R4532" i="1"/>
  <c r="R4533" i="1"/>
  <c r="R4534" i="1"/>
  <c r="R4535" i="1"/>
  <c r="R4536" i="1"/>
  <c r="R4537" i="1"/>
  <c r="R4538" i="1"/>
  <c r="R4539" i="1"/>
  <c r="R4540" i="1"/>
  <c r="R4541" i="1"/>
  <c r="R4542" i="1"/>
  <c r="R4543" i="1"/>
  <c r="R4544" i="1"/>
  <c r="R4545" i="1"/>
  <c r="R4546" i="1"/>
  <c r="R4547" i="1"/>
  <c r="R4548" i="1"/>
  <c r="R4549" i="1"/>
  <c r="R4550" i="1"/>
  <c r="R4551" i="1"/>
  <c r="R4552" i="1"/>
  <c r="R4553" i="1"/>
  <c r="R4554" i="1"/>
  <c r="R4555" i="1"/>
  <c r="R4556" i="1"/>
  <c r="R4557" i="1"/>
  <c r="R4558" i="1"/>
  <c r="R4559" i="1"/>
  <c r="R4560" i="1"/>
  <c r="R4561" i="1"/>
  <c r="R4562" i="1"/>
  <c r="R4563" i="1"/>
  <c r="R4564" i="1"/>
  <c r="R4565" i="1"/>
  <c r="R4566" i="1"/>
  <c r="R4567" i="1"/>
  <c r="R4568" i="1"/>
  <c r="R4569" i="1"/>
  <c r="R4570" i="1"/>
  <c r="R4571" i="1"/>
  <c r="R4572" i="1"/>
  <c r="R4573" i="1"/>
  <c r="R4574" i="1"/>
  <c r="R4575" i="1"/>
  <c r="R4576" i="1"/>
  <c r="R4577" i="1"/>
  <c r="R4578" i="1"/>
  <c r="R4579" i="1"/>
  <c r="R4580" i="1"/>
  <c r="R4581" i="1"/>
  <c r="R4582" i="1"/>
  <c r="R4583" i="1"/>
  <c r="R4584" i="1"/>
  <c r="R4585" i="1"/>
  <c r="R4586" i="1"/>
  <c r="R4587" i="1"/>
  <c r="R4588" i="1"/>
  <c r="R4589" i="1"/>
  <c r="R4590" i="1"/>
  <c r="R4591" i="1"/>
  <c r="R4592" i="1"/>
  <c r="R4593" i="1"/>
  <c r="R4594" i="1"/>
  <c r="R4595" i="1"/>
  <c r="R4596" i="1"/>
  <c r="R4597" i="1"/>
  <c r="R4598" i="1"/>
  <c r="R4599" i="1"/>
  <c r="R4600" i="1"/>
  <c r="R4601" i="1"/>
  <c r="R4602" i="1"/>
  <c r="R4603" i="1"/>
  <c r="R4604" i="1"/>
  <c r="R4605" i="1"/>
  <c r="R4606" i="1"/>
  <c r="R4607" i="1"/>
  <c r="R4608" i="1"/>
  <c r="R4609" i="1"/>
  <c r="R4610" i="1"/>
  <c r="R4611" i="1"/>
  <c r="R4612" i="1"/>
  <c r="R4613" i="1"/>
  <c r="R4614" i="1"/>
  <c r="R4615" i="1"/>
  <c r="R4616" i="1"/>
  <c r="R4617" i="1"/>
  <c r="R4618" i="1"/>
  <c r="R4619" i="1"/>
  <c r="R4620" i="1"/>
  <c r="R4621" i="1"/>
  <c r="R4622" i="1"/>
  <c r="R4623" i="1"/>
  <c r="R4624" i="1"/>
  <c r="R4625" i="1"/>
  <c r="R4626" i="1"/>
  <c r="R4627" i="1"/>
  <c r="R4628" i="1"/>
  <c r="R4629" i="1"/>
  <c r="R4630" i="1"/>
  <c r="R4631" i="1"/>
  <c r="R4632" i="1"/>
  <c r="R4633" i="1"/>
  <c r="R4634" i="1"/>
  <c r="R4635" i="1"/>
  <c r="R4636" i="1"/>
  <c r="R4637" i="1"/>
  <c r="R4638" i="1"/>
  <c r="R4639" i="1"/>
  <c r="R4640" i="1"/>
  <c r="R4641" i="1"/>
  <c r="R4642" i="1"/>
  <c r="R4643" i="1"/>
  <c r="R4644" i="1"/>
  <c r="R4645" i="1"/>
  <c r="R4646" i="1"/>
  <c r="R4647" i="1"/>
  <c r="R4648" i="1"/>
  <c r="R4649" i="1"/>
  <c r="R4650" i="1"/>
  <c r="R4651" i="1"/>
  <c r="R4652" i="1"/>
  <c r="R4653" i="1"/>
  <c r="R4654" i="1"/>
  <c r="R4655" i="1"/>
  <c r="R4656" i="1"/>
  <c r="R4657" i="1"/>
  <c r="R4658" i="1"/>
  <c r="R4659" i="1"/>
  <c r="R4660" i="1"/>
  <c r="R4661" i="1"/>
  <c r="R4662" i="1"/>
  <c r="R4663" i="1"/>
  <c r="R4664" i="1"/>
  <c r="R4665" i="1"/>
  <c r="R4666" i="1"/>
  <c r="R4667" i="1"/>
  <c r="R4668" i="1"/>
  <c r="R4669" i="1"/>
  <c r="R4670" i="1"/>
  <c r="R4671" i="1"/>
  <c r="R4672" i="1"/>
  <c r="R4673" i="1"/>
  <c r="R4674" i="1"/>
  <c r="R4675" i="1"/>
  <c r="R4676" i="1"/>
  <c r="R4677" i="1"/>
  <c r="R4678" i="1"/>
  <c r="R4679" i="1"/>
  <c r="R4680" i="1"/>
  <c r="R4681" i="1"/>
  <c r="R4682" i="1"/>
  <c r="R4683" i="1"/>
  <c r="R4684" i="1"/>
  <c r="R4685" i="1"/>
  <c r="R4686" i="1"/>
  <c r="R4687" i="1"/>
  <c r="R4688" i="1"/>
  <c r="R4689" i="1"/>
  <c r="R4690" i="1"/>
  <c r="R4691" i="1"/>
  <c r="R4692" i="1"/>
  <c r="R4693" i="1"/>
  <c r="R4694" i="1"/>
  <c r="R4695" i="1"/>
  <c r="R4696" i="1"/>
  <c r="R4697" i="1"/>
  <c r="R4698" i="1"/>
  <c r="R4699" i="1"/>
  <c r="R4700" i="1"/>
  <c r="R4701" i="1"/>
  <c r="R4702" i="1"/>
  <c r="R4703" i="1"/>
  <c r="R4704" i="1"/>
  <c r="R4705" i="1"/>
  <c r="R4706" i="1"/>
  <c r="R4707" i="1"/>
  <c r="R4708" i="1"/>
  <c r="R4709" i="1"/>
  <c r="R4710" i="1"/>
  <c r="R4711" i="1"/>
  <c r="R4712" i="1"/>
  <c r="R4713" i="1"/>
  <c r="R4714" i="1"/>
  <c r="R4715" i="1"/>
  <c r="R4716" i="1"/>
  <c r="R4717" i="1"/>
  <c r="R4718" i="1"/>
  <c r="R4719" i="1"/>
  <c r="R4720" i="1"/>
  <c r="R4721" i="1"/>
  <c r="R4722" i="1"/>
  <c r="R4723" i="1"/>
  <c r="R4724" i="1"/>
  <c r="R4725" i="1"/>
  <c r="R4726" i="1"/>
  <c r="R4727" i="1"/>
  <c r="R4728" i="1"/>
  <c r="R4729" i="1"/>
  <c r="R4730" i="1"/>
  <c r="R4731" i="1"/>
  <c r="R4732" i="1"/>
  <c r="R4733" i="1"/>
  <c r="R4734" i="1"/>
  <c r="R4735" i="1"/>
  <c r="R4736" i="1"/>
  <c r="R4737" i="1"/>
  <c r="R4738" i="1"/>
  <c r="R4739" i="1"/>
  <c r="R4740" i="1"/>
  <c r="R4741" i="1"/>
  <c r="R4742" i="1"/>
  <c r="R4743" i="1"/>
  <c r="R4744" i="1"/>
  <c r="R4745" i="1"/>
  <c r="R4746" i="1"/>
  <c r="R4747" i="1"/>
  <c r="R4748" i="1"/>
  <c r="R4749" i="1"/>
  <c r="R4750" i="1"/>
  <c r="R4751" i="1"/>
  <c r="R4752" i="1"/>
  <c r="R4753" i="1"/>
  <c r="R4754" i="1"/>
  <c r="R4755" i="1"/>
  <c r="R4756" i="1"/>
  <c r="R4757" i="1"/>
  <c r="R4758" i="1"/>
  <c r="R4759" i="1"/>
  <c r="R4760" i="1"/>
  <c r="R4761" i="1"/>
  <c r="R4762" i="1"/>
  <c r="R4763" i="1"/>
  <c r="R4764" i="1"/>
  <c r="R4765" i="1"/>
  <c r="R4766" i="1"/>
  <c r="R4767" i="1"/>
  <c r="R4768" i="1"/>
  <c r="R4769" i="1"/>
  <c r="R4770" i="1"/>
  <c r="R4771" i="1"/>
  <c r="R4772" i="1"/>
  <c r="R4773" i="1"/>
  <c r="R4774" i="1"/>
  <c r="R4775" i="1"/>
  <c r="R4776" i="1"/>
  <c r="R4777" i="1"/>
  <c r="R4778" i="1"/>
  <c r="R4779" i="1"/>
  <c r="R4780" i="1"/>
  <c r="R4781" i="1"/>
  <c r="R4782" i="1"/>
  <c r="R4783" i="1"/>
  <c r="R4784" i="1"/>
  <c r="R4785" i="1"/>
  <c r="R4786" i="1"/>
  <c r="R4787" i="1"/>
  <c r="R4788" i="1"/>
  <c r="R4789" i="1"/>
  <c r="R4790" i="1"/>
  <c r="R4791" i="1"/>
  <c r="R4792" i="1"/>
  <c r="R4793" i="1"/>
  <c r="R4794" i="1"/>
  <c r="R4795" i="1"/>
  <c r="R4796" i="1"/>
  <c r="R4797" i="1"/>
  <c r="R4798" i="1"/>
  <c r="R4799" i="1"/>
  <c r="R4800" i="1"/>
  <c r="R4801" i="1"/>
  <c r="R4802" i="1"/>
  <c r="R4803" i="1"/>
  <c r="R4804" i="1"/>
  <c r="R4805" i="1"/>
  <c r="R4806" i="1"/>
  <c r="R4807" i="1"/>
  <c r="R4808" i="1"/>
  <c r="R4809" i="1"/>
  <c r="R4810" i="1"/>
  <c r="R4811" i="1"/>
  <c r="R4812" i="1"/>
  <c r="R4813" i="1"/>
  <c r="R4814" i="1"/>
  <c r="R4815" i="1"/>
  <c r="R4816" i="1"/>
  <c r="R4817" i="1"/>
  <c r="R4818" i="1"/>
  <c r="R4819" i="1"/>
  <c r="R4820" i="1"/>
  <c r="R4821" i="1"/>
  <c r="R4822" i="1"/>
  <c r="R4823" i="1"/>
  <c r="R4824" i="1"/>
  <c r="R4825" i="1"/>
  <c r="R4826" i="1"/>
  <c r="R4827" i="1"/>
  <c r="R4828" i="1"/>
  <c r="R4829" i="1"/>
  <c r="R4830" i="1"/>
  <c r="R4831" i="1"/>
  <c r="R4832" i="1"/>
  <c r="R4833" i="1"/>
  <c r="R4834" i="1"/>
  <c r="R4835" i="1"/>
  <c r="R4836" i="1"/>
  <c r="R4837" i="1"/>
  <c r="R4838" i="1"/>
  <c r="R4839" i="1"/>
  <c r="R4840" i="1"/>
  <c r="R4841" i="1"/>
  <c r="R4842" i="1"/>
  <c r="R4843" i="1"/>
  <c r="R4844" i="1"/>
  <c r="R4845" i="1"/>
  <c r="R4846" i="1"/>
  <c r="R4847" i="1"/>
  <c r="R4848" i="1"/>
  <c r="R4849" i="1"/>
  <c r="R4850" i="1"/>
  <c r="R4851" i="1"/>
  <c r="R4852" i="1"/>
  <c r="R4853" i="1"/>
  <c r="R4854" i="1"/>
  <c r="R4855" i="1"/>
  <c r="R4856" i="1"/>
  <c r="R4857" i="1"/>
  <c r="R4858" i="1"/>
  <c r="R4859" i="1"/>
  <c r="R4860" i="1"/>
  <c r="R4861" i="1"/>
  <c r="R4862" i="1"/>
  <c r="R4863" i="1"/>
  <c r="R4864" i="1"/>
  <c r="R4865" i="1"/>
  <c r="R4866" i="1"/>
  <c r="R4867" i="1"/>
  <c r="R4868" i="1"/>
  <c r="R4869" i="1"/>
  <c r="R4870" i="1"/>
  <c r="R4871" i="1"/>
  <c r="R4872" i="1"/>
  <c r="R4873" i="1"/>
  <c r="R4874" i="1"/>
  <c r="R4875" i="1"/>
  <c r="R4876" i="1"/>
  <c r="R4877" i="1"/>
  <c r="R4878" i="1"/>
  <c r="R4879" i="1"/>
  <c r="R4880" i="1"/>
  <c r="R4881" i="1"/>
  <c r="R4882" i="1"/>
  <c r="R4883" i="1"/>
  <c r="R4884" i="1"/>
  <c r="R4885" i="1"/>
  <c r="R4886" i="1"/>
  <c r="R4887" i="1"/>
  <c r="R4888" i="1"/>
  <c r="R4889" i="1"/>
  <c r="R4890" i="1"/>
  <c r="R4891" i="1"/>
  <c r="R4892" i="1"/>
  <c r="R4893" i="1"/>
  <c r="R4894" i="1"/>
  <c r="R4895" i="1"/>
  <c r="R4896" i="1"/>
  <c r="R4897" i="1"/>
  <c r="R4898" i="1"/>
  <c r="R4899" i="1"/>
  <c r="R4900" i="1"/>
  <c r="R4901" i="1"/>
  <c r="R4902" i="1"/>
  <c r="R4903" i="1"/>
  <c r="R4904" i="1"/>
  <c r="R4905" i="1"/>
  <c r="R4906" i="1"/>
  <c r="R4907" i="1"/>
  <c r="R4908" i="1"/>
  <c r="R4909" i="1"/>
  <c r="R4910" i="1"/>
  <c r="R4911" i="1"/>
  <c r="R4912" i="1"/>
  <c r="R4913" i="1"/>
  <c r="R4914" i="1"/>
  <c r="R4915" i="1"/>
  <c r="R4916" i="1"/>
  <c r="R4917" i="1"/>
  <c r="R4918" i="1"/>
  <c r="R4919" i="1"/>
  <c r="R4920" i="1"/>
  <c r="R4921" i="1"/>
  <c r="R4922" i="1"/>
  <c r="R4923" i="1"/>
  <c r="R4924" i="1"/>
  <c r="R4925" i="1"/>
  <c r="R4926" i="1"/>
  <c r="R4927" i="1"/>
  <c r="R4928" i="1"/>
  <c r="R4929" i="1"/>
  <c r="R4930" i="1"/>
  <c r="R4931" i="1"/>
  <c r="R4932" i="1"/>
  <c r="R4933" i="1"/>
  <c r="R4934" i="1"/>
  <c r="R4935" i="1"/>
  <c r="R4936" i="1"/>
  <c r="R4937" i="1"/>
  <c r="R4938" i="1"/>
  <c r="R4939" i="1"/>
  <c r="R4940" i="1"/>
  <c r="R4941" i="1"/>
  <c r="R4942" i="1"/>
  <c r="R4943" i="1"/>
  <c r="R4944" i="1"/>
  <c r="R4945" i="1"/>
  <c r="R4946" i="1"/>
  <c r="R4947" i="1"/>
  <c r="R4948" i="1"/>
  <c r="R4949" i="1"/>
  <c r="R4950" i="1"/>
  <c r="R4951" i="1"/>
  <c r="R4952" i="1"/>
  <c r="R4953" i="1"/>
  <c r="R4954" i="1"/>
  <c r="R4955" i="1"/>
  <c r="R4956" i="1"/>
  <c r="R4957" i="1"/>
  <c r="R4958" i="1"/>
  <c r="R4959" i="1"/>
  <c r="R4960" i="1"/>
  <c r="R4961" i="1"/>
  <c r="R4962" i="1"/>
  <c r="R4963" i="1"/>
  <c r="R4964" i="1"/>
  <c r="R4965" i="1"/>
  <c r="R4966" i="1"/>
  <c r="R4967" i="1"/>
  <c r="R4968" i="1"/>
  <c r="R4969" i="1"/>
  <c r="R4970" i="1"/>
  <c r="R4971" i="1"/>
  <c r="R4972" i="1"/>
  <c r="R4973" i="1"/>
  <c r="R4974" i="1"/>
  <c r="R4975" i="1"/>
  <c r="R4976" i="1"/>
  <c r="R4977" i="1"/>
  <c r="R4978" i="1"/>
  <c r="R4979" i="1"/>
  <c r="R4980" i="1"/>
  <c r="R4981" i="1"/>
  <c r="R4982" i="1"/>
  <c r="R4983" i="1"/>
  <c r="R4984" i="1"/>
  <c r="R4985" i="1"/>
  <c r="R4986" i="1"/>
  <c r="R4987" i="1"/>
  <c r="R4988" i="1"/>
  <c r="R4989" i="1"/>
  <c r="R4990" i="1"/>
  <c r="R4991" i="1"/>
  <c r="R4992" i="1"/>
  <c r="R4993" i="1"/>
  <c r="R4994" i="1"/>
  <c r="R4995" i="1"/>
  <c r="R4996" i="1"/>
  <c r="R4997" i="1"/>
  <c r="R4998" i="1"/>
  <c r="R4999" i="1"/>
  <c r="R5000" i="1"/>
  <c r="R5001" i="1"/>
  <c r="Q2" i="1"/>
  <c r="Q3" i="1"/>
  <c r="Q4" i="1"/>
  <c r="Q5" i="1"/>
  <c r="Q6" i="1"/>
  <c r="Q7" i="1"/>
  <c r="Q8" i="1"/>
  <c r="Q9" i="1"/>
  <c r="Q10" i="1"/>
  <c r="Q11" i="1"/>
  <c r="Q12" i="1"/>
  <c r="Q13" i="1"/>
  <c r="Q14" i="1"/>
  <c r="Q15" i="1"/>
  <c r="Q16" i="1"/>
  <c r="Q17" i="1"/>
  <c r="Q18" i="1"/>
  <c r="Q19" i="1"/>
  <c r="Q20" i="1"/>
  <c r="Q21" i="1"/>
  <c r="Q22" i="1"/>
  <c r="Q23" i="1"/>
  <c r="Q24" i="1"/>
  <c r="Q25" i="1"/>
  <c r="Q26" i="1"/>
  <c r="Q27" i="1"/>
  <c r="Q28" i="1"/>
  <c r="Q29" i="1"/>
  <c r="Q30" i="1"/>
  <c r="Q31" i="1"/>
  <c r="Q32" i="1"/>
  <c r="Q33" i="1"/>
  <c r="Q34" i="1"/>
  <c r="Q35" i="1"/>
  <c r="Q36" i="1"/>
  <c r="Q37" i="1"/>
  <c r="Q38" i="1"/>
  <c r="Q39" i="1"/>
  <c r="Q40" i="1"/>
  <c r="Q41" i="1"/>
  <c r="Q42" i="1"/>
  <c r="Q43" i="1"/>
  <c r="Q44" i="1"/>
  <c r="Q45" i="1"/>
  <c r="Q46" i="1"/>
  <c r="Q47" i="1"/>
  <c r="Q48" i="1"/>
  <c r="Q49" i="1"/>
  <c r="Q50" i="1"/>
  <c r="Q51" i="1"/>
  <c r="Q52" i="1"/>
  <c r="Q53" i="1"/>
  <c r="Q54" i="1"/>
  <c r="Q55" i="1"/>
  <c r="Q56" i="1"/>
  <c r="Q57" i="1"/>
  <c r="Q58" i="1"/>
  <c r="Q59" i="1"/>
  <c r="Q60" i="1"/>
  <c r="Q61" i="1"/>
  <c r="Q62" i="1"/>
  <c r="Q63" i="1"/>
  <c r="Q64" i="1"/>
  <c r="Q65" i="1"/>
  <c r="Q66" i="1"/>
  <c r="Q67" i="1"/>
  <c r="Q68" i="1"/>
  <c r="Q69" i="1"/>
  <c r="Q70" i="1"/>
  <c r="Q71" i="1"/>
  <c r="Q72" i="1"/>
  <c r="Q73" i="1"/>
  <c r="Q74" i="1"/>
  <c r="Q75" i="1"/>
  <c r="Q76" i="1"/>
  <c r="Q77" i="1"/>
  <c r="Q78" i="1"/>
  <c r="Q79" i="1"/>
  <c r="Q80" i="1"/>
  <c r="Q81" i="1"/>
  <c r="Q82" i="1"/>
  <c r="Q83" i="1"/>
  <c r="Q84" i="1"/>
  <c r="Q85" i="1"/>
  <c r="Q86" i="1"/>
  <c r="Q87" i="1"/>
  <c r="Q88" i="1"/>
  <c r="Q89" i="1"/>
  <c r="Q90" i="1"/>
  <c r="Q91" i="1"/>
  <c r="Q92" i="1"/>
  <c r="Q93" i="1"/>
  <c r="Q94" i="1"/>
  <c r="Q95" i="1"/>
  <c r="Q96" i="1"/>
  <c r="Q97" i="1"/>
  <c r="Q98" i="1"/>
  <c r="Q99" i="1"/>
  <c r="Q100" i="1"/>
  <c r="Q101" i="1"/>
  <c r="Q102" i="1"/>
  <c r="Q103" i="1"/>
  <c r="Q104" i="1"/>
  <c r="Q105" i="1"/>
  <c r="Q106" i="1"/>
  <c r="Q107" i="1"/>
  <c r="Q108" i="1"/>
  <c r="Q109" i="1"/>
  <c r="Q110" i="1"/>
  <c r="Q111" i="1"/>
  <c r="Q112" i="1"/>
  <c r="Q113" i="1"/>
  <c r="Q114" i="1"/>
  <c r="Q115" i="1"/>
  <c r="Q116" i="1"/>
  <c r="Q117" i="1"/>
  <c r="Q118" i="1"/>
  <c r="Q119" i="1"/>
  <c r="Q120" i="1"/>
  <c r="Q121" i="1"/>
  <c r="Q122" i="1"/>
  <c r="Q123" i="1"/>
  <c r="Q124" i="1"/>
  <c r="Q125" i="1"/>
  <c r="Q126" i="1"/>
  <c r="Q127" i="1"/>
  <c r="Q128" i="1"/>
  <c r="Q129" i="1"/>
  <c r="Q130" i="1"/>
  <c r="Q131" i="1"/>
  <c r="Q132" i="1"/>
  <c r="Q133" i="1"/>
  <c r="Q134" i="1"/>
  <c r="Q135" i="1"/>
  <c r="Q136" i="1"/>
  <c r="Q137" i="1"/>
  <c r="Q138" i="1"/>
  <c r="Q139" i="1"/>
  <c r="Q140" i="1"/>
  <c r="Q141" i="1"/>
  <c r="Q142" i="1"/>
  <c r="Q143" i="1"/>
  <c r="Q144" i="1"/>
  <c r="Q145" i="1"/>
  <c r="Q146" i="1"/>
  <c r="Q147" i="1"/>
  <c r="Q148" i="1"/>
  <c r="Q149" i="1"/>
  <c r="Q150" i="1"/>
  <c r="Q151" i="1"/>
  <c r="Q152" i="1"/>
  <c r="Q153" i="1"/>
  <c r="Q154" i="1"/>
  <c r="Q155" i="1"/>
  <c r="Q156" i="1"/>
  <c r="Q157" i="1"/>
  <c r="Q158" i="1"/>
  <c r="Q159" i="1"/>
  <c r="Q160" i="1"/>
  <c r="Q161" i="1"/>
  <c r="Q162" i="1"/>
  <c r="Q163" i="1"/>
  <c r="Q164" i="1"/>
  <c r="Q165" i="1"/>
  <c r="Q166" i="1"/>
  <c r="Q167" i="1"/>
  <c r="Q168" i="1"/>
  <c r="Q169" i="1"/>
  <c r="Q170" i="1"/>
  <c r="Q171" i="1"/>
  <c r="Q172" i="1"/>
  <c r="Q173" i="1"/>
  <c r="Q174" i="1"/>
  <c r="Q175" i="1"/>
  <c r="Q176" i="1"/>
  <c r="Q177" i="1"/>
  <c r="Q178" i="1"/>
  <c r="Q179" i="1"/>
  <c r="Q180" i="1"/>
  <c r="Q181" i="1"/>
  <c r="Q182" i="1"/>
  <c r="Q183" i="1"/>
  <c r="Q184" i="1"/>
  <c r="Q185" i="1"/>
  <c r="Q186" i="1"/>
  <c r="Q187" i="1"/>
  <c r="Q188" i="1"/>
  <c r="Q189" i="1"/>
  <c r="Q190" i="1"/>
  <c r="Q191" i="1"/>
  <c r="Q192" i="1"/>
  <c r="Q193" i="1"/>
  <c r="Q194" i="1"/>
  <c r="Q195" i="1"/>
  <c r="Q196" i="1"/>
  <c r="Q197" i="1"/>
  <c r="Q198" i="1"/>
  <c r="Q199" i="1"/>
  <c r="Q200" i="1"/>
  <c r="Q201" i="1"/>
  <c r="Q202" i="1"/>
  <c r="Q203" i="1"/>
  <c r="Q204" i="1"/>
  <c r="Q205" i="1"/>
  <c r="Q206" i="1"/>
  <c r="Q207" i="1"/>
  <c r="Q208" i="1"/>
  <c r="Q209" i="1"/>
  <c r="Q210" i="1"/>
  <c r="Q211" i="1"/>
  <c r="Q212" i="1"/>
  <c r="Q213" i="1"/>
  <c r="Q214" i="1"/>
  <c r="Q215" i="1"/>
  <c r="Q216" i="1"/>
  <c r="Q217" i="1"/>
  <c r="Q218" i="1"/>
  <c r="Q219" i="1"/>
  <c r="Q220" i="1"/>
  <c r="Q221" i="1"/>
  <c r="Q222" i="1"/>
  <c r="Q223" i="1"/>
  <c r="Q224" i="1"/>
  <c r="Q225" i="1"/>
  <c r="Q226" i="1"/>
  <c r="Q227" i="1"/>
  <c r="Q228" i="1"/>
  <c r="Q229" i="1"/>
  <c r="Q230" i="1"/>
  <c r="Q231" i="1"/>
  <c r="Q232" i="1"/>
  <c r="Q233" i="1"/>
  <c r="Q234" i="1"/>
  <c r="Q235" i="1"/>
  <c r="Q236" i="1"/>
  <c r="Q237" i="1"/>
  <c r="Q238" i="1"/>
  <c r="Q239" i="1"/>
  <c r="Q240" i="1"/>
  <c r="Q241" i="1"/>
  <c r="Q242" i="1"/>
  <c r="Q243" i="1"/>
  <c r="Q244" i="1"/>
  <c r="Q245" i="1"/>
  <c r="Q246" i="1"/>
  <c r="Q247" i="1"/>
  <c r="Q248" i="1"/>
  <c r="Q249" i="1"/>
  <c r="Q250" i="1"/>
  <c r="Q251" i="1"/>
  <c r="Q252" i="1"/>
  <c r="Q253" i="1"/>
  <c r="Q254" i="1"/>
  <c r="Q255" i="1"/>
  <c r="Q256" i="1"/>
  <c r="Q257" i="1"/>
  <c r="Q258" i="1"/>
  <c r="Q259" i="1"/>
  <c r="Q260" i="1"/>
  <c r="Q261" i="1"/>
  <c r="Q262" i="1"/>
  <c r="Q263" i="1"/>
  <c r="Q264" i="1"/>
  <c r="Q265" i="1"/>
  <c r="Q266" i="1"/>
  <c r="Q267" i="1"/>
  <c r="Q268" i="1"/>
  <c r="Q269" i="1"/>
  <c r="Q270" i="1"/>
  <c r="Q271" i="1"/>
  <c r="Q272" i="1"/>
  <c r="Q273" i="1"/>
  <c r="Q274" i="1"/>
  <c r="Q275" i="1"/>
  <c r="Q276" i="1"/>
  <c r="Q277" i="1"/>
  <c r="Q278" i="1"/>
  <c r="Q279" i="1"/>
  <c r="Q280" i="1"/>
  <c r="Q281" i="1"/>
  <c r="Q282" i="1"/>
  <c r="Q283" i="1"/>
  <c r="Q284" i="1"/>
  <c r="Q285" i="1"/>
  <c r="Q286" i="1"/>
  <c r="Q287" i="1"/>
  <c r="Q288" i="1"/>
  <c r="Q289" i="1"/>
  <c r="Q290" i="1"/>
  <c r="Q291" i="1"/>
  <c r="Q292" i="1"/>
  <c r="Q293" i="1"/>
  <c r="Q294" i="1"/>
  <c r="Q295" i="1"/>
  <c r="Q296" i="1"/>
  <c r="Q297" i="1"/>
  <c r="Q298" i="1"/>
  <c r="Q299" i="1"/>
  <c r="Q300" i="1"/>
  <c r="Q301" i="1"/>
  <c r="Q302" i="1"/>
  <c r="Q303" i="1"/>
  <c r="Q304" i="1"/>
  <c r="Q305" i="1"/>
  <c r="Q306" i="1"/>
  <c r="Q307" i="1"/>
  <c r="Q308" i="1"/>
  <c r="Q309" i="1"/>
  <c r="Q310" i="1"/>
  <c r="Q311" i="1"/>
  <c r="Q312" i="1"/>
  <c r="Q313" i="1"/>
  <c r="Q314" i="1"/>
  <c r="Q315" i="1"/>
  <c r="Q316" i="1"/>
  <c r="Q317" i="1"/>
  <c r="Q318" i="1"/>
  <c r="Q319" i="1"/>
  <c r="Q320" i="1"/>
  <c r="Q321" i="1"/>
  <c r="Q322" i="1"/>
  <c r="Q323" i="1"/>
  <c r="Q324" i="1"/>
  <c r="Q325" i="1"/>
  <c r="Q326" i="1"/>
  <c r="Q327" i="1"/>
  <c r="Q328" i="1"/>
  <c r="Q329" i="1"/>
  <c r="Q330" i="1"/>
  <c r="Q331" i="1"/>
  <c r="Q332" i="1"/>
  <c r="Q333" i="1"/>
  <c r="Q334" i="1"/>
  <c r="Q335" i="1"/>
  <c r="Q336" i="1"/>
  <c r="Q337" i="1"/>
  <c r="Q338" i="1"/>
  <c r="Q339" i="1"/>
  <c r="Q340" i="1"/>
  <c r="Q341" i="1"/>
  <c r="Q342" i="1"/>
  <c r="Q343" i="1"/>
  <c r="Q344" i="1"/>
  <c r="Q345" i="1"/>
  <c r="Q346" i="1"/>
  <c r="Q347" i="1"/>
  <c r="Q348" i="1"/>
  <c r="Q349" i="1"/>
  <c r="Q350" i="1"/>
  <c r="Q351" i="1"/>
  <c r="Q352" i="1"/>
  <c r="Q353" i="1"/>
  <c r="Q354" i="1"/>
  <c r="Q355" i="1"/>
  <c r="Q356" i="1"/>
  <c r="Q357" i="1"/>
  <c r="Q358" i="1"/>
  <c r="Q359" i="1"/>
  <c r="Q360" i="1"/>
  <c r="Q361" i="1"/>
  <c r="Q362" i="1"/>
  <c r="Q363" i="1"/>
  <c r="Q364" i="1"/>
  <c r="Q365" i="1"/>
  <c r="Q366" i="1"/>
  <c r="Q367" i="1"/>
  <c r="Q368" i="1"/>
  <c r="Q369" i="1"/>
  <c r="Q370" i="1"/>
  <c r="Q371" i="1"/>
  <c r="Q372" i="1"/>
  <c r="Q373" i="1"/>
  <c r="Q374" i="1"/>
  <c r="Q375" i="1"/>
  <c r="Q376" i="1"/>
  <c r="Q377" i="1"/>
  <c r="Q378" i="1"/>
  <c r="Q379" i="1"/>
  <c r="Q380" i="1"/>
  <c r="Q381" i="1"/>
  <c r="Q382" i="1"/>
  <c r="Q383" i="1"/>
  <c r="Q384" i="1"/>
  <c r="Q385" i="1"/>
  <c r="Q386" i="1"/>
  <c r="Q387" i="1"/>
  <c r="Q388" i="1"/>
  <c r="Q389" i="1"/>
  <c r="Q390" i="1"/>
  <c r="Q391" i="1"/>
  <c r="Q392" i="1"/>
  <c r="Q393" i="1"/>
  <c r="Q394" i="1"/>
  <c r="Q395" i="1"/>
  <c r="Q396" i="1"/>
  <c r="Q397" i="1"/>
  <c r="Q398" i="1"/>
  <c r="Q399" i="1"/>
  <c r="Q400" i="1"/>
  <c r="Q401" i="1"/>
  <c r="Q402" i="1"/>
  <c r="Q403" i="1"/>
  <c r="Q404" i="1"/>
  <c r="Q405" i="1"/>
  <c r="Q406" i="1"/>
  <c r="Q407" i="1"/>
  <c r="Q408" i="1"/>
  <c r="Q409" i="1"/>
  <c r="Q410" i="1"/>
  <c r="Q411" i="1"/>
  <c r="Q412" i="1"/>
  <c r="Q413" i="1"/>
  <c r="Q414" i="1"/>
  <c r="Q415" i="1"/>
  <c r="Q416" i="1"/>
  <c r="Q417" i="1"/>
  <c r="Q418" i="1"/>
  <c r="Q419" i="1"/>
  <c r="Q420" i="1"/>
  <c r="Q421" i="1"/>
  <c r="Q422" i="1"/>
  <c r="Q423" i="1"/>
  <c r="Q424" i="1"/>
  <c r="Q425" i="1"/>
  <c r="Q426" i="1"/>
  <c r="Q427" i="1"/>
  <c r="Q428" i="1"/>
  <c r="Q429" i="1"/>
  <c r="Q430" i="1"/>
  <c r="Q431" i="1"/>
  <c r="Q432" i="1"/>
  <c r="Q433" i="1"/>
  <c r="Q434" i="1"/>
  <c r="Q435" i="1"/>
  <c r="Q436" i="1"/>
  <c r="Q437" i="1"/>
  <c r="Q438" i="1"/>
  <c r="Q439" i="1"/>
  <c r="Q440" i="1"/>
  <c r="Q441" i="1"/>
  <c r="Q442" i="1"/>
  <c r="Q443" i="1"/>
  <c r="Q444" i="1"/>
  <c r="Q445" i="1"/>
  <c r="Q446" i="1"/>
  <c r="Q447" i="1"/>
  <c r="Q448" i="1"/>
  <c r="Q449" i="1"/>
  <c r="Q450" i="1"/>
  <c r="Q451" i="1"/>
  <c r="Q452" i="1"/>
  <c r="Q453" i="1"/>
  <c r="Q454" i="1"/>
  <c r="Q455" i="1"/>
  <c r="Q456" i="1"/>
  <c r="Q457" i="1"/>
  <c r="Q458" i="1"/>
  <c r="Q459" i="1"/>
  <c r="Q460" i="1"/>
  <c r="Q461" i="1"/>
  <c r="Q462" i="1"/>
  <c r="Q463" i="1"/>
  <c r="Q464" i="1"/>
  <c r="Q465" i="1"/>
  <c r="Q466" i="1"/>
  <c r="Q467" i="1"/>
  <c r="Q468" i="1"/>
  <c r="Q469" i="1"/>
  <c r="Q470" i="1"/>
  <c r="Q471" i="1"/>
  <c r="Q472" i="1"/>
  <c r="Q473" i="1"/>
  <c r="Q474" i="1"/>
  <c r="Q475" i="1"/>
  <c r="Q476" i="1"/>
  <c r="Q477" i="1"/>
  <c r="Q478" i="1"/>
  <c r="Q479" i="1"/>
  <c r="Q480" i="1"/>
  <c r="Q481" i="1"/>
  <c r="Q482" i="1"/>
  <c r="Q483" i="1"/>
  <c r="Q484" i="1"/>
  <c r="Q485" i="1"/>
  <c r="Q486" i="1"/>
  <c r="Q487" i="1"/>
  <c r="Q488" i="1"/>
  <c r="Q489" i="1"/>
  <c r="Q490" i="1"/>
  <c r="Q491" i="1"/>
  <c r="Q492" i="1"/>
  <c r="Q493" i="1"/>
  <c r="Q494" i="1"/>
  <c r="Q495" i="1"/>
  <c r="Q496" i="1"/>
  <c r="Q497" i="1"/>
  <c r="Q498" i="1"/>
  <c r="Q499" i="1"/>
  <c r="Q500" i="1"/>
  <c r="Q501" i="1"/>
  <c r="Q502" i="1"/>
  <c r="Q503" i="1"/>
  <c r="Q504" i="1"/>
  <c r="Q505" i="1"/>
  <c r="Q506" i="1"/>
  <c r="Q507" i="1"/>
  <c r="Q508" i="1"/>
  <c r="Q509" i="1"/>
  <c r="Q510" i="1"/>
  <c r="Q511" i="1"/>
  <c r="Q512" i="1"/>
  <c r="Q513" i="1"/>
  <c r="Q514" i="1"/>
  <c r="Q515" i="1"/>
  <c r="Q516" i="1"/>
  <c r="Q517" i="1"/>
  <c r="Q518" i="1"/>
  <c r="Q519" i="1"/>
  <c r="Q520" i="1"/>
  <c r="Q521" i="1"/>
  <c r="Q522" i="1"/>
  <c r="Q523" i="1"/>
  <c r="Q524" i="1"/>
  <c r="Q525" i="1"/>
  <c r="Q526" i="1"/>
  <c r="Q527" i="1"/>
  <c r="Q528" i="1"/>
  <c r="Q529" i="1"/>
  <c r="Q530" i="1"/>
  <c r="Q531" i="1"/>
  <c r="Q532" i="1"/>
  <c r="Q533" i="1"/>
  <c r="Q534" i="1"/>
  <c r="Q535" i="1"/>
  <c r="Q536" i="1"/>
  <c r="Q537" i="1"/>
  <c r="Q538" i="1"/>
  <c r="Q539" i="1"/>
  <c r="Q540" i="1"/>
  <c r="Q541" i="1"/>
  <c r="Q542" i="1"/>
  <c r="Q543" i="1"/>
  <c r="Q544" i="1"/>
  <c r="Q545" i="1"/>
  <c r="Q546" i="1"/>
  <c r="Q547" i="1"/>
  <c r="Q548" i="1"/>
  <c r="Q549" i="1"/>
  <c r="Q550" i="1"/>
  <c r="Q551" i="1"/>
  <c r="Q552" i="1"/>
  <c r="Q553" i="1"/>
  <c r="Q554" i="1"/>
  <c r="Q555" i="1"/>
  <c r="Q556" i="1"/>
  <c r="Q557" i="1"/>
  <c r="Q558" i="1"/>
  <c r="Q559" i="1"/>
  <c r="Q560" i="1"/>
  <c r="Q561" i="1"/>
  <c r="Q562" i="1"/>
  <c r="Q563" i="1"/>
  <c r="Q564" i="1"/>
  <c r="Q565" i="1"/>
  <c r="Q566" i="1"/>
  <c r="Q567" i="1"/>
  <c r="Q568" i="1"/>
  <c r="Q569" i="1"/>
  <c r="Q570" i="1"/>
  <c r="Q571" i="1"/>
  <c r="Q572" i="1"/>
  <c r="Q573" i="1"/>
  <c r="Q574" i="1"/>
  <c r="Q575" i="1"/>
  <c r="Q576" i="1"/>
  <c r="Q577" i="1"/>
  <c r="Q578" i="1"/>
  <c r="Q579" i="1"/>
  <c r="Q580" i="1"/>
  <c r="Q581" i="1"/>
  <c r="Q582" i="1"/>
  <c r="Q583" i="1"/>
  <c r="Q584" i="1"/>
  <c r="Q585" i="1"/>
  <c r="Q586" i="1"/>
  <c r="Q587" i="1"/>
  <c r="Q588" i="1"/>
  <c r="Q589" i="1"/>
  <c r="Q590" i="1"/>
  <c r="Q591" i="1"/>
  <c r="Q592" i="1"/>
  <c r="Q593" i="1"/>
  <c r="Q594" i="1"/>
  <c r="Q595" i="1"/>
  <c r="Q596" i="1"/>
  <c r="Q597" i="1"/>
  <c r="Q598" i="1"/>
  <c r="Q599" i="1"/>
  <c r="Q600" i="1"/>
  <c r="Q601" i="1"/>
  <c r="Q602" i="1"/>
  <c r="Q603" i="1"/>
  <c r="Q604" i="1"/>
  <c r="Q605" i="1"/>
  <c r="Q606" i="1"/>
  <c r="Q607" i="1"/>
  <c r="Q608" i="1"/>
  <c r="Q609" i="1"/>
  <c r="Q610" i="1"/>
  <c r="Q611" i="1"/>
  <c r="Q612" i="1"/>
  <c r="Q613" i="1"/>
  <c r="Q614" i="1"/>
  <c r="Q615" i="1"/>
  <c r="Q616" i="1"/>
  <c r="Q617" i="1"/>
  <c r="Q618" i="1"/>
  <c r="Q619" i="1"/>
  <c r="Q620" i="1"/>
  <c r="Q621" i="1"/>
  <c r="Q622" i="1"/>
  <c r="Q623" i="1"/>
  <c r="Q624" i="1"/>
  <c r="Q625" i="1"/>
  <c r="Q626" i="1"/>
  <c r="Q627" i="1"/>
  <c r="Q628" i="1"/>
  <c r="Q629" i="1"/>
  <c r="Q630" i="1"/>
  <c r="Q631" i="1"/>
  <c r="Q632" i="1"/>
  <c r="Q633" i="1"/>
  <c r="Q634" i="1"/>
  <c r="Q635" i="1"/>
  <c r="Q636" i="1"/>
  <c r="Q637" i="1"/>
  <c r="Q638" i="1"/>
  <c r="Q639" i="1"/>
  <c r="Q640" i="1"/>
  <c r="Q641" i="1"/>
  <c r="Q642" i="1"/>
  <c r="Q643" i="1"/>
  <c r="Q644" i="1"/>
  <c r="Q645" i="1"/>
  <c r="Q646" i="1"/>
  <c r="Q647" i="1"/>
  <c r="Q648" i="1"/>
  <c r="Q649" i="1"/>
  <c r="Q650" i="1"/>
  <c r="Q651" i="1"/>
  <c r="Q652" i="1"/>
  <c r="Q653" i="1"/>
  <c r="Q654" i="1"/>
  <c r="Q655" i="1"/>
  <c r="Q656" i="1"/>
  <c r="Q657" i="1"/>
  <c r="Q658" i="1"/>
  <c r="Q659" i="1"/>
  <c r="Q660" i="1"/>
  <c r="Q661" i="1"/>
  <c r="Q662" i="1"/>
  <c r="Q663" i="1"/>
  <c r="Q664" i="1"/>
  <c r="Q665" i="1"/>
  <c r="Q666" i="1"/>
  <c r="Q667" i="1"/>
  <c r="Q668" i="1"/>
  <c r="Q669" i="1"/>
  <c r="Q670" i="1"/>
  <c r="Q671" i="1"/>
  <c r="Q672" i="1"/>
  <c r="Q673" i="1"/>
  <c r="Q674" i="1"/>
  <c r="Q675" i="1"/>
  <c r="Q676" i="1"/>
  <c r="Q677" i="1"/>
  <c r="Q678" i="1"/>
  <c r="Q679" i="1"/>
  <c r="Q680" i="1"/>
  <c r="Q681" i="1"/>
  <c r="Q682" i="1"/>
  <c r="Q683" i="1"/>
  <c r="Q684" i="1"/>
  <c r="Q685" i="1"/>
  <c r="Q686" i="1"/>
  <c r="Q687" i="1"/>
  <c r="Q688" i="1"/>
  <c r="Q689" i="1"/>
  <c r="Q690" i="1"/>
  <c r="Q691" i="1"/>
  <c r="Q692" i="1"/>
  <c r="Q693" i="1"/>
  <c r="Q694" i="1"/>
  <c r="Q695" i="1"/>
  <c r="Q696" i="1"/>
  <c r="Q697" i="1"/>
  <c r="Q698" i="1"/>
  <c r="Q699" i="1"/>
  <c r="Q700" i="1"/>
  <c r="Q701" i="1"/>
  <c r="Q702" i="1"/>
  <c r="Q703" i="1"/>
  <c r="Q704" i="1"/>
  <c r="Q705" i="1"/>
  <c r="Q706" i="1"/>
  <c r="Q707" i="1"/>
  <c r="Q708" i="1"/>
  <c r="Q709" i="1"/>
  <c r="Q710" i="1"/>
  <c r="Q711" i="1"/>
  <c r="Q712" i="1"/>
  <c r="Q713" i="1"/>
  <c r="Q714" i="1"/>
  <c r="Q715" i="1"/>
  <c r="Q716" i="1"/>
  <c r="Q717" i="1"/>
  <c r="Q718" i="1"/>
  <c r="Q719" i="1"/>
  <c r="Q720" i="1"/>
  <c r="Q721" i="1"/>
  <c r="Q722" i="1"/>
  <c r="Q723" i="1"/>
  <c r="Q724" i="1"/>
  <c r="Q725" i="1"/>
  <c r="Q726" i="1"/>
  <c r="Q727" i="1"/>
  <c r="Q728" i="1"/>
  <c r="Q729" i="1"/>
  <c r="Q730" i="1"/>
  <c r="Q731" i="1"/>
  <c r="Q732" i="1"/>
  <c r="Q733" i="1"/>
  <c r="Q734" i="1"/>
  <c r="Q735" i="1"/>
  <c r="Q736" i="1"/>
  <c r="Q737" i="1"/>
  <c r="Q738" i="1"/>
  <c r="Q739" i="1"/>
  <c r="Q740" i="1"/>
  <c r="Q741" i="1"/>
  <c r="Q742" i="1"/>
  <c r="Q743" i="1"/>
  <c r="Q744" i="1"/>
  <c r="Q745" i="1"/>
  <c r="Q746" i="1"/>
  <c r="Q747" i="1"/>
  <c r="Q748" i="1"/>
  <c r="Q749" i="1"/>
  <c r="Q750" i="1"/>
  <c r="Q751" i="1"/>
  <c r="Q752" i="1"/>
  <c r="Q753" i="1"/>
  <c r="Q754" i="1"/>
  <c r="Q755" i="1"/>
  <c r="Q756" i="1"/>
  <c r="Q757" i="1"/>
  <c r="Q758" i="1"/>
  <c r="Q759" i="1"/>
  <c r="Q760" i="1"/>
  <c r="Q761" i="1"/>
  <c r="Q762" i="1"/>
  <c r="Q763" i="1"/>
  <c r="Q764" i="1"/>
  <c r="Q765" i="1"/>
  <c r="Q766" i="1"/>
  <c r="Q767" i="1"/>
  <c r="Q768" i="1"/>
  <c r="Q769" i="1"/>
  <c r="Q770" i="1"/>
  <c r="Q771" i="1"/>
  <c r="Q772" i="1"/>
  <c r="Q773" i="1"/>
  <c r="Q774" i="1"/>
  <c r="Q775" i="1"/>
  <c r="Q776" i="1"/>
  <c r="Q777" i="1"/>
  <c r="Q778" i="1"/>
  <c r="Q779" i="1"/>
  <c r="Q780" i="1"/>
  <c r="Q781" i="1"/>
  <c r="Q782" i="1"/>
  <c r="Q783" i="1"/>
  <c r="Q784" i="1"/>
  <c r="Q785" i="1"/>
  <c r="Q786" i="1"/>
  <c r="Q787" i="1"/>
  <c r="Q788" i="1"/>
  <c r="Q789" i="1"/>
  <c r="Q790" i="1"/>
  <c r="Q791" i="1"/>
  <c r="Q792" i="1"/>
  <c r="Q793" i="1"/>
  <c r="Q794" i="1"/>
  <c r="Q795" i="1"/>
  <c r="Q796" i="1"/>
  <c r="Q797" i="1"/>
  <c r="Q798" i="1"/>
  <c r="Q799" i="1"/>
  <c r="Q800" i="1"/>
  <c r="Q801" i="1"/>
  <c r="Q802" i="1"/>
  <c r="Q803" i="1"/>
  <c r="Q804" i="1"/>
  <c r="Q805" i="1"/>
  <c r="Q806" i="1"/>
  <c r="Q807" i="1"/>
  <c r="Q808" i="1"/>
  <c r="Q809" i="1"/>
  <c r="Q810" i="1"/>
  <c r="Q811" i="1"/>
  <c r="Q812" i="1"/>
  <c r="Q813" i="1"/>
  <c r="Q814" i="1"/>
  <c r="Q815" i="1"/>
  <c r="Q816" i="1"/>
  <c r="Q817" i="1"/>
  <c r="Q818" i="1"/>
  <c r="Q819" i="1"/>
  <c r="Q820" i="1"/>
  <c r="Q821" i="1"/>
  <c r="Q822" i="1"/>
  <c r="Q823" i="1"/>
  <c r="Q824" i="1"/>
  <c r="Q825" i="1"/>
  <c r="Q826" i="1"/>
  <c r="Q827" i="1"/>
  <c r="Q828" i="1"/>
  <c r="Q829" i="1"/>
  <c r="Q830" i="1"/>
  <c r="Q831" i="1"/>
  <c r="Q832" i="1"/>
  <c r="Q833" i="1"/>
  <c r="Q834" i="1"/>
  <c r="Q835" i="1"/>
  <c r="Q836" i="1"/>
  <c r="Q837" i="1"/>
  <c r="Q838" i="1"/>
  <c r="Q839" i="1"/>
  <c r="Q840" i="1"/>
  <c r="Q841" i="1"/>
  <c r="Q842" i="1"/>
  <c r="Q843" i="1"/>
  <c r="Q844" i="1"/>
  <c r="Q845" i="1"/>
  <c r="Q846" i="1"/>
  <c r="Q847" i="1"/>
  <c r="Q848" i="1"/>
  <c r="Q849" i="1"/>
  <c r="Q850" i="1"/>
  <c r="Q851" i="1"/>
  <c r="Q852" i="1"/>
  <c r="Q853" i="1"/>
  <c r="Q854" i="1"/>
  <c r="Q855" i="1"/>
  <c r="Q856" i="1"/>
  <c r="Q857" i="1"/>
  <c r="Q858" i="1"/>
  <c r="Q859" i="1"/>
  <c r="Q860" i="1"/>
  <c r="Q861" i="1"/>
  <c r="Q862" i="1"/>
  <c r="Q863" i="1"/>
  <c r="Q864" i="1"/>
  <c r="Q865" i="1"/>
  <c r="Q866" i="1"/>
  <c r="Q867" i="1"/>
  <c r="Q868" i="1"/>
  <c r="Q869" i="1"/>
  <c r="Q870" i="1"/>
  <c r="Q871" i="1"/>
  <c r="Q872" i="1"/>
  <c r="Q873" i="1"/>
  <c r="Q874" i="1"/>
  <c r="Q875" i="1"/>
  <c r="Q876" i="1"/>
  <c r="Q877" i="1"/>
  <c r="Q878" i="1"/>
  <c r="Q879" i="1"/>
  <c r="Q880" i="1"/>
  <c r="Q881" i="1"/>
  <c r="Q882" i="1"/>
  <c r="Q883" i="1"/>
  <c r="Q884" i="1"/>
  <c r="Q885" i="1"/>
  <c r="Q886" i="1"/>
  <c r="Q887" i="1"/>
  <c r="Q888" i="1"/>
  <c r="Q889" i="1"/>
  <c r="Q890" i="1"/>
  <c r="Q891" i="1"/>
  <c r="Q892" i="1"/>
  <c r="Q893" i="1"/>
  <c r="Q894" i="1"/>
  <c r="Q895" i="1"/>
  <c r="Q896" i="1"/>
  <c r="Q897" i="1"/>
  <c r="Q898" i="1"/>
  <c r="Q899" i="1"/>
  <c r="Q900" i="1"/>
  <c r="Q901" i="1"/>
  <c r="Q902" i="1"/>
  <c r="Q903" i="1"/>
  <c r="Q904" i="1"/>
  <c r="Q905" i="1"/>
  <c r="Q906" i="1"/>
  <c r="Q907" i="1"/>
  <c r="Q908" i="1"/>
  <c r="Q909" i="1"/>
  <c r="Q910" i="1"/>
  <c r="Q911" i="1"/>
  <c r="Q912" i="1"/>
  <c r="Q913" i="1"/>
  <c r="Q914" i="1"/>
  <c r="Q915" i="1"/>
  <c r="Q916" i="1"/>
  <c r="Q917" i="1"/>
  <c r="Q918" i="1"/>
  <c r="Q919" i="1"/>
  <c r="Q920" i="1"/>
  <c r="Q921" i="1"/>
  <c r="Q922" i="1"/>
  <c r="Q923" i="1"/>
  <c r="Q924" i="1"/>
  <c r="Q925" i="1"/>
  <c r="Q926" i="1"/>
  <c r="Q927" i="1"/>
  <c r="Q928" i="1"/>
  <c r="Q929" i="1"/>
  <c r="Q930" i="1"/>
  <c r="Q931" i="1"/>
  <c r="Q932" i="1"/>
  <c r="Q933" i="1"/>
  <c r="Q934" i="1"/>
  <c r="Q935" i="1"/>
  <c r="Q936" i="1"/>
  <c r="Q937" i="1"/>
  <c r="Q938" i="1"/>
  <c r="Q939" i="1"/>
  <c r="Q940" i="1"/>
  <c r="Q941" i="1"/>
  <c r="Q942" i="1"/>
  <c r="Q943" i="1"/>
  <c r="Q944" i="1"/>
  <c r="Q945" i="1"/>
  <c r="Q946" i="1"/>
  <c r="Q947" i="1"/>
  <c r="Q948" i="1"/>
  <c r="Q949" i="1"/>
  <c r="Q950" i="1"/>
  <c r="Q951" i="1"/>
  <c r="Q952" i="1"/>
  <c r="Q953" i="1"/>
  <c r="Q954" i="1"/>
  <c r="Q955" i="1"/>
  <c r="Q956" i="1"/>
  <c r="Q957" i="1"/>
  <c r="Q958" i="1"/>
  <c r="Q959" i="1"/>
  <c r="Q960" i="1"/>
  <c r="Q961" i="1"/>
  <c r="Q962" i="1"/>
  <c r="Q963" i="1"/>
  <c r="Q964" i="1"/>
  <c r="Q965" i="1"/>
  <c r="Q966" i="1"/>
  <c r="Q967" i="1"/>
  <c r="Q968" i="1"/>
  <c r="Q969" i="1"/>
  <c r="Q970" i="1"/>
  <c r="Q971" i="1"/>
  <c r="Q972" i="1"/>
  <c r="Q973" i="1"/>
  <c r="Q974" i="1"/>
  <c r="Q975" i="1"/>
  <c r="Q976" i="1"/>
  <c r="Q977" i="1"/>
  <c r="Q978" i="1"/>
  <c r="Q979" i="1"/>
  <c r="Q980" i="1"/>
  <c r="Q981" i="1"/>
  <c r="Q982" i="1"/>
  <c r="Q983" i="1"/>
  <c r="Q984" i="1"/>
  <c r="Q985" i="1"/>
  <c r="Q986" i="1"/>
  <c r="Q987" i="1"/>
  <c r="Q988" i="1"/>
  <c r="Q989" i="1"/>
  <c r="Q990" i="1"/>
  <c r="Q991" i="1"/>
  <c r="Q992" i="1"/>
  <c r="Q993" i="1"/>
  <c r="Q994" i="1"/>
  <c r="Q995" i="1"/>
  <c r="Q996" i="1"/>
  <c r="Q997" i="1"/>
  <c r="Q998" i="1"/>
  <c r="Q999" i="1"/>
  <c r="Q1000" i="1"/>
  <c r="Q1001" i="1"/>
  <c r="Q1002" i="1"/>
  <c r="Q1003" i="1"/>
  <c r="Q1004" i="1"/>
  <c r="Q1005" i="1"/>
  <c r="Q1006" i="1"/>
  <c r="Q1007" i="1"/>
  <c r="Q1008" i="1"/>
  <c r="Q1009" i="1"/>
  <c r="Q1010" i="1"/>
  <c r="Q1011" i="1"/>
  <c r="Q1012" i="1"/>
  <c r="Q1013" i="1"/>
  <c r="Q1014" i="1"/>
  <c r="Q1015" i="1"/>
  <c r="Q1016" i="1"/>
  <c r="Q1017" i="1"/>
  <c r="Q1018" i="1"/>
  <c r="Q1019" i="1"/>
  <c r="Q1020" i="1"/>
  <c r="Q1021" i="1"/>
  <c r="Q1022" i="1"/>
  <c r="Q1023" i="1"/>
  <c r="Q1024" i="1"/>
  <c r="Q1025" i="1"/>
  <c r="Q1026" i="1"/>
  <c r="Q1027" i="1"/>
  <c r="Q1028" i="1"/>
  <c r="Q1029" i="1"/>
  <c r="Q1030" i="1"/>
  <c r="Q1031" i="1"/>
  <c r="Q1032" i="1"/>
  <c r="Q1033" i="1"/>
  <c r="Q1034" i="1"/>
  <c r="Q1035" i="1"/>
  <c r="Q1036" i="1"/>
  <c r="Q1037" i="1"/>
  <c r="Q1038" i="1"/>
  <c r="Q1039" i="1"/>
  <c r="Q1040" i="1"/>
  <c r="Q1041" i="1"/>
  <c r="Q1042" i="1"/>
  <c r="Q1043" i="1"/>
  <c r="Q1044" i="1"/>
  <c r="Q1045" i="1"/>
  <c r="Q1046" i="1"/>
  <c r="Q1047" i="1"/>
  <c r="Q1048" i="1"/>
  <c r="Q1049" i="1"/>
  <c r="Q1050" i="1"/>
  <c r="Q1051" i="1"/>
  <c r="Q1052" i="1"/>
  <c r="Q1053" i="1"/>
  <c r="Q1054" i="1"/>
  <c r="Q1055" i="1"/>
  <c r="Q1056" i="1"/>
  <c r="Q1057" i="1"/>
  <c r="Q1058" i="1"/>
  <c r="Q1059" i="1"/>
  <c r="Q1060" i="1"/>
  <c r="Q1061" i="1"/>
  <c r="Q1062" i="1"/>
  <c r="Q1063" i="1"/>
  <c r="Q1064" i="1"/>
  <c r="Q1065" i="1"/>
  <c r="Q1066" i="1"/>
  <c r="Q1067" i="1"/>
  <c r="Q1068" i="1"/>
  <c r="Q1069" i="1"/>
  <c r="Q1070" i="1"/>
  <c r="Q1071" i="1"/>
  <c r="Q1072" i="1"/>
  <c r="Q1073" i="1"/>
  <c r="Q1074" i="1"/>
  <c r="Q1075" i="1"/>
  <c r="Q1076" i="1"/>
  <c r="Q1077" i="1"/>
  <c r="Q1078" i="1"/>
  <c r="Q1079" i="1"/>
  <c r="Q1080" i="1"/>
  <c r="Q1081" i="1"/>
  <c r="Q1082" i="1"/>
  <c r="Q1083" i="1"/>
  <c r="Q1084" i="1"/>
  <c r="Q1085" i="1"/>
  <c r="Q1086" i="1"/>
  <c r="Q1087" i="1"/>
  <c r="Q1088" i="1"/>
  <c r="Q1089" i="1"/>
  <c r="Q1090" i="1"/>
  <c r="Q1091" i="1"/>
  <c r="Q1092" i="1"/>
  <c r="Q1093" i="1"/>
  <c r="Q1094" i="1"/>
  <c r="Q1095" i="1"/>
  <c r="Q1096" i="1"/>
  <c r="Q1097" i="1"/>
  <c r="Q1098" i="1"/>
  <c r="Q1099" i="1"/>
  <c r="Q1100" i="1"/>
  <c r="Q1101" i="1"/>
  <c r="Q1102" i="1"/>
  <c r="Q1103" i="1"/>
  <c r="Q1104" i="1"/>
  <c r="Q1105" i="1"/>
  <c r="Q1106" i="1"/>
  <c r="Q1107" i="1"/>
  <c r="Q1108" i="1"/>
  <c r="Q1109" i="1"/>
  <c r="Q1110" i="1"/>
  <c r="Q1111" i="1"/>
  <c r="Q1112" i="1"/>
  <c r="Q1113" i="1"/>
  <c r="Q1114" i="1"/>
  <c r="Q1115" i="1"/>
  <c r="Q1116" i="1"/>
  <c r="Q1117" i="1"/>
  <c r="Q1118" i="1"/>
  <c r="Q1119" i="1"/>
  <c r="Q1120" i="1"/>
  <c r="Q1121" i="1"/>
  <c r="Q1122" i="1"/>
  <c r="Q1123" i="1"/>
  <c r="Q1124" i="1"/>
  <c r="Q1125" i="1"/>
  <c r="Q1126" i="1"/>
  <c r="Q1127" i="1"/>
  <c r="Q1128" i="1"/>
  <c r="Q1129" i="1"/>
  <c r="Q1130" i="1"/>
  <c r="Q1131" i="1"/>
  <c r="Q1132" i="1"/>
  <c r="Q1133" i="1"/>
  <c r="Q1134" i="1"/>
  <c r="Q1135" i="1"/>
  <c r="Q1136" i="1"/>
  <c r="Q1137" i="1"/>
  <c r="Q1138" i="1"/>
  <c r="Q1139" i="1"/>
  <c r="Q1140" i="1"/>
  <c r="Q1141" i="1"/>
  <c r="Q1142" i="1"/>
  <c r="Q1143" i="1"/>
  <c r="Q1144" i="1"/>
  <c r="Q1145" i="1"/>
  <c r="Q1146" i="1"/>
  <c r="Q1147" i="1"/>
  <c r="Q1148" i="1"/>
  <c r="Q1149" i="1"/>
  <c r="Q1150" i="1"/>
  <c r="Q1151" i="1"/>
  <c r="Q1152" i="1"/>
  <c r="Q1153" i="1"/>
  <c r="Q1154" i="1"/>
  <c r="Q1155" i="1"/>
  <c r="Q1156" i="1"/>
  <c r="Q1157" i="1"/>
  <c r="Q1158" i="1"/>
  <c r="Q1159" i="1"/>
  <c r="Q1160" i="1"/>
  <c r="Q1161" i="1"/>
  <c r="Q1162" i="1"/>
  <c r="Q1163" i="1"/>
  <c r="Q1164" i="1"/>
  <c r="Q1165" i="1"/>
  <c r="Q1166" i="1"/>
  <c r="Q1167" i="1"/>
  <c r="Q1168" i="1"/>
  <c r="Q1169" i="1"/>
  <c r="Q1170" i="1"/>
  <c r="Q1171" i="1"/>
  <c r="Q1172" i="1"/>
  <c r="Q1173" i="1"/>
  <c r="Q1174" i="1"/>
  <c r="Q1175" i="1"/>
  <c r="Q1176" i="1"/>
  <c r="Q1177" i="1"/>
  <c r="Q1178" i="1"/>
  <c r="Q1179" i="1"/>
  <c r="Q1180" i="1"/>
  <c r="Q1181" i="1"/>
  <c r="Q1182" i="1"/>
  <c r="Q1183" i="1"/>
  <c r="Q1184" i="1"/>
  <c r="Q1185" i="1"/>
  <c r="Q1186" i="1"/>
  <c r="Q1187" i="1"/>
  <c r="Q1188" i="1"/>
  <c r="Q1189" i="1"/>
  <c r="Q1190" i="1"/>
  <c r="Q1191" i="1"/>
  <c r="Q1192" i="1"/>
  <c r="Q1193" i="1"/>
  <c r="Q1194" i="1"/>
  <c r="Q1195" i="1"/>
  <c r="Q1196" i="1"/>
  <c r="Q1197" i="1"/>
  <c r="Q1198" i="1"/>
  <c r="Q1199" i="1"/>
  <c r="Q1200" i="1"/>
  <c r="Q1201" i="1"/>
  <c r="Q1202" i="1"/>
  <c r="Q1203" i="1"/>
  <c r="Q1204" i="1"/>
  <c r="Q1205" i="1"/>
  <c r="Q1206" i="1"/>
  <c r="Q1207" i="1"/>
  <c r="Q1208" i="1"/>
  <c r="Q1209" i="1"/>
  <c r="Q1210" i="1"/>
  <c r="Q1211" i="1"/>
  <c r="Q1212" i="1"/>
  <c r="Q1213" i="1"/>
  <c r="Q1214" i="1"/>
  <c r="Q1215" i="1"/>
  <c r="Q1216" i="1"/>
  <c r="Q1217" i="1"/>
  <c r="Q1218" i="1"/>
  <c r="Q1219" i="1"/>
  <c r="Q1220" i="1"/>
  <c r="Q1221" i="1"/>
  <c r="Q1222" i="1"/>
  <c r="Q1223" i="1"/>
  <c r="Q1224" i="1"/>
  <c r="Q1225" i="1"/>
  <c r="Q1226" i="1"/>
  <c r="Q1227" i="1"/>
  <c r="Q1228" i="1"/>
  <c r="Q1229" i="1"/>
  <c r="Q1230" i="1"/>
  <c r="Q1231" i="1"/>
  <c r="Q1232" i="1"/>
  <c r="Q1233" i="1"/>
  <c r="Q1234" i="1"/>
  <c r="Q1235" i="1"/>
  <c r="Q1236" i="1"/>
  <c r="Q1237" i="1"/>
  <c r="Q1238" i="1"/>
  <c r="Q1239" i="1"/>
  <c r="Q1240" i="1"/>
  <c r="Q1241" i="1"/>
  <c r="Q1242" i="1"/>
  <c r="Q1243" i="1"/>
  <c r="Q1244" i="1"/>
  <c r="Q1245" i="1"/>
  <c r="Q1246" i="1"/>
  <c r="Q1247" i="1"/>
  <c r="Q1248" i="1"/>
  <c r="Q1249" i="1"/>
  <c r="Q1250" i="1"/>
  <c r="Q1251" i="1"/>
  <c r="Q1252" i="1"/>
  <c r="Q1253" i="1"/>
  <c r="Q1254" i="1"/>
  <c r="Q1255" i="1"/>
  <c r="Q1256" i="1"/>
  <c r="Q1257" i="1"/>
  <c r="Q1258" i="1"/>
  <c r="Q1259" i="1"/>
  <c r="Q1260" i="1"/>
  <c r="Q1261" i="1"/>
  <c r="Q1262" i="1"/>
  <c r="Q1263" i="1"/>
  <c r="Q1264" i="1"/>
  <c r="Q1265" i="1"/>
  <c r="Q1266" i="1"/>
  <c r="Q1267" i="1"/>
  <c r="Q1268" i="1"/>
  <c r="Q1269" i="1"/>
  <c r="Q1270" i="1"/>
  <c r="Q1271" i="1"/>
  <c r="Q1272" i="1"/>
  <c r="Q1273" i="1"/>
  <c r="Q1274" i="1"/>
  <c r="Q1275" i="1"/>
  <c r="Q1276" i="1"/>
  <c r="Q1277" i="1"/>
  <c r="Q1278" i="1"/>
  <c r="Q1279" i="1"/>
  <c r="Q1280" i="1"/>
  <c r="Q1281" i="1"/>
  <c r="Q1282" i="1"/>
  <c r="Q1283" i="1"/>
  <c r="Q1284" i="1"/>
  <c r="Q1285" i="1"/>
  <c r="Q1286" i="1"/>
  <c r="Q1287" i="1"/>
  <c r="Q1288" i="1"/>
  <c r="Q1289" i="1"/>
  <c r="Q1290" i="1"/>
  <c r="Q1291" i="1"/>
  <c r="Q1292" i="1"/>
  <c r="Q1293" i="1"/>
  <c r="Q1294" i="1"/>
  <c r="Q1295" i="1"/>
  <c r="Q1296" i="1"/>
  <c r="Q1297" i="1"/>
  <c r="Q1298" i="1"/>
  <c r="Q1299" i="1"/>
  <c r="Q1300" i="1"/>
  <c r="Q1301" i="1"/>
  <c r="Q1302" i="1"/>
  <c r="Q1303" i="1"/>
  <c r="Q1304" i="1"/>
  <c r="Q1305" i="1"/>
  <c r="Q1306" i="1"/>
  <c r="Q1307" i="1"/>
  <c r="Q1308" i="1"/>
  <c r="Q1309" i="1"/>
  <c r="Q1310" i="1"/>
  <c r="Q1311" i="1"/>
  <c r="Q1312" i="1"/>
  <c r="Q1313" i="1"/>
  <c r="Q1314" i="1"/>
  <c r="Q1315" i="1"/>
  <c r="Q1316" i="1"/>
  <c r="Q1317" i="1"/>
  <c r="Q1318" i="1"/>
  <c r="Q1319" i="1"/>
  <c r="Q1320" i="1"/>
  <c r="Q1321" i="1"/>
  <c r="Q1322" i="1"/>
  <c r="Q1323" i="1"/>
  <c r="Q1324" i="1"/>
  <c r="Q1325" i="1"/>
  <c r="Q1326" i="1"/>
  <c r="Q1327" i="1"/>
  <c r="Q1328" i="1"/>
  <c r="Q1329" i="1"/>
  <c r="Q1330" i="1"/>
  <c r="Q1331" i="1"/>
  <c r="Q1332" i="1"/>
  <c r="Q1333" i="1"/>
  <c r="Q1334" i="1"/>
  <c r="Q1335" i="1"/>
  <c r="Q1336" i="1"/>
  <c r="Q1337" i="1"/>
  <c r="Q1338" i="1"/>
  <c r="Q1339" i="1"/>
  <c r="Q1340" i="1"/>
  <c r="Q1341" i="1"/>
  <c r="Q1342" i="1"/>
  <c r="Q1343" i="1"/>
  <c r="Q1344" i="1"/>
  <c r="Q1345" i="1"/>
  <c r="Q1346" i="1"/>
  <c r="Q1347" i="1"/>
  <c r="Q1348" i="1"/>
  <c r="Q1349" i="1"/>
  <c r="Q1350" i="1"/>
  <c r="Q1351" i="1"/>
  <c r="Q1352" i="1"/>
  <c r="Q1353" i="1"/>
  <c r="Q1354" i="1"/>
  <c r="Q1355" i="1"/>
  <c r="Q1356" i="1"/>
  <c r="Q1357" i="1"/>
  <c r="Q1358" i="1"/>
  <c r="Q1359" i="1"/>
  <c r="Q1360" i="1"/>
  <c r="Q1361" i="1"/>
  <c r="Q1362" i="1"/>
  <c r="Q1363" i="1"/>
  <c r="Q1364" i="1"/>
  <c r="Q1365" i="1"/>
  <c r="Q1366" i="1"/>
  <c r="Q1367" i="1"/>
  <c r="Q1368" i="1"/>
  <c r="Q1369" i="1"/>
  <c r="Q1370" i="1"/>
  <c r="Q1371" i="1"/>
  <c r="Q1372" i="1"/>
  <c r="Q1373" i="1"/>
  <c r="Q1374" i="1"/>
  <c r="Q1375" i="1"/>
  <c r="Q1376" i="1"/>
  <c r="Q1377" i="1"/>
  <c r="Q1378" i="1"/>
  <c r="Q1379" i="1"/>
  <c r="Q1380" i="1"/>
  <c r="Q1381" i="1"/>
  <c r="Q1382" i="1"/>
  <c r="Q1383" i="1"/>
  <c r="Q1384" i="1"/>
  <c r="Q1385" i="1"/>
  <c r="Q1386" i="1"/>
  <c r="Q1387" i="1"/>
  <c r="Q1388" i="1"/>
  <c r="Q1389" i="1"/>
  <c r="Q1390" i="1"/>
  <c r="Q1391" i="1"/>
  <c r="Q1392" i="1"/>
  <c r="Q1393" i="1"/>
  <c r="Q1394" i="1"/>
  <c r="Q1395" i="1"/>
  <c r="Q1396" i="1"/>
  <c r="Q1397" i="1"/>
  <c r="Q1398" i="1"/>
  <c r="Q1399" i="1"/>
  <c r="Q1400" i="1"/>
  <c r="Q1401" i="1"/>
  <c r="Q1402" i="1"/>
  <c r="Q1403" i="1"/>
  <c r="Q1404" i="1"/>
  <c r="Q1405" i="1"/>
  <c r="Q1406" i="1"/>
  <c r="Q1407" i="1"/>
  <c r="Q1408" i="1"/>
  <c r="Q1409" i="1"/>
  <c r="Q1410" i="1"/>
  <c r="Q1411" i="1"/>
  <c r="Q1412" i="1"/>
  <c r="Q1413" i="1"/>
  <c r="Q1414" i="1"/>
  <c r="Q1415" i="1"/>
  <c r="Q1416" i="1"/>
  <c r="Q1417" i="1"/>
  <c r="Q1418" i="1"/>
  <c r="Q1419" i="1"/>
  <c r="Q1420" i="1"/>
  <c r="Q1421" i="1"/>
  <c r="Q1422" i="1"/>
  <c r="Q1423" i="1"/>
  <c r="Q1424" i="1"/>
  <c r="Q1425" i="1"/>
  <c r="Q1426" i="1"/>
  <c r="Q1427" i="1"/>
  <c r="Q1428" i="1"/>
  <c r="Q1429" i="1"/>
  <c r="Q1430" i="1"/>
  <c r="Q1431" i="1"/>
  <c r="Q1432" i="1"/>
  <c r="Q1433" i="1"/>
  <c r="Q1434" i="1"/>
  <c r="Q1435" i="1"/>
  <c r="Q1436" i="1"/>
  <c r="Q1437" i="1"/>
  <c r="Q1438" i="1"/>
  <c r="Q1439" i="1"/>
  <c r="Q1440" i="1"/>
  <c r="Q1441" i="1"/>
  <c r="Q1442" i="1"/>
  <c r="Q1443" i="1"/>
  <c r="Q1444" i="1"/>
  <c r="Q1445" i="1"/>
  <c r="Q1446" i="1"/>
  <c r="Q1447" i="1"/>
  <c r="Q1448" i="1"/>
  <c r="Q1449" i="1"/>
  <c r="Q1450" i="1"/>
  <c r="Q1451" i="1"/>
  <c r="Q1452" i="1"/>
  <c r="Q1453" i="1"/>
  <c r="Q1454" i="1"/>
  <c r="Q1455" i="1"/>
  <c r="Q1456" i="1"/>
  <c r="Q1457" i="1"/>
  <c r="Q1458" i="1"/>
  <c r="Q1459" i="1"/>
  <c r="Q1460" i="1"/>
  <c r="Q1461" i="1"/>
  <c r="Q1462" i="1"/>
  <c r="Q1463" i="1"/>
  <c r="Q1464" i="1"/>
  <c r="Q1465" i="1"/>
  <c r="Q1466" i="1"/>
  <c r="Q1467" i="1"/>
  <c r="Q1468" i="1"/>
  <c r="Q1469" i="1"/>
  <c r="Q1470" i="1"/>
  <c r="Q1471" i="1"/>
  <c r="Q1472" i="1"/>
  <c r="Q1473" i="1"/>
  <c r="Q1474" i="1"/>
  <c r="Q1475" i="1"/>
  <c r="Q1476" i="1"/>
  <c r="Q1477" i="1"/>
  <c r="Q1478" i="1"/>
  <c r="Q1479" i="1"/>
  <c r="Q1480" i="1"/>
  <c r="Q1481" i="1"/>
  <c r="Q1482" i="1"/>
  <c r="Q1483" i="1"/>
  <c r="Q1484" i="1"/>
  <c r="Q1485" i="1"/>
  <c r="Q1486" i="1"/>
  <c r="Q1487" i="1"/>
  <c r="Q1488" i="1"/>
  <c r="Q1489" i="1"/>
  <c r="Q1490" i="1"/>
  <c r="Q1491" i="1"/>
  <c r="Q1492" i="1"/>
  <c r="Q1493" i="1"/>
  <c r="Q1494" i="1"/>
  <c r="Q1495" i="1"/>
  <c r="Q1496" i="1"/>
  <c r="Q1497" i="1"/>
  <c r="Q1498" i="1"/>
  <c r="Q1499" i="1"/>
  <c r="Q1500" i="1"/>
  <c r="Q1501" i="1"/>
  <c r="Q1502" i="1"/>
  <c r="Q1503" i="1"/>
  <c r="Q1504" i="1"/>
  <c r="Q1505" i="1"/>
  <c r="Q1506" i="1"/>
  <c r="Q1507" i="1"/>
  <c r="Q1508" i="1"/>
  <c r="Q1509" i="1"/>
  <c r="Q1510" i="1"/>
  <c r="Q1511" i="1"/>
  <c r="Q1512" i="1"/>
  <c r="Q1513" i="1"/>
  <c r="Q1514" i="1"/>
  <c r="Q1515" i="1"/>
  <c r="Q1516" i="1"/>
  <c r="Q1517" i="1"/>
  <c r="Q1518" i="1"/>
  <c r="Q1519" i="1"/>
  <c r="Q1520" i="1"/>
  <c r="Q1521" i="1"/>
  <c r="Q1522" i="1"/>
  <c r="Q1523" i="1"/>
  <c r="Q1524" i="1"/>
  <c r="Q1525" i="1"/>
  <c r="Q1526" i="1"/>
  <c r="Q1527" i="1"/>
  <c r="Q1528" i="1"/>
  <c r="Q1529" i="1"/>
  <c r="Q1530" i="1"/>
  <c r="Q1531" i="1"/>
  <c r="Q1532" i="1"/>
  <c r="Q1533" i="1"/>
  <c r="Q1534" i="1"/>
  <c r="Q1535" i="1"/>
  <c r="Q1536" i="1"/>
  <c r="Q1537" i="1"/>
  <c r="Q1538" i="1"/>
  <c r="Q1539" i="1"/>
  <c r="Q1540" i="1"/>
  <c r="Q1541" i="1"/>
  <c r="Q1542" i="1"/>
  <c r="Q1543" i="1"/>
  <c r="Q1544" i="1"/>
  <c r="Q1545" i="1"/>
  <c r="Q1546" i="1"/>
  <c r="Q1547" i="1"/>
  <c r="Q1548" i="1"/>
  <c r="Q1549" i="1"/>
  <c r="Q1550" i="1"/>
  <c r="Q1551" i="1"/>
  <c r="Q1552" i="1"/>
  <c r="Q1553" i="1"/>
  <c r="Q1554" i="1"/>
  <c r="Q1555" i="1"/>
  <c r="Q1556" i="1"/>
  <c r="Q1557" i="1"/>
  <c r="Q1558" i="1"/>
  <c r="Q1559" i="1"/>
  <c r="Q1560" i="1"/>
  <c r="Q1561" i="1"/>
  <c r="Q1562" i="1"/>
  <c r="Q1563" i="1"/>
  <c r="Q1564" i="1"/>
  <c r="Q1565" i="1"/>
  <c r="Q1566" i="1"/>
  <c r="Q1567" i="1"/>
  <c r="Q1568" i="1"/>
  <c r="Q1569" i="1"/>
  <c r="Q1570" i="1"/>
  <c r="Q1571" i="1"/>
  <c r="Q1572" i="1"/>
  <c r="Q1573" i="1"/>
  <c r="Q1574" i="1"/>
  <c r="Q1575" i="1"/>
  <c r="Q1576" i="1"/>
  <c r="Q1577" i="1"/>
  <c r="Q1578" i="1"/>
  <c r="Q1579" i="1"/>
  <c r="Q1580" i="1"/>
  <c r="Q1581" i="1"/>
  <c r="Q1582" i="1"/>
  <c r="Q1583" i="1"/>
  <c r="Q1584" i="1"/>
  <c r="Q1585" i="1"/>
  <c r="Q1586" i="1"/>
  <c r="Q1587" i="1"/>
  <c r="Q1588" i="1"/>
  <c r="Q1589" i="1"/>
  <c r="Q1590" i="1"/>
  <c r="Q1591" i="1"/>
  <c r="Q1592" i="1"/>
  <c r="Q1593" i="1"/>
  <c r="Q1594" i="1"/>
  <c r="Q1595" i="1"/>
  <c r="Q1596" i="1"/>
  <c r="Q1597" i="1"/>
  <c r="Q1598" i="1"/>
  <c r="Q1599" i="1"/>
  <c r="Q1600" i="1"/>
  <c r="Q1601" i="1"/>
  <c r="Q1602" i="1"/>
  <c r="Q1603" i="1"/>
  <c r="Q1604" i="1"/>
  <c r="Q1605" i="1"/>
  <c r="Q1606" i="1"/>
  <c r="Q1607" i="1"/>
  <c r="Q1608" i="1"/>
  <c r="Q1609" i="1"/>
  <c r="Q1610" i="1"/>
  <c r="Q1611" i="1"/>
  <c r="Q1612" i="1"/>
  <c r="Q1613" i="1"/>
  <c r="Q1614" i="1"/>
  <c r="Q1615" i="1"/>
  <c r="Q1616" i="1"/>
  <c r="Q1617" i="1"/>
  <c r="Q1618" i="1"/>
  <c r="Q1619" i="1"/>
  <c r="Q1620" i="1"/>
  <c r="Q1621" i="1"/>
  <c r="Q1622" i="1"/>
  <c r="Q1623" i="1"/>
  <c r="Q1624" i="1"/>
  <c r="Q1625" i="1"/>
  <c r="Q1626" i="1"/>
  <c r="Q1627" i="1"/>
  <c r="Q1628" i="1"/>
  <c r="Q1629" i="1"/>
  <c r="Q1630" i="1"/>
  <c r="Q1631" i="1"/>
  <c r="Q1632" i="1"/>
  <c r="Q1633" i="1"/>
  <c r="Q1634" i="1"/>
  <c r="Q1635" i="1"/>
  <c r="Q1636" i="1"/>
  <c r="Q1637" i="1"/>
  <c r="Q1638" i="1"/>
  <c r="Q1639" i="1"/>
  <c r="Q1640" i="1"/>
  <c r="Q1641" i="1"/>
  <c r="Q1642" i="1"/>
  <c r="Q1643" i="1"/>
  <c r="Q1644" i="1"/>
  <c r="Q1645" i="1"/>
  <c r="Q1646" i="1"/>
  <c r="Q1647" i="1"/>
  <c r="Q1648" i="1"/>
  <c r="Q1649" i="1"/>
  <c r="Q1650" i="1"/>
  <c r="Q1651" i="1"/>
  <c r="Q1652" i="1"/>
  <c r="Q1653" i="1"/>
  <c r="Q1654" i="1"/>
  <c r="Q1655" i="1"/>
  <c r="Q1656" i="1"/>
  <c r="Q1657" i="1"/>
  <c r="Q1658" i="1"/>
  <c r="Q1659" i="1"/>
  <c r="Q1660" i="1"/>
  <c r="Q1661" i="1"/>
  <c r="Q1662" i="1"/>
  <c r="Q1663" i="1"/>
  <c r="Q1664" i="1"/>
  <c r="Q1665" i="1"/>
  <c r="Q1666" i="1"/>
  <c r="Q1667" i="1"/>
  <c r="Q1668" i="1"/>
  <c r="Q1669" i="1"/>
  <c r="Q1670" i="1"/>
  <c r="Q1671" i="1"/>
  <c r="Q1672" i="1"/>
  <c r="Q1673" i="1"/>
  <c r="Q1674" i="1"/>
  <c r="Q1675" i="1"/>
  <c r="Q1676" i="1"/>
  <c r="Q1677" i="1"/>
  <c r="Q1678" i="1"/>
  <c r="Q1679" i="1"/>
  <c r="Q1680" i="1"/>
  <c r="Q1681" i="1"/>
  <c r="Q1682" i="1"/>
  <c r="Q1683" i="1"/>
  <c r="Q1684" i="1"/>
  <c r="Q1685" i="1"/>
  <c r="Q1686" i="1"/>
  <c r="Q1687" i="1"/>
  <c r="Q1688" i="1"/>
  <c r="Q1689" i="1"/>
  <c r="Q1690" i="1"/>
  <c r="Q1691" i="1"/>
  <c r="Q1692" i="1"/>
  <c r="Q1693" i="1"/>
  <c r="Q1694" i="1"/>
  <c r="Q1695" i="1"/>
  <c r="Q1696" i="1"/>
  <c r="Q1697" i="1"/>
  <c r="Q1698" i="1"/>
  <c r="Q1699" i="1"/>
  <c r="Q1700" i="1"/>
  <c r="Q1701" i="1"/>
  <c r="Q1702" i="1"/>
  <c r="Q1703" i="1"/>
  <c r="Q1704" i="1"/>
  <c r="Q1705" i="1"/>
  <c r="Q1706" i="1"/>
  <c r="Q1707" i="1"/>
  <c r="Q1708" i="1"/>
  <c r="Q1709" i="1"/>
  <c r="Q1710" i="1"/>
  <c r="Q1711" i="1"/>
  <c r="Q1712" i="1"/>
  <c r="Q1713" i="1"/>
  <c r="Q1714" i="1"/>
  <c r="Q1715" i="1"/>
  <c r="Q1716" i="1"/>
  <c r="Q1717" i="1"/>
  <c r="Q1718" i="1"/>
  <c r="Q1719" i="1"/>
  <c r="Q1720" i="1"/>
  <c r="Q1721" i="1"/>
  <c r="Q1722" i="1"/>
  <c r="Q1723" i="1"/>
  <c r="Q1724" i="1"/>
  <c r="Q1725" i="1"/>
  <c r="Q1726" i="1"/>
  <c r="Q1727" i="1"/>
  <c r="Q1728" i="1"/>
  <c r="Q1729" i="1"/>
  <c r="Q1730" i="1"/>
  <c r="Q1731" i="1"/>
  <c r="Q1732" i="1"/>
  <c r="Q1733" i="1"/>
  <c r="Q1734" i="1"/>
  <c r="Q1735" i="1"/>
  <c r="Q1736" i="1"/>
  <c r="Q1737" i="1"/>
  <c r="Q1738" i="1"/>
  <c r="Q1739" i="1"/>
  <c r="Q1740" i="1"/>
  <c r="Q1741" i="1"/>
  <c r="Q1742" i="1"/>
  <c r="Q1743" i="1"/>
  <c r="Q1744" i="1"/>
  <c r="Q1745" i="1"/>
  <c r="Q1746" i="1"/>
  <c r="Q1747" i="1"/>
  <c r="Q1748" i="1"/>
  <c r="Q1749" i="1"/>
  <c r="Q1750" i="1"/>
  <c r="Q1751" i="1"/>
  <c r="Q1752" i="1"/>
  <c r="Q1753" i="1"/>
  <c r="Q1754" i="1"/>
  <c r="Q1755" i="1"/>
  <c r="Q1756" i="1"/>
  <c r="Q1757" i="1"/>
  <c r="Q1758" i="1"/>
  <c r="Q1759" i="1"/>
  <c r="Q1760" i="1"/>
  <c r="Q1761" i="1"/>
  <c r="Q1762" i="1"/>
  <c r="Q1763" i="1"/>
  <c r="Q1764" i="1"/>
  <c r="Q1765" i="1"/>
  <c r="Q1766" i="1"/>
  <c r="Q1767" i="1"/>
  <c r="Q1768" i="1"/>
  <c r="Q1769" i="1"/>
  <c r="Q1770" i="1"/>
  <c r="Q1771" i="1"/>
  <c r="Q1772" i="1"/>
  <c r="Q1773" i="1"/>
  <c r="Q1774" i="1"/>
  <c r="Q1775" i="1"/>
  <c r="Q1776" i="1"/>
  <c r="Q1777" i="1"/>
  <c r="Q1778" i="1"/>
  <c r="Q1779" i="1"/>
  <c r="Q1780" i="1"/>
  <c r="Q1781" i="1"/>
  <c r="Q1782" i="1"/>
  <c r="Q1783" i="1"/>
  <c r="Q1784" i="1"/>
  <c r="Q1785" i="1"/>
  <c r="Q1786" i="1"/>
  <c r="Q1787" i="1"/>
  <c r="Q1788" i="1"/>
  <c r="Q1789" i="1"/>
  <c r="Q1790" i="1"/>
  <c r="Q1791" i="1"/>
  <c r="Q1792" i="1"/>
  <c r="Q1793" i="1"/>
  <c r="Q1794" i="1"/>
  <c r="Q1795" i="1"/>
  <c r="Q1796" i="1"/>
  <c r="Q1797" i="1"/>
  <c r="Q1798" i="1"/>
  <c r="Q1799" i="1"/>
  <c r="Q1800" i="1"/>
  <c r="Q1801" i="1"/>
  <c r="Q1802" i="1"/>
  <c r="Q1803" i="1"/>
  <c r="Q1804" i="1"/>
  <c r="Q1805" i="1"/>
  <c r="Q1806" i="1"/>
  <c r="Q1807" i="1"/>
  <c r="Q1808" i="1"/>
  <c r="Q1809" i="1"/>
  <c r="Q1810" i="1"/>
  <c r="Q1811" i="1"/>
  <c r="Q1812" i="1"/>
  <c r="Q1813" i="1"/>
  <c r="Q1814" i="1"/>
  <c r="Q1815" i="1"/>
  <c r="Q1816" i="1"/>
  <c r="Q1817" i="1"/>
  <c r="Q1818" i="1"/>
  <c r="Q1819" i="1"/>
  <c r="Q1820" i="1"/>
  <c r="Q1821" i="1"/>
  <c r="Q1822" i="1"/>
  <c r="Q1823" i="1"/>
  <c r="Q1824" i="1"/>
  <c r="Q1825" i="1"/>
  <c r="Q1826" i="1"/>
  <c r="Q1827" i="1"/>
  <c r="Q1828" i="1"/>
  <c r="Q1829" i="1"/>
  <c r="Q1830" i="1"/>
  <c r="Q1831" i="1"/>
  <c r="Q1832" i="1"/>
  <c r="Q1833" i="1"/>
  <c r="Q1834" i="1"/>
  <c r="Q1835" i="1"/>
  <c r="Q1836" i="1"/>
  <c r="Q1837" i="1"/>
  <c r="Q1838" i="1"/>
  <c r="Q1839" i="1"/>
  <c r="Q1840" i="1"/>
  <c r="Q1841" i="1"/>
  <c r="Q1842" i="1"/>
  <c r="Q1843" i="1"/>
  <c r="Q1844" i="1"/>
  <c r="Q1845" i="1"/>
  <c r="Q1846" i="1"/>
  <c r="Q1847" i="1"/>
  <c r="Q1848" i="1"/>
  <c r="Q1849" i="1"/>
  <c r="Q1850" i="1"/>
  <c r="Q1851" i="1"/>
  <c r="Q1852" i="1"/>
  <c r="Q1853" i="1"/>
  <c r="Q1854" i="1"/>
  <c r="Q1855" i="1"/>
  <c r="Q1856" i="1"/>
  <c r="Q1857" i="1"/>
  <c r="Q1858" i="1"/>
  <c r="Q1859" i="1"/>
  <c r="Q1860" i="1"/>
  <c r="Q1861" i="1"/>
  <c r="Q1862" i="1"/>
  <c r="Q1863" i="1"/>
  <c r="Q1864" i="1"/>
  <c r="Q1865" i="1"/>
  <c r="Q1866" i="1"/>
  <c r="Q1867" i="1"/>
  <c r="Q1868" i="1"/>
  <c r="Q1869" i="1"/>
  <c r="Q1870" i="1"/>
  <c r="Q1871" i="1"/>
  <c r="Q1872" i="1"/>
  <c r="Q1873" i="1"/>
  <c r="Q1874" i="1"/>
  <c r="Q1875" i="1"/>
  <c r="Q1876" i="1"/>
  <c r="Q1877" i="1"/>
  <c r="Q1878" i="1"/>
  <c r="Q1879" i="1"/>
  <c r="Q1880" i="1"/>
  <c r="Q1881" i="1"/>
  <c r="Q1882" i="1"/>
  <c r="Q1883" i="1"/>
  <c r="Q1884" i="1"/>
  <c r="Q1885" i="1"/>
  <c r="Q1886" i="1"/>
  <c r="Q1887" i="1"/>
  <c r="Q1888" i="1"/>
  <c r="Q1889" i="1"/>
  <c r="Q1890" i="1"/>
  <c r="Q1891" i="1"/>
  <c r="Q1892" i="1"/>
  <c r="Q1893" i="1"/>
  <c r="Q1894" i="1"/>
  <c r="Q1895" i="1"/>
  <c r="Q1896" i="1"/>
  <c r="Q1897" i="1"/>
  <c r="Q1898" i="1"/>
  <c r="Q1899" i="1"/>
  <c r="Q1900" i="1"/>
  <c r="Q1901" i="1"/>
  <c r="Q1902" i="1"/>
  <c r="Q1903" i="1"/>
  <c r="Q1904" i="1"/>
  <c r="Q1905" i="1"/>
  <c r="Q1906" i="1"/>
  <c r="Q1907" i="1"/>
  <c r="Q1908" i="1"/>
  <c r="Q1909" i="1"/>
  <c r="Q1910" i="1"/>
  <c r="Q1911" i="1"/>
  <c r="Q1912" i="1"/>
  <c r="Q1913" i="1"/>
  <c r="Q1914" i="1"/>
  <c r="Q1915" i="1"/>
  <c r="Q1916" i="1"/>
  <c r="Q1917" i="1"/>
  <c r="Q1918" i="1"/>
  <c r="Q1919" i="1"/>
  <c r="Q1920" i="1"/>
  <c r="Q1921" i="1"/>
  <c r="Q1922" i="1"/>
  <c r="Q1923" i="1"/>
  <c r="Q1924" i="1"/>
  <c r="Q1925" i="1"/>
  <c r="Q1926" i="1"/>
  <c r="Q1927" i="1"/>
  <c r="Q1928" i="1"/>
  <c r="Q1929" i="1"/>
  <c r="Q1930" i="1"/>
  <c r="Q1931" i="1"/>
  <c r="Q1932" i="1"/>
  <c r="Q1933" i="1"/>
  <c r="Q1934" i="1"/>
  <c r="Q1935" i="1"/>
  <c r="Q1936" i="1"/>
  <c r="Q1937" i="1"/>
  <c r="Q1938" i="1"/>
  <c r="Q1939" i="1"/>
  <c r="Q1940" i="1"/>
  <c r="Q1941" i="1"/>
  <c r="Q1942" i="1"/>
  <c r="Q1943" i="1"/>
  <c r="Q1944" i="1"/>
  <c r="Q1945" i="1"/>
  <c r="Q1946" i="1"/>
  <c r="Q1947" i="1"/>
  <c r="Q1948" i="1"/>
  <c r="Q1949" i="1"/>
  <c r="Q1950" i="1"/>
  <c r="Q1951" i="1"/>
  <c r="Q1952" i="1"/>
  <c r="Q1953" i="1"/>
  <c r="Q1954" i="1"/>
  <c r="Q1955" i="1"/>
  <c r="Q1956" i="1"/>
  <c r="Q1957" i="1"/>
  <c r="Q1958" i="1"/>
  <c r="Q1959" i="1"/>
  <c r="Q1960" i="1"/>
  <c r="Q1961" i="1"/>
  <c r="Q1962" i="1"/>
  <c r="Q1963" i="1"/>
  <c r="Q1964" i="1"/>
  <c r="Q1965" i="1"/>
  <c r="Q1966" i="1"/>
  <c r="Q1967" i="1"/>
  <c r="Q1968" i="1"/>
  <c r="Q1969" i="1"/>
  <c r="Q1970" i="1"/>
  <c r="Q1971" i="1"/>
  <c r="Q1972" i="1"/>
  <c r="Q1973" i="1"/>
  <c r="Q1974" i="1"/>
  <c r="Q1975" i="1"/>
  <c r="Q1976" i="1"/>
  <c r="Q1977" i="1"/>
  <c r="Q1978" i="1"/>
  <c r="Q1979" i="1"/>
  <c r="Q1980" i="1"/>
  <c r="Q1981" i="1"/>
  <c r="Q1982" i="1"/>
  <c r="Q1983" i="1"/>
  <c r="Q1984" i="1"/>
  <c r="Q1985" i="1"/>
  <c r="Q1986" i="1"/>
  <c r="Q1987" i="1"/>
  <c r="Q1988" i="1"/>
  <c r="Q1989" i="1"/>
  <c r="Q1990" i="1"/>
  <c r="Q1991" i="1"/>
  <c r="Q1992" i="1"/>
  <c r="Q1993" i="1"/>
  <c r="Q1994" i="1"/>
  <c r="Q1995" i="1"/>
  <c r="Q1996" i="1"/>
  <c r="Q1997" i="1"/>
  <c r="Q1998" i="1"/>
  <c r="Q1999" i="1"/>
  <c r="Q2000" i="1"/>
  <c r="Q2001" i="1"/>
  <c r="Q2002" i="1"/>
  <c r="Q2003" i="1"/>
  <c r="Q2004" i="1"/>
  <c r="Q2005" i="1"/>
  <c r="Q2006" i="1"/>
  <c r="Q2007" i="1"/>
  <c r="Q2008" i="1"/>
  <c r="Q2009" i="1"/>
  <c r="Q2010" i="1"/>
  <c r="Q2011" i="1"/>
  <c r="Q2012" i="1"/>
  <c r="Q2013" i="1"/>
  <c r="Q2014" i="1"/>
  <c r="Q2015" i="1"/>
  <c r="Q2016" i="1"/>
  <c r="Q2017" i="1"/>
  <c r="Q2018" i="1"/>
  <c r="Q2019" i="1"/>
  <c r="Q2020" i="1"/>
  <c r="Q2021" i="1"/>
  <c r="Q2022" i="1"/>
  <c r="Q2023" i="1"/>
  <c r="Q2024" i="1"/>
  <c r="Q2025" i="1"/>
  <c r="Q2026" i="1"/>
  <c r="Q2027" i="1"/>
  <c r="Q2028" i="1"/>
  <c r="Q2029" i="1"/>
  <c r="Q2030" i="1"/>
  <c r="Q2031" i="1"/>
  <c r="Q2032" i="1"/>
  <c r="Q2033" i="1"/>
  <c r="Q2034" i="1"/>
  <c r="Q2035" i="1"/>
  <c r="Q2036" i="1"/>
  <c r="Q2037" i="1"/>
  <c r="Q2038" i="1"/>
  <c r="Q2039" i="1"/>
  <c r="Q2040" i="1"/>
  <c r="Q2041" i="1"/>
  <c r="Q2042" i="1"/>
  <c r="Q2043" i="1"/>
  <c r="Q2044" i="1"/>
  <c r="Q2045" i="1"/>
  <c r="Q2046" i="1"/>
  <c r="Q2047" i="1"/>
  <c r="Q2048" i="1"/>
  <c r="Q2049" i="1"/>
  <c r="Q2050" i="1"/>
  <c r="Q2051" i="1"/>
  <c r="Q2052" i="1"/>
  <c r="Q2053" i="1"/>
  <c r="Q2054" i="1"/>
  <c r="Q2055" i="1"/>
  <c r="Q2056" i="1"/>
  <c r="Q2057" i="1"/>
  <c r="Q2058" i="1"/>
  <c r="Q2059" i="1"/>
  <c r="Q2060" i="1"/>
  <c r="Q2061" i="1"/>
  <c r="Q2062" i="1"/>
  <c r="Q2063" i="1"/>
  <c r="Q2064" i="1"/>
  <c r="Q2065" i="1"/>
  <c r="Q2066" i="1"/>
  <c r="Q2067" i="1"/>
  <c r="Q2068" i="1"/>
  <c r="Q2069" i="1"/>
  <c r="Q2070" i="1"/>
  <c r="Q2071" i="1"/>
  <c r="Q2072" i="1"/>
  <c r="Q2073" i="1"/>
  <c r="Q2074" i="1"/>
  <c r="Q2075" i="1"/>
  <c r="Q2076" i="1"/>
  <c r="Q2077" i="1"/>
  <c r="Q2078" i="1"/>
  <c r="Q2079" i="1"/>
  <c r="Q2080" i="1"/>
  <c r="Q2081" i="1"/>
  <c r="Q2082" i="1"/>
  <c r="Q2083" i="1"/>
  <c r="Q2084" i="1"/>
  <c r="Q2085" i="1"/>
  <c r="Q2086" i="1"/>
  <c r="Q2087" i="1"/>
  <c r="Q2088" i="1"/>
  <c r="Q2089" i="1"/>
  <c r="Q2090" i="1"/>
  <c r="Q2091" i="1"/>
  <c r="Q2092" i="1"/>
  <c r="Q2093" i="1"/>
  <c r="Q2094" i="1"/>
  <c r="Q2095" i="1"/>
  <c r="Q2096" i="1"/>
  <c r="Q2097" i="1"/>
  <c r="Q2098" i="1"/>
  <c r="Q2099" i="1"/>
  <c r="Q2100" i="1"/>
  <c r="Q2101" i="1"/>
  <c r="Q2102" i="1"/>
  <c r="Q2103" i="1"/>
  <c r="Q2104" i="1"/>
  <c r="Q2105" i="1"/>
  <c r="Q2106" i="1"/>
  <c r="Q2107" i="1"/>
  <c r="Q2108" i="1"/>
  <c r="Q2109" i="1"/>
  <c r="Q2110" i="1"/>
  <c r="Q2111" i="1"/>
  <c r="Q2112" i="1"/>
  <c r="Q2113" i="1"/>
  <c r="Q2114" i="1"/>
  <c r="Q2115" i="1"/>
  <c r="Q2116" i="1"/>
  <c r="Q2117" i="1"/>
  <c r="Q2118" i="1"/>
  <c r="Q2119" i="1"/>
  <c r="Q2120" i="1"/>
  <c r="Q2121" i="1"/>
  <c r="Q2122" i="1"/>
  <c r="Q2123" i="1"/>
  <c r="Q2124" i="1"/>
  <c r="Q2125" i="1"/>
  <c r="Q2126" i="1"/>
  <c r="Q2127" i="1"/>
  <c r="Q2128" i="1"/>
  <c r="Q2129" i="1"/>
  <c r="Q2130" i="1"/>
  <c r="Q2131" i="1"/>
  <c r="Q2132" i="1"/>
  <c r="Q2133" i="1"/>
  <c r="Q2134" i="1"/>
  <c r="Q2135" i="1"/>
  <c r="Q2136" i="1"/>
  <c r="Q2137" i="1"/>
  <c r="Q2138" i="1"/>
  <c r="Q2139" i="1"/>
  <c r="Q2140" i="1"/>
  <c r="Q2141" i="1"/>
  <c r="Q2142" i="1"/>
  <c r="Q2143" i="1"/>
  <c r="Q2144" i="1"/>
  <c r="Q2145" i="1"/>
  <c r="Q2146" i="1"/>
  <c r="Q2147" i="1"/>
  <c r="Q2148" i="1"/>
  <c r="Q2149" i="1"/>
  <c r="Q2150" i="1"/>
  <c r="Q2151" i="1"/>
  <c r="Q2152" i="1"/>
  <c r="Q2153" i="1"/>
  <c r="Q2154" i="1"/>
  <c r="Q2155" i="1"/>
  <c r="Q2156" i="1"/>
  <c r="Q2157" i="1"/>
  <c r="Q2158" i="1"/>
  <c r="Q2159" i="1"/>
  <c r="Q2160" i="1"/>
  <c r="Q2161" i="1"/>
  <c r="Q2162" i="1"/>
  <c r="Q2163" i="1"/>
  <c r="Q2164" i="1"/>
  <c r="Q2165" i="1"/>
  <c r="Q2166" i="1"/>
  <c r="Q2167" i="1"/>
  <c r="Q2168" i="1"/>
  <c r="Q2169" i="1"/>
  <c r="Q2170" i="1"/>
  <c r="Q2171" i="1"/>
  <c r="Q2172" i="1"/>
  <c r="Q2173" i="1"/>
  <c r="Q2174" i="1"/>
  <c r="Q2175" i="1"/>
  <c r="Q2176" i="1"/>
  <c r="Q2177" i="1"/>
  <c r="Q2178" i="1"/>
  <c r="Q2179" i="1"/>
  <c r="Q2180" i="1"/>
  <c r="Q2181" i="1"/>
  <c r="Q2182" i="1"/>
  <c r="Q2183" i="1"/>
  <c r="Q2184" i="1"/>
  <c r="Q2185" i="1"/>
  <c r="Q2186" i="1"/>
  <c r="Q2187" i="1"/>
  <c r="Q2188" i="1"/>
  <c r="Q2189" i="1"/>
  <c r="Q2190" i="1"/>
  <c r="Q2191" i="1"/>
  <c r="Q2192" i="1"/>
  <c r="Q2193" i="1"/>
  <c r="Q2194" i="1"/>
  <c r="Q2195" i="1"/>
  <c r="Q2196" i="1"/>
  <c r="Q2197" i="1"/>
  <c r="Q2198" i="1"/>
  <c r="Q2199" i="1"/>
  <c r="Q2200" i="1"/>
  <c r="Q2201" i="1"/>
  <c r="Q2202" i="1"/>
  <c r="Q2203" i="1"/>
  <c r="Q2204" i="1"/>
  <c r="Q2205" i="1"/>
  <c r="Q2206" i="1"/>
  <c r="Q2207" i="1"/>
  <c r="Q2208" i="1"/>
  <c r="Q2209" i="1"/>
  <c r="Q2210" i="1"/>
  <c r="Q2211" i="1"/>
  <c r="Q2212" i="1"/>
  <c r="Q2213" i="1"/>
  <c r="Q2214" i="1"/>
  <c r="Q2215" i="1"/>
  <c r="Q2216" i="1"/>
  <c r="Q2217" i="1"/>
  <c r="Q2218" i="1"/>
  <c r="Q2219" i="1"/>
  <c r="Q2220" i="1"/>
  <c r="Q2221" i="1"/>
  <c r="Q2222" i="1"/>
  <c r="Q2223" i="1"/>
  <c r="Q2224" i="1"/>
  <c r="Q2225" i="1"/>
  <c r="Q2226" i="1"/>
  <c r="Q2227" i="1"/>
  <c r="Q2228" i="1"/>
  <c r="Q2229" i="1"/>
  <c r="Q2230" i="1"/>
  <c r="Q2231" i="1"/>
  <c r="Q2232" i="1"/>
  <c r="Q2233" i="1"/>
  <c r="Q2234" i="1"/>
  <c r="Q2235" i="1"/>
  <c r="Q2236" i="1"/>
  <c r="Q2237" i="1"/>
  <c r="Q2238" i="1"/>
  <c r="Q2239" i="1"/>
  <c r="Q2240" i="1"/>
  <c r="Q2241" i="1"/>
  <c r="Q2242" i="1"/>
  <c r="Q2243" i="1"/>
  <c r="Q2244" i="1"/>
  <c r="Q2245" i="1"/>
  <c r="Q2246" i="1"/>
  <c r="Q2247" i="1"/>
  <c r="Q2248" i="1"/>
  <c r="Q2249" i="1"/>
  <c r="Q2250" i="1"/>
  <c r="Q2251" i="1"/>
  <c r="Q2252" i="1"/>
  <c r="Q2253" i="1"/>
  <c r="Q2254" i="1"/>
  <c r="Q2255" i="1"/>
  <c r="Q2256" i="1"/>
  <c r="Q2257" i="1"/>
  <c r="Q2258" i="1"/>
  <c r="Q2259" i="1"/>
  <c r="Q2260" i="1"/>
  <c r="Q2261" i="1"/>
  <c r="Q2262" i="1"/>
  <c r="Q2263" i="1"/>
  <c r="Q2264" i="1"/>
  <c r="Q2265" i="1"/>
  <c r="Q2266" i="1"/>
  <c r="Q2267" i="1"/>
  <c r="Q2268" i="1"/>
  <c r="Q2269" i="1"/>
  <c r="Q2270" i="1"/>
  <c r="Q2271" i="1"/>
  <c r="Q2272" i="1"/>
  <c r="Q2273" i="1"/>
  <c r="Q2274" i="1"/>
  <c r="Q2275" i="1"/>
  <c r="Q2276" i="1"/>
  <c r="Q2277" i="1"/>
  <c r="Q2278" i="1"/>
  <c r="Q2279" i="1"/>
  <c r="Q2280" i="1"/>
  <c r="Q2281" i="1"/>
  <c r="Q2282" i="1"/>
  <c r="Q2283" i="1"/>
  <c r="Q2284" i="1"/>
  <c r="Q2285" i="1"/>
  <c r="Q2286" i="1"/>
  <c r="Q2287" i="1"/>
  <c r="Q2288" i="1"/>
  <c r="Q2289" i="1"/>
  <c r="Q2290" i="1"/>
  <c r="Q2291" i="1"/>
  <c r="Q2292" i="1"/>
  <c r="Q2293" i="1"/>
  <c r="Q2294" i="1"/>
  <c r="Q2295" i="1"/>
  <c r="Q2296" i="1"/>
  <c r="Q2297" i="1"/>
  <c r="Q2298" i="1"/>
  <c r="Q2299" i="1"/>
  <c r="Q2300" i="1"/>
  <c r="Q2301" i="1"/>
  <c r="Q2302" i="1"/>
  <c r="Q2303" i="1"/>
  <c r="Q2304" i="1"/>
  <c r="Q2305" i="1"/>
  <c r="Q2306" i="1"/>
  <c r="Q2307" i="1"/>
  <c r="Q2308" i="1"/>
  <c r="Q2309" i="1"/>
  <c r="Q2310" i="1"/>
  <c r="Q2311" i="1"/>
  <c r="Q2312" i="1"/>
  <c r="Q2313" i="1"/>
  <c r="Q2314" i="1"/>
  <c r="Q2315" i="1"/>
  <c r="Q2316" i="1"/>
  <c r="Q2317" i="1"/>
  <c r="Q2318" i="1"/>
  <c r="Q2319" i="1"/>
  <c r="Q2320" i="1"/>
  <c r="Q2321" i="1"/>
  <c r="Q2322" i="1"/>
  <c r="Q2323" i="1"/>
  <c r="Q2324" i="1"/>
  <c r="Q2325" i="1"/>
  <c r="Q2326" i="1"/>
  <c r="Q2327" i="1"/>
  <c r="Q2328" i="1"/>
  <c r="Q2329" i="1"/>
  <c r="Q2330" i="1"/>
  <c r="Q2331" i="1"/>
  <c r="Q2332" i="1"/>
  <c r="Q2333" i="1"/>
  <c r="Q2334" i="1"/>
  <c r="Q2335" i="1"/>
  <c r="Q2336" i="1"/>
  <c r="Q2337" i="1"/>
  <c r="Q2338" i="1"/>
  <c r="Q2339" i="1"/>
  <c r="Q2340" i="1"/>
  <c r="Q2341" i="1"/>
  <c r="Q2342" i="1"/>
  <c r="Q2343" i="1"/>
  <c r="Q2344" i="1"/>
  <c r="Q2345" i="1"/>
  <c r="Q2346" i="1"/>
  <c r="Q2347" i="1"/>
  <c r="Q2348" i="1"/>
  <c r="Q2349" i="1"/>
  <c r="Q2350" i="1"/>
  <c r="Q2351" i="1"/>
  <c r="Q2352" i="1"/>
  <c r="Q2353" i="1"/>
  <c r="Q2354" i="1"/>
  <c r="Q2355" i="1"/>
  <c r="Q2356" i="1"/>
  <c r="Q2357" i="1"/>
  <c r="Q2358" i="1"/>
  <c r="Q2359" i="1"/>
  <c r="Q2360" i="1"/>
  <c r="Q2361" i="1"/>
  <c r="Q2362" i="1"/>
  <c r="Q2363" i="1"/>
  <c r="Q2364" i="1"/>
  <c r="Q2365" i="1"/>
  <c r="Q2366" i="1"/>
  <c r="Q2367" i="1"/>
  <c r="Q2368" i="1"/>
  <c r="Q2369" i="1"/>
  <c r="Q2370" i="1"/>
  <c r="Q2371" i="1"/>
  <c r="Q2372" i="1"/>
  <c r="Q2373" i="1"/>
  <c r="Q2374" i="1"/>
  <c r="Q2375" i="1"/>
  <c r="Q2376" i="1"/>
  <c r="Q2377" i="1"/>
  <c r="Q2378" i="1"/>
  <c r="Q2379" i="1"/>
  <c r="Q2380" i="1"/>
  <c r="Q2381" i="1"/>
  <c r="Q2382" i="1"/>
  <c r="Q2383" i="1"/>
  <c r="Q2384" i="1"/>
  <c r="Q2385" i="1"/>
  <c r="Q2386" i="1"/>
  <c r="Q2387" i="1"/>
  <c r="Q2388" i="1"/>
  <c r="Q2389" i="1"/>
  <c r="Q2390" i="1"/>
  <c r="Q2391" i="1"/>
  <c r="Q2392" i="1"/>
  <c r="Q2393" i="1"/>
  <c r="Q2394" i="1"/>
  <c r="Q2395" i="1"/>
  <c r="Q2396" i="1"/>
  <c r="Q2397" i="1"/>
  <c r="Q2398" i="1"/>
  <c r="Q2399" i="1"/>
  <c r="Q2400" i="1"/>
  <c r="Q2401" i="1"/>
  <c r="Q2402" i="1"/>
  <c r="Q2403" i="1"/>
  <c r="Q2404" i="1"/>
  <c r="Q2405" i="1"/>
  <c r="Q2406" i="1"/>
  <c r="Q2407" i="1"/>
  <c r="Q2408" i="1"/>
  <c r="Q2409" i="1"/>
  <c r="Q2410" i="1"/>
  <c r="Q2411" i="1"/>
  <c r="Q2412" i="1"/>
  <c r="Q2413" i="1"/>
  <c r="Q2414" i="1"/>
  <c r="Q2415" i="1"/>
  <c r="Q2416" i="1"/>
  <c r="Q2417" i="1"/>
  <c r="Q2418" i="1"/>
  <c r="Q2419" i="1"/>
  <c r="Q2420" i="1"/>
  <c r="Q2421" i="1"/>
  <c r="Q2422" i="1"/>
  <c r="Q2423" i="1"/>
  <c r="Q2424" i="1"/>
  <c r="Q2425" i="1"/>
  <c r="Q2426" i="1"/>
  <c r="Q2427" i="1"/>
  <c r="Q2428" i="1"/>
  <c r="Q2429" i="1"/>
  <c r="Q2430" i="1"/>
  <c r="Q2431" i="1"/>
  <c r="Q2432" i="1"/>
  <c r="Q2433" i="1"/>
  <c r="Q2434" i="1"/>
  <c r="Q2435" i="1"/>
  <c r="Q2436" i="1"/>
  <c r="Q2437" i="1"/>
  <c r="Q2438" i="1"/>
  <c r="Q2439" i="1"/>
  <c r="Q2440" i="1"/>
  <c r="Q2441" i="1"/>
  <c r="Q2442" i="1"/>
  <c r="Q2443" i="1"/>
  <c r="Q2444" i="1"/>
  <c r="Q2445" i="1"/>
  <c r="Q2446" i="1"/>
  <c r="Q2447" i="1"/>
  <c r="Q2448" i="1"/>
  <c r="Q2449" i="1"/>
  <c r="Q2450" i="1"/>
  <c r="Q2451" i="1"/>
  <c r="Q2452" i="1"/>
  <c r="Q2453" i="1"/>
  <c r="Q2454" i="1"/>
  <c r="Q2455" i="1"/>
  <c r="Q2456" i="1"/>
  <c r="Q2457" i="1"/>
  <c r="Q2458" i="1"/>
  <c r="Q2459" i="1"/>
  <c r="Q2460" i="1"/>
  <c r="Q2461" i="1"/>
  <c r="Q2462" i="1"/>
  <c r="Q2463" i="1"/>
  <c r="Q2464" i="1"/>
  <c r="Q2465" i="1"/>
  <c r="Q2466" i="1"/>
  <c r="Q2467" i="1"/>
  <c r="Q2468" i="1"/>
  <c r="Q2469" i="1"/>
  <c r="Q2470" i="1"/>
  <c r="Q2471" i="1"/>
  <c r="Q2472" i="1"/>
  <c r="Q2473" i="1"/>
  <c r="Q2474" i="1"/>
  <c r="Q2475" i="1"/>
  <c r="Q2476" i="1"/>
  <c r="Q2477" i="1"/>
  <c r="Q2478" i="1"/>
  <c r="Q2479" i="1"/>
  <c r="Q2480" i="1"/>
  <c r="Q2481" i="1"/>
  <c r="Q2482" i="1"/>
  <c r="Q2483" i="1"/>
  <c r="Q2484" i="1"/>
  <c r="Q2485" i="1"/>
  <c r="Q2486" i="1"/>
  <c r="Q2487" i="1"/>
  <c r="Q2488" i="1"/>
  <c r="Q2489" i="1"/>
  <c r="Q2490" i="1"/>
  <c r="Q2491" i="1"/>
  <c r="Q2492" i="1"/>
  <c r="Q2493" i="1"/>
  <c r="Q2494" i="1"/>
  <c r="Q2495" i="1"/>
  <c r="Q2496" i="1"/>
  <c r="Q2497" i="1"/>
  <c r="Q2498" i="1"/>
  <c r="Q2499" i="1"/>
  <c r="Q2500" i="1"/>
  <c r="Q2501" i="1"/>
  <c r="Q2502" i="1"/>
  <c r="Q2503" i="1"/>
  <c r="Q2504" i="1"/>
  <c r="Q2505" i="1"/>
  <c r="Q2506" i="1"/>
  <c r="Q2507" i="1"/>
  <c r="Q2508" i="1"/>
  <c r="Q2509" i="1"/>
  <c r="Q2510" i="1"/>
  <c r="Q2511" i="1"/>
  <c r="Q2512" i="1"/>
  <c r="Q2513" i="1"/>
  <c r="Q2514" i="1"/>
  <c r="Q2515" i="1"/>
  <c r="Q2516" i="1"/>
  <c r="Q2517" i="1"/>
  <c r="Q2518" i="1"/>
  <c r="Q2519" i="1"/>
  <c r="Q2520" i="1"/>
  <c r="Q2521" i="1"/>
  <c r="Q2522" i="1"/>
  <c r="Q2523" i="1"/>
  <c r="Q2524" i="1"/>
  <c r="Q2525" i="1"/>
  <c r="Q2526" i="1"/>
  <c r="Q2527" i="1"/>
  <c r="Q2528" i="1"/>
  <c r="Q2529" i="1"/>
  <c r="Q2530" i="1"/>
  <c r="Q2531" i="1"/>
  <c r="Q2532" i="1"/>
  <c r="Q2533" i="1"/>
  <c r="Q2534" i="1"/>
  <c r="Q2535" i="1"/>
  <c r="Q2536" i="1"/>
  <c r="Q2537" i="1"/>
  <c r="Q2538" i="1"/>
  <c r="Q2539" i="1"/>
  <c r="Q2540" i="1"/>
  <c r="Q2541" i="1"/>
  <c r="Q2542" i="1"/>
  <c r="Q2543" i="1"/>
  <c r="Q2544" i="1"/>
  <c r="Q2545" i="1"/>
  <c r="Q2546" i="1"/>
  <c r="Q2547" i="1"/>
  <c r="Q2548" i="1"/>
  <c r="Q2549" i="1"/>
  <c r="Q2550" i="1"/>
  <c r="Q2551" i="1"/>
  <c r="Q2552" i="1"/>
  <c r="Q2553" i="1"/>
  <c r="Q2554" i="1"/>
  <c r="Q2555" i="1"/>
  <c r="Q2556" i="1"/>
  <c r="Q2557" i="1"/>
  <c r="Q2558" i="1"/>
  <c r="Q2559" i="1"/>
  <c r="Q2560" i="1"/>
  <c r="Q2561" i="1"/>
  <c r="Q2562" i="1"/>
  <c r="Q2563" i="1"/>
  <c r="Q2564" i="1"/>
  <c r="Q2565" i="1"/>
  <c r="Q2566" i="1"/>
  <c r="Q2567" i="1"/>
  <c r="Q2568" i="1"/>
  <c r="Q2569" i="1"/>
  <c r="Q2570" i="1"/>
  <c r="Q2571" i="1"/>
  <c r="Q2572" i="1"/>
  <c r="Q2573" i="1"/>
  <c r="Q2574" i="1"/>
  <c r="Q2575" i="1"/>
  <c r="Q2576" i="1"/>
  <c r="Q2577" i="1"/>
  <c r="Q2578" i="1"/>
  <c r="Q2579" i="1"/>
  <c r="Q2580" i="1"/>
  <c r="Q2581" i="1"/>
  <c r="Q2582" i="1"/>
  <c r="Q2583" i="1"/>
  <c r="Q2584" i="1"/>
  <c r="Q2585" i="1"/>
  <c r="Q2586" i="1"/>
  <c r="Q2587" i="1"/>
  <c r="Q2588" i="1"/>
  <c r="Q2589" i="1"/>
  <c r="Q2590" i="1"/>
  <c r="Q2591" i="1"/>
  <c r="Q2592" i="1"/>
  <c r="Q2593" i="1"/>
  <c r="Q2594" i="1"/>
  <c r="Q2595" i="1"/>
  <c r="Q2596" i="1"/>
  <c r="Q2597" i="1"/>
  <c r="Q2598" i="1"/>
  <c r="Q2599" i="1"/>
  <c r="Q2600" i="1"/>
  <c r="Q2601" i="1"/>
  <c r="Q2602" i="1"/>
  <c r="Q2603" i="1"/>
  <c r="Q2604" i="1"/>
  <c r="Q2605" i="1"/>
  <c r="Q2606" i="1"/>
  <c r="Q2607" i="1"/>
  <c r="Q2608" i="1"/>
  <c r="Q2609" i="1"/>
  <c r="Q2610" i="1"/>
  <c r="Q2611" i="1"/>
  <c r="Q2612" i="1"/>
  <c r="Q2613" i="1"/>
  <c r="Q2614" i="1"/>
  <c r="Q2615" i="1"/>
  <c r="Q2616" i="1"/>
  <c r="Q2617" i="1"/>
  <c r="Q2618" i="1"/>
  <c r="Q2619" i="1"/>
  <c r="Q2620" i="1"/>
  <c r="Q2621" i="1"/>
  <c r="Q2622" i="1"/>
  <c r="Q2623" i="1"/>
  <c r="Q2624" i="1"/>
  <c r="Q2625" i="1"/>
  <c r="Q2626" i="1"/>
  <c r="Q2627" i="1"/>
  <c r="Q2628" i="1"/>
  <c r="Q2629" i="1"/>
  <c r="Q2630" i="1"/>
  <c r="Q2631" i="1"/>
  <c r="Q2632" i="1"/>
  <c r="Q2633" i="1"/>
  <c r="Q2634" i="1"/>
  <c r="Q2635" i="1"/>
  <c r="Q2636" i="1"/>
  <c r="Q2637" i="1"/>
  <c r="Q2638" i="1"/>
  <c r="Q2639" i="1"/>
  <c r="Q2640" i="1"/>
  <c r="Q2641" i="1"/>
  <c r="Q2642" i="1"/>
  <c r="Q2643" i="1"/>
  <c r="Q2644" i="1"/>
  <c r="Q2645" i="1"/>
  <c r="Q2646" i="1"/>
  <c r="Q2647" i="1"/>
  <c r="Q2648" i="1"/>
  <c r="Q2649" i="1"/>
  <c r="Q2650" i="1"/>
  <c r="Q2651" i="1"/>
  <c r="Q2652" i="1"/>
  <c r="Q2653" i="1"/>
  <c r="Q2654" i="1"/>
  <c r="Q2655" i="1"/>
  <c r="Q2656" i="1"/>
  <c r="Q2657" i="1"/>
  <c r="Q2658" i="1"/>
  <c r="Q2659" i="1"/>
  <c r="Q2660" i="1"/>
  <c r="Q2661" i="1"/>
  <c r="Q2662" i="1"/>
  <c r="Q2663" i="1"/>
  <c r="Q2664" i="1"/>
  <c r="Q2665" i="1"/>
  <c r="Q2666" i="1"/>
  <c r="Q2667" i="1"/>
  <c r="Q2668" i="1"/>
  <c r="Q2669" i="1"/>
  <c r="Q2670" i="1"/>
  <c r="Q2671" i="1"/>
  <c r="Q2672" i="1"/>
  <c r="Q2673" i="1"/>
  <c r="Q2674" i="1"/>
  <c r="Q2675" i="1"/>
  <c r="Q2676" i="1"/>
  <c r="Q2677" i="1"/>
  <c r="Q2678" i="1"/>
  <c r="Q2679" i="1"/>
  <c r="Q2680" i="1"/>
  <c r="Q2681" i="1"/>
  <c r="Q2682" i="1"/>
  <c r="Q2683" i="1"/>
  <c r="Q2684" i="1"/>
  <c r="Q2685" i="1"/>
  <c r="Q2686" i="1"/>
  <c r="Q2687" i="1"/>
  <c r="Q2688" i="1"/>
  <c r="Q2689" i="1"/>
  <c r="Q2690" i="1"/>
  <c r="Q2691" i="1"/>
  <c r="Q2692" i="1"/>
  <c r="Q2693" i="1"/>
  <c r="Q2694" i="1"/>
  <c r="Q2695" i="1"/>
  <c r="Q2696" i="1"/>
  <c r="Q2697" i="1"/>
  <c r="Q2698" i="1"/>
  <c r="Q2699" i="1"/>
  <c r="Q2700" i="1"/>
  <c r="Q2701" i="1"/>
  <c r="Q2702" i="1"/>
  <c r="Q2703" i="1"/>
  <c r="Q2704" i="1"/>
  <c r="Q2705" i="1"/>
  <c r="Q2706" i="1"/>
  <c r="Q2707" i="1"/>
  <c r="Q2708" i="1"/>
  <c r="Q2709" i="1"/>
  <c r="Q2710" i="1"/>
  <c r="Q2711" i="1"/>
  <c r="Q2712" i="1"/>
  <c r="Q2713" i="1"/>
  <c r="Q2714" i="1"/>
  <c r="Q2715" i="1"/>
  <c r="Q2716" i="1"/>
  <c r="Q2717" i="1"/>
  <c r="Q2718" i="1"/>
  <c r="Q2719" i="1"/>
  <c r="Q2720" i="1"/>
  <c r="Q2721" i="1"/>
  <c r="Q2722" i="1"/>
  <c r="Q2723" i="1"/>
  <c r="Q2724" i="1"/>
  <c r="Q2725" i="1"/>
  <c r="Q2726" i="1"/>
  <c r="Q2727" i="1"/>
  <c r="Q2728" i="1"/>
  <c r="Q2729" i="1"/>
  <c r="Q2730" i="1"/>
  <c r="Q2731" i="1"/>
  <c r="Q2732" i="1"/>
  <c r="Q2733" i="1"/>
  <c r="Q2734" i="1"/>
  <c r="Q2735" i="1"/>
  <c r="Q2736" i="1"/>
  <c r="Q2737" i="1"/>
  <c r="Q2738" i="1"/>
  <c r="Q2739" i="1"/>
  <c r="Q2740" i="1"/>
  <c r="Q2741" i="1"/>
  <c r="Q2742" i="1"/>
  <c r="Q2743" i="1"/>
  <c r="Q2744" i="1"/>
  <c r="Q2745" i="1"/>
  <c r="Q2746" i="1"/>
  <c r="Q2747" i="1"/>
  <c r="Q2748" i="1"/>
  <c r="Q2749" i="1"/>
  <c r="Q2750" i="1"/>
  <c r="Q2751" i="1"/>
  <c r="Q2752" i="1"/>
  <c r="Q2753" i="1"/>
  <c r="Q2754" i="1"/>
  <c r="Q2755" i="1"/>
  <c r="Q2756" i="1"/>
  <c r="Q2757" i="1"/>
  <c r="Q2758" i="1"/>
  <c r="Q2759" i="1"/>
  <c r="Q2760" i="1"/>
  <c r="Q2761" i="1"/>
  <c r="Q2762" i="1"/>
  <c r="Q2763" i="1"/>
  <c r="Q2764" i="1"/>
  <c r="Q2765" i="1"/>
  <c r="Q2766" i="1"/>
  <c r="Q2767" i="1"/>
  <c r="Q2768" i="1"/>
  <c r="Q2769" i="1"/>
  <c r="Q2770" i="1"/>
  <c r="Q2771" i="1"/>
  <c r="Q2772" i="1"/>
  <c r="Q2773" i="1"/>
  <c r="Q2774" i="1"/>
  <c r="Q2775" i="1"/>
  <c r="Q2776" i="1"/>
  <c r="Q2777" i="1"/>
  <c r="Q2778" i="1"/>
  <c r="Q2779" i="1"/>
  <c r="Q2780" i="1"/>
  <c r="Q2781" i="1"/>
  <c r="Q2782" i="1"/>
  <c r="Q2783" i="1"/>
  <c r="Q2784" i="1"/>
  <c r="Q2785" i="1"/>
  <c r="Q2786" i="1"/>
  <c r="Q2787" i="1"/>
  <c r="Q2788" i="1"/>
  <c r="Q2789" i="1"/>
  <c r="Q2790" i="1"/>
  <c r="Q2791" i="1"/>
  <c r="Q2792" i="1"/>
  <c r="Q2793" i="1"/>
  <c r="Q2794" i="1"/>
  <c r="Q2795" i="1"/>
  <c r="Q2796" i="1"/>
  <c r="Q2797" i="1"/>
  <c r="Q2798" i="1"/>
  <c r="Q2799" i="1"/>
  <c r="Q2800" i="1"/>
  <c r="Q2801" i="1"/>
  <c r="Q2802" i="1"/>
  <c r="Q2803" i="1"/>
  <c r="Q2804" i="1"/>
  <c r="Q2805" i="1"/>
  <c r="Q2806" i="1"/>
  <c r="Q2807" i="1"/>
  <c r="Q2808" i="1"/>
  <c r="Q2809" i="1"/>
  <c r="Q2810" i="1"/>
  <c r="Q2811" i="1"/>
  <c r="Q2812" i="1"/>
  <c r="Q2813" i="1"/>
  <c r="Q2814" i="1"/>
  <c r="Q2815" i="1"/>
  <c r="Q2816" i="1"/>
  <c r="Q2817" i="1"/>
  <c r="Q2818" i="1"/>
  <c r="Q2819" i="1"/>
  <c r="Q2820" i="1"/>
  <c r="Q2821" i="1"/>
  <c r="Q2822" i="1"/>
  <c r="Q2823" i="1"/>
  <c r="Q2824" i="1"/>
  <c r="Q2825" i="1"/>
  <c r="Q2826" i="1"/>
  <c r="Q2827" i="1"/>
  <c r="Q2828" i="1"/>
  <c r="Q2829" i="1"/>
  <c r="Q2830" i="1"/>
  <c r="Q2831" i="1"/>
  <c r="Q2832" i="1"/>
  <c r="Q2833" i="1"/>
  <c r="Q2834" i="1"/>
  <c r="Q2835" i="1"/>
  <c r="Q2836" i="1"/>
  <c r="Q2837" i="1"/>
  <c r="Q2838" i="1"/>
  <c r="Q2839" i="1"/>
  <c r="Q2840" i="1"/>
  <c r="Q2841" i="1"/>
  <c r="Q2842" i="1"/>
  <c r="Q2843" i="1"/>
  <c r="Q2844" i="1"/>
  <c r="Q2845" i="1"/>
  <c r="Q2846" i="1"/>
  <c r="Q2847" i="1"/>
  <c r="Q2848" i="1"/>
  <c r="Q2849" i="1"/>
  <c r="Q2850" i="1"/>
  <c r="Q2851" i="1"/>
  <c r="Q2852" i="1"/>
  <c r="Q2853" i="1"/>
  <c r="Q2854" i="1"/>
  <c r="Q2855" i="1"/>
  <c r="Q2856" i="1"/>
  <c r="Q2857" i="1"/>
  <c r="Q2858" i="1"/>
  <c r="Q2859" i="1"/>
  <c r="Q2860" i="1"/>
  <c r="Q2861" i="1"/>
  <c r="Q2862" i="1"/>
  <c r="Q2863" i="1"/>
  <c r="Q2864" i="1"/>
  <c r="Q2865" i="1"/>
  <c r="Q2866" i="1"/>
  <c r="Q2867" i="1"/>
  <c r="Q2868" i="1"/>
  <c r="Q2869" i="1"/>
  <c r="Q2870" i="1"/>
  <c r="Q2871" i="1"/>
  <c r="Q2872" i="1"/>
  <c r="Q2873" i="1"/>
  <c r="Q2874" i="1"/>
  <c r="Q2875" i="1"/>
  <c r="Q2876" i="1"/>
  <c r="Q2877" i="1"/>
  <c r="Q2878" i="1"/>
  <c r="Q2879" i="1"/>
  <c r="Q2880" i="1"/>
  <c r="Q2881" i="1"/>
  <c r="Q2882" i="1"/>
  <c r="Q2883" i="1"/>
  <c r="Q2884" i="1"/>
  <c r="Q2885" i="1"/>
  <c r="Q2886" i="1"/>
  <c r="Q2887" i="1"/>
  <c r="Q2888" i="1"/>
  <c r="Q2889" i="1"/>
  <c r="Q2890" i="1"/>
  <c r="Q2891" i="1"/>
  <c r="Q2892" i="1"/>
  <c r="Q2893" i="1"/>
  <c r="Q2894" i="1"/>
  <c r="Q2895" i="1"/>
  <c r="Q2896" i="1"/>
  <c r="Q2897" i="1"/>
  <c r="Q2898" i="1"/>
  <c r="Q2899" i="1"/>
  <c r="Q2900" i="1"/>
  <c r="Q2901" i="1"/>
  <c r="Q2902" i="1"/>
  <c r="Q2903" i="1"/>
  <c r="Q2904" i="1"/>
  <c r="Q2905" i="1"/>
  <c r="Q2906" i="1"/>
  <c r="Q2907" i="1"/>
  <c r="Q2908" i="1"/>
  <c r="Q2909" i="1"/>
  <c r="Q2910" i="1"/>
  <c r="Q2911" i="1"/>
  <c r="Q2912" i="1"/>
  <c r="Q2913" i="1"/>
  <c r="Q2914" i="1"/>
  <c r="Q2915" i="1"/>
  <c r="Q2916" i="1"/>
  <c r="Q2917" i="1"/>
  <c r="Q2918" i="1"/>
  <c r="Q2919" i="1"/>
  <c r="Q2920" i="1"/>
  <c r="Q2921" i="1"/>
  <c r="Q2922" i="1"/>
  <c r="Q2923" i="1"/>
  <c r="Q2924" i="1"/>
  <c r="Q2925" i="1"/>
  <c r="Q2926" i="1"/>
  <c r="Q2927" i="1"/>
  <c r="Q2928" i="1"/>
  <c r="Q2929" i="1"/>
  <c r="Q2930" i="1"/>
  <c r="Q2931" i="1"/>
  <c r="Q2932" i="1"/>
  <c r="Q2933" i="1"/>
  <c r="Q2934" i="1"/>
  <c r="Q2935" i="1"/>
  <c r="Q2936" i="1"/>
  <c r="Q2937" i="1"/>
  <c r="Q2938" i="1"/>
  <c r="Q2939" i="1"/>
  <c r="Q2940" i="1"/>
  <c r="Q2941" i="1"/>
  <c r="Q2942" i="1"/>
  <c r="Q2943" i="1"/>
  <c r="Q2944" i="1"/>
  <c r="Q2945" i="1"/>
  <c r="Q2946" i="1"/>
  <c r="Q2947" i="1"/>
  <c r="Q2948" i="1"/>
  <c r="Q2949" i="1"/>
  <c r="Q2950" i="1"/>
  <c r="Q2951" i="1"/>
  <c r="Q2952" i="1"/>
  <c r="Q2953" i="1"/>
  <c r="Q2954" i="1"/>
  <c r="Q2955" i="1"/>
  <c r="Q2956" i="1"/>
  <c r="Q2957" i="1"/>
  <c r="Q2958" i="1"/>
  <c r="Q2959" i="1"/>
  <c r="Q2960" i="1"/>
  <c r="Q2961" i="1"/>
  <c r="Q2962" i="1"/>
  <c r="Q2963" i="1"/>
  <c r="Q2964" i="1"/>
  <c r="Q2965" i="1"/>
  <c r="Q2966" i="1"/>
  <c r="Q2967" i="1"/>
  <c r="Q2968" i="1"/>
  <c r="Q2969" i="1"/>
  <c r="Q2970" i="1"/>
  <c r="Q2971" i="1"/>
  <c r="Q2972" i="1"/>
  <c r="Q2973" i="1"/>
  <c r="Q2974" i="1"/>
  <c r="Q2975" i="1"/>
  <c r="Q2976" i="1"/>
  <c r="Q2977" i="1"/>
  <c r="Q2978" i="1"/>
  <c r="Q2979" i="1"/>
  <c r="Q2980" i="1"/>
  <c r="Q2981" i="1"/>
  <c r="Q2982" i="1"/>
  <c r="Q2983" i="1"/>
  <c r="Q2984" i="1"/>
  <c r="Q2985" i="1"/>
  <c r="Q2986" i="1"/>
  <c r="Q2987" i="1"/>
  <c r="Q2988" i="1"/>
  <c r="Q2989" i="1"/>
  <c r="Q2990" i="1"/>
  <c r="Q2991" i="1"/>
  <c r="Q2992" i="1"/>
  <c r="Q2993" i="1"/>
  <c r="Q2994" i="1"/>
  <c r="Q2995" i="1"/>
  <c r="Q2996" i="1"/>
  <c r="Q2997" i="1"/>
  <c r="Q2998" i="1"/>
  <c r="Q2999" i="1"/>
  <c r="Q3000" i="1"/>
  <c r="Q3001" i="1"/>
  <c r="Q3002" i="1"/>
  <c r="Q3003" i="1"/>
  <c r="Q3004" i="1"/>
  <c r="Q3005" i="1"/>
  <c r="Q3006" i="1"/>
  <c r="Q3007" i="1"/>
  <c r="Q3008" i="1"/>
  <c r="Q3009" i="1"/>
  <c r="Q3010" i="1"/>
  <c r="Q3011" i="1"/>
  <c r="Q3012" i="1"/>
  <c r="Q3013" i="1"/>
  <c r="Q3014" i="1"/>
  <c r="Q3015" i="1"/>
  <c r="Q3016" i="1"/>
  <c r="Q3017" i="1"/>
  <c r="Q3018" i="1"/>
  <c r="Q3019" i="1"/>
  <c r="Q3020" i="1"/>
  <c r="Q3021" i="1"/>
  <c r="Q3022" i="1"/>
  <c r="Q3023" i="1"/>
  <c r="Q3024" i="1"/>
  <c r="Q3025" i="1"/>
  <c r="Q3026" i="1"/>
  <c r="Q3027" i="1"/>
  <c r="Q3028" i="1"/>
  <c r="Q3029" i="1"/>
  <c r="Q3030" i="1"/>
  <c r="Q3031" i="1"/>
  <c r="Q3032" i="1"/>
  <c r="Q3033" i="1"/>
  <c r="Q3034" i="1"/>
  <c r="Q3035" i="1"/>
  <c r="Q3036" i="1"/>
  <c r="Q3037" i="1"/>
  <c r="Q3038" i="1"/>
  <c r="Q3039" i="1"/>
  <c r="Q3040" i="1"/>
  <c r="Q3041" i="1"/>
  <c r="Q3042" i="1"/>
  <c r="Q3043" i="1"/>
  <c r="Q3044" i="1"/>
  <c r="Q3045" i="1"/>
  <c r="Q3046" i="1"/>
  <c r="Q3047" i="1"/>
  <c r="Q3048" i="1"/>
  <c r="Q3049" i="1"/>
  <c r="Q3050" i="1"/>
  <c r="Q3051" i="1"/>
  <c r="Q3052" i="1"/>
  <c r="Q3053" i="1"/>
  <c r="Q3054" i="1"/>
  <c r="Q3055" i="1"/>
  <c r="Q3056" i="1"/>
  <c r="Q3057" i="1"/>
  <c r="Q3058" i="1"/>
  <c r="Q3059" i="1"/>
  <c r="Q3060" i="1"/>
  <c r="Q3061" i="1"/>
  <c r="Q3062" i="1"/>
  <c r="Q3063" i="1"/>
  <c r="Q3064" i="1"/>
  <c r="Q3065" i="1"/>
  <c r="Q3066" i="1"/>
  <c r="Q3067" i="1"/>
  <c r="Q3068" i="1"/>
  <c r="Q3069" i="1"/>
  <c r="Q3070" i="1"/>
  <c r="Q3071" i="1"/>
  <c r="Q3072" i="1"/>
  <c r="Q3073" i="1"/>
  <c r="Q3074" i="1"/>
  <c r="Q3075" i="1"/>
  <c r="Q3076" i="1"/>
  <c r="Q3077" i="1"/>
  <c r="Q3078" i="1"/>
  <c r="Q3079" i="1"/>
  <c r="Q3080" i="1"/>
  <c r="Q3081" i="1"/>
  <c r="Q3082" i="1"/>
  <c r="Q3083" i="1"/>
  <c r="Q3084" i="1"/>
  <c r="Q3085" i="1"/>
  <c r="Q3086" i="1"/>
  <c r="Q3087" i="1"/>
  <c r="Q3088" i="1"/>
  <c r="Q3089" i="1"/>
  <c r="Q3090" i="1"/>
  <c r="Q3091" i="1"/>
  <c r="Q3092" i="1"/>
  <c r="Q3093" i="1"/>
  <c r="Q3094" i="1"/>
  <c r="Q3095" i="1"/>
  <c r="Q3096" i="1"/>
  <c r="Q3097" i="1"/>
  <c r="Q3098" i="1"/>
  <c r="Q3099" i="1"/>
  <c r="Q3100" i="1"/>
  <c r="Q3101" i="1"/>
  <c r="Q3102" i="1"/>
  <c r="Q3103" i="1"/>
  <c r="Q3104" i="1"/>
  <c r="Q3105" i="1"/>
  <c r="Q3106" i="1"/>
  <c r="Q3107" i="1"/>
  <c r="Q3108" i="1"/>
  <c r="Q3109" i="1"/>
  <c r="Q3110" i="1"/>
  <c r="Q3111" i="1"/>
  <c r="Q3112" i="1"/>
  <c r="Q3113" i="1"/>
  <c r="Q3114" i="1"/>
  <c r="Q3115" i="1"/>
  <c r="Q3116" i="1"/>
  <c r="Q3117" i="1"/>
  <c r="Q3118" i="1"/>
  <c r="Q3119" i="1"/>
  <c r="Q3120" i="1"/>
  <c r="Q3121" i="1"/>
  <c r="Q3122" i="1"/>
  <c r="Q3123" i="1"/>
  <c r="Q3124" i="1"/>
  <c r="Q3125" i="1"/>
  <c r="Q3126" i="1"/>
  <c r="Q3127" i="1"/>
  <c r="Q3128" i="1"/>
  <c r="Q3129" i="1"/>
  <c r="Q3130" i="1"/>
  <c r="Q3131" i="1"/>
  <c r="Q3132" i="1"/>
  <c r="Q3133" i="1"/>
  <c r="Q3134" i="1"/>
  <c r="Q3135" i="1"/>
  <c r="Q3136" i="1"/>
  <c r="Q3137" i="1"/>
  <c r="Q3138" i="1"/>
  <c r="Q3139" i="1"/>
  <c r="Q3140" i="1"/>
  <c r="Q3141" i="1"/>
  <c r="Q3142" i="1"/>
  <c r="Q3143" i="1"/>
  <c r="Q3144" i="1"/>
  <c r="Q3145" i="1"/>
  <c r="Q3146" i="1"/>
  <c r="Q3147" i="1"/>
  <c r="Q3148" i="1"/>
  <c r="Q3149" i="1"/>
  <c r="Q3150" i="1"/>
  <c r="Q3151" i="1"/>
  <c r="Q3152" i="1"/>
  <c r="Q3153" i="1"/>
  <c r="Q3154" i="1"/>
  <c r="Q3155" i="1"/>
  <c r="Q3156" i="1"/>
  <c r="Q3157" i="1"/>
  <c r="Q3158" i="1"/>
  <c r="Q3159" i="1"/>
  <c r="Q3160" i="1"/>
  <c r="Q3161" i="1"/>
  <c r="Q3162" i="1"/>
  <c r="Q3163" i="1"/>
  <c r="Q3164" i="1"/>
  <c r="Q3165" i="1"/>
  <c r="Q3166" i="1"/>
  <c r="Q3167" i="1"/>
  <c r="Q3168" i="1"/>
  <c r="Q3169" i="1"/>
  <c r="Q3170" i="1"/>
  <c r="Q3171" i="1"/>
  <c r="Q3172" i="1"/>
  <c r="Q3173" i="1"/>
  <c r="Q3174" i="1"/>
  <c r="Q3175" i="1"/>
  <c r="Q3176" i="1"/>
  <c r="Q3177" i="1"/>
  <c r="Q3178" i="1"/>
  <c r="Q3179" i="1"/>
  <c r="Q3180" i="1"/>
  <c r="Q3181" i="1"/>
  <c r="Q3182" i="1"/>
  <c r="Q3183" i="1"/>
  <c r="Q3184" i="1"/>
  <c r="Q3185" i="1"/>
  <c r="Q3186" i="1"/>
  <c r="Q3187" i="1"/>
  <c r="Q3188" i="1"/>
  <c r="Q3189" i="1"/>
  <c r="Q3190" i="1"/>
  <c r="Q3191" i="1"/>
  <c r="Q3192" i="1"/>
  <c r="Q3193" i="1"/>
  <c r="Q3194" i="1"/>
  <c r="Q3195" i="1"/>
  <c r="Q3196" i="1"/>
  <c r="Q3197" i="1"/>
  <c r="Q3198" i="1"/>
  <c r="Q3199" i="1"/>
  <c r="Q3200" i="1"/>
  <c r="Q3201" i="1"/>
  <c r="Q3202" i="1"/>
  <c r="Q3203" i="1"/>
  <c r="Q3204" i="1"/>
  <c r="Q3205" i="1"/>
  <c r="Q3206" i="1"/>
  <c r="Q3207" i="1"/>
  <c r="Q3208" i="1"/>
  <c r="Q3209" i="1"/>
  <c r="Q3210" i="1"/>
  <c r="Q3211" i="1"/>
  <c r="Q3212" i="1"/>
  <c r="Q3213" i="1"/>
  <c r="Q3214" i="1"/>
  <c r="Q3215" i="1"/>
  <c r="Q3216" i="1"/>
  <c r="Q3217" i="1"/>
  <c r="Q3218" i="1"/>
  <c r="Q3219" i="1"/>
  <c r="Q3220" i="1"/>
  <c r="Q3221" i="1"/>
  <c r="Q3222" i="1"/>
  <c r="Q3223" i="1"/>
  <c r="Q3224" i="1"/>
  <c r="Q3225" i="1"/>
  <c r="Q3226" i="1"/>
  <c r="Q3227" i="1"/>
  <c r="Q3228" i="1"/>
  <c r="Q3229" i="1"/>
  <c r="Q3230" i="1"/>
  <c r="Q3231" i="1"/>
  <c r="Q3232" i="1"/>
  <c r="Q3233" i="1"/>
  <c r="Q3234" i="1"/>
  <c r="Q3235" i="1"/>
  <c r="Q3236" i="1"/>
  <c r="Q3237" i="1"/>
  <c r="Q3238" i="1"/>
  <c r="Q3239" i="1"/>
  <c r="Q3240" i="1"/>
  <c r="Q3241" i="1"/>
  <c r="Q3242" i="1"/>
  <c r="Q3243" i="1"/>
  <c r="Q3244" i="1"/>
  <c r="Q3245" i="1"/>
  <c r="Q3246" i="1"/>
  <c r="Q3247" i="1"/>
  <c r="Q3248" i="1"/>
  <c r="Q3249" i="1"/>
  <c r="Q3250" i="1"/>
  <c r="Q3251" i="1"/>
  <c r="Q3252" i="1"/>
  <c r="Q3253" i="1"/>
  <c r="Q3254" i="1"/>
  <c r="Q3255" i="1"/>
  <c r="Q3256" i="1"/>
  <c r="Q3257" i="1"/>
  <c r="Q3258" i="1"/>
  <c r="Q3259" i="1"/>
  <c r="Q3260" i="1"/>
  <c r="Q3261" i="1"/>
  <c r="Q3262" i="1"/>
  <c r="Q3263" i="1"/>
  <c r="Q3264" i="1"/>
  <c r="Q3265" i="1"/>
  <c r="Q3266" i="1"/>
  <c r="Q3267" i="1"/>
  <c r="Q3268" i="1"/>
  <c r="Q3269" i="1"/>
  <c r="Q3270" i="1"/>
  <c r="Q3271" i="1"/>
  <c r="Q3272" i="1"/>
  <c r="Q3273" i="1"/>
  <c r="Q3274" i="1"/>
  <c r="Q3275" i="1"/>
  <c r="Q3276" i="1"/>
  <c r="Q3277" i="1"/>
  <c r="Q3278" i="1"/>
  <c r="Q3279" i="1"/>
  <c r="Q3280" i="1"/>
  <c r="Q3281" i="1"/>
  <c r="Q3282" i="1"/>
  <c r="Q3283" i="1"/>
  <c r="Q3284" i="1"/>
  <c r="Q3285" i="1"/>
  <c r="Q3286" i="1"/>
  <c r="Q3287" i="1"/>
  <c r="Q3288" i="1"/>
  <c r="Q3289" i="1"/>
  <c r="Q3290" i="1"/>
  <c r="Q3291" i="1"/>
  <c r="Q3292" i="1"/>
  <c r="Q3293" i="1"/>
  <c r="Q3294" i="1"/>
  <c r="Q3295" i="1"/>
  <c r="Q3296" i="1"/>
  <c r="Q3297" i="1"/>
  <c r="Q3298" i="1"/>
  <c r="Q3299" i="1"/>
  <c r="Q3300" i="1"/>
  <c r="Q3301" i="1"/>
  <c r="Q3302" i="1"/>
  <c r="Q3303" i="1"/>
  <c r="Q3304" i="1"/>
  <c r="Q3305" i="1"/>
  <c r="Q3306" i="1"/>
  <c r="Q3307" i="1"/>
  <c r="Q3308" i="1"/>
  <c r="Q3309" i="1"/>
  <c r="Q3310" i="1"/>
  <c r="Q3311" i="1"/>
  <c r="Q3312" i="1"/>
  <c r="Q3313" i="1"/>
  <c r="Q3314" i="1"/>
  <c r="Q3315" i="1"/>
  <c r="Q3316" i="1"/>
  <c r="Q3317" i="1"/>
  <c r="Q3318" i="1"/>
  <c r="Q3319" i="1"/>
  <c r="Q3320" i="1"/>
  <c r="Q3321" i="1"/>
  <c r="Q3322" i="1"/>
  <c r="Q3323" i="1"/>
  <c r="Q3324" i="1"/>
  <c r="Q3325" i="1"/>
  <c r="Q3326" i="1"/>
  <c r="Q3327" i="1"/>
  <c r="Q3328" i="1"/>
  <c r="Q3329" i="1"/>
  <c r="Q3330" i="1"/>
  <c r="Q3331" i="1"/>
  <c r="Q3332" i="1"/>
  <c r="Q3333" i="1"/>
  <c r="Q3334" i="1"/>
  <c r="Q3335" i="1"/>
  <c r="Q3336" i="1"/>
  <c r="Q3337" i="1"/>
  <c r="Q3338" i="1"/>
  <c r="Q3339" i="1"/>
  <c r="Q3340" i="1"/>
  <c r="Q3341" i="1"/>
  <c r="Q3342" i="1"/>
  <c r="Q3343" i="1"/>
  <c r="Q3344" i="1"/>
  <c r="Q3345" i="1"/>
  <c r="Q3346" i="1"/>
  <c r="Q3347" i="1"/>
  <c r="Q3348" i="1"/>
  <c r="Q3349" i="1"/>
  <c r="Q3350" i="1"/>
  <c r="Q3351" i="1"/>
  <c r="Q3352" i="1"/>
  <c r="Q3353" i="1"/>
  <c r="Q3354" i="1"/>
  <c r="Q3355" i="1"/>
  <c r="Q3356" i="1"/>
  <c r="Q3357" i="1"/>
  <c r="Q3358" i="1"/>
  <c r="Q3359" i="1"/>
  <c r="Q3360" i="1"/>
  <c r="Q3361" i="1"/>
  <c r="Q3362" i="1"/>
  <c r="Q3363" i="1"/>
  <c r="Q3364" i="1"/>
  <c r="Q3365" i="1"/>
  <c r="Q3366" i="1"/>
  <c r="Q3367" i="1"/>
  <c r="Q3368" i="1"/>
  <c r="Q3369" i="1"/>
  <c r="Q3370" i="1"/>
  <c r="Q3371" i="1"/>
  <c r="Q3372" i="1"/>
  <c r="Q3373" i="1"/>
  <c r="Q3374" i="1"/>
  <c r="Q3375" i="1"/>
  <c r="Q3376" i="1"/>
  <c r="Q3377" i="1"/>
  <c r="Q3378" i="1"/>
  <c r="Q3379" i="1"/>
  <c r="Q3380" i="1"/>
  <c r="Q3381" i="1"/>
  <c r="Q3382" i="1"/>
  <c r="Q3383" i="1"/>
  <c r="Q3384" i="1"/>
  <c r="Q3385" i="1"/>
  <c r="Q3386" i="1"/>
  <c r="Q3387" i="1"/>
  <c r="Q3388" i="1"/>
  <c r="Q3389" i="1"/>
  <c r="Q3390" i="1"/>
  <c r="Q3391" i="1"/>
  <c r="Q3392" i="1"/>
  <c r="Q3393" i="1"/>
  <c r="Q3394" i="1"/>
  <c r="Q3395" i="1"/>
  <c r="Q3396" i="1"/>
  <c r="Q3397" i="1"/>
  <c r="Q3398" i="1"/>
  <c r="Q3399" i="1"/>
  <c r="Q3400" i="1"/>
  <c r="Q3401" i="1"/>
  <c r="Q3402" i="1"/>
  <c r="Q3403" i="1"/>
  <c r="Q3404" i="1"/>
  <c r="Q3405" i="1"/>
  <c r="Q3406" i="1"/>
  <c r="Q3407" i="1"/>
  <c r="Q3408" i="1"/>
  <c r="Q3409" i="1"/>
  <c r="Q3410" i="1"/>
  <c r="Q3411" i="1"/>
  <c r="Q3412" i="1"/>
  <c r="Q3413" i="1"/>
  <c r="Q3414" i="1"/>
  <c r="Q3415" i="1"/>
  <c r="Q3416" i="1"/>
  <c r="Q3417" i="1"/>
  <c r="Q3418" i="1"/>
  <c r="Q3419" i="1"/>
  <c r="Q3420" i="1"/>
  <c r="Q3421" i="1"/>
  <c r="Q3422" i="1"/>
  <c r="Q3423" i="1"/>
  <c r="Q3424" i="1"/>
  <c r="Q3425" i="1"/>
  <c r="Q3426" i="1"/>
  <c r="Q3427" i="1"/>
  <c r="Q3428" i="1"/>
  <c r="Q3429" i="1"/>
  <c r="Q3430" i="1"/>
  <c r="Q3431" i="1"/>
  <c r="Q3432" i="1"/>
  <c r="Q3433" i="1"/>
  <c r="Q3434" i="1"/>
  <c r="Q3435" i="1"/>
  <c r="Q3436" i="1"/>
  <c r="Q3437" i="1"/>
  <c r="Q3438" i="1"/>
  <c r="Q3439" i="1"/>
  <c r="Q3440" i="1"/>
  <c r="Q3441" i="1"/>
  <c r="Q3442" i="1"/>
  <c r="Q3443" i="1"/>
  <c r="Q3444" i="1"/>
  <c r="Q3445" i="1"/>
  <c r="Q3446" i="1"/>
  <c r="Q3447" i="1"/>
  <c r="Q3448" i="1"/>
  <c r="Q3449" i="1"/>
  <c r="Q3450" i="1"/>
  <c r="Q3451" i="1"/>
  <c r="Q3452" i="1"/>
  <c r="Q3453" i="1"/>
  <c r="Q3454" i="1"/>
  <c r="Q3455" i="1"/>
  <c r="Q3456" i="1"/>
  <c r="Q3457" i="1"/>
  <c r="Q3458" i="1"/>
  <c r="Q3459" i="1"/>
  <c r="Q3460" i="1"/>
  <c r="Q3461" i="1"/>
  <c r="Q3462" i="1"/>
  <c r="Q3463" i="1"/>
  <c r="Q3464" i="1"/>
  <c r="Q3465" i="1"/>
  <c r="Q3466" i="1"/>
  <c r="Q3467" i="1"/>
  <c r="Q3468" i="1"/>
  <c r="Q3469" i="1"/>
  <c r="Q3470" i="1"/>
  <c r="Q3471" i="1"/>
  <c r="Q3472" i="1"/>
  <c r="Q3473" i="1"/>
  <c r="Q3474" i="1"/>
  <c r="Q3475" i="1"/>
  <c r="Q3476" i="1"/>
  <c r="Q3477" i="1"/>
  <c r="Q3478" i="1"/>
  <c r="Q3479" i="1"/>
  <c r="Q3480" i="1"/>
  <c r="Q3481" i="1"/>
  <c r="Q3482" i="1"/>
  <c r="Q3483" i="1"/>
  <c r="Q3484" i="1"/>
  <c r="Q3485" i="1"/>
  <c r="Q3486" i="1"/>
  <c r="Q3487" i="1"/>
  <c r="Q3488" i="1"/>
  <c r="Q3489" i="1"/>
  <c r="Q3490" i="1"/>
  <c r="Q3491" i="1"/>
  <c r="Q3492" i="1"/>
  <c r="Q3493" i="1"/>
  <c r="Q3494" i="1"/>
  <c r="Q3495" i="1"/>
  <c r="Q3496" i="1"/>
  <c r="Q3497" i="1"/>
  <c r="Q3498" i="1"/>
  <c r="Q3499" i="1"/>
  <c r="Q3500" i="1"/>
  <c r="Q3501" i="1"/>
  <c r="Q3502" i="1"/>
  <c r="Q3503" i="1"/>
  <c r="Q3504" i="1"/>
  <c r="Q3505" i="1"/>
  <c r="Q3506" i="1"/>
  <c r="Q3507" i="1"/>
  <c r="Q3508" i="1"/>
  <c r="Q3509" i="1"/>
  <c r="Q3510" i="1"/>
  <c r="Q3511" i="1"/>
  <c r="Q3512" i="1"/>
  <c r="Q3513" i="1"/>
  <c r="Q3514" i="1"/>
  <c r="Q3515" i="1"/>
  <c r="Q3516" i="1"/>
  <c r="Q3517" i="1"/>
  <c r="Q3518" i="1"/>
  <c r="Q3519" i="1"/>
  <c r="Q3520" i="1"/>
  <c r="Q3521" i="1"/>
  <c r="Q3522" i="1"/>
  <c r="Q3523" i="1"/>
  <c r="Q3524" i="1"/>
  <c r="Q3525" i="1"/>
  <c r="Q3526" i="1"/>
  <c r="Q3527" i="1"/>
  <c r="Q3528" i="1"/>
  <c r="Q3529" i="1"/>
  <c r="Q3530" i="1"/>
  <c r="Q3531" i="1"/>
  <c r="Q3532" i="1"/>
  <c r="Q3533" i="1"/>
  <c r="Q3534" i="1"/>
  <c r="Q3535" i="1"/>
  <c r="Q3536" i="1"/>
  <c r="Q3537" i="1"/>
  <c r="Q3538" i="1"/>
  <c r="Q3539" i="1"/>
  <c r="Q3540" i="1"/>
  <c r="Q3541" i="1"/>
  <c r="Q3542" i="1"/>
  <c r="Q3543" i="1"/>
  <c r="Q3544" i="1"/>
  <c r="Q3545" i="1"/>
  <c r="Q3546" i="1"/>
  <c r="Q3547" i="1"/>
  <c r="Q3548" i="1"/>
  <c r="Q3549" i="1"/>
  <c r="Q3550" i="1"/>
  <c r="Q3551" i="1"/>
  <c r="Q3552" i="1"/>
  <c r="Q3553" i="1"/>
  <c r="Q3554" i="1"/>
  <c r="Q3555" i="1"/>
  <c r="Q3556" i="1"/>
  <c r="Q3557" i="1"/>
  <c r="Q3558" i="1"/>
  <c r="Q3559" i="1"/>
  <c r="Q3560" i="1"/>
  <c r="Q3561" i="1"/>
  <c r="Q3562" i="1"/>
  <c r="Q3563" i="1"/>
  <c r="Q3564" i="1"/>
  <c r="Q3565" i="1"/>
  <c r="Q3566" i="1"/>
  <c r="Q3567" i="1"/>
  <c r="Q3568" i="1"/>
  <c r="Q3569" i="1"/>
  <c r="Q3570" i="1"/>
  <c r="Q3571" i="1"/>
  <c r="Q3572" i="1"/>
  <c r="Q3573" i="1"/>
  <c r="Q3574" i="1"/>
  <c r="Q3575" i="1"/>
  <c r="Q3576" i="1"/>
  <c r="Q3577" i="1"/>
  <c r="Q3578" i="1"/>
  <c r="Q3579" i="1"/>
  <c r="Q3580" i="1"/>
  <c r="Q3581" i="1"/>
  <c r="Q3582" i="1"/>
  <c r="Q3583" i="1"/>
  <c r="Q3584" i="1"/>
  <c r="Q3585" i="1"/>
  <c r="Q3586" i="1"/>
  <c r="Q3587" i="1"/>
  <c r="Q3588" i="1"/>
  <c r="Q3589" i="1"/>
  <c r="Q3590" i="1"/>
  <c r="Q3591" i="1"/>
  <c r="Q3592" i="1"/>
  <c r="Q3593" i="1"/>
  <c r="Q3594" i="1"/>
  <c r="Q3595" i="1"/>
  <c r="Q3596" i="1"/>
  <c r="Q3597" i="1"/>
  <c r="Q3598" i="1"/>
  <c r="Q3599" i="1"/>
  <c r="Q3600" i="1"/>
  <c r="Q3601" i="1"/>
  <c r="Q3602" i="1"/>
  <c r="Q3603" i="1"/>
  <c r="Q3604" i="1"/>
  <c r="Q3605" i="1"/>
  <c r="Q3606" i="1"/>
  <c r="Q3607" i="1"/>
  <c r="Q3608" i="1"/>
  <c r="Q3609" i="1"/>
  <c r="Q3610" i="1"/>
  <c r="Q3611" i="1"/>
  <c r="Q3612" i="1"/>
  <c r="Q3613" i="1"/>
  <c r="Q3614" i="1"/>
  <c r="Q3615" i="1"/>
  <c r="Q3616" i="1"/>
  <c r="Q3617" i="1"/>
  <c r="Q3618" i="1"/>
  <c r="Q3619" i="1"/>
  <c r="Q3620" i="1"/>
  <c r="Q3621" i="1"/>
  <c r="Q3622" i="1"/>
  <c r="Q3623" i="1"/>
  <c r="Q3624" i="1"/>
  <c r="Q3625" i="1"/>
  <c r="Q3626" i="1"/>
  <c r="Q3627" i="1"/>
  <c r="Q3628" i="1"/>
  <c r="Q3629" i="1"/>
  <c r="Q3630" i="1"/>
  <c r="Q3631" i="1"/>
  <c r="Q3632" i="1"/>
  <c r="Q3633" i="1"/>
  <c r="Q3634" i="1"/>
  <c r="Q3635" i="1"/>
  <c r="Q3636" i="1"/>
  <c r="Q3637" i="1"/>
  <c r="Q3638" i="1"/>
  <c r="Q3639" i="1"/>
  <c r="Q3640" i="1"/>
  <c r="Q3641" i="1"/>
  <c r="Q3642" i="1"/>
  <c r="Q3643" i="1"/>
  <c r="Q3644" i="1"/>
  <c r="Q3645" i="1"/>
  <c r="Q3646" i="1"/>
  <c r="Q3647" i="1"/>
  <c r="Q3648" i="1"/>
  <c r="Q3649" i="1"/>
  <c r="Q3650" i="1"/>
  <c r="Q3651" i="1"/>
  <c r="Q3652" i="1"/>
  <c r="Q3653" i="1"/>
  <c r="Q3654" i="1"/>
  <c r="Q3655" i="1"/>
  <c r="Q3656" i="1"/>
  <c r="Q3657" i="1"/>
  <c r="Q3658" i="1"/>
  <c r="Q3659" i="1"/>
  <c r="Q3660" i="1"/>
  <c r="Q3661" i="1"/>
  <c r="Q3662" i="1"/>
  <c r="Q3663" i="1"/>
  <c r="Q3664" i="1"/>
  <c r="Q3665" i="1"/>
  <c r="Q3666" i="1"/>
  <c r="Q3667" i="1"/>
  <c r="Q3668" i="1"/>
  <c r="Q3669" i="1"/>
  <c r="Q3670" i="1"/>
  <c r="Q3671" i="1"/>
  <c r="Q3672" i="1"/>
  <c r="Q3673" i="1"/>
  <c r="Q3674" i="1"/>
  <c r="Q3675" i="1"/>
  <c r="Q3676" i="1"/>
  <c r="Q3677" i="1"/>
  <c r="Q3678" i="1"/>
  <c r="Q3679" i="1"/>
  <c r="Q3680" i="1"/>
  <c r="Q3681" i="1"/>
  <c r="Q3682" i="1"/>
  <c r="Q3683" i="1"/>
  <c r="Q3684" i="1"/>
  <c r="Q3685" i="1"/>
  <c r="Q3686" i="1"/>
  <c r="Q3687" i="1"/>
  <c r="Q3688" i="1"/>
  <c r="Q3689" i="1"/>
  <c r="Q3690" i="1"/>
  <c r="Q3691" i="1"/>
  <c r="Q3692" i="1"/>
  <c r="Q3693" i="1"/>
  <c r="Q3694" i="1"/>
  <c r="Q3695" i="1"/>
  <c r="Q3696" i="1"/>
  <c r="Q3697" i="1"/>
  <c r="Q3698" i="1"/>
  <c r="Q3699" i="1"/>
  <c r="Q3700" i="1"/>
  <c r="Q3701" i="1"/>
  <c r="Q3702" i="1"/>
  <c r="Q3703" i="1"/>
  <c r="Q3704" i="1"/>
  <c r="Q3705" i="1"/>
  <c r="Q3706" i="1"/>
  <c r="Q3707" i="1"/>
  <c r="Q3708" i="1"/>
  <c r="Q3709" i="1"/>
  <c r="Q3710" i="1"/>
  <c r="Q3711" i="1"/>
  <c r="Q3712" i="1"/>
  <c r="Q3713" i="1"/>
  <c r="Q3714" i="1"/>
  <c r="Q3715" i="1"/>
  <c r="Q3716" i="1"/>
  <c r="Q3717" i="1"/>
  <c r="Q3718" i="1"/>
  <c r="Q3719" i="1"/>
  <c r="Q3720" i="1"/>
  <c r="Q3721" i="1"/>
  <c r="Q3722" i="1"/>
  <c r="Q3723" i="1"/>
  <c r="Q3724" i="1"/>
  <c r="Q3725" i="1"/>
  <c r="Q3726" i="1"/>
  <c r="Q3727" i="1"/>
  <c r="Q3728" i="1"/>
  <c r="Q3729" i="1"/>
  <c r="Q3730" i="1"/>
  <c r="Q3731" i="1"/>
  <c r="Q3732" i="1"/>
  <c r="Q3733" i="1"/>
  <c r="Q3734" i="1"/>
  <c r="Q3735" i="1"/>
  <c r="Q3736" i="1"/>
  <c r="Q3737" i="1"/>
  <c r="Q3738" i="1"/>
  <c r="Q3739" i="1"/>
  <c r="Q3740" i="1"/>
  <c r="Q3741" i="1"/>
  <c r="Q3742" i="1"/>
  <c r="Q3743" i="1"/>
  <c r="Q3744" i="1"/>
  <c r="Q3745" i="1"/>
  <c r="Q3746" i="1"/>
  <c r="Q3747" i="1"/>
  <c r="Q3748" i="1"/>
  <c r="Q3749" i="1"/>
  <c r="Q3750" i="1"/>
  <c r="Q3751" i="1"/>
  <c r="Q3752" i="1"/>
  <c r="Q3753" i="1"/>
  <c r="Q3754" i="1"/>
  <c r="Q3755" i="1"/>
  <c r="Q3756" i="1"/>
  <c r="Q3757" i="1"/>
  <c r="Q3758" i="1"/>
  <c r="Q3759" i="1"/>
  <c r="Q3760" i="1"/>
  <c r="Q3761" i="1"/>
  <c r="Q3762" i="1"/>
  <c r="Q3763" i="1"/>
  <c r="Q3764" i="1"/>
  <c r="Q3765" i="1"/>
  <c r="Q3766" i="1"/>
  <c r="Q3767" i="1"/>
  <c r="Q3768" i="1"/>
  <c r="Q3769" i="1"/>
  <c r="Q3770" i="1"/>
  <c r="Q3771" i="1"/>
  <c r="Q3772" i="1"/>
  <c r="Q3773" i="1"/>
  <c r="Q3774" i="1"/>
  <c r="Q3775" i="1"/>
  <c r="Q3776" i="1"/>
  <c r="Q3777" i="1"/>
  <c r="Q3778" i="1"/>
  <c r="Q3779" i="1"/>
  <c r="Q3780" i="1"/>
  <c r="Q3781" i="1"/>
  <c r="Q3782" i="1"/>
  <c r="Q3783" i="1"/>
  <c r="Q3784" i="1"/>
  <c r="Q3785" i="1"/>
  <c r="Q3786" i="1"/>
  <c r="Q3787" i="1"/>
  <c r="Q3788" i="1"/>
  <c r="Q3789" i="1"/>
  <c r="Q3790" i="1"/>
  <c r="Q3791" i="1"/>
  <c r="Q3792" i="1"/>
  <c r="Q3793" i="1"/>
  <c r="Q3794" i="1"/>
  <c r="Q3795" i="1"/>
  <c r="Q3796" i="1"/>
  <c r="Q3797" i="1"/>
  <c r="Q3798" i="1"/>
  <c r="Q3799" i="1"/>
  <c r="Q3800" i="1"/>
  <c r="Q3801" i="1"/>
  <c r="Q3802" i="1"/>
  <c r="Q3803" i="1"/>
  <c r="Q3804" i="1"/>
  <c r="Q3805" i="1"/>
  <c r="Q3806" i="1"/>
  <c r="Q3807" i="1"/>
  <c r="Q3808" i="1"/>
  <c r="Q3809" i="1"/>
  <c r="Q3810" i="1"/>
  <c r="Q3811" i="1"/>
  <c r="Q3812" i="1"/>
  <c r="Q3813" i="1"/>
  <c r="Q3814" i="1"/>
  <c r="Q3815" i="1"/>
  <c r="Q3816" i="1"/>
  <c r="Q3817" i="1"/>
  <c r="Q3818" i="1"/>
  <c r="Q3819" i="1"/>
  <c r="Q3820" i="1"/>
  <c r="Q3821" i="1"/>
  <c r="Q3822" i="1"/>
  <c r="Q3823" i="1"/>
  <c r="Q3824" i="1"/>
  <c r="Q3825" i="1"/>
  <c r="Q3826" i="1"/>
  <c r="Q3827" i="1"/>
  <c r="Q3828" i="1"/>
  <c r="Q3829" i="1"/>
  <c r="Q3830" i="1"/>
  <c r="Q3831" i="1"/>
  <c r="Q3832" i="1"/>
  <c r="Q3833" i="1"/>
  <c r="Q3834" i="1"/>
  <c r="Q3835" i="1"/>
  <c r="Q3836" i="1"/>
  <c r="Q3837" i="1"/>
  <c r="Q3838" i="1"/>
  <c r="Q3839" i="1"/>
  <c r="Q3840" i="1"/>
  <c r="Q3841" i="1"/>
  <c r="Q3842" i="1"/>
  <c r="Q3843" i="1"/>
  <c r="Q3844" i="1"/>
  <c r="Q3845" i="1"/>
  <c r="Q3846" i="1"/>
  <c r="Q3847" i="1"/>
  <c r="Q3848" i="1"/>
  <c r="Q3849" i="1"/>
  <c r="Q3850" i="1"/>
  <c r="Q3851" i="1"/>
  <c r="Q3852" i="1"/>
  <c r="Q3853" i="1"/>
  <c r="Q3854" i="1"/>
  <c r="Q3855" i="1"/>
  <c r="Q3856" i="1"/>
  <c r="Q3857" i="1"/>
  <c r="Q3858" i="1"/>
  <c r="Q3859" i="1"/>
  <c r="Q3860" i="1"/>
  <c r="Q3861" i="1"/>
  <c r="Q3862" i="1"/>
  <c r="Q3863" i="1"/>
  <c r="Q3864" i="1"/>
  <c r="Q3865" i="1"/>
  <c r="Q3866" i="1"/>
  <c r="Q3867" i="1"/>
  <c r="Q3868" i="1"/>
  <c r="Q3869" i="1"/>
  <c r="Q3870" i="1"/>
  <c r="Q3871" i="1"/>
  <c r="Q3872" i="1"/>
  <c r="Q3873" i="1"/>
  <c r="Q3874" i="1"/>
  <c r="Q3875" i="1"/>
  <c r="Q3876" i="1"/>
  <c r="Q3877" i="1"/>
  <c r="Q3878" i="1"/>
  <c r="Q3879" i="1"/>
  <c r="Q3880" i="1"/>
  <c r="Q3881" i="1"/>
  <c r="Q3882" i="1"/>
  <c r="Q3883" i="1"/>
  <c r="Q3884" i="1"/>
  <c r="Q3885" i="1"/>
  <c r="Q3886" i="1"/>
  <c r="Q3887" i="1"/>
  <c r="Q3888" i="1"/>
  <c r="Q3889" i="1"/>
  <c r="Q3890" i="1"/>
  <c r="Q3891" i="1"/>
  <c r="Q3892" i="1"/>
  <c r="Q3893" i="1"/>
  <c r="Q3894" i="1"/>
  <c r="Q3895" i="1"/>
  <c r="Q3896" i="1"/>
  <c r="Q3897" i="1"/>
  <c r="Q3898" i="1"/>
  <c r="Q3899" i="1"/>
  <c r="Q3900" i="1"/>
  <c r="Q3901" i="1"/>
  <c r="Q3902" i="1"/>
  <c r="Q3903" i="1"/>
  <c r="Q3904" i="1"/>
  <c r="Q3905" i="1"/>
  <c r="Q3906" i="1"/>
  <c r="Q3907" i="1"/>
  <c r="Q3908" i="1"/>
  <c r="Q3909" i="1"/>
  <c r="Q3910" i="1"/>
  <c r="Q3911" i="1"/>
  <c r="Q3912" i="1"/>
  <c r="Q3913" i="1"/>
  <c r="Q3914" i="1"/>
  <c r="Q3915" i="1"/>
  <c r="Q3916" i="1"/>
  <c r="Q3917" i="1"/>
  <c r="Q3918" i="1"/>
  <c r="Q3919" i="1"/>
  <c r="Q3920" i="1"/>
  <c r="Q3921" i="1"/>
  <c r="Q3922" i="1"/>
  <c r="Q3923" i="1"/>
  <c r="Q3924" i="1"/>
  <c r="Q3925" i="1"/>
  <c r="Q3926" i="1"/>
  <c r="Q3927" i="1"/>
  <c r="Q3928" i="1"/>
  <c r="Q3929" i="1"/>
  <c r="Q3930" i="1"/>
  <c r="Q3931" i="1"/>
  <c r="Q3932" i="1"/>
  <c r="Q3933" i="1"/>
  <c r="Q3934" i="1"/>
  <c r="Q3935" i="1"/>
  <c r="Q3936" i="1"/>
  <c r="Q3937" i="1"/>
  <c r="Q3938" i="1"/>
  <c r="Q3939" i="1"/>
  <c r="Q3940" i="1"/>
  <c r="Q3941" i="1"/>
  <c r="Q3942" i="1"/>
  <c r="Q3943" i="1"/>
  <c r="Q3944" i="1"/>
  <c r="Q3945" i="1"/>
  <c r="Q3946" i="1"/>
  <c r="Q3947" i="1"/>
  <c r="Q3948" i="1"/>
  <c r="Q3949" i="1"/>
  <c r="Q3950" i="1"/>
  <c r="Q3951" i="1"/>
  <c r="Q3952" i="1"/>
  <c r="Q3953" i="1"/>
  <c r="Q3954" i="1"/>
  <c r="Q3955" i="1"/>
  <c r="Q3956" i="1"/>
  <c r="Q3957" i="1"/>
  <c r="Q3958" i="1"/>
  <c r="Q3959" i="1"/>
  <c r="Q3960" i="1"/>
  <c r="Q3961" i="1"/>
  <c r="Q3962" i="1"/>
  <c r="Q3963" i="1"/>
  <c r="Q3964" i="1"/>
  <c r="Q3965" i="1"/>
  <c r="Q3966" i="1"/>
  <c r="Q3967" i="1"/>
  <c r="Q3968" i="1"/>
  <c r="Q3969" i="1"/>
  <c r="Q3970" i="1"/>
  <c r="Q3971" i="1"/>
  <c r="Q3972" i="1"/>
  <c r="Q3973" i="1"/>
  <c r="Q3974" i="1"/>
  <c r="Q3975" i="1"/>
  <c r="Q3976" i="1"/>
  <c r="Q3977" i="1"/>
  <c r="Q3978" i="1"/>
  <c r="Q3979" i="1"/>
  <c r="Q3980" i="1"/>
  <c r="Q3981" i="1"/>
  <c r="Q3982" i="1"/>
  <c r="Q3983" i="1"/>
  <c r="Q3984" i="1"/>
  <c r="Q3985" i="1"/>
  <c r="Q3986" i="1"/>
  <c r="Q3987" i="1"/>
  <c r="Q3988" i="1"/>
  <c r="Q3989" i="1"/>
  <c r="Q3990" i="1"/>
  <c r="Q3991" i="1"/>
  <c r="Q3992" i="1"/>
  <c r="Q3993" i="1"/>
  <c r="Q3994" i="1"/>
  <c r="Q3995" i="1"/>
  <c r="Q3996" i="1"/>
  <c r="Q3997" i="1"/>
  <c r="Q3998" i="1"/>
  <c r="Q3999" i="1"/>
  <c r="Q4000" i="1"/>
  <c r="Q4001" i="1"/>
  <c r="Q4002" i="1"/>
  <c r="Q4003" i="1"/>
  <c r="Q4004" i="1"/>
  <c r="Q4005" i="1"/>
  <c r="Q4006" i="1"/>
  <c r="Q4007" i="1"/>
  <c r="Q4008" i="1"/>
  <c r="Q4009" i="1"/>
  <c r="Q4010" i="1"/>
  <c r="Q4011" i="1"/>
  <c r="Q4012" i="1"/>
  <c r="Q4013" i="1"/>
  <c r="Q4014" i="1"/>
  <c r="Q4015" i="1"/>
  <c r="Q4016" i="1"/>
  <c r="Q4017" i="1"/>
  <c r="Q4018" i="1"/>
  <c r="Q4019" i="1"/>
  <c r="Q4020" i="1"/>
  <c r="Q4021" i="1"/>
  <c r="Q4022" i="1"/>
  <c r="Q4023" i="1"/>
  <c r="Q4024" i="1"/>
  <c r="Q4025" i="1"/>
  <c r="Q4026" i="1"/>
  <c r="Q4027" i="1"/>
  <c r="Q4028" i="1"/>
  <c r="Q4029" i="1"/>
  <c r="Q4030" i="1"/>
  <c r="Q4031" i="1"/>
  <c r="Q4032" i="1"/>
  <c r="Q4033" i="1"/>
  <c r="Q4034" i="1"/>
  <c r="Q4035" i="1"/>
  <c r="Q4036" i="1"/>
  <c r="Q4037" i="1"/>
  <c r="Q4038" i="1"/>
  <c r="Q4039" i="1"/>
  <c r="Q4040" i="1"/>
  <c r="Q4041" i="1"/>
  <c r="Q4042" i="1"/>
  <c r="Q4043" i="1"/>
  <c r="Q4044" i="1"/>
  <c r="Q4045" i="1"/>
  <c r="Q4046" i="1"/>
  <c r="Q4047" i="1"/>
  <c r="Q4048" i="1"/>
  <c r="Q4049" i="1"/>
  <c r="Q4050" i="1"/>
  <c r="Q4051" i="1"/>
  <c r="Q4052" i="1"/>
  <c r="Q4053" i="1"/>
  <c r="Q4054" i="1"/>
  <c r="Q4055" i="1"/>
  <c r="Q4056" i="1"/>
  <c r="Q4057" i="1"/>
  <c r="Q4058" i="1"/>
  <c r="Q4059" i="1"/>
  <c r="Q4060" i="1"/>
  <c r="Q4061" i="1"/>
  <c r="Q4062" i="1"/>
  <c r="Q4063" i="1"/>
  <c r="Q4064" i="1"/>
  <c r="Q4065" i="1"/>
  <c r="Q4066" i="1"/>
  <c r="Q4067" i="1"/>
  <c r="Q4068" i="1"/>
  <c r="Q4069" i="1"/>
  <c r="Q4070" i="1"/>
  <c r="Q4071" i="1"/>
  <c r="Q4072" i="1"/>
  <c r="Q4073" i="1"/>
  <c r="Q4074" i="1"/>
  <c r="Q4075" i="1"/>
  <c r="Q4076" i="1"/>
  <c r="Q4077" i="1"/>
  <c r="Q4078" i="1"/>
  <c r="Q4079" i="1"/>
  <c r="Q4080" i="1"/>
  <c r="Q4081" i="1"/>
  <c r="Q4082" i="1"/>
  <c r="Q4083" i="1"/>
  <c r="Q4084" i="1"/>
  <c r="Q4085" i="1"/>
  <c r="Q4086" i="1"/>
  <c r="Q4087" i="1"/>
  <c r="Q4088" i="1"/>
  <c r="Q4089" i="1"/>
  <c r="Q4090" i="1"/>
  <c r="Q4091" i="1"/>
  <c r="Q4092" i="1"/>
  <c r="Q4093" i="1"/>
  <c r="Q4094" i="1"/>
  <c r="Q4095" i="1"/>
  <c r="Q4096" i="1"/>
  <c r="Q4097" i="1"/>
  <c r="Q4098" i="1"/>
  <c r="Q4099" i="1"/>
  <c r="Q4100" i="1"/>
  <c r="Q4101" i="1"/>
  <c r="Q4102" i="1"/>
  <c r="Q4103" i="1"/>
  <c r="Q4104" i="1"/>
  <c r="Q4105" i="1"/>
  <c r="Q4106" i="1"/>
  <c r="Q4107" i="1"/>
  <c r="Q4108" i="1"/>
  <c r="Q4109" i="1"/>
  <c r="Q4110" i="1"/>
  <c r="Q4111" i="1"/>
  <c r="Q4112" i="1"/>
  <c r="Q4113" i="1"/>
  <c r="Q4114" i="1"/>
  <c r="Q4115" i="1"/>
  <c r="Q4116" i="1"/>
  <c r="Q4117" i="1"/>
  <c r="Q4118" i="1"/>
  <c r="Q4119" i="1"/>
  <c r="Q4120" i="1"/>
  <c r="Q4121" i="1"/>
  <c r="Q4122" i="1"/>
  <c r="Q4123" i="1"/>
  <c r="Q4124" i="1"/>
  <c r="Q4125" i="1"/>
  <c r="Q4126" i="1"/>
  <c r="Q4127" i="1"/>
  <c r="Q4128" i="1"/>
  <c r="Q4129" i="1"/>
  <c r="Q4130" i="1"/>
  <c r="Q4131" i="1"/>
  <c r="Q4132" i="1"/>
  <c r="Q4133" i="1"/>
  <c r="Q4134" i="1"/>
  <c r="Q4135" i="1"/>
  <c r="Q4136" i="1"/>
  <c r="Q4137" i="1"/>
  <c r="Q4138" i="1"/>
  <c r="Q4139" i="1"/>
  <c r="Q4140" i="1"/>
  <c r="Q4141" i="1"/>
  <c r="Q4142" i="1"/>
  <c r="Q4143" i="1"/>
  <c r="Q4144" i="1"/>
  <c r="Q4145" i="1"/>
  <c r="Q4146" i="1"/>
  <c r="Q4147" i="1"/>
  <c r="Q4148" i="1"/>
  <c r="Q4149" i="1"/>
  <c r="Q4150" i="1"/>
  <c r="Q4151" i="1"/>
  <c r="Q4152" i="1"/>
  <c r="Q4153" i="1"/>
  <c r="Q4154" i="1"/>
  <c r="Q4155" i="1"/>
  <c r="Q4156" i="1"/>
  <c r="Q4157" i="1"/>
  <c r="Q4158" i="1"/>
  <c r="Q4159" i="1"/>
  <c r="Q4160" i="1"/>
  <c r="Q4161" i="1"/>
  <c r="Q4162" i="1"/>
  <c r="Q4163" i="1"/>
  <c r="Q4164" i="1"/>
  <c r="Q4165" i="1"/>
  <c r="Q4166" i="1"/>
  <c r="Q4167" i="1"/>
  <c r="Q4168" i="1"/>
  <c r="Q4169" i="1"/>
  <c r="Q4170" i="1"/>
  <c r="Q4171" i="1"/>
  <c r="Q4172" i="1"/>
  <c r="Q4173" i="1"/>
  <c r="Q4174" i="1"/>
  <c r="Q4175" i="1"/>
  <c r="Q4176" i="1"/>
  <c r="Q4177" i="1"/>
  <c r="Q4178" i="1"/>
  <c r="Q4179" i="1"/>
  <c r="Q4180" i="1"/>
  <c r="Q4181" i="1"/>
  <c r="Q4182" i="1"/>
  <c r="Q4183" i="1"/>
  <c r="Q4184" i="1"/>
  <c r="Q4185" i="1"/>
  <c r="Q4186" i="1"/>
  <c r="Q4187" i="1"/>
  <c r="Q4188" i="1"/>
  <c r="Q4189" i="1"/>
  <c r="Q4190" i="1"/>
  <c r="Q4191" i="1"/>
  <c r="Q4192" i="1"/>
  <c r="Q4193" i="1"/>
  <c r="Q4194" i="1"/>
  <c r="Q4195" i="1"/>
  <c r="Q4196" i="1"/>
  <c r="Q4197" i="1"/>
  <c r="Q4198" i="1"/>
  <c r="Q4199" i="1"/>
  <c r="Q4200" i="1"/>
  <c r="Q4201" i="1"/>
  <c r="Q4202" i="1"/>
  <c r="Q4203" i="1"/>
  <c r="Q4204" i="1"/>
  <c r="Q4205" i="1"/>
  <c r="Q4206" i="1"/>
  <c r="Q4207" i="1"/>
  <c r="Q4208" i="1"/>
  <c r="Q4209" i="1"/>
  <c r="Q4210" i="1"/>
  <c r="Q4211" i="1"/>
  <c r="Q4212" i="1"/>
  <c r="Q4213" i="1"/>
  <c r="Q4214" i="1"/>
  <c r="Q4215" i="1"/>
  <c r="Q4216" i="1"/>
  <c r="Q4217" i="1"/>
  <c r="Q4218" i="1"/>
  <c r="Q4219" i="1"/>
  <c r="Q4220" i="1"/>
  <c r="Q4221" i="1"/>
  <c r="Q4222" i="1"/>
  <c r="Q4223" i="1"/>
  <c r="Q4224" i="1"/>
  <c r="Q4225" i="1"/>
  <c r="Q4226" i="1"/>
  <c r="Q4227" i="1"/>
  <c r="Q4228" i="1"/>
  <c r="Q4229" i="1"/>
  <c r="Q4230" i="1"/>
  <c r="Q4231" i="1"/>
  <c r="Q4232" i="1"/>
  <c r="Q4233" i="1"/>
  <c r="Q4234" i="1"/>
  <c r="Q4235" i="1"/>
  <c r="Q4236" i="1"/>
  <c r="Q4237" i="1"/>
  <c r="Q4238" i="1"/>
  <c r="Q4239" i="1"/>
  <c r="Q4240" i="1"/>
  <c r="Q4241" i="1"/>
  <c r="Q4242" i="1"/>
  <c r="Q4243" i="1"/>
  <c r="Q4244" i="1"/>
  <c r="Q4245" i="1"/>
  <c r="Q4246" i="1"/>
  <c r="Q4247" i="1"/>
  <c r="Q4248" i="1"/>
  <c r="Q4249" i="1"/>
  <c r="Q4250" i="1"/>
  <c r="Q4251" i="1"/>
  <c r="Q4252" i="1"/>
  <c r="Q4253" i="1"/>
  <c r="Q4254" i="1"/>
  <c r="Q4255" i="1"/>
  <c r="Q4256" i="1"/>
  <c r="Q4257" i="1"/>
  <c r="Q4258" i="1"/>
  <c r="Q4259" i="1"/>
  <c r="Q4260" i="1"/>
  <c r="Q4261" i="1"/>
  <c r="Q4262" i="1"/>
  <c r="Q4263" i="1"/>
  <c r="Q4264" i="1"/>
  <c r="Q4265" i="1"/>
  <c r="Q4266" i="1"/>
  <c r="Q4267" i="1"/>
  <c r="Q4268" i="1"/>
  <c r="Q4269" i="1"/>
  <c r="Q4270" i="1"/>
  <c r="Q4271" i="1"/>
  <c r="Q4272" i="1"/>
  <c r="Q4273" i="1"/>
  <c r="Q4274" i="1"/>
  <c r="Q4275" i="1"/>
  <c r="Q4276" i="1"/>
  <c r="Q4277" i="1"/>
  <c r="Q4278" i="1"/>
  <c r="Q4279" i="1"/>
  <c r="Q4280" i="1"/>
  <c r="Q4281" i="1"/>
  <c r="Q4282" i="1"/>
  <c r="Q4283" i="1"/>
  <c r="Q4284" i="1"/>
  <c r="Q4285" i="1"/>
  <c r="Q4286" i="1"/>
  <c r="Q4287" i="1"/>
  <c r="Q4288" i="1"/>
  <c r="Q4289" i="1"/>
  <c r="Q4290" i="1"/>
  <c r="Q4291" i="1"/>
  <c r="Q4292" i="1"/>
  <c r="Q4293" i="1"/>
  <c r="Q4294" i="1"/>
  <c r="Q4295" i="1"/>
  <c r="Q4296" i="1"/>
  <c r="Q4297" i="1"/>
  <c r="Q4298" i="1"/>
  <c r="Q4299" i="1"/>
  <c r="Q4300" i="1"/>
  <c r="Q4301" i="1"/>
  <c r="Q4302" i="1"/>
  <c r="Q4303" i="1"/>
  <c r="Q4304" i="1"/>
  <c r="Q4305" i="1"/>
  <c r="Q4306" i="1"/>
  <c r="Q4307" i="1"/>
  <c r="Q4308" i="1"/>
  <c r="Q4309" i="1"/>
  <c r="Q4310" i="1"/>
  <c r="Q4311" i="1"/>
  <c r="Q4312" i="1"/>
  <c r="Q4313" i="1"/>
  <c r="Q4314" i="1"/>
  <c r="Q4315" i="1"/>
  <c r="Q4316" i="1"/>
  <c r="Q4317" i="1"/>
  <c r="Q4318" i="1"/>
  <c r="Q4319" i="1"/>
  <c r="Q4320" i="1"/>
  <c r="Q4321" i="1"/>
  <c r="Q4322" i="1"/>
  <c r="Q4323" i="1"/>
  <c r="Q4324" i="1"/>
  <c r="Q4325" i="1"/>
  <c r="Q4326" i="1"/>
  <c r="Q4327" i="1"/>
  <c r="Q4328" i="1"/>
  <c r="Q4329" i="1"/>
  <c r="Q4330" i="1"/>
  <c r="Q4331" i="1"/>
  <c r="Q4332" i="1"/>
  <c r="Q4333" i="1"/>
  <c r="Q4334" i="1"/>
  <c r="Q4335" i="1"/>
  <c r="Q4336" i="1"/>
  <c r="Q4337" i="1"/>
  <c r="Q4338" i="1"/>
  <c r="Q4339" i="1"/>
  <c r="Q4340" i="1"/>
  <c r="Q4341" i="1"/>
  <c r="Q4342" i="1"/>
  <c r="Q4343" i="1"/>
  <c r="Q4344" i="1"/>
  <c r="Q4345" i="1"/>
  <c r="Q4346" i="1"/>
  <c r="Q4347" i="1"/>
  <c r="Q4348" i="1"/>
  <c r="Q4349" i="1"/>
  <c r="Q4350" i="1"/>
  <c r="Q4351" i="1"/>
  <c r="Q4352" i="1"/>
  <c r="Q4353" i="1"/>
  <c r="Q4354" i="1"/>
  <c r="Q4355" i="1"/>
  <c r="Q4356" i="1"/>
  <c r="Q4357" i="1"/>
  <c r="Q4358" i="1"/>
  <c r="Q4359" i="1"/>
  <c r="Q4360" i="1"/>
  <c r="Q4361" i="1"/>
  <c r="Q4362" i="1"/>
  <c r="Q4363" i="1"/>
  <c r="Q4364" i="1"/>
  <c r="Q4365" i="1"/>
  <c r="Q4366" i="1"/>
  <c r="Q4367" i="1"/>
  <c r="Q4368" i="1"/>
  <c r="Q4369" i="1"/>
  <c r="Q4370" i="1"/>
  <c r="Q4371" i="1"/>
  <c r="Q4372" i="1"/>
  <c r="Q4373" i="1"/>
  <c r="Q4374" i="1"/>
  <c r="Q4375" i="1"/>
  <c r="Q4376" i="1"/>
  <c r="Q4377" i="1"/>
  <c r="Q4378" i="1"/>
  <c r="Q4379" i="1"/>
  <c r="Q4380" i="1"/>
  <c r="Q4381" i="1"/>
  <c r="Q4382" i="1"/>
  <c r="Q4383" i="1"/>
  <c r="Q4384" i="1"/>
  <c r="Q4385" i="1"/>
  <c r="Q4386" i="1"/>
  <c r="Q4387" i="1"/>
  <c r="Q4388" i="1"/>
  <c r="Q4389" i="1"/>
  <c r="Q4390" i="1"/>
  <c r="Q4391" i="1"/>
  <c r="Q4392" i="1"/>
  <c r="Q4393" i="1"/>
  <c r="Q4394" i="1"/>
  <c r="Q4395" i="1"/>
  <c r="Q4396" i="1"/>
  <c r="Q4397" i="1"/>
  <c r="Q4398" i="1"/>
  <c r="Q4399" i="1"/>
  <c r="Q4400" i="1"/>
  <c r="Q4401" i="1"/>
  <c r="Q4402" i="1"/>
  <c r="Q4403" i="1"/>
  <c r="Q4404" i="1"/>
  <c r="Q4405" i="1"/>
  <c r="Q4406" i="1"/>
  <c r="Q4407" i="1"/>
  <c r="Q4408" i="1"/>
  <c r="Q4409" i="1"/>
  <c r="Q4410" i="1"/>
  <c r="Q4411" i="1"/>
  <c r="Q4412" i="1"/>
  <c r="Q4413" i="1"/>
  <c r="Q4414" i="1"/>
  <c r="Q4415" i="1"/>
  <c r="Q4416" i="1"/>
  <c r="Q4417" i="1"/>
  <c r="Q4418" i="1"/>
  <c r="Q4419" i="1"/>
  <c r="Q4420" i="1"/>
  <c r="Q4421" i="1"/>
  <c r="Q4422" i="1"/>
  <c r="Q4423" i="1"/>
  <c r="Q4424" i="1"/>
  <c r="Q4425" i="1"/>
  <c r="Q4426" i="1"/>
  <c r="Q4427" i="1"/>
  <c r="Q4428" i="1"/>
  <c r="Q4429" i="1"/>
  <c r="Q4430" i="1"/>
  <c r="Q4431" i="1"/>
  <c r="Q4432" i="1"/>
  <c r="Q4433" i="1"/>
  <c r="Q4434" i="1"/>
  <c r="Q4435" i="1"/>
  <c r="Q4436" i="1"/>
  <c r="Q4437" i="1"/>
  <c r="Q4438" i="1"/>
  <c r="Q4439" i="1"/>
  <c r="Q4440" i="1"/>
  <c r="Q4441" i="1"/>
  <c r="Q4442" i="1"/>
  <c r="Q4443" i="1"/>
  <c r="Q4444" i="1"/>
  <c r="Q4445" i="1"/>
  <c r="Q4446" i="1"/>
  <c r="Q4447" i="1"/>
  <c r="Q4448" i="1"/>
  <c r="Q4449" i="1"/>
  <c r="Q4450" i="1"/>
  <c r="Q4451" i="1"/>
  <c r="Q4452" i="1"/>
  <c r="Q4453" i="1"/>
  <c r="Q4454" i="1"/>
  <c r="Q4455" i="1"/>
  <c r="Q4456" i="1"/>
  <c r="Q4457" i="1"/>
  <c r="Q4458" i="1"/>
  <c r="Q4459" i="1"/>
  <c r="Q4460" i="1"/>
  <c r="Q4461" i="1"/>
  <c r="Q4462" i="1"/>
  <c r="Q4463" i="1"/>
  <c r="Q4464" i="1"/>
  <c r="Q4465" i="1"/>
  <c r="Q4466" i="1"/>
  <c r="Q4467" i="1"/>
  <c r="Q4468" i="1"/>
  <c r="Q4469" i="1"/>
  <c r="Q4470" i="1"/>
  <c r="Q4471" i="1"/>
  <c r="Q4472" i="1"/>
  <c r="Q4473" i="1"/>
  <c r="Q4474" i="1"/>
  <c r="Q4475" i="1"/>
  <c r="Q4476" i="1"/>
  <c r="Q4477" i="1"/>
  <c r="Q4478" i="1"/>
  <c r="Q4479" i="1"/>
  <c r="Q4480" i="1"/>
  <c r="Q4481" i="1"/>
  <c r="Q4482" i="1"/>
  <c r="Q4483" i="1"/>
  <c r="Q4484" i="1"/>
  <c r="Q4485" i="1"/>
  <c r="Q4486" i="1"/>
  <c r="Q4487" i="1"/>
  <c r="Q4488" i="1"/>
  <c r="Q4489" i="1"/>
  <c r="Q4490" i="1"/>
  <c r="Q4491" i="1"/>
  <c r="Q4492" i="1"/>
  <c r="Q4493" i="1"/>
  <c r="Q4494" i="1"/>
  <c r="Q4495" i="1"/>
  <c r="Q4496" i="1"/>
  <c r="Q4497" i="1"/>
  <c r="Q4498" i="1"/>
  <c r="Q4499" i="1"/>
  <c r="Q4500" i="1"/>
  <c r="Q4501" i="1"/>
  <c r="Q4502" i="1"/>
  <c r="Q4503" i="1"/>
  <c r="Q4504" i="1"/>
  <c r="Q4505" i="1"/>
  <c r="Q4506" i="1"/>
  <c r="Q4507" i="1"/>
  <c r="Q4508" i="1"/>
  <c r="Q4509" i="1"/>
  <c r="Q4510" i="1"/>
  <c r="Q4511" i="1"/>
  <c r="Q4512" i="1"/>
  <c r="Q4513" i="1"/>
  <c r="Q4514" i="1"/>
  <c r="Q4515" i="1"/>
  <c r="Q4516" i="1"/>
  <c r="Q4517" i="1"/>
  <c r="Q4518" i="1"/>
  <c r="Q4519" i="1"/>
  <c r="Q4520" i="1"/>
  <c r="Q4521" i="1"/>
  <c r="Q4522" i="1"/>
  <c r="Q4523" i="1"/>
  <c r="Q4524" i="1"/>
  <c r="Q4525" i="1"/>
  <c r="Q4526" i="1"/>
  <c r="Q4527" i="1"/>
  <c r="Q4528" i="1"/>
  <c r="Q4529" i="1"/>
  <c r="Q4530" i="1"/>
  <c r="Q4531" i="1"/>
  <c r="Q4532" i="1"/>
  <c r="Q4533" i="1"/>
  <c r="Q4534" i="1"/>
  <c r="Q4535" i="1"/>
  <c r="Q4536" i="1"/>
  <c r="Q4537" i="1"/>
  <c r="Q4538" i="1"/>
  <c r="Q4539" i="1"/>
  <c r="Q4540" i="1"/>
  <c r="Q4541" i="1"/>
  <c r="Q4542" i="1"/>
  <c r="Q4543" i="1"/>
  <c r="Q4544" i="1"/>
  <c r="Q4545" i="1"/>
  <c r="Q4546" i="1"/>
  <c r="Q4547" i="1"/>
  <c r="Q4548" i="1"/>
  <c r="Q4549" i="1"/>
  <c r="Q4550" i="1"/>
  <c r="Q4551" i="1"/>
  <c r="Q4552" i="1"/>
  <c r="Q4553" i="1"/>
  <c r="Q4554" i="1"/>
  <c r="Q4555" i="1"/>
  <c r="Q4556" i="1"/>
  <c r="Q4557" i="1"/>
  <c r="Q4558" i="1"/>
  <c r="Q4559" i="1"/>
  <c r="Q4560" i="1"/>
  <c r="Q4561" i="1"/>
  <c r="Q4562" i="1"/>
  <c r="Q4563" i="1"/>
  <c r="Q4564" i="1"/>
  <c r="Q4565" i="1"/>
  <c r="Q4566" i="1"/>
  <c r="Q4567" i="1"/>
  <c r="Q4568" i="1"/>
  <c r="Q4569" i="1"/>
  <c r="Q4570" i="1"/>
  <c r="Q4571" i="1"/>
  <c r="Q4572" i="1"/>
  <c r="Q4573" i="1"/>
  <c r="Q4574" i="1"/>
  <c r="Q4575" i="1"/>
  <c r="Q4576" i="1"/>
  <c r="Q4577" i="1"/>
  <c r="Q4578" i="1"/>
  <c r="Q4579" i="1"/>
  <c r="Q4580" i="1"/>
  <c r="Q4581" i="1"/>
  <c r="Q4582" i="1"/>
  <c r="Q4583" i="1"/>
  <c r="Q4584" i="1"/>
  <c r="Q4585" i="1"/>
  <c r="Q4586" i="1"/>
  <c r="Q4587" i="1"/>
  <c r="Q4588" i="1"/>
  <c r="Q4589" i="1"/>
  <c r="Q4590" i="1"/>
  <c r="Q4591" i="1"/>
  <c r="Q4592" i="1"/>
  <c r="Q4593" i="1"/>
  <c r="Q4594" i="1"/>
  <c r="Q4595" i="1"/>
  <c r="Q4596" i="1"/>
  <c r="Q4597" i="1"/>
  <c r="Q4598" i="1"/>
  <c r="Q4599" i="1"/>
  <c r="Q4600" i="1"/>
  <c r="Q4601" i="1"/>
  <c r="Q4602" i="1"/>
  <c r="Q4603" i="1"/>
  <c r="Q4604" i="1"/>
  <c r="Q4605" i="1"/>
  <c r="Q4606" i="1"/>
  <c r="Q4607" i="1"/>
  <c r="Q4608" i="1"/>
  <c r="Q4609" i="1"/>
  <c r="Q4610" i="1"/>
  <c r="Q4611" i="1"/>
  <c r="Q4612" i="1"/>
  <c r="Q4613" i="1"/>
  <c r="Q4614" i="1"/>
  <c r="Q4615" i="1"/>
  <c r="Q4616" i="1"/>
  <c r="Q4617" i="1"/>
  <c r="Q4618" i="1"/>
  <c r="Q4619" i="1"/>
  <c r="Q4620" i="1"/>
  <c r="Q4621" i="1"/>
  <c r="Q4622" i="1"/>
  <c r="Q4623" i="1"/>
  <c r="Q4624" i="1"/>
  <c r="Q4625" i="1"/>
  <c r="Q4626" i="1"/>
  <c r="Q4627" i="1"/>
  <c r="Q4628" i="1"/>
  <c r="Q4629" i="1"/>
  <c r="Q4630" i="1"/>
  <c r="Q4631" i="1"/>
  <c r="Q4632" i="1"/>
  <c r="Q4633" i="1"/>
  <c r="Q4634" i="1"/>
  <c r="Q4635" i="1"/>
  <c r="Q4636" i="1"/>
  <c r="Q4637" i="1"/>
  <c r="Q4638" i="1"/>
  <c r="Q4639" i="1"/>
  <c r="Q4640" i="1"/>
  <c r="Q4641" i="1"/>
  <c r="Q4642" i="1"/>
  <c r="Q4643" i="1"/>
  <c r="Q4644" i="1"/>
  <c r="Q4645" i="1"/>
  <c r="Q4646" i="1"/>
  <c r="Q4647" i="1"/>
  <c r="Q4648" i="1"/>
  <c r="Q4649" i="1"/>
  <c r="Q4650" i="1"/>
  <c r="Q4651" i="1"/>
  <c r="Q4652" i="1"/>
  <c r="Q4653" i="1"/>
  <c r="Q4654" i="1"/>
  <c r="Q4655" i="1"/>
  <c r="Q4656" i="1"/>
  <c r="Q4657" i="1"/>
  <c r="Q4658" i="1"/>
  <c r="Q4659" i="1"/>
  <c r="Q4660" i="1"/>
  <c r="Q4661" i="1"/>
  <c r="Q4662" i="1"/>
  <c r="Q4663" i="1"/>
  <c r="Q4664" i="1"/>
  <c r="Q4665" i="1"/>
  <c r="Q4666" i="1"/>
  <c r="Q4667" i="1"/>
  <c r="Q4668" i="1"/>
  <c r="Q4669" i="1"/>
  <c r="Q4670" i="1"/>
  <c r="Q4671" i="1"/>
  <c r="Q4672" i="1"/>
  <c r="Q4673" i="1"/>
  <c r="Q4674" i="1"/>
  <c r="Q4675" i="1"/>
  <c r="Q4676" i="1"/>
  <c r="Q4677" i="1"/>
  <c r="Q4678" i="1"/>
  <c r="Q4679" i="1"/>
  <c r="Q4680" i="1"/>
  <c r="Q4681" i="1"/>
  <c r="Q4682" i="1"/>
  <c r="Q4683" i="1"/>
  <c r="Q4684" i="1"/>
  <c r="Q4685" i="1"/>
  <c r="Q4686" i="1"/>
  <c r="Q4687" i="1"/>
  <c r="Q4688" i="1"/>
  <c r="Q4689" i="1"/>
  <c r="Q4690" i="1"/>
  <c r="Q4691" i="1"/>
  <c r="Q4692" i="1"/>
  <c r="Q4693" i="1"/>
  <c r="Q4694" i="1"/>
  <c r="Q4695" i="1"/>
  <c r="Q4696" i="1"/>
  <c r="Q4697" i="1"/>
  <c r="Q4698" i="1"/>
  <c r="Q4699" i="1"/>
  <c r="Q4700" i="1"/>
  <c r="Q4701" i="1"/>
  <c r="Q4702" i="1"/>
  <c r="Q4703" i="1"/>
  <c r="Q4704" i="1"/>
  <c r="Q4705" i="1"/>
  <c r="Q4706" i="1"/>
  <c r="Q4707" i="1"/>
  <c r="Q4708" i="1"/>
  <c r="Q4709" i="1"/>
  <c r="Q4710" i="1"/>
  <c r="Q4711" i="1"/>
  <c r="Q4712" i="1"/>
  <c r="Q4713" i="1"/>
  <c r="Q4714" i="1"/>
  <c r="Q4715" i="1"/>
  <c r="Q4716" i="1"/>
  <c r="Q4717" i="1"/>
  <c r="Q4718" i="1"/>
  <c r="Q4719" i="1"/>
  <c r="Q4720" i="1"/>
  <c r="Q4721" i="1"/>
  <c r="Q4722" i="1"/>
  <c r="Q4723" i="1"/>
  <c r="Q4724" i="1"/>
  <c r="Q4725" i="1"/>
  <c r="Q4726" i="1"/>
  <c r="Q4727" i="1"/>
  <c r="Q4728" i="1"/>
  <c r="Q4729" i="1"/>
  <c r="Q4730" i="1"/>
  <c r="Q4731" i="1"/>
  <c r="Q4732" i="1"/>
  <c r="Q4733" i="1"/>
  <c r="Q4734" i="1"/>
  <c r="Q4735" i="1"/>
  <c r="Q4736" i="1"/>
  <c r="Q4737" i="1"/>
  <c r="Q4738" i="1"/>
  <c r="Q4739" i="1"/>
  <c r="Q4740" i="1"/>
  <c r="Q4741" i="1"/>
  <c r="Q4742" i="1"/>
  <c r="Q4743" i="1"/>
  <c r="Q4744" i="1"/>
  <c r="Q4745" i="1"/>
  <c r="Q4746" i="1"/>
  <c r="Q4747" i="1"/>
  <c r="Q4748" i="1"/>
  <c r="Q4749" i="1"/>
  <c r="Q4750" i="1"/>
  <c r="Q4751" i="1"/>
  <c r="Q4752" i="1"/>
  <c r="Q4753" i="1"/>
  <c r="Q4754" i="1"/>
  <c r="Q4755" i="1"/>
  <c r="Q4756" i="1"/>
  <c r="Q4757" i="1"/>
  <c r="Q4758" i="1"/>
  <c r="Q4759" i="1"/>
  <c r="Q4760" i="1"/>
  <c r="Q4761" i="1"/>
  <c r="Q4762" i="1"/>
  <c r="Q4763" i="1"/>
  <c r="Q4764" i="1"/>
  <c r="Q4765" i="1"/>
  <c r="Q4766" i="1"/>
  <c r="Q4767" i="1"/>
  <c r="Q4768" i="1"/>
  <c r="Q4769" i="1"/>
  <c r="Q4770" i="1"/>
  <c r="Q4771" i="1"/>
  <c r="Q4772" i="1"/>
  <c r="Q4773" i="1"/>
  <c r="Q4774" i="1"/>
  <c r="Q4775" i="1"/>
  <c r="Q4776" i="1"/>
  <c r="Q4777" i="1"/>
  <c r="Q4778" i="1"/>
  <c r="Q4779" i="1"/>
  <c r="Q4780" i="1"/>
  <c r="Q4781" i="1"/>
  <c r="Q4782" i="1"/>
  <c r="Q4783" i="1"/>
  <c r="Q4784" i="1"/>
  <c r="Q4785" i="1"/>
  <c r="Q4786" i="1"/>
  <c r="Q4787" i="1"/>
  <c r="Q4788" i="1"/>
  <c r="Q4789" i="1"/>
  <c r="Q4790" i="1"/>
  <c r="Q4791" i="1"/>
  <c r="Q4792" i="1"/>
  <c r="Q4793" i="1"/>
  <c r="Q4794" i="1"/>
  <c r="Q4795" i="1"/>
  <c r="Q4796" i="1"/>
  <c r="Q4797" i="1"/>
  <c r="Q4798" i="1"/>
  <c r="Q4799" i="1"/>
  <c r="Q4800" i="1"/>
  <c r="Q4801" i="1"/>
  <c r="Q4802" i="1"/>
  <c r="Q4803" i="1"/>
  <c r="Q4804" i="1"/>
  <c r="Q4805" i="1"/>
  <c r="Q4806" i="1"/>
  <c r="Q4807" i="1"/>
  <c r="Q4808" i="1"/>
  <c r="Q4809" i="1"/>
  <c r="Q4810" i="1"/>
  <c r="Q4811" i="1"/>
  <c r="Q4812" i="1"/>
  <c r="Q4813" i="1"/>
  <c r="Q4814" i="1"/>
  <c r="Q4815" i="1"/>
  <c r="Q4816" i="1"/>
  <c r="Q4817" i="1"/>
  <c r="Q4818" i="1"/>
  <c r="Q4819" i="1"/>
  <c r="Q4820" i="1"/>
  <c r="Q4821" i="1"/>
  <c r="Q4822" i="1"/>
  <c r="Q4823" i="1"/>
  <c r="Q4824" i="1"/>
  <c r="Q4825" i="1"/>
  <c r="Q4826" i="1"/>
  <c r="Q4827" i="1"/>
  <c r="Q4828" i="1"/>
  <c r="Q4829" i="1"/>
  <c r="Q4830" i="1"/>
  <c r="Q4831" i="1"/>
  <c r="Q4832" i="1"/>
  <c r="Q4833" i="1"/>
  <c r="Q4834" i="1"/>
  <c r="Q4835" i="1"/>
  <c r="Q4836" i="1"/>
  <c r="Q4837" i="1"/>
  <c r="Q4838" i="1"/>
  <c r="Q4839" i="1"/>
  <c r="Q4840" i="1"/>
  <c r="Q4841" i="1"/>
  <c r="Q4842" i="1"/>
  <c r="Q4843" i="1"/>
  <c r="Q4844" i="1"/>
  <c r="Q4845" i="1"/>
  <c r="Q4846" i="1"/>
  <c r="Q4847" i="1"/>
  <c r="Q4848" i="1"/>
  <c r="Q4849" i="1"/>
  <c r="Q4850" i="1"/>
  <c r="Q4851" i="1"/>
  <c r="Q4852" i="1"/>
  <c r="Q4853" i="1"/>
  <c r="Q4854" i="1"/>
  <c r="Q4855" i="1"/>
  <c r="Q4856" i="1"/>
  <c r="Q4857" i="1"/>
  <c r="Q4858" i="1"/>
  <c r="Q4859" i="1"/>
  <c r="Q4860" i="1"/>
  <c r="Q4861" i="1"/>
  <c r="Q4862" i="1"/>
  <c r="Q4863" i="1"/>
  <c r="Q4864" i="1"/>
  <c r="Q4865" i="1"/>
  <c r="Q4866" i="1"/>
  <c r="Q4867" i="1"/>
  <c r="Q4868" i="1"/>
  <c r="Q4869" i="1"/>
  <c r="Q4870" i="1"/>
  <c r="Q4871" i="1"/>
  <c r="Q4872" i="1"/>
  <c r="Q4873" i="1"/>
  <c r="Q4874" i="1"/>
  <c r="Q4875" i="1"/>
  <c r="Q4876" i="1"/>
  <c r="Q4877" i="1"/>
  <c r="Q4878" i="1"/>
  <c r="Q4879" i="1"/>
  <c r="Q4880" i="1"/>
  <c r="Q4881" i="1"/>
  <c r="Q4882" i="1"/>
  <c r="Q4883" i="1"/>
  <c r="Q4884" i="1"/>
  <c r="Q4885" i="1"/>
  <c r="Q4886" i="1"/>
  <c r="Q4887" i="1"/>
  <c r="Q4888" i="1"/>
  <c r="Q4889" i="1"/>
  <c r="Q4890" i="1"/>
  <c r="Q4891" i="1"/>
  <c r="Q4892" i="1"/>
  <c r="Q4893" i="1"/>
  <c r="Q4894" i="1"/>
  <c r="Q4895" i="1"/>
  <c r="Q4896" i="1"/>
  <c r="Q4897" i="1"/>
  <c r="Q4898" i="1"/>
  <c r="Q4899" i="1"/>
  <c r="Q4900" i="1"/>
  <c r="Q4901" i="1"/>
  <c r="Q4902" i="1"/>
  <c r="Q4903" i="1"/>
  <c r="Q4904" i="1"/>
  <c r="Q4905" i="1"/>
  <c r="Q4906" i="1"/>
  <c r="Q4907" i="1"/>
  <c r="Q4908" i="1"/>
  <c r="Q4909" i="1"/>
  <c r="Q4910" i="1"/>
  <c r="Q4911" i="1"/>
  <c r="Q4912" i="1"/>
  <c r="Q4913" i="1"/>
  <c r="Q4914" i="1"/>
  <c r="Q4915" i="1"/>
  <c r="Q4916" i="1"/>
  <c r="Q4917" i="1"/>
  <c r="Q4918" i="1"/>
  <c r="Q4919" i="1"/>
  <c r="Q4920" i="1"/>
  <c r="Q4921" i="1"/>
  <c r="Q4922" i="1"/>
  <c r="Q4923" i="1"/>
  <c r="Q4924" i="1"/>
  <c r="Q4925" i="1"/>
  <c r="Q4926" i="1"/>
  <c r="Q4927" i="1"/>
  <c r="Q4928" i="1"/>
  <c r="Q4929" i="1"/>
  <c r="Q4930" i="1"/>
  <c r="Q4931" i="1"/>
  <c r="Q4932" i="1"/>
  <c r="Q4933" i="1"/>
  <c r="Q4934" i="1"/>
  <c r="Q4935" i="1"/>
  <c r="Q4936" i="1"/>
  <c r="Q4937" i="1"/>
  <c r="Q4938" i="1"/>
  <c r="Q4939" i="1"/>
  <c r="Q4940" i="1"/>
  <c r="Q4941" i="1"/>
  <c r="Q4942" i="1"/>
  <c r="Q4943" i="1"/>
  <c r="Q4944" i="1"/>
  <c r="Q4945" i="1"/>
  <c r="Q4946" i="1"/>
  <c r="Q4947" i="1"/>
  <c r="Q4948" i="1"/>
  <c r="Q4949" i="1"/>
  <c r="Q4950" i="1"/>
  <c r="Q4951" i="1"/>
  <c r="Q4952" i="1"/>
  <c r="Q4953" i="1"/>
  <c r="Q4954" i="1"/>
  <c r="Q4955" i="1"/>
  <c r="Q4956" i="1"/>
  <c r="Q4957" i="1"/>
  <c r="Q4958" i="1"/>
  <c r="Q4959" i="1"/>
  <c r="Q4960" i="1"/>
  <c r="Q4961" i="1"/>
  <c r="Q4962" i="1"/>
  <c r="Q4963" i="1"/>
  <c r="Q4964" i="1"/>
  <c r="Q4965" i="1"/>
  <c r="Q4966" i="1"/>
  <c r="Q4967" i="1"/>
  <c r="Q4968" i="1"/>
  <c r="Q4969" i="1"/>
  <c r="Q4970" i="1"/>
  <c r="Q4971" i="1"/>
  <c r="Q4972" i="1"/>
  <c r="Q4973" i="1"/>
  <c r="Q4974" i="1"/>
  <c r="Q4975" i="1"/>
  <c r="Q4976" i="1"/>
  <c r="Q4977" i="1"/>
  <c r="Q4978" i="1"/>
  <c r="Q4979" i="1"/>
  <c r="Q4980" i="1"/>
  <c r="Q4981" i="1"/>
  <c r="Q4982" i="1"/>
  <c r="Q4983" i="1"/>
  <c r="Q4984" i="1"/>
  <c r="Q4985" i="1"/>
  <c r="Q4986" i="1"/>
  <c r="Q4987" i="1"/>
  <c r="Q4988" i="1"/>
  <c r="Q4989" i="1"/>
  <c r="Q4990" i="1"/>
  <c r="Q4991" i="1"/>
  <c r="Q4992" i="1"/>
  <c r="Q4993" i="1"/>
  <c r="Q4994" i="1"/>
  <c r="Q4995" i="1"/>
  <c r="Q4996" i="1"/>
  <c r="Q4997" i="1"/>
  <c r="Q4998" i="1"/>
  <c r="Q4999" i="1"/>
  <c r="Q5000" i="1"/>
  <c r="Q5001" i="1"/>
  <c r="P2" i="1"/>
  <c r="P3" i="1"/>
  <c r="P4" i="1"/>
  <c r="P5" i="1"/>
  <c r="P6" i="1"/>
  <c r="P7" i="1"/>
  <c r="P8" i="1"/>
  <c r="P9" i="1"/>
  <c r="P10" i="1"/>
  <c r="P11" i="1"/>
  <c r="P12" i="1"/>
  <c r="P13" i="1"/>
  <c r="P14" i="1"/>
  <c r="P15" i="1"/>
  <c r="P16" i="1"/>
  <c r="P17" i="1"/>
  <c r="P18" i="1"/>
  <c r="P19" i="1"/>
  <c r="P20" i="1"/>
  <c r="P21" i="1"/>
  <c r="P22" i="1"/>
  <c r="P23" i="1"/>
  <c r="P24" i="1"/>
  <c r="P25" i="1"/>
  <c r="P26" i="1"/>
  <c r="P27" i="1"/>
  <c r="P28" i="1"/>
  <c r="P29" i="1"/>
  <c r="P30" i="1"/>
  <c r="P31" i="1"/>
  <c r="P32" i="1"/>
  <c r="P33" i="1"/>
  <c r="P34" i="1"/>
  <c r="P35" i="1"/>
  <c r="P36" i="1"/>
  <c r="P37" i="1"/>
  <c r="P38" i="1"/>
  <c r="P39" i="1"/>
  <c r="P40" i="1"/>
  <c r="P41" i="1"/>
  <c r="P42" i="1"/>
  <c r="P43" i="1"/>
  <c r="P44" i="1"/>
  <c r="P45" i="1"/>
  <c r="P46" i="1"/>
  <c r="P47" i="1"/>
  <c r="P48" i="1"/>
  <c r="P49" i="1"/>
  <c r="P50" i="1"/>
  <c r="P51" i="1"/>
  <c r="P52" i="1"/>
  <c r="P53" i="1"/>
  <c r="P54" i="1"/>
  <c r="P55" i="1"/>
  <c r="P56" i="1"/>
  <c r="P57" i="1"/>
  <c r="P58" i="1"/>
  <c r="P59" i="1"/>
  <c r="P60" i="1"/>
  <c r="P61" i="1"/>
  <c r="P62" i="1"/>
  <c r="P63" i="1"/>
  <c r="P64" i="1"/>
  <c r="P65" i="1"/>
  <c r="P66" i="1"/>
  <c r="P67" i="1"/>
  <c r="P68" i="1"/>
  <c r="P69" i="1"/>
  <c r="P70" i="1"/>
  <c r="P71" i="1"/>
  <c r="P72" i="1"/>
  <c r="P73" i="1"/>
  <c r="P74" i="1"/>
  <c r="P75" i="1"/>
  <c r="P76" i="1"/>
  <c r="P77" i="1"/>
  <c r="P78" i="1"/>
  <c r="P79" i="1"/>
  <c r="P80" i="1"/>
  <c r="P81" i="1"/>
  <c r="P82" i="1"/>
  <c r="P83" i="1"/>
  <c r="P84" i="1"/>
  <c r="P85" i="1"/>
  <c r="P86" i="1"/>
  <c r="P87" i="1"/>
  <c r="P88" i="1"/>
  <c r="P89" i="1"/>
  <c r="P90" i="1"/>
  <c r="P91" i="1"/>
  <c r="P92" i="1"/>
  <c r="P93" i="1"/>
  <c r="P94" i="1"/>
  <c r="P95" i="1"/>
  <c r="P96" i="1"/>
  <c r="P97" i="1"/>
  <c r="P98" i="1"/>
  <c r="P99" i="1"/>
  <c r="P100" i="1"/>
  <c r="P101" i="1"/>
  <c r="P102" i="1"/>
  <c r="P103" i="1"/>
  <c r="P104" i="1"/>
  <c r="P105" i="1"/>
  <c r="P106" i="1"/>
  <c r="P107" i="1"/>
  <c r="P108" i="1"/>
  <c r="P109" i="1"/>
  <c r="P110" i="1"/>
  <c r="P111" i="1"/>
  <c r="P112" i="1"/>
  <c r="P113" i="1"/>
  <c r="P114" i="1"/>
  <c r="P115" i="1"/>
  <c r="P116" i="1"/>
  <c r="P117" i="1"/>
  <c r="P118" i="1"/>
  <c r="P119" i="1"/>
  <c r="P120" i="1"/>
  <c r="P121" i="1"/>
  <c r="P122" i="1"/>
  <c r="P123" i="1"/>
  <c r="P124" i="1"/>
  <c r="P125" i="1"/>
  <c r="P126" i="1"/>
  <c r="P127" i="1"/>
  <c r="P128" i="1"/>
  <c r="P129" i="1"/>
  <c r="P130" i="1"/>
  <c r="P131" i="1"/>
  <c r="P132" i="1"/>
  <c r="P133" i="1"/>
  <c r="P134" i="1"/>
  <c r="P135" i="1"/>
  <c r="P136" i="1"/>
  <c r="P137" i="1"/>
  <c r="P138" i="1"/>
  <c r="P139" i="1"/>
  <c r="P140" i="1"/>
  <c r="P141" i="1"/>
  <c r="P142" i="1"/>
  <c r="P143" i="1"/>
  <c r="P144" i="1"/>
  <c r="P145" i="1"/>
  <c r="P146" i="1"/>
  <c r="P147" i="1"/>
  <c r="P148" i="1"/>
  <c r="P149" i="1"/>
  <c r="P150" i="1"/>
  <c r="P151" i="1"/>
  <c r="P152" i="1"/>
  <c r="P153" i="1"/>
  <c r="P154" i="1"/>
  <c r="P155" i="1"/>
  <c r="P156" i="1"/>
  <c r="P157" i="1"/>
  <c r="P158" i="1"/>
  <c r="P159" i="1"/>
  <c r="P160" i="1"/>
  <c r="P161" i="1"/>
  <c r="P162" i="1"/>
  <c r="P163" i="1"/>
  <c r="P164" i="1"/>
  <c r="P165" i="1"/>
  <c r="P166" i="1"/>
  <c r="P167" i="1"/>
  <c r="P168" i="1"/>
  <c r="P169" i="1"/>
  <c r="P170" i="1"/>
  <c r="P171" i="1"/>
  <c r="P172" i="1"/>
  <c r="P173" i="1"/>
  <c r="P174" i="1"/>
  <c r="P175" i="1"/>
  <c r="P176" i="1"/>
  <c r="P177" i="1"/>
  <c r="P178" i="1"/>
  <c r="P179" i="1"/>
  <c r="P180" i="1"/>
  <c r="P181" i="1"/>
  <c r="P182" i="1"/>
  <c r="P183" i="1"/>
  <c r="P184" i="1"/>
  <c r="P185" i="1"/>
  <c r="P186" i="1"/>
  <c r="P187" i="1"/>
  <c r="P188" i="1"/>
  <c r="P189" i="1"/>
  <c r="P190" i="1"/>
  <c r="P191" i="1"/>
  <c r="P192" i="1"/>
  <c r="P193" i="1"/>
  <c r="P194" i="1"/>
  <c r="P195" i="1"/>
  <c r="P196" i="1"/>
  <c r="P197" i="1"/>
  <c r="P198" i="1"/>
  <c r="P199" i="1"/>
  <c r="P200" i="1"/>
  <c r="P201" i="1"/>
  <c r="P202" i="1"/>
  <c r="P203" i="1"/>
  <c r="P204" i="1"/>
  <c r="P205" i="1"/>
  <c r="P206" i="1"/>
  <c r="P207" i="1"/>
  <c r="P208" i="1"/>
  <c r="P209" i="1"/>
  <c r="P210" i="1"/>
  <c r="P211" i="1"/>
  <c r="P212" i="1"/>
  <c r="P213" i="1"/>
  <c r="P214" i="1"/>
  <c r="P215" i="1"/>
  <c r="P216" i="1"/>
  <c r="P217" i="1"/>
  <c r="P218" i="1"/>
  <c r="P219" i="1"/>
  <c r="P220" i="1"/>
  <c r="P221" i="1"/>
  <c r="P222" i="1"/>
  <c r="P223" i="1"/>
  <c r="P224" i="1"/>
  <c r="P225" i="1"/>
  <c r="P226" i="1"/>
  <c r="P227" i="1"/>
  <c r="P228" i="1"/>
  <c r="P229" i="1"/>
  <c r="P230" i="1"/>
  <c r="P231" i="1"/>
  <c r="P232" i="1"/>
  <c r="P233" i="1"/>
  <c r="P234" i="1"/>
  <c r="P235" i="1"/>
  <c r="P236" i="1"/>
  <c r="P237" i="1"/>
  <c r="P238" i="1"/>
  <c r="P239" i="1"/>
  <c r="P240" i="1"/>
  <c r="P241" i="1"/>
  <c r="P242" i="1"/>
  <c r="P243" i="1"/>
  <c r="P244" i="1"/>
  <c r="P245" i="1"/>
  <c r="P246" i="1"/>
  <c r="P247" i="1"/>
  <c r="P248" i="1"/>
  <c r="P249" i="1"/>
  <c r="P250" i="1"/>
  <c r="P251" i="1"/>
  <c r="P252" i="1"/>
  <c r="P253" i="1"/>
  <c r="P254" i="1"/>
  <c r="P255" i="1"/>
  <c r="P256" i="1"/>
  <c r="P257" i="1"/>
  <c r="P258" i="1"/>
  <c r="P259" i="1"/>
  <c r="P260" i="1"/>
  <c r="P261" i="1"/>
  <c r="P262" i="1"/>
  <c r="P263" i="1"/>
  <c r="P264" i="1"/>
  <c r="P265" i="1"/>
  <c r="P266" i="1"/>
  <c r="P267" i="1"/>
  <c r="P268" i="1"/>
  <c r="P269" i="1"/>
  <c r="P270" i="1"/>
  <c r="P271" i="1"/>
  <c r="P272" i="1"/>
  <c r="P273" i="1"/>
  <c r="P274" i="1"/>
  <c r="P275" i="1"/>
  <c r="P276" i="1"/>
  <c r="P277" i="1"/>
  <c r="P278" i="1"/>
  <c r="P279" i="1"/>
  <c r="P280" i="1"/>
  <c r="P281" i="1"/>
  <c r="P282" i="1"/>
  <c r="P283" i="1"/>
  <c r="P284" i="1"/>
  <c r="P285" i="1"/>
  <c r="P286" i="1"/>
  <c r="P287" i="1"/>
  <c r="P288" i="1"/>
  <c r="P289" i="1"/>
  <c r="P290" i="1"/>
  <c r="P291" i="1"/>
  <c r="P292" i="1"/>
  <c r="P293" i="1"/>
  <c r="P294" i="1"/>
  <c r="P295" i="1"/>
  <c r="P296" i="1"/>
  <c r="P297" i="1"/>
  <c r="P298" i="1"/>
  <c r="P299" i="1"/>
  <c r="P300" i="1"/>
  <c r="P301" i="1"/>
  <c r="P302" i="1"/>
  <c r="P303" i="1"/>
  <c r="P304" i="1"/>
  <c r="P305" i="1"/>
  <c r="P306" i="1"/>
  <c r="P307" i="1"/>
  <c r="P308" i="1"/>
  <c r="P309" i="1"/>
  <c r="P310" i="1"/>
  <c r="P311" i="1"/>
  <c r="P312" i="1"/>
  <c r="P313" i="1"/>
  <c r="P314" i="1"/>
  <c r="P315" i="1"/>
  <c r="P316" i="1"/>
  <c r="P317" i="1"/>
  <c r="P318" i="1"/>
  <c r="P319" i="1"/>
  <c r="P320" i="1"/>
  <c r="P321" i="1"/>
  <c r="P322" i="1"/>
  <c r="P323" i="1"/>
  <c r="P324" i="1"/>
  <c r="P325" i="1"/>
  <c r="P326" i="1"/>
  <c r="P327" i="1"/>
  <c r="P328" i="1"/>
  <c r="P329" i="1"/>
  <c r="P330" i="1"/>
  <c r="P331" i="1"/>
  <c r="P332" i="1"/>
  <c r="P333" i="1"/>
  <c r="P334" i="1"/>
  <c r="P335" i="1"/>
  <c r="P336" i="1"/>
  <c r="P337" i="1"/>
  <c r="P338" i="1"/>
  <c r="P339" i="1"/>
  <c r="P340" i="1"/>
  <c r="P341" i="1"/>
  <c r="P342" i="1"/>
  <c r="P343" i="1"/>
  <c r="P344" i="1"/>
  <c r="P345" i="1"/>
  <c r="P346" i="1"/>
  <c r="P347" i="1"/>
  <c r="P348" i="1"/>
  <c r="P349" i="1"/>
  <c r="P350" i="1"/>
  <c r="P351" i="1"/>
  <c r="P352" i="1"/>
  <c r="P353" i="1"/>
  <c r="P354" i="1"/>
  <c r="P355" i="1"/>
  <c r="P356" i="1"/>
  <c r="P357" i="1"/>
  <c r="P358" i="1"/>
  <c r="P359" i="1"/>
  <c r="P360" i="1"/>
  <c r="P361" i="1"/>
  <c r="P362" i="1"/>
  <c r="P363" i="1"/>
  <c r="P364" i="1"/>
  <c r="P365" i="1"/>
  <c r="P366" i="1"/>
  <c r="P367" i="1"/>
  <c r="P368" i="1"/>
  <c r="P369" i="1"/>
  <c r="P370" i="1"/>
  <c r="P371" i="1"/>
  <c r="P372" i="1"/>
  <c r="P373" i="1"/>
  <c r="P374" i="1"/>
  <c r="P375" i="1"/>
  <c r="P376" i="1"/>
  <c r="P377" i="1"/>
  <c r="P378" i="1"/>
  <c r="P379" i="1"/>
  <c r="P380" i="1"/>
  <c r="P381" i="1"/>
  <c r="P382" i="1"/>
  <c r="P383" i="1"/>
  <c r="P384" i="1"/>
  <c r="P385" i="1"/>
  <c r="P386" i="1"/>
  <c r="P387" i="1"/>
  <c r="P388" i="1"/>
  <c r="P389" i="1"/>
  <c r="P390" i="1"/>
  <c r="P391" i="1"/>
  <c r="P392" i="1"/>
  <c r="P393" i="1"/>
  <c r="P394" i="1"/>
  <c r="P395" i="1"/>
  <c r="P396" i="1"/>
  <c r="P397" i="1"/>
  <c r="P398" i="1"/>
  <c r="P399" i="1"/>
  <c r="P400" i="1"/>
  <c r="P401" i="1"/>
  <c r="P402" i="1"/>
  <c r="P403" i="1"/>
  <c r="P404" i="1"/>
  <c r="P405" i="1"/>
  <c r="P406" i="1"/>
  <c r="P407" i="1"/>
  <c r="P408" i="1"/>
  <c r="P409" i="1"/>
  <c r="P410" i="1"/>
  <c r="P411" i="1"/>
  <c r="P412" i="1"/>
  <c r="P413" i="1"/>
  <c r="P414" i="1"/>
  <c r="P415" i="1"/>
  <c r="P416" i="1"/>
  <c r="P417" i="1"/>
  <c r="P418" i="1"/>
  <c r="P419" i="1"/>
  <c r="P420" i="1"/>
  <c r="P421" i="1"/>
  <c r="P422" i="1"/>
  <c r="P423" i="1"/>
  <c r="P424" i="1"/>
  <c r="P425" i="1"/>
  <c r="P426" i="1"/>
  <c r="P427" i="1"/>
  <c r="P428" i="1"/>
  <c r="P429" i="1"/>
  <c r="P430" i="1"/>
  <c r="P431" i="1"/>
  <c r="P432" i="1"/>
  <c r="P433" i="1"/>
  <c r="P434" i="1"/>
  <c r="P435" i="1"/>
  <c r="P436" i="1"/>
  <c r="P437" i="1"/>
  <c r="P438" i="1"/>
  <c r="P439" i="1"/>
  <c r="P440" i="1"/>
  <c r="P441" i="1"/>
  <c r="P442" i="1"/>
  <c r="P443" i="1"/>
  <c r="P444" i="1"/>
  <c r="P445" i="1"/>
  <c r="P446" i="1"/>
  <c r="P447" i="1"/>
  <c r="P448" i="1"/>
  <c r="P449" i="1"/>
  <c r="P450" i="1"/>
  <c r="P451" i="1"/>
  <c r="P452" i="1"/>
  <c r="P453" i="1"/>
  <c r="P454" i="1"/>
  <c r="P455" i="1"/>
  <c r="P456" i="1"/>
  <c r="P457" i="1"/>
  <c r="P458" i="1"/>
  <c r="P459" i="1"/>
  <c r="P460" i="1"/>
  <c r="P461" i="1"/>
  <c r="P462" i="1"/>
  <c r="P463" i="1"/>
  <c r="P464" i="1"/>
  <c r="P465" i="1"/>
  <c r="P466" i="1"/>
  <c r="P467" i="1"/>
  <c r="P468" i="1"/>
  <c r="P469" i="1"/>
  <c r="P470" i="1"/>
  <c r="P471" i="1"/>
  <c r="P472" i="1"/>
  <c r="P473" i="1"/>
  <c r="P474" i="1"/>
  <c r="P475" i="1"/>
  <c r="P476" i="1"/>
  <c r="P477" i="1"/>
  <c r="P478" i="1"/>
  <c r="P479" i="1"/>
  <c r="P480" i="1"/>
  <c r="P481" i="1"/>
  <c r="P482" i="1"/>
  <c r="P483" i="1"/>
  <c r="P484" i="1"/>
  <c r="P485" i="1"/>
  <c r="P486" i="1"/>
  <c r="P487" i="1"/>
  <c r="P488" i="1"/>
  <c r="P489" i="1"/>
  <c r="P490" i="1"/>
  <c r="P491" i="1"/>
  <c r="P492" i="1"/>
  <c r="P493" i="1"/>
  <c r="P494" i="1"/>
  <c r="P495" i="1"/>
  <c r="P496" i="1"/>
  <c r="P497" i="1"/>
  <c r="P498" i="1"/>
  <c r="P499" i="1"/>
  <c r="P500" i="1"/>
  <c r="P501" i="1"/>
  <c r="P502" i="1"/>
  <c r="P503" i="1"/>
  <c r="P504" i="1"/>
  <c r="P505" i="1"/>
  <c r="P506" i="1"/>
  <c r="P507" i="1"/>
  <c r="P508" i="1"/>
  <c r="P509" i="1"/>
  <c r="P510" i="1"/>
  <c r="P511" i="1"/>
  <c r="P512" i="1"/>
  <c r="P513" i="1"/>
  <c r="P514" i="1"/>
  <c r="P515" i="1"/>
  <c r="P516" i="1"/>
  <c r="P517" i="1"/>
  <c r="P518" i="1"/>
  <c r="P519" i="1"/>
  <c r="P520" i="1"/>
  <c r="P521" i="1"/>
  <c r="P522" i="1"/>
  <c r="P523" i="1"/>
  <c r="P524" i="1"/>
  <c r="P525" i="1"/>
  <c r="P526" i="1"/>
  <c r="P527" i="1"/>
  <c r="P528" i="1"/>
  <c r="P529" i="1"/>
  <c r="P530" i="1"/>
  <c r="P531" i="1"/>
  <c r="P532" i="1"/>
  <c r="P533" i="1"/>
  <c r="P534" i="1"/>
  <c r="P535" i="1"/>
  <c r="P536" i="1"/>
  <c r="P537" i="1"/>
  <c r="P538" i="1"/>
  <c r="P539" i="1"/>
  <c r="P540" i="1"/>
  <c r="P541" i="1"/>
  <c r="P542" i="1"/>
  <c r="P543" i="1"/>
  <c r="P544" i="1"/>
  <c r="P545" i="1"/>
  <c r="P546" i="1"/>
  <c r="P547" i="1"/>
  <c r="P548" i="1"/>
  <c r="P549" i="1"/>
  <c r="P550" i="1"/>
  <c r="P551" i="1"/>
  <c r="P552" i="1"/>
  <c r="P553" i="1"/>
  <c r="P554" i="1"/>
  <c r="P555" i="1"/>
  <c r="P556" i="1"/>
  <c r="P557" i="1"/>
  <c r="P558" i="1"/>
  <c r="P559" i="1"/>
  <c r="P560" i="1"/>
  <c r="P561" i="1"/>
  <c r="P562" i="1"/>
  <c r="P563" i="1"/>
  <c r="P564" i="1"/>
  <c r="P565" i="1"/>
  <c r="P566" i="1"/>
  <c r="P567" i="1"/>
  <c r="P568" i="1"/>
  <c r="P569" i="1"/>
  <c r="P570" i="1"/>
  <c r="P571" i="1"/>
  <c r="P572" i="1"/>
  <c r="P573" i="1"/>
  <c r="P574" i="1"/>
  <c r="P575" i="1"/>
  <c r="P576" i="1"/>
  <c r="P577" i="1"/>
  <c r="P578" i="1"/>
  <c r="P579" i="1"/>
  <c r="P580" i="1"/>
  <c r="P581" i="1"/>
  <c r="P582" i="1"/>
  <c r="P583" i="1"/>
  <c r="P584" i="1"/>
  <c r="P585" i="1"/>
  <c r="P586" i="1"/>
  <c r="P587" i="1"/>
  <c r="P588" i="1"/>
  <c r="P589" i="1"/>
  <c r="P590" i="1"/>
  <c r="P591" i="1"/>
  <c r="P592" i="1"/>
  <c r="P593" i="1"/>
  <c r="P594" i="1"/>
  <c r="P595" i="1"/>
  <c r="P596" i="1"/>
  <c r="P597" i="1"/>
  <c r="P598" i="1"/>
  <c r="P599" i="1"/>
  <c r="P600" i="1"/>
  <c r="P601" i="1"/>
  <c r="P602" i="1"/>
  <c r="P603" i="1"/>
  <c r="P604" i="1"/>
  <c r="P605" i="1"/>
  <c r="P606" i="1"/>
  <c r="P607" i="1"/>
  <c r="P608" i="1"/>
  <c r="P609" i="1"/>
  <c r="P610" i="1"/>
  <c r="P611" i="1"/>
  <c r="P612" i="1"/>
  <c r="P613" i="1"/>
  <c r="P614" i="1"/>
  <c r="P615" i="1"/>
  <c r="P616" i="1"/>
  <c r="P617" i="1"/>
  <c r="P618" i="1"/>
  <c r="P619" i="1"/>
  <c r="P620" i="1"/>
  <c r="P621" i="1"/>
  <c r="P622" i="1"/>
  <c r="P623" i="1"/>
  <c r="P624" i="1"/>
  <c r="P625" i="1"/>
  <c r="P626" i="1"/>
  <c r="P627" i="1"/>
  <c r="P628" i="1"/>
  <c r="P629" i="1"/>
  <c r="P630" i="1"/>
  <c r="P631" i="1"/>
  <c r="P632" i="1"/>
  <c r="P633" i="1"/>
  <c r="P634" i="1"/>
  <c r="P635" i="1"/>
  <c r="P636" i="1"/>
  <c r="P637" i="1"/>
  <c r="P638" i="1"/>
  <c r="P639" i="1"/>
  <c r="P640" i="1"/>
  <c r="P641" i="1"/>
  <c r="P642" i="1"/>
  <c r="P643" i="1"/>
  <c r="P644" i="1"/>
  <c r="P645" i="1"/>
  <c r="P646" i="1"/>
  <c r="P647" i="1"/>
  <c r="P648" i="1"/>
  <c r="P649" i="1"/>
  <c r="P650" i="1"/>
  <c r="P651" i="1"/>
  <c r="P652" i="1"/>
  <c r="P653" i="1"/>
  <c r="P654" i="1"/>
  <c r="P655" i="1"/>
  <c r="P656" i="1"/>
  <c r="P657" i="1"/>
  <c r="P658" i="1"/>
  <c r="P659" i="1"/>
  <c r="P660" i="1"/>
  <c r="P661" i="1"/>
  <c r="P662" i="1"/>
  <c r="P663" i="1"/>
  <c r="P664" i="1"/>
  <c r="P665" i="1"/>
  <c r="P666" i="1"/>
  <c r="P667" i="1"/>
  <c r="P668" i="1"/>
  <c r="P669" i="1"/>
  <c r="P670" i="1"/>
  <c r="P671" i="1"/>
  <c r="P672" i="1"/>
  <c r="P673" i="1"/>
  <c r="P674" i="1"/>
  <c r="P675" i="1"/>
  <c r="P676" i="1"/>
  <c r="P677" i="1"/>
  <c r="P678" i="1"/>
  <c r="P679" i="1"/>
  <c r="P680" i="1"/>
  <c r="P681" i="1"/>
  <c r="P682" i="1"/>
  <c r="P683" i="1"/>
  <c r="P684" i="1"/>
  <c r="P685" i="1"/>
  <c r="P686" i="1"/>
  <c r="P687" i="1"/>
  <c r="P688" i="1"/>
  <c r="P689" i="1"/>
  <c r="P690" i="1"/>
  <c r="P691" i="1"/>
  <c r="P692" i="1"/>
  <c r="P693" i="1"/>
  <c r="P694" i="1"/>
  <c r="P695" i="1"/>
  <c r="P696" i="1"/>
  <c r="P697" i="1"/>
  <c r="P698" i="1"/>
  <c r="P699" i="1"/>
  <c r="P700" i="1"/>
  <c r="P701" i="1"/>
  <c r="P702" i="1"/>
  <c r="P703" i="1"/>
  <c r="P704" i="1"/>
  <c r="P705" i="1"/>
  <c r="P706" i="1"/>
  <c r="P707" i="1"/>
  <c r="P708" i="1"/>
  <c r="P709" i="1"/>
  <c r="P710" i="1"/>
  <c r="P711" i="1"/>
  <c r="P712" i="1"/>
  <c r="P713" i="1"/>
  <c r="P714" i="1"/>
  <c r="P715" i="1"/>
  <c r="P716" i="1"/>
  <c r="P717" i="1"/>
  <c r="P718" i="1"/>
  <c r="P719" i="1"/>
  <c r="P720" i="1"/>
  <c r="P721" i="1"/>
  <c r="P722" i="1"/>
  <c r="P723" i="1"/>
  <c r="P724" i="1"/>
  <c r="P725" i="1"/>
  <c r="P726" i="1"/>
  <c r="P727" i="1"/>
  <c r="P728" i="1"/>
  <c r="P729" i="1"/>
  <c r="P730" i="1"/>
  <c r="P731" i="1"/>
  <c r="P732" i="1"/>
  <c r="P733" i="1"/>
  <c r="P734" i="1"/>
  <c r="P735" i="1"/>
  <c r="P736" i="1"/>
  <c r="P737" i="1"/>
  <c r="P738" i="1"/>
  <c r="P739" i="1"/>
  <c r="P740" i="1"/>
  <c r="P741" i="1"/>
  <c r="P742" i="1"/>
  <c r="P743" i="1"/>
  <c r="P744" i="1"/>
  <c r="P745" i="1"/>
  <c r="P746" i="1"/>
  <c r="P747" i="1"/>
  <c r="P748" i="1"/>
  <c r="P749" i="1"/>
  <c r="P750" i="1"/>
  <c r="P751" i="1"/>
  <c r="P752" i="1"/>
  <c r="P753" i="1"/>
  <c r="P754" i="1"/>
  <c r="P755" i="1"/>
  <c r="P756" i="1"/>
  <c r="P757" i="1"/>
  <c r="P758" i="1"/>
  <c r="P759" i="1"/>
  <c r="P760" i="1"/>
  <c r="P761" i="1"/>
  <c r="P762" i="1"/>
  <c r="P763" i="1"/>
  <c r="P764" i="1"/>
  <c r="P765" i="1"/>
  <c r="P766" i="1"/>
  <c r="P767" i="1"/>
  <c r="P768" i="1"/>
  <c r="P769" i="1"/>
  <c r="P770" i="1"/>
  <c r="P771" i="1"/>
  <c r="P772" i="1"/>
  <c r="P773" i="1"/>
  <c r="P774" i="1"/>
  <c r="P775" i="1"/>
  <c r="P776" i="1"/>
  <c r="P777" i="1"/>
  <c r="P778" i="1"/>
  <c r="P779" i="1"/>
  <c r="P780" i="1"/>
  <c r="P781" i="1"/>
  <c r="P782" i="1"/>
  <c r="P783" i="1"/>
  <c r="P784" i="1"/>
  <c r="P785" i="1"/>
  <c r="P786" i="1"/>
  <c r="P787" i="1"/>
  <c r="P788" i="1"/>
  <c r="P789" i="1"/>
  <c r="P790" i="1"/>
  <c r="P791" i="1"/>
  <c r="P792" i="1"/>
  <c r="P793" i="1"/>
  <c r="P794" i="1"/>
  <c r="P795" i="1"/>
  <c r="P796" i="1"/>
  <c r="P797" i="1"/>
  <c r="P798" i="1"/>
  <c r="P799" i="1"/>
  <c r="P800" i="1"/>
  <c r="P801" i="1"/>
  <c r="P802" i="1"/>
  <c r="P803" i="1"/>
  <c r="P804" i="1"/>
  <c r="P805" i="1"/>
  <c r="P806" i="1"/>
  <c r="P807" i="1"/>
  <c r="P808" i="1"/>
  <c r="P809" i="1"/>
  <c r="P810" i="1"/>
  <c r="P811" i="1"/>
  <c r="P812" i="1"/>
  <c r="P813" i="1"/>
  <c r="P814" i="1"/>
  <c r="P815" i="1"/>
  <c r="P816" i="1"/>
  <c r="P817" i="1"/>
  <c r="P818" i="1"/>
  <c r="P819" i="1"/>
  <c r="P820" i="1"/>
  <c r="P821" i="1"/>
  <c r="P822" i="1"/>
  <c r="P823" i="1"/>
  <c r="P824" i="1"/>
  <c r="P825" i="1"/>
  <c r="P826" i="1"/>
  <c r="P827" i="1"/>
  <c r="P828" i="1"/>
  <c r="P829" i="1"/>
  <c r="P830" i="1"/>
  <c r="P831" i="1"/>
  <c r="P832" i="1"/>
  <c r="P833" i="1"/>
  <c r="P834" i="1"/>
  <c r="P835" i="1"/>
  <c r="P836" i="1"/>
  <c r="P837" i="1"/>
  <c r="P838" i="1"/>
  <c r="P839" i="1"/>
  <c r="P840" i="1"/>
  <c r="P841" i="1"/>
  <c r="P842" i="1"/>
  <c r="P843" i="1"/>
  <c r="P844" i="1"/>
  <c r="P845" i="1"/>
  <c r="P846" i="1"/>
  <c r="P847" i="1"/>
  <c r="P848" i="1"/>
  <c r="P849" i="1"/>
  <c r="P850" i="1"/>
  <c r="P851" i="1"/>
  <c r="P852" i="1"/>
  <c r="P853" i="1"/>
  <c r="P854" i="1"/>
  <c r="P855" i="1"/>
  <c r="P856" i="1"/>
  <c r="P857" i="1"/>
  <c r="P858" i="1"/>
  <c r="P859" i="1"/>
  <c r="P860" i="1"/>
  <c r="P861" i="1"/>
  <c r="P862" i="1"/>
  <c r="P863" i="1"/>
  <c r="P864" i="1"/>
  <c r="P865" i="1"/>
  <c r="P866" i="1"/>
  <c r="P867" i="1"/>
  <c r="P868" i="1"/>
  <c r="P869" i="1"/>
  <c r="P870" i="1"/>
  <c r="P871" i="1"/>
  <c r="P872" i="1"/>
  <c r="P873" i="1"/>
  <c r="P874" i="1"/>
  <c r="P875" i="1"/>
  <c r="P876" i="1"/>
  <c r="P877" i="1"/>
  <c r="P878" i="1"/>
  <c r="P879" i="1"/>
  <c r="P880" i="1"/>
  <c r="P881" i="1"/>
  <c r="P882" i="1"/>
  <c r="P883" i="1"/>
  <c r="P884" i="1"/>
  <c r="P885" i="1"/>
  <c r="P886" i="1"/>
  <c r="P887" i="1"/>
  <c r="P888" i="1"/>
  <c r="P889" i="1"/>
  <c r="P890" i="1"/>
  <c r="P891" i="1"/>
  <c r="P892" i="1"/>
  <c r="P893" i="1"/>
  <c r="P894" i="1"/>
  <c r="P895" i="1"/>
  <c r="P896" i="1"/>
  <c r="P897" i="1"/>
  <c r="P898" i="1"/>
  <c r="P899" i="1"/>
  <c r="P900" i="1"/>
  <c r="P901" i="1"/>
  <c r="P902" i="1"/>
  <c r="P903" i="1"/>
  <c r="P904" i="1"/>
  <c r="P905" i="1"/>
  <c r="P906" i="1"/>
  <c r="P907" i="1"/>
  <c r="P908" i="1"/>
  <c r="P909" i="1"/>
  <c r="P910" i="1"/>
  <c r="P911" i="1"/>
  <c r="P912" i="1"/>
  <c r="P913" i="1"/>
  <c r="P914" i="1"/>
  <c r="P915" i="1"/>
  <c r="P916" i="1"/>
  <c r="P917" i="1"/>
  <c r="P918" i="1"/>
  <c r="P919" i="1"/>
  <c r="P920" i="1"/>
  <c r="P921" i="1"/>
  <c r="P922" i="1"/>
  <c r="P923" i="1"/>
  <c r="P924" i="1"/>
  <c r="P925" i="1"/>
  <c r="P926" i="1"/>
  <c r="P927" i="1"/>
  <c r="P928" i="1"/>
  <c r="P929" i="1"/>
  <c r="P930" i="1"/>
  <c r="P931" i="1"/>
  <c r="P932" i="1"/>
  <c r="P933" i="1"/>
  <c r="P934" i="1"/>
  <c r="P935" i="1"/>
  <c r="P936" i="1"/>
  <c r="P937" i="1"/>
  <c r="P938" i="1"/>
  <c r="P939" i="1"/>
  <c r="P940" i="1"/>
  <c r="P941" i="1"/>
  <c r="P942" i="1"/>
  <c r="P943" i="1"/>
  <c r="P944" i="1"/>
  <c r="P945" i="1"/>
  <c r="P946" i="1"/>
  <c r="P947" i="1"/>
  <c r="P948" i="1"/>
  <c r="P949" i="1"/>
  <c r="P950" i="1"/>
  <c r="P951" i="1"/>
  <c r="P952" i="1"/>
  <c r="P953" i="1"/>
  <c r="P954" i="1"/>
  <c r="P955" i="1"/>
  <c r="P956" i="1"/>
  <c r="P957" i="1"/>
  <c r="P958" i="1"/>
  <c r="P959" i="1"/>
  <c r="P960" i="1"/>
  <c r="P961" i="1"/>
  <c r="P962" i="1"/>
  <c r="P963" i="1"/>
  <c r="P964" i="1"/>
  <c r="P965" i="1"/>
  <c r="P966" i="1"/>
  <c r="P967" i="1"/>
  <c r="P968" i="1"/>
  <c r="P969" i="1"/>
  <c r="P970" i="1"/>
  <c r="P971" i="1"/>
  <c r="P972" i="1"/>
  <c r="P973" i="1"/>
  <c r="P974" i="1"/>
  <c r="P975" i="1"/>
  <c r="P976" i="1"/>
  <c r="P977" i="1"/>
  <c r="P978" i="1"/>
  <c r="P979" i="1"/>
  <c r="P980" i="1"/>
  <c r="P981" i="1"/>
  <c r="P982" i="1"/>
  <c r="P983" i="1"/>
  <c r="P984" i="1"/>
  <c r="P985" i="1"/>
  <c r="P986" i="1"/>
  <c r="P987" i="1"/>
  <c r="P988" i="1"/>
  <c r="P989" i="1"/>
  <c r="P990" i="1"/>
  <c r="P991" i="1"/>
  <c r="P992" i="1"/>
  <c r="P993" i="1"/>
  <c r="P994" i="1"/>
  <c r="P995" i="1"/>
  <c r="P996" i="1"/>
  <c r="P997" i="1"/>
  <c r="P998" i="1"/>
  <c r="P999" i="1"/>
  <c r="P1000" i="1"/>
  <c r="P1001" i="1"/>
  <c r="P1002" i="1"/>
  <c r="P1003" i="1"/>
  <c r="P1004" i="1"/>
  <c r="P1005" i="1"/>
  <c r="P1006" i="1"/>
  <c r="P1007" i="1"/>
  <c r="P1008" i="1"/>
  <c r="P1009" i="1"/>
  <c r="P1010" i="1"/>
  <c r="P1011" i="1"/>
  <c r="P1012" i="1"/>
  <c r="P1013" i="1"/>
  <c r="P1014" i="1"/>
  <c r="P1015" i="1"/>
  <c r="P1016" i="1"/>
  <c r="P1017" i="1"/>
  <c r="P1018" i="1"/>
  <c r="P1019" i="1"/>
  <c r="P1020" i="1"/>
  <c r="P1021" i="1"/>
  <c r="P1022" i="1"/>
  <c r="P1023" i="1"/>
  <c r="P1024" i="1"/>
  <c r="P1025" i="1"/>
  <c r="P1026" i="1"/>
  <c r="P1027" i="1"/>
  <c r="P1028" i="1"/>
  <c r="P1029" i="1"/>
  <c r="P1030" i="1"/>
  <c r="P1031" i="1"/>
  <c r="P1032" i="1"/>
  <c r="P1033" i="1"/>
  <c r="P1034" i="1"/>
  <c r="P1035" i="1"/>
  <c r="P1036" i="1"/>
  <c r="P1037" i="1"/>
  <c r="P1038" i="1"/>
  <c r="P1039" i="1"/>
  <c r="P1040" i="1"/>
  <c r="P1041" i="1"/>
  <c r="P1042" i="1"/>
  <c r="P1043" i="1"/>
  <c r="P1044" i="1"/>
  <c r="P1045" i="1"/>
  <c r="P1046" i="1"/>
  <c r="P1047" i="1"/>
  <c r="P1048" i="1"/>
  <c r="P1049" i="1"/>
  <c r="P1050" i="1"/>
  <c r="P1051" i="1"/>
  <c r="P1052" i="1"/>
  <c r="P1053" i="1"/>
  <c r="P1054" i="1"/>
  <c r="P1055" i="1"/>
  <c r="P1056" i="1"/>
  <c r="P1057" i="1"/>
  <c r="P1058" i="1"/>
  <c r="P1059" i="1"/>
  <c r="P1060" i="1"/>
  <c r="P1061" i="1"/>
  <c r="P1062" i="1"/>
  <c r="P1063" i="1"/>
  <c r="P1064" i="1"/>
  <c r="P1065" i="1"/>
  <c r="P1066" i="1"/>
  <c r="P1067" i="1"/>
  <c r="P1068" i="1"/>
  <c r="P1069" i="1"/>
  <c r="P1070" i="1"/>
  <c r="P1071" i="1"/>
  <c r="P1072" i="1"/>
  <c r="P1073" i="1"/>
  <c r="P1074" i="1"/>
  <c r="P1075" i="1"/>
  <c r="P1076" i="1"/>
  <c r="P1077" i="1"/>
  <c r="P1078" i="1"/>
  <c r="P1079" i="1"/>
  <c r="P1080" i="1"/>
  <c r="P1081" i="1"/>
  <c r="P1082" i="1"/>
  <c r="P1083" i="1"/>
  <c r="P1084" i="1"/>
  <c r="P1085" i="1"/>
  <c r="P1086" i="1"/>
  <c r="P1087" i="1"/>
  <c r="P1088" i="1"/>
  <c r="P1089" i="1"/>
  <c r="P1090" i="1"/>
  <c r="P1091" i="1"/>
  <c r="P1092" i="1"/>
  <c r="P1093" i="1"/>
  <c r="P1094" i="1"/>
  <c r="P1095" i="1"/>
  <c r="P1096" i="1"/>
  <c r="P1097" i="1"/>
  <c r="P1098" i="1"/>
  <c r="P1099" i="1"/>
  <c r="P1100" i="1"/>
  <c r="P1101" i="1"/>
  <c r="P1102" i="1"/>
  <c r="P1103" i="1"/>
  <c r="P1104" i="1"/>
  <c r="P1105" i="1"/>
  <c r="P1106" i="1"/>
  <c r="P1107" i="1"/>
  <c r="P1108" i="1"/>
  <c r="P1109" i="1"/>
  <c r="P1110" i="1"/>
  <c r="P1111" i="1"/>
  <c r="P1112" i="1"/>
  <c r="P1113" i="1"/>
  <c r="P1114" i="1"/>
  <c r="P1115" i="1"/>
  <c r="P1116" i="1"/>
  <c r="P1117" i="1"/>
  <c r="P1118" i="1"/>
  <c r="P1119" i="1"/>
  <c r="P1120" i="1"/>
  <c r="P1121" i="1"/>
  <c r="P1122" i="1"/>
  <c r="P1123" i="1"/>
  <c r="P1124" i="1"/>
  <c r="P1125" i="1"/>
  <c r="P1126" i="1"/>
  <c r="P1127" i="1"/>
  <c r="P1128" i="1"/>
  <c r="P1129" i="1"/>
  <c r="P1130" i="1"/>
  <c r="P1131" i="1"/>
  <c r="P1132" i="1"/>
  <c r="P1133" i="1"/>
  <c r="P1134" i="1"/>
  <c r="P1135" i="1"/>
  <c r="P1136" i="1"/>
  <c r="P1137" i="1"/>
  <c r="P1138" i="1"/>
  <c r="P1139" i="1"/>
  <c r="P1140" i="1"/>
  <c r="P1141" i="1"/>
  <c r="P1142" i="1"/>
  <c r="P1143" i="1"/>
  <c r="P1144" i="1"/>
  <c r="P1145" i="1"/>
  <c r="P1146" i="1"/>
  <c r="P1147" i="1"/>
  <c r="P1148" i="1"/>
  <c r="P1149" i="1"/>
  <c r="P1150" i="1"/>
  <c r="P1151" i="1"/>
  <c r="P1152" i="1"/>
  <c r="P1153" i="1"/>
  <c r="P1154" i="1"/>
  <c r="P1155" i="1"/>
  <c r="P1156" i="1"/>
  <c r="P1157" i="1"/>
  <c r="P1158" i="1"/>
  <c r="P1159" i="1"/>
  <c r="P1160" i="1"/>
  <c r="P1161" i="1"/>
  <c r="P1162" i="1"/>
  <c r="P1163" i="1"/>
  <c r="P1164" i="1"/>
  <c r="P1165" i="1"/>
  <c r="P1166" i="1"/>
  <c r="P1167" i="1"/>
  <c r="P1168" i="1"/>
  <c r="P1169" i="1"/>
  <c r="P1170" i="1"/>
  <c r="P1171" i="1"/>
  <c r="P1172" i="1"/>
  <c r="P1173" i="1"/>
  <c r="P1174" i="1"/>
  <c r="P1175" i="1"/>
  <c r="P1176" i="1"/>
  <c r="P1177" i="1"/>
  <c r="P1178" i="1"/>
  <c r="P1179" i="1"/>
  <c r="P1180" i="1"/>
  <c r="P1181" i="1"/>
  <c r="P1182" i="1"/>
  <c r="P1183" i="1"/>
  <c r="P1184" i="1"/>
  <c r="P1185" i="1"/>
  <c r="P1186" i="1"/>
  <c r="P1187" i="1"/>
  <c r="P1188" i="1"/>
  <c r="P1189" i="1"/>
  <c r="P1190" i="1"/>
  <c r="P1191" i="1"/>
  <c r="P1192" i="1"/>
  <c r="P1193" i="1"/>
  <c r="P1194" i="1"/>
  <c r="P1195" i="1"/>
  <c r="P1196" i="1"/>
  <c r="P1197" i="1"/>
  <c r="P1198" i="1"/>
  <c r="P1199" i="1"/>
  <c r="P1200" i="1"/>
  <c r="P1201" i="1"/>
  <c r="P1202" i="1"/>
  <c r="P1203" i="1"/>
  <c r="P1204" i="1"/>
  <c r="P1205" i="1"/>
  <c r="P1206" i="1"/>
  <c r="P1207" i="1"/>
  <c r="P1208" i="1"/>
  <c r="P1209" i="1"/>
  <c r="P1210" i="1"/>
  <c r="P1211" i="1"/>
  <c r="P1212" i="1"/>
  <c r="P1213" i="1"/>
  <c r="P1214" i="1"/>
  <c r="P1215" i="1"/>
  <c r="P1216" i="1"/>
  <c r="P1217" i="1"/>
  <c r="P1218" i="1"/>
  <c r="P1219" i="1"/>
  <c r="P1220" i="1"/>
  <c r="P1221" i="1"/>
  <c r="P1222" i="1"/>
  <c r="P1223" i="1"/>
  <c r="P1224" i="1"/>
  <c r="P1225" i="1"/>
  <c r="P1226" i="1"/>
  <c r="P1227" i="1"/>
  <c r="P1228" i="1"/>
  <c r="P1229" i="1"/>
  <c r="P1230" i="1"/>
  <c r="P1231" i="1"/>
  <c r="P1232" i="1"/>
  <c r="P1233" i="1"/>
  <c r="P1234" i="1"/>
  <c r="P1235" i="1"/>
  <c r="P1236" i="1"/>
  <c r="P1237" i="1"/>
  <c r="P1238" i="1"/>
  <c r="P1239" i="1"/>
  <c r="P1240" i="1"/>
  <c r="P1241" i="1"/>
  <c r="P1242" i="1"/>
  <c r="P1243" i="1"/>
  <c r="P1244" i="1"/>
  <c r="P1245" i="1"/>
  <c r="P1246" i="1"/>
  <c r="P1247" i="1"/>
  <c r="P1248" i="1"/>
  <c r="P1249" i="1"/>
  <c r="P1250" i="1"/>
  <c r="P1251" i="1"/>
  <c r="P1252" i="1"/>
  <c r="P1253" i="1"/>
  <c r="P1254" i="1"/>
  <c r="P1255" i="1"/>
  <c r="P1256" i="1"/>
  <c r="P1257" i="1"/>
  <c r="P1258" i="1"/>
  <c r="P1259" i="1"/>
  <c r="P1260" i="1"/>
  <c r="P1261" i="1"/>
  <c r="P1262" i="1"/>
  <c r="P1263" i="1"/>
  <c r="P1264" i="1"/>
  <c r="P1265" i="1"/>
  <c r="P1266" i="1"/>
  <c r="P1267" i="1"/>
  <c r="P1268" i="1"/>
  <c r="P1269" i="1"/>
  <c r="P1270" i="1"/>
  <c r="P1271" i="1"/>
  <c r="P1272" i="1"/>
  <c r="P1273" i="1"/>
  <c r="P1274" i="1"/>
  <c r="P1275" i="1"/>
  <c r="P1276" i="1"/>
  <c r="P1277" i="1"/>
  <c r="P1278" i="1"/>
  <c r="P1279" i="1"/>
  <c r="P1280" i="1"/>
  <c r="P1281" i="1"/>
  <c r="P1282" i="1"/>
  <c r="P1283" i="1"/>
  <c r="P1284" i="1"/>
  <c r="P1285" i="1"/>
  <c r="P1286" i="1"/>
  <c r="P1287" i="1"/>
  <c r="P1288" i="1"/>
  <c r="P1289" i="1"/>
  <c r="P1290" i="1"/>
  <c r="P1291" i="1"/>
  <c r="P1292" i="1"/>
  <c r="P1293" i="1"/>
  <c r="P1294" i="1"/>
  <c r="P1295" i="1"/>
  <c r="P1296" i="1"/>
  <c r="P1297" i="1"/>
  <c r="P1298" i="1"/>
  <c r="P1299" i="1"/>
  <c r="P1300" i="1"/>
  <c r="P1301" i="1"/>
  <c r="P1302" i="1"/>
  <c r="P1303" i="1"/>
  <c r="P1304" i="1"/>
  <c r="P1305" i="1"/>
  <c r="P1306" i="1"/>
  <c r="P1307" i="1"/>
  <c r="P1308" i="1"/>
  <c r="P1309" i="1"/>
  <c r="P1310" i="1"/>
  <c r="P1311" i="1"/>
  <c r="P1312" i="1"/>
  <c r="P1313" i="1"/>
  <c r="P1314" i="1"/>
  <c r="P1315" i="1"/>
  <c r="P1316" i="1"/>
  <c r="P1317" i="1"/>
  <c r="P1318" i="1"/>
  <c r="P1319" i="1"/>
  <c r="P1320" i="1"/>
  <c r="P1321" i="1"/>
  <c r="P1322" i="1"/>
  <c r="P1323" i="1"/>
  <c r="P1324" i="1"/>
  <c r="P1325" i="1"/>
  <c r="P1326" i="1"/>
  <c r="P1327" i="1"/>
  <c r="P1328" i="1"/>
  <c r="P1329" i="1"/>
  <c r="P1330" i="1"/>
  <c r="P1331" i="1"/>
  <c r="P1332" i="1"/>
  <c r="P1333" i="1"/>
  <c r="P1334" i="1"/>
  <c r="P1335" i="1"/>
  <c r="P1336" i="1"/>
  <c r="P1337" i="1"/>
  <c r="P1338" i="1"/>
  <c r="P1339" i="1"/>
  <c r="P1340" i="1"/>
  <c r="P1341" i="1"/>
  <c r="P1342" i="1"/>
  <c r="P1343" i="1"/>
  <c r="P1344" i="1"/>
  <c r="P1345" i="1"/>
  <c r="P1346" i="1"/>
  <c r="P1347" i="1"/>
  <c r="P1348" i="1"/>
  <c r="P1349" i="1"/>
  <c r="P1350" i="1"/>
  <c r="P1351" i="1"/>
  <c r="P1352" i="1"/>
  <c r="P1353" i="1"/>
  <c r="P1354" i="1"/>
  <c r="P1355" i="1"/>
  <c r="P1356" i="1"/>
  <c r="P1357" i="1"/>
  <c r="P1358" i="1"/>
  <c r="P1359" i="1"/>
  <c r="P1360" i="1"/>
  <c r="P1361" i="1"/>
  <c r="P1362" i="1"/>
  <c r="P1363" i="1"/>
  <c r="P1364" i="1"/>
  <c r="P1365" i="1"/>
  <c r="P1366" i="1"/>
  <c r="P1367" i="1"/>
  <c r="P1368" i="1"/>
  <c r="P1369" i="1"/>
  <c r="P1370" i="1"/>
  <c r="P1371" i="1"/>
  <c r="P1372" i="1"/>
  <c r="P1373" i="1"/>
  <c r="P1374" i="1"/>
  <c r="P1375" i="1"/>
  <c r="P1376" i="1"/>
  <c r="P1377" i="1"/>
  <c r="P1378" i="1"/>
  <c r="P1379" i="1"/>
  <c r="P1380" i="1"/>
  <c r="P1381" i="1"/>
  <c r="P1382" i="1"/>
  <c r="P1383" i="1"/>
  <c r="P1384" i="1"/>
  <c r="P1385" i="1"/>
  <c r="P1386" i="1"/>
  <c r="P1387" i="1"/>
  <c r="P1388" i="1"/>
  <c r="P1389" i="1"/>
  <c r="P1390" i="1"/>
  <c r="P1391" i="1"/>
  <c r="P1392" i="1"/>
  <c r="P1393" i="1"/>
  <c r="P1394" i="1"/>
  <c r="P1395" i="1"/>
  <c r="P1396" i="1"/>
  <c r="P1397" i="1"/>
  <c r="P1398" i="1"/>
  <c r="P1399" i="1"/>
  <c r="P1400" i="1"/>
  <c r="P1401" i="1"/>
  <c r="P1402" i="1"/>
  <c r="P1403" i="1"/>
  <c r="P1404" i="1"/>
  <c r="P1405" i="1"/>
  <c r="P1406" i="1"/>
  <c r="P1407" i="1"/>
  <c r="P1408" i="1"/>
  <c r="P1409" i="1"/>
  <c r="P1410" i="1"/>
  <c r="P1411" i="1"/>
  <c r="P1412" i="1"/>
  <c r="P1413" i="1"/>
  <c r="P1414" i="1"/>
  <c r="P1415" i="1"/>
  <c r="P1416" i="1"/>
  <c r="P1417" i="1"/>
  <c r="P1418" i="1"/>
  <c r="P1419" i="1"/>
  <c r="P1420" i="1"/>
  <c r="P1421" i="1"/>
  <c r="P1422" i="1"/>
  <c r="P1423" i="1"/>
  <c r="P1424" i="1"/>
  <c r="P1425" i="1"/>
  <c r="P1426" i="1"/>
  <c r="P1427" i="1"/>
  <c r="P1428" i="1"/>
  <c r="P1429" i="1"/>
  <c r="P1430" i="1"/>
  <c r="P1431" i="1"/>
  <c r="P1432" i="1"/>
  <c r="P1433" i="1"/>
  <c r="P1434" i="1"/>
  <c r="P1435" i="1"/>
  <c r="P1436" i="1"/>
  <c r="P1437" i="1"/>
  <c r="P1438" i="1"/>
  <c r="P1439" i="1"/>
  <c r="P1440" i="1"/>
  <c r="P1441" i="1"/>
  <c r="P1442" i="1"/>
  <c r="P1443" i="1"/>
  <c r="P1444" i="1"/>
  <c r="P1445" i="1"/>
  <c r="P1446" i="1"/>
  <c r="P1447" i="1"/>
  <c r="P1448" i="1"/>
  <c r="P1449" i="1"/>
  <c r="P1450" i="1"/>
  <c r="P1451" i="1"/>
  <c r="P1452" i="1"/>
  <c r="P1453" i="1"/>
  <c r="P1454" i="1"/>
  <c r="P1455" i="1"/>
  <c r="P1456" i="1"/>
  <c r="P1457" i="1"/>
  <c r="P1458" i="1"/>
  <c r="P1459" i="1"/>
  <c r="P1460" i="1"/>
  <c r="P1461" i="1"/>
  <c r="P1462" i="1"/>
  <c r="P1463" i="1"/>
  <c r="P1464" i="1"/>
  <c r="P1465" i="1"/>
  <c r="P1466" i="1"/>
  <c r="P1467" i="1"/>
  <c r="P1468" i="1"/>
  <c r="P1469" i="1"/>
  <c r="P1470" i="1"/>
  <c r="P1471" i="1"/>
  <c r="P1472" i="1"/>
  <c r="P1473" i="1"/>
  <c r="P1474" i="1"/>
  <c r="P1475" i="1"/>
  <c r="P1476" i="1"/>
  <c r="P1477" i="1"/>
  <c r="P1478" i="1"/>
  <c r="P1479" i="1"/>
  <c r="P1480" i="1"/>
  <c r="P1481" i="1"/>
  <c r="P1482" i="1"/>
  <c r="P1483" i="1"/>
  <c r="P1484" i="1"/>
  <c r="P1485" i="1"/>
  <c r="P1486" i="1"/>
  <c r="P1487" i="1"/>
  <c r="P1488" i="1"/>
  <c r="P1489" i="1"/>
  <c r="P1490" i="1"/>
  <c r="P1491" i="1"/>
  <c r="P1492" i="1"/>
  <c r="P1493" i="1"/>
  <c r="P1494" i="1"/>
  <c r="P1495" i="1"/>
  <c r="P1496" i="1"/>
  <c r="P1497" i="1"/>
  <c r="P1498" i="1"/>
  <c r="P1499" i="1"/>
  <c r="P1500" i="1"/>
  <c r="P1501" i="1"/>
  <c r="P1502" i="1"/>
  <c r="P1503" i="1"/>
  <c r="P1504" i="1"/>
  <c r="P1505" i="1"/>
  <c r="P1506" i="1"/>
  <c r="P1507" i="1"/>
  <c r="P1508" i="1"/>
  <c r="P1509" i="1"/>
  <c r="P1510" i="1"/>
  <c r="P1511" i="1"/>
  <c r="P1512" i="1"/>
  <c r="P1513" i="1"/>
  <c r="P1514" i="1"/>
  <c r="P1515" i="1"/>
  <c r="P1516" i="1"/>
  <c r="P1517" i="1"/>
  <c r="P1518" i="1"/>
  <c r="P1519" i="1"/>
  <c r="P1520" i="1"/>
  <c r="P1521" i="1"/>
  <c r="P1522" i="1"/>
  <c r="P1523" i="1"/>
  <c r="P1524" i="1"/>
  <c r="P1525" i="1"/>
  <c r="P1526" i="1"/>
  <c r="P1527" i="1"/>
  <c r="P1528" i="1"/>
  <c r="P1529" i="1"/>
  <c r="P1530" i="1"/>
  <c r="P1531" i="1"/>
  <c r="P1532" i="1"/>
  <c r="P1533" i="1"/>
  <c r="P1534" i="1"/>
  <c r="P1535" i="1"/>
  <c r="P1536" i="1"/>
  <c r="P1537" i="1"/>
  <c r="P1538" i="1"/>
  <c r="P1539" i="1"/>
  <c r="P1540" i="1"/>
  <c r="P1541" i="1"/>
  <c r="P1542" i="1"/>
  <c r="P1543" i="1"/>
  <c r="P1544" i="1"/>
  <c r="P1545" i="1"/>
  <c r="P1546" i="1"/>
  <c r="P1547" i="1"/>
  <c r="P1548" i="1"/>
  <c r="P1549" i="1"/>
  <c r="P1550" i="1"/>
  <c r="P1551" i="1"/>
  <c r="P1552" i="1"/>
  <c r="P1553" i="1"/>
  <c r="P1554" i="1"/>
  <c r="P1555" i="1"/>
  <c r="P1556" i="1"/>
  <c r="P1557" i="1"/>
  <c r="P1558" i="1"/>
  <c r="P1559" i="1"/>
  <c r="P1560" i="1"/>
  <c r="P1561" i="1"/>
  <c r="P1562" i="1"/>
  <c r="P1563" i="1"/>
  <c r="P1564" i="1"/>
  <c r="P1565" i="1"/>
  <c r="P1566" i="1"/>
  <c r="P1567" i="1"/>
  <c r="P1568" i="1"/>
  <c r="P1569" i="1"/>
  <c r="P1570" i="1"/>
  <c r="P1571" i="1"/>
  <c r="P1572" i="1"/>
  <c r="P1573" i="1"/>
  <c r="P1574" i="1"/>
  <c r="P1575" i="1"/>
  <c r="P1576" i="1"/>
  <c r="P1577" i="1"/>
  <c r="P1578" i="1"/>
  <c r="P1579" i="1"/>
  <c r="P1580" i="1"/>
  <c r="P1581" i="1"/>
  <c r="P1582" i="1"/>
  <c r="P1583" i="1"/>
  <c r="P1584" i="1"/>
  <c r="P1585" i="1"/>
  <c r="P1586" i="1"/>
  <c r="P1587" i="1"/>
  <c r="P1588" i="1"/>
  <c r="P1589" i="1"/>
  <c r="P1590" i="1"/>
  <c r="P1591" i="1"/>
  <c r="P1592" i="1"/>
  <c r="P1593" i="1"/>
  <c r="P1594" i="1"/>
  <c r="P1595" i="1"/>
  <c r="P1596" i="1"/>
  <c r="P1597" i="1"/>
  <c r="P1598" i="1"/>
  <c r="P1599" i="1"/>
  <c r="P1600" i="1"/>
  <c r="P1601" i="1"/>
  <c r="P1602" i="1"/>
  <c r="P1603" i="1"/>
  <c r="P1604" i="1"/>
  <c r="P1605" i="1"/>
  <c r="P1606" i="1"/>
  <c r="P1607" i="1"/>
  <c r="P1608" i="1"/>
  <c r="P1609" i="1"/>
  <c r="P1610" i="1"/>
  <c r="P1611" i="1"/>
  <c r="P1612" i="1"/>
  <c r="P1613" i="1"/>
  <c r="P1614" i="1"/>
  <c r="P1615" i="1"/>
  <c r="P1616" i="1"/>
  <c r="P1617" i="1"/>
  <c r="P1618" i="1"/>
  <c r="P1619" i="1"/>
  <c r="P1620" i="1"/>
  <c r="P1621" i="1"/>
  <c r="P1622" i="1"/>
  <c r="P1623" i="1"/>
  <c r="P1624" i="1"/>
  <c r="P1625" i="1"/>
  <c r="P1626" i="1"/>
  <c r="P1627" i="1"/>
  <c r="P1628" i="1"/>
  <c r="P1629" i="1"/>
  <c r="P1630" i="1"/>
  <c r="P1631" i="1"/>
  <c r="P1632" i="1"/>
  <c r="P1633" i="1"/>
  <c r="P1634" i="1"/>
  <c r="P1635" i="1"/>
  <c r="P1636" i="1"/>
  <c r="P1637" i="1"/>
  <c r="P1638" i="1"/>
  <c r="P1639" i="1"/>
  <c r="P1640" i="1"/>
  <c r="P1641" i="1"/>
  <c r="P1642" i="1"/>
  <c r="P1643" i="1"/>
  <c r="P1644" i="1"/>
  <c r="P1645" i="1"/>
  <c r="P1646" i="1"/>
  <c r="P1647" i="1"/>
  <c r="P1648" i="1"/>
  <c r="P1649" i="1"/>
  <c r="P1650" i="1"/>
  <c r="P1651" i="1"/>
  <c r="P1652" i="1"/>
  <c r="P1653" i="1"/>
  <c r="P1654" i="1"/>
  <c r="P1655" i="1"/>
  <c r="P1656" i="1"/>
  <c r="P1657" i="1"/>
  <c r="P1658" i="1"/>
  <c r="P1659" i="1"/>
  <c r="P1660" i="1"/>
  <c r="P1661" i="1"/>
  <c r="P1662" i="1"/>
  <c r="P1663" i="1"/>
  <c r="P1664" i="1"/>
  <c r="P1665" i="1"/>
  <c r="P1666" i="1"/>
  <c r="P1667" i="1"/>
  <c r="P1668" i="1"/>
  <c r="P1669" i="1"/>
  <c r="P1670" i="1"/>
  <c r="P1671" i="1"/>
  <c r="P1672" i="1"/>
  <c r="P1673" i="1"/>
  <c r="P1674" i="1"/>
  <c r="P1675" i="1"/>
  <c r="P1676" i="1"/>
  <c r="P1677" i="1"/>
  <c r="P1678" i="1"/>
  <c r="P1679" i="1"/>
  <c r="P1680" i="1"/>
  <c r="P1681" i="1"/>
  <c r="P1682" i="1"/>
  <c r="P1683" i="1"/>
  <c r="P1684" i="1"/>
  <c r="P1685" i="1"/>
  <c r="P1686" i="1"/>
  <c r="P1687" i="1"/>
  <c r="P1688" i="1"/>
  <c r="P1689" i="1"/>
  <c r="P1690" i="1"/>
  <c r="P1691" i="1"/>
  <c r="P1692" i="1"/>
  <c r="P1693" i="1"/>
  <c r="P1694" i="1"/>
  <c r="P1695" i="1"/>
  <c r="P1696" i="1"/>
  <c r="P1697" i="1"/>
  <c r="P1698" i="1"/>
  <c r="P1699" i="1"/>
  <c r="P1700" i="1"/>
  <c r="P1701" i="1"/>
  <c r="P1702" i="1"/>
  <c r="P1703" i="1"/>
  <c r="P1704" i="1"/>
  <c r="P1705" i="1"/>
  <c r="P1706" i="1"/>
  <c r="P1707" i="1"/>
  <c r="P1708" i="1"/>
  <c r="P1709" i="1"/>
  <c r="P1710" i="1"/>
  <c r="P1711" i="1"/>
  <c r="P1712" i="1"/>
  <c r="P1713" i="1"/>
  <c r="P1714" i="1"/>
  <c r="P1715" i="1"/>
  <c r="P1716" i="1"/>
  <c r="P1717" i="1"/>
  <c r="P1718" i="1"/>
  <c r="P1719" i="1"/>
  <c r="P1720" i="1"/>
  <c r="P1721" i="1"/>
  <c r="P1722" i="1"/>
  <c r="P1723" i="1"/>
  <c r="P1724" i="1"/>
  <c r="P1725" i="1"/>
  <c r="P1726" i="1"/>
  <c r="P1727" i="1"/>
  <c r="P1728" i="1"/>
  <c r="P1729" i="1"/>
  <c r="P1730" i="1"/>
  <c r="P1731" i="1"/>
  <c r="P1732" i="1"/>
  <c r="P1733" i="1"/>
  <c r="P1734" i="1"/>
  <c r="P1735" i="1"/>
  <c r="P1736" i="1"/>
  <c r="P1737" i="1"/>
  <c r="P1738" i="1"/>
  <c r="P1739" i="1"/>
  <c r="P1740" i="1"/>
  <c r="P1741" i="1"/>
  <c r="P1742" i="1"/>
  <c r="P1743" i="1"/>
  <c r="P1744" i="1"/>
  <c r="P1745" i="1"/>
  <c r="P1746" i="1"/>
  <c r="P1747" i="1"/>
  <c r="P1748" i="1"/>
  <c r="P1749" i="1"/>
  <c r="P1750" i="1"/>
  <c r="P1751" i="1"/>
  <c r="P1752" i="1"/>
  <c r="P1753" i="1"/>
  <c r="P1754" i="1"/>
  <c r="P1755" i="1"/>
  <c r="P1756" i="1"/>
  <c r="P1757" i="1"/>
  <c r="P1758" i="1"/>
  <c r="P1759" i="1"/>
  <c r="P1760" i="1"/>
  <c r="P1761" i="1"/>
  <c r="P1762" i="1"/>
  <c r="P1763" i="1"/>
  <c r="P1764" i="1"/>
  <c r="P1765" i="1"/>
  <c r="P1766" i="1"/>
  <c r="P1767" i="1"/>
  <c r="P1768" i="1"/>
  <c r="P1769" i="1"/>
  <c r="P1770" i="1"/>
  <c r="P1771" i="1"/>
  <c r="P1772" i="1"/>
  <c r="P1773" i="1"/>
  <c r="P1774" i="1"/>
  <c r="P1775" i="1"/>
  <c r="P1776" i="1"/>
  <c r="P1777" i="1"/>
  <c r="P1778" i="1"/>
  <c r="P1779" i="1"/>
  <c r="P1780" i="1"/>
  <c r="P1781" i="1"/>
  <c r="P1782" i="1"/>
  <c r="P1783" i="1"/>
  <c r="P1784" i="1"/>
  <c r="P1785" i="1"/>
  <c r="P1786" i="1"/>
  <c r="P1787" i="1"/>
  <c r="P1788" i="1"/>
  <c r="P1789" i="1"/>
  <c r="P1790" i="1"/>
  <c r="P1791" i="1"/>
  <c r="P1792" i="1"/>
  <c r="P1793" i="1"/>
  <c r="P1794" i="1"/>
  <c r="P1795" i="1"/>
  <c r="P1796" i="1"/>
  <c r="P1797" i="1"/>
  <c r="P1798" i="1"/>
  <c r="P1799" i="1"/>
  <c r="P1800" i="1"/>
  <c r="P1801" i="1"/>
  <c r="P1802" i="1"/>
  <c r="P1803" i="1"/>
  <c r="P1804" i="1"/>
  <c r="P1805" i="1"/>
  <c r="P1806" i="1"/>
  <c r="P1807" i="1"/>
  <c r="P1808" i="1"/>
  <c r="P1809" i="1"/>
  <c r="P1810" i="1"/>
  <c r="P1811" i="1"/>
  <c r="P1812" i="1"/>
  <c r="P1813" i="1"/>
  <c r="P1814" i="1"/>
  <c r="P1815" i="1"/>
  <c r="P1816" i="1"/>
  <c r="P1817" i="1"/>
  <c r="P1818" i="1"/>
  <c r="P1819" i="1"/>
  <c r="P1820" i="1"/>
  <c r="P1821" i="1"/>
  <c r="P1822" i="1"/>
  <c r="P1823" i="1"/>
  <c r="P1824" i="1"/>
  <c r="P1825" i="1"/>
  <c r="P1826" i="1"/>
  <c r="P1827" i="1"/>
  <c r="P1828" i="1"/>
  <c r="P1829" i="1"/>
  <c r="P1830" i="1"/>
  <c r="P1831" i="1"/>
  <c r="P1832" i="1"/>
  <c r="P1833" i="1"/>
  <c r="P1834" i="1"/>
  <c r="P1835" i="1"/>
  <c r="P1836" i="1"/>
  <c r="P1837" i="1"/>
  <c r="P1838" i="1"/>
  <c r="P1839" i="1"/>
  <c r="P1840" i="1"/>
  <c r="P1841" i="1"/>
  <c r="P1842" i="1"/>
  <c r="P1843" i="1"/>
  <c r="P1844" i="1"/>
  <c r="P1845" i="1"/>
  <c r="P1846" i="1"/>
  <c r="P1847" i="1"/>
  <c r="P1848" i="1"/>
  <c r="P1849" i="1"/>
  <c r="P1850" i="1"/>
  <c r="P1851" i="1"/>
  <c r="P1852" i="1"/>
  <c r="P1853" i="1"/>
  <c r="P1854" i="1"/>
  <c r="P1855" i="1"/>
  <c r="P1856" i="1"/>
  <c r="P1857" i="1"/>
  <c r="P1858" i="1"/>
  <c r="P1859" i="1"/>
  <c r="P1860" i="1"/>
  <c r="P1861" i="1"/>
  <c r="P1862" i="1"/>
  <c r="P1863" i="1"/>
  <c r="P1864" i="1"/>
  <c r="P1865" i="1"/>
  <c r="P1866" i="1"/>
  <c r="P1867" i="1"/>
  <c r="P1868" i="1"/>
  <c r="P1869" i="1"/>
  <c r="P1870" i="1"/>
  <c r="P1871" i="1"/>
  <c r="P1872" i="1"/>
  <c r="P1873" i="1"/>
  <c r="P1874" i="1"/>
  <c r="P1875" i="1"/>
  <c r="P1876" i="1"/>
  <c r="P1877" i="1"/>
  <c r="P1878" i="1"/>
  <c r="P1879" i="1"/>
  <c r="P1880" i="1"/>
  <c r="P1881" i="1"/>
  <c r="P1882" i="1"/>
  <c r="P1883" i="1"/>
  <c r="P1884" i="1"/>
  <c r="P1885" i="1"/>
  <c r="P1886" i="1"/>
  <c r="P1887" i="1"/>
  <c r="P1888" i="1"/>
  <c r="P1889" i="1"/>
  <c r="P1890" i="1"/>
  <c r="P1891" i="1"/>
  <c r="P1892" i="1"/>
  <c r="P1893" i="1"/>
  <c r="P1894" i="1"/>
  <c r="P1895" i="1"/>
  <c r="P1896" i="1"/>
  <c r="P1897" i="1"/>
  <c r="P1898" i="1"/>
  <c r="P1899" i="1"/>
  <c r="P1900" i="1"/>
  <c r="P1901" i="1"/>
  <c r="P1902" i="1"/>
  <c r="P1903" i="1"/>
  <c r="P1904" i="1"/>
  <c r="P1905" i="1"/>
  <c r="P1906" i="1"/>
  <c r="P1907" i="1"/>
  <c r="P1908" i="1"/>
  <c r="P1909" i="1"/>
  <c r="P1910" i="1"/>
  <c r="P1911" i="1"/>
  <c r="P1912" i="1"/>
  <c r="P1913" i="1"/>
  <c r="P1914" i="1"/>
  <c r="P1915" i="1"/>
  <c r="P1916" i="1"/>
  <c r="P1917" i="1"/>
  <c r="P1918" i="1"/>
  <c r="P1919" i="1"/>
  <c r="P1920" i="1"/>
  <c r="P1921" i="1"/>
  <c r="P1922" i="1"/>
  <c r="P1923" i="1"/>
  <c r="P1924" i="1"/>
  <c r="P1925" i="1"/>
  <c r="P1926" i="1"/>
  <c r="P1927" i="1"/>
  <c r="P1928" i="1"/>
  <c r="P1929" i="1"/>
  <c r="P1930" i="1"/>
  <c r="P1931" i="1"/>
  <c r="P1932" i="1"/>
  <c r="P1933" i="1"/>
  <c r="P1934" i="1"/>
  <c r="P1935" i="1"/>
  <c r="P1936" i="1"/>
  <c r="P1937" i="1"/>
  <c r="P1938" i="1"/>
  <c r="P1939" i="1"/>
  <c r="P1940" i="1"/>
  <c r="P1941" i="1"/>
  <c r="P1942" i="1"/>
  <c r="P1943" i="1"/>
  <c r="P1944" i="1"/>
  <c r="P1945" i="1"/>
  <c r="P1946" i="1"/>
  <c r="P1947" i="1"/>
  <c r="P1948" i="1"/>
  <c r="P1949" i="1"/>
  <c r="P1950" i="1"/>
  <c r="P1951" i="1"/>
  <c r="P1952" i="1"/>
  <c r="P1953" i="1"/>
  <c r="P1954" i="1"/>
  <c r="P1955" i="1"/>
  <c r="P1956" i="1"/>
  <c r="P1957" i="1"/>
  <c r="P1958" i="1"/>
  <c r="P1959" i="1"/>
  <c r="P1960" i="1"/>
  <c r="P1961" i="1"/>
  <c r="P1962" i="1"/>
  <c r="P1963" i="1"/>
  <c r="P1964" i="1"/>
  <c r="P1965" i="1"/>
  <c r="P1966" i="1"/>
  <c r="P1967" i="1"/>
  <c r="P1968" i="1"/>
  <c r="P1969" i="1"/>
  <c r="P1970" i="1"/>
  <c r="P1971" i="1"/>
  <c r="P1972" i="1"/>
  <c r="P1973" i="1"/>
  <c r="P1974" i="1"/>
  <c r="P1975" i="1"/>
  <c r="P1976" i="1"/>
  <c r="P1977" i="1"/>
  <c r="P1978" i="1"/>
  <c r="P1979" i="1"/>
  <c r="P1980" i="1"/>
  <c r="P1981" i="1"/>
  <c r="P1982" i="1"/>
  <c r="P1983" i="1"/>
  <c r="P1984" i="1"/>
  <c r="P1985" i="1"/>
  <c r="P1986" i="1"/>
  <c r="P1987" i="1"/>
  <c r="P1988" i="1"/>
  <c r="P1989" i="1"/>
  <c r="P1990" i="1"/>
  <c r="P1991" i="1"/>
  <c r="P1992" i="1"/>
  <c r="P1993" i="1"/>
  <c r="P1994" i="1"/>
  <c r="P1995" i="1"/>
  <c r="P1996" i="1"/>
  <c r="P1997" i="1"/>
  <c r="P1998" i="1"/>
  <c r="P1999" i="1"/>
  <c r="P2000" i="1"/>
  <c r="P2001" i="1"/>
  <c r="P2002" i="1"/>
  <c r="P2003" i="1"/>
  <c r="P2004" i="1"/>
  <c r="P2005" i="1"/>
  <c r="P2006" i="1"/>
  <c r="P2007" i="1"/>
  <c r="P2008" i="1"/>
  <c r="P2009" i="1"/>
  <c r="P2010" i="1"/>
  <c r="P2011" i="1"/>
  <c r="P2012" i="1"/>
  <c r="P2013" i="1"/>
  <c r="P2014" i="1"/>
  <c r="P2015" i="1"/>
  <c r="P2016" i="1"/>
  <c r="P2017" i="1"/>
  <c r="P2018" i="1"/>
  <c r="P2019" i="1"/>
  <c r="P2020" i="1"/>
  <c r="P2021" i="1"/>
  <c r="P2022" i="1"/>
  <c r="P2023" i="1"/>
  <c r="P2024" i="1"/>
  <c r="P2025" i="1"/>
  <c r="P2026" i="1"/>
  <c r="P2027" i="1"/>
  <c r="P2028" i="1"/>
  <c r="P2029" i="1"/>
  <c r="P2030" i="1"/>
  <c r="P2031" i="1"/>
  <c r="P2032" i="1"/>
  <c r="P2033" i="1"/>
  <c r="P2034" i="1"/>
  <c r="P2035" i="1"/>
  <c r="P2036" i="1"/>
  <c r="P2037" i="1"/>
  <c r="P2038" i="1"/>
  <c r="P2039" i="1"/>
  <c r="P2040" i="1"/>
  <c r="P2041" i="1"/>
  <c r="P2042" i="1"/>
  <c r="P2043" i="1"/>
  <c r="P2044" i="1"/>
  <c r="P2045" i="1"/>
  <c r="P2046" i="1"/>
  <c r="P2047" i="1"/>
  <c r="P2048" i="1"/>
  <c r="P2049" i="1"/>
  <c r="P2050" i="1"/>
  <c r="P2051" i="1"/>
  <c r="P2052" i="1"/>
  <c r="P2053" i="1"/>
  <c r="P2054" i="1"/>
  <c r="P2055" i="1"/>
  <c r="P2056" i="1"/>
  <c r="P2057" i="1"/>
  <c r="P2058" i="1"/>
  <c r="P2059" i="1"/>
  <c r="P2060" i="1"/>
  <c r="P2061" i="1"/>
  <c r="P2062" i="1"/>
  <c r="P2063" i="1"/>
  <c r="P2064" i="1"/>
  <c r="P2065" i="1"/>
  <c r="P2066" i="1"/>
  <c r="P2067" i="1"/>
  <c r="P2068" i="1"/>
  <c r="P2069" i="1"/>
  <c r="P2070" i="1"/>
  <c r="P2071" i="1"/>
  <c r="P2072" i="1"/>
  <c r="P2073" i="1"/>
  <c r="P2074" i="1"/>
  <c r="P2075" i="1"/>
  <c r="P2076" i="1"/>
  <c r="P2077" i="1"/>
  <c r="P2078" i="1"/>
  <c r="P2079" i="1"/>
  <c r="P2080" i="1"/>
  <c r="P2081" i="1"/>
  <c r="P2082" i="1"/>
  <c r="P2083" i="1"/>
  <c r="P2084" i="1"/>
  <c r="P2085" i="1"/>
  <c r="P2086" i="1"/>
  <c r="P2087" i="1"/>
  <c r="P2088" i="1"/>
  <c r="P2089" i="1"/>
  <c r="P2090" i="1"/>
  <c r="P2091" i="1"/>
  <c r="P2092" i="1"/>
  <c r="P2093" i="1"/>
  <c r="P2094" i="1"/>
  <c r="P2095" i="1"/>
  <c r="P2096" i="1"/>
  <c r="P2097" i="1"/>
  <c r="P2098" i="1"/>
  <c r="P2099" i="1"/>
  <c r="P2100" i="1"/>
  <c r="P2101" i="1"/>
  <c r="P2102" i="1"/>
  <c r="P2103" i="1"/>
  <c r="P2104" i="1"/>
  <c r="P2105" i="1"/>
  <c r="P2106" i="1"/>
  <c r="P2107" i="1"/>
  <c r="P2108" i="1"/>
  <c r="P2109" i="1"/>
  <c r="P2110" i="1"/>
  <c r="P2111" i="1"/>
  <c r="P2112" i="1"/>
  <c r="P2113" i="1"/>
  <c r="P2114" i="1"/>
  <c r="P2115" i="1"/>
  <c r="P2116" i="1"/>
  <c r="P2117" i="1"/>
  <c r="P2118" i="1"/>
  <c r="P2119" i="1"/>
  <c r="P2120" i="1"/>
  <c r="P2121" i="1"/>
  <c r="P2122" i="1"/>
  <c r="P2123" i="1"/>
  <c r="P2124" i="1"/>
  <c r="P2125" i="1"/>
  <c r="P2126" i="1"/>
  <c r="P2127" i="1"/>
  <c r="P2128" i="1"/>
  <c r="P2129" i="1"/>
  <c r="P2130" i="1"/>
  <c r="P2131" i="1"/>
  <c r="P2132" i="1"/>
  <c r="P2133" i="1"/>
  <c r="P2134" i="1"/>
  <c r="P2135" i="1"/>
  <c r="P2136" i="1"/>
  <c r="P2137" i="1"/>
  <c r="P2138" i="1"/>
  <c r="P2139" i="1"/>
  <c r="P2140" i="1"/>
  <c r="P2141" i="1"/>
  <c r="P2142" i="1"/>
  <c r="P2143" i="1"/>
  <c r="P2144" i="1"/>
  <c r="P2145" i="1"/>
  <c r="P2146" i="1"/>
  <c r="P2147" i="1"/>
  <c r="P2148" i="1"/>
  <c r="P2149" i="1"/>
  <c r="P2150" i="1"/>
  <c r="P2151" i="1"/>
  <c r="P2152" i="1"/>
  <c r="P2153" i="1"/>
  <c r="P2154" i="1"/>
  <c r="P2155" i="1"/>
  <c r="P2156" i="1"/>
  <c r="P2157" i="1"/>
  <c r="P2158" i="1"/>
  <c r="P2159" i="1"/>
  <c r="P2160" i="1"/>
  <c r="P2161" i="1"/>
  <c r="P2162" i="1"/>
  <c r="P2163" i="1"/>
  <c r="P2164" i="1"/>
  <c r="P2165" i="1"/>
  <c r="P2166" i="1"/>
  <c r="P2167" i="1"/>
  <c r="P2168" i="1"/>
  <c r="P2169" i="1"/>
  <c r="P2170" i="1"/>
  <c r="P2171" i="1"/>
  <c r="P2172" i="1"/>
  <c r="P2173" i="1"/>
  <c r="P2174" i="1"/>
  <c r="P2175" i="1"/>
  <c r="P2176" i="1"/>
  <c r="P2177" i="1"/>
  <c r="P2178" i="1"/>
  <c r="P2179" i="1"/>
  <c r="P2180" i="1"/>
  <c r="P2181" i="1"/>
  <c r="P2182" i="1"/>
  <c r="P2183" i="1"/>
  <c r="P2184" i="1"/>
  <c r="P2185" i="1"/>
  <c r="P2186" i="1"/>
  <c r="P2187" i="1"/>
  <c r="P2188" i="1"/>
  <c r="P2189" i="1"/>
  <c r="P2190" i="1"/>
  <c r="P2191" i="1"/>
  <c r="P2192" i="1"/>
  <c r="P2193" i="1"/>
  <c r="P2194" i="1"/>
  <c r="P2195" i="1"/>
  <c r="P2196" i="1"/>
  <c r="P2197" i="1"/>
  <c r="P2198" i="1"/>
  <c r="P2199" i="1"/>
  <c r="P2200" i="1"/>
  <c r="P2201" i="1"/>
  <c r="P2202" i="1"/>
  <c r="P2203" i="1"/>
  <c r="P2204" i="1"/>
  <c r="P2205" i="1"/>
  <c r="P2206" i="1"/>
  <c r="P2207" i="1"/>
  <c r="P2208" i="1"/>
  <c r="P2209" i="1"/>
  <c r="P2210" i="1"/>
  <c r="P2211" i="1"/>
  <c r="P2212" i="1"/>
  <c r="P2213" i="1"/>
  <c r="P2214" i="1"/>
  <c r="P2215" i="1"/>
  <c r="P2216" i="1"/>
  <c r="P2217" i="1"/>
  <c r="P2218" i="1"/>
  <c r="P2219" i="1"/>
  <c r="P2220" i="1"/>
  <c r="P2221" i="1"/>
  <c r="P2222" i="1"/>
  <c r="P2223" i="1"/>
  <c r="P2224" i="1"/>
  <c r="P2225" i="1"/>
  <c r="P2226" i="1"/>
  <c r="P2227" i="1"/>
  <c r="P2228" i="1"/>
  <c r="P2229" i="1"/>
  <c r="P2230" i="1"/>
  <c r="P2231" i="1"/>
  <c r="P2232" i="1"/>
  <c r="P2233" i="1"/>
  <c r="P2234" i="1"/>
  <c r="P2235" i="1"/>
  <c r="P2236" i="1"/>
  <c r="P2237" i="1"/>
  <c r="P2238" i="1"/>
  <c r="P2239" i="1"/>
  <c r="P2240" i="1"/>
  <c r="P2241" i="1"/>
  <c r="P2242" i="1"/>
  <c r="P2243" i="1"/>
  <c r="P2244" i="1"/>
  <c r="P2245" i="1"/>
  <c r="P2246" i="1"/>
  <c r="P2247" i="1"/>
  <c r="P2248" i="1"/>
  <c r="P2249" i="1"/>
  <c r="P2250" i="1"/>
  <c r="P2251" i="1"/>
  <c r="P2252" i="1"/>
  <c r="P2253" i="1"/>
  <c r="P2254" i="1"/>
  <c r="P2255" i="1"/>
  <c r="P2256" i="1"/>
  <c r="P2257" i="1"/>
  <c r="P2258" i="1"/>
  <c r="P2259" i="1"/>
  <c r="P2260" i="1"/>
  <c r="P2261" i="1"/>
  <c r="P2262" i="1"/>
  <c r="P2263" i="1"/>
  <c r="P2264" i="1"/>
  <c r="P2265" i="1"/>
  <c r="P2266" i="1"/>
  <c r="P2267" i="1"/>
  <c r="P2268" i="1"/>
  <c r="P2269" i="1"/>
  <c r="P2270" i="1"/>
  <c r="P2271" i="1"/>
  <c r="P2272" i="1"/>
  <c r="P2273" i="1"/>
  <c r="P2274" i="1"/>
  <c r="P2275" i="1"/>
  <c r="P2276" i="1"/>
  <c r="P2277" i="1"/>
  <c r="P2278" i="1"/>
  <c r="P2279" i="1"/>
  <c r="P2280" i="1"/>
  <c r="P2281" i="1"/>
  <c r="P2282" i="1"/>
  <c r="P2283" i="1"/>
  <c r="P2284" i="1"/>
  <c r="P2285" i="1"/>
  <c r="P2286" i="1"/>
  <c r="P2287" i="1"/>
  <c r="P2288" i="1"/>
  <c r="P2289" i="1"/>
  <c r="P2290" i="1"/>
  <c r="P2291" i="1"/>
  <c r="P2292" i="1"/>
  <c r="P2293" i="1"/>
  <c r="P2294" i="1"/>
  <c r="P2295" i="1"/>
  <c r="P2296" i="1"/>
  <c r="P2297" i="1"/>
  <c r="P2298" i="1"/>
  <c r="P2299" i="1"/>
  <c r="P2300" i="1"/>
  <c r="P2301" i="1"/>
  <c r="P2302" i="1"/>
  <c r="P2303" i="1"/>
  <c r="P2304" i="1"/>
  <c r="P2305" i="1"/>
  <c r="P2306" i="1"/>
  <c r="P2307" i="1"/>
  <c r="P2308" i="1"/>
  <c r="P2309" i="1"/>
  <c r="P2310" i="1"/>
  <c r="P2311" i="1"/>
  <c r="P2312" i="1"/>
  <c r="P2313" i="1"/>
  <c r="P2314" i="1"/>
  <c r="P2315" i="1"/>
  <c r="P2316" i="1"/>
  <c r="P2317" i="1"/>
  <c r="P2318" i="1"/>
  <c r="P2319" i="1"/>
  <c r="P2320" i="1"/>
  <c r="P2321" i="1"/>
  <c r="P2322" i="1"/>
  <c r="P2323" i="1"/>
  <c r="P2324" i="1"/>
  <c r="P2325" i="1"/>
  <c r="P2326" i="1"/>
  <c r="P2327" i="1"/>
  <c r="P2328" i="1"/>
  <c r="P2329" i="1"/>
  <c r="P2330" i="1"/>
  <c r="P2331" i="1"/>
  <c r="P2332" i="1"/>
  <c r="P2333" i="1"/>
  <c r="P2334" i="1"/>
  <c r="P2335" i="1"/>
  <c r="P2336" i="1"/>
  <c r="P2337" i="1"/>
  <c r="P2338" i="1"/>
  <c r="P2339" i="1"/>
  <c r="P2340" i="1"/>
  <c r="P2341" i="1"/>
  <c r="P2342" i="1"/>
  <c r="P2343" i="1"/>
  <c r="P2344" i="1"/>
  <c r="P2345" i="1"/>
  <c r="P2346" i="1"/>
  <c r="P2347" i="1"/>
  <c r="P2348" i="1"/>
  <c r="P2349" i="1"/>
  <c r="P2350" i="1"/>
  <c r="P2351" i="1"/>
  <c r="P2352" i="1"/>
  <c r="P2353" i="1"/>
  <c r="P2354" i="1"/>
  <c r="P2355" i="1"/>
  <c r="P2356" i="1"/>
  <c r="P2357" i="1"/>
  <c r="P2358" i="1"/>
  <c r="P2359" i="1"/>
  <c r="P2360" i="1"/>
  <c r="P2361" i="1"/>
  <c r="P2362" i="1"/>
  <c r="P2363" i="1"/>
  <c r="P2364" i="1"/>
  <c r="P2365" i="1"/>
  <c r="P2366" i="1"/>
  <c r="P2367" i="1"/>
  <c r="P2368" i="1"/>
  <c r="P2369" i="1"/>
  <c r="P2370" i="1"/>
  <c r="P2371" i="1"/>
  <c r="P2372" i="1"/>
  <c r="P2373" i="1"/>
  <c r="P2374" i="1"/>
  <c r="P2375" i="1"/>
  <c r="P2376" i="1"/>
  <c r="P2377" i="1"/>
  <c r="P2378" i="1"/>
  <c r="P2379" i="1"/>
  <c r="P2380" i="1"/>
  <c r="P2381" i="1"/>
  <c r="P2382" i="1"/>
  <c r="P2383" i="1"/>
  <c r="P2384" i="1"/>
  <c r="P2385" i="1"/>
  <c r="P2386" i="1"/>
  <c r="P2387" i="1"/>
  <c r="P2388" i="1"/>
  <c r="P2389" i="1"/>
  <c r="P2390" i="1"/>
  <c r="P2391" i="1"/>
  <c r="P2392" i="1"/>
  <c r="P2393" i="1"/>
  <c r="P2394" i="1"/>
  <c r="P2395" i="1"/>
  <c r="P2396" i="1"/>
  <c r="P2397" i="1"/>
  <c r="P2398" i="1"/>
  <c r="P2399" i="1"/>
  <c r="P2400" i="1"/>
  <c r="P2401" i="1"/>
  <c r="P2402" i="1"/>
  <c r="P2403" i="1"/>
  <c r="P2404" i="1"/>
  <c r="P2405" i="1"/>
  <c r="P2406" i="1"/>
  <c r="P2407" i="1"/>
  <c r="P2408" i="1"/>
  <c r="P2409" i="1"/>
  <c r="P2410" i="1"/>
  <c r="P2411" i="1"/>
  <c r="P2412" i="1"/>
  <c r="P2413" i="1"/>
  <c r="P2414" i="1"/>
  <c r="P2415" i="1"/>
  <c r="P2416" i="1"/>
  <c r="P2417" i="1"/>
  <c r="P2418" i="1"/>
  <c r="P2419" i="1"/>
  <c r="P2420" i="1"/>
  <c r="P2421" i="1"/>
  <c r="P2422" i="1"/>
  <c r="P2423" i="1"/>
  <c r="P2424" i="1"/>
  <c r="P2425" i="1"/>
  <c r="P2426" i="1"/>
  <c r="P2427" i="1"/>
  <c r="P2428" i="1"/>
  <c r="P2429" i="1"/>
  <c r="P2430" i="1"/>
  <c r="P2431" i="1"/>
  <c r="P2432" i="1"/>
  <c r="P2433" i="1"/>
  <c r="P2434" i="1"/>
  <c r="P2435" i="1"/>
  <c r="P2436" i="1"/>
  <c r="P2437" i="1"/>
  <c r="P2438" i="1"/>
  <c r="P2439" i="1"/>
  <c r="P2440" i="1"/>
  <c r="P2441" i="1"/>
  <c r="P2442" i="1"/>
  <c r="P2443" i="1"/>
  <c r="P2444" i="1"/>
  <c r="P2445" i="1"/>
  <c r="P2446" i="1"/>
  <c r="P2447" i="1"/>
  <c r="P2448" i="1"/>
  <c r="P2449" i="1"/>
  <c r="P2450" i="1"/>
  <c r="P2451" i="1"/>
  <c r="P2452" i="1"/>
  <c r="P2453" i="1"/>
  <c r="P2454" i="1"/>
  <c r="P2455" i="1"/>
  <c r="P2456" i="1"/>
  <c r="P2457" i="1"/>
  <c r="P2458" i="1"/>
  <c r="P2459" i="1"/>
  <c r="P2460" i="1"/>
  <c r="P2461" i="1"/>
  <c r="P2462" i="1"/>
  <c r="P2463" i="1"/>
  <c r="P2464" i="1"/>
  <c r="P2465" i="1"/>
  <c r="P2466" i="1"/>
  <c r="P2467" i="1"/>
  <c r="P2468" i="1"/>
  <c r="P2469" i="1"/>
  <c r="P2470" i="1"/>
  <c r="P2471" i="1"/>
  <c r="P2472" i="1"/>
  <c r="P2473" i="1"/>
  <c r="P2474" i="1"/>
  <c r="P2475" i="1"/>
  <c r="P2476" i="1"/>
  <c r="P2477" i="1"/>
  <c r="P2478" i="1"/>
  <c r="P2479" i="1"/>
  <c r="P2480" i="1"/>
  <c r="P2481" i="1"/>
  <c r="P2482" i="1"/>
  <c r="P2483" i="1"/>
  <c r="P2484" i="1"/>
  <c r="P2485" i="1"/>
  <c r="P2486" i="1"/>
  <c r="P2487" i="1"/>
  <c r="P2488" i="1"/>
  <c r="P2489" i="1"/>
  <c r="P2490" i="1"/>
  <c r="P2491" i="1"/>
  <c r="P2492" i="1"/>
  <c r="P2493" i="1"/>
  <c r="P2494" i="1"/>
  <c r="P2495" i="1"/>
  <c r="P2496" i="1"/>
  <c r="P2497" i="1"/>
  <c r="P2498" i="1"/>
  <c r="P2499" i="1"/>
  <c r="P2500" i="1"/>
  <c r="P2501" i="1"/>
  <c r="P2502" i="1"/>
  <c r="P2503" i="1"/>
  <c r="P2504" i="1"/>
  <c r="P2505" i="1"/>
  <c r="P2506" i="1"/>
  <c r="P2507" i="1"/>
  <c r="P2508" i="1"/>
  <c r="P2509" i="1"/>
  <c r="P2510" i="1"/>
  <c r="P2511" i="1"/>
  <c r="P2512" i="1"/>
  <c r="P2513" i="1"/>
  <c r="P2514" i="1"/>
  <c r="P2515" i="1"/>
  <c r="P2516" i="1"/>
  <c r="P2517" i="1"/>
  <c r="P2518" i="1"/>
  <c r="P2519" i="1"/>
  <c r="P2520" i="1"/>
  <c r="P2521" i="1"/>
  <c r="P2522" i="1"/>
  <c r="P2523" i="1"/>
  <c r="P2524" i="1"/>
  <c r="P2525" i="1"/>
  <c r="P2526" i="1"/>
  <c r="P2527" i="1"/>
  <c r="P2528" i="1"/>
  <c r="P2529" i="1"/>
  <c r="P2530" i="1"/>
  <c r="P2531" i="1"/>
  <c r="P2532" i="1"/>
  <c r="P2533" i="1"/>
  <c r="P2534" i="1"/>
  <c r="P2535" i="1"/>
  <c r="P2536" i="1"/>
  <c r="P2537" i="1"/>
  <c r="P2538" i="1"/>
  <c r="P2539" i="1"/>
  <c r="P2540" i="1"/>
  <c r="P2541" i="1"/>
  <c r="P2542" i="1"/>
  <c r="P2543" i="1"/>
  <c r="P2544" i="1"/>
  <c r="P2545" i="1"/>
  <c r="P2546" i="1"/>
  <c r="P2547" i="1"/>
  <c r="P2548" i="1"/>
  <c r="P2549" i="1"/>
  <c r="P2550" i="1"/>
  <c r="P2551" i="1"/>
  <c r="P2552" i="1"/>
  <c r="P2553" i="1"/>
  <c r="P2554" i="1"/>
  <c r="P2555" i="1"/>
  <c r="P2556" i="1"/>
  <c r="P2557" i="1"/>
  <c r="P2558" i="1"/>
  <c r="P2559" i="1"/>
  <c r="P2560" i="1"/>
  <c r="P2561" i="1"/>
  <c r="P2562" i="1"/>
  <c r="P2563" i="1"/>
  <c r="P2564" i="1"/>
  <c r="P2565" i="1"/>
  <c r="P2566" i="1"/>
  <c r="P2567" i="1"/>
  <c r="P2568" i="1"/>
  <c r="P2569" i="1"/>
  <c r="P2570" i="1"/>
  <c r="P2571" i="1"/>
  <c r="P2572" i="1"/>
  <c r="P2573" i="1"/>
  <c r="P2574" i="1"/>
  <c r="P2575" i="1"/>
  <c r="P2576" i="1"/>
  <c r="P2577" i="1"/>
  <c r="P2578" i="1"/>
  <c r="P2579" i="1"/>
  <c r="P2580" i="1"/>
  <c r="P2581" i="1"/>
  <c r="P2582" i="1"/>
  <c r="P2583" i="1"/>
  <c r="P2584" i="1"/>
  <c r="P2585" i="1"/>
  <c r="P2586" i="1"/>
  <c r="P2587" i="1"/>
  <c r="P2588" i="1"/>
  <c r="P2589" i="1"/>
  <c r="P2590" i="1"/>
  <c r="P2591" i="1"/>
  <c r="P2592" i="1"/>
  <c r="P2593" i="1"/>
  <c r="P2594" i="1"/>
  <c r="P2595" i="1"/>
  <c r="P2596" i="1"/>
  <c r="P2597" i="1"/>
  <c r="P2598" i="1"/>
  <c r="P2599" i="1"/>
  <c r="P2600" i="1"/>
  <c r="P2601" i="1"/>
  <c r="P2602" i="1"/>
  <c r="P2603" i="1"/>
  <c r="P2604" i="1"/>
  <c r="P2605" i="1"/>
  <c r="P2606" i="1"/>
  <c r="P2607" i="1"/>
  <c r="P2608" i="1"/>
  <c r="P2609" i="1"/>
  <c r="P2610" i="1"/>
  <c r="P2611" i="1"/>
  <c r="P2612" i="1"/>
  <c r="P2613" i="1"/>
  <c r="P2614" i="1"/>
  <c r="P2615" i="1"/>
  <c r="P2616" i="1"/>
  <c r="P2617" i="1"/>
  <c r="P2618" i="1"/>
  <c r="P2619" i="1"/>
  <c r="P2620" i="1"/>
  <c r="P2621" i="1"/>
  <c r="P2622" i="1"/>
  <c r="P2623" i="1"/>
  <c r="P2624" i="1"/>
  <c r="P2625" i="1"/>
  <c r="P2626" i="1"/>
  <c r="P2627" i="1"/>
  <c r="P2628" i="1"/>
  <c r="P2629" i="1"/>
  <c r="P2630" i="1"/>
  <c r="P2631" i="1"/>
  <c r="P2632" i="1"/>
  <c r="P2633" i="1"/>
  <c r="P2634" i="1"/>
  <c r="P2635" i="1"/>
  <c r="P2636" i="1"/>
  <c r="P2637" i="1"/>
  <c r="P2638" i="1"/>
  <c r="P2639" i="1"/>
  <c r="P2640" i="1"/>
  <c r="P2641" i="1"/>
  <c r="P2642" i="1"/>
  <c r="P2643" i="1"/>
  <c r="P2644" i="1"/>
  <c r="P2645" i="1"/>
  <c r="P2646" i="1"/>
  <c r="P2647" i="1"/>
  <c r="P2648" i="1"/>
  <c r="P2649" i="1"/>
  <c r="P2650" i="1"/>
  <c r="P2651" i="1"/>
  <c r="P2652" i="1"/>
  <c r="P2653" i="1"/>
  <c r="P2654" i="1"/>
  <c r="P2655" i="1"/>
  <c r="P2656" i="1"/>
  <c r="P2657" i="1"/>
  <c r="P2658" i="1"/>
  <c r="P2659" i="1"/>
  <c r="P2660" i="1"/>
  <c r="P2661" i="1"/>
  <c r="P2662" i="1"/>
  <c r="P2663" i="1"/>
  <c r="P2664" i="1"/>
  <c r="P2665" i="1"/>
  <c r="P2666" i="1"/>
  <c r="P2667" i="1"/>
  <c r="P2668" i="1"/>
  <c r="P2669" i="1"/>
  <c r="P2670" i="1"/>
  <c r="P2671" i="1"/>
  <c r="P2672" i="1"/>
  <c r="P2673" i="1"/>
  <c r="P2674" i="1"/>
  <c r="P2675" i="1"/>
  <c r="P2676" i="1"/>
  <c r="P2677" i="1"/>
  <c r="P2678" i="1"/>
  <c r="P2679" i="1"/>
  <c r="P2680" i="1"/>
  <c r="P2681" i="1"/>
  <c r="P2682" i="1"/>
  <c r="P2683" i="1"/>
  <c r="P2684" i="1"/>
  <c r="P2685" i="1"/>
  <c r="P2686" i="1"/>
  <c r="P2687" i="1"/>
  <c r="P2688" i="1"/>
  <c r="P2689" i="1"/>
  <c r="P2690" i="1"/>
  <c r="P2691" i="1"/>
  <c r="P2692" i="1"/>
  <c r="P2693" i="1"/>
  <c r="P2694" i="1"/>
  <c r="P2695" i="1"/>
  <c r="P2696" i="1"/>
  <c r="P2697" i="1"/>
  <c r="P2698" i="1"/>
  <c r="P2699" i="1"/>
  <c r="P2700" i="1"/>
  <c r="P2701" i="1"/>
  <c r="P2702" i="1"/>
  <c r="P2703" i="1"/>
  <c r="P2704" i="1"/>
  <c r="P2705" i="1"/>
  <c r="P2706" i="1"/>
  <c r="P2707" i="1"/>
  <c r="P2708" i="1"/>
  <c r="P2709" i="1"/>
  <c r="P2710" i="1"/>
  <c r="P2711" i="1"/>
  <c r="P2712" i="1"/>
  <c r="P2713" i="1"/>
  <c r="P2714" i="1"/>
  <c r="P2715" i="1"/>
  <c r="P2716" i="1"/>
  <c r="P2717" i="1"/>
  <c r="P2718" i="1"/>
  <c r="P2719" i="1"/>
  <c r="P2720" i="1"/>
  <c r="P2721" i="1"/>
  <c r="P2722" i="1"/>
  <c r="P2723" i="1"/>
  <c r="P2724" i="1"/>
  <c r="P2725" i="1"/>
  <c r="P2726" i="1"/>
  <c r="P2727" i="1"/>
  <c r="P2728" i="1"/>
  <c r="P2729" i="1"/>
  <c r="P2730" i="1"/>
  <c r="P2731" i="1"/>
  <c r="P2732" i="1"/>
  <c r="P2733" i="1"/>
  <c r="P2734" i="1"/>
  <c r="P2735" i="1"/>
  <c r="P2736" i="1"/>
  <c r="P2737" i="1"/>
  <c r="P2738" i="1"/>
  <c r="P2739" i="1"/>
  <c r="P2740" i="1"/>
  <c r="P2741" i="1"/>
  <c r="P2742" i="1"/>
  <c r="P2743" i="1"/>
  <c r="P2744" i="1"/>
  <c r="P2745" i="1"/>
  <c r="P2746" i="1"/>
  <c r="P2747" i="1"/>
  <c r="P2748" i="1"/>
  <c r="P2749" i="1"/>
  <c r="P2750" i="1"/>
  <c r="P2751" i="1"/>
  <c r="P2752" i="1"/>
  <c r="P2753" i="1"/>
  <c r="P2754" i="1"/>
  <c r="P2755" i="1"/>
  <c r="P2756" i="1"/>
  <c r="P2757" i="1"/>
  <c r="P2758" i="1"/>
  <c r="P2759" i="1"/>
  <c r="P2760" i="1"/>
  <c r="P2761" i="1"/>
  <c r="P2762" i="1"/>
  <c r="P2763" i="1"/>
  <c r="P2764" i="1"/>
  <c r="P2765" i="1"/>
  <c r="P2766" i="1"/>
  <c r="P2767" i="1"/>
  <c r="P2768" i="1"/>
  <c r="P2769" i="1"/>
  <c r="P2770" i="1"/>
  <c r="P2771" i="1"/>
  <c r="P2772" i="1"/>
  <c r="P2773" i="1"/>
  <c r="P2774" i="1"/>
  <c r="P2775" i="1"/>
  <c r="P2776" i="1"/>
  <c r="P2777" i="1"/>
  <c r="P2778" i="1"/>
  <c r="P2779" i="1"/>
  <c r="P2780" i="1"/>
  <c r="P2781" i="1"/>
  <c r="P2782" i="1"/>
  <c r="P2783" i="1"/>
  <c r="P2784" i="1"/>
  <c r="P2785" i="1"/>
  <c r="P2786" i="1"/>
  <c r="P2787" i="1"/>
  <c r="P2788" i="1"/>
  <c r="P2789" i="1"/>
  <c r="P2790" i="1"/>
  <c r="P2791" i="1"/>
  <c r="P2792" i="1"/>
  <c r="P2793" i="1"/>
  <c r="P2794" i="1"/>
  <c r="P2795" i="1"/>
  <c r="P2796" i="1"/>
  <c r="P2797" i="1"/>
  <c r="P2798" i="1"/>
  <c r="P2799" i="1"/>
  <c r="P2800" i="1"/>
  <c r="P2801" i="1"/>
  <c r="P2802" i="1"/>
  <c r="P2803" i="1"/>
  <c r="P2804" i="1"/>
  <c r="P2805" i="1"/>
  <c r="P2806" i="1"/>
  <c r="P2807" i="1"/>
  <c r="P2808" i="1"/>
  <c r="P2809" i="1"/>
  <c r="P2810" i="1"/>
  <c r="P2811" i="1"/>
  <c r="P2812" i="1"/>
  <c r="P2813" i="1"/>
  <c r="P2814" i="1"/>
  <c r="P2815" i="1"/>
  <c r="P2816" i="1"/>
  <c r="P2817" i="1"/>
  <c r="P2818" i="1"/>
  <c r="P2819" i="1"/>
  <c r="P2820" i="1"/>
  <c r="P2821" i="1"/>
  <c r="P2822" i="1"/>
  <c r="P2823" i="1"/>
  <c r="P2824" i="1"/>
  <c r="P2825" i="1"/>
  <c r="P2826" i="1"/>
  <c r="P2827" i="1"/>
  <c r="P2828" i="1"/>
  <c r="P2829" i="1"/>
  <c r="P2830" i="1"/>
  <c r="P2831" i="1"/>
  <c r="P2832" i="1"/>
  <c r="P2833" i="1"/>
  <c r="P2834" i="1"/>
  <c r="P2835" i="1"/>
  <c r="P2836" i="1"/>
  <c r="P2837" i="1"/>
  <c r="P2838" i="1"/>
  <c r="P2839" i="1"/>
  <c r="P2840" i="1"/>
  <c r="P2841" i="1"/>
  <c r="P2842" i="1"/>
  <c r="P2843" i="1"/>
  <c r="P2844" i="1"/>
  <c r="P2845" i="1"/>
  <c r="P2846" i="1"/>
  <c r="P2847" i="1"/>
  <c r="P2848" i="1"/>
  <c r="P2849" i="1"/>
  <c r="P2850" i="1"/>
  <c r="P2851" i="1"/>
  <c r="P2852" i="1"/>
  <c r="P2853" i="1"/>
  <c r="P2854" i="1"/>
  <c r="P2855" i="1"/>
  <c r="P2856" i="1"/>
  <c r="P2857" i="1"/>
  <c r="P2858" i="1"/>
  <c r="P2859" i="1"/>
  <c r="P2860" i="1"/>
  <c r="P2861" i="1"/>
  <c r="P2862" i="1"/>
  <c r="P2863" i="1"/>
  <c r="P2864" i="1"/>
  <c r="P2865" i="1"/>
  <c r="P2866" i="1"/>
  <c r="P2867" i="1"/>
  <c r="P2868" i="1"/>
  <c r="P2869" i="1"/>
  <c r="P2870" i="1"/>
  <c r="P2871" i="1"/>
  <c r="P2872" i="1"/>
  <c r="P2873" i="1"/>
  <c r="P2874" i="1"/>
  <c r="P2875" i="1"/>
  <c r="P2876" i="1"/>
  <c r="P2877" i="1"/>
  <c r="P2878" i="1"/>
  <c r="P2879" i="1"/>
  <c r="P2880" i="1"/>
  <c r="P2881" i="1"/>
  <c r="P2882" i="1"/>
  <c r="P2883" i="1"/>
  <c r="P2884" i="1"/>
  <c r="P2885" i="1"/>
  <c r="P2886" i="1"/>
  <c r="P2887" i="1"/>
  <c r="P2888" i="1"/>
  <c r="P2889" i="1"/>
  <c r="P2890" i="1"/>
  <c r="P2891" i="1"/>
  <c r="P2892" i="1"/>
  <c r="P2893" i="1"/>
  <c r="P2894" i="1"/>
  <c r="P2895" i="1"/>
  <c r="P2896" i="1"/>
  <c r="P2897" i="1"/>
  <c r="P2898" i="1"/>
  <c r="P2899" i="1"/>
  <c r="P2900" i="1"/>
  <c r="P2901" i="1"/>
  <c r="P2902" i="1"/>
  <c r="P2903" i="1"/>
  <c r="P2904" i="1"/>
  <c r="P2905" i="1"/>
  <c r="P2906" i="1"/>
  <c r="P2907" i="1"/>
  <c r="P2908" i="1"/>
  <c r="P2909" i="1"/>
  <c r="P2910" i="1"/>
  <c r="P2911" i="1"/>
  <c r="P2912" i="1"/>
  <c r="P2913" i="1"/>
  <c r="P2914" i="1"/>
  <c r="P2915" i="1"/>
  <c r="P2916" i="1"/>
  <c r="P2917" i="1"/>
  <c r="P2918" i="1"/>
  <c r="P2919" i="1"/>
  <c r="P2920" i="1"/>
  <c r="P2921" i="1"/>
  <c r="P2922" i="1"/>
  <c r="P2923" i="1"/>
  <c r="P2924" i="1"/>
  <c r="P2925" i="1"/>
  <c r="P2926" i="1"/>
  <c r="P2927" i="1"/>
  <c r="P2928" i="1"/>
  <c r="P2929" i="1"/>
  <c r="P2930" i="1"/>
  <c r="P2931" i="1"/>
  <c r="P2932" i="1"/>
  <c r="P2933" i="1"/>
  <c r="P2934" i="1"/>
  <c r="P2935" i="1"/>
  <c r="P2936" i="1"/>
  <c r="P2937" i="1"/>
  <c r="P2938" i="1"/>
  <c r="P2939" i="1"/>
  <c r="P2940" i="1"/>
  <c r="P2941" i="1"/>
  <c r="P2942" i="1"/>
  <c r="P2943" i="1"/>
  <c r="P2944" i="1"/>
  <c r="P2945" i="1"/>
  <c r="P2946" i="1"/>
  <c r="P2947" i="1"/>
  <c r="P2948" i="1"/>
  <c r="P2949" i="1"/>
  <c r="P2950" i="1"/>
  <c r="P2951" i="1"/>
  <c r="P2952" i="1"/>
  <c r="P2953" i="1"/>
  <c r="P2954" i="1"/>
  <c r="P2955" i="1"/>
  <c r="P2956" i="1"/>
  <c r="P2957" i="1"/>
  <c r="P2958" i="1"/>
  <c r="P2959" i="1"/>
  <c r="P2960" i="1"/>
  <c r="P2961" i="1"/>
  <c r="P2962" i="1"/>
  <c r="P2963" i="1"/>
  <c r="P2964" i="1"/>
  <c r="P2965" i="1"/>
  <c r="P2966" i="1"/>
  <c r="P2967" i="1"/>
  <c r="P2968" i="1"/>
  <c r="P2969" i="1"/>
  <c r="P2970" i="1"/>
  <c r="P2971" i="1"/>
  <c r="P2972" i="1"/>
  <c r="P2973" i="1"/>
  <c r="P2974" i="1"/>
  <c r="P2975" i="1"/>
  <c r="P2976" i="1"/>
  <c r="P2977" i="1"/>
  <c r="P2978" i="1"/>
  <c r="P2979" i="1"/>
  <c r="P2980" i="1"/>
  <c r="P2981" i="1"/>
  <c r="P2982" i="1"/>
  <c r="P2983" i="1"/>
  <c r="P2984" i="1"/>
  <c r="P2985" i="1"/>
  <c r="P2986" i="1"/>
  <c r="P2987" i="1"/>
  <c r="P2988" i="1"/>
  <c r="P2989" i="1"/>
  <c r="P2990" i="1"/>
  <c r="P2991" i="1"/>
  <c r="P2992" i="1"/>
  <c r="P2993" i="1"/>
  <c r="P2994" i="1"/>
  <c r="P2995" i="1"/>
  <c r="P2996" i="1"/>
  <c r="P2997" i="1"/>
  <c r="P2998" i="1"/>
  <c r="P2999" i="1"/>
  <c r="P3000" i="1"/>
  <c r="P3001" i="1"/>
  <c r="P3002" i="1"/>
  <c r="P3003" i="1"/>
  <c r="P3004" i="1"/>
  <c r="P3005" i="1"/>
  <c r="P3006" i="1"/>
  <c r="P3007" i="1"/>
  <c r="P3008" i="1"/>
  <c r="P3009" i="1"/>
  <c r="P3010" i="1"/>
  <c r="P3011" i="1"/>
  <c r="P3012" i="1"/>
  <c r="P3013" i="1"/>
  <c r="P3014" i="1"/>
  <c r="P3015" i="1"/>
  <c r="P3016" i="1"/>
  <c r="P3017" i="1"/>
  <c r="P3018" i="1"/>
  <c r="P3019" i="1"/>
  <c r="P3020" i="1"/>
  <c r="P3021" i="1"/>
  <c r="P3022" i="1"/>
  <c r="P3023" i="1"/>
  <c r="P3024" i="1"/>
  <c r="P3025" i="1"/>
  <c r="P3026" i="1"/>
  <c r="P3027" i="1"/>
  <c r="P3028" i="1"/>
  <c r="P3029" i="1"/>
  <c r="P3030" i="1"/>
  <c r="P3031" i="1"/>
  <c r="P3032" i="1"/>
  <c r="P3033" i="1"/>
  <c r="P3034" i="1"/>
  <c r="P3035" i="1"/>
  <c r="P3036" i="1"/>
  <c r="P3037" i="1"/>
  <c r="P3038" i="1"/>
  <c r="P3039" i="1"/>
  <c r="P3040" i="1"/>
  <c r="P3041" i="1"/>
  <c r="P3042" i="1"/>
  <c r="P3043" i="1"/>
  <c r="P3044" i="1"/>
  <c r="P3045" i="1"/>
  <c r="P3046" i="1"/>
  <c r="P3047" i="1"/>
  <c r="P3048" i="1"/>
  <c r="P3049" i="1"/>
  <c r="P3050" i="1"/>
  <c r="P3051" i="1"/>
  <c r="P3052" i="1"/>
  <c r="P3053" i="1"/>
  <c r="P3054" i="1"/>
  <c r="P3055" i="1"/>
  <c r="P3056" i="1"/>
  <c r="P3057" i="1"/>
  <c r="P3058" i="1"/>
  <c r="P3059" i="1"/>
  <c r="P3060" i="1"/>
  <c r="P3061" i="1"/>
  <c r="P3062" i="1"/>
  <c r="P3063" i="1"/>
  <c r="P3064" i="1"/>
  <c r="P3065" i="1"/>
  <c r="P3066" i="1"/>
  <c r="P3067" i="1"/>
  <c r="P3068" i="1"/>
  <c r="P3069" i="1"/>
  <c r="P3070" i="1"/>
  <c r="P3071" i="1"/>
  <c r="P3072" i="1"/>
  <c r="P3073" i="1"/>
  <c r="P3074" i="1"/>
  <c r="P3075" i="1"/>
  <c r="P3076" i="1"/>
  <c r="P3077" i="1"/>
  <c r="P3078" i="1"/>
  <c r="P3079" i="1"/>
  <c r="P3080" i="1"/>
  <c r="P3081" i="1"/>
  <c r="P3082" i="1"/>
  <c r="P3083" i="1"/>
  <c r="P3084" i="1"/>
  <c r="P3085" i="1"/>
  <c r="P3086" i="1"/>
  <c r="P3087" i="1"/>
  <c r="P3088" i="1"/>
  <c r="P3089" i="1"/>
  <c r="P3090" i="1"/>
  <c r="P3091" i="1"/>
  <c r="P3092" i="1"/>
  <c r="P3093" i="1"/>
  <c r="P3094" i="1"/>
  <c r="P3095" i="1"/>
  <c r="P3096" i="1"/>
  <c r="P3097" i="1"/>
  <c r="P3098" i="1"/>
  <c r="P3099" i="1"/>
  <c r="P3100" i="1"/>
  <c r="P3101" i="1"/>
  <c r="P3102" i="1"/>
  <c r="P3103" i="1"/>
  <c r="P3104" i="1"/>
  <c r="P3105" i="1"/>
  <c r="P3106" i="1"/>
  <c r="P3107" i="1"/>
  <c r="P3108" i="1"/>
  <c r="P3109" i="1"/>
  <c r="P3110" i="1"/>
  <c r="P3111" i="1"/>
  <c r="P3112" i="1"/>
  <c r="P3113" i="1"/>
  <c r="P3114" i="1"/>
  <c r="P3115" i="1"/>
  <c r="P3116" i="1"/>
  <c r="P3117" i="1"/>
  <c r="P3118" i="1"/>
  <c r="P3119" i="1"/>
  <c r="P3120" i="1"/>
  <c r="P3121" i="1"/>
  <c r="P3122" i="1"/>
  <c r="P3123" i="1"/>
  <c r="P3124" i="1"/>
  <c r="P3125" i="1"/>
  <c r="P3126" i="1"/>
  <c r="P3127" i="1"/>
  <c r="P3128" i="1"/>
  <c r="P3129" i="1"/>
  <c r="P3130" i="1"/>
  <c r="P3131" i="1"/>
  <c r="P3132" i="1"/>
  <c r="P3133" i="1"/>
  <c r="P3134" i="1"/>
  <c r="P3135" i="1"/>
  <c r="P3136" i="1"/>
  <c r="P3137" i="1"/>
  <c r="P3138" i="1"/>
  <c r="P3139" i="1"/>
  <c r="P3140" i="1"/>
  <c r="P3141" i="1"/>
  <c r="P3142" i="1"/>
  <c r="P3143" i="1"/>
  <c r="P3144" i="1"/>
  <c r="P3145" i="1"/>
  <c r="P3146" i="1"/>
  <c r="P3147" i="1"/>
  <c r="P3148" i="1"/>
  <c r="P3149" i="1"/>
  <c r="P3150" i="1"/>
  <c r="P3151" i="1"/>
  <c r="P3152" i="1"/>
  <c r="P3153" i="1"/>
  <c r="P3154" i="1"/>
  <c r="P3155" i="1"/>
  <c r="P3156" i="1"/>
  <c r="P3157" i="1"/>
  <c r="P3158" i="1"/>
  <c r="P3159" i="1"/>
  <c r="P3160" i="1"/>
  <c r="P3161" i="1"/>
  <c r="P3162" i="1"/>
  <c r="P3163" i="1"/>
  <c r="P3164" i="1"/>
  <c r="P3165" i="1"/>
  <c r="P3166" i="1"/>
  <c r="P3167" i="1"/>
  <c r="P3168" i="1"/>
  <c r="P3169" i="1"/>
  <c r="P3170" i="1"/>
  <c r="P3171" i="1"/>
  <c r="P3172" i="1"/>
  <c r="P3173" i="1"/>
  <c r="P3174" i="1"/>
  <c r="P3175" i="1"/>
  <c r="P3176" i="1"/>
  <c r="P3177" i="1"/>
  <c r="P3178" i="1"/>
  <c r="P3179" i="1"/>
  <c r="P3180" i="1"/>
  <c r="P3181" i="1"/>
  <c r="P3182" i="1"/>
  <c r="P3183" i="1"/>
  <c r="P3184" i="1"/>
  <c r="P3185" i="1"/>
  <c r="P3186" i="1"/>
  <c r="P3187" i="1"/>
  <c r="P3188" i="1"/>
  <c r="P3189" i="1"/>
  <c r="P3190" i="1"/>
  <c r="P3191" i="1"/>
  <c r="P3192" i="1"/>
  <c r="P3193" i="1"/>
  <c r="P3194" i="1"/>
  <c r="P3195" i="1"/>
  <c r="P3196" i="1"/>
  <c r="P3197" i="1"/>
  <c r="P3198" i="1"/>
  <c r="P3199" i="1"/>
  <c r="P3200" i="1"/>
  <c r="P3201" i="1"/>
  <c r="P3202" i="1"/>
  <c r="P3203" i="1"/>
  <c r="P3204" i="1"/>
  <c r="P3205" i="1"/>
  <c r="P3206" i="1"/>
  <c r="P3207" i="1"/>
  <c r="P3208" i="1"/>
  <c r="P3209" i="1"/>
  <c r="P3210" i="1"/>
  <c r="P3211" i="1"/>
  <c r="P3212" i="1"/>
  <c r="P3213" i="1"/>
  <c r="P3214" i="1"/>
  <c r="P3215" i="1"/>
  <c r="P3216" i="1"/>
  <c r="P3217" i="1"/>
  <c r="P3218" i="1"/>
  <c r="P3219" i="1"/>
  <c r="P3220" i="1"/>
  <c r="P3221" i="1"/>
  <c r="P3222" i="1"/>
  <c r="P3223" i="1"/>
  <c r="P3224" i="1"/>
  <c r="P3225" i="1"/>
  <c r="P3226" i="1"/>
  <c r="P3227" i="1"/>
  <c r="P3228" i="1"/>
  <c r="P3229" i="1"/>
  <c r="P3230" i="1"/>
  <c r="P3231" i="1"/>
  <c r="P3232" i="1"/>
  <c r="P3233" i="1"/>
  <c r="P3234" i="1"/>
  <c r="P3235" i="1"/>
  <c r="P3236" i="1"/>
  <c r="P3237" i="1"/>
  <c r="P3238" i="1"/>
  <c r="P3239" i="1"/>
  <c r="P3240" i="1"/>
  <c r="P3241" i="1"/>
  <c r="P3242" i="1"/>
  <c r="P3243" i="1"/>
  <c r="P3244" i="1"/>
  <c r="P3245" i="1"/>
  <c r="P3246" i="1"/>
  <c r="P3247" i="1"/>
  <c r="P3248" i="1"/>
  <c r="P3249" i="1"/>
  <c r="P3250" i="1"/>
  <c r="P3251" i="1"/>
  <c r="P3252" i="1"/>
  <c r="P3253" i="1"/>
  <c r="P3254" i="1"/>
  <c r="P3255" i="1"/>
  <c r="P3256" i="1"/>
  <c r="P3257" i="1"/>
  <c r="P3258" i="1"/>
  <c r="P3259" i="1"/>
  <c r="P3260" i="1"/>
  <c r="P3261" i="1"/>
  <c r="P3262" i="1"/>
  <c r="P3263" i="1"/>
  <c r="P3264" i="1"/>
  <c r="P3265" i="1"/>
  <c r="P3266" i="1"/>
  <c r="P3267" i="1"/>
  <c r="P3268" i="1"/>
  <c r="P3269" i="1"/>
  <c r="P3270" i="1"/>
  <c r="P3271" i="1"/>
  <c r="P3272" i="1"/>
  <c r="P3273" i="1"/>
  <c r="P3274" i="1"/>
  <c r="P3275" i="1"/>
  <c r="P3276" i="1"/>
  <c r="P3277" i="1"/>
  <c r="P3278" i="1"/>
  <c r="P3279" i="1"/>
  <c r="P3280" i="1"/>
  <c r="P3281" i="1"/>
  <c r="P3282" i="1"/>
  <c r="P3283" i="1"/>
  <c r="P3284" i="1"/>
  <c r="P3285" i="1"/>
  <c r="P3286" i="1"/>
  <c r="P3287" i="1"/>
  <c r="P3288" i="1"/>
  <c r="P3289" i="1"/>
  <c r="P3290" i="1"/>
  <c r="P3291" i="1"/>
  <c r="P3292" i="1"/>
  <c r="P3293" i="1"/>
  <c r="P3294" i="1"/>
  <c r="P3295" i="1"/>
  <c r="P3296" i="1"/>
  <c r="P3297" i="1"/>
  <c r="P3298" i="1"/>
  <c r="P3299" i="1"/>
  <c r="P3300" i="1"/>
  <c r="P3301" i="1"/>
  <c r="P3302" i="1"/>
  <c r="P3303" i="1"/>
  <c r="P3304" i="1"/>
  <c r="P3305" i="1"/>
  <c r="P3306" i="1"/>
  <c r="P3307" i="1"/>
  <c r="P3308" i="1"/>
  <c r="P3309" i="1"/>
  <c r="P3310" i="1"/>
  <c r="P3311" i="1"/>
  <c r="P3312" i="1"/>
  <c r="P3313" i="1"/>
  <c r="P3314" i="1"/>
  <c r="P3315" i="1"/>
  <c r="P3316" i="1"/>
  <c r="P3317" i="1"/>
  <c r="P3318" i="1"/>
  <c r="P3319" i="1"/>
  <c r="P3320" i="1"/>
  <c r="P3321" i="1"/>
  <c r="P3322" i="1"/>
  <c r="P3323" i="1"/>
  <c r="P3324" i="1"/>
  <c r="P3325" i="1"/>
  <c r="P3326" i="1"/>
  <c r="P3327" i="1"/>
  <c r="P3328" i="1"/>
  <c r="P3329" i="1"/>
  <c r="P3330" i="1"/>
  <c r="P3331" i="1"/>
  <c r="P3332" i="1"/>
  <c r="P3333" i="1"/>
  <c r="P3334" i="1"/>
  <c r="P3335" i="1"/>
  <c r="P3336" i="1"/>
  <c r="P3337" i="1"/>
  <c r="P3338" i="1"/>
  <c r="P3339" i="1"/>
  <c r="P3340" i="1"/>
  <c r="P3341" i="1"/>
  <c r="P3342" i="1"/>
  <c r="P3343" i="1"/>
  <c r="P3344" i="1"/>
  <c r="P3345" i="1"/>
  <c r="P3346" i="1"/>
  <c r="P3347" i="1"/>
  <c r="P3348" i="1"/>
  <c r="P3349" i="1"/>
  <c r="P3350" i="1"/>
  <c r="P3351" i="1"/>
  <c r="P3352" i="1"/>
  <c r="P3353" i="1"/>
  <c r="P3354" i="1"/>
  <c r="P3355" i="1"/>
  <c r="P3356" i="1"/>
  <c r="P3357" i="1"/>
  <c r="P3358" i="1"/>
  <c r="P3359" i="1"/>
  <c r="P3360" i="1"/>
  <c r="P3361" i="1"/>
  <c r="P3362" i="1"/>
  <c r="P3363" i="1"/>
  <c r="P3364" i="1"/>
  <c r="P3365" i="1"/>
  <c r="P3366" i="1"/>
  <c r="P3367" i="1"/>
  <c r="P3368" i="1"/>
  <c r="P3369" i="1"/>
  <c r="P3370" i="1"/>
  <c r="P3371" i="1"/>
  <c r="P3372" i="1"/>
  <c r="P3373" i="1"/>
  <c r="P3374" i="1"/>
  <c r="P3375" i="1"/>
  <c r="P3376" i="1"/>
  <c r="P3377" i="1"/>
  <c r="P3378" i="1"/>
  <c r="P3379" i="1"/>
  <c r="P3380" i="1"/>
  <c r="P3381" i="1"/>
  <c r="P3382" i="1"/>
  <c r="P3383" i="1"/>
  <c r="P3384" i="1"/>
  <c r="P3385" i="1"/>
  <c r="P3386" i="1"/>
  <c r="P3387" i="1"/>
  <c r="P3388" i="1"/>
  <c r="P3389" i="1"/>
  <c r="P3390" i="1"/>
  <c r="P3391" i="1"/>
  <c r="P3392" i="1"/>
  <c r="P3393" i="1"/>
  <c r="P3394" i="1"/>
  <c r="P3395" i="1"/>
  <c r="P3396" i="1"/>
  <c r="P3397" i="1"/>
  <c r="P3398" i="1"/>
  <c r="P3399" i="1"/>
  <c r="P3400" i="1"/>
  <c r="P3401" i="1"/>
  <c r="P3402" i="1"/>
  <c r="P3403" i="1"/>
  <c r="P3404" i="1"/>
  <c r="P3405" i="1"/>
  <c r="P3406" i="1"/>
  <c r="P3407" i="1"/>
  <c r="P3408" i="1"/>
  <c r="P3409" i="1"/>
  <c r="P3410" i="1"/>
  <c r="P3411" i="1"/>
  <c r="P3412" i="1"/>
  <c r="P3413" i="1"/>
  <c r="P3414" i="1"/>
  <c r="P3415" i="1"/>
  <c r="P3416" i="1"/>
  <c r="P3417" i="1"/>
  <c r="P3418" i="1"/>
  <c r="P3419" i="1"/>
  <c r="P3420" i="1"/>
  <c r="P3421" i="1"/>
  <c r="P3422" i="1"/>
  <c r="P3423" i="1"/>
  <c r="P3424" i="1"/>
  <c r="P3425" i="1"/>
  <c r="P3426" i="1"/>
  <c r="P3427" i="1"/>
  <c r="P3428" i="1"/>
  <c r="P3429" i="1"/>
  <c r="P3430" i="1"/>
  <c r="P3431" i="1"/>
  <c r="P3432" i="1"/>
  <c r="P3433" i="1"/>
  <c r="P3434" i="1"/>
  <c r="P3435" i="1"/>
  <c r="P3436" i="1"/>
  <c r="P3437" i="1"/>
  <c r="P3438" i="1"/>
  <c r="P3439" i="1"/>
  <c r="P3440" i="1"/>
  <c r="P3441" i="1"/>
  <c r="P3442" i="1"/>
  <c r="P3443" i="1"/>
  <c r="P3444" i="1"/>
  <c r="P3445" i="1"/>
  <c r="P3446" i="1"/>
  <c r="P3447" i="1"/>
  <c r="P3448" i="1"/>
  <c r="P3449" i="1"/>
  <c r="P3450" i="1"/>
  <c r="P3451" i="1"/>
  <c r="P3452" i="1"/>
  <c r="P3453" i="1"/>
  <c r="P3454" i="1"/>
  <c r="P3455" i="1"/>
  <c r="P3456" i="1"/>
  <c r="P3457" i="1"/>
  <c r="P3458" i="1"/>
  <c r="P3459" i="1"/>
  <c r="P3460" i="1"/>
  <c r="P3461" i="1"/>
  <c r="P3462" i="1"/>
  <c r="P3463" i="1"/>
  <c r="P3464" i="1"/>
  <c r="P3465" i="1"/>
  <c r="P3466" i="1"/>
  <c r="P3467" i="1"/>
  <c r="P3468" i="1"/>
  <c r="P3469" i="1"/>
  <c r="P3470" i="1"/>
  <c r="P3471" i="1"/>
  <c r="P3472" i="1"/>
  <c r="P3473" i="1"/>
  <c r="P3474" i="1"/>
  <c r="P3475" i="1"/>
  <c r="P3476" i="1"/>
  <c r="P3477" i="1"/>
  <c r="P3478" i="1"/>
  <c r="P3479" i="1"/>
  <c r="P3480" i="1"/>
  <c r="P3481" i="1"/>
  <c r="P3482" i="1"/>
  <c r="P3483" i="1"/>
  <c r="P3484" i="1"/>
  <c r="P3485" i="1"/>
  <c r="P3486" i="1"/>
  <c r="P3487" i="1"/>
  <c r="P3488" i="1"/>
  <c r="P3489" i="1"/>
  <c r="P3490" i="1"/>
  <c r="P3491" i="1"/>
  <c r="P3492" i="1"/>
  <c r="P3493" i="1"/>
  <c r="P3494" i="1"/>
  <c r="P3495" i="1"/>
  <c r="P3496" i="1"/>
  <c r="P3497" i="1"/>
  <c r="P3498" i="1"/>
  <c r="P3499" i="1"/>
  <c r="P3500" i="1"/>
  <c r="P3501" i="1"/>
  <c r="P3502" i="1"/>
  <c r="P3503" i="1"/>
  <c r="P3504" i="1"/>
  <c r="P3505" i="1"/>
  <c r="P3506" i="1"/>
  <c r="P3507" i="1"/>
  <c r="P3508" i="1"/>
  <c r="P3509" i="1"/>
  <c r="P3510" i="1"/>
  <c r="P3511" i="1"/>
  <c r="P3512" i="1"/>
  <c r="P3513" i="1"/>
  <c r="P3514" i="1"/>
  <c r="P3515" i="1"/>
  <c r="P3516" i="1"/>
  <c r="P3517" i="1"/>
  <c r="P3518" i="1"/>
  <c r="P3519" i="1"/>
  <c r="P3520" i="1"/>
  <c r="P3521" i="1"/>
  <c r="P3522" i="1"/>
  <c r="P3523" i="1"/>
  <c r="P3524" i="1"/>
  <c r="P3525" i="1"/>
  <c r="P3526" i="1"/>
  <c r="P3527" i="1"/>
  <c r="P3528" i="1"/>
  <c r="P3529" i="1"/>
  <c r="P3530" i="1"/>
  <c r="P3531" i="1"/>
  <c r="P3532" i="1"/>
  <c r="P3533" i="1"/>
  <c r="P3534" i="1"/>
  <c r="P3535" i="1"/>
  <c r="P3536" i="1"/>
  <c r="P3537" i="1"/>
  <c r="P3538" i="1"/>
  <c r="P3539" i="1"/>
  <c r="P3540" i="1"/>
  <c r="P3541" i="1"/>
  <c r="P3542" i="1"/>
  <c r="P3543" i="1"/>
  <c r="P3544" i="1"/>
  <c r="P3545" i="1"/>
  <c r="P3546" i="1"/>
  <c r="P3547" i="1"/>
  <c r="P3548" i="1"/>
  <c r="P3549" i="1"/>
  <c r="P3550" i="1"/>
  <c r="P3551" i="1"/>
  <c r="P3552" i="1"/>
  <c r="P3553" i="1"/>
  <c r="P3554" i="1"/>
  <c r="P3555" i="1"/>
  <c r="P3556" i="1"/>
  <c r="P3557" i="1"/>
  <c r="P3558" i="1"/>
  <c r="P3559" i="1"/>
  <c r="P3560" i="1"/>
  <c r="P3561" i="1"/>
  <c r="P3562" i="1"/>
  <c r="P3563" i="1"/>
  <c r="P3564" i="1"/>
  <c r="P3565" i="1"/>
  <c r="P3566" i="1"/>
  <c r="P3567" i="1"/>
  <c r="P3568" i="1"/>
  <c r="P3569" i="1"/>
  <c r="P3570" i="1"/>
  <c r="P3571" i="1"/>
  <c r="P3572" i="1"/>
  <c r="P3573" i="1"/>
  <c r="P3574" i="1"/>
  <c r="P3575" i="1"/>
  <c r="P3576" i="1"/>
  <c r="P3577" i="1"/>
  <c r="P3578" i="1"/>
  <c r="P3579" i="1"/>
  <c r="P3580" i="1"/>
  <c r="P3581" i="1"/>
  <c r="P3582" i="1"/>
  <c r="P3583" i="1"/>
  <c r="P3584" i="1"/>
  <c r="P3585" i="1"/>
  <c r="P3586" i="1"/>
  <c r="P3587" i="1"/>
  <c r="P3588" i="1"/>
  <c r="P3589" i="1"/>
  <c r="P3590" i="1"/>
  <c r="P3591" i="1"/>
  <c r="P3592" i="1"/>
  <c r="P3593" i="1"/>
  <c r="P3594" i="1"/>
  <c r="P3595" i="1"/>
  <c r="P3596" i="1"/>
  <c r="P3597" i="1"/>
  <c r="P3598" i="1"/>
  <c r="P3599" i="1"/>
  <c r="P3600" i="1"/>
  <c r="P3601" i="1"/>
  <c r="P3602" i="1"/>
  <c r="P3603" i="1"/>
  <c r="P3604" i="1"/>
  <c r="P3605" i="1"/>
  <c r="P3606" i="1"/>
  <c r="P3607" i="1"/>
  <c r="P3608" i="1"/>
  <c r="P3609" i="1"/>
  <c r="P3610" i="1"/>
  <c r="P3611" i="1"/>
  <c r="P3612" i="1"/>
  <c r="P3613" i="1"/>
  <c r="P3614" i="1"/>
  <c r="P3615" i="1"/>
  <c r="P3616" i="1"/>
  <c r="P3617" i="1"/>
  <c r="P3618" i="1"/>
  <c r="P3619" i="1"/>
  <c r="P3620" i="1"/>
  <c r="P3621" i="1"/>
  <c r="P3622" i="1"/>
  <c r="P3623" i="1"/>
  <c r="P3624" i="1"/>
  <c r="P3625" i="1"/>
  <c r="P3626" i="1"/>
  <c r="P3627" i="1"/>
  <c r="P3628" i="1"/>
  <c r="P3629" i="1"/>
  <c r="P3630" i="1"/>
  <c r="P3631" i="1"/>
  <c r="P3632" i="1"/>
  <c r="P3633" i="1"/>
  <c r="P3634" i="1"/>
  <c r="P3635" i="1"/>
  <c r="P3636" i="1"/>
  <c r="P3637" i="1"/>
  <c r="P3638" i="1"/>
  <c r="P3639" i="1"/>
  <c r="P3640" i="1"/>
  <c r="P3641" i="1"/>
  <c r="P3642" i="1"/>
  <c r="P3643" i="1"/>
  <c r="P3644" i="1"/>
  <c r="P3645" i="1"/>
  <c r="P3646" i="1"/>
  <c r="P3647" i="1"/>
  <c r="P3648" i="1"/>
  <c r="P3649" i="1"/>
  <c r="P3650" i="1"/>
  <c r="P3651" i="1"/>
  <c r="P3652" i="1"/>
  <c r="P3653" i="1"/>
  <c r="P3654" i="1"/>
  <c r="P3655" i="1"/>
  <c r="P3656" i="1"/>
  <c r="P3657" i="1"/>
  <c r="P3658" i="1"/>
  <c r="P3659" i="1"/>
  <c r="P3660" i="1"/>
  <c r="P3661" i="1"/>
  <c r="P3662" i="1"/>
  <c r="P3663" i="1"/>
  <c r="P3664" i="1"/>
  <c r="P3665" i="1"/>
  <c r="P3666" i="1"/>
  <c r="P3667" i="1"/>
  <c r="P3668" i="1"/>
  <c r="P3669" i="1"/>
  <c r="P3670" i="1"/>
  <c r="P3671" i="1"/>
  <c r="P3672" i="1"/>
  <c r="P3673" i="1"/>
  <c r="P3674" i="1"/>
  <c r="P3675" i="1"/>
  <c r="P3676" i="1"/>
  <c r="P3677" i="1"/>
  <c r="P3678" i="1"/>
  <c r="P3679" i="1"/>
  <c r="P3680" i="1"/>
  <c r="P3681" i="1"/>
  <c r="P3682" i="1"/>
  <c r="P3683" i="1"/>
  <c r="P3684" i="1"/>
  <c r="P3685" i="1"/>
  <c r="P3686" i="1"/>
  <c r="P3687" i="1"/>
  <c r="P3688" i="1"/>
  <c r="P3689" i="1"/>
  <c r="P3690" i="1"/>
  <c r="P3691" i="1"/>
  <c r="P3692" i="1"/>
  <c r="P3693" i="1"/>
  <c r="P3694" i="1"/>
  <c r="P3695" i="1"/>
  <c r="P3696" i="1"/>
  <c r="P3697" i="1"/>
  <c r="P3698" i="1"/>
  <c r="P3699" i="1"/>
  <c r="P3700" i="1"/>
  <c r="P3701" i="1"/>
  <c r="P3702" i="1"/>
  <c r="P3703" i="1"/>
  <c r="P3704" i="1"/>
  <c r="P3705" i="1"/>
  <c r="P3706" i="1"/>
  <c r="P3707" i="1"/>
  <c r="P3708" i="1"/>
  <c r="P3709" i="1"/>
  <c r="P3710" i="1"/>
  <c r="P3711" i="1"/>
  <c r="P3712" i="1"/>
  <c r="P3713" i="1"/>
  <c r="P3714" i="1"/>
  <c r="P3715" i="1"/>
  <c r="P3716" i="1"/>
  <c r="P3717" i="1"/>
  <c r="P3718" i="1"/>
  <c r="P3719" i="1"/>
  <c r="P3720" i="1"/>
  <c r="P3721" i="1"/>
  <c r="P3722" i="1"/>
  <c r="P3723" i="1"/>
  <c r="P3724" i="1"/>
  <c r="P3725" i="1"/>
  <c r="P3726" i="1"/>
  <c r="P3727" i="1"/>
  <c r="P3728" i="1"/>
  <c r="P3729" i="1"/>
  <c r="P3730" i="1"/>
  <c r="P3731" i="1"/>
  <c r="P3732" i="1"/>
  <c r="P3733" i="1"/>
  <c r="P3734" i="1"/>
  <c r="P3735" i="1"/>
  <c r="P3736" i="1"/>
  <c r="P3737" i="1"/>
  <c r="P3738" i="1"/>
  <c r="P3739" i="1"/>
  <c r="P3740" i="1"/>
  <c r="P3741" i="1"/>
  <c r="P3742" i="1"/>
  <c r="P3743" i="1"/>
  <c r="P3744" i="1"/>
  <c r="P3745" i="1"/>
  <c r="P3746" i="1"/>
  <c r="P3747" i="1"/>
  <c r="P3748" i="1"/>
  <c r="P3749" i="1"/>
  <c r="P3750" i="1"/>
  <c r="P3751" i="1"/>
  <c r="P3752" i="1"/>
  <c r="P3753" i="1"/>
  <c r="P3754" i="1"/>
  <c r="P3755" i="1"/>
  <c r="P3756" i="1"/>
  <c r="P3757" i="1"/>
  <c r="P3758" i="1"/>
  <c r="P3759" i="1"/>
  <c r="P3760" i="1"/>
  <c r="P3761" i="1"/>
  <c r="P3762" i="1"/>
  <c r="P3763" i="1"/>
  <c r="P3764" i="1"/>
  <c r="P3765" i="1"/>
  <c r="P3766" i="1"/>
  <c r="P3767" i="1"/>
  <c r="P3768" i="1"/>
  <c r="P3769" i="1"/>
  <c r="P3770" i="1"/>
  <c r="P3771" i="1"/>
  <c r="P3772" i="1"/>
  <c r="P3773" i="1"/>
  <c r="P3774" i="1"/>
  <c r="P3775" i="1"/>
  <c r="P3776" i="1"/>
  <c r="P3777" i="1"/>
  <c r="P3778" i="1"/>
  <c r="P3779" i="1"/>
  <c r="P3780" i="1"/>
  <c r="P3781" i="1"/>
  <c r="P3782" i="1"/>
  <c r="P3783" i="1"/>
  <c r="P3784" i="1"/>
  <c r="P3785" i="1"/>
  <c r="P3786" i="1"/>
  <c r="P3787" i="1"/>
  <c r="P3788" i="1"/>
  <c r="P3789" i="1"/>
  <c r="P3790" i="1"/>
  <c r="P3791" i="1"/>
  <c r="P3792" i="1"/>
  <c r="P3793" i="1"/>
  <c r="P3794" i="1"/>
  <c r="P3795" i="1"/>
  <c r="P3796" i="1"/>
  <c r="P3797" i="1"/>
  <c r="P3798" i="1"/>
  <c r="P3799" i="1"/>
  <c r="P3800" i="1"/>
  <c r="P3801" i="1"/>
  <c r="P3802" i="1"/>
  <c r="P3803" i="1"/>
  <c r="P3804" i="1"/>
  <c r="P3805" i="1"/>
  <c r="P3806" i="1"/>
  <c r="P3807" i="1"/>
  <c r="P3808" i="1"/>
  <c r="P3809" i="1"/>
  <c r="P3810" i="1"/>
  <c r="P3811" i="1"/>
  <c r="P3812" i="1"/>
  <c r="P3813" i="1"/>
  <c r="P3814" i="1"/>
  <c r="P3815" i="1"/>
  <c r="P3816" i="1"/>
  <c r="P3817" i="1"/>
  <c r="P3818" i="1"/>
  <c r="P3819" i="1"/>
  <c r="P3820" i="1"/>
  <c r="P3821" i="1"/>
  <c r="P3822" i="1"/>
  <c r="P3823" i="1"/>
  <c r="P3824" i="1"/>
  <c r="P3825" i="1"/>
  <c r="P3826" i="1"/>
  <c r="P3827" i="1"/>
  <c r="P3828" i="1"/>
  <c r="P3829" i="1"/>
  <c r="P3830" i="1"/>
  <c r="P3831" i="1"/>
  <c r="P3832" i="1"/>
  <c r="P3833" i="1"/>
  <c r="P3834" i="1"/>
  <c r="P3835" i="1"/>
  <c r="P3836" i="1"/>
  <c r="P3837" i="1"/>
  <c r="P3838" i="1"/>
  <c r="P3839" i="1"/>
  <c r="P3840" i="1"/>
  <c r="P3841" i="1"/>
  <c r="P3842" i="1"/>
  <c r="P3843" i="1"/>
  <c r="P3844" i="1"/>
  <c r="P3845" i="1"/>
  <c r="P3846" i="1"/>
  <c r="P3847" i="1"/>
  <c r="P3848" i="1"/>
  <c r="P3849" i="1"/>
  <c r="P3850" i="1"/>
  <c r="P3851" i="1"/>
  <c r="P3852" i="1"/>
  <c r="P3853" i="1"/>
  <c r="P3854" i="1"/>
  <c r="P3855" i="1"/>
  <c r="P3856" i="1"/>
  <c r="P3857" i="1"/>
  <c r="P3858" i="1"/>
  <c r="P3859" i="1"/>
  <c r="P3860" i="1"/>
  <c r="P3861" i="1"/>
  <c r="P3862" i="1"/>
  <c r="P3863" i="1"/>
  <c r="P3864" i="1"/>
  <c r="P3865" i="1"/>
  <c r="P3866" i="1"/>
  <c r="P3867" i="1"/>
  <c r="P3868" i="1"/>
  <c r="P3869" i="1"/>
  <c r="P3870" i="1"/>
  <c r="P3871" i="1"/>
  <c r="P3872" i="1"/>
  <c r="P3873" i="1"/>
  <c r="P3874" i="1"/>
  <c r="P3875" i="1"/>
  <c r="P3876" i="1"/>
  <c r="P3877" i="1"/>
  <c r="P3878" i="1"/>
  <c r="P3879" i="1"/>
  <c r="P3880" i="1"/>
  <c r="P3881" i="1"/>
  <c r="P3882" i="1"/>
  <c r="P3883" i="1"/>
  <c r="P3884" i="1"/>
  <c r="P3885" i="1"/>
  <c r="P3886" i="1"/>
  <c r="P3887" i="1"/>
  <c r="P3888" i="1"/>
  <c r="P3889" i="1"/>
  <c r="P3890" i="1"/>
  <c r="P3891" i="1"/>
  <c r="P3892" i="1"/>
  <c r="P3893" i="1"/>
  <c r="P3894" i="1"/>
  <c r="P3895" i="1"/>
  <c r="P3896" i="1"/>
  <c r="P3897" i="1"/>
  <c r="P3898" i="1"/>
  <c r="P3899" i="1"/>
  <c r="P3900" i="1"/>
  <c r="P3901" i="1"/>
  <c r="P3902" i="1"/>
  <c r="P3903" i="1"/>
  <c r="P3904" i="1"/>
  <c r="P3905" i="1"/>
  <c r="P3906" i="1"/>
  <c r="P3907" i="1"/>
  <c r="P3908" i="1"/>
  <c r="P3909" i="1"/>
  <c r="P3910" i="1"/>
  <c r="P3911" i="1"/>
  <c r="P3912" i="1"/>
  <c r="P3913" i="1"/>
  <c r="P3914" i="1"/>
  <c r="P3915" i="1"/>
  <c r="P3916" i="1"/>
  <c r="P3917" i="1"/>
  <c r="P3918" i="1"/>
  <c r="P3919" i="1"/>
  <c r="P3920" i="1"/>
  <c r="P3921" i="1"/>
  <c r="P3922" i="1"/>
  <c r="P3923" i="1"/>
  <c r="P3924" i="1"/>
  <c r="P3925" i="1"/>
  <c r="P3926" i="1"/>
  <c r="P3927" i="1"/>
  <c r="P3928" i="1"/>
  <c r="P3929" i="1"/>
  <c r="P3930" i="1"/>
  <c r="P3931" i="1"/>
  <c r="P3932" i="1"/>
  <c r="P3933" i="1"/>
  <c r="P3934" i="1"/>
  <c r="P3935" i="1"/>
  <c r="P3936" i="1"/>
  <c r="P3937" i="1"/>
  <c r="P3938" i="1"/>
  <c r="P3939" i="1"/>
  <c r="P3940" i="1"/>
  <c r="P3941" i="1"/>
  <c r="P3942" i="1"/>
  <c r="P3943" i="1"/>
  <c r="P3944" i="1"/>
  <c r="P3945" i="1"/>
  <c r="P3946" i="1"/>
  <c r="P3947" i="1"/>
  <c r="P3948" i="1"/>
  <c r="P3949" i="1"/>
  <c r="P3950" i="1"/>
  <c r="P3951" i="1"/>
  <c r="P3952" i="1"/>
  <c r="P3953" i="1"/>
  <c r="P3954" i="1"/>
  <c r="P3955" i="1"/>
  <c r="P3956" i="1"/>
  <c r="P3957" i="1"/>
  <c r="P3958" i="1"/>
  <c r="P3959" i="1"/>
  <c r="P3960" i="1"/>
  <c r="P3961" i="1"/>
  <c r="P3962" i="1"/>
  <c r="P3963" i="1"/>
  <c r="P3964" i="1"/>
  <c r="P3965" i="1"/>
  <c r="P3966" i="1"/>
  <c r="P3967" i="1"/>
  <c r="P3968" i="1"/>
  <c r="P3969" i="1"/>
  <c r="P3970" i="1"/>
  <c r="P3971" i="1"/>
  <c r="P3972" i="1"/>
  <c r="P3973" i="1"/>
  <c r="P3974" i="1"/>
  <c r="P3975" i="1"/>
  <c r="P3976" i="1"/>
  <c r="P3977" i="1"/>
  <c r="P3978" i="1"/>
  <c r="P3979" i="1"/>
  <c r="P3980" i="1"/>
  <c r="P3981" i="1"/>
  <c r="P3982" i="1"/>
  <c r="P3983" i="1"/>
  <c r="P3984" i="1"/>
  <c r="P3985" i="1"/>
  <c r="P3986" i="1"/>
  <c r="P3987" i="1"/>
  <c r="P3988" i="1"/>
  <c r="P3989" i="1"/>
  <c r="P3990" i="1"/>
  <c r="P3991" i="1"/>
  <c r="P3992" i="1"/>
  <c r="P3993" i="1"/>
  <c r="P3994" i="1"/>
  <c r="P3995" i="1"/>
  <c r="P3996" i="1"/>
  <c r="P3997" i="1"/>
  <c r="P3998" i="1"/>
  <c r="P3999" i="1"/>
  <c r="P4000" i="1"/>
  <c r="P4001" i="1"/>
  <c r="P4002" i="1"/>
  <c r="P4003" i="1"/>
  <c r="P4004" i="1"/>
  <c r="P4005" i="1"/>
  <c r="P4006" i="1"/>
  <c r="P4007" i="1"/>
  <c r="P4008" i="1"/>
  <c r="P4009" i="1"/>
  <c r="P4010" i="1"/>
  <c r="P4011" i="1"/>
  <c r="P4012" i="1"/>
  <c r="P4013" i="1"/>
  <c r="P4014" i="1"/>
  <c r="P4015" i="1"/>
  <c r="P4016" i="1"/>
  <c r="P4017" i="1"/>
  <c r="P4018" i="1"/>
  <c r="P4019" i="1"/>
  <c r="P4020" i="1"/>
  <c r="P4021" i="1"/>
  <c r="P4022" i="1"/>
  <c r="P4023" i="1"/>
  <c r="P4024" i="1"/>
  <c r="P4025" i="1"/>
  <c r="P4026" i="1"/>
  <c r="P4027" i="1"/>
  <c r="P4028" i="1"/>
  <c r="P4029" i="1"/>
  <c r="P4030" i="1"/>
  <c r="P4031" i="1"/>
  <c r="P4032" i="1"/>
  <c r="P4033" i="1"/>
  <c r="P4034" i="1"/>
  <c r="P4035" i="1"/>
  <c r="P4036" i="1"/>
  <c r="P4037" i="1"/>
  <c r="P4038" i="1"/>
  <c r="P4039" i="1"/>
  <c r="P4040" i="1"/>
  <c r="P4041" i="1"/>
  <c r="P4042" i="1"/>
  <c r="P4043" i="1"/>
  <c r="P4044" i="1"/>
  <c r="P4045" i="1"/>
  <c r="P4046" i="1"/>
  <c r="P4047" i="1"/>
  <c r="P4048" i="1"/>
  <c r="P4049" i="1"/>
  <c r="P4050" i="1"/>
  <c r="P4051" i="1"/>
  <c r="P4052" i="1"/>
  <c r="P4053" i="1"/>
  <c r="P4054" i="1"/>
  <c r="P4055" i="1"/>
  <c r="P4056" i="1"/>
  <c r="P4057" i="1"/>
  <c r="P4058" i="1"/>
  <c r="P4059" i="1"/>
  <c r="P4060" i="1"/>
  <c r="P4061" i="1"/>
  <c r="P4062" i="1"/>
  <c r="P4063" i="1"/>
  <c r="P4064" i="1"/>
  <c r="P4065" i="1"/>
  <c r="P4066" i="1"/>
  <c r="P4067" i="1"/>
  <c r="P4068" i="1"/>
  <c r="P4069" i="1"/>
  <c r="P4070" i="1"/>
  <c r="P4071" i="1"/>
  <c r="P4072" i="1"/>
  <c r="P4073" i="1"/>
  <c r="P4074" i="1"/>
  <c r="P4075" i="1"/>
  <c r="P4076" i="1"/>
  <c r="P4077" i="1"/>
  <c r="P4078" i="1"/>
  <c r="P4079" i="1"/>
  <c r="P4080" i="1"/>
  <c r="P4081" i="1"/>
  <c r="P4082" i="1"/>
  <c r="P4083" i="1"/>
  <c r="P4084" i="1"/>
  <c r="P4085" i="1"/>
  <c r="P4086" i="1"/>
  <c r="P4087" i="1"/>
  <c r="P4088" i="1"/>
  <c r="P4089" i="1"/>
  <c r="P4090" i="1"/>
  <c r="P4091" i="1"/>
  <c r="P4092" i="1"/>
  <c r="P4093" i="1"/>
  <c r="P4094" i="1"/>
  <c r="P4095" i="1"/>
  <c r="P4096" i="1"/>
  <c r="P4097" i="1"/>
  <c r="P4098" i="1"/>
  <c r="P4099" i="1"/>
  <c r="P4100" i="1"/>
  <c r="P4101" i="1"/>
  <c r="P4102" i="1"/>
  <c r="P4103" i="1"/>
  <c r="P4104" i="1"/>
  <c r="P4105" i="1"/>
  <c r="P4106" i="1"/>
  <c r="P4107" i="1"/>
  <c r="P4108" i="1"/>
  <c r="P4109" i="1"/>
  <c r="P4110" i="1"/>
  <c r="P4111" i="1"/>
  <c r="P4112" i="1"/>
  <c r="P4113" i="1"/>
  <c r="P4114" i="1"/>
  <c r="P4115" i="1"/>
  <c r="P4116" i="1"/>
  <c r="P4117" i="1"/>
  <c r="P4118" i="1"/>
  <c r="P4119" i="1"/>
  <c r="P4120" i="1"/>
  <c r="P4121" i="1"/>
  <c r="P4122" i="1"/>
  <c r="P4123" i="1"/>
  <c r="P4124" i="1"/>
  <c r="P4125" i="1"/>
  <c r="P4126" i="1"/>
  <c r="P4127" i="1"/>
  <c r="P4128" i="1"/>
  <c r="P4129" i="1"/>
  <c r="P4130" i="1"/>
  <c r="P4131" i="1"/>
  <c r="P4132" i="1"/>
  <c r="P4133" i="1"/>
  <c r="P4134" i="1"/>
  <c r="P4135" i="1"/>
  <c r="P4136" i="1"/>
  <c r="P4137" i="1"/>
  <c r="P4138" i="1"/>
  <c r="P4139" i="1"/>
  <c r="P4140" i="1"/>
  <c r="P4141" i="1"/>
  <c r="P4142" i="1"/>
  <c r="P4143" i="1"/>
  <c r="P4144" i="1"/>
  <c r="P4145" i="1"/>
  <c r="P4146" i="1"/>
  <c r="P4147" i="1"/>
  <c r="P4148" i="1"/>
  <c r="P4149" i="1"/>
  <c r="P4150" i="1"/>
  <c r="P4151" i="1"/>
  <c r="P4152" i="1"/>
  <c r="P4153" i="1"/>
  <c r="P4154" i="1"/>
  <c r="P4155" i="1"/>
  <c r="P4156" i="1"/>
  <c r="P4157" i="1"/>
  <c r="P4158" i="1"/>
  <c r="P4159" i="1"/>
  <c r="P4160" i="1"/>
  <c r="P4161" i="1"/>
  <c r="P4162" i="1"/>
  <c r="P4163" i="1"/>
  <c r="P4164" i="1"/>
  <c r="P4165" i="1"/>
  <c r="P4166" i="1"/>
  <c r="P4167" i="1"/>
  <c r="P4168" i="1"/>
  <c r="P4169" i="1"/>
  <c r="P4170" i="1"/>
  <c r="P4171" i="1"/>
  <c r="P4172" i="1"/>
  <c r="P4173" i="1"/>
  <c r="P4174" i="1"/>
  <c r="P4175" i="1"/>
  <c r="P4176" i="1"/>
  <c r="P4177" i="1"/>
  <c r="P4178" i="1"/>
  <c r="P4179" i="1"/>
  <c r="P4180" i="1"/>
  <c r="P4181" i="1"/>
  <c r="P4182" i="1"/>
  <c r="P4183" i="1"/>
  <c r="P4184" i="1"/>
  <c r="P4185" i="1"/>
  <c r="P4186" i="1"/>
  <c r="P4187" i="1"/>
  <c r="P4188" i="1"/>
  <c r="P4189" i="1"/>
  <c r="P4190" i="1"/>
  <c r="P4191" i="1"/>
  <c r="P4192" i="1"/>
  <c r="P4193" i="1"/>
  <c r="P4194" i="1"/>
  <c r="P4195" i="1"/>
  <c r="P4196" i="1"/>
  <c r="P4197" i="1"/>
  <c r="P4198" i="1"/>
  <c r="P4199" i="1"/>
  <c r="P4200" i="1"/>
  <c r="P4201" i="1"/>
  <c r="P4202" i="1"/>
  <c r="P4203" i="1"/>
  <c r="P4204" i="1"/>
  <c r="P4205" i="1"/>
  <c r="P4206" i="1"/>
  <c r="P4207" i="1"/>
  <c r="P4208" i="1"/>
  <c r="P4209" i="1"/>
  <c r="P4210" i="1"/>
  <c r="P4211" i="1"/>
  <c r="P4212" i="1"/>
  <c r="P4213" i="1"/>
  <c r="P4214" i="1"/>
  <c r="P4215" i="1"/>
  <c r="P4216" i="1"/>
  <c r="P4217" i="1"/>
  <c r="P4218" i="1"/>
  <c r="P4219" i="1"/>
  <c r="P4220" i="1"/>
  <c r="P4221" i="1"/>
  <c r="P4222" i="1"/>
  <c r="P4223" i="1"/>
  <c r="P4224" i="1"/>
  <c r="P4225" i="1"/>
  <c r="P4226" i="1"/>
  <c r="P4227" i="1"/>
  <c r="P4228" i="1"/>
  <c r="P4229" i="1"/>
  <c r="P4230" i="1"/>
  <c r="P4231" i="1"/>
  <c r="P4232" i="1"/>
  <c r="P4233" i="1"/>
  <c r="P4234" i="1"/>
  <c r="P4235" i="1"/>
  <c r="P4236" i="1"/>
  <c r="P4237" i="1"/>
  <c r="P4238" i="1"/>
  <c r="P4239" i="1"/>
  <c r="P4240" i="1"/>
  <c r="P4241" i="1"/>
  <c r="P4242" i="1"/>
  <c r="P4243" i="1"/>
  <c r="P4244" i="1"/>
  <c r="P4245" i="1"/>
  <c r="P4246" i="1"/>
  <c r="P4247" i="1"/>
  <c r="P4248" i="1"/>
  <c r="P4249" i="1"/>
  <c r="P4250" i="1"/>
  <c r="P4251" i="1"/>
  <c r="P4252" i="1"/>
  <c r="P4253" i="1"/>
  <c r="P4254" i="1"/>
  <c r="P4255" i="1"/>
  <c r="P4256" i="1"/>
  <c r="P4257" i="1"/>
  <c r="P4258" i="1"/>
  <c r="P4259" i="1"/>
  <c r="P4260" i="1"/>
  <c r="P4261" i="1"/>
  <c r="P4262" i="1"/>
  <c r="P4263" i="1"/>
  <c r="P4264" i="1"/>
  <c r="P4265" i="1"/>
  <c r="P4266" i="1"/>
  <c r="P4267" i="1"/>
  <c r="P4268" i="1"/>
  <c r="P4269" i="1"/>
  <c r="P4270" i="1"/>
  <c r="P4271" i="1"/>
  <c r="P4272" i="1"/>
  <c r="P4273" i="1"/>
  <c r="P4274" i="1"/>
  <c r="P4275" i="1"/>
  <c r="P4276" i="1"/>
  <c r="P4277" i="1"/>
  <c r="P4278" i="1"/>
  <c r="P4279" i="1"/>
  <c r="P4280" i="1"/>
  <c r="P4281" i="1"/>
  <c r="P4282" i="1"/>
  <c r="P4283" i="1"/>
  <c r="P4284" i="1"/>
  <c r="P4285" i="1"/>
  <c r="P4286" i="1"/>
  <c r="P4287" i="1"/>
  <c r="P4288" i="1"/>
  <c r="P4289" i="1"/>
  <c r="P4290" i="1"/>
  <c r="P4291" i="1"/>
  <c r="P4292" i="1"/>
  <c r="P4293" i="1"/>
  <c r="P4294" i="1"/>
  <c r="P4295" i="1"/>
  <c r="P4296" i="1"/>
  <c r="P4297" i="1"/>
  <c r="P4298" i="1"/>
  <c r="P4299" i="1"/>
  <c r="P4300" i="1"/>
  <c r="P4301" i="1"/>
  <c r="P4302" i="1"/>
  <c r="P4303" i="1"/>
  <c r="P4304" i="1"/>
  <c r="P4305" i="1"/>
  <c r="P4306" i="1"/>
  <c r="P4307" i="1"/>
  <c r="P4308" i="1"/>
  <c r="P4309" i="1"/>
  <c r="P4310" i="1"/>
  <c r="P4311" i="1"/>
  <c r="P4312" i="1"/>
  <c r="P4313" i="1"/>
  <c r="P4314" i="1"/>
  <c r="P4315" i="1"/>
  <c r="P4316" i="1"/>
  <c r="P4317" i="1"/>
  <c r="P4318" i="1"/>
  <c r="P4319" i="1"/>
  <c r="P4320" i="1"/>
  <c r="P4321" i="1"/>
  <c r="P4322" i="1"/>
  <c r="P4323" i="1"/>
  <c r="P4324" i="1"/>
  <c r="P4325" i="1"/>
  <c r="P4326" i="1"/>
  <c r="P4327" i="1"/>
  <c r="P4328" i="1"/>
  <c r="P4329" i="1"/>
  <c r="P4330" i="1"/>
  <c r="P4331" i="1"/>
  <c r="P4332" i="1"/>
  <c r="P4333" i="1"/>
  <c r="P4334" i="1"/>
  <c r="P4335" i="1"/>
  <c r="P4336" i="1"/>
  <c r="P4337" i="1"/>
  <c r="P4338" i="1"/>
  <c r="P4339" i="1"/>
  <c r="P4340" i="1"/>
  <c r="P4341" i="1"/>
  <c r="P4342" i="1"/>
  <c r="P4343" i="1"/>
  <c r="P4344" i="1"/>
  <c r="P4345" i="1"/>
  <c r="P4346" i="1"/>
  <c r="P4347" i="1"/>
  <c r="P4348" i="1"/>
  <c r="P4349" i="1"/>
  <c r="P4350" i="1"/>
  <c r="P4351" i="1"/>
  <c r="P4352" i="1"/>
  <c r="P4353" i="1"/>
  <c r="P4354" i="1"/>
  <c r="P4355" i="1"/>
  <c r="P4356" i="1"/>
  <c r="P4357" i="1"/>
  <c r="P4358" i="1"/>
  <c r="P4359" i="1"/>
  <c r="P4360" i="1"/>
  <c r="P4361" i="1"/>
  <c r="P4362" i="1"/>
  <c r="P4363" i="1"/>
  <c r="P4364" i="1"/>
  <c r="P4365" i="1"/>
  <c r="P4366" i="1"/>
  <c r="P4367" i="1"/>
  <c r="P4368" i="1"/>
  <c r="P4369" i="1"/>
  <c r="P4370" i="1"/>
  <c r="P4371" i="1"/>
  <c r="P4372" i="1"/>
  <c r="P4373" i="1"/>
  <c r="P4374" i="1"/>
  <c r="P4375" i="1"/>
  <c r="P4376" i="1"/>
  <c r="P4377" i="1"/>
  <c r="P4378" i="1"/>
  <c r="P4379" i="1"/>
  <c r="P4380" i="1"/>
  <c r="P4381" i="1"/>
  <c r="P4382" i="1"/>
  <c r="P4383" i="1"/>
  <c r="P4384" i="1"/>
  <c r="P4385" i="1"/>
  <c r="P4386" i="1"/>
  <c r="P4387" i="1"/>
  <c r="P4388" i="1"/>
  <c r="P4389" i="1"/>
  <c r="P4390" i="1"/>
  <c r="P4391" i="1"/>
  <c r="P4392" i="1"/>
  <c r="P4393" i="1"/>
  <c r="P4394" i="1"/>
  <c r="P4395" i="1"/>
  <c r="P4396" i="1"/>
  <c r="P4397" i="1"/>
  <c r="P4398" i="1"/>
  <c r="P4399" i="1"/>
  <c r="P4400" i="1"/>
  <c r="P4401" i="1"/>
  <c r="P4402" i="1"/>
  <c r="P4403" i="1"/>
  <c r="P4404" i="1"/>
  <c r="P4405" i="1"/>
  <c r="P4406" i="1"/>
  <c r="P4407" i="1"/>
  <c r="P4408" i="1"/>
  <c r="P4409" i="1"/>
  <c r="P4410" i="1"/>
  <c r="P4411" i="1"/>
  <c r="P4412" i="1"/>
  <c r="P4413" i="1"/>
  <c r="P4414" i="1"/>
  <c r="P4415" i="1"/>
  <c r="P4416" i="1"/>
  <c r="P4417" i="1"/>
  <c r="P4418" i="1"/>
  <c r="P4419" i="1"/>
  <c r="P4420" i="1"/>
  <c r="P4421" i="1"/>
  <c r="P4422" i="1"/>
  <c r="P4423" i="1"/>
  <c r="P4424" i="1"/>
  <c r="P4425" i="1"/>
  <c r="P4426" i="1"/>
  <c r="P4427" i="1"/>
  <c r="P4428" i="1"/>
  <c r="P4429" i="1"/>
  <c r="P4430" i="1"/>
  <c r="P4431" i="1"/>
  <c r="P4432" i="1"/>
  <c r="P4433" i="1"/>
  <c r="P4434" i="1"/>
  <c r="P4435" i="1"/>
  <c r="P4436" i="1"/>
  <c r="P4437" i="1"/>
  <c r="P4438" i="1"/>
  <c r="P4439" i="1"/>
  <c r="P4440" i="1"/>
  <c r="P4441" i="1"/>
  <c r="P4442" i="1"/>
  <c r="P4443" i="1"/>
  <c r="P4444" i="1"/>
  <c r="P4445" i="1"/>
  <c r="P4446" i="1"/>
  <c r="P4447" i="1"/>
  <c r="P4448" i="1"/>
  <c r="P4449" i="1"/>
  <c r="P4450" i="1"/>
  <c r="P4451" i="1"/>
  <c r="P4452" i="1"/>
  <c r="P4453" i="1"/>
  <c r="P4454" i="1"/>
  <c r="P4455" i="1"/>
  <c r="P4456" i="1"/>
  <c r="P4457" i="1"/>
  <c r="P4458" i="1"/>
  <c r="P4459" i="1"/>
  <c r="P4460" i="1"/>
  <c r="P4461" i="1"/>
  <c r="P4462" i="1"/>
  <c r="P4463" i="1"/>
  <c r="P4464" i="1"/>
  <c r="P4465" i="1"/>
  <c r="P4466" i="1"/>
  <c r="P4467" i="1"/>
  <c r="P4468" i="1"/>
  <c r="P4469" i="1"/>
  <c r="P4470" i="1"/>
  <c r="P4471" i="1"/>
  <c r="P4472" i="1"/>
  <c r="P4473" i="1"/>
  <c r="P4474" i="1"/>
  <c r="P4475" i="1"/>
  <c r="P4476" i="1"/>
  <c r="P4477" i="1"/>
  <c r="P4478" i="1"/>
  <c r="P4479" i="1"/>
  <c r="P4480" i="1"/>
  <c r="P4481" i="1"/>
  <c r="P4482" i="1"/>
  <c r="P4483" i="1"/>
  <c r="P4484" i="1"/>
  <c r="P4485" i="1"/>
  <c r="P4486" i="1"/>
  <c r="P4487" i="1"/>
  <c r="P4488" i="1"/>
  <c r="P4489" i="1"/>
  <c r="P4490" i="1"/>
  <c r="P4491" i="1"/>
  <c r="P4492" i="1"/>
  <c r="P4493" i="1"/>
  <c r="P4494" i="1"/>
  <c r="P4495" i="1"/>
  <c r="P4496" i="1"/>
  <c r="P4497" i="1"/>
  <c r="P4498" i="1"/>
  <c r="P4499" i="1"/>
  <c r="P4500" i="1"/>
  <c r="P4501" i="1"/>
  <c r="P4502" i="1"/>
  <c r="P4503" i="1"/>
  <c r="P4504" i="1"/>
  <c r="P4505" i="1"/>
  <c r="P4506" i="1"/>
  <c r="P4507" i="1"/>
  <c r="P4508" i="1"/>
  <c r="P4509" i="1"/>
  <c r="P4510" i="1"/>
  <c r="P4511" i="1"/>
  <c r="P4512" i="1"/>
  <c r="P4513" i="1"/>
  <c r="P4514" i="1"/>
  <c r="P4515" i="1"/>
  <c r="P4516" i="1"/>
  <c r="P4517" i="1"/>
  <c r="P4518" i="1"/>
  <c r="P4519" i="1"/>
  <c r="P4520" i="1"/>
  <c r="P4521" i="1"/>
  <c r="P4522" i="1"/>
  <c r="P4523" i="1"/>
  <c r="P4524" i="1"/>
  <c r="P4525" i="1"/>
  <c r="P4526" i="1"/>
  <c r="P4527" i="1"/>
  <c r="P4528" i="1"/>
  <c r="P4529" i="1"/>
  <c r="P4530" i="1"/>
  <c r="P4531" i="1"/>
  <c r="P4532" i="1"/>
  <c r="P4533" i="1"/>
  <c r="P4534" i="1"/>
  <c r="P4535" i="1"/>
  <c r="P4536" i="1"/>
  <c r="P4537" i="1"/>
  <c r="P4538" i="1"/>
  <c r="P4539" i="1"/>
  <c r="P4540" i="1"/>
  <c r="P4541" i="1"/>
  <c r="P4542" i="1"/>
  <c r="P4543" i="1"/>
  <c r="P4544" i="1"/>
  <c r="P4545" i="1"/>
  <c r="P4546" i="1"/>
  <c r="P4547" i="1"/>
  <c r="P4548" i="1"/>
  <c r="P4549" i="1"/>
  <c r="P4550" i="1"/>
  <c r="P4551" i="1"/>
  <c r="P4552" i="1"/>
  <c r="P4553" i="1"/>
  <c r="P4554" i="1"/>
  <c r="P4555" i="1"/>
  <c r="P4556" i="1"/>
  <c r="P4557" i="1"/>
  <c r="P4558" i="1"/>
  <c r="P4559" i="1"/>
  <c r="P4560" i="1"/>
  <c r="P4561" i="1"/>
  <c r="P4562" i="1"/>
  <c r="P4563" i="1"/>
  <c r="P4564" i="1"/>
  <c r="P4565" i="1"/>
  <c r="P4566" i="1"/>
  <c r="P4567" i="1"/>
  <c r="P4568" i="1"/>
  <c r="P4569" i="1"/>
  <c r="P4570" i="1"/>
  <c r="P4571" i="1"/>
  <c r="P4572" i="1"/>
  <c r="P4573" i="1"/>
  <c r="P4574" i="1"/>
  <c r="P4575" i="1"/>
  <c r="P4576" i="1"/>
  <c r="P4577" i="1"/>
  <c r="P4578" i="1"/>
  <c r="P4579" i="1"/>
  <c r="P4580" i="1"/>
  <c r="P4581" i="1"/>
  <c r="P4582" i="1"/>
  <c r="P4583" i="1"/>
  <c r="P4584" i="1"/>
  <c r="P4585" i="1"/>
  <c r="P4586" i="1"/>
  <c r="P4587" i="1"/>
  <c r="P4588" i="1"/>
  <c r="P4589" i="1"/>
  <c r="P4590" i="1"/>
  <c r="P4591" i="1"/>
  <c r="P4592" i="1"/>
  <c r="P4593" i="1"/>
  <c r="P4594" i="1"/>
  <c r="P4595" i="1"/>
  <c r="P4596" i="1"/>
  <c r="P4597" i="1"/>
  <c r="P4598" i="1"/>
  <c r="P4599" i="1"/>
  <c r="P4600" i="1"/>
  <c r="P4601" i="1"/>
  <c r="P4602" i="1"/>
  <c r="P4603" i="1"/>
  <c r="P4604" i="1"/>
  <c r="P4605" i="1"/>
  <c r="P4606" i="1"/>
  <c r="P4607" i="1"/>
  <c r="P4608" i="1"/>
  <c r="P4609" i="1"/>
  <c r="P4610" i="1"/>
  <c r="P4611" i="1"/>
  <c r="P4612" i="1"/>
  <c r="P4613" i="1"/>
  <c r="P4614" i="1"/>
  <c r="P4615" i="1"/>
  <c r="P4616" i="1"/>
  <c r="P4617" i="1"/>
  <c r="P4618" i="1"/>
  <c r="P4619" i="1"/>
  <c r="P4620" i="1"/>
  <c r="P4621" i="1"/>
  <c r="P4622" i="1"/>
  <c r="P4623" i="1"/>
  <c r="P4624" i="1"/>
  <c r="P4625" i="1"/>
  <c r="P4626" i="1"/>
  <c r="P4627" i="1"/>
  <c r="P4628" i="1"/>
  <c r="P4629" i="1"/>
  <c r="P4630" i="1"/>
  <c r="P4631" i="1"/>
  <c r="P4632" i="1"/>
  <c r="P4633" i="1"/>
  <c r="P4634" i="1"/>
  <c r="P4635" i="1"/>
  <c r="P4636" i="1"/>
  <c r="P4637" i="1"/>
  <c r="P4638" i="1"/>
  <c r="P4639" i="1"/>
  <c r="P4640" i="1"/>
  <c r="P4641" i="1"/>
  <c r="P4642" i="1"/>
  <c r="P4643" i="1"/>
  <c r="P4644" i="1"/>
  <c r="P4645" i="1"/>
  <c r="P4646" i="1"/>
  <c r="P4647" i="1"/>
  <c r="P4648" i="1"/>
  <c r="P4649" i="1"/>
  <c r="P4650" i="1"/>
  <c r="P4651" i="1"/>
  <c r="P4652" i="1"/>
  <c r="P4653" i="1"/>
  <c r="P4654" i="1"/>
  <c r="P4655" i="1"/>
  <c r="P4656" i="1"/>
  <c r="P4657" i="1"/>
  <c r="P4658" i="1"/>
  <c r="P4659" i="1"/>
  <c r="P4660" i="1"/>
  <c r="P4661" i="1"/>
  <c r="P4662" i="1"/>
  <c r="P4663" i="1"/>
  <c r="P4664" i="1"/>
  <c r="P4665" i="1"/>
  <c r="P4666" i="1"/>
  <c r="P4667" i="1"/>
  <c r="P4668" i="1"/>
  <c r="P4669" i="1"/>
  <c r="P4670" i="1"/>
  <c r="P4671" i="1"/>
  <c r="P4672" i="1"/>
  <c r="P4673" i="1"/>
  <c r="P4674" i="1"/>
  <c r="P4675" i="1"/>
  <c r="P4676" i="1"/>
  <c r="P4677" i="1"/>
  <c r="P4678" i="1"/>
  <c r="P4679" i="1"/>
  <c r="P4680" i="1"/>
  <c r="P4681" i="1"/>
  <c r="P4682" i="1"/>
  <c r="P4683" i="1"/>
  <c r="P4684" i="1"/>
  <c r="P4685" i="1"/>
  <c r="P4686" i="1"/>
  <c r="P4687" i="1"/>
  <c r="P4688" i="1"/>
  <c r="P4689" i="1"/>
  <c r="P4690" i="1"/>
  <c r="P4691" i="1"/>
  <c r="P4692" i="1"/>
  <c r="P4693" i="1"/>
  <c r="P4694" i="1"/>
  <c r="P4695" i="1"/>
  <c r="P4696" i="1"/>
  <c r="P4697" i="1"/>
  <c r="P4698" i="1"/>
  <c r="P4699" i="1"/>
  <c r="P4700" i="1"/>
  <c r="P4701" i="1"/>
  <c r="P4702" i="1"/>
  <c r="P4703" i="1"/>
  <c r="P4704" i="1"/>
  <c r="P4705" i="1"/>
  <c r="P4706" i="1"/>
  <c r="P4707" i="1"/>
  <c r="P4708" i="1"/>
  <c r="P4709" i="1"/>
  <c r="P4710" i="1"/>
  <c r="P4711" i="1"/>
  <c r="P4712" i="1"/>
  <c r="P4713" i="1"/>
  <c r="P4714" i="1"/>
  <c r="P4715" i="1"/>
  <c r="P4716" i="1"/>
  <c r="P4717" i="1"/>
  <c r="P4718" i="1"/>
  <c r="P4719" i="1"/>
  <c r="P4720" i="1"/>
  <c r="P4721" i="1"/>
  <c r="P4722" i="1"/>
  <c r="P4723" i="1"/>
  <c r="P4724" i="1"/>
  <c r="P4725" i="1"/>
  <c r="P4726" i="1"/>
  <c r="P4727" i="1"/>
  <c r="P4728" i="1"/>
  <c r="P4729" i="1"/>
  <c r="P4730" i="1"/>
  <c r="P4731" i="1"/>
  <c r="P4732" i="1"/>
  <c r="P4733" i="1"/>
  <c r="P4734" i="1"/>
  <c r="P4735" i="1"/>
  <c r="P4736" i="1"/>
  <c r="P4737" i="1"/>
  <c r="P4738" i="1"/>
  <c r="P4739" i="1"/>
  <c r="P4740" i="1"/>
  <c r="P4741" i="1"/>
  <c r="P4742" i="1"/>
  <c r="P4743" i="1"/>
  <c r="P4744" i="1"/>
  <c r="P4745" i="1"/>
  <c r="P4746" i="1"/>
  <c r="P4747" i="1"/>
  <c r="P4748" i="1"/>
  <c r="P4749" i="1"/>
  <c r="P4750" i="1"/>
  <c r="P4751" i="1"/>
  <c r="P4752" i="1"/>
  <c r="P4753" i="1"/>
  <c r="P4754" i="1"/>
  <c r="P4755" i="1"/>
  <c r="P4756" i="1"/>
  <c r="P4757" i="1"/>
  <c r="P4758" i="1"/>
  <c r="P4759" i="1"/>
  <c r="P4760" i="1"/>
  <c r="P4761" i="1"/>
  <c r="P4762" i="1"/>
  <c r="P4763" i="1"/>
  <c r="P4764" i="1"/>
  <c r="P4765" i="1"/>
  <c r="P4766" i="1"/>
  <c r="P4767" i="1"/>
  <c r="P4768" i="1"/>
  <c r="P4769" i="1"/>
  <c r="P4770" i="1"/>
  <c r="P4771" i="1"/>
  <c r="P4772" i="1"/>
  <c r="P4773" i="1"/>
  <c r="P4774" i="1"/>
  <c r="P4775" i="1"/>
  <c r="P4776" i="1"/>
  <c r="P4777" i="1"/>
  <c r="P4778" i="1"/>
  <c r="P4779" i="1"/>
  <c r="P4780" i="1"/>
  <c r="P4781" i="1"/>
  <c r="P4782" i="1"/>
  <c r="P4783" i="1"/>
  <c r="P4784" i="1"/>
  <c r="P4785" i="1"/>
  <c r="P4786" i="1"/>
  <c r="P4787" i="1"/>
  <c r="P4788" i="1"/>
  <c r="P4789" i="1"/>
  <c r="P4790" i="1"/>
  <c r="P4791" i="1"/>
  <c r="P4792" i="1"/>
  <c r="P4793" i="1"/>
  <c r="P4794" i="1"/>
  <c r="P4795" i="1"/>
  <c r="P4796" i="1"/>
  <c r="P4797" i="1"/>
  <c r="P4798" i="1"/>
  <c r="P4799" i="1"/>
  <c r="P4800" i="1"/>
  <c r="P4801" i="1"/>
  <c r="P4802" i="1"/>
  <c r="P4803" i="1"/>
  <c r="P4804" i="1"/>
  <c r="P4805" i="1"/>
  <c r="P4806" i="1"/>
  <c r="P4807" i="1"/>
  <c r="P4808" i="1"/>
  <c r="P4809" i="1"/>
  <c r="P4810" i="1"/>
  <c r="P4811" i="1"/>
  <c r="P4812" i="1"/>
  <c r="P4813" i="1"/>
  <c r="P4814" i="1"/>
  <c r="P4815" i="1"/>
  <c r="P4816" i="1"/>
  <c r="P4817" i="1"/>
  <c r="P4818" i="1"/>
  <c r="P4819" i="1"/>
  <c r="P4820" i="1"/>
  <c r="P4821" i="1"/>
  <c r="P4822" i="1"/>
  <c r="P4823" i="1"/>
  <c r="P4824" i="1"/>
  <c r="P4825" i="1"/>
  <c r="P4826" i="1"/>
  <c r="P4827" i="1"/>
  <c r="P4828" i="1"/>
  <c r="P4829" i="1"/>
  <c r="P4830" i="1"/>
  <c r="P4831" i="1"/>
  <c r="P4832" i="1"/>
  <c r="P4833" i="1"/>
  <c r="P4834" i="1"/>
  <c r="P4835" i="1"/>
  <c r="P4836" i="1"/>
  <c r="P4837" i="1"/>
  <c r="P4838" i="1"/>
  <c r="P4839" i="1"/>
  <c r="P4840" i="1"/>
  <c r="P4841" i="1"/>
  <c r="P4842" i="1"/>
  <c r="P4843" i="1"/>
  <c r="P4844" i="1"/>
  <c r="P4845" i="1"/>
  <c r="P4846" i="1"/>
  <c r="P4847" i="1"/>
  <c r="P4848" i="1"/>
  <c r="P4849" i="1"/>
  <c r="P4850" i="1"/>
  <c r="P4851" i="1"/>
  <c r="P4852" i="1"/>
  <c r="P4853" i="1"/>
  <c r="P4854" i="1"/>
  <c r="P4855" i="1"/>
  <c r="P4856" i="1"/>
  <c r="P4857" i="1"/>
  <c r="P4858" i="1"/>
  <c r="P4859" i="1"/>
  <c r="P4860" i="1"/>
  <c r="P4861" i="1"/>
  <c r="P4862" i="1"/>
  <c r="P4863" i="1"/>
  <c r="P4864" i="1"/>
  <c r="P4865" i="1"/>
  <c r="P4866" i="1"/>
  <c r="P4867" i="1"/>
  <c r="P4868" i="1"/>
  <c r="P4869" i="1"/>
  <c r="P4870" i="1"/>
  <c r="P4871" i="1"/>
  <c r="P4872" i="1"/>
  <c r="P4873" i="1"/>
  <c r="P4874" i="1"/>
  <c r="P4875" i="1"/>
  <c r="P4876" i="1"/>
  <c r="P4877" i="1"/>
  <c r="P4878" i="1"/>
  <c r="P4879" i="1"/>
  <c r="P4880" i="1"/>
  <c r="P4881" i="1"/>
  <c r="P4882" i="1"/>
  <c r="P4883" i="1"/>
  <c r="P4884" i="1"/>
  <c r="P4885" i="1"/>
  <c r="P4886" i="1"/>
  <c r="P4887" i="1"/>
  <c r="P4888" i="1"/>
  <c r="P4889" i="1"/>
  <c r="P4890" i="1"/>
  <c r="P4891" i="1"/>
  <c r="P4892" i="1"/>
  <c r="P4893" i="1"/>
  <c r="P4894" i="1"/>
  <c r="P4895" i="1"/>
  <c r="P4896" i="1"/>
  <c r="P4897" i="1"/>
  <c r="P4898" i="1"/>
  <c r="P4899" i="1"/>
  <c r="P4900" i="1"/>
  <c r="P4901" i="1"/>
  <c r="P4902" i="1"/>
  <c r="P4903" i="1"/>
  <c r="P4904" i="1"/>
  <c r="P4905" i="1"/>
  <c r="P4906" i="1"/>
  <c r="P4907" i="1"/>
  <c r="P4908" i="1"/>
  <c r="P4909" i="1"/>
  <c r="P4910" i="1"/>
  <c r="P4911" i="1"/>
  <c r="P4912" i="1"/>
  <c r="P4913" i="1"/>
  <c r="P4914" i="1"/>
  <c r="P4915" i="1"/>
  <c r="P4916" i="1"/>
  <c r="P4917" i="1"/>
  <c r="P4918" i="1"/>
  <c r="P4919" i="1"/>
  <c r="P4920" i="1"/>
  <c r="P4921" i="1"/>
  <c r="P4922" i="1"/>
  <c r="P4923" i="1"/>
  <c r="P4924" i="1"/>
  <c r="P4925" i="1"/>
  <c r="P4926" i="1"/>
  <c r="P4927" i="1"/>
  <c r="P4928" i="1"/>
  <c r="P4929" i="1"/>
  <c r="P4930" i="1"/>
  <c r="P4931" i="1"/>
  <c r="P4932" i="1"/>
  <c r="P4933" i="1"/>
  <c r="P4934" i="1"/>
  <c r="P4935" i="1"/>
  <c r="P4936" i="1"/>
  <c r="P4937" i="1"/>
  <c r="P4938" i="1"/>
  <c r="P4939" i="1"/>
  <c r="P4940" i="1"/>
  <c r="P4941" i="1"/>
  <c r="P4942" i="1"/>
  <c r="P4943" i="1"/>
  <c r="P4944" i="1"/>
  <c r="P4945" i="1"/>
  <c r="P4946" i="1"/>
  <c r="P4947" i="1"/>
  <c r="P4948" i="1"/>
  <c r="P4949" i="1"/>
  <c r="P4950" i="1"/>
  <c r="P4951" i="1"/>
  <c r="P4952" i="1"/>
  <c r="P4953" i="1"/>
  <c r="P4954" i="1"/>
  <c r="P4955" i="1"/>
  <c r="P4956" i="1"/>
  <c r="P4957" i="1"/>
  <c r="P4958" i="1"/>
  <c r="P4959" i="1"/>
  <c r="P4960" i="1"/>
  <c r="P4961" i="1"/>
  <c r="P4962" i="1"/>
  <c r="P4963" i="1"/>
  <c r="P4964" i="1"/>
  <c r="P4965" i="1"/>
  <c r="P4966" i="1"/>
  <c r="P4967" i="1"/>
  <c r="P4968" i="1"/>
  <c r="P4969" i="1"/>
  <c r="P4970" i="1"/>
  <c r="P4971" i="1"/>
  <c r="P4972" i="1"/>
  <c r="P4973" i="1"/>
  <c r="P4974" i="1"/>
  <c r="P4975" i="1"/>
  <c r="P4976" i="1"/>
  <c r="P4977" i="1"/>
  <c r="P4978" i="1"/>
  <c r="P4979" i="1"/>
  <c r="P4980" i="1"/>
  <c r="P4981" i="1"/>
  <c r="P4982" i="1"/>
  <c r="P4983" i="1"/>
  <c r="P4984" i="1"/>
  <c r="P4985" i="1"/>
  <c r="P4986" i="1"/>
  <c r="P4987" i="1"/>
  <c r="P4988" i="1"/>
  <c r="P4989" i="1"/>
  <c r="P4990" i="1"/>
  <c r="P4991" i="1"/>
  <c r="P4992" i="1"/>
  <c r="P4993" i="1"/>
  <c r="P4994" i="1"/>
  <c r="P4995" i="1"/>
  <c r="P4996" i="1"/>
  <c r="P4997" i="1"/>
  <c r="P4998" i="1"/>
  <c r="P4999" i="1"/>
  <c r="P5000" i="1"/>
  <c r="P5001" i="1"/>
  <c r="G32" i="3"/>
  <c r="E32" i="3"/>
  <c r="F32" i="3"/>
</calcChain>
</file>

<file path=xl/sharedStrings.xml><?xml version="1.0" encoding="utf-8"?>
<sst xmlns="http://schemas.openxmlformats.org/spreadsheetml/2006/main" count="35080" uniqueCount="69">
  <si>
    <t>order_id</t>
  </si>
  <si>
    <t>order_date</t>
  </si>
  <si>
    <t>user_id</t>
  </si>
  <si>
    <t>user_city</t>
  </si>
  <si>
    <t>category</t>
  </si>
  <si>
    <t>product_name</t>
  </si>
  <si>
    <t>quantity</t>
  </si>
  <si>
    <t>revenue</t>
  </si>
  <si>
    <t>payment_method</t>
  </si>
  <si>
    <t>order_status</t>
  </si>
  <si>
    <t>marketing_channel</t>
  </si>
  <si>
    <t>delivery_days</t>
  </si>
  <si>
    <t>is_returned</t>
  </si>
  <si>
    <t>discount_applied</t>
  </si>
  <si>
    <t>customer_type</t>
  </si>
  <si>
    <t>Bangalore</t>
  </si>
  <si>
    <t>Grocery</t>
  </si>
  <si>
    <t>Product_C</t>
  </si>
  <si>
    <t>Card</t>
  </si>
  <si>
    <t>completed</t>
  </si>
  <si>
    <t>Referral</t>
  </si>
  <si>
    <t>Repeat</t>
  </si>
  <si>
    <t>Chennai</t>
  </si>
  <si>
    <t>Beauty</t>
  </si>
  <si>
    <t>Product_D</t>
  </si>
  <si>
    <t>COD</t>
  </si>
  <si>
    <t>Facebook Ads</t>
  </si>
  <si>
    <t>New</t>
  </si>
  <si>
    <t>Hyderabad</t>
  </si>
  <si>
    <t>Fashion</t>
  </si>
  <si>
    <t>Product_B</t>
  </si>
  <si>
    <t>cancelled</t>
  </si>
  <si>
    <t>Mumbai</t>
  </si>
  <si>
    <t>Electronics</t>
  </si>
  <si>
    <t>Product_A</t>
  </si>
  <si>
    <t>Wallet</t>
  </si>
  <si>
    <t>Home</t>
  </si>
  <si>
    <t>returned</t>
  </si>
  <si>
    <t>Google Ads</t>
  </si>
  <si>
    <t>UPI</t>
  </si>
  <si>
    <t>Organic</t>
  </si>
  <si>
    <t>Delhi</t>
  </si>
  <si>
    <t>Grand Total</t>
  </si>
  <si>
    <t>Category</t>
  </si>
  <si>
    <t>Amount</t>
  </si>
  <si>
    <t>order_month</t>
  </si>
  <si>
    <t>order_week</t>
  </si>
  <si>
    <t>is_completed</t>
  </si>
  <si>
    <t>Sum of revenue</t>
  </si>
  <si>
    <t>Date</t>
  </si>
  <si>
    <t>Channel</t>
  </si>
  <si>
    <t>No.of users</t>
  </si>
  <si>
    <t>2025-07</t>
  </si>
  <si>
    <t>2025-08</t>
  </si>
  <si>
    <t>2025-09</t>
  </si>
  <si>
    <t>2025-10</t>
  </si>
  <si>
    <t>2025-11</t>
  </si>
  <si>
    <t>2025-12</t>
  </si>
  <si>
    <t>2026-01</t>
  </si>
  <si>
    <t>Count of order_id</t>
  </si>
  <si>
    <t>orders</t>
  </si>
  <si>
    <t>amount</t>
  </si>
  <si>
    <t>Month</t>
  </si>
  <si>
    <t>No.of Orders</t>
  </si>
  <si>
    <t>Average of delivery_days</t>
  </si>
  <si>
    <t>Avg Delivery Days</t>
  </si>
  <si>
    <t>City</t>
  </si>
  <si>
    <t>Column Labels</t>
  </si>
  <si>
    <t>Marketing</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</si>
</sst>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
    <numFmt numFmtId="164" formatCode="yyyy\-mm\-dd"/>
    <numFmt numFmtId="165" formatCode="&quot;₹&quot;\ #,##0.00"/>
  </numFmts>
  <fonts count="2" x14ac:knownFonts="1">
    <font>
      <sz val="11"/>
      <color theme="1"/>
      <name val="Calibri"/>
      <family val="2"/>
      <scheme val="minor"/>
    </font>
    <font>
      <b/>
      <sz val="11"/>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9">
    <xf numFmtId="0" fontId="0" fillId="0" borderId="0" xfId="0"/>
    <xf numFmtId="164" fontId="0" fillId="0" borderId="0" xfId="0" applyNumberFormat="1"/>
    <xf numFmtId="0" fontId="0" fillId="0" borderId="0" xfId="0" pivotButton="1"/>
    <xf numFmtId="0" fontId="0" fillId="0" borderId="0" xfId="0" applyAlignment="1">
      <alignment horizontal="left"/>
    </xf>
    <xf numFmtId="0" fontId="1" fillId="0" borderId="0" xfId="0" applyFont="1"/>
    <xf numFmtId="165" fontId="0" fillId="0" borderId="0" xfId="0" applyNumberFormat="1"/>
    <xf numFmtId="0" fontId="0" fillId="0" borderId="0" xfId="0" applyNumberFormat="1"/>
    <xf numFmtId="2" fontId="0" fillId="0" borderId="0" xfId="0" applyNumberFormat="1"/>
    <xf numFmtId="10" fontId="0" fillId="0" borderId="0" xfId="0" applyNumberFormat="1"/>
  </cellXfs>
  <cellStyles count="1">
    <cellStyle name="Normal" xfId="0" builtinId="0"/>
  </cellStyles>
  <dxfs count="6">
    <dxf>
      <numFmt numFmtId="2" formatCode="0.00"/>
    </dxf>
    <dxf>
      <numFmt numFmtId="0" formatCode="General"/>
    </dxf>
    <dxf>
      <numFmt numFmtId="0" formatCode="General"/>
    </dxf>
    <dxf>
      <numFmt numFmtId="0" formatCode="General"/>
    </dxf>
    <dxf>
      <numFmt numFmtId="164" formatCode="yyyy\-mm\-dd"/>
    </dxf>
    <dxf>
      <font>
        <b/>
        <i val="0"/>
        <strike val="0"/>
        <condense val="0"/>
        <extend val="0"/>
        <outline val="0"/>
        <shadow val="0"/>
        <u val="none"/>
        <vertAlign val="baseline"/>
        <sz val="11"/>
        <color theme="1"/>
        <name val="Calibri"/>
        <family val="2"/>
        <scheme val="minor"/>
      </font>
    </dxf>
  </dxfs>
  <tableStyles count="0" defaultTableStyle="TableStyleMedium9" defaultPivotStyle="PivotStyleLight16"/>
  <colors>
    <mruColors>
      <color rgb="FFCC3300"/>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tyles" Target="styles.xml"/><Relationship Id="rId3" Type="http://schemas.openxmlformats.org/officeDocument/2006/relationships/worksheet" Target="worksheets/sheet3.xml"/><Relationship Id="rId7"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microsoft.com/office/2007/relationships/slicerCache" Target="slicerCaches/slicerCache2.xml"/><Relationship Id="rId5" Type="http://schemas.microsoft.com/office/2007/relationships/slicerCache" Target="slicerCaches/slicerCache1.xml"/><Relationship Id="rId10" Type="http://schemas.openxmlformats.org/officeDocument/2006/relationships/calcChain" Target="calcChain.xml"/><Relationship Id="rId4" Type="http://schemas.openxmlformats.org/officeDocument/2006/relationships/pivotCacheDefinition" Target="pivotCache/pivotCacheDefinition1.xml"/><Relationship Id="rId9" Type="http://schemas.openxmlformats.org/officeDocument/2006/relationships/sharedStrings" Target="sharedStrings.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_rels/chart7.xml.rels><?xml version="1.0" encoding="UTF-8" standalone="yes"?>
<Relationships xmlns="http://schemas.openxmlformats.org/package/2006/relationships"><Relationship Id="rId2" Type="http://schemas.microsoft.com/office/2011/relationships/chartColorStyle" Target="colors7.xml"/><Relationship Id="rId1" Type="http://schemas.microsoft.com/office/2011/relationships/chartStyle" Target="style7.xml"/></Relationships>
</file>

<file path=xl/charts/_rels/chart8.xml.rels><?xml version="1.0" encoding="UTF-8" standalone="yes"?>
<Relationships xmlns="http://schemas.openxmlformats.org/package/2006/relationships"><Relationship Id="rId2" Type="http://schemas.microsoft.com/office/2011/relationships/chartColorStyle" Target="colors8.xml"/><Relationship Id="rId1" Type="http://schemas.microsoft.com/office/2011/relationships/chartStyle" Target="style8.xml"/></Relationships>
</file>

<file path=xl/charts/_rels/chart9.xml.rels><?xml version="1.0" encoding="UTF-8" standalone="yes"?>
<Relationships xmlns="http://schemas.openxmlformats.org/package/2006/relationships"><Relationship Id="rId2" Type="http://schemas.microsoft.com/office/2011/relationships/chartColorStyle" Target="colors9.xml"/><Relationship Id="rId1" Type="http://schemas.microsoft.com/office/2011/relationships/chartStyle" Target="style9.xml"/></Relationships>
</file>

<file path=xl/charts/_rels/chart10.xml.rels><?xml version="1.0" encoding="UTF-8" standalone="yes"?>
<Relationships xmlns="http://schemas.openxmlformats.org/package/2006/relationships"><Relationship Id="rId2" Type="http://schemas.microsoft.com/office/2011/relationships/chartColorStyle" Target="colors10.xml"/><Relationship Id="rId1" Type="http://schemas.microsoft.com/office/2011/relationships/chartStyle" Target="style10.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[ecommerce_analytics_dataset.xlsx]Pivot_Table!PivotTable2</c:name>
    <c:fmtId val="4"/>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Revenue by Category</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pivotFmt>
      <c:pivotFmt>
        <c:idx val="3"/>
        <c:spPr>
          <a:solidFill>
            <a:schemeClr val="accent1"/>
          </a:solidFill>
          <a:ln>
            <a:noFill/>
          </a:ln>
          <a:effectLst/>
        </c:spPr>
      </c:pivotFmt>
    </c:pivotFmts>
    <c:plotArea>
      <c:layout/>
      <c:barChart>
        <c:barDir val="bar"/>
        <c:grouping val="clustered"/>
        <c:varyColors val="0"/>
        <c:ser>
          <c:idx val="0"/>
          <c:order val="0"/>
          <c:tx>
            <c:strRef>
              <c:f>Pivot_Table!$B$11</c:f>
              <c:strCache>
                <c:ptCount val="1"/>
                <c:pt idx="0">
                  <c:v>Total</c:v>
                </c:pt>
              </c:strCache>
            </c:strRef>
          </c:tx>
          <c:spPr>
            <a:solidFill>
              <a:schemeClr val="accent1"/>
            </a:solidFill>
            <a:ln>
              <a:noFill/>
            </a:ln>
            <a:effectLst/>
          </c:spPr>
          <c:invertIfNegative val="0"/>
          <c:cat>
            <c:strRef>
              <c:f>Pivot_Table!$A$12:$A$17</c:f>
              <c:strCache>
                <c:ptCount val="5"/>
                <c:pt idx="0">
                  <c:v>Electronics</c:v>
                </c:pt>
                <c:pt idx="1">
                  <c:v>Beauty</c:v>
                </c:pt>
                <c:pt idx="2">
                  <c:v>Home</c:v>
                </c:pt>
                <c:pt idx="3">
                  <c:v>Fashion</c:v>
                </c:pt>
                <c:pt idx="4">
                  <c:v>Grocery</c:v>
                </c:pt>
              </c:strCache>
            </c:strRef>
          </c:cat>
          <c:val>
            <c:numRef>
              <c:f>Pivot_Table!$B$12:$B$17</c:f>
              <c:numCache>
                <c:formatCode>General</c:formatCode>
                <c:ptCount val="5"/>
                <c:pt idx="0">
                  <c:v>2744892</c:v>
                </c:pt>
                <c:pt idx="1">
                  <c:v>2563674</c:v>
                </c:pt>
                <c:pt idx="2">
                  <c:v>2531029</c:v>
                </c:pt>
                <c:pt idx="3">
                  <c:v>2338932</c:v>
                </c:pt>
                <c:pt idx="4">
                  <c:v>2260632</c:v>
                </c:pt>
              </c:numCache>
            </c:numRef>
          </c:val>
          <c:extLst>
            <c:ext xmlns:c16="http://schemas.microsoft.com/office/drawing/2014/chart" uri="{C3380CC4-5D6E-409C-BE32-E72D297353CC}">
              <c16:uniqueId val="{00000000-3CB8-4162-8D35-EB5D83A1C97D}"/>
            </c:ext>
          </c:extLst>
        </c:ser>
        <c:dLbls>
          <c:showLegendKey val="0"/>
          <c:showVal val="0"/>
          <c:showCatName val="0"/>
          <c:showSerName val="0"/>
          <c:showPercent val="0"/>
          <c:showBubbleSize val="0"/>
        </c:dLbls>
        <c:gapWidth val="150"/>
        <c:axId val="460372639"/>
        <c:axId val="460382239"/>
      </c:barChart>
      <c:catAx>
        <c:axId val="460372639"/>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460382239"/>
        <c:crosses val="autoZero"/>
        <c:auto val="1"/>
        <c:lblAlgn val="ctr"/>
        <c:lblOffset val="100"/>
        <c:noMultiLvlLbl val="0"/>
      </c:catAx>
      <c:valAx>
        <c:axId val="460382239"/>
        <c:scaling>
          <c:orientation val="minMax"/>
        </c:scaling>
        <c:delete val="0"/>
        <c:axPos val="b"/>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460372639"/>
        <c:crosses val="autoZero"/>
        <c:crossBetween val="between"/>
        <c:dispUnits>
          <c:builtInUnit val="thousands"/>
          <c:dispUnitsLbl>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dispUnitsLbl>
        </c:dispUnits>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Visible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[ecommerce_analytics_dataset.xlsx]Pivot_Table!PivotTable4</c:name>
    <c:fmtId val="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Monthly Revenue</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Pivot_Table!$B$1</c:f>
              <c:strCache>
                <c:ptCount val="1"/>
                <c:pt idx="0">
                  <c:v>Total</c:v>
                </c:pt>
              </c:strCache>
            </c:strRef>
          </c:tx>
          <c:spPr>
            <a:ln w="28575" cap="rnd">
              <a:solidFill>
                <a:schemeClr val="accent1"/>
              </a:solidFill>
              <a:round/>
            </a:ln>
            <a:effectLst/>
          </c:spPr>
          <c:marker>
            <c:symbol val="none"/>
          </c:marker>
          <c:cat>
            <c:strRef>
              <c:f>Pivot_Table!$A$2:$A$9</c:f>
              <c:strCache>
                <c:ptCount val="7"/>
                <c:pt idx="0">
                  <c:v>2025-07</c:v>
                </c:pt>
                <c:pt idx="1">
                  <c:v>2025-08</c:v>
                </c:pt>
                <c:pt idx="2">
                  <c:v>2025-09</c:v>
                </c:pt>
                <c:pt idx="3">
                  <c:v>2025-10</c:v>
                </c:pt>
                <c:pt idx="4">
                  <c:v>2025-11</c:v>
                </c:pt>
                <c:pt idx="5">
                  <c:v>2025-12</c:v>
                </c:pt>
                <c:pt idx="6">
                  <c:v>2026-01</c:v>
                </c:pt>
              </c:strCache>
            </c:strRef>
          </c:cat>
          <c:val>
            <c:numRef>
              <c:f>Pivot_Table!$B$2:$B$9</c:f>
              <c:numCache>
                <c:formatCode>General</c:formatCode>
                <c:ptCount val="7"/>
                <c:pt idx="0">
                  <c:v>1212851</c:v>
                </c:pt>
                <c:pt idx="1">
                  <c:v>2044263</c:v>
                </c:pt>
                <c:pt idx="2">
                  <c:v>2177057</c:v>
                </c:pt>
                <c:pt idx="3">
                  <c:v>1984157</c:v>
                </c:pt>
                <c:pt idx="4">
                  <c:v>2173742</c:v>
                </c:pt>
                <c:pt idx="5">
                  <c:v>2286164</c:v>
                </c:pt>
                <c:pt idx="6">
                  <c:v>560925</c:v>
                </c:pt>
              </c:numCache>
            </c:numRef>
          </c:val>
          <c:smooth val="0"/>
          <c:extLst>
            <c:ext xmlns:c16="http://schemas.microsoft.com/office/drawing/2014/chart" uri="{C3380CC4-5D6E-409C-BE32-E72D297353CC}">
              <c16:uniqueId val="{00000000-32E5-4A16-B878-C97F3984ED3D}"/>
            </c:ext>
          </c:extLst>
        </c:ser>
        <c:dLbls>
          <c:showLegendKey val="0"/>
          <c:showVal val="0"/>
          <c:showCatName val="0"/>
          <c:showSerName val="0"/>
          <c:showPercent val="0"/>
          <c:showBubbleSize val="0"/>
        </c:dLbls>
        <c:smooth val="0"/>
        <c:axId val="460425919"/>
        <c:axId val="460426399"/>
      </c:lineChart>
      <c:catAx>
        <c:axId val="460425919"/>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460426399"/>
        <c:crosses val="autoZero"/>
        <c:auto val="1"/>
        <c:lblAlgn val="ctr"/>
        <c:lblOffset val="100"/>
        <c:noMultiLvlLbl val="0"/>
      </c:catAx>
      <c:valAx>
        <c:axId val="460426399"/>
        <c:scaling>
          <c:orientation val="minMax"/>
        </c:scaling>
        <c:delete val="0"/>
        <c:axPos val="l"/>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460425919"/>
        <c:crosses val="autoZero"/>
        <c:crossBetween val="between"/>
        <c:dispUnits>
          <c:builtInUnit val="thousands"/>
          <c:dispUnitsLbl>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dispUnitsLbl>
        </c:dispUnits>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Visible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[ecommerce_analytics_dataset.xlsx]Pivot_Table!PivotTable5</c:name>
    <c:fmtId val="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Units sold by Month</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Pivot_Table!$B$35</c:f>
              <c:strCache>
                <c:ptCount val="1"/>
                <c:pt idx="0">
                  <c:v>Total</c:v>
                </c:pt>
              </c:strCache>
            </c:strRef>
          </c:tx>
          <c:spPr>
            <a:solidFill>
              <a:schemeClr val="accent1"/>
            </a:solidFill>
            <a:ln>
              <a:noFill/>
            </a:ln>
            <a:effectLst/>
          </c:spPr>
          <c:invertIfNegative val="0"/>
          <c:cat>
            <c:strRef>
              <c:f>Pivot_Table!$A$36:$A$43</c:f>
              <c:strCache>
                <c:ptCount val="7"/>
                <c:pt idx="0">
                  <c:v>2025-07</c:v>
                </c:pt>
                <c:pt idx="1">
                  <c:v>2025-08</c:v>
                </c:pt>
                <c:pt idx="2">
                  <c:v>2025-09</c:v>
                </c:pt>
                <c:pt idx="3">
                  <c:v>2025-10</c:v>
                </c:pt>
                <c:pt idx="4">
                  <c:v>2025-11</c:v>
                </c:pt>
                <c:pt idx="5">
                  <c:v>2025-12</c:v>
                </c:pt>
                <c:pt idx="6">
                  <c:v>2026-01</c:v>
                </c:pt>
              </c:strCache>
            </c:strRef>
          </c:cat>
          <c:val>
            <c:numRef>
              <c:f>Pivot_Table!$B$36:$B$43</c:f>
              <c:numCache>
                <c:formatCode>General</c:formatCode>
                <c:ptCount val="7"/>
                <c:pt idx="0">
                  <c:v>497</c:v>
                </c:pt>
                <c:pt idx="1">
                  <c:v>803</c:v>
                </c:pt>
                <c:pt idx="2">
                  <c:v>850</c:v>
                </c:pt>
                <c:pt idx="3">
                  <c:v>877</c:v>
                </c:pt>
                <c:pt idx="4">
                  <c:v>877</c:v>
                </c:pt>
                <c:pt idx="5">
                  <c:v>860</c:v>
                </c:pt>
                <c:pt idx="6">
                  <c:v>236</c:v>
                </c:pt>
              </c:numCache>
            </c:numRef>
          </c:val>
          <c:extLst>
            <c:ext xmlns:c16="http://schemas.microsoft.com/office/drawing/2014/chart" uri="{C3380CC4-5D6E-409C-BE32-E72D297353CC}">
              <c16:uniqueId val="{00000000-A843-46D0-81F2-632C079F1E46}"/>
            </c:ext>
          </c:extLst>
        </c:ser>
        <c:dLbls>
          <c:showLegendKey val="0"/>
          <c:showVal val="0"/>
          <c:showCatName val="0"/>
          <c:showSerName val="0"/>
          <c:showPercent val="0"/>
          <c:showBubbleSize val="0"/>
        </c:dLbls>
        <c:gapWidth val="219"/>
        <c:overlap val="-27"/>
        <c:axId val="138377696"/>
        <c:axId val="138378176"/>
      </c:barChart>
      <c:catAx>
        <c:axId val="138377696"/>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38378176"/>
        <c:crosses val="autoZero"/>
        <c:auto val="1"/>
        <c:lblAlgn val="ctr"/>
        <c:lblOffset val="100"/>
        <c:noMultiLvlLbl val="0"/>
      </c:catAx>
      <c:valAx>
        <c:axId val="138378176"/>
        <c:scaling>
          <c:orientation val="minMax"/>
        </c:scaling>
        <c:delete val="0"/>
        <c:axPos val="l"/>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38377696"/>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Visible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[ecommerce_analytics_dataset.xlsx]Pivot_Table!PivotTable7</c:name>
    <c:fmtId val="4"/>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b="1"/>
              <a:t>Revenue by City </a:t>
            </a:r>
          </a:p>
        </c:rich>
      </c:tx>
      <c:layout>
        <c:manualLayout>
          <c:xMode val="edge"/>
          <c:yMode val="edge"/>
          <c:x val="0.3580073832234385"/>
          <c:y val="5.5055913647992623E-2"/>
        </c:manualLayout>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19050">
            <a:solidFill>
              <a:schemeClr val="lt1"/>
            </a:solidFill>
          </a:ln>
          <a:effectLst/>
        </c:spPr>
        <c:marker>
          <c:symbol val="none"/>
        </c:marker>
        <c:dLbl>
          <c:idx val="0"/>
          <c:numFmt formatCode="&quot;₹&quot;\ #,##0.00" sourceLinked="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1"/>
          <c:showSerName val="0"/>
          <c:showPercent val="0"/>
          <c:showBubbleSize val="0"/>
          <c:extLst>
            <c:ext xmlns:c15="http://schemas.microsoft.com/office/drawing/2012/chart" uri="{CE6537A1-D6FC-4f65-9D91-7224C49458BB}"/>
          </c:extLst>
        </c:dLbl>
      </c:pivotFmt>
      <c:pivotFmt>
        <c:idx val="1"/>
        <c:spPr>
          <a:solidFill>
            <a:schemeClr val="accent1"/>
          </a:solidFill>
          <a:ln w="19050">
            <a:solidFill>
              <a:schemeClr val="lt1"/>
            </a:solidFill>
          </a:ln>
          <a:effectLst/>
        </c:spPr>
        <c:dLbl>
          <c:idx val="0"/>
          <c:layout>
            <c:manualLayout>
              <c:x val="0.12933006535947711"/>
              <c:y val="-7.7759470456850083E-2"/>
            </c:manualLayout>
          </c:layout>
          <c:numFmt formatCode="&quot;₹&quot;\ #,##0.00" sourceLinked="0"/>
          <c:spPr>
            <a:noFill/>
            <a:ln>
              <a:noFill/>
            </a:ln>
            <a:effectLst/>
          </c:spPr>
          <c:txPr>
            <a:bodyPr rot="0" spcFirstLastPara="1" vertOverflow="ellipsis" vert="horz" wrap="square" lIns="38100" tIns="19050" rIns="38100" bIns="19050" anchor="ctr" anchorCtr="1">
              <a:no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1"/>
          <c:showSerName val="0"/>
          <c:showPercent val="0"/>
          <c:showBubbleSize val="0"/>
          <c:extLst>
            <c:ext xmlns:c15="http://schemas.microsoft.com/office/drawing/2012/chart" uri="{CE6537A1-D6FC-4f65-9D91-7224C49458BB}">
              <c15:layout>
                <c:manualLayout>
                  <c:w val="0.2192156862745098"/>
                  <c:h val="0.14526809612333688"/>
                </c:manualLayout>
              </c15:layout>
            </c:ext>
          </c:extLst>
        </c:dLbl>
      </c:pivotFmt>
      <c:pivotFmt>
        <c:idx val="2"/>
        <c:spPr>
          <a:solidFill>
            <a:schemeClr val="accent5"/>
          </a:solidFill>
          <a:ln w="19050">
            <a:solidFill>
              <a:schemeClr val="lt1"/>
            </a:solidFill>
          </a:ln>
          <a:effectLst/>
        </c:spPr>
        <c:dLbl>
          <c:idx val="0"/>
          <c:layout>
            <c:manualLayout>
              <c:x val="-0.1361111111111111"/>
              <c:y val="-2.7777777777777776E-2"/>
            </c:manualLayout>
          </c:layout>
          <c:numFmt formatCode="&quot;₹&quot;\ #,##0.00" sourceLinked="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1"/>
          <c:showSerName val="0"/>
          <c:showPercent val="0"/>
          <c:showBubbleSize val="0"/>
          <c:extLst>
            <c:ext xmlns:c15="http://schemas.microsoft.com/office/drawing/2012/chart" uri="{CE6537A1-D6FC-4f65-9D91-7224C49458BB}"/>
          </c:extLst>
        </c:dLbl>
      </c:pivotFmt>
      <c:pivotFmt>
        <c:idx val="3"/>
        <c:spPr>
          <a:solidFill>
            <a:schemeClr val="accent4"/>
          </a:solidFill>
          <a:ln w="19050">
            <a:solidFill>
              <a:schemeClr val="lt1"/>
            </a:solidFill>
          </a:ln>
          <a:effectLst/>
        </c:spPr>
        <c:dLbl>
          <c:idx val="0"/>
          <c:layout>
            <c:manualLayout>
              <c:x val="-0.13333333333333336"/>
              <c:y val="3.2407407407407489E-2"/>
            </c:manualLayout>
          </c:layout>
          <c:numFmt formatCode="&quot;₹&quot;\ #,##0.00" sourceLinked="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1"/>
          <c:showSerName val="0"/>
          <c:showPercent val="0"/>
          <c:showBubbleSize val="0"/>
          <c:extLst>
            <c:ext xmlns:c15="http://schemas.microsoft.com/office/drawing/2012/chart" uri="{CE6537A1-D6FC-4f65-9D91-7224C49458BB}"/>
          </c:extLst>
        </c:dLbl>
      </c:pivotFmt>
      <c:pivotFmt>
        <c:idx val="4"/>
        <c:spPr>
          <a:solidFill>
            <a:schemeClr val="accent3"/>
          </a:solidFill>
          <a:ln w="19050">
            <a:solidFill>
              <a:schemeClr val="lt1"/>
            </a:solidFill>
          </a:ln>
          <a:effectLst/>
        </c:spPr>
        <c:dLbl>
          <c:idx val="0"/>
          <c:layout>
            <c:manualLayout>
              <c:x val="6.1111111111111109E-2"/>
              <c:y val="8.7962962962962965E-2"/>
            </c:manualLayout>
          </c:layout>
          <c:numFmt formatCode="&quot;₹&quot;\ #,##0.00" sourceLinked="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1"/>
          <c:showSerName val="0"/>
          <c:showPercent val="0"/>
          <c:showBubbleSize val="0"/>
          <c:extLst>
            <c:ext xmlns:c15="http://schemas.microsoft.com/office/drawing/2012/chart" uri="{CE6537A1-D6FC-4f65-9D91-7224C49458BB}"/>
          </c:extLst>
        </c:dLbl>
      </c:pivotFmt>
      <c:pivotFmt>
        <c:idx val="5"/>
        <c:spPr>
          <a:solidFill>
            <a:schemeClr val="accent2"/>
          </a:solidFill>
          <a:ln w="19050">
            <a:solidFill>
              <a:schemeClr val="lt1"/>
            </a:solidFill>
          </a:ln>
          <a:effectLst/>
        </c:spPr>
        <c:dLbl>
          <c:idx val="0"/>
          <c:layout>
            <c:manualLayout>
              <c:x val="0.14999999999999991"/>
              <c:y val="0"/>
            </c:manualLayout>
          </c:layout>
          <c:numFmt formatCode="&quot;₹&quot;\ #,##0.00" sourceLinked="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1"/>
          <c:showSerName val="0"/>
          <c:showPercent val="0"/>
          <c:showBubbleSize val="0"/>
          <c:extLst>
            <c:ext xmlns:c15="http://schemas.microsoft.com/office/drawing/2012/chart" uri="{CE6537A1-D6FC-4f65-9D91-7224C49458BB}"/>
          </c:extLst>
        </c:dLbl>
      </c:pivotFmt>
    </c:pivotFmts>
    <c:plotArea>
      <c:layout/>
      <c:doughnutChart>
        <c:varyColors val="1"/>
        <c:ser>
          <c:idx val="0"/>
          <c:order val="0"/>
          <c:tx>
            <c:strRef>
              <c:f>Pivot_Table!$B$64</c:f>
              <c:strCache>
                <c:ptCount val="1"/>
                <c:pt idx="0">
                  <c:v>Total</c:v>
                </c:pt>
              </c:strCache>
            </c:strRef>
          </c:tx>
          <c:dPt>
            <c:idx val="0"/>
            <c:bubble3D val="0"/>
            <c:spPr>
              <a:solidFill>
                <a:schemeClr val="accent1"/>
              </a:solidFill>
              <a:ln w="19050">
                <a:solidFill>
                  <a:schemeClr val="lt1"/>
                </a:solidFill>
              </a:ln>
              <a:effectLst/>
            </c:spPr>
            <c:extLst>
              <c:ext xmlns:c16="http://schemas.microsoft.com/office/drawing/2014/chart" uri="{C3380CC4-5D6E-409C-BE32-E72D297353CC}">
                <c16:uniqueId val="{00000002-99C2-435C-AB2A-74D727AF9DDD}"/>
              </c:ext>
            </c:extLst>
          </c:dPt>
          <c:dPt>
            <c:idx val="1"/>
            <c:bubble3D val="0"/>
            <c:spPr>
              <a:solidFill>
                <a:schemeClr val="accent2"/>
              </a:solidFill>
              <a:ln w="19050">
                <a:solidFill>
                  <a:schemeClr val="lt1"/>
                </a:solidFill>
              </a:ln>
              <a:effectLst/>
            </c:spPr>
            <c:extLst>
              <c:ext xmlns:c16="http://schemas.microsoft.com/office/drawing/2014/chart" uri="{C3380CC4-5D6E-409C-BE32-E72D297353CC}">
                <c16:uniqueId val="{00000006-99C2-435C-AB2A-74D727AF9DDD}"/>
              </c:ext>
            </c:extLst>
          </c:dPt>
          <c:dPt>
            <c:idx val="2"/>
            <c:bubble3D val="0"/>
            <c:spPr>
              <a:solidFill>
                <a:schemeClr val="accent3"/>
              </a:solidFill>
              <a:ln w="19050">
                <a:solidFill>
                  <a:schemeClr val="lt1"/>
                </a:solidFill>
              </a:ln>
              <a:effectLst/>
            </c:spPr>
            <c:extLst>
              <c:ext xmlns:c16="http://schemas.microsoft.com/office/drawing/2014/chart" uri="{C3380CC4-5D6E-409C-BE32-E72D297353CC}">
                <c16:uniqueId val="{00000005-99C2-435C-AB2A-74D727AF9DDD}"/>
              </c:ext>
            </c:extLst>
          </c:dPt>
          <c:dPt>
            <c:idx val="3"/>
            <c:bubble3D val="0"/>
            <c:spPr>
              <a:solidFill>
                <a:schemeClr val="accent4"/>
              </a:solidFill>
              <a:ln w="19050">
                <a:solidFill>
                  <a:schemeClr val="lt1"/>
                </a:solidFill>
              </a:ln>
              <a:effectLst/>
            </c:spPr>
            <c:extLst>
              <c:ext xmlns:c16="http://schemas.microsoft.com/office/drawing/2014/chart" uri="{C3380CC4-5D6E-409C-BE32-E72D297353CC}">
                <c16:uniqueId val="{00000004-99C2-435C-AB2A-74D727AF9DDD}"/>
              </c:ext>
            </c:extLst>
          </c:dPt>
          <c:dPt>
            <c:idx val="4"/>
            <c:bubble3D val="0"/>
            <c:spPr>
              <a:solidFill>
                <a:schemeClr val="accent5"/>
              </a:solidFill>
              <a:ln w="19050">
                <a:solidFill>
                  <a:schemeClr val="lt1"/>
                </a:solidFill>
              </a:ln>
              <a:effectLst/>
            </c:spPr>
            <c:extLst>
              <c:ext xmlns:c16="http://schemas.microsoft.com/office/drawing/2014/chart" uri="{C3380CC4-5D6E-409C-BE32-E72D297353CC}">
                <c16:uniqueId val="{00000003-99C2-435C-AB2A-74D727AF9DDD}"/>
              </c:ext>
            </c:extLst>
          </c:dPt>
          <c:dLbls>
            <c:dLbl>
              <c:idx val="0"/>
              <c:layout>
                <c:manualLayout>
                  <c:x val="0.12933006535947711"/>
                  <c:y val="-7.7759470456850083E-2"/>
                </c:manualLayout>
              </c:layout>
              <c:numFmt formatCode="&quot;₹&quot;\ #,##0.00" sourceLinked="0"/>
              <c:spPr>
                <a:noFill/>
                <a:ln>
                  <a:noFill/>
                </a:ln>
                <a:effectLst/>
              </c:spPr>
              <c:txPr>
                <a:bodyPr rot="0" spcFirstLastPara="1" vertOverflow="ellipsis" vert="horz" wrap="square" lIns="38100" tIns="19050" rIns="38100" bIns="19050" anchor="ctr" anchorCtr="1">
                  <a:no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1"/>
              <c:showSerName val="0"/>
              <c:showPercent val="0"/>
              <c:showBubbleSize val="0"/>
              <c:extLst>
                <c:ext xmlns:c15="http://schemas.microsoft.com/office/drawing/2012/chart" uri="{CE6537A1-D6FC-4f65-9D91-7224C49458BB}">
                  <c15:layout>
                    <c:manualLayout>
                      <c:w val="0.2192156862745098"/>
                      <c:h val="0.14526809612333688"/>
                    </c:manualLayout>
                  </c15:layout>
                </c:ext>
                <c:ext xmlns:c16="http://schemas.microsoft.com/office/drawing/2014/chart" uri="{C3380CC4-5D6E-409C-BE32-E72D297353CC}">
                  <c16:uniqueId val="{00000002-99C2-435C-AB2A-74D727AF9DDD}"/>
                </c:ext>
              </c:extLst>
            </c:dLbl>
            <c:dLbl>
              <c:idx val="1"/>
              <c:layout>
                <c:manualLayout>
                  <c:x val="0.14999999999999991"/>
                  <c:y val="0"/>
                </c:manualLayout>
              </c:layout>
              <c:showLegendKey val="0"/>
              <c:showVal val="1"/>
              <c:showCatName val="1"/>
              <c:showSerName val="0"/>
              <c:showPercent val="0"/>
              <c:showBubbleSize val="0"/>
              <c:extLst>
                <c:ext xmlns:c15="http://schemas.microsoft.com/office/drawing/2012/chart" uri="{CE6537A1-D6FC-4f65-9D91-7224C49458BB}"/>
                <c:ext xmlns:c16="http://schemas.microsoft.com/office/drawing/2014/chart" uri="{C3380CC4-5D6E-409C-BE32-E72D297353CC}">
                  <c16:uniqueId val="{00000006-99C2-435C-AB2A-74D727AF9DDD}"/>
                </c:ext>
              </c:extLst>
            </c:dLbl>
            <c:dLbl>
              <c:idx val="2"/>
              <c:layout>
                <c:manualLayout>
                  <c:x val="6.1111111111111109E-2"/>
                  <c:y val="8.7962962962962965E-2"/>
                </c:manualLayout>
              </c:layout>
              <c:showLegendKey val="0"/>
              <c:showVal val="1"/>
              <c:showCatName val="1"/>
              <c:showSerName val="0"/>
              <c:showPercent val="0"/>
              <c:showBubbleSize val="0"/>
              <c:extLst>
                <c:ext xmlns:c15="http://schemas.microsoft.com/office/drawing/2012/chart" uri="{CE6537A1-D6FC-4f65-9D91-7224C49458BB}"/>
                <c:ext xmlns:c16="http://schemas.microsoft.com/office/drawing/2014/chart" uri="{C3380CC4-5D6E-409C-BE32-E72D297353CC}">
                  <c16:uniqueId val="{00000005-99C2-435C-AB2A-74D727AF9DDD}"/>
                </c:ext>
              </c:extLst>
            </c:dLbl>
            <c:dLbl>
              <c:idx val="3"/>
              <c:layout>
                <c:manualLayout>
                  <c:x val="-0.13333333333333336"/>
                  <c:y val="3.2407407407407489E-2"/>
                </c:manualLayout>
              </c:layout>
              <c:showLegendKey val="0"/>
              <c:showVal val="1"/>
              <c:showCatName val="1"/>
              <c:showSerName val="0"/>
              <c:showPercent val="0"/>
              <c:showBubbleSize val="0"/>
              <c:extLst>
                <c:ext xmlns:c15="http://schemas.microsoft.com/office/drawing/2012/chart" uri="{CE6537A1-D6FC-4f65-9D91-7224C49458BB}"/>
                <c:ext xmlns:c16="http://schemas.microsoft.com/office/drawing/2014/chart" uri="{C3380CC4-5D6E-409C-BE32-E72D297353CC}">
                  <c16:uniqueId val="{00000004-99C2-435C-AB2A-74D727AF9DDD}"/>
                </c:ext>
              </c:extLst>
            </c:dLbl>
            <c:dLbl>
              <c:idx val="4"/>
              <c:layout>
                <c:manualLayout>
                  <c:x val="-0.1361111111111111"/>
                  <c:y val="-2.7777777777777776E-2"/>
                </c:manualLayout>
              </c:layout>
              <c:showLegendKey val="0"/>
              <c:showVal val="1"/>
              <c:showCatName val="1"/>
              <c:showSerName val="0"/>
              <c:showPercent val="0"/>
              <c:showBubbleSize val="0"/>
              <c:extLst>
                <c:ext xmlns:c15="http://schemas.microsoft.com/office/drawing/2012/chart" uri="{CE6537A1-D6FC-4f65-9D91-7224C49458BB}"/>
                <c:ext xmlns:c16="http://schemas.microsoft.com/office/drawing/2014/chart" uri="{C3380CC4-5D6E-409C-BE32-E72D297353CC}">
                  <c16:uniqueId val="{00000003-99C2-435C-AB2A-74D727AF9DDD}"/>
                </c:ext>
              </c:extLst>
            </c:dLbl>
            <c:numFmt formatCode="&quot;₹&quot;\ #,##0.00" sourceLinked="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1"/>
            <c:showSerName val="0"/>
            <c:showPercent val="0"/>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Pivot_Table!$A$65:$A$70</c:f>
              <c:strCache>
                <c:ptCount val="5"/>
                <c:pt idx="0">
                  <c:v>Bangalore</c:v>
                </c:pt>
                <c:pt idx="1">
                  <c:v>Chennai</c:v>
                </c:pt>
                <c:pt idx="2">
                  <c:v>Delhi</c:v>
                </c:pt>
                <c:pt idx="3">
                  <c:v>Hyderabad</c:v>
                </c:pt>
                <c:pt idx="4">
                  <c:v>Mumbai</c:v>
                </c:pt>
              </c:strCache>
            </c:strRef>
          </c:cat>
          <c:val>
            <c:numRef>
              <c:f>Pivot_Table!$B$65:$B$70</c:f>
              <c:numCache>
                <c:formatCode>General</c:formatCode>
                <c:ptCount val="5"/>
                <c:pt idx="0">
                  <c:v>2532453</c:v>
                </c:pt>
                <c:pt idx="1">
                  <c:v>2624716</c:v>
                </c:pt>
                <c:pt idx="2">
                  <c:v>2518188</c:v>
                </c:pt>
                <c:pt idx="3">
                  <c:v>2355016</c:v>
                </c:pt>
                <c:pt idx="4">
                  <c:v>2408786</c:v>
                </c:pt>
              </c:numCache>
            </c:numRef>
          </c:val>
          <c:extLst>
            <c:ext xmlns:c16="http://schemas.microsoft.com/office/drawing/2014/chart" uri="{C3380CC4-5D6E-409C-BE32-E72D297353CC}">
              <c16:uniqueId val="{00000000-99C2-435C-AB2A-74D727AF9DDD}"/>
            </c:ext>
          </c:extLst>
        </c:ser>
        <c:dLbls>
          <c:showLegendKey val="0"/>
          <c:showVal val="1"/>
          <c:showCatName val="0"/>
          <c:showSerName val="0"/>
          <c:showPercent val="0"/>
          <c:showBubbleSize val="0"/>
          <c:showLeaderLines val="1"/>
        </c:dLbls>
        <c:firstSliceAng val="0"/>
        <c:holeSize val="75"/>
      </c:doughnutChart>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[ecommerce_analytics_dataset.xlsx]Pivot_Table!PivotTable6</c:name>
    <c:fmtId val="7"/>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b="1"/>
              <a:t>Order</a:t>
            </a:r>
            <a:r>
              <a:rPr lang="en-US" b="1" baseline="0"/>
              <a:t> Status Distribution by Market Channel</a:t>
            </a:r>
            <a:endParaRPr lang="en-US" b="1"/>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rgbClr val="CC3300"/>
          </a:solidFill>
          <a:ln>
            <a:noFill/>
          </a:ln>
          <a:effectLst/>
        </c:spPr>
        <c:marker>
          <c:symbol val="none"/>
        </c:marker>
        <c:dLbl>
          <c:idx val="0"/>
          <c:spPr>
            <a:solidFill>
              <a:schemeClr val="bg1"/>
            </a:solid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solidFill>
              <a:schemeClr val="bg1"/>
            </a:solid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6"/>
          </a:solidFill>
          <a:ln>
            <a:noFill/>
          </a:ln>
          <a:effectLst/>
        </c:spPr>
        <c:marker>
          <c:symbol val="none"/>
        </c:marker>
        <c:dLbl>
          <c:idx val="0"/>
          <c:spPr>
            <a:solidFill>
              <a:schemeClr val="bg1"/>
            </a:solid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col"/>
        <c:grouping val="percentStacked"/>
        <c:varyColors val="0"/>
        <c:ser>
          <c:idx val="0"/>
          <c:order val="0"/>
          <c:tx>
            <c:strRef>
              <c:f>Pivot_Table!$B$52:$B$53</c:f>
              <c:strCache>
                <c:ptCount val="1"/>
                <c:pt idx="0">
                  <c:v>returned</c:v>
                </c:pt>
              </c:strCache>
            </c:strRef>
          </c:tx>
          <c:spPr>
            <a:solidFill>
              <a:schemeClr val="accent6"/>
            </a:solidFill>
            <a:ln>
              <a:noFill/>
            </a:ln>
            <a:effectLst/>
          </c:spPr>
          <c:invertIfNegative val="0"/>
          <c:dLbls>
            <c:spPr>
              <a:solidFill>
                <a:schemeClr val="bg1"/>
              </a:solid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Pivot_Table!$A$54:$A$58</c:f>
              <c:strCache>
                <c:ptCount val="4"/>
                <c:pt idx="0">
                  <c:v>Facebook Ads</c:v>
                </c:pt>
                <c:pt idx="1">
                  <c:v>Google Ads</c:v>
                </c:pt>
                <c:pt idx="2">
                  <c:v>Organic</c:v>
                </c:pt>
                <c:pt idx="3">
                  <c:v>Referral</c:v>
                </c:pt>
              </c:strCache>
            </c:strRef>
          </c:cat>
          <c:val>
            <c:numRef>
              <c:f>Pivot_Table!$B$54:$B$58</c:f>
              <c:numCache>
                <c:formatCode>0.00%</c:formatCode>
                <c:ptCount val="4"/>
                <c:pt idx="0">
                  <c:v>8.3799999999999999E-2</c:v>
                </c:pt>
                <c:pt idx="1">
                  <c:v>8.8400000000000006E-2</c:v>
                </c:pt>
                <c:pt idx="2">
                  <c:v>8.4400000000000003E-2</c:v>
                </c:pt>
                <c:pt idx="3">
                  <c:v>7.5600000000000001E-2</c:v>
                </c:pt>
              </c:numCache>
            </c:numRef>
          </c:val>
          <c:extLst>
            <c:ext xmlns:c16="http://schemas.microsoft.com/office/drawing/2014/chart" uri="{C3380CC4-5D6E-409C-BE32-E72D297353CC}">
              <c16:uniqueId val="{00000000-EEC7-49AF-9BD0-4D3F41EFA17B}"/>
            </c:ext>
          </c:extLst>
        </c:ser>
        <c:ser>
          <c:idx val="1"/>
          <c:order val="1"/>
          <c:tx>
            <c:strRef>
              <c:f>Pivot_Table!$C$52:$C$53</c:f>
              <c:strCache>
                <c:ptCount val="1"/>
                <c:pt idx="0">
                  <c:v>completed</c:v>
                </c:pt>
              </c:strCache>
            </c:strRef>
          </c:tx>
          <c:spPr>
            <a:solidFill>
              <a:schemeClr val="accent1"/>
            </a:solidFill>
            <a:ln>
              <a:noFill/>
            </a:ln>
            <a:effectLst/>
          </c:spPr>
          <c:invertIfNegative val="0"/>
          <c:dLbls>
            <c:spPr>
              <a:solidFill>
                <a:schemeClr val="bg1"/>
              </a:solid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Pivot_Table!$A$54:$A$58</c:f>
              <c:strCache>
                <c:ptCount val="4"/>
                <c:pt idx="0">
                  <c:v>Facebook Ads</c:v>
                </c:pt>
                <c:pt idx="1">
                  <c:v>Google Ads</c:v>
                </c:pt>
                <c:pt idx="2">
                  <c:v>Organic</c:v>
                </c:pt>
                <c:pt idx="3">
                  <c:v>Referral</c:v>
                </c:pt>
              </c:strCache>
            </c:strRef>
          </c:cat>
          <c:val>
            <c:numRef>
              <c:f>Pivot_Table!$C$54:$C$58</c:f>
              <c:numCache>
                <c:formatCode>0.00%</c:formatCode>
                <c:ptCount val="4"/>
                <c:pt idx="0">
                  <c:v>8.3400000000000002E-2</c:v>
                </c:pt>
                <c:pt idx="1">
                  <c:v>7.5399999999999995E-2</c:v>
                </c:pt>
                <c:pt idx="2">
                  <c:v>8.5000000000000006E-2</c:v>
                </c:pt>
                <c:pt idx="3">
                  <c:v>8.1199999999999994E-2</c:v>
                </c:pt>
              </c:numCache>
            </c:numRef>
          </c:val>
          <c:extLst>
            <c:ext xmlns:c16="http://schemas.microsoft.com/office/drawing/2014/chart" uri="{C3380CC4-5D6E-409C-BE32-E72D297353CC}">
              <c16:uniqueId val="{00000001-EEC7-49AF-9BD0-4D3F41EFA17B}"/>
            </c:ext>
          </c:extLst>
        </c:ser>
        <c:ser>
          <c:idx val="2"/>
          <c:order val="2"/>
          <c:tx>
            <c:strRef>
              <c:f>Pivot_Table!$D$52:$D$53</c:f>
              <c:strCache>
                <c:ptCount val="1"/>
                <c:pt idx="0">
                  <c:v>cancelled</c:v>
                </c:pt>
              </c:strCache>
            </c:strRef>
          </c:tx>
          <c:spPr>
            <a:solidFill>
              <a:srgbClr val="CC3300"/>
            </a:solidFill>
            <a:ln>
              <a:noFill/>
            </a:ln>
            <a:effectLst/>
          </c:spPr>
          <c:invertIfNegative val="0"/>
          <c:dLbls>
            <c:spPr>
              <a:solidFill>
                <a:schemeClr val="bg1"/>
              </a:solid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Pivot_Table!$A$54:$A$58</c:f>
              <c:strCache>
                <c:ptCount val="4"/>
                <c:pt idx="0">
                  <c:v>Facebook Ads</c:v>
                </c:pt>
                <c:pt idx="1">
                  <c:v>Google Ads</c:v>
                </c:pt>
                <c:pt idx="2">
                  <c:v>Organic</c:v>
                </c:pt>
                <c:pt idx="3">
                  <c:v>Referral</c:v>
                </c:pt>
              </c:strCache>
            </c:strRef>
          </c:cat>
          <c:val>
            <c:numRef>
              <c:f>Pivot_Table!$D$54:$D$58</c:f>
              <c:numCache>
                <c:formatCode>0.00%</c:formatCode>
                <c:ptCount val="4"/>
                <c:pt idx="0">
                  <c:v>8.8999999999999996E-2</c:v>
                </c:pt>
                <c:pt idx="1">
                  <c:v>8.7400000000000005E-2</c:v>
                </c:pt>
                <c:pt idx="2">
                  <c:v>8.5800000000000001E-2</c:v>
                </c:pt>
                <c:pt idx="3">
                  <c:v>8.0600000000000005E-2</c:v>
                </c:pt>
              </c:numCache>
            </c:numRef>
          </c:val>
          <c:extLst>
            <c:ext xmlns:c16="http://schemas.microsoft.com/office/drawing/2014/chart" uri="{C3380CC4-5D6E-409C-BE32-E72D297353CC}">
              <c16:uniqueId val="{00000002-EEC7-49AF-9BD0-4D3F41EFA17B}"/>
            </c:ext>
          </c:extLst>
        </c:ser>
        <c:dLbls>
          <c:dLblPos val="ctr"/>
          <c:showLegendKey val="0"/>
          <c:showVal val="1"/>
          <c:showCatName val="0"/>
          <c:showSerName val="0"/>
          <c:showPercent val="0"/>
          <c:showBubbleSize val="0"/>
        </c:dLbls>
        <c:gapWidth val="150"/>
        <c:overlap val="100"/>
        <c:axId val="1207953488"/>
        <c:axId val="1207954448"/>
      </c:barChart>
      <c:catAx>
        <c:axId val="1207953488"/>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207954448"/>
        <c:crosses val="autoZero"/>
        <c:auto val="1"/>
        <c:lblAlgn val="ctr"/>
        <c:lblOffset val="100"/>
        <c:noMultiLvlLbl val="0"/>
      </c:catAx>
      <c:valAx>
        <c:axId val="1207954448"/>
        <c:scaling>
          <c:orientation val="minMax"/>
        </c:scaling>
        <c:delete val="0"/>
        <c:axPos val="l"/>
        <c:numFmt formatCode="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207953488"/>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[ecommerce_analytics_dataset.xlsx]Pivot_Table!PivotTable4</c:name>
    <c:fmtId val="2"/>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b="1"/>
              <a:t>Monthly Revenue</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Pivot_Table!$B$1</c:f>
              <c:strCache>
                <c:ptCount val="1"/>
                <c:pt idx="0">
                  <c:v>Total</c:v>
                </c:pt>
              </c:strCache>
            </c:strRef>
          </c:tx>
          <c:spPr>
            <a:ln w="28575" cap="rnd">
              <a:solidFill>
                <a:schemeClr val="accent1"/>
              </a:solidFill>
              <a:round/>
            </a:ln>
            <a:effectLst/>
          </c:spPr>
          <c:marker>
            <c:symbol val="none"/>
          </c:marker>
          <c:cat>
            <c:strRef>
              <c:f>Pivot_Table!$A$2:$A$9</c:f>
              <c:strCache>
                <c:ptCount val="7"/>
                <c:pt idx="0">
                  <c:v>2025-07</c:v>
                </c:pt>
                <c:pt idx="1">
                  <c:v>2025-08</c:v>
                </c:pt>
                <c:pt idx="2">
                  <c:v>2025-09</c:v>
                </c:pt>
                <c:pt idx="3">
                  <c:v>2025-10</c:v>
                </c:pt>
                <c:pt idx="4">
                  <c:v>2025-11</c:v>
                </c:pt>
                <c:pt idx="5">
                  <c:v>2025-12</c:v>
                </c:pt>
                <c:pt idx="6">
                  <c:v>2026-01</c:v>
                </c:pt>
              </c:strCache>
            </c:strRef>
          </c:cat>
          <c:val>
            <c:numRef>
              <c:f>Pivot_Table!$B$2:$B$9</c:f>
              <c:numCache>
                <c:formatCode>General</c:formatCode>
                <c:ptCount val="7"/>
                <c:pt idx="0">
                  <c:v>1212851</c:v>
                </c:pt>
                <c:pt idx="1">
                  <c:v>2044263</c:v>
                </c:pt>
                <c:pt idx="2">
                  <c:v>2177057</c:v>
                </c:pt>
                <c:pt idx="3">
                  <c:v>1984157</c:v>
                </c:pt>
                <c:pt idx="4">
                  <c:v>2173742</c:v>
                </c:pt>
                <c:pt idx="5">
                  <c:v>2286164</c:v>
                </c:pt>
                <c:pt idx="6">
                  <c:v>560925</c:v>
                </c:pt>
              </c:numCache>
            </c:numRef>
          </c:val>
          <c:smooth val="0"/>
          <c:extLst>
            <c:ext xmlns:c16="http://schemas.microsoft.com/office/drawing/2014/chart" uri="{C3380CC4-5D6E-409C-BE32-E72D297353CC}">
              <c16:uniqueId val="{00000000-9B5C-4A6F-AB7F-E362B56384D8}"/>
            </c:ext>
          </c:extLst>
        </c:ser>
        <c:dLbls>
          <c:showLegendKey val="0"/>
          <c:showVal val="0"/>
          <c:showCatName val="0"/>
          <c:showSerName val="0"/>
          <c:showPercent val="0"/>
          <c:showBubbleSize val="0"/>
        </c:dLbls>
        <c:smooth val="0"/>
        <c:axId val="460425919"/>
        <c:axId val="460426399"/>
      </c:lineChart>
      <c:catAx>
        <c:axId val="460425919"/>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460426399"/>
        <c:crosses val="autoZero"/>
        <c:auto val="1"/>
        <c:lblAlgn val="ctr"/>
        <c:lblOffset val="100"/>
        <c:noMultiLvlLbl val="0"/>
      </c:catAx>
      <c:valAx>
        <c:axId val="460426399"/>
        <c:scaling>
          <c:orientation val="minMax"/>
        </c:scaling>
        <c:delete val="0"/>
        <c:axPos val="l"/>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1" i="0" u="none" strike="noStrike" kern="1200" baseline="0">
                <a:solidFill>
                  <a:schemeClr val="tx1">
                    <a:lumMod val="65000"/>
                    <a:lumOff val="35000"/>
                  </a:schemeClr>
                </a:solidFill>
                <a:latin typeface="+mn-lt"/>
                <a:ea typeface="+mn-ea"/>
                <a:cs typeface="+mn-cs"/>
              </a:defRPr>
            </a:pPr>
            <a:endParaRPr lang="en-US"/>
          </a:p>
        </c:txPr>
        <c:crossAx val="460425919"/>
        <c:crosses val="autoZero"/>
        <c:crossBetween val="between"/>
        <c:dispUnits>
          <c:builtInUnit val="thousands"/>
          <c:dispUnitsLbl>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dispUnitsLbl>
        </c:dispUnits>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[ecommerce_analytics_dataset.xlsx]Pivot_Table!PivotTable5</c:name>
    <c:fmtId val="2"/>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b="1"/>
              <a:t>Order Volume by Month</a:t>
            </a:r>
            <a:endParaRPr lang="en-US"/>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Pivot_Table!$B$35</c:f>
              <c:strCache>
                <c:ptCount val="1"/>
                <c:pt idx="0">
                  <c:v>Total</c:v>
                </c:pt>
              </c:strCache>
            </c:strRef>
          </c:tx>
          <c:spPr>
            <a:solidFill>
              <a:schemeClr val="accent1"/>
            </a:solidFill>
            <a:ln>
              <a:noFill/>
            </a:ln>
            <a:effectLst/>
          </c:spPr>
          <c:invertIfNegative val="0"/>
          <c:cat>
            <c:strRef>
              <c:f>Pivot_Table!$A$36:$A$43</c:f>
              <c:strCache>
                <c:ptCount val="7"/>
                <c:pt idx="0">
                  <c:v>2025-07</c:v>
                </c:pt>
                <c:pt idx="1">
                  <c:v>2025-08</c:v>
                </c:pt>
                <c:pt idx="2">
                  <c:v>2025-09</c:v>
                </c:pt>
                <c:pt idx="3">
                  <c:v>2025-10</c:v>
                </c:pt>
                <c:pt idx="4">
                  <c:v>2025-11</c:v>
                </c:pt>
                <c:pt idx="5">
                  <c:v>2025-12</c:v>
                </c:pt>
                <c:pt idx="6">
                  <c:v>2026-01</c:v>
                </c:pt>
              </c:strCache>
            </c:strRef>
          </c:cat>
          <c:val>
            <c:numRef>
              <c:f>Pivot_Table!$B$36:$B$43</c:f>
              <c:numCache>
                <c:formatCode>General</c:formatCode>
                <c:ptCount val="7"/>
                <c:pt idx="0">
                  <c:v>497</c:v>
                </c:pt>
                <c:pt idx="1">
                  <c:v>803</c:v>
                </c:pt>
                <c:pt idx="2">
                  <c:v>850</c:v>
                </c:pt>
                <c:pt idx="3">
                  <c:v>877</c:v>
                </c:pt>
                <c:pt idx="4">
                  <c:v>877</c:v>
                </c:pt>
                <c:pt idx="5">
                  <c:v>860</c:v>
                </c:pt>
                <c:pt idx="6">
                  <c:v>236</c:v>
                </c:pt>
              </c:numCache>
            </c:numRef>
          </c:val>
          <c:extLst>
            <c:ext xmlns:c16="http://schemas.microsoft.com/office/drawing/2014/chart" uri="{C3380CC4-5D6E-409C-BE32-E72D297353CC}">
              <c16:uniqueId val="{00000000-BA0C-471C-AE83-51D9FBD4CA33}"/>
            </c:ext>
          </c:extLst>
        </c:ser>
        <c:dLbls>
          <c:showLegendKey val="0"/>
          <c:showVal val="0"/>
          <c:showCatName val="0"/>
          <c:showSerName val="0"/>
          <c:showPercent val="0"/>
          <c:showBubbleSize val="0"/>
        </c:dLbls>
        <c:gapWidth val="219"/>
        <c:overlap val="-27"/>
        <c:axId val="138377696"/>
        <c:axId val="138378176"/>
      </c:barChart>
      <c:catAx>
        <c:axId val="138377696"/>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38378176"/>
        <c:crosses val="autoZero"/>
        <c:auto val="1"/>
        <c:lblAlgn val="ctr"/>
        <c:lblOffset val="100"/>
        <c:noMultiLvlLbl val="0"/>
      </c:catAx>
      <c:valAx>
        <c:axId val="138378176"/>
        <c:scaling>
          <c:orientation val="minMax"/>
        </c:scaling>
        <c:delete val="0"/>
        <c:axPos val="l"/>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1" i="0" u="none" strike="noStrike" kern="1200" baseline="0">
                <a:solidFill>
                  <a:schemeClr val="tx1">
                    <a:lumMod val="65000"/>
                    <a:lumOff val="35000"/>
                  </a:schemeClr>
                </a:solidFill>
                <a:latin typeface="+mn-lt"/>
                <a:ea typeface="+mn-ea"/>
                <a:cs typeface="+mn-cs"/>
              </a:defRPr>
            </a:pPr>
            <a:endParaRPr lang="en-US"/>
          </a:p>
        </c:txPr>
        <c:crossAx val="138377696"/>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[ecommerce_analytics_dataset.xlsx]Pivot_Table!PivotTable2</c:name>
    <c:fmtId val="9"/>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b="1"/>
              <a:t>Revenue by Category</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pivotFmt>
      <c:pivotFmt>
        <c:idx val="3"/>
        <c:spPr>
          <a:solidFill>
            <a:schemeClr val="accent1"/>
          </a:solidFill>
          <a:ln>
            <a:noFill/>
          </a:ln>
          <a:effectLst/>
        </c:spPr>
      </c:pivotFmt>
      <c:pivotFmt>
        <c:idx val="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6.7579230539868348E-2"/>
          <c:y val="0.27424727342161187"/>
          <c:w val="0.68676270579813892"/>
          <c:h val="0.53114428404782732"/>
        </c:manualLayout>
      </c:layout>
      <c:barChart>
        <c:barDir val="bar"/>
        <c:grouping val="clustered"/>
        <c:varyColors val="0"/>
        <c:ser>
          <c:idx val="0"/>
          <c:order val="0"/>
          <c:tx>
            <c:strRef>
              <c:f>Pivot_Table!$B$11</c:f>
              <c:strCache>
                <c:ptCount val="1"/>
                <c:pt idx="0">
                  <c:v>Total</c:v>
                </c:pt>
              </c:strCache>
            </c:strRef>
          </c:tx>
          <c:spPr>
            <a:solidFill>
              <a:schemeClr val="accent1"/>
            </a:solidFill>
            <a:ln>
              <a:noFill/>
            </a:ln>
            <a:effectLst/>
          </c:spPr>
          <c:invertIfNegative val="0"/>
          <c:cat>
            <c:strRef>
              <c:f>Pivot_Table!$A$12:$A$17</c:f>
              <c:strCache>
                <c:ptCount val="5"/>
                <c:pt idx="0">
                  <c:v>Electronics</c:v>
                </c:pt>
                <c:pt idx="1">
                  <c:v>Beauty</c:v>
                </c:pt>
                <c:pt idx="2">
                  <c:v>Home</c:v>
                </c:pt>
                <c:pt idx="3">
                  <c:v>Fashion</c:v>
                </c:pt>
                <c:pt idx="4">
                  <c:v>Grocery</c:v>
                </c:pt>
              </c:strCache>
            </c:strRef>
          </c:cat>
          <c:val>
            <c:numRef>
              <c:f>Pivot_Table!$B$12:$B$17</c:f>
              <c:numCache>
                <c:formatCode>General</c:formatCode>
                <c:ptCount val="5"/>
                <c:pt idx="0">
                  <c:v>2744892</c:v>
                </c:pt>
                <c:pt idx="1">
                  <c:v>2563674</c:v>
                </c:pt>
                <c:pt idx="2">
                  <c:v>2531029</c:v>
                </c:pt>
                <c:pt idx="3">
                  <c:v>2338932</c:v>
                </c:pt>
                <c:pt idx="4">
                  <c:v>2260632</c:v>
                </c:pt>
              </c:numCache>
            </c:numRef>
          </c:val>
          <c:extLst>
            <c:ext xmlns:c16="http://schemas.microsoft.com/office/drawing/2014/chart" uri="{C3380CC4-5D6E-409C-BE32-E72D297353CC}">
              <c16:uniqueId val="{00000000-713B-4214-A888-053C02083E33}"/>
            </c:ext>
          </c:extLst>
        </c:ser>
        <c:dLbls>
          <c:showLegendKey val="0"/>
          <c:showVal val="0"/>
          <c:showCatName val="0"/>
          <c:showSerName val="0"/>
          <c:showPercent val="0"/>
          <c:showBubbleSize val="0"/>
        </c:dLbls>
        <c:gapWidth val="150"/>
        <c:axId val="460372639"/>
        <c:axId val="460382239"/>
      </c:barChart>
      <c:catAx>
        <c:axId val="460372639"/>
        <c:scaling>
          <c:orientation val="maxMin"/>
        </c:scaling>
        <c:delete val="0"/>
        <c:axPos val="l"/>
        <c:numFmt formatCode="General" sourceLinked="1"/>
        <c:majorTickMark val="none"/>
        <c:minorTickMark val="none"/>
        <c:tickLblPos val="high"/>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1" i="0" u="none" strike="noStrike" kern="1200" baseline="0">
                <a:solidFill>
                  <a:schemeClr val="tx1">
                    <a:lumMod val="65000"/>
                    <a:lumOff val="35000"/>
                  </a:schemeClr>
                </a:solidFill>
                <a:latin typeface="+mn-lt"/>
                <a:ea typeface="+mn-ea"/>
                <a:cs typeface="+mn-cs"/>
              </a:defRPr>
            </a:pPr>
            <a:endParaRPr lang="en-US"/>
          </a:p>
        </c:txPr>
        <c:crossAx val="460382239"/>
        <c:crosses val="autoZero"/>
        <c:auto val="1"/>
        <c:lblAlgn val="ctr"/>
        <c:lblOffset val="100"/>
        <c:noMultiLvlLbl val="0"/>
      </c:catAx>
      <c:valAx>
        <c:axId val="460382239"/>
        <c:scaling>
          <c:orientation val="minMax"/>
        </c:scaling>
        <c:delete val="0"/>
        <c:axPos val="t"/>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460372639"/>
        <c:crosses val="autoZero"/>
        <c:crossBetween val="between"/>
        <c:dispUnits>
          <c:builtInUnit val="thousands"/>
          <c:dispUnitsLbl>
            <c:layout>
              <c:manualLayout>
                <c:xMode val="edge"/>
                <c:yMode val="edge"/>
                <c:x val="6.3977798893217516E-2"/>
                <c:y val="5.2445105016386093E-2"/>
              </c:manualLayout>
            </c:layout>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dispUnitsLbl>
        </c:dispUnits>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[ecommerce_analytics_dataset.xlsx]Pivot_Table!PivotTable7</c:name>
    <c:fmtId val="6"/>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b="1"/>
              <a:t>Revenue by City </a:t>
            </a:r>
          </a:p>
        </c:rich>
      </c:tx>
      <c:layout>
        <c:manualLayout>
          <c:xMode val="edge"/>
          <c:yMode val="edge"/>
          <c:x val="0.3580073832234385"/>
          <c:y val="5.5055913647992623E-2"/>
        </c:manualLayout>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19050">
            <a:solidFill>
              <a:schemeClr val="lt1"/>
            </a:solidFill>
          </a:ln>
          <a:effectLst/>
        </c:spPr>
        <c:marker>
          <c:symbol val="none"/>
        </c:marker>
        <c:dLbl>
          <c:idx val="0"/>
          <c:numFmt formatCode="&quot;₹&quot;\ #,##0.00" sourceLinked="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1"/>
          <c:showSerName val="0"/>
          <c:showPercent val="0"/>
          <c:showBubbleSize val="0"/>
          <c:extLst>
            <c:ext xmlns:c15="http://schemas.microsoft.com/office/drawing/2012/chart" uri="{CE6537A1-D6FC-4f65-9D91-7224C49458BB}"/>
          </c:extLst>
        </c:dLbl>
      </c:pivotFmt>
      <c:pivotFmt>
        <c:idx val="1"/>
        <c:spPr>
          <a:solidFill>
            <a:schemeClr val="accent1"/>
          </a:solidFill>
          <a:ln w="19050">
            <a:solidFill>
              <a:schemeClr val="lt1"/>
            </a:solidFill>
          </a:ln>
          <a:effectLst/>
        </c:spPr>
        <c:dLbl>
          <c:idx val="0"/>
          <c:layout>
            <c:manualLayout>
              <c:x val="0.12933006535947711"/>
              <c:y val="-7.7759470456850083E-2"/>
            </c:manualLayout>
          </c:layout>
          <c:numFmt formatCode="&quot;₹&quot;\ #,##0.00" sourceLinked="0"/>
          <c:spPr>
            <a:noFill/>
            <a:ln>
              <a:noFill/>
            </a:ln>
            <a:effectLst/>
          </c:spPr>
          <c:txPr>
            <a:bodyPr rot="0" spcFirstLastPara="1" vertOverflow="ellipsis" vert="horz" wrap="square" lIns="38100" tIns="19050" rIns="38100" bIns="19050" anchor="ctr" anchorCtr="1">
              <a:no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1"/>
          <c:showSerName val="0"/>
          <c:showPercent val="0"/>
          <c:showBubbleSize val="0"/>
          <c:extLst>
            <c:ext xmlns:c15="http://schemas.microsoft.com/office/drawing/2012/chart" uri="{CE6537A1-D6FC-4f65-9D91-7224C49458BB}">
              <c15:layout>
                <c:manualLayout>
                  <c:w val="0.2192156862745098"/>
                  <c:h val="0.14526809612333688"/>
                </c:manualLayout>
              </c15:layout>
            </c:ext>
          </c:extLst>
        </c:dLbl>
      </c:pivotFmt>
      <c:pivotFmt>
        <c:idx val="2"/>
        <c:spPr>
          <a:solidFill>
            <a:schemeClr val="accent5"/>
          </a:solidFill>
          <a:ln w="19050">
            <a:solidFill>
              <a:schemeClr val="lt1"/>
            </a:solidFill>
          </a:ln>
          <a:effectLst/>
        </c:spPr>
        <c:dLbl>
          <c:idx val="0"/>
          <c:layout>
            <c:manualLayout>
              <c:x val="-0.1361111111111111"/>
              <c:y val="-2.7777777777777776E-2"/>
            </c:manualLayout>
          </c:layout>
          <c:numFmt formatCode="&quot;₹&quot;\ #,##0.00" sourceLinked="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1"/>
          <c:showSerName val="0"/>
          <c:showPercent val="0"/>
          <c:showBubbleSize val="0"/>
          <c:extLst>
            <c:ext xmlns:c15="http://schemas.microsoft.com/office/drawing/2012/chart" uri="{CE6537A1-D6FC-4f65-9D91-7224C49458BB}"/>
          </c:extLst>
        </c:dLbl>
      </c:pivotFmt>
      <c:pivotFmt>
        <c:idx val="3"/>
        <c:spPr>
          <a:solidFill>
            <a:schemeClr val="accent4"/>
          </a:solidFill>
          <a:ln w="19050">
            <a:solidFill>
              <a:schemeClr val="lt1"/>
            </a:solidFill>
          </a:ln>
          <a:effectLst/>
        </c:spPr>
        <c:dLbl>
          <c:idx val="0"/>
          <c:layout>
            <c:manualLayout>
              <c:x val="-0.13333333333333336"/>
              <c:y val="3.2407407407407489E-2"/>
            </c:manualLayout>
          </c:layout>
          <c:numFmt formatCode="&quot;₹&quot;\ #,##0.00" sourceLinked="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1"/>
          <c:showSerName val="0"/>
          <c:showPercent val="0"/>
          <c:showBubbleSize val="0"/>
          <c:extLst>
            <c:ext xmlns:c15="http://schemas.microsoft.com/office/drawing/2012/chart" uri="{CE6537A1-D6FC-4f65-9D91-7224C49458BB}"/>
          </c:extLst>
        </c:dLbl>
      </c:pivotFmt>
      <c:pivotFmt>
        <c:idx val="4"/>
        <c:spPr>
          <a:solidFill>
            <a:schemeClr val="accent3"/>
          </a:solidFill>
          <a:ln w="19050">
            <a:solidFill>
              <a:schemeClr val="lt1"/>
            </a:solidFill>
          </a:ln>
          <a:effectLst/>
        </c:spPr>
        <c:dLbl>
          <c:idx val="0"/>
          <c:layout>
            <c:manualLayout>
              <c:x val="6.1111111111111109E-2"/>
              <c:y val="8.7962962962962965E-2"/>
            </c:manualLayout>
          </c:layout>
          <c:numFmt formatCode="&quot;₹&quot;\ #,##0.00" sourceLinked="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1"/>
          <c:showSerName val="0"/>
          <c:showPercent val="0"/>
          <c:showBubbleSize val="0"/>
          <c:extLst>
            <c:ext xmlns:c15="http://schemas.microsoft.com/office/drawing/2012/chart" uri="{CE6537A1-D6FC-4f65-9D91-7224C49458BB}"/>
          </c:extLst>
        </c:dLbl>
      </c:pivotFmt>
      <c:pivotFmt>
        <c:idx val="5"/>
        <c:spPr>
          <a:solidFill>
            <a:schemeClr val="accent2"/>
          </a:solidFill>
          <a:ln w="19050">
            <a:solidFill>
              <a:schemeClr val="lt1"/>
            </a:solidFill>
          </a:ln>
          <a:effectLst/>
        </c:spPr>
        <c:dLbl>
          <c:idx val="0"/>
          <c:layout>
            <c:manualLayout>
              <c:x val="0.14999999999999991"/>
              <c:y val="0"/>
            </c:manualLayout>
          </c:layout>
          <c:numFmt formatCode="&quot;₹&quot;\ #,##0.00" sourceLinked="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1"/>
          <c:showSerName val="0"/>
          <c:showPercent val="0"/>
          <c:showBubbleSize val="0"/>
          <c:extLst>
            <c:ext xmlns:c15="http://schemas.microsoft.com/office/drawing/2012/chart" uri="{CE6537A1-D6FC-4f65-9D91-7224C49458BB}"/>
          </c:extLst>
        </c:dLbl>
      </c:pivotFmt>
      <c:pivotFmt>
        <c:idx val="6"/>
        <c:spPr>
          <a:solidFill>
            <a:schemeClr val="accent1"/>
          </a:solidFill>
          <a:ln w="19050">
            <a:solidFill>
              <a:schemeClr val="lt1"/>
            </a:solidFill>
          </a:ln>
          <a:effectLst/>
        </c:spPr>
        <c:marker>
          <c:symbol val="none"/>
        </c:marker>
        <c:dLbl>
          <c:idx val="0"/>
          <c:numFmt formatCode="&quot;₹&quot;\ #,##0.00" sourceLinked="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1"/>
          <c:showSerName val="0"/>
          <c:showPercent val="0"/>
          <c:showBubbleSize val="0"/>
          <c:extLst>
            <c:ext xmlns:c15="http://schemas.microsoft.com/office/drawing/2012/chart" uri="{CE6537A1-D6FC-4f65-9D91-7224C49458BB}"/>
          </c:extLst>
        </c:dLbl>
      </c:pivotFmt>
      <c:pivotFmt>
        <c:idx val="7"/>
        <c:spPr>
          <a:solidFill>
            <a:schemeClr val="accent1"/>
          </a:solidFill>
          <a:ln w="19050">
            <a:solidFill>
              <a:schemeClr val="lt1"/>
            </a:solidFill>
          </a:ln>
          <a:effectLst/>
        </c:spPr>
        <c:dLbl>
          <c:idx val="0"/>
          <c:layout>
            <c:manualLayout>
              <c:x val="0.12933006535947711"/>
              <c:y val="-7.7759470456850083E-2"/>
            </c:manualLayout>
          </c:layout>
          <c:numFmt formatCode="&quot;₹&quot;\ #,##0.00" sourceLinked="0"/>
          <c:spPr>
            <a:noFill/>
            <a:ln>
              <a:noFill/>
            </a:ln>
            <a:effectLst/>
          </c:spPr>
          <c:txPr>
            <a:bodyPr rot="0" spcFirstLastPara="1" vertOverflow="ellipsis" vert="horz" wrap="square" lIns="38100" tIns="19050" rIns="38100" bIns="19050" anchor="ctr" anchorCtr="1">
              <a:no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1"/>
          <c:showSerName val="0"/>
          <c:showPercent val="0"/>
          <c:showBubbleSize val="0"/>
          <c:extLst>
            <c:ext xmlns:c15="http://schemas.microsoft.com/office/drawing/2012/chart" uri="{CE6537A1-D6FC-4f65-9D91-7224C49458BB}">
              <c15:layout>
                <c:manualLayout>
                  <c:w val="0.2192156862745098"/>
                  <c:h val="0.14526809612333688"/>
                </c:manualLayout>
              </c15:layout>
            </c:ext>
          </c:extLst>
        </c:dLbl>
      </c:pivotFmt>
      <c:pivotFmt>
        <c:idx val="8"/>
        <c:spPr>
          <a:solidFill>
            <a:schemeClr val="accent1"/>
          </a:solidFill>
          <a:ln w="19050">
            <a:solidFill>
              <a:schemeClr val="lt1"/>
            </a:solidFill>
          </a:ln>
          <a:effectLst/>
        </c:spPr>
        <c:dLbl>
          <c:idx val="0"/>
          <c:layout>
            <c:manualLayout>
              <c:x val="0.14999999999999991"/>
              <c:y val="0"/>
            </c:manualLayout>
          </c:layout>
          <c:numFmt formatCode="&quot;₹&quot;\ #,##0.00" sourceLinked="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1"/>
          <c:showSerName val="0"/>
          <c:showPercent val="0"/>
          <c:showBubbleSize val="0"/>
          <c:extLst>
            <c:ext xmlns:c15="http://schemas.microsoft.com/office/drawing/2012/chart" uri="{CE6537A1-D6FC-4f65-9D91-7224C49458BB}"/>
          </c:extLst>
        </c:dLbl>
      </c:pivotFmt>
      <c:pivotFmt>
        <c:idx val="9"/>
        <c:spPr>
          <a:solidFill>
            <a:schemeClr val="accent1"/>
          </a:solidFill>
          <a:ln w="19050">
            <a:solidFill>
              <a:schemeClr val="lt1"/>
            </a:solidFill>
          </a:ln>
          <a:effectLst/>
        </c:spPr>
        <c:dLbl>
          <c:idx val="0"/>
          <c:layout>
            <c:manualLayout>
              <c:x val="6.1111111111111109E-2"/>
              <c:y val="8.7962962962962965E-2"/>
            </c:manualLayout>
          </c:layout>
          <c:numFmt formatCode="&quot;₹&quot;\ #,##0.00" sourceLinked="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1"/>
          <c:showSerName val="0"/>
          <c:showPercent val="0"/>
          <c:showBubbleSize val="0"/>
          <c:extLst>
            <c:ext xmlns:c15="http://schemas.microsoft.com/office/drawing/2012/chart" uri="{CE6537A1-D6FC-4f65-9D91-7224C49458BB}"/>
          </c:extLst>
        </c:dLbl>
      </c:pivotFmt>
      <c:pivotFmt>
        <c:idx val="10"/>
        <c:spPr>
          <a:solidFill>
            <a:schemeClr val="accent1"/>
          </a:solidFill>
          <a:ln w="19050">
            <a:solidFill>
              <a:schemeClr val="lt1"/>
            </a:solidFill>
          </a:ln>
          <a:effectLst/>
        </c:spPr>
        <c:dLbl>
          <c:idx val="0"/>
          <c:layout>
            <c:manualLayout>
              <c:x val="-0.13333333333333336"/>
              <c:y val="3.2407407407407489E-2"/>
            </c:manualLayout>
          </c:layout>
          <c:numFmt formatCode="&quot;₹&quot;\ #,##0.00" sourceLinked="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1"/>
          <c:showSerName val="0"/>
          <c:showPercent val="0"/>
          <c:showBubbleSize val="0"/>
          <c:extLst>
            <c:ext xmlns:c15="http://schemas.microsoft.com/office/drawing/2012/chart" uri="{CE6537A1-D6FC-4f65-9D91-7224C49458BB}"/>
          </c:extLst>
        </c:dLbl>
      </c:pivotFmt>
      <c:pivotFmt>
        <c:idx val="11"/>
        <c:spPr>
          <a:solidFill>
            <a:schemeClr val="accent1"/>
          </a:solidFill>
          <a:ln w="19050">
            <a:solidFill>
              <a:schemeClr val="lt1"/>
            </a:solidFill>
          </a:ln>
          <a:effectLst/>
        </c:spPr>
        <c:dLbl>
          <c:idx val="0"/>
          <c:layout>
            <c:manualLayout>
              <c:x val="-0.1361111111111111"/>
              <c:y val="-2.7777777777777776E-2"/>
            </c:manualLayout>
          </c:layout>
          <c:numFmt formatCode="&quot;₹&quot;\ #,##0.00" sourceLinked="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1"/>
          <c:showSerName val="0"/>
          <c:showPercent val="0"/>
          <c:showBubbleSize val="0"/>
          <c:extLst>
            <c:ext xmlns:c15="http://schemas.microsoft.com/office/drawing/2012/chart" uri="{CE6537A1-D6FC-4f65-9D91-7224C49458BB}"/>
          </c:extLst>
        </c:dLbl>
      </c:pivotFmt>
      <c:pivotFmt>
        <c:idx val="12"/>
        <c:spPr>
          <a:solidFill>
            <a:schemeClr val="accent1"/>
          </a:solidFill>
          <a:ln w="19050">
            <a:solidFill>
              <a:schemeClr val="lt1"/>
            </a:solidFill>
          </a:ln>
          <a:effectLst/>
        </c:spPr>
        <c:marker>
          <c:symbol val="none"/>
        </c:marker>
        <c:dLbl>
          <c:idx val="0"/>
          <c:numFmt formatCode="&quot;₹&quot;\ #,##0.00" sourceLinked="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en-US"/>
            </a:p>
          </c:txPr>
          <c:showLegendKey val="0"/>
          <c:showVal val="1"/>
          <c:showCatName val="1"/>
          <c:showSerName val="0"/>
          <c:showPercent val="0"/>
          <c:showBubbleSize val="0"/>
          <c:extLst>
            <c:ext xmlns:c15="http://schemas.microsoft.com/office/drawing/2012/chart" uri="{CE6537A1-D6FC-4f65-9D91-7224C49458BB}"/>
          </c:extLst>
        </c:dLbl>
      </c:pivotFmt>
      <c:pivotFmt>
        <c:idx val="13"/>
        <c:spPr>
          <a:solidFill>
            <a:schemeClr val="accent1"/>
          </a:solidFill>
          <a:ln w="19050">
            <a:solidFill>
              <a:schemeClr val="lt1"/>
            </a:solidFill>
          </a:ln>
          <a:effectLst/>
        </c:spPr>
        <c:dLbl>
          <c:idx val="0"/>
          <c:layout>
            <c:manualLayout>
              <c:x val="0.12933006535947711"/>
              <c:y val="-7.7759470456850083E-2"/>
            </c:manualLayout>
          </c:layout>
          <c:numFmt formatCode="&quot;₹&quot;\ #,##0.00" sourceLinked="0"/>
          <c:spPr>
            <a:noFill/>
            <a:ln>
              <a:noFill/>
            </a:ln>
            <a:effectLst/>
          </c:spPr>
          <c:txPr>
            <a:bodyPr rot="0" spcFirstLastPara="1" vertOverflow="ellipsis" vert="horz" wrap="square" lIns="38100" tIns="19050" rIns="38100" bIns="19050" anchor="ctr" anchorCtr="1">
              <a:noAutofit/>
            </a:bodyPr>
            <a:lstStyle/>
            <a:p>
              <a:pPr>
                <a:defRPr sz="900" b="1" i="0" u="none" strike="noStrike" kern="1200" baseline="0">
                  <a:solidFill>
                    <a:schemeClr val="tx1">
                      <a:lumMod val="75000"/>
                      <a:lumOff val="25000"/>
                    </a:schemeClr>
                  </a:solidFill>
                  <a:latin typeface="+mn-lt"/>
                  <a:ea typeface="+mn-ea"/>
                  <a:cs typeface="+mn-cs"/>
                </a:defRPr>
              </a:pPr>
              <a:endParaRPr lang="en-US"/>
            </a:p>
          </c:txPr>
          <c:showLegendKey val="0"/>
          <c:showVal val="1"/>
          <c:showCatName val="1"/>
          <c:showSerName val="0"/>
          <c:showPercent val="0"/>
          <c:showBubbleSize val="0"/>
          <c:extLst>
            <c:ext xmlns:c15="http://schemas.microsoft.com/office/drawing/2012/chart" uri="{CE6537A1-D6FC-4f65-9D91-7224C49458BB}">
              <c15:layout>
                <c:manualLayout>
                  <c:w val="0.2192156862745098"/>
                  <c:h val="0.14526809612333688"/>
                </c:manualLayout>
              </c15:layout>
            </c:ext>
          </c:extLst>
        </c:dLbl>
      </c:pivotFmt>
      <c:pivotFmt>
        <c:idx val="14"/>
        <c:spPr>
          <a:solidFill>
            <a:schemeClr val="accent1"/>
          </a:solidFill>
          <a:ln w="19050">
            <a:solidFill>
              <a:schemeClr val="lt1"/>
            </a:solidFill>
          </a:ln>
          <a:effectLst/>
        </c:spPr>
        <c:dLbl>
          <c:idx val="0"/>
          <c:layout>
            <c:manualLayout>
              <c:x val="0.14999999999999991"/>
              <c:y val="0"/>
            </c:manualLayout>
          </c:layout>
          <c:numFmt formatCode="&quot;₹&quot;\ #,##0.00" sourceLinked="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en-US"/>
            </a:p>
          </c:txPr>
          <c:showLegendKey val="0"/>
          <c:showVal val="1"/>
          <c:showCatName val="1"/>
          <c:showSerName val="0"/>
          <c:showPercent val="0"/>
          <c:showBubbleSize val="0"/>
          <c:extLst>
            <c:ext xmlns:c15="http://schemas.microsoft.com/office/drawing/2012/chart" uri="{CE6537A1-D6FC-4f65-9D91-7224C49458BB}"/>
          </c:extLst>
        </c:dLbl>
      </c:pivotFmt>
      <c:pivotFmt>
        <c:idx val="15"/>
        <c:spPr>
          <a:solidFill>
            <a:schemeClr val="accent1"/>
          </a:solidFill>
          <a:ln w="19050">
            <a:solidFill>
              <a:schemeClr val="lt1"/>
            </a:solidFill>
          </a:ln>
          <a:effectLst/>
        </c:spPr>
        <c:dLbl>
          <c:idx val="0"/>
          <c:layout>
            <c:manualLayout>
              <c:x val="6.1111111111111109E-2"/>
              <c:y val="8.7962962962962965E-2"/>
            </c:manualLayout>
          </c:layout>
          <c:numFmt formatCode="&quot;₹&quot;\ #,##0.00" sourceLinked="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en-US"/>
            </a:p>
          </c:txPr>
          <c:showLegendKey val="0"/>
          <c:showVal val="1"/>
          <c:showCatName val="1"/>
          <c:showSerName val="0"/>
          <c:showPercent val="0"/>
          <c:showBubbleSize val="0"/>
          <c:extLst>
            <c:ext xmlns:c15="http://schemas.microsoft.com/office/drawing/2012/chart" uri="{CE6537A1-D6FC-4f65-9D91-7224C49458BB}"/>
          </c:extLst>
        </c:dLbl>
      </c:pivotFmt>
      <c:pivotFmt>
        <c:idx val="16"/>
        <c:spPr>
          <a:solidFill>
            <a:schemeClr val="accent1"/>
          </a:solidFill>
          <a:ln w="19050">
            <a:solidFill>
              <a:schemeClr val="lt1"/>
            </a:solidFill>
          </a:ln>
          <a:effectLst/>
        </c:spPr>
        <c:dLbl>
          <c:idx val="0"/>
          <c:layout>
            <c:manualLayout>
              <c:x val="-0.13333333333333336"/>
              <c:y val="3.2407407407407489E-2"/>
            </c:manualLayout>
          </c:layout>
          <c:numFmt formatCode="&quot;₹&quot;\ #,##0.00" sourceLinked="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en-US"/>
            </a:p>
          </c:txPr>
          <c:showLegendKey val="0"/>
          <c:showVal val="1"/>
          <c:showCatName val="1"/>
          <c:showSerName val="0"/>
          <c:showPercent val="0"/>
          <c:showBubbleSize val="0"/>
          <c:extLst>
            <c:ext xmlns:c15="http://schemas.microsoft.com/office/drawing/2012/chart" uri="{CE6537A1-D6FC-4f65-9D91-7224C49458BB}"/>
          </c:extLst>
        </c:dLbl>
      </c:pivotFmt>
      <c:pivotFmt>
        <c:idx val="17"/>
        <c:spPr>
          <a:solidFill>
            <a:schemeClr val="accent1"/>
          </a:solidFill>
          <a:ln w="19050">
            <a:solidFill>
              <a:schemeClr val="lt1"/>
            </a:solidFill>
          </a:ln>
          <a:effectLst/>
        </c:spPr>
        <c:dLbl>
          <c:idx val="0"/>
          <c:layout>
            <c:manualLayout>
              <c:x val="-0.1361111111111111"/>
              <c:y val="-2.7777777777777776E-2"/>
            </c:manualLayout>
          </c:layout>
          <c:numFmt formatCode="&quot;₹&quot;\ #,##0.00" sourceLinked="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en-US"/>
            </a:p>
          </c:txPr>
          <c:showLegendKey val="0"/>
          <c:showVal val="1"/>
          <c:showCatName val="1"/>
          <c:showSerName val="0"/>
          <c:showPercent val="0"/>
          <c:showBubbleSize val="0"/>
          <c:extLst>
            <c:ext xmlns:c15="http://schemas.microsoft.com/office/drawing/2012/chart" uri="{CE6537A1-D6FC-4f65-9D91-7224C49458BB}"/>
          </c:extLst>
        </c:dLbl>
      </c:pivotFmt>
    </c:pivotFmts>
    <c:plotArea>
      <c:layout/>
      <c:doughnutChart>
        <c:varyColors val="1"/>
        <c:ser>
          <c:idx val="0"/>
          <c:order val="0"/>
          <c:tx>
            <c:strRef>
              <c:f>Pivot_Table!$B$64</c:f>
              <c:strCache>
                <c:ptCount val="1"/>
                <c:pt idx="0">
                  <c:v>Total</c:v>
                </c:pt>
              </c:strCache>
            </c:strRef>
          </c:tx>
          <c:dPt>
            <c:idx val="0"/>
            <c:bubble3D val="0"/>
            <c:spPr>
              <a:solidFill>
                <a:schemeClr val="accent1"/>
              </a:solidFill>
              <a:ln w="19050">
                <a:solidFill>
                  <a:schemeClr val="lt1"/>
                </a:solidFill>
              </a:ln>
              <a:effectLst/>
            </c:spPr>
            <c:extLst>
              <c:ext xmlns:c16="http://schemas.microsoft.com/office/drawing/2014/chart" uri="{C3380CC4-5D6E-409C-BE32-E72D297353CC}">
                <c16:uniqueId val="{00000001-D369-4C50-8445-7C8252B6B74F}"/>
              </c:ext>
            </c:extLst>
          </c:dPt>
          <c:dPt>
            <c:idx val="1"/>
            <c:bubble3D val="0"/>
            <c:spPr>
              <a:solidFill>
                <a:schemeClr val="accent2"/>
              </a:solidFill>
              <a:ln w="19050">
                <a:solidFill>
                  <a:schemeClr val="lt1"/>
                </a:solidFill>
              </a:ln>
              <a:effectLst/>
            </c:spPr>
            <c:extLst>
              <c:ext xmlns:c16="http://schemas.microsoft.com/office/drawing/2014/chart" uri="{C3380CC4-5D6E-409C-BE32-E72D297353CC}">
                <c16:uniqueId val="{00000003-D369-4C50-8445-7C8252B6B74F}"/>
              </c:ext>
            </c:extLst>
          </c:dPt>
          <c:dPt>
            <c:idx val="2"/>
            <c:bubble3D val="0"/>
            <c:spPr>
              <a:solidFill>
                <a:schemeClr val="accent3"/>
              </a:solidFill>
              <a:ln w="19050">
                <a:solidFill>
                  <a:schemeClr val="lt1"/>
                </a:solidFill>
              </a:ln>
              <a:effectLst/>
            </c:spPr>
            <c:extLst>
              <c:ext xmlns:c16="http://schemas.microsoft.com/office/drawing/2014/chart" uri="{C3380CC4-5D6E-409C-BE32-E72D297353CC}">
                <c16:uniqueId val="{00000005-D369-4C50-8445-7C8252B6B74F}"/>
              </c:ext>
            </c:extLst>
          </c:dPt>
          <c:dPt>
            <c:idx val="3"/>
            <c:bubble3D val="0"/>
            <c:spPr>
              <a:solidFill>
                <a:schemeClr val="accent4"/>
              </a:solidFill>
              <a:ln w="19050">
                <a:solidFill>
                  <a:schemeClr val="lt1"/>
                </a:solidFill>
              </a:ln>
              <a:effectLst/>
            </c:spPr>
            <c:extLst>
              <c:ext xmlns:c16="http://schemas.microsoft.com/office/drawing/2014/chart" uri="{C3380CC4-5D6E-409C-BE32-E72D297353CC}">
                <c16:uniqueId val="{00000007-D369-4C50-8445-7C8252B6B74F}"/>
              </c:ext>
            </c:extLst>
          </c:dPt>
          <c:dPt>
            <c:idx val="4"/>
            <c:bubble3D val="0"/>
            <c:spPr>
              <a:solidFill>
                <a:schemeClr val="accent5"/>
              </a:solidFill>
              <a:ln w="19050">
                <a:solidFill>
                  <a:schemeClr val="lt1"/>
                </a:solidFill>
              </a:ln>
              <a:effectLst/>
            </c:spPr>
            <c:extLst>
              <c:ext xmlns:c16="http://schemas.microsoft.com/office/drawing/2014/chart" uri="{C3380CC4-5D6E-409C-BE32-E72D297353CC}">
                <c16:uniqueId val="{00000009-D369-4C50-8445-7C8252B6B74F}"/>
              </c:ext>
            </c:extLst>
          </c:dPt>
          <c:dLbls>
            <c:dLbl>
              <c:idx val="0"/>
              <c:layout>
                <c:manualLayout>
                  <c:x val="0.12933006535947711"/>
                  <c:y val="-7.7759470456850083E-2"/>
                </c:manualLayout>
              </c:layout>
              <c:numFmt formatCode="&quot;₹&quot;\ #,##0.00" sourceLinked="0"/>
              <c:spPr>
                <a:noFill/>
                <a:ln>
                  <a:noFill/>
                </a:ln>
                <a:effectLst/>
              </c:spPr>
              <c:txPr>
                <a:bodyPr rot="0" spcFirstLastPara="1" vertOverflow="ellipsis" vert="horz" wrap="square" lIns="38100" tIns="19050" rIns="38100" bIns="19050" anchor="ctr" anchorCtr="1">
                  <a:noAutofit/>
                </a:bodyPr>
                <a:lstStyle/>
                <a:p>
                  <a:pPr>
                    <a:defRPr sz="900" b="1" i="0" u="none" strike="noStrike" kern="1200" baseline="0">
                      <a:solidFill>
                        <a:schemeClr val="tx1">
                          <a:lumMod val="75000"/>
                          <a:lumOff val="25000"/>
                        </a:schemeClr>
                      </a:solidFill>
                      <a:latin typeface="+mn-lt"/>
                      <a:ea typeface="+mn-ea"/>
                      <a:cs typeface="+mn-cs"/>
                    </a:defRPr>
                  </a:pPr>
                  <a:endParaRPr lang="en-US"/>
                </a:p>
              </c:txPr>
              <c:showLegendKey val="0"/>
              <c:showVal val="1"/>
              <c:showCatName val="1"/>
              <c:showSerName val="0"/>
              <c:showPercent val="0"/>
              <c:showBubbleSize val="0"/>
              <c:extLst>
                <c:ext xmlns:c15="http://schemas.microsoft.com/office/drawing/2012/chart" uri="{CE6537A1-D6FC-4f65-9D91-7224C49458BB}">
                  <c15:layout>
                    <c:manualLayout>
                      <c:w val="0.2192156862745098"/>
                      <c:h val="0.14526809612333688"/>
                    </c:manualLayout>
                  </c15:layout>
                </c:ext>
                <c:ext xmlns:c16="http://schemas.microsoft.com/office/drawing/2014/chart" uri="{C3380CC4-5D6E-409C-BE32-E72D297353CC}">
                  <c16:uniqueId val="{00000001-D369-4C50-8445-7C8252B6B74F}"/>
                </c:ext>
              </c:extLst>
            </c:dLbl>
            <c:dLbl>
              <c:idx val="1"/>
              <c:layout>
                <c:manualLayout>
                  <c:x val="0.14999999999999991"/>
                  <c:y val="0"/>
                </c:manualLayout>
              </c:layout>
              <c:showLegendKey val="0"/>
              <c:showVal val="1"/>
              <c:showCatName val="1"/>
              <c:showSerName val="0"/>
              <c:showPercent val="0"/>
              <c:showBubbleSize val="0"/>
              <c:extLst>
                <c:ext xmlns:c15="http://schemas.microsoft.com/office/drawing/2012/chart" uri="{CE6537A1-D6FC-4f65-9D91-7224C49458BB}"/>
                <c:ext xmlns:c16="http://schemas.microsoft.com/office/drawing/2014/chart" uri="{C3380CC4-5D6E-409C-BE32-E72D297353CC}">
                  <c16:uniqueId val="{00000003-D369-4C50-8445-7C8252B6B74F}"/>
                </c:ext>
              </c:extLst>
            </c:dLbl>
            <c:dLbl>
              <c:idx val="2"/>
              <c:layout>
                <c:manualLayout>
                  <c:x val="6.1111111111111109E-2"/>
                  <c:y val="8.7962962962962965E-2"/>
                </c:manualLayout>
              </c:layout>
              <c:showLegendKey val="0"/>
              <c:showVal val="1"/>
              <c:showCatName val="1"/>
              <c:showSerName val="0"/>
              <c:showPercent val="0"/>
              <c:showBubbleSize val="0"/>
              <c:extLst>
                <c:ext xmlns:c15="http://schemas.microsoft.com/office/drawing/2012/chart" uri="{CE6537A1-D6FC-4f65-9D91-7224C49458BB}"/>
                <c:ext xmlns:c16="http://schemas.microsoft.com/office/drawing/2014/chart" uri="{C3380CC4-5D6E-409C-BE32-E72D297353CC}">
                  <c16:uniqueId val="{00000005-D369-4C50-8445-7C8252B6B74F}"/>
                </c:ext>
              </c:extLst>
            </c:dLbl>
            <c:dLbl>
              <c:idx val="3"/>
              <c:layout>
                <c:manualLayout>
                  <c:x val="-0.13333333333333336"/>
                  <c:y val="3.2407407407407489E-2"/>
                </c:manualLayout>
              </c:layout>
              <c:showLegendKey val="0"/>
              <c:showVal val="1"/>
              <c:showCatName val="1"/>
              <c:showSerName val="0"/>
              <c:showPercent val="0"/>
              <c:showBubbleSize val="0"/>
              <c:extLst>
                <c:ext xmlns:c15="http://schemas.microsoft.com/office/drawing/2012/chart" uri="{CE6537A1-D6FC-4f65-9D91-7224C49458BB}"/>
                <c:ext xmlns:c16="http://schemas.microsoft.com/office/drawing/2014/chart" uri="{C3380CC4-5D6E-409C-BE32-E72D297353CC}">
                  <c16:uniqueId val="{00000007-D369-4C50-8445-7C8252B6B74F}"/>
                </c:ext>
              </c:extLst>
            </c:dLbl>
            <c:dLbl>
              <c:idx val="4"/>
              <c:layout>
                <c:manualLayout>
                  <c:x val="-0.1361111111111111"/>
                  <c:y val="-2.7777777777777776E-2"/>
                </c:manualLayout>
              </c:layout>
              <c:showLegendKey val="0"/>
              <c:showVal val="1"/>
              <c:showCatName val="1"/>
              <c:showSerName val="0"/>
              <c:showPercent val="0"/>
              <c:showBubbleSize val="0"/>
              <c:extLst>
                <c:ext xmlns:c15="http://schemas.microsoft.com/office/drawing/2012/chart" uri="{CE6537A1-D6FC-4f65-9D91-7224C49458BB}"/>
                <c:ext xmlns:c16="http://schemas.microsoft.com/office/drawing/2014/chart" uri="{C3380CC4-5D6E-409C-BE32-E72D297353CC}">
                  <c16:uniqueId val="{00000009-D369-4C50-8445-7C8252B6B74F}"/>
                </c:ext>
              </c:extLst>
            </c:dLbl>
            <c:numFmt formatCode="&quot;₹&quot;\ #,##0.00" sourceLinked="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en-US"/>
              </a:p>
            </c:txPr>
            <c:showLegendKey val="0"/>
            <c:showVal val="1"/>
            <c:showCatName val="1"/>
            <c:showSerName val="0"/>
            <c:showPercent val="0"/>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Pivot_Table!$A$65:$A$70</c:f>
              <c:strCache>
                <c:ptCount val="5"/>
                <c:pt idx="0">
                  <c:v>Bangalore</c:v>
                </c:pt>
                <c:pt idx="1">
                  <c:v>Chennai</c:v>
                </c:pt>
                <c:pt idx="2">
                  <c:v>Delhi</c:v>
                </c:pt>
                <c:pt idx="3">
                  <c:v>Hyderabad</c:v>
                </c:pt>
                <c:pt idx="4">
                  <c:v>Mumbai</c:v>
                </c:pt>
              </c:strCache>
            </c:strRef>
          </c:cat>
          <c:val>
            <c:numRef>
              <c:f>Pivot_Table!$B$65:$B$70</c:f>
              <c:numCache>
                <c:formatCode>General</c:formatCode>
                <c:ptCount val="5"/>
                <c:pt idx="0">
                  <c:v>2532453</c:v>
                </c:pt>
                <c:pt idx="1">
                  <c:v>2624716</c:v>
                </c:pt>
                <c:pt idx="2">
                  <c:v>2518188</c:v>
                </c:pt>
                <c:pt idx="3">
                  <c:v>2355016</c:v>
                </c:pt>
                <c:pt idx="4">
                  <c:v>2408786</c:v>
                </c:pt>
              </c:numCache>
            </c:numRef>
          </c:val>
          <c:extLst>
            <c:ext xmlns:c16="http://schemas.microsoft.com/office/drawing/2014/chart" uri="{C3380CC4-5D6E-409C-BE32-E72D297353CC}">
              <c16:uniqueId val="{0000000A-D369-4C50-8445-7C8252B6B74F}"/>
            </c:ext>
          </c:extLst>
        </c:ser>
        <c:dLbls>
          <c:showLegendKey val="0"/>
          <c:showVal val="1"/>
          <c:showCatName val="0"/>
          <c:showSerName val="0"/>
          <c:showPercent val="0"/>
          <c:showBubbleSize val="0"/>
          <c:showLeaderLines val="1"/>
        </c:dLbls>
        <c:firstSliceAng val="0"/>
        <c:holeSize val="75"/>
      </c:doughnutChart>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1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[ecommerce_analytics_dataset.xlsx]Pivot_Table!PivotTable6</c:name>
    <c:fmtId val="11"/>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b="1"/>
              <a:t>Order</a:t>
            </a:r>
            <a:r>
              <a:rPr lang="en-US" b="1" baseline="0"/>
              <a:t> Status Distribution by Market Channel</a:t>
            </a:r>
            <a:endParaRPr lang="en-US" b="1"/>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rgbClr val="CC3300"/>
          </a:solidFill>
          <a:ln>
            <a:noFill/>
          </a:ln>
          <a:effectLst/>
        </c:spPr>
        <c:marker>
          <c:symbol val="none"/>
        </c:marker>
        <c:dLbl>
          <c:idx val="0"/>
          <c:spPr>
            <a:solidFill>
              <a:schemeClr val="bg1"/>
            </a:solid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solidFill>
              <a:schemeClr val="bg1"/>
            </a:solid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6"/>
          </a:solidFill>
          <a:ln>
            <a:noFill/>
          </a:ln>
          <a:effectLst/>
        </c:spPr>
        <c:marker>
          <c:symbol val="none"/>
        </c:marker>
        <c:dLbl>
          <c:idx val="0"/>
          <c:spPr>
            <a:solidFill>
              <a:schemeClr val="bg1"/>
            </a:solid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3"/>
        <c:spPr>
          <a:solidFill>
            <a:schemeClr val="accent6"/>
          </a:solidFill>
          <a:ln>
            <a:noFill/>
          </a:ln>
          <a:effectLst/>
        </c:spPr>
        <c:marker>
          <c:symbol val="none"/>
        </c:marker>
        <c:dLbl>
          <c:idx val="0"/>
          <c:spPr>
            <a:solidFill>
              <a:schemeClr val="bg1"/>
            </a:solid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c:spPr>
        <c:marker>
          <c:symbol val="none"/>
        </c:marker>
        <c:dLbl>
          <c:idx val="0"/>
          <c:spPr>
            <a:solidFill>
              <a:schemeClr val="bg1"/>
            </a:solid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5"/>
        <c:spPr>
          <a:solidFill>
            <a:srgbClr val="CC3300"/>
          </a:solidFill>
          <a:ln>
            <a:noFill/>
          </a:ln>
          <a:effectLst/>
        </c:spPr>
        <c:marker>
          <c:symbol val="none"/>
        </c:marker>
        <c:dLbl>
          <c:idx val="0"/>
          <c:spPr>
            <a:solidFill>
              <a:schemeClr val="bg1"/>
            </a:solid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6"/>
        <c:spPr>
          <a:solidFill>
            <a:schemeClr val="accent6"/>
          </a:solidFill>
          <a:ln>
            <a:noFill/>
          </a:ln>
          <a:effectLst/>
        </c:spPr>
        <c:marker>
          <c:symbol val="none"/>
        </c:marker>
        <c:dLbl>
          <c:idx val="0"/>
          <c:spPr>
            <a:solidFill>
              <a:schemeClr val="bg1"/>
            </a:solid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7"/>
        <c:spPr>
          <a:solidFill>
            <a:schemeClr val="accent1"/>
          </a:solidFill>
          <a:ln>
            <a:noFill/>
          </a:ln>
          <a:effectLst/>
        </c:spPr>
        <c:marker>
          <c:symbol val="none"/>
        </c:marker>
        <c:dLbl>
          <c:idx val="0"/>
          <c:spPr>
            <a:solidFill>
              <a:schemeClr val="bg1"/>
            </a:solid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8"/>
        <c:spPr>
          <a:solidFill>
            <a:srgbClr val="CC3300"/>
          </a:solidFill>
          <a:ln>
            <a:noFill/>
          </a:ln>
          <a:effectLst/>
        </c:spPr>
        <c:marker>
          <c:symbol val="none"/>
        </c:marker>
        <c:dLbl>
          <c:idx val="0"/>
          <c:spPr>
            <a:solidFill>
              <a:schemeClr val="bg1"/>
            </a:solid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col"/>
        <c:grouping val="percentStacked"/>
        <c:varyColors val="0"/>
        <c:ser>
          <c:idx val="0"/>
          <c:order val="0"/>
          <c:tx>
            <c:strRef>
              <c:f>Pivot_Table!$B$52:$B$53</c:f>
              <c:strCache>
                <c:ptCount val="1"/>
                <c:pt idx="0">
                  <c:v>returned</c:v>
                </c:pt>
              </c:strCache>
            </c:strRef>
          </c:tx>
          <c:spPr>
            <a:solidFill>
              <a:schemeClr val="accent6"/>
            </a:solidFill>
            <a:ln>
              <a:noFill/>
            </a:ln>
            <a:effectLst/>
          </c:spPr>
          <c:invertIfNegative val="0"/>
          <c:dLbls>
            <c:spPr>
              <a:solidFill>
                <a:schemeClr val="bg1"/>
              </a:solid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Pivot_Table!$A$54:$A$58</c:f>
              <c:strCache>
                <c:ptCount val="4"/>
                <c:pt idx="0">
                  <c:v>Facebook Ads</c:v>
                </c:pt>
                <c:pt idx="1">
                  <c:v>Google Ads</c:v>
                </c:pt>
                <c:pt idx="2">
                  <c:v>Organic</c:v>
                </c:pt>
                <c:pt idx="3">
                  <c:v>Referral</c:v>
                </c:pt>
              </c:strCache>
            </c:strRef>
          </c:cat>
          <c:val>
            <c:numRef>
              <c:f>Pivot_Table!$B$54:$B$58</c:f>
              <c:numCache>
                <c:formatCode>0.00%</c:formatCode>
                <c:ptCount val="4"/>
                <c:pt idx="0">
                  <c:v>8.3799999999999999E-2</c:v>
                </c:pt>
                <c:pt idx="1">
                  <c:v>8.8400000000000006E-2</c:v>
                </c:pt>
                <c:pt idx="2">
                  <c:v>8.4400000000000003E-2</c:v>
                </c:pt>
                <c:pt idx="3">
                  <c:v>7.5600000000000001E-2</c:v>
                </c:pt>
              </c:numCache>
            </c:numRef>
          </c:val>
          <c:extLst>
            <c:ext xmlns:c16="http://schemas.microsoft.com/office/drawing/2014/chart" uri="{C3380CC4-5D6E-409C-BE32-E72D297353CC}">
              <c16:uniqueId val="{00000000-3ACE-4FFC-BE04-0082087F7199}"/>
            </c:ext>
          </c:extLst>
        </c:ser>
        <c:ser>
          <c:idx val="1"/>
          <c:order val="1"/>
          <c:tx>
            <c:strRef>
              <c:f>Pivot_Table!$C$52:$C$53</c:f>
              <c:strCache>
                <c:ptCount val="1"/>
                <c:pt idx="0">
                  <c:v>completed</c:v>
                </c:pt>
              </c:strCache>
            </c:strRef>
          </c:tx>
          <c:spPr>
            <a:solidFill>
              <a:schemeClr val="accent1"/>
            </a:solidFill>
            <a:ln>
              <a:noFill/>
            </a:ln>
            <a:effectLst/>
          </c:spPr>
          <c:invertIfNegative val="0"/>
          <c:dLbls>
            <c:spPr>
              <a:solidFill>
                <a:schemeClr val="bg1"/>
              </a:solid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Pivot_Table!$A$54:$A$58</c:f>
              <c:strCache>
                <c:ptCount val="4"/>
                <c:pt idx="0">
                  <c:v>Facebook Ads</c:v>
                </c:pt>
                <c:pt idx="1">
                  <c:v>Google Ads</c:v>
                </c:pt>
                <c:pt idx="2">
                  <c:v>Organic</c:v>
                </c:pt>
                <c:pt idx="3">
                  <c:v>Referral</c:v>
                </c:pt>
              </c:strCache>
            </c:strRef>
          </c:cat>
          <c:val>
            <c:numRef>
              <c:f>Pivot_Table!$C$54:$C$58</c:f>
              <c:numCache>
                <c:formatCode>0.00%</c:formatCode>
                <c:ptCount val="4"/>
                <c:pt idx="0">
                  <c:v>8.3400000000000002E-2</c:v>
                </c:pt>
                <c:pt idx="1">
                  <c:v>7.5399999999999995E-2</c:v>
                </c:pt>
                <c:pt idx="2">
                  <c:v>8.5000000000000006E-2</c:v>
                </c:pt>
                <c:pt idx="3">
                  <c:v>8.1199999999999994E-2</c:v>
                </c:pt>
              </c:numCache>
            </c:numRef>
          </c:val>
          <c:extLst>
            <c:ext xmlns:c16="http://schemas.microsoft.com/office/drawing/2014/chart" uri="{C3380CC4-5D6E-409C-BE32-E72D297353CC}">
              <c16:uniqueId val="{00000001-3ACE-4FFC-BE04-0082087F7199}"/>
            </c:ext>
          </c:extLst>
        </c:ser>
        <c:ser>
          <c:idx val="2"/>
          <c:order val="2"/>
          <c:tx>
            <c:strRef>
              <c:f>Pivot_Table!$D$52:$D$53</c:f>
              <c:strCache>
                <c:ptCount val="1"/>
                <c:pt idx="0">
                  <c:v>cancelled</c:v>
                </c:pt>
              </c:strCache>
            </c:strRef>
          </c:tx>
          <c:spPr>
            <a:solidFill>
              <a:srgbClr val="CC3300"/>
            </a:solidFill>
            <a:ln>
              <a:noFill/>
            </a:ln>
            <a:effectLst/>
          </c:spPr>
          <c:invertIfNegative val="0"/>
          <c:dLbls>
            <c:spPr>
              <a:solidFill>
                <a:schemeClr val="bg1"/>
              </a:solid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Pivot_Table!$A$54:$A$58</c:f>
              <c:strCache>
                <c:ptCount val="4"/>
                <c:pt idx="0">
                  <c:v>Facebook Ads</c:v>
                </c:pt>
                <c:pt idx="1">
                  <c:v>Google Ads</c:v>
                </c:pt>
                <c:pt idx="2">
                  <c:v>Organic</c:v>
                </c:pt>
                <c:pt idx="3">
                  <c:v>Referral</c:v>
                </c:pt>
              </c:strCache>
            </c:strRef>
          </c:cat>
          <c:val>
            <c:numRef>
              <c:f>Pivot_Table!$D$54:$D$58</c:f>
              <c:numCache>
                <c:formatCode>0.00%</c:formatCode>
                <c:ptCount val="4"/>
                <c:pt idx="0">
                  <c:v>8.8999999999999996E-2</c:v>
                </c:pt>
                <c:pt idx="1">
                  <c:v>8.7400000000000005E-2</c:v>
                </c:pt>
                <c:pt idx="2">
                  <c:v>8.5800000000000001E-2</c:v>
                </c:pt>
                <c:pt idx="3">
                  <c:v>8.0600000000000005E-2</c:v>
                </c:pt>
              </c:numCache>
            </c:numRef>
          </c:val>
          <c:extLst>
            <c:ext xmlns:c16="http://schemas.microsoft.com/office/drawing/2014/chart" uri="{C3380CC4-5D6E-409C-BE32-E72D297353CC}">
              <c16:uniqueId val="{00000002-3ACE-4FFC-BE04-0082087F7199}"/>
            </c:ext>
          </c:extLst>
        </c:ser>
        <c:dLbls>
          <c:dLblPos val="ctr"/>
          <c:showLegendKey val="0"/>
          <c:showVal val="1"/>
          <c:showCatName val="0"/>
          <c:showSerName val="0"/>
          <c:showPercent val="0"/>
          <c:showBubbleSize val="0"/>
        </c:dLbls>
        <c:gapWidth val="150"/>
        <c:overlap val="100"/>
        <c:axId val="1207953488"/>
        <c:axId val="1207954448"/>
      </c:barChart>
      <c:catAx>
        <c:axId val="1207953488"/>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207954448"/>
        <c:crosses val="autoZero"/>
        <c:auto val="1"/>
        <c:lblAlgn val="ctr"/>
        <c:lblOffset val="100"/>
        <c:noMultiLvlLbl val="0"/>
      </c:catAx>
      <c:valAx>
        <c:axId val="1207954448"/>
        <c:scaling>
          <c:orientation val="minMax"/>
        </c:scaling>
        <c:delete val="0"/>
        <c:axPos val="l"/>
        <c:numFmt formatCode="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207953488"/>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9.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0.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9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29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6.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7.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8.xml><?xml version="1.0" encoding="utf-8"?>
<cs:chartStyle xmlns:cs="http://schemas.microsoft.com/office/drawing/2012/chartStyle" xmlns:a="http://schemas.openxmlformats.org/drawingml/2006/main" id="29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9.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0.xml><?xml version="1.0" encoding="utf-8"?>
<cs:chartStyle xmlns:cs="http://schemas.microsoft.com/office/drawing/2012/chartStyle" xmlns:a="http://schemas.openxmlformats.org/drawingml/2006/main" id="29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3" Type="http://schemas.openxmlformats.org/officeDocument/2006/relationships/chart" Target="../charts/chart3.xml"/><Relationship Id="rId2" Type="http://schemas.openxmlformats.org/officeDocument/2006/relationships/chart" Target="../charts/chart2.xml"/><Relationship Id="rId1" Type="http://schemas.openxmlformats.org/officeDocument/2006/relationships/chart" Target="../charts/chart1.xml"/><Relationship Id="rId5" Type="http://schemas.openxmlformats.org/officeDocument/2006/relationships/chart" Target="../charts/chart5.xml"/><Relationship Id="rId4" Type="http://schemas.openxmlformats.org/officeDocument/2006/relationships/chart" Target="../charts/chart4.xml"/></Relationships>
</file>

<file path=xl/drawings/_rels/drawing2.xml.rels><?xml version="1.0" encoding="UTF-8" standalone="yes"?>
<Relationships xmlns="http://schemas.openxmlformats.org/package/2006/relationships"><Relationship Id="rId3" Type="http://schemas.openxmlformats.org/officeDocument/2006/relationships/chart" Target="../charts/chart8.xml"/><Relationship Id="rId2" Type="http://schemas.openxmlformats.org/officeDocument/2006/relationships/chart" Target="../charts/chart7.xml"/><Relationship Id="rId1" Type="http://schemas.openxmlformats.org/officeDocument/2006/relationships/chart" Target="../charts/chart6.xml"/><Relationship Id="rId5" Type="http://schemas.openxmlformats.org/officeDocument/2006/relationships/chart" Target="../charts/chart10.xml"/><Relationship Id="rId4" Type="http://schemas.openxmlformats.org/officeDocument/2006/relationships/chart" Target="../charts/chart9.xml"/></Relationships>
</file>

<file path=xl/drawings/drawing1.xml><?xml version="1.0" encoding="utf-8"?>
<xdr:wsDr xmlns:xdr="http://schemas.openxmlformats.org/drawingml/2006/spreadsheetDrawing" xmlns:a="http://schemas.openxmlformats.org/drawingml/2006/main">
  <xdr:twoCellAnchor>
    <xdr:from>
      <xdr:col>3</xdr:col>
      <xdr:colOff>374650</xdr:colOff>
      <xdr:row>12</xdr:row>
      <xdr:rowOff>98425</xdr:rowOff>
    </xdr:from>
    <xdr:to>
      <xdr:col>12</xdr:col>
      <xdr:colOff>88900</xdr:colOff>
      <xdr:row>27</xdr:row>
      <xdr:rowOff>79375</xdr:rowOff>
    </xdr:to>
    <xdr:graphicFrame macro="">
      <xdr:nvGraphicFramePr>
        <xdr:cNvPr id="3" name="Chart 2">
          <a:extLst>
            <a:ext uri="{FF2B5EF4-FFF2-40B4-BE49-F238E27FC236}">
              <a16:creationId xmlns:a16="http://schemas.microsoft.com/office/drawing/2014/main" id="{D1BBC17A-73F4-8135-EE5F-1B27D31014CA}"/>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3</xdr:col>
      <xdr:colOff>368300</xdr:colOff>
      <xdr:row>0</xdr:row>
      <xdr:rowOff>53975</xdr:rowOff>
    </xdr:from>
    <xdr:to>
      <xdr:col>11</xdr:col>
      <xdr:colOff>482600</xdr:colOff>
      <xdr:row>11</xdr:row>
      <xdr:rowOff>50800</xdr:rowOff>
    </xdr:to>
    <xdr:graphicFrame macro="">
      <xdr:nvGraphicFramePr>
        <xdr:cNvPr id="4" name="Chart 3">
          <a:extLst>
            <a:ext uri="{FF2B5EF4-FFF2-40B4-BE49-F238E27FC236}">
              <a16:creationId xmlns:a16="http://schemas.microsoft.com/office/drawing/2014/main" id="{95B41EEA-416E-E8A0-7B58-F68728A90B4A}"/>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2</xdr:col>
      <xdr:colOff>908050</xdr:colOff>
      <xdr:row>32</xdr:row>
      <xdr:rowOff>142875</xdr:rowOff>
    </xdr:from>
    <xdr:to>
      <xdr:col>9</xdr:col>
      <xdr:colOff>457200</xdr:colOff>
      <xdr:row>47</xdr:row>
      <xdr:rowOff>123825</xdr:rowOff>
    </xdr:to>
    <xdr:graphicFrame macro="">
      <xdr:nvGraphicFramePr>
        <xdr:cNvPr id="2" name="Chart 1">
          <a:extLst>
            <a:ext uri="{FF2B5EF4-FFF2-40B4-BE49-F238E27FC236}">
              <a16:creationId xmlns:a16="http://schemas.microsoft.com/office/drawing/2014/main" id="{8C1F7993-5489-7CAE-1FEC-261168D1915D}"/>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2</xdr:col>
      <xdr:colOff>387350</xdr:colOff>
      <xdr:row>61</xdr:row>
      <xdr:rowOff>47624</xdr:rowOff>
    </xdr:from>
    <xdr:to>
      <xdr:col>8</xdr:col>
      <xdr:colOff>285750</xdr:colOff>
      <xdr:row>75</xdr:row>
      <xdr:rowOff>38099</xdr:rowOff>
    </xdr:to>
    <xdr:graphicFrame macro="">
      <xdr:nvGraphicFramePr>
        <xdr:cNvPr id="6" name="Chart 5">
          <a:extLst>
            <a:ext uri="{FF2B5EF4-FFF2-40B4-BE49-F238E27FC236}">
              <a16:creationId xmlns:a16="http://schemas.microsoft.com/office/drawing/2014/main" id="{6F83D100-AC44-C244-9564-DEECC62F91DF}"/>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4</xdr:col>
      <xdr:colOff>565150</xdr:colOff>
      <xdr:row>50</xdr:row>
      <xdr:rowOff>53975</xdr:rowOff>
    </xdr:from>
    <xdr:to>
      <xdr:col>11</xdr:col>
      <xdr:colOff>482600</xdr:colOff>
      <xdr:row>65</xdr:row>
      <xdr:rowOff>34925</xdr:rowOff>
    </xdr:to>
    <xdr:graphicFrame macro="">
      <xdr:nvGraphicFramePr>
        <xdr:cNvPr id="8" name="Chart 7">
          <a:extLst>
            <a:ext uri="{FF2B5EF4-FFF2-40B4-BE49-F238E27FC236}">
              <a16:creationId xmlns:a16="http://schemas.microsoft.com/office/drawing/2014/main" id="{FD57E0A2-B5DC-2E31-1D4D-74A0ABF7EC34}"/>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wsDr>
</file>

<file path=xl/drawings/drawing2.xml><?xml version="1.0" encoding="utf-8"?>
<xdr:wsDr xmlns:xdr="http://schemas.openxmlformats.org/drawingml/2006/spreadsheetDrawing" xmlns:a="http://schemas.openxmlformats.org/drawingml/2006/main">
  <xdr:twoCellAnchor>
    <xdr:from>
      <xdr:col>0</xdr:col>
      <xdr:colOff>0</xdr:colOff>
      <xdr:row>0</xdr:row>
      <xdr:rowOff>0</xdr:rowOff>
    </xdr:from>
    <xdr:to>
      <xdr:col>2</xdr:col>
      <xdr:colOff>317500</xdr:colOff>
      <xdr:row>37</xdr:row>
      <xdr:rowOff>39687</xdr:rowOff>
    </xdr:to>
    <xdr:sp macro="" textlink="">
      <xdr:nvSpPr>
        <xdr:cNvPr id="2" name="Rectangle: Rounded Corners 1">
          <a:extLst>
            <a:ext uri="{FF2B5EF4-FFF2-40B4-BE49-F238E27FC236}">
              <a16:creationId xmlns:a16="http://schemas.microsoft.com/office/drawing/2014/main" id="{4E7AF081-7FF8-DA44-60F0-776D25487EA3}"/>
            </a:ext>
          </a:extLst>
        </xdr:cNvPr>
        <xdr:cNvSpPr/>
      </xdr:nvSpPr>
      <xdr:spPr>
        <a:xfrm>
          <a:off x="0" y="0"/>
          <a:ext cx="1539875" cy="6794500"/>
        </a:xfrm>
        <a:prstGeom prst="roundRect">
          <a:avLst/>
        </a:prstGeom>
        <a:solidFill>
          <a:schemeClr val="tx2">
            <a:lumMod val="40000"/>
            <a:lumOff val="60000"/>
          </a:schemeClr>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2</xdr:col>
      <xdr:colOff>374649</xdr:colOff>
      <xdr:row>0</xdr:row>
      <xdr:rowOff>0</xdr:rowOff>
    </xdr:from>
    <xdr:to>
      <xdr:col>24</xdr:col>
      <xdr:colOff>293687</xdr:colOff>
      <xdr:row>37</xdr:row>
      <xdr:rowOff>134938</xdr:rowOff>
    </xdr:to>
    <xdr:sp macro="" textlink="">
      <xdr:nvSpPr>
        <xdr:cNvPr id="4" name="Rectangle: Rounded Corners 3">
          <a:extLst>
            <a:ext uri="{FF2B5EF4-FFF2-40B4-BE49-F238E27FC236}">
              <a16:creationId xmlns:a16="http://schemas.microsoft.com/office/drawing/2014/main" id="{829A272E-E94C-410C-AF7D-C6911A05E5F2}"/>
            </a:ext>
          </a:extLst>
        </xdr:cNvPr>
        <xdr:cNvSpPr/>
      </xdr:nvSpPr>
      <xdr:spPr>
        <a:xfrm>
          <a:off x="1597024" y="0"/>
          <a:ext cx="13365163" cy="6889751"/>
        </a:xfrm>
        <a:prstGeom prst="roundRect">
          <a:avLst/>
        </a:prstGeom>
        <a:gradFill>
          <a:gsLst>
            <a:gs pos="39072">
              <a:srgbClr val="D1DEEE"/>
            </a:gs>
            <a:gs pos="0">
              <a:schemeClr val="accent1">
                <a:lumMod val="5000"/>
                <a:lumOff val="95000"/>
              </a:schemeClr>
            </a:gs>
            <a:gs pos="74000">
              <a:schemeClr val="accent1">
                <a:lumMod val="45000"/>
                <a:lumOff val="55000"/>
              </a:schemeClr>
            </a:gs>
            <a:gs pos="83000">
              <a:schemeClr val="accent1">
                <a:lumMod val="45000"/>
                <a:lumOff val="55000"/>
              </a:schemeClr>
            </a:gs>
            <a:gs pos="100000">
              <a:schemeClr val="accent1">
                <a:lumMod val="30000"/>
                <a:lumOff val="70000"/>
              </a:schemeClr>
            </a:gs>
          </a:gsLst>
          <a:lin ang="5400000" scaled="1"/>
        </a:gra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0</xdr:col>
      <xdr:colOff>233362</xdr:colOff>
      <xdr:row>0</xdr:row>
      <xdr:rowOff>152400</xdr:rowOff>
    </xdr:from>
    <xdr:to>
      <xdr:col>1</xdr:col>
      <xdr:colOff>296862</xdr:colOff>
      <xdr:row>2</xdr:row>
      <xdr:rowOff>19050</xdr:rowOff>
    </xdr:to>
    <xdr:sp macro="" textlink="">
      <xdr:nvSpPr>
        <xdr:cNvPr id="5" name="TextBox 4">
          <a:extLst>
            <a:ext uri="{FF2B5EF4-FFF2-40B4-BE49-F238E27FC236}">
              <a16:creationId xmlns:a16="http://schemas.microsoft.com/office/drawing/2014/main" id="{AC818C08-EDF1-A9BE-37ED-41451D1F5105}"/>
            </a:ext>
          </a:extLst>
        </xdr:cNvPr>
        <xdr:cNvSpPr txBox="1"/>
      </xdr:nvSpPr>
      <xdr:spPr>
        <a:xfrm>
          <a:off x="233362" y="152400"/>
          <a:ext cx="674688" cy="23177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100" b="1">
              <a:solidFill>
                <a:schemeClr val="bg1"/>
              </a:solidFill>
            </a:rPr>
            <a:t>Orders </a:t>
          </a:r>
        </a:p>
      </xdr:txBody>
    </xdr:sp>
    <xdr:clientData/>
  </xdr:twoCellAnchor>
  <xdr:twoCellAnchor>
    <xdr:from>
      <xdr:col>0</xdr:col>
      <xdr:colOff>233362</xdr:colOff>
      <xdr:row>2</xdr:row>
      <xdr:rowOff>31750</xdr:rowOff>
    </xdr:from>
    <xdr:to>
      <xdr:col>1</xdr:col>
      <xdr:colOff>296862</xdr:colOff>
      <xdr:row>3</xdr:row>
      <xdr:rowOff>82550</xdr:rowOff>
    </xdr:to>
    <xdr:sp macro="" textlink="Pivot_Table!E32">
      <xdr:nvSpPr>
        <xdr:cNvPr id="7" name="TextBox 6">
          <a:extLst>
            <a:ext uri="{FF2B5EF4-FFF2-40B4-BE49-F238E27FC236}">
              <a16:creationId xmlns:a16="http://schemas.microsoft.com/office/drawing/2014/main" id="{54919D03-BD40-48A1-9501-96EC2284F2C6}"/>
            </a:ext>
          </a:extLst>
        </xdr:cNvPr>
        <xdr:cNvSpPr txBox="1"/>
      </xdr:nvSpPr>
      <xdr:spPr>
        <a:xfrm>
          <a:off x="233362" y="396875"/>
          <a:ext cx="674688" cy="233363"/>
        </a:xfrm>
        <a:prstGeom prst="rect">
          <a:avLst/>
        </a:prstGeom>
        <a:noFill/>
        <a:ln w="0"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fld id="{FDA0995C-7D34-4ACA-96B8-160AB7BB40FB}" type="TxLink">
            <a:rPr lang="en-US" sz="1100" b="1" i="0" u="none" strike="noStrike">
              <a:solidFill>
                <a:srgbClr val="000000"/>
              </a:solidFill>
              <a:latin typeface="Calibri"/>
              <a:ea typeface="Calibri"/>
              <a:cs typeface="Calibri"/>
            </a:rPr>
            <a:pPr/>
            <a:t>5000</a:t>
          </a:fld>
          <a:endParaRPr lang="en-US" sz="1100" b="1"/>
        </a:p>
      </xdr:txBody>
    </xdr:sp>
    <xdr:clientData/>
  </xdr:twoCellAnchor>
  <xdr:twoCellAnchor>
    <xdr:from>
      <xdr:col>0</xdr:col>
      <xdr:colOff>233362</xdr:colOff>
      <xdr:row>4</xdr:row>
      <xdr:rowOff>166689</xdr:rowOff>
    </xdr:from>
    <xdr:to>
      <xdr:col>2</xdr:col>
      <xdr:colOff>258762</xdr:colOff>
      <xdr:row>6</xdr:row>
      <xdr:rowOff>134938</xdr:rowOff>
    </xdr:to>
    <xdr:sp macro="" textlink="Pivot_Table!F32">
      <xdr:nvSpPr>
        <xdr:cNvPr id="8" name="TextBox 7">
          <a:extLst>
            <a:ext uri="{FF2B5EF4-FFF2-40B4-BE49-F238E27FC236}">
              <a16:creationId xmlns:a16="http://schemas.microsoft.com/office/drawing/2014/main" id="{107F8885-0CFF-4338-9ADE-CD7AC1D74F39}"/>
            </a:ext>
          </a:extLst>
        </xdr:cNvPr>
        <xdr:cNvSpPr txBox="1"/>
      </xdr:nvSpPr>
      <xdr:spPr>
        <a:xfrm>
          <a:off x="233362" y="896939"/>
          <a:ext cx="1247775" cy="333374"/>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fld id="{BC0B759D-6763-423D-BEC6-704C119CA7B8}" type="TxLink">
            <a:rPr lang="en-US" sz="1100" b="1" i="0" u="none" strike="noStrike">
              <a:solidFill>
                <a:srgbClr val="000000"/>
              </a:solidFill>
              <a:latin typeface="Calibri"/>
              <a:ea typeface="Calibri"/>
              <a:cs typeface="Calibri"/>
            </a:rPr>
            <a:pPr/>
            <a:t>₹ 1,24,39,159.00</a:t>
          </a:fld>
          <a:endParaRPr lang="en-US" sz="1100" b="1"/>
        </a:p>
      </xdr:txBody>
    </xdr:sp>
    <xdr:clientData/>
  </xdr:twoCellAnchor>
  <xdr:twoCellAnchor>
    <xdr:from>
      <xdr:col>0</xdr:col>
      <xdr:colOff>233362</xdr:colOff>
      <xdr:row>3</xdr:row>
      <xdr:rowOff>73025</xdr:rowOff>
    </xdr:from>
    <xdr:to>
      <xdr:col>1</xdr:col>
      <xdr:colOff>373062</xdr:colOff>
      <xdr:row>4</xdr:row>
      <xdr:rowOff>130176</xdr:rowOff>
    </xdr:to>
    <xdr:sp macro="" textlink="">
      <xdr:nvSpPr>
        <xdr:cNvPr id="9" name="TextBox 8">
          <a:extLst>
            <a:ext uri="{FF2B5EF4-FFF2-40B4-BE49-F238E27FC236}">
              <a16:creationId xmlns:a16="http://schemas.microsoft.com/office/drawing/2014/main" id="{BBE1CB91-F275-4617-B5C2-78BE1317C766}"/>
            </a:ext>
          </a:extLst>
        </xdr:cNvPr>
        <xdr:cNvSpPr txBox="1"/>
      </xdr:nvSpPr>
      <xdr:spPr>
        <a:xfrm>
          <a:off x="233362" y="620713"/>
          <a:ext cx="750888" cy="239713"/>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100" b="1">
              <a:solidFill>
                <a:schemeClr val="bg1"/>
              </a:solidFill>
            </a:rPr>
            <a:t>Revenue</a:t>
          </a:r>
        </a:p>
      </xdr:txBody>
    </xdr:sp>
    <xdr:clientData/>
  </xdr:twoCellAnchor>
  <xdr:twoCellAnchor>
    <xdr:from>
      <xdr:col>3</xdr:col>
      <xdr:colOff>158750</xdr:colOff>
      <xdr:row>5</xdr:row>
      <xdr:rowOff>12701</xdr:rowOff>
    </xdr:from>
    <xdr:to>
      <xdr:col>10</xdr:col>
      <xdr:colOff>82550</xdr:colOff>
      <xdr:row>16</xdr:row>
      <xdr:rowOff>90714</xdr:rowOff>
    </xdr:to>
    <xdr:graphicFrame macro="">
      <xdr:nvGraphicFramePr>
        <xdr:cNvPr id="10" name="Chart 9">
          <a:extLst>
            <a:ext uri="{FF2B5EF4-FFF2-40B4-BE49-F238E27FC236}">
              <a16:creationId xmlns:a16="http://schemas.microsoft.com/office/drawing/2014/main" id="{11100000-A2B0-42D4-9544-BF1B43C7BF49}"/>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3</xdr:col>
      <xdr:colOff>91847</xdr:colOff>
      <xdr:row>17</xdr:row>
      <xdr:rowOff>1</xdr:rowOff>
    </xdr:from>
    <xdr:to>
      <xdr:col>10</xdr:col>
      <xdr:colOff>127000</xdr:colOff>
      <xdr:row>30</xdr:row>
      <xdr:rowOff>108858</xdr:rowOff>
    </xdr:to>
    <xdr:graphicFrame macro="">
      <xdr:nvGraphicFramePr>
        <xdr:cNvPr id="12" name="Chart 11">
          <a:extLst>
            <a:ext uri="{FF2B5EF4-FFF2-40B4-BE49-F238E27FC236}">
              <a16:creationId xmlns:a16="http://schemas.microsoft.com/office/drawing/2014/main" id="{50F56F6E-2A65-4DA1-98BB-35627F89360A}"/>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10</xdr:col>
      <xdr:colOff>144463</xdr:colOff>
      <xdr:row>4</xdr:row>
      <xdr:rowOff>169861</xdr:rowOff>
    </xdr:from>
    <xdr:to>
      <xdr:col>17</xdr:col>
      <xdr:colOff>390073</xdr:colOff>
      <xdr:row>16</xdr:row>
      <xdr:rowOff>63500</xdr:rowOff>
    </xdr:to>
    <xdr:graphicFrame macro="">
      <xdr:nvGraphicFramePr>
        <xdr:cNvPr id="13" name="Chart 12">
          <a:extLst>
            <a:ext uri="{FF2B5EF4-FFF2-40B4-BE49-F238E27FC236}">
              <a16:creationId xmlns:a16="http://schemas.microsoft.com/office/drawing/2014/main" id="{2D604374-0888-4672-BC31-980A8B7CD772}"/>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3</xdr:col>
      <xdr:colOff>214313</xdr:colOff>
      <xdr:row>1</xdr:row>
      <xdr:rowOff>63500</xdr:rowOff>
    </xdr:from>
    <xdr:to>
      <xdr:col>14</xdr:col>
      <xdr:colOff>484188</xdr:colOff>
      <xdr:row>4</xdr:row>
      <xdr:rowOff>7938</xdr:rowOff>
    </xdr:to>
    <xdr:sp macro="" textlink="">
      <xdr:nvSpPr>
        <xdr:cNvPr id="14" name="TextBox 13">
          <a:extLst>
            <a:ext uri="{FF2B5EF4-FFF2-40B4-BE49-F238E27FC236}">
              <a16:creationId xmlns:a16="http://schemas.microsoft.com/office/drawing/2014/main" id="{2768E71A-0BB7-8B15-EF5F-C75592CDEE09}"/>
            </a:ext>
          </a:extLst>
        </xdr:cNvPr>
        <xdr:cNvSpPr txBox="1"/>
      </xdr:nvSpPr>
      <xdr:spPr>
        <a:xfrm>
          <a:off x="2047876" y="246063"/>
          <a:ext cx="6992937" cy="492125"/>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2800" b="1">
              <a:solidFill>
                <a:schemeClr val="tx2"/>
              </a:solidFill>
            </a:rPr>
            <a:t>E-Commerce Business Performance Overview</a:t>
          </a:r>
        </a:p>
      </xdr:txBody>
    </xdr:sp>
    <xdr:clientData/>
  </xdr:twoCellAnchor>
  <xdr:twoCellAnchor editAs="oneCell">
    <xdr:from>
      <xdr:col>0</xdr:col>
      <xdr:colOff>26988</xdr:colOff>
      <xdr:row>9</xdr:row>
      <xdr:rowOff>165102</xdr:rowOff>
    </xdr:from>
    <xdr:to>
      <xdr:col>2</xdr:col>
      <xdr:colOff>254001</xdr:colOff>
      <xdr:row>23</xdr:row>
      <xdr:rowOff>55562</xdr:rowOff>
    </xdr:to>
    <mc:AlternateContent xmlns:mc="http://schemas.openxmlformats.org/markup-compatibility/2006">
      <mc:Choice xmlns:a14="http://schemas.microsoft.com/office/drawing/2010/main" Requires="a14">
        <xdr:graphicFrame macro="">
          <xdr:nvGraphicFramePr>
            <xdr:cNvPr id="19" name="order_month">
              <a:extLst>
                <a:ext uri="{FF2B5EF4-FFF2-40B4-BE49-F238E27FC236}">
                  <a16:creationId xmlns:a16="http://schemas.microsoft.com/office/drawing/2014/main" id="{E60A5B04-8B7D-037A-1DBE-F2EFC04A4480}"/>
                </a:ext>
              </a:extLst>
            </xdr:cNvPr>
            <xdr:cNvGraphicFramePr/>
          </xdr:nvGraphicFramePr>
          <xdr:xfrm>
            <a:off x="0" y="0"/>
            <a:ext cx="0" cy="0"/>
          </xdr:xfrm>
          <a:graphic>
            <a:graphicData uri="http://schemas.microsoft.com/office/drawing/2010/slicer">
              <sle:slicer xmlns:sle="http://schemas.microsoft.com/office/drawing/2010/slicer" name="order_month"/>
            </a:graphicData>
          </a:graphic>
        </xdr:graphicFrame>
      </mc:Choice>
      <mc:Fallback>
        <xdr:sp macro="" textlink="">
          <xdr:nvSpPr>
            <xdr:cNvPr id="0" name=""/>
            <xdr:cNvSpPr>
              <a:spLocks noTextEdit="1"/>
            </xdr:cNvSpPr>
          </xdr:nvSpPr>
          <xdr:spPr>
            <a:xfrm>
              <a:off x="26988" y="1819444"/>
              <a:ext cx="1446881" cy="2463881"/>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0</xdr:col>
      <xdr:colOff>23814</xdr:colOff>
      <xdr:row>23</xdr:row>
      <xdr:rowOff>150812</xdr:rowOff>
    </xdr:from>
    <xdr:to>
      <xdr:col>2</xdr:col>
      <xdr:colOff>269877</xdr:colOff>
      <xdr:row>30</xdr:row>
      <xdr:rowOff>158751</xdr:rowOff>
    </xdr:to>
    <mc:AlternateContent xmlns:mc="http://schemas.openxmlformats.org/markup-compatibility/2006">
      <mc:Choice xmlns:a14="http://schemas.microsoft.com/office/drawing/2010/main" Requires="a14">
        <xdr:graphicFrame macro="">
          <xdr:nvGraphicFramePr>
            <xdr:cNvPr id="20" name="product_name">
              <a:extLst>
                <a:ext uri="{FF2B5EF4-FFF2-40B4-BE49-F238E27FC236}">
                  <a16:creationId xmlns:a16="http://schemas.microsoft.com/office/drawing/2014/main" id="{71054FB5-3408-B50D-50E1-869A837910A0}"/>
                </a:ext>
              </a:extLst>
            </xdr:cNvPr>
            <xdr:cNvGraphicFramePr/>
          </xdr:nvGraphicFramePr>
          <xdr:xfrm>
            <a:off x="0" y="0"/>
            <a:ext cx="0" cy="0"/>
          </xdr:xfrm>
          <a:graphic>
            <a:graphicData uri="http://schemas.microsoft.com/office/drawing/2010/slicer">
              <sle:slicer xmlns:sle="http://schemas.microsoft.com/office/drawing/2010/slicer" name="product_name"/>
            </a:graphicData>
          </a:graphic>
        </xdr:graphicFrame>
      </mc:Choice>
      <mc:Fallback>
        <xdr:sp macro="" textlink="">
          <xdr:nvSpPr>
            <xdr:cNvPr id="0" name=""/>
            <xdr:cNvSpPr>
              <a:spLocks noTextEdit="1"/>
            </xdr:cNvSpPr>
          </xdr:nvSpPr>
          <xdr:spPr>
            <a:xfrm>
              <a:off x="23814" y="4378575"/>
              <a:ext cx="1465931" cy="1294650"/>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0</xdr:col>
      <xdr:colOff>233362</xdr:colOff>
      <xdr:row>6</xdr:row>
      <xdr:rowOff>90488</xdr:rowOff>
    </xdr:from>
    <xdr:to>
      <xdr:col>2</xdr:col>
      <xdr:colOff>173037</xdr:colOff>
      <xdr:row>8</xdr:row>
      <xdr:rowOff>71438</xdr:rowOff>
    </xdr:to>
    <xdr:sp macro="" textlink="">
      <xdr:nvSpPr>
        <xdr:cNvPr id="6" name="TextBox 5">
          <a:extLst>
            <a:ext uri="{FF2B5EF4-FFF2-40B4-BE49-F238E27FC236}">
              <a16:creationId xmlns:a16="http://schemas.microsoft.com/office/drawing/2014/main" id="{C8F15465-234A-4DA8-A2B6-BC33047829F2}"/>
            </a:ext>
          </a:extLst>
        </xdr:cNvPr>
        <xdr:cNvSpPr txBox="1"/>
      </xdr:nvSpPr>
      <xdr:spPr>
        <a:xfrm>
          <a:off x="233362" y="1185863"/>
          <a:ext cx="1162050" cy="34607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100" b="1">
              <a:solidFill>
                <a:schemeClr val="bg1"/>
              </a:solidFill>
            </a:rPr>
            <a:t>Days</a:t>
          </a:r>
          <a:r>
            <a:rPr lang="en-US" sz="1100" b="1" baseline="0">
              <a:solidFill>
                <a:schemeClr val="bg1"/>
              </a:solidFill>
            </a:rPr>
            <a:t> to Delivery</a:t>
          </a:r>
          <a:endParaRPr lang="en-US" sz="1100" b="1">
            <a:solidFill>
              <a:schemeClr val="bg1"/>
            </a:solidFill>
          </a:endParaRPr>
        </a:p>
      </xdr:txBody>
    </xdr:sp>
    <xdr:clientData/>
  </xdr:twoCellAnchor>
  <xdr:twoCellAnchor>
    <xdr:from>
      <xdr:col>0</xdr:col>
      <xdr:colOff>265112</xdr:colOff>
      <xdr:row>7</xdr:row>
      <xdr:rowOff>163513</xdr:rowOff>
    </xdr:from>
    <xdr:to>
      <xdr:col>1</xdr:col>
      <xdr:colOff>404812</xdr:colOff>
      <xdr:row>9</xdr:row>
      <xdr:rowOff>38101</xdr:rowOff>
    </xdr:to>
    <xdr:sp macro="" textlink="Pivot_Table!G32">
      <xdr:nvSpPr>
        <xdr:cNvPr id="11" name="TextBox 10">
          <a:extLst>
            <a:ext uri="{FF2B5EF4-FFF2-40B4-BE49-F238E27FC236}">
              <a16:creationId xmlns:a16="http://schemas.microsoft.com/office/drawing/2014/main" id="{0F1ECF73-0D1C-4A82-80DD-38FF2FDB7346}"/>
            </a:ext>
          </a:extLst>
        </xdr:cNvPr>
        <xdr:cNvSpPr txBox="1"/>
      </xdr:nvSpPr>
      <xdr:spPr>
        <a:xfrm>
          <a:off x="265112" y="1441451"/>
          <a:ext cx="750888" cy="239713"/>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fld id="{9AEEAF93-FA90-485B-9F89-EED2F26FB522}" type="TxLink">
            <a:rPr lang="en-US" sz="1100" b="1" i="0" u="none" strike="noStrike">
              <a:solidFill>
                <a:srgbClr val="000000"/>
              </a:solidFill>
              <a:latin typeface="Calibri"/>
              <a:ea typeface="Calibri"/>
              <a:cs typeface="Calibri"/>
            </a:rPr>
            <a:t>5.47</a:t>
          </a:fld>
          <a:endParaRPr lang="en-US" sz="1100" b="1">
            <a:solidFill>
              <a:schemeClr val="bg1"/>
            </a:solidFill>
          </a:endParaRPr>
        </a:p>
      </xdr:txBody>
    </xdr:sp>
    <xdr:clientData/>
  </xdr:twoCellAnchor>
  <xdr:twoCellAnchor>
    <xdr:from>
      <xdr:col>10</xdr:col>
      <xdr:colOff>172811</xdr:colOff>
      <xdr:row>16</xdr:row>
      <xdr:rowOff>114528</xdr:rowOff>
    </xdr:from>
    <xdr:to>
      <xdr:col>17</xdr:col>
      <xdr:colOff>408214</xdr:colOff>
      <xdr:row>30</xdr:row>
      <xdr:rowOff>117930</xdr:rowOff>
    </xdr:to>
    <xdr:graphicFrame macro="">
      <xdr:nvGraphicFramePr>
        <xdr:cNvPr id="15" name="Chart 14">
          <a:extLst>
            <a:ext uri="{FF2B5EF4-FFF2-40B4-BE49-F238E27FC236}">
              <a16:creationId xmlns:a16="http://schemas.microsoft.com/office/drawing/2014/main" id="{EB668DF2-6687-4705-894B-A37EB35503B1}"/>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17</xdr:col>
      <xdr:colOff>500061</xdr:colOff>
      <xdr:row>5</xdr:row>
      <xdr:rowOff>15875</xdr:rowOff>
    </xdr:from>
    <xdr:to>
      <xdr:col>24</xdr:col>
      <xdr:colOff>263524</xdr:colOff>
      <xdr:row>30</xdr:row>
      <xdr:rowOff>142875</xdr:rowOff>
    </xdr:to>
    <xdr:graphicFrame macro="">
      <xdr:nvGraphicFramePr>
        <xdr:cNvPr id="16" name="Chart 15">
          <a:extLst>
            <a:ext uri="{FF2B5EF4-FFF2-40B4-BE49-F238E27FC236}">
              <a16:creationId xmlns:a16="http://schemas.microsoft.com/office/drawing/2014/main" id="{2B457291-D153-49EC-9681-FA1A281F79DC}"/>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Manikanta" refreshedDate="46032.764044212963" createdVersion="8" refreshedVersion="8" minRefreshableVersion="3" recordCount="5000" xr:uid="{DB79E010-EF94-49D8-9EDD-AA4F1128EAC4}">
  <cacheSource type="worksheet">
    <worksheetSource name="Table1"/>
  </cacheSource>
  <cacheFields count="21">
    <cacheField name="order_id" numFmtId="0">
      <sharedItems containsSemiMixedTypes="0" containsString="0" containsNumber="1" containsInteger="1" minValue="1" maxValue="5000"/>
    </cacheField>
    <cacheField name="order_date" numFmtId="164">
      <sharedItems containsSemiMixedTypes="0" containsNonDate="0" containsDate="1" containsString="0" minDate="2025-07-13T00:00:00" maxDate="2026-01-10T00:00:00" count="181">
        <d v="2025-08-09T00:00:00"/>
        <d v="2025-09-26T00:00:00"/>
        <d v="2025-10-11T00:00:00"/>
        <d v="2025-08-03T00:00:00"/>
        <d v="2025-12-08T00:00:00"/>
        <d v="2025-08-13T00:00:00"/>
        <d v="2025-11-17T00:00:00"/>
        <d v="2025-12-03T00:00:00"/>
        <d v="2025-08-05T00:00:00"/>
        <d v="2025-07-21T00:00:00"/>
        <d v="2025-12-01T00:00:00"/>
        <d v="2025-08-26T00:00:00"/>
        <d v="2025-09-17T00:00:00"/>
        <d v="2025-10-05T00:00:00"/>
        <d v="2025-08-23T00:00:00"/>
        <d v="2025-11-19T00:00:00"/>
        <d v="2025-08-04T00:00:00"/>
        <d v="2025-09-14T00:00:00"/>
        <d v="2025-09-02T00:00:00"/>
        <d v="2025-08-15T00:00:00"/>
        <d v="2025-08-06T00:00:00"/>
        <d v="2025-10-25T00:00:00"/>
        <d v="2026-01-09T00:00:00"/>
        <d v="2025-12-20T00:00:00"/>
        <d v="2025-07-22T00:00:00"/>
        <d v="2025-11-30T00:00:00"/>
        <d v="2025-10-12T00:00:00"/>
        <d v="2025-09-07T00:00:00"/>
        <d v="2025-08-14T00:00:00"/>
        <d v="2025-09-22T00:00:00"/>
        <d v="2025-12-16T00:00:00"/>
        <d v="2025-10-31T00:00:00"/>
        <d v="2025-09-19T00:00:00"/>
        <d v="2025-07-27T00:00:00"/>
        <d v="2025-12-19T00:00:00"/>
        <d v="2025-08-25T00:00:00"/>
        <d v="2025-10-29T00:00:00"/>
        <d v="2025-11-12T00:00:00"/>
        <d v="2025-09-25T00:00:00"/>
        <d v="2025-08-17T00:00:00"/>
        <d v="2025-08-07T00:00:00"/>
        <d v="2025-09-12T00:00:00"/>
        <d v="2025-10-26T00:00:00"/>
        <d v="2025-11-14T00:00:00"/>
        <d v="2025-11-22T00:00:00"/>
        <d v="2026-01-04T00:00:00"/>
        <d v="2025-07-24T00:00:00"/>
        <d v="2026-01-05T00:00:00"/>
        <d v="2025-12-13T00:00:00"/>
        <d v="2025-08-31T00:00:00"/>
        <d v="2025-12-28T00:00:00"/>
        <d v="2025-07-17T00:00:00"/>
        <d v="2025-11-01T00:00:00"/>
        <d v="2025-10-16T00:00:00"/>
        <d v="2025-08-21T00:00:00"/>
        <d v="2025-09-08T00:00:00"/>
        <d v="2026-01-07T00:00:00"/>
        <d v="2025-11-24T00:00:00"/>
        <d v="2025-07-28T00:00:00"/>
        <d v="2025-08-22T00:00:00"/>
        <d v="2025-09-04T00:00:00"/>
        <d v="2025-11-15T00:00:00"/>
        <d v="2025-10-19T00:00:00"/>
        <d v="2025-07-19T00:00:00"/>
        <d v="2025-10-22T00:00:00"/>
        <d v="2025-09-16T00:00:00"/>
        <d v="2025-09-27T00:00:00"/>
        <d v="2025-09-06T00:00:00"/>
        <d v="2025-08-08T00:00:00"/>
        <d v="2025-10-03T00:00:00"/>
        <d v="2025-10-04T00:00:00"/>
        <d v="2025-12-06T00:00:00"/>
        <d v="2025-10-06T00:00:00"/>
        <d v="2025-11-03T00:00:00"/>
        <d v="2025-07-15T00:00:00"/>
        <d v="2025-12-22T00:00:00"/>
        <d v="2025-12-07T00:00:00"/>
        <d v="2025-09-15T00:00:00"/>
        <d v="2025-12-27T00:00:00"/>
        <d v="2025-09-03T00:00:00"/>
        <d v="2026-01-06T00:00:00"/>
        <d v="2025-08-12T00:00:00"/>
        <d v="2025-08-11T00:00:00"/>
        <d v="2025-09-01T00:00:00"/>
        <d v="2025-10-08T00:00:00"/>
        <d v="2025-12-12T00:00:00"/>
        <d v="2026-01-02T00:00:00"/>
        <d v="2025-10-13T00:00:00"/>
        <d v="2025-09-10T00:00:00"/>
        <d v="2025-08-24T00:00:00"/>
        <d v="2025-08-01T00:00:00"/>
        <d v="2025-12-26T00:00:00"/>
        <d v="2025-12-29T00:00:00"/>
        <d v="2025-12-30T00:00:00"/>
        <d v="2025-09-28T00:00:00"/>
        <d v="2025-11-16T00:00:00"/>
        <d v="2025-11-04T00:00:00"/>
        <d v="2025-09-30T00:00:00"/>
        <d v="2025-12-14T00:00:00"/>
        <d v="2025-11-28T00:00:00"/>
        <d v="2025-09-13T00:00:00"/>
        <d v="2025-12-02T00:00:00"/>
        <d v="2025-12-09T00:00:00"/>
        <d v="2025-09-18T00:00:00"/>
        <d v="2025-07-14T00:00:00"/>
        <d v="2025-12-25T00:00:00"/>
        <d v="2025-07-25T00:00:00"/>
        <d v="2025-11-02T00:00:00"/>
        <d v="2025-10-28T00:00:00"/>
        <d v="2025-11-11T00:00:00"/>
        <d v="2025-12-21T00:00:00"/>
        <d v="2025-11-23T00:00:00"/>
        <d v="2025-07-23T00:00:00"/>
        <d v="2025-08-16T00:00:00"/>
        <d v="2025-12-11T00:00:00"/>
        <d v="2025-11-27T00:00:00"/>
        <d v="2025-12-10T00:00:00"/>
        <d v="2025-07-30T00:00:00"/>
        <d v="2025-08-29T00:00:00"/>
        <d v="2025-08-20T00:00:00"/>
        <d v="2026-01-01T00:00:00"/>
        <d v="2025-09-11T00:00:00"/>
        <d v="2025-12-31T00:00:00"/>
        <d v="2025-08-18T00:00:00"/>
        <d v="2025-09-09T00:00:00"/>
        <d v="2025-07-31T00:00:00"/>
        <d v="2025-11-10T00:00:00"/>
        <d v="2025-07-16T00:00:00"/>
        <d v="2025-09-21T00:00:00"/>
        <d v="2025-11-09T00:00:00"/>
        <d v="2025-12-17T00:00:00"/>
        <d v="2025-11-20T00:00:00"/>
        <d v="2025-10-15T00:00:00"/>
        <d v="2025-08-30T00:00:00"/>
        <d v="2025-12-18T00:00:00"/>
        <d v="2025-10-20T00:00:00"/>
        <d v="2025-10-02T00:00:00"/>
        <d v="2025-09-29T00:00:00"/>
        <d v="2025-10-27T00:00:00"/>
        <d v="2025-11-07T00:00:00"/>
        <d v="2025-11-25T00:00:00"/>
        <d v="2025-09-24T00:00:00"/>
        <d v="2025-10-14T00:00:00"/>
        <d v="2025-10-24T00:00:00"/>
        <d v="2025-12-23T00:00:00"/>
        <d v="2025-11-29T00:00:00"/>
        <d v="2025-10-01T00:00:00"/>
        <d v="2025-11-21T00:00:00"/>
        <d v="2025-07-20T00:00:00"/>
        <d v="2025-12-05T00:00:00"/>
        <d v="2025-08-27T00:00:00"/>
        <d v="2025-12-24T00:00:00"/>
        <d v="2025-10-17T00:00:00"/>
        <d v="2025-08-02T00:00:00"/>
        <d v="2025-10-18T00:00:00"/>
        <d v="2025-08-10T00:00:00"/>
        <d v="2026-01-08T00:00:00"/>
        <d v="2025-10-09T00:00:00"/>
        <d v="2025-09-20T00:00:00"/>
        <d v="2025-12-04T00:00:00"/>
        <d v="2025-11-18T00:00:00"/>
        <d v="2025-10-10T00:00:00"/>
        <d v="2025-10-21T00:00:00"/>
        <d v="2025-11-05T00:00:00"/>
        <d v="2025-08-19T00:00:00"/>
        <d v="2025-10-07T00:00:00"/>
        <d v="2025-09-23T00:00:00"/>
        <d v="2025-08-28T00:00:00"/>
        <d v="2026-01-03T00:00:00"/>
        <d v="2025-10-23T00:00:00"/>
        <d v="2025-11-26T00:00:00"/>
        <d v="2025-09-05T00:00:00"/>
        <d v="2025-10-30T00:00:00"/>
        <d v="2025-07-26T00:00:00"/>
        <d v="2025-07-18T00:00:00"/>
        <d v="2025-07-29T00:00:00"/>
        <d v="2025-12-15T00:00:00"/>
        <d v="2025-11-08T00:00:00"/>
        <d v="2025-11-06T00:00:00"/>
        <d v="2025-07-13T00:00:00"/>
        <d v="2025-11-13T00:00:00"/>
      </sharedItems>
      <fieldGroup par="20"/>
    </cacheField>
    <cacheField name="user_id" numFmtId="0">
      <sharedItems containsSemiMixedTypes="0" containsString="0" containsNumber="1" containsInteger="1" minValue="1000" maxValue="2000"/>
    </cacheField>
    <cacheField name="user_city" numFmtId="0">
      <sharedItems count="5">
        <s v="Bangalore"/>
        <s v="Chennai"/>
        <s v="Hyderabad"/>
        <s v="Mumbai"/>
        <s v="Delhi"/>
      </sharedItems>
    </cacheField>
    <cacheField name="category" numFmtId="0">
      <sharedItems count="5">
        <s v="Grocery"/>
        <s v="Beauty"/>
        <s v="Fashion"/>
        <s v="Electronics"/>
        <s v="Home"/>
      </sharedItems>
    </cacheField>
    <cacheField name="product_name" numFmtId="0">
      <sharedItems count="4">
        <s v="Product_C"/>
        <s v="Product_D"/>
        <s v="Product_B"/>
        <s v="Product_A"/>
      </sharedItems>
    </cacheField>
    <cacheField name="quantity" numFmtId="0">
      <sharedItems containsSemiMixedTypes="0" containsString="0" containsNumber="1" containsInteger="1" minValue="1" maxValue="5"/>
    </cacheField>
    <cacheField name="revenue" numFmtId="0">
      <sharedItems containsSemiMixedTypes="0" containsString="0" containsNumber="1" containsInteger="1" minValue="0" maxValue="24940"/>
    </cacheField>
    <cacheField name="payment_method" numFmtId="0">
      <sharedItems/>
    </cacheField>
    <cacheField name="order_status" numFmtId="0">
      <sharedItems count="3">
        <s v="completed"/>
        <s v="cancelled"/>
        <s v="returned"/>
      </sharedItems>
    </cacheField>
    <cacheField name="marketing_channel" numFmtId="0">
      <sharedItems count="4">
        <s v="Referral"/>
        <s v="Facebook Ads"/>
        <s v="Google Ads"/>
        <s v="Organic"/>
      </sharedItems>
    </cacheField>
    <cacheField name="delivery_days" numFmtId="0">
      <sharedItems containsSemiMixedTypes="0" containsString="0" containsNumber="1" containsInteger="1" minValue="1" maxValue="10"/>
    </cacheField>
    <cacheField name="is_returned" numFmtId="0">
      <sharedItems containsSemiMixedTypes="0" containsString="0" containsNumber="1" containsInteger="1" minValue="0" maxValue="1"/>
    </cacheField>
    <cacheField name="discount_applied" numFmtId="0">
      <sharedItems containsSemiMixedTypes="0" containsString="0" containsNumber="1" containsInteger="1" minValue="0" maxValue="1"/>
    </cacheField>
    <cacheField name="customer_type" numFmtId="0">
      <sharedItems/>
    </cacheField>
    <cacheField name="order_month" numFmtId="0">
      <sharedItems count="7">
        <s v="2025-08"/>
        <s v="2025-09"/>
        <s v="2025-10"/>
        <s v="2025-12"/>
        <s v="2025-11"/>
        <s v="2025-07"/>
        <s v="2026-01"/>
      </sharedItems>
    </cacheField>
    <cacheField name="order_week" numFmtId="0">
      <sharedItems containsSemiMixedTypes="0" containsString="0" containsNumber="1" containsInteger="1" minValue="1" maxValue="53"/>
    </cacheField>
    <cacheField name="is_completed" numFmtId="0">
      <sharedItems containsSemiMixedTypes="0" containsString="0" containsNumber="1" containsInteger="1" minValue="0" maxValue="1"/>
    </cacheField>
    <cacheField name="Months (order_date)" numFmtId="0" databaseField="0">
      <fieldGroup base="1">
        <rangePr groupBy="months" startDate="2025-07-13T00:00:00" endDate="2026-01-10T00:00:00"/>
        <groupItems count="14">
          <s v="&lt;13-07-2025"/>
          <s v="Jan"/>
          <s v="Feb"/>
          <s v="Mar"/>
          <s v="Apr"/>
          <s v="May"/>
          <s v="Jun"/>
          <s v="Jul"/>
          <s v="Aug"/>
          <s v="Sep"/>
          <s v="Oct"/>
          <s v="Nov"/>
          <s v="Dec"/>
          <s v="&gt;10-01-2026"/>
        </groupItems>
      </fieldGroup>
    </cacheField>
    <cacheField name="Quarters (order_date)" numFmtId="0" databaseField="0">
      <fieldGroup base="1">
        <rangePr groupBy="quarters" startDate="2025-07-13T00:00:00" endDate="2026-01-10T00:00:00"/>
        <groupItems count="6">
          <s v="&lt;13-07-2025"/>
          <s v="Qtr1"/>
          <s v="Qtr2"/>
          <s v="Qtr3"/>
          <s v="Qtr4"/>
          <s v="&gt;10-01-2026"/>
        </groupItems>
      </fieldGroup>
    </cacheField>
    <cacheField name="Years (order_date)" numFmtId="0" databaseField="0">
      <fieldGroup base="1">
        <rangePr groupBy="years" startDate="2025-07-13T00:00:00" endDate="2026-01-10T00:00:00"/>
        <groupItems count="4">
          <s v="&lt;13-07-2025"/>
          <s v="2025"/>
          <s v="2026"/>
          <s v="&gt;10-01-2026"/>
        </groupItems>
      </fieldGroup>
    </cacheField>
  </cacheFields>
  <extLst>
    <ext xmlns:x14="http://schemas.microsoft.com/office/spreadsheetml/2009/9/main" uri="{725AE2AE-9491-48be-B2B4-4EB974FC3084}">
      <x14:pivotCacheDefinition pivotCacheId="41450054"/>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5000">
  <r>
    <n v="1"/>
    <x v="0"/>
    <n v="1283"/>
    <x v="0"/>
    <x v="0"/>
    <x v="0"/>
    <n v="4"/>
    <n v="12856"/>
    <s v="Card"/>
    <x v="0"/>
    <x v="0"/>
    <n v="3"/>
    <n v="0"/>
    <n v="1"/>
    <s v="Repeat"/>
    <x v="0"/>
    <n v="32"/>
    <n v="1"/>
  </r>
  <r>
    <n v="2"/>
    <x v="1"/>
    <n v="1742"/>
    <x v="1"/>
    <x v="1"/>
    <x v="1"/>
    <n v="1"/>
    <n v="2376"/>
    <s v="COD"/>
    <x v="0"/>
    <x v="1"/>
    <n v="5"/>
    <n v="0"/>
    <n v="1"/>
    <s v="New"/>
    <x v="1"/>
    <n v="39"/>
    <n v="1"/>
  </r>
  <r>
    <n v="3"/>
    <x v="2"/>
    <n v="1207"/>
    <x v="2"/>
    <x v="2"/>
    <x v="2"/>
    <n v="4"/>
    <n v="0"/>
    <s v="Card"/>
    <x v="1"/>
    <x v="0"/>
    <n v="1"/>
    <n v="1"/>
    <n v="0"/>
    <s v="Repeat"/>
    <x v="2"/>
    <n v="41"/>
    <n v="0"/>
  </r>
  <r>
    <n v="4"/>
    <x v="3"/>
    <n v="1806"/>
    <x v="3"/>
    <x v="3"/>
    <x v="3"/>
    <n v="3"/>
    <n v="0"/>
    <s v="Wallet"/>
    <x v="1"/>
    <x v="1"/>
    <n v="4"/>
    <n v="1"/>
    <n v="1"/>
    <s v="Repeat"/>
    <x v="0"/>
    <n v="32"/>
    <n v="0"/>
  </r>
  <r>
    <n v="5"/>
    <x v="4"/>
    <n v="1529"/>
    <x v="2"/>
    <x v="4"/>
    <x v="1"/>
    <n v="5"/>
    <n v="0"/>
    <s v="COD"/>
    <x v="2"/>
    <x v="2"/>
    <n v="9"/>
    <n v="1"/>
    <n v="1"/>
    <s v="New"/>
    <x v="3"/>
    <n v="50"/>
    <n v="0"/>
  </r>
  <r>
    <n v="6"/>
    <x v="5"/>
    <n v="1663"/>
    <x v="0"/>
    <x v="4"/>
    <x v="0"/>
    <n v="4"/>
    <n v="0"/>
    <s v="UPI"/>
    <x v="2"/>
    <x v="2"/>
    <n v="8"/>
    <n v="1"/>
    <n v="1"/>
    <s v="Repeat"/>
    <x v="0"/>
    <n v="33"/>
    <n v="0"/>
  </r>
  <r>
    <n v="7"/>
    <x v="6"/>
    <n v="1124"/>
    <x v="0"/>
    <x v="2"/>
    <x v="1"/>
    <n v="5"/>
    <n v="0"/>
    <s v="Card"/>
    <x v="1"/>
    <x v="3"/>
    <n v="6"/>
    <n v="1"/>
    <n v="1"/>
    <s v="New"/>
    <x v="4"/>
    <n v="47"/>
    <n v="0"/>
  </r>
  <r>
    <n v="8"/>
    <x v="7"/>
    <n v="1367"/>
    <x v="0"/>
    <x v="2"/>
    <x v="0"/>
    <n v="1"/>
    <n v="0"/>
    <s v="Card"/>
    <x v="1"/>
    <x v="2"/>
    <n v="10"/>
    <n v="0"/>
    <n v="0"/>
    <s v="Repeat"/>
    <x v="3"/>
    <n v="49"/>
    <n v="0"/>
  </r>
  <r>
    <n v="9"/>
    <x v="8"/>
    <n v="1782"/>
    <x v="0"/>
    <x v="3"/>
    <x v="1"/>
    <n v="3"/>
    <n v="0"/>
    <s v="Wallet"/>
    <x v="1"/>
    <x v="2"/>
    <n v="1"/>
    <n v="0"/>
    <n v="1"/>
    <s v="Repeat"/>
    <x v="0"/>
    <n v="32"/>
    <n v="0"/>
  </r>
  <r>
    <n v="10"/>
    <x v="9"/>
    <n v="1920"/>
    <x v="2"/>
    <x v="4"/>
    <x v="2"/>
    <n v="3"/>
    <n v="0"/>
    <s v="COD"/>
    <x v="2"/>
    <x v="0"/>
    <n v="3"/>
    <n v="1"/>
    <n v="0"/>
    <s v="New"/>
    <x v="5"/>
    <n v="30"/>
    <n v="0"/>
  </r>
  <r>
    <n v="11"/>
    <x v="10"/>
    <n v="1570"/>
    <x v="4"/>
    <x v="4"/>
    <x v="0"/>
    <n v="3"/>
    <n v="0"/>
    <s v="Wallet"/>
    <x v="2"/>
    <x v="0"/>
    <n v="6"/>
    <n v="1"/>
    <n v="1"/>
    <s v="Repeat"/>
    <x v="3"/>
    <n v="49"/>
    <n v="0"/>
  </r>
  <r>
    <n v="12"/>
    <x v="11"/>
    <n v="1683"/>
    <x v="4"/>
    <x v="4"/>
    <x v="1"/>
    <n v="2"/>
    <n v="6296"/>
    <s v="Wallet"/>
    <x v="0"/>
    <x v="2"/>
    <n v="2"/>
    <n v="0"/>
    <n v="0"/>
    <s v="Repeat"/>
    <x v="0"/>
    <n v="35"/>
    <n v="1"/>
  </r>
  <r>
    <n v="13"/>
    <x v="12"/>
    <n v="1735"/>
    <x v="3"/>
    <x v="2"/>
    <x v="0"/>
    <n v="3"/>
    <n v="0"/>
    <s v="UPI"/>
    <x v="2"/>
    <x v="3"/>
    <n v="6"/>
    <n v="0"/>
    <n v="0"/>
    <s v="New"/>
    <x v="1"/>
    <n v="38"/>
    <n v="0"/>
  </r>
  <r>
    <n v="14"/>
    <x v="0"/>
    <n v="1857"/>
    <x v="3"/>
    <x v="3"/>
    <x v="0"/>
    <n v="4"/>
    <n v="11260"/>
    <s v="COD"/>
    <x v="0"/>
    <x v="2"/>
    <n v="10"/>
    <n v="0"/>
    <n v="1"/>
    <s v="Repeat"/>
    <x v="0"/>
    <n v="32"/>
    <n v="1"/>
  </r>
  <r>
    <n v="15"/>
    <x v="9"/>
    <n v="1285"/>
    <x v="3"/>
    <x v="3"/>
    <x v="1"/>
    <n v="2"/>
    <n v="0"/>
    <s v="Wallet"/>
    <x v="1"/>
    <x v="3"/>
    <n v="6"/>
    <n v="0"/>
    <n v="0"/>
    <s v="Repeat"/>
    <x v="5"/>
    <n v="30"/>
    <n v="0"/>
  </r>
  <r>
    <n v="16"/>
    <x v="13"/>
    <n v="1240"/>
    <x v="1"/>
    <x v="4"/>
    <x v="3"/>
    <n v="1"/>
    <n v="0"/>
    <s v="Wallet"/>
    <x v="2"/>
    <x v="3"/>
    <n v="1"/>
    <n v="1"/>
    <n v="1"/>
    <s v="New"/>
    <x v="2"/>
    <n v="41"/>
    <n v="0"/>
  </r>
  <r>
    <n v="17"/>
    <x v="14"/>
    <n v="1057"/>
    <x v="1"/>
    <x v="3"/>
    <x v="3"/>
    <n v="3"/>
    <n v="0"/>
    <s v="COD"/>
    <x v="1"/>
    <x v="1"/>
    <n v="5"/>
    <n v="0"/>
    <n v="1"/>
    <s v="New"/>
    <x v="0"/>
    <n v="34"/>
    <n v="0"/>
  </r>
  <r>
    <n v="18"/>
    <x v="15"/>
    <n v="1383"/>
    <x v="1"/>
    <x v="4"/>
    <x v="0"/>
    <n v="3"/>
    <n v="0"/>
    <s v="Card"/>
    <x v="1"/>
    <x v="1"/>
    <n v="6"/>
    <n v="0"/>
    <n v="0"/>
    <s v="Repeat"/>
    <x v="4"/>
    <n v="47"/>
    <n v="0"/>
  </r>
  <r>
    <n v="19"/>
    <x v="16"/>
    <n v="1608"/>
    <x v="2"/>
    <x v="3"/>
    <x v="0"/>
    <n v="4"/>
    <n v="1352"/>
    <s v="Card"/>
    <x v="0"/>
    <x v="0"/>
    <n v="3"/>
    <n v="0"/>
    <n v="0"/>
    <s v="Repeat"/>
    <x v="0"/>
    <n v="32"/>
    <n v="1"/>
  </r>
  <r>
    <n v="20"/>
    <x v="17"/>
    <n v="1580"/>
    <x v="4"/>
    <x v="0"/>
    <x v="1"/>
    <n v="2"/>
    <n v="0"/>
    <s v="COD"/>
    <x v="1"/>
    <x v="1"/>
    <n v="6"/>
    <n v="0"/>
    <n v="1"/>
    <s v="Repeat"/>
    <x v="1"/>
    <n v="38"/>
    <n v="0"/>
  </r>
  <r>
    <n v="21"/>
    <x v="18"/>
    <n v="1944"/>
    <x v="0"/>
    <x v="3"/>
    <x v="3"/>
    <n v="1"/>
    <n v="0"/>
    <s v="Wallet"/>
    <x v="1"/>
    <x v="1"/>
    <n v="4"/>
    <n v="1"/>
    <n v="1"/>
    <s v="New"/>
    <x v="1"/>
    <n v="36"/>
    <n v="0"/>
  </r>
  <r>
    <n v="22"/>
    <x v="7"/>
    <n v="1918"/>
    <x v="0"/>
    <x v="0"/>
    <x v="0"/>
    <n v="4"/>
    <n v="0"/>
    <s v="Card"/>
    <x v="1"/>
    <x v="2"/>
    <n v="1"/>
    <n v="0"/>
    <n v="0"/>
    <s v="Repeat"/>
    <x v="3"/>
    <n v="49"/>
    <n v="0"/>
  </r>
  <r>
    <n v="23"/>
    <x v="19"/>
    <n v="1604"/>
    <x v="2"/>
    <x v="4"/>
    <x v="2"/>
    <n v="2"/>
    <n v="4546"/>
    <s v="Wallet"/>
    <x v="0"/>
    <x v="2"/>
    <n v="6"/>
    <n v="0"/>
    <n v="1"/>
    <s v="New"/>
    <x v="0"/>
    <n v="33"/>
    <n v="1"/>
  </r>
  <r>
    <n v="24"/>
    <x v="20"/>
    <n v="1369"/>
    <x v="1"/>
    <x v="2"/>
    <x v="3"/>
    <n v="2"/>
    <n v="4482"/>
    <s v="Card"/>
    <x v="0"/>
    <x v="0"/>
    <n v="1"/>
    <n v="0"/>
    <n v="0"/>
    <s v="New"/>
    <x v="0"/>
    <n v="32"/>
    <n v="1"/>
  </r>
  <r>
    <n v="25"/>
    <x v="21"/>
    <n v="1442"/>
    <x v="1"/>
    <x v="0"/>
    <x v="3"/>
    <n v="4"/>
    <n v="0"/>
    <s v="COD"/>
    <x v="2"/>
    <x v="2"/>
    <n v="8"/>
    <n v="0"/>
    <n v="1"/>
    <s v="Repeat"/>
    <x v="2"/>
    <n v="43"/>
    <n v="0"/>
  </r>
  <r>
    <n v="26"/>
    <x v="22"/>
    <n v="1362"/>
    <x v="4"/>
    <x v="0"/>
    <x v="0"/>
    <n v="1"/>
    <n v="0"/>
    <s v="COD"/>
    <x v="1"/>
    <x v="2"/>
    <n v="7"/>
    <n v="1"/>
    <n v="1"/>
    <s v="New"/>
    <x v="6"/>
    <n v="2"/>
    <n v="0"/>
  </r>
  <r>
    <n v="27"/>
    <x v="22"/>
    <n v="1526"/>
    <x v="2"/>
    <x v="2"/>
    <x v="3"/>
    <n v="5"/>
    <n v="0"/>
    <s v="Wallet"/>
    <x v="1"/>
    <x v="1"/>
    <n v="2"/>
    <n v="0"/>
    <n v="0"/>
    <s v="Repeat"/>
    <x v="6"/>
    <n v="2"/>
    <n v="0"/>
  </r>
  <r>
    <n v="28"/>
    <x v="21"/>
    <n v="1265"/>
    <x v="0"/>
    <x v="1"/>
    <x v="0"/>
    <n v="4"/>
    <n v="0"/>
    <s v="UPI"/>
    <x v="2"/>
    <x v="1"/>
    <n v="10"/>
    <n v="1"/>
    <n v="1"/>
    <s v="Repeat"/>
    <x v="2"/>
    <n v="43"/>
    <n v="0"/>
  </r>
  <r>
    <n v="29"/>
    <x v="0"/>
    <n v="1314"/>
    <x v="2"/>
    <x v="4"/>
    <x v="1"/>
    <n v="1"/>
    <n v="4103"/>
    <s v="UPI"/>
    <x v="0"/>
    <x v="2"/>
    <n v="4"/>
    <n v="1"/>
    <n v="0"/>
    <s v="Repeat"/>
    <x v="0"/>
    <n v="32"/>
    <n v="1"/>
  </r>
  <r>
    <n v="30"/>
    <x v="23"/>
    <n v="1413"/>
    <x v="0"/>
    <x v="3"/>
    <x v="1"/>
    <n v="4"/>
    <n v="18300"/>
    <s v="Wallet"/>
    <x v="0"/>
    <x v="0"/>
    <n v="8"/>
    <n v="0"/>
    <n v="0"/>
    <s v="Repeat"/>
    <x v="3"/>
    <n v="51"/>
    <n v="1"/>
  </r>
  <r>
    <n v="31"/>
    <x v="8"/>
    <n v="1621"/>
    <x v="2"/>
    <x v="1"/>
    <x v="0"/>
    <n v="5"/>
    <n v="0"/>
    <s v="COD"/>
    <x v="1"/>
    <x v="1"/>
    <n v="5"/>
    <n v="1"/>
    <n v="1"/>
    <s v="New"/>
    <x v="0"/>
    <n v="32"/>
    <n v="0"/>
  </r>
  <r>
    <n v="32"/>
    <x v="24"/>
    <n v="1294"/>
    <x v="0"/>
    <x v="4"/>
    <x v="3"/>
    <n v="4"/>
    <n v="15156"/>
    <s v="Wallet"/>
    <x v="0"/>
    <x v="2"/>
    <n v="8"/>
    <n v="1"/>
    <n v="1"/>
    <s v="New"/>
    <x v="5"/>
    <n v="30"/>
    <n v="1"/>
  </r>
  <r>
    <n v="33"/>
    <x v="9"/>
    <n v="1625"/>
    <x v="1"/>
    <x v="4"/>
    <x v="2"/>
    <n v="2"/>
    <n v="0"/>
    <s v="Wallet"/>
    <x v="1"/>
    <x v="2"/>
    <n v="8"/>
    <n v="1"/>
    <n v="0"/>
    <s v="Repeat"/>
    <x v="5"/>
    <n v="30"/>
    <n v="0"/>
  </r>
  <r>
    <n v="34"/>
    <x v="25"/>
    <n v="1843"/>
    <x v="1"/>
    <x v="3"/>
    <x v="2"/>
    <n v="1"/>
    <n v="0"/>
    <s v="Card"/>
    <x v="1"/>
    <x v="2"/>
    <n v="3"/>
    <n v="0"/>
    <n v="1"/>
    <s v="Repeat"/>
    <x v="4"/>
    <n v="49"/>
    <n v="0"/>
  </r>
  <r>
    <n v="35"/>
    <x v="26"/>
    <n v="1634"/>
    <x v="3"/>
    <x v="4"/>
    <x v="3"/>
    <n v="2"/>
    <n v="0"/>
    <s v="UPI"/>
    <x v="2"/>
    <x v="2"/>
    <n v="1"/>
    <n v="1"/>
    <n v="0"/>
    <s v="New"/>
    <x v="2"/>
    <n v="42"/>
    <n v="0"/>
  </r>
  <r>
    <n v="36"/>
    <x v="27"/>
    <n v="1720"/>
    <x v="1"/>
    <x v="3"/>
    <x v="1"/>
    <n v="5"/>
    <n v="0"/>
    <s v="Wallet"/>
    <x v="2"/>
    <x v="1"/>
    <n v="7"/>
    <n v="1"/>
    <n v="1"/>
    <s v="Repeat"/>
    <x v="1"/>
    <n v="37"/>
    <n v="0"/>
  </r>
  <r>
    <n v="37"/>
    <x v="28"/>
    <n v="1937"/>
    <x v="1"/>
    <x v="3"/>
    <x v="2"/>
    <n v="3"/>
    <n v="12627"/>
    <s v="UPI"/>
    <x v="0"/>
    <x v="0"/>
    <n v="2"/>
    <n v="0"/>
    <n v="0"/>
    <s v="Repeat"/>
    <x v="0"/>
    <n v="33"/>
    <n v="1"/>
  </r>
  <r>
    <n v="38"/>
    <x v="29"/>
    <n v="1540"/>
    <x v="2"/>
    <x v="1"/>
    <x v="2"/>
    <n v="1"/>
    <n v="460"/>
    <s v="COD"/>
    <x v="0"/>
    <x v="3"/>
    <n v="9"/>
    <n v="1"/>
    <n v="0"/>
    <s v="Repeat"/>
    <x v="1"/>
    <n v="39"/>
    <n v="1"/>
  </r>
  <r>
    <n v="39"/>
    <x v="12"/>
    <n v="1486"/>
    <x v="1"/>
    <x v="2"/>
    <x v="3"/>
    <n v="2"/>
    <n v="0"/>
    <s v="UPI"/>
    <x v="2"/>
    <x v="0"/>
    <n v="5"/>
    <n v="0"/>
    <n v="1"/>
    <s v="Repeat"/>
    <x v="1"/>
    <n v="38"/>
    <n v="0"/>
  </r>
  <r>
    <n v="40"/>
    <x v="30"/>
    <n v="1305"/>
    <x v="1"/>
    <x v="2"/>
    <x v="3"/>
    <n v="3"/>
    <n v="6225"/>
    <s v="UPI"/>
    <x v="0"/>
    <x v="2"/>
    <n v="10"/>
    <n v="1"/>
    <n v="0"/>
    <s v="New"/>
    <x v="3"/>
    <n v="51"/>
    <n v="1"/>
  </r>
  <r>
    <n v="41"/>
    <x v="31"/>
    <n v="1550"/>
    <x v="0"/>
    <x v="4"/>
    <x v="3"/>
    <n v="5"/>
    <n v="8335"/>
    <s v="COD"/>
    <x v="0"/>
    <x v="2"/>
    <n v="3"/>
    <n v="0"/>
    <n v="1"/>
    <s v="New"/>
    <x v="2"/>
    <n v="44"/>
    <n v="1"/>
  </r>
  <r>
    <n v="42"/>
    <x v="12"/>
    <n v="1987"/>
    <x v="2"/>
    <x v="4"/>
    <x v="0"/>
    <n v="5"/>
    <n v="12655"/>
    <s v="Wallet"/>
    <x v="0"/>
    <x v="0"/>
    <n v="8"/>
    <n v="0"/>
    <n v="1"/>
    <s v="New"/>
    <x v="1"/>
    <n v="38"/>
    <n v="1"/>
  </r>
  <r>
    <n v="43"/>
    <x v="6"/>
    <n v="1428"/>
    <x v="2"/>
    <x v="0"/>
    <x v="1"/>
    <n v="2"/>
    <n v="0"/>
    <s v="Card"/>
    <x v="1"/>
    <x v="2"/>
    <n v="8"/>
    <n v="0"/>
    <n v="0"/>
    <s v="Repeat"/>
    <x v="4"/>
    <n v="47"/>
    <n v="0"/>
  </r>
  <r>
    <n v="44"/>
    <x v="32"/>
    <n v="1066"/>
    <x v="4"/>
    <x v="2"/>
    <x v="1"/>
    <n v="4"/>
    <n v="0"/>
    <s v="COD"/>
    <x v="1"/>
    <x v="3"/>
    <n v="2"/>
    <n v="0"/>
    <n v="0"/>
    <s v="Repeat"/>
    <x v="1"/>
    <n v="38"/>
    <n v="0"/>
  </r>
  <r>
    <n v="45"/>
    <x v="33"/>
    <n v="1812"/>
    <x v="2"/>
    <x v="3"/>
    <x v="2"/>
    <n v="2"/>
    <n v="0"/>
    <s v="Wallet"/>
    <x v="2"/>
    <x v="2"/>
    <n v="9"/>
    <n v="0"/>
    <n v="1"/>
    <s v="Repeat"/>
    <x v="5"/>
    <n v="31"/>
    <n v="0"/>
  </r>
  <r>
    <n v="46"/>
    <x v="7"/>
    <n v="1979"/>
    <x v="0"/>
    <x v="3"/>
    <x v="3"/>
    <n v="3"/>
    <n v="0"/>
    <s v="Wallet"/>
    <x v="1"/>
    <x v="3"/>
    <n v="3"/>
    <n v="1"/>
    <n v="0"/>
    <s v="New"/>
    <x v="3"/>
    <n v="49"/>
    <n v="0"/>
  </r>
  <r>
    <n v="47"/>
    <x v="34"/>
    <n v="1707"/>
    <x v="1"/>
    <x v="2"/>
    <x v="1"/>
    <n v="3"/>
    <n v="0"/>
    <s v="UPI"/>
    <x v="1"/>
    <x v="3"/>
    <n v="9"/>
    <n v="0"/>
    <n v="1"/>
    <s v="New"/>
    <x v="3"/>
    <n v="51"/>
    <n v="0"/>
  </r>
  <r>
    <n v="48"/>
    <x v="35"/>
    <n v="1125"/>
    <x v="2"/>
    <x v="3"/>
    <x v="0"/>
    <n v="5"/>
    <n v="0"/>
    <s v="Card"/>
    <x v="2"/>
    <x v="2"/>
    <n v="4"/>
    <n v="0"/>
    <n v="1"/>
    <s v="New"/>
    <x v="0"/>
    <n v="35"/>
    <n v="0"/>
  </r>
  <r>
    <n v="49"/>
    <x v="30"/>
    <n v="1109"/>
    <x v="4"/>
    <x v="1"/>
    <x v="3"/>
    <n v="5"/>
    <n v="22110"/>
    <s v="COD"/>
    <x v="0"/>
    <x v="3"/>
    <n v="3"/>
    <n v="1"/>
    <n v="0"/>
    <s v="Repeat"/>
    <x v="3"/>
    <n v="51"/>
    <n v="1"/>
  </r>
  <r>
    <n v="50"/>
    <x v="36"/>
    <n v="1863"/>
    <x v="3"/>
    <x v="1"/>
    <x v="1"/>
    <n v="1"/>
    <n v="1516"/>
    <s v="UPI"/>
    <x v="0"/>
    <x v="0"/>
    <n v="4"/>
    <n v="1"/>
    <n v="1"/>
    <s v="Repeat"/>
    <x v="2"/>
    <n v="44"/>
    <n v="1"/>
  </r>
  <r>
    <n v="51"/>
    <x v="37"/>
    <n v="1850"/>
    <x v="4"/>
    <x v="0"/>
    <x v="1"/>
    <n v="2"/>
    <n v="0"/>
    <s v="UPI"/>
    <x v="1"/>
    <x v="2"/>
    <n v="4"/>
    <n v="0"/>
    <n v="0"/>
    <s v="Repeat"/>
    <x v="4"/>
    <n v="46"/>
    <n v="0"/>
  </r>
  <r>
    <n v="52"/>
    <x v="38"/>
    <n v="1830"/>
    <x v="1"/>
    <x v="4"/>
    <x v="0"/>
    <n v="3"/>
    <n v="12195"/>
    <s v="Card"/>
    <x v="0"/>
    <x v="0"/>
    <n v="4"/>
    <n v="0"/>
    <n v="1"/>
    <s v="New"/>
    <x v="1"/>
    <n v="39"/>
    <n v="1"/>
  </r>
  <r>
    <n v="53"/>
    <x v="39"/>
    <n v="1157"/>
    <x v="4"/>
    <x v="2"/>
    <x v="1"/>
    <n v="5"/>
    <n v="10990"/>
    <s v="Card"/>
    <x v="0"/>
    <x v="1"/>
    <n v="9"/>
    <n v="0"/>
    <n v="0"/>
    <s v="New"/>
    <x v="0"/>
    <n v="34"/>
    <n v="1"/>
  </r>
  <r>
    <n v="54"/>
    <x v="40"/>
    <n v="1895"/>
    <x v="2"/>
    <x v="2"/>
    <x v="3"/>
    <n v="3"/>
    <n v="0"/>
    <s v="Wallet"/>
    <x v="1"/>
    <x v="2"/>
    <n v="2"/>
    <n v="1"/>
    <n v="0"/>
    <s v="New"/>
    <x v="0"/>
    <n v="32"/>
    <n v="0"/>
  </r>
  <r>
    <n v="55"/>
    <x v="41"/>
    <n v="1834"/>
    <x v="1"/>
    <x v="1"/>
    <x v="3"/>
    <n v="4"/>
    <n v="17024"/>
    <s v="Wallet"/>
    <x v="0"/>
    <x v="1"/>
    <n v="7"/>
    <n v="1"/>
    <n v="0"/>
    <s v="New"/>
    <x v="1"/>
    <n v="37"/>
    <n v="1"/>
  </r>
  <r>
    <n v="56"/>
    <x v="42"/>
    <n v="1698"/>
    <x v="4"/>
    <x v="2"/>
    <x v="2"/>
    <n v="2"/>
    <n v="5538"/>
    <s v="Wallet"/>
    <x v="0"/>
    <x v="1"/>
    <n v="5"/>
    <n v="1"/>
    <n v="1"/>
    <s v="Repeat"/>
    <x v="2"/>
    <n v="44"/>
    <n v="1"/>
  </r>
  <r>
    <n v="57"/>
    <x v="0"/>
    <n v="1476"/>
    <x v="4"/>
    <x v="0"/>
    <x v="2"/>
    <n v="4"/>
    <n v="0"/>
    <s v="Wallet"/>
    <x v="1"/>
    <x v="1"/>
    <n v="4"/>
    <n v="0"/>
    <n v="1"/>
    <s v="Repeat"/>
    <x v="0"/>
    <n v="32"/>
    <n v="0"/>
  </r>
  <r>
    <n v="58"/>
    <x v="43"/>
    <n v="1185"/>
    <x v="4"/>
    <x v="0"/>
    <x v="0"/>
    <n v="2"/>
    <n v="0"/>
    <s v="Card"/>
    <x v="2"/>
    <x v="3"/>
    <n v="8"/>
    <n v="0"/>
    <n v="0"/>
    <s v="New"/>
    <x v="4"/>
    <n v="46"/>
    <n v="0"/>
  </r>
  <r>
    <n v="59"/>
    <x v="44"/>
    <n v="1582"/>
    <x v="0"/>
    <x v="4"/>
    <x v="0"/>
    <n v="5"/>
    <n v="0"/>
    <s v="Wallet"/>
    <x v="2"/>
    <x v="0"/>
    <n v="4"/>
    <n v="0"/>
    <n v="1"/>
    <s v="New"/>
    <x v="4"/>
    <n v="47"/>
    <n v="0"/>
  </r>
  <r>
    <n v="60"/>
    <x v="2"/>
    <n v="1850"/>
    <x v="4"/>
    <x v="4"/>
    <x v="3"/>
    <n v="1"/>
    <n v="0"/>
    <s v="Wallet"/>
    <x v="2"/>
    <x v="3"/>
    <n v="1"/>
    <n v="1"/>
    <n v="0"/>
    <s v="Repeat"/>
    <x v="2"/>
    <n v="41"/>
    <n v="0"/>
  </r>
  <r>
    <n v="61"/>
    <x v="45"/>
    <n v="1653"/>
    <x v="1"/>
    <x v="4"/>
    <x v="3"/>
    <n v="5"/>
    <n v="0"/>
    <s v="Wallet"/>
    <x v="1"/>
    <x v="2"/>
    <n v="4"/>
    <n v="0"/>
    <n v="1"/>
    <s v="New"/>
    <x v="6"/>
    <n v="2"/>
    <n v="0"/>
  </r>
  <r>
    <n v="62"/>
    <x v="46"/>
    <n v="1128"/>
    <x v="2"/>
    <x v="1"/>
    <x v="2"/>
    <n v="4"/>
    <n v="0"/>
    <s v="COD"/>
    <x v="1"/>
    <x v="0"/>
    <n v="2"/>
    <n v="1"/>
    <n v="1"/>
    <s v="Repeat"/>
    <x v="5"/>
    <n v="30"/>
    <n v="0"/>
  </r>
  <r>
    <n v="63"/>
    <x v="26"/>
    <n v="1256"/>
    <x v="0"/>
    <x v="3"/>
    <x v="2"/>
    <n v="3"/>
    <n v="0"/>
    <s v="UPI"/>
    <x v="1"/>
    <x v="1"/>
    <n v="9"/>
    <n v="0"/>
    <n v="1"/>
    <s v="New"/>
    <x v="2"/>
    <n v="42"/>
    <n v="0"/>
  </r>
  <r>
    <n v="64"/>
    <x v="47"/>
    <n v="1023"/>
    <x v="1"/>
    <x v="3"/>
    <x v="0"/>
    <n v="2"/>
    <n v="0"/>
    <s v="UPI"/>
    <x v="1"/>
    <x v="3"/>
    <n v="9"/>
    <n v="0"/>
    <n v="0"/>
    <s v="Repeat"/>
    <x v="6"/>
    <n v="2"/>
    <n v="0"/>
  </r>
  <r>
    <n v="65"/>
    <x v="17"/>
    <n v="1240"/>
    <x v="2"/>
    <x v="0"/>
    <x v="0"/>
    <n v="5"/>
    <n v="0"/>
    <s v="Card"/>
    <x v="2"/>
    <x v="1"/>
    <n v="8"/>
    <n v="1"/>
    <n v="0"/>
    <s v="Repeat"/>
    <x v="1"/>
    <n v="38"/>
    <n v="0"/>
  </r>
  <r>
    <n v="66"/>
    <x v="48"/>
    <n v="1065"/>
    <x v="3"/>
    <x v="4"/>
    <x v="0"/>
    <n v="4"/>
    <n v="0"/>
    <s v="Wallet"/>
    <x v="1"/>
    <x v="3"/>
    <n v="8"/>
    <n v="1"/>
    <n v="0"/>
    <s v="New"/>
    <x v="3"/>
    <n v="50"/>
    <n v="0"/>
  </r>
  <r>
    <n v="67"/>
    <x v="49"/>
    <n v="1403"/>
    <x v="3"/>
    <x v="2"/>
    <x v="3"/>
    <n v="4"/>
    <n v="0"/>
    <s v="Card"/>
    <x v="1"/>
    <x v="3"/>
    <n v="5"/>
    <n v="0"/>
    <n v="0"/>
    <s v="New"/>
    <x v="0"/>
    <n v="36"/>
    <n v="0"/>
  </r>
  <r>
    <n v="68"/>
    <x v="50"/>
    <n v="1325"/>
    <x v="3"/>
    <x v="0"/>
    <x v="0"/>
    <n v="3"/>
    <n v="1419"/>
    <s v="Wallet"/>
    <x v="0"/>
    <x v="0"/>
    <n v="6"/>
    <n v="0"/>
    <n v="1"/>
    <s v="New"/>
    <x v="3"/>
    <n v="53"/>
    <n v="1"/>
  </r>
  <r>
    <n v="69"/>
    <x v="18"/>
    <n v="1980"/>
    <x v="3"/>
    <x v="0"/>
    <x v="3"/>
    <n v="1"/>
    <n v="4791"/>
    <s v="UPI"/>
    <x v="0"/>
    <x v="1"/>
    <n v="10"/>
    <n v="0"/>
    <n v="1"/>
    <s v="New"/>
    <x v="1"/>
    <n v="36"/>
    <n v="1"/>
  </r>
  <r>
    <n v="70"/>
    <x v="12"/>
    <n v="1791"/>
    <x v="4"/>
    <x v="3"/>
    <x v="1"/>
    <n v="2"/>
    <n v="0"/>
    <s v="COD"/>
    <x v="1"/>
    <x v="1"/>
    <n v="8"/>
    <n v="1"/>
    <n v="0"/>
    <s v="Repeat"/>
    <x v="1"/>
    <n v="38"/>
    <n v="0"/>
  </r>
  <r>
    <n v="71"/>
    <x v="24"/>
    <n v="1892"/>
    <x v="2"/>
    <x v="1"/>
    <x v="1"/>
    <n v="2"/>
    <n v="0"/>
    <s v="Card"/>
    <x v="2"/>
    <x v="2"/>
    <n v="9"/>
    <n v="1"/>
    <n v="0"/>
    <s v="Repeat"/>
    <x v="5"/>
    <n v="30"/>
    <n v="0"/>
  </r>
  <r>
    <n v="72"/>
    <x v="14"/>
    <n v="1050"/>
    <x v="4"/>
    <x v="0"/>
    <x v="1"/>
    <n v="5"/>
    <n v="0"/>
    <s v="Wallet"/>
    <x v="2"/>
    <x v="1"/>
    <n v="8"/>
    <n v="1"/>
    <n v="0"/>
    <s v="Repeat"/>
    <x v="0"/>
    <n v="34"/>
    <n v="0"/>
  </r>
  <r>
    <n v="73"/>
    <x v="21"/>
    <n v="1126"/>
    <x v="3"/>
    <x v="3"/>
    <x v="3"/>
    <n v="3"/>
    <n v="0"/>
    <s v="Card"/>
    <x v="2"/>
    <x v="2"/>
    <n v="3"/>
    <n v="1"/>
    <n v="1"/>
    <s v="New"/>
    <x v="2"/>
    <n v="43"/>
    <n v="0"/>
  </r>
  <r>
    <n v="74"/>
    <x v="51"/>
    <n v="1151"/>
    <x v="0"/>
    <x v="4"/>
    <x v="2"/>
    <n v="5"/>
    <n v="0"/>
    <s v="COD"/>
    <x v="2"/>
    <x v="1"/>
    <n v="1"/>
    <n v="0"/>
    <n v="0"/>
    <s v="Repeat"/>
    <x v="5"/>
    <n v="29"/>
    <n v="0"/>
  </r>
  <r>
    <n v="75"/>
    <x v="52"/>
    <n v="1994"/>
    <x v="1"/>
    <x v="0"/>
    <x v="3"/>
    <n v="2"/>
    <n v="2622"/>
    <s v="COD"/>
    <x v="0"/>
    <x v="0"/>
    <n v="6"/>
    <n v="0"/>
    <n v="1"/>
    <s v="New"/>
    <x v="4"/>
    <n v="44"/>
    <n v="1"/>
  </r>
  <r>
    <n v="76"/>
    <x v="53"/>
    <n v="1481"/>
    <x v="0"/>
    <x v="0"/>
    <x v="1"/>
    <n v="3"/>
    <n v="0"/>
    <s v="COD"/>
    <x v="2"/>
    <x v="2"/>
    <n v="7"/>
    <n v="0"/>
    <n v="0"/>
    <s v="Repeat"/>
    <x v="2"/>
    <n v="42"/>
    <n v="0"/>
  </r>
  <r>
    <n v="77"/>
    <x v="18"/>
    <n v="1006"/>
    <x v="0"/>
    <x v="0"/>
    <x v="1"/>
    <n v="1"/>
    <n v="1950"/>
    <s v="Wallet"/>
    <x v="0"/>
    <x v="3"/>
    <n v="8"/>
    <n v="1"/>
    <n v="0"/>
    <s v="Repeat"/>
    <x v="1"/>
    <n v="36"/>
    <n v="1"/>
  </r>
  <r>
    <n v="78"/>
    <x v="54"/>
    <n v="1694"/>
    <x v="2"/>
    <x v="4"/>
    <x v="2"/>
    <n v="3"/>
    <n v="0"/>
    <s v="Card"/>
    <x v="1"/>
    <x v="2"/>
    <n v="4"/>
    <n v="1"/>
    <n v="1"/>
    <s v="Repeat"/>
    <x v="0"/>
    <n v="34"/>
    <n v="0"/>
  </r>
  <r>
    <n v="79"/>
    <x v="55"/>
    <n v="1395"/>
    <x v="1"/>
    <x v="4"/>
    <x v="3"/>
    <n v="2"/>
    <n v="0"/>
    <s v="UPI"/>
    <x v="1"/>
    <x v="0"/>
    <n v="2"/>
    <n v="1"/>
    <n v="0"/>
    <s v="New"/>
    <x v="1"/>
    <n v="37"/>
    <n v="0"/>
  </r>
  <r>
    <n v="80"/>
    <x v="12"/>
    <n v="1431"/>
    <x v="0"/>
    <x v="1"/>
    <x v="1"/>
    <n v="2"/>
    <n v="0"/>
    <s v="Card"/>
    <x v="2"/>
    <x v="2"/>
    <n v="1"/>
    <n v="1"/>
    <n v="1"/>
    <s v="Repeat"/>
    <x v="1"/>
    <n v="38"/>
    <n v="0"/>
  </r>
  <r>
    <n v="81"/>
    <x v="56"/>
    <n v="1237"/>
    <x v="2"/>
    <x v="4"/>
    <x v="1"/>
    <n v="5"/>
    <n v="13975"/>
    <s v="Card"/>
    <x v="0"/>
    <x v="0"/>
    <n v="1"/>
    <n v="1"/>
    <n v="0"/>
    <s v="New"/>
    <x v="6"/>
    <n v="2"/>
    <n v="1"/>
  </r>
  <r>
    <n v="82"/>
    <x v="54"/>
    <n v="1907"/>
    <x v="2"/>
    <x v="0"/>
    <x v="2"/>
    <n v="1"/>
    <n v="1869"/>
    <s v="UPI"/>
    <x v="0"/>
    <x v="0"/>
    <n v="8"/>
    <n v="1"/>
    <n v="0"/>
    <s v="Repeat"/>
    <x v="0"/>
    <n v="34"/>
    <n v="1"/>
  </r>
  <r>
    <n v="83"/>
    <x v="57"/>
    <n v="1498"/>
    <x v="4"/>
    <x v="3"/>
    <x v="3"/>
    <n v="2"/>
    <n v="0"/>
    <s v="Card"/>
    <x v="1"/>
    <x v="0"/>
    <n v="6"/>
    <n v="0"/>
    <n v="0"/>
    <s v="Repeat"/>
    <x v="4"/>
    <n v="48"/>
    <n v="0"/>
  </r>
  <r>
    <n v="84"/>
    <x v="58"/>
    <n v="1062"/>
    <x v="4"/>
    <x v="4"/>
    <x v="1"/>
    <n v="3"/>
    <n v="2610"/>
    <s v="UPI"/>
    <x v="0"/>
    <x v="3"/>
    <n v="8"/>
    <n v="0"/>
    <n v="1"/>
    <s v="New"/>
    <x v="5"/>
    <n v="31"/>
    <n v="1"/>
  </r>
  <r>
    <n v="85"/>
    <x v="59"/>
    <n v="1911"/>
    <x v="3"/>
    <x v="4"/>
    <x v="0"/>
    <n v="3"/>
    <n v="0"/>
    <s v="Wallet"/>
    <x v="1"/>
    <x v="1"/>
    <n v="8"/>
    <n v="0"/>
    <n v="1"/>
    <s v="Repeat"/>
    <x v="0"/>
    <n v="34"/>
    <n v="0"/>
  </r>
  <r>
    <n v="86"/>
    <x v="54"/>
    <n v="1499"/>
    <x v="4"/>
    <x v="0"/>
    <x v="3"/>
    <n v="2"/>
    <n v="0"/>
    <s v="Wallet"/>
    <x v="2"/>
    <x v="3"/>
    <n v="4"/>
    <n v="1"/>
    <n v="0"/>
    <s v="New"/>
    <x v="0"/>
    <n v="34"/>
    <n v="0"/>
  </r>
  <r>
    <n v="87"/>
    <x v="10"/>
    <n v="1342"/>
    <x v="2"/>
    <x v="4"/>
    <x v="2"/>
    <n v="5"/>
    <n v="0"/>
    <s v="Card"/>
    <x v="2"/>
    <x v="0"/>
    <n v="6"/>
    <n v="1"/>
    <n v="0"/>
    <s v="New"/>
    <x v="3"/>
    <n v="49"/>
    <n v="0"/>
  </r>
  <r>
    <n v="88"/>
    <x v="6"/>
    <n v="1199"/>
    <x v="4"/>
    <x v="3"/>
    <x v="2"/>
    <n v="5"/>
    <n v="5675"/>
    <s v="Card"/>
    <x v="0"/>
    <x v="1"/>
    <n v="4"/>
    <n v="0"/>
    <n v="0"/>
    <s v="Repeat"/>
    <x v="4"/>
    <n v="47"/>
    <n v="1"/>
  </r>
  <r>
    <n v="89"/>
    <x v="60"/>
    <n v="1715"/>
    <x v="2"/>
    <x v="4"/>
    <x v="3"/>
    <n v="1"/>
    <n v="0"/>
    <s v="Card"/>
    <x v="1"/>
    <x v="2"/>
    <n v="6"/>
    <n v="0"/>
    <n v="0"/>
    <s v="New"/>
    <x v="1"/>
    <n v="36"/>
    <n v="0"/>
  </r>
  <r>
    <n v="90"/>
    <x v="61"/>
    <n v="1748"/>
    <x v="4"/>
    <x v="1"/>
    <x v="3"/>
    <n v="1"/>
    <n v="4891"/>
    <s v="UPI"/>
    <x v="0"/>
    <x v="3"/>
    <n v="1"/>
    <n v="1"/>
    <n v="0"/>
    <s v="Repeat"/>
    <x v="4"/>
    <n v="46"/>
    <n v="1"/>
  </r>
  <r>
    <n v="91"/>
    <x v="62"/>
    <n v="1864"/>
    <x v="4"/>
    <x v="1"/>
    <x v="3"/>
    <n v="1"/>
    <n v="0"/>
    <s v="Wallet"/>
    <x v="2"/>
    <x v="2"/>
    <n v="8"/>
    <n v="0"/>
    <n v="1"/>
    <s v="Repeat"/>
    <x v="2"/>
    <n v="43"/>
    <n v="0"/>
  </r>
  <r>
    <n v="92"/>
    <x v="63"/>
    <n v="1879"/>
    <x v="0"/>
    <x v="0"/>
    <x v="0"/>
    <n v="2"/>
    <n v="0"/>
    <s v="Wallet"/>
    <x v="1"/>
    <x v="1"/>
    <n v="9"/>
    <n v="1"/>
    <n v="1"/>
    <s v="New"/>
    <x v="5"/>
    <n v="29"/>
    <n v="0"/>
  </r>
  <r>
    <n v="93"/>
    <x v="64"/>
    <n v="1134"/>
    <x v="4"/>
    <x v="3"/>
    <x v="1"/>
    <n v="3"/>
    <n v="4701"/>
    <s v="UPI"/>
    <x v="0"/>
    <x v="0"/>
    <n v="10"/>
    <n v="1"/>
    <n v="1"/>
    <s v="Repeat"/>
    <x v="2"/>
    <n v="43"/>
    <n v="1"/>
  </r>
  <r>
    <n v="94"/>
    <x v="56"/>
    <n v="1389"/>
    <x v="1"/>
    <x v="4"/>
    <x v="1"/>
    <n v="3"/>
    <n v="0"/>
    <s v="COD"/>
    <x v="1"/>
    <x v="2"/>
    <n v="2"/>
    <n v="1"/>
    <n v="1"/>
    <s v="New"/>
    <x v="6"/>
    <n v="2"/>
    <n v="0"/>
  </r>
  <r>
    <n v="95"/>
    <x v="65"/>
    <n v="1623"/>
    <x v="4"/>
    <x v="3"/>
    <x v="2"/>
    <n v="3"/>
    <n v="5277"/>
    <s v="Card"/>
    <x v="0"/>
    <x v="3"/>
    <n v="2"/>
    <n v="1"/>
    <n v="0"/>
    <s v="Repeat"/>
    <x v="1"/>
    <n v="38"/>
    <n v="1"/>
  </r>
  <r>
    <n v="96"/>
    <x v="66"/>
    <n v="1069"/>
    <x v="3"/>
    <x v="2"/>
    <x v="3"/>
    <n v="1"/>
    <n v="0"/>
    <s v="COD"/>
    <x v="2"/>
    <x v="2"/>
    <n v="1"/>
    <n v="0"/>
    <n v="0"/>
    <s v="Repeat"/>
    <x v="1"/>
    <n v="39"/>
    <n v="0"/>
  </r>
  <r>
    <n v="97"/>
    <x v="18"/>
    <n v="1699"/>
    <x v="0"/>
    <x v="0"/>
    <x v="2"/>
    <n v="4"/>
    <n v="11620"/>
    <s v="COD"/>
    <x v="0"/>
    <x v="1"/>
    <n v="2"/>
    <n v="0"/>
    <n v="1"/>
    <s v="Repeat"/>
    <x v="1"/>
    <n v="36"/>
    <n v="1"/>
  </r>
  <r>
    <n v="98"/>
    <x v="9"/>
    <n v="1719"/>
    <x v="4"/>
    <x v="2"/>
    <x v="1"/>
    <n v="3"/>
    <n v="4584"/>
    <s v="COD"/>
    <x v="0"/>
    <x v="0"/>
    <n v="6"/>
    <n v="0"/>
    <n v="1"/>
    <s v="New"/>
    <x v="5"/>
    <n v="30"/>
    <n v="1"/>
  </r>
  <r>
    <n v="99"/>
    <x v="67"/>
    <n v="1336"/>
    <x v="1"/>
    <x v="0"/>
    <x v="2"/>
    <n v="5"/>
    <n v="0"/>
    <s v="Wallet"/>
    <x v="1"/>
    <x v="3"/>
    <n v="8"/>
    <n v="1"/>
    <n v="0"/>
    <s v="Repeat"/>
    <x v="1"/>
    <n v="36"/>
    <n v="0"/>
  </r>
  <r>
    <n v="100"/>
    <x v="46"/>
    <n v="1509"/>
    <x v="1"/>
    <x v="3"/>
    <x v="2"/>
    <n v="1"/>
    <n v="1288"/>
    <s v="UPI"/>
    <x v="0"/>
    <x v="0"/>
    <n v="2"/>
    <n v="0"/>
    <n v="1"/>
    <s v="Repeat"/>
    <x v="5"/>
    <n v="30"/>
    <n v="1"/>
  </r>
  <r>
    <n v="101"/>
    <x v="68"/>
    <n v="1130"/>
    <x v="4"/>
    <x v="1"/>
    <x v="2"/>
    <n v="4"/>
    <n v="6920"/>
    <s v="UPI"/>
    <x v="0"/>
    <x v="1"/>
    <n v="6"/>
    <n v="0"/>
    <n v="0"/>
    <s v="Repeat"/>
    <x v="0"/>
    <n v="32"/>
    <n v="1"/>
  </r>
  <r>
    <n v="102"/>
    <x v="69"/>
    <n v="1960"/>
    <x v="2"/>
    <x v="3"/>
    <x v="0"/>
    <n v="5"/>
    <n v="15345"/>
    <s v="COD"/>
    <x v="0"/>
    <x v="0"/>
    <n v="10"/>
    <n v="0"/>
    <n v="1"/>
    <s v="Repeat"/>
    <x v="2"/>
    <n v="40"/>
    <n v="1"/>
  </r>
  <r>
    <n v="103"/>
    <x v="3"/>
    <n v="1579"/>
    <x v="2"/>
    <x v="2"/>
    <x v="1"/>
    <n v="3"/>
    <n v="0"/>
    <s v="Wallet"/>
    <x v="1"/>
    <x v="1"/>
    <n v="10"/>
    <n v="0"/>
    <n v="0"/>
    <s v="New"/>
    <x v="0"/>
    <n v="32"/>
    <n v="0"/>
  </r>
  <r>
    <n v="104"/>
    <x v="70"/>
    <n v="1317"/>
    <x v="3"/>
    <x v="2"/>
    <x v="1"/>
    <n v="4"/>
    <n v="0"/>
    <s v="UPI"/>
    <x v="1"/>
    <x v="3"/>
    <n v="3"/>
    <n v="0"/>
    <n v="1"/>
    <s v="Repeat"/>
    <x v="2"/>
    <n v="40"/>
    <n v="0"/>
  </r>
  <r>
    <n v="105"/>
    <x v="71"/>
    <n v="1988"/>
    <x v="4"/>
    <x v="2"/>
    <x v="2"/>
    <n v="4"/>
    <n v="0"/>
    <s v="UPI"/>
    <x v="2"/>
    <x v="1"/>
    <n v="9"/>
    <n v="1"/>
    <n v="1"/>
    <s v="Repeat"/>
    <x v="3"/>
    <n v="49"/>
    <n v="0"/>
  </r>
  <r>
    <n v="106"/>
    <x v="72"/>
    <n v="1295"/>
    <x v="4"/>
    <x v="0"/>
    <x v="2"/>
    <n v="2"/>
    <n v="8568"/>
    <s v="Card"/>
    <x v="0"/>
    <x v="1"/>
    <n v="2"/>
    <n v="1"/>
    <n v="1"/>
    <s v="New"/>
    <x v="2"/>
    <n v="41"/>
    <n v="1"/>
  </r>
  <r>
    <n v="107"/>
    <x v="73"/>
    <n v="1905"/>
    <x v="4"/>
    <x v="0"/>
    <x v="0"/>
    <n v="5"/>
    <n v="0"/>
    <s v="COD"/>
    <x v="1"/>
    <x v="1"/>
    <n v="4"/>
    <n v="1"/>
    <n v="1"/>
    <s v="New"/>
    <x v="4"/>
    <n v="45"/>
    <n v="0"/>
  </r>
  <r>
    <n v="108"/>
    <x v="74"/>
    <n v="1026"/>
    <x v="3"/>
    <x v="4"/>
    <x v="3"/>
    <n v="2"/>
    <n v="0"/>
    <s v="COD"/>
    <x v="2"/>
    <x v="3"/>
    <n v="10"/>
    <n v="0"/>
    <n v="1"/>
    <s v="New"/>
    <x v="5"/>
    <n v="29"/>
    <n v="0"/>
  </r>
  <r>
    <n v="109"/>
    <x v="28"/>
    <n v="1036"/>
    <x v="0"/>
    <x v="0"/>
    <x v="2"/>
    <n v="1"/>
    <n v="0"/>
    <s v="UPI"/>
    <x v="2"/>
    <x v="3"/>
    <n v="5"/>
    <n v="1"/>
    <n v="0"/>
    <s v="Repeat"/>
    <x v="0"/>
    <n v="33"/>
    <n v="0"/>
  </r>
  <r>
    <n v="110"/>
    <x v="47"/>
    <n v="1143"/>
    <x v="1"/>
    <x v="1"/>
    <x v="1"/>
    <n v="5"/>
    <n v="13700"/>
    <s v="Card"/>
    <x v="0"/>
    <x v="3"/>
    <n v="8"/>
    <n v="0"/>
    <n v="1"/>
    <s v="New"/>
    <x v="6"/>
    <n v="2"/>
    <n v="1"/>
  </r>
  <r>
    <n v="111"/>
    <x v="13"/>
    <n v="1364"/>
    <x v="3"/>
    <x v="1"/>
    <x v="1"/>
    <n v="4"/>
    <n v="0"/>
    <s v="Wallet"/>
    <x v="2"/>
    <x v="1"/>
    <n v="3"/>
    <n v="1"/>
    <n v="0"/>
    <s v="Repeat"/>
    <x v="2"/>
    <n v="41"/>
    <n v="0"/>
  </r>
  <r>
    <n v="112"/>
    <x v="65"/>
    <n v="1564"/>
    <x v="3"/>
    <x v="0"/>
    <x v="0"/>
    <n v="2"/>
    <n v="1622"/>
    <s v="UPI"/>
    <x v="0"/>
    <x v="2"/>
    <n v="2"/>
    <n v="0"/>
    <n v="1"/>
    <s v="New"/>
    <x v="1"/>
    <n v="38"/>
    <n v="1"/>
  </r>
  <r>
    <n v="113"/>
    <x v="43"/>
    <n v="1125"/>
    <x v="4"/>
    <x v="3"/>
    <x v="3"/>
    <n v="1"/>
    <n v="4839"/>
    <s v="Wallet"/>
    <x v="0"/>
    <x v="0"/>
    <n v="8"/>
    <n v="1"/>
    <n v="1"/>
    <s v="Repeat"/>
    <x v="4"/>
    <n v="46"/>
    <n v="1"/>
  </r>
  <r>
    <n v="114"/>
    <x v="75"/>
    <n v="1236"/>
    <x v="0"/>
    <x v="3"/>
    <x v="3"/>
    <n v="1"/>
    <n v="4516"/>
    <s v="UPI"/>
    <x v="0"/>
    <x v="3"/>
    <n v="6"/>
    <n v="0"/>
    <n v="1"/>
    <s v="Repeat"/>
    <x v="3"/>
    <n v="52"/>
    <n v="1"/>
  </r>
  <r>
    <n v="115"/>
    <x v="40"/>
    <n v="1317"/>
    <x v="3"/>
    <x v="3"/>
    <x v="2"/>
    <n v="4"/>
    <n v="1020"/>
    <s v="Wallet"/>
    <x v="0"/>
    <x v="3"/>
    <n v="2"/>
    <n v="0"/>
    <n v="0"/>
    <s v="Repeat"/>
    <x v="0"/>
    <n v="32"/>
    <n v="1"/>
  </r>
  <r>
    <n v="116"/>
    <x v="76"/>
    <n v="1481"/>
    <x v="1"/>
    <x v="0"/>
    <x v="0"/>
    <n v="3"/>
    <n v="924"/>
    <s v="UPI"/>
    <x v="0"/>
    <x v="1"/>
    <n v="8"/>
    <n v="0"/>
    <n v="0"/>
    <s v="Repeat"/>
    <x v="3"/>
    <n v="50"/>
    <n v="1"/>
  </r>
  <r>
    <n v="117"/>
    <x v="77"/>
    <n v="1329"/>
    <x v="4"/>
    <x v="3"/>
    <x v="1"/>
    <n v="5"/>
    <n v="0"/>
    <s v="Wallet"/>
    <x v="1"/>
    <x v="1"/>
    <n v="8"/>
    <n v="1"/>
    <n v="1"/>
    <s v="Repeat"/>
    <x v="1"/>
    <n v="38"/>
    <n v="0"/>
  </r>
  <r>
    <n v="118"/>
    <x v="23"/>
    <n v="1313"/>
    <x v="2"/>
    <x v="4"/>
    <x v="1"/>
    <n v="4"/>
    <n v="4736"/>
    <s v="COD"/>
    <x v="0"/>
    <x v="0"/>
    <n v="9"/>
    <n v="0"/>
    <n v="1"/>
    <s v="Repeat"/>
    <x v="3"/>
    <n v="51"/>
    <n v="1"/>
  </r>
  <r>
    <n v="119"/>
    <x v="78"/>
    <n v="1166"/>
    <x v="1"/>
    <x v="3"/>
    <x v="2"/>
    <n v="3"/>
    <n v="0"/>
    <s v="UPI"/>
    <x v="1"/>
    <x v="0"/>
    <n v="2"/>
    <n v="0"/>
    <n v="0"/>
    <s v="New"/>
    <x v="3"/>
    <n v="52"/>
    <n v="0"/>
  </r>
  <r>
    <n v="120"/>
    <x v="3"/>
    <n v="1608"/>
    <x v="2"/>
    <x v="4"/>
    <x v="0"/>
    <n v="5"/>
    <n v="6890"/>
    <s v="UPI"/>
    <x v="0"/>
    <x v="2"/>
    <n v="2"/>
    <n v="0"/>
    <n v="0"/>
    <s v="Repeat"/>
    <x v="0"/>
    <n v="32"/>
    <n v="1"/>
  </r>
  <r>
    <n v="121"/>
    <x v="79"/>
    <n v="1264"/>
    <x v="0"/>
    <x v="2"/>
    <x v="3"/>
    <n v="2"/>
    <n v="0"/>
    <s v="Wallet"/>
    <x v="2"/>
    <x v="0"/>
    <n v="7"/>
    <n v="1"/>
    <n v="1"/>
    <s v="New"/>
    <x v="1"/>
    <n v="36"/>
    <n v="0"/>
  </r>
  <r>
    <n v="122"/>
    <x v="80"/>
    <n v="1117"/>
    <x v="3"/>
    <x v="3"/>
    <x v="0"/>
    <n v="2"/>
    <n v="0"/>
    <s v="COD"/>
    <x v="2"/>
    <x v="1"/>
    <n v="4"/>
    <n v="1"/>
    <n v="1"/>
    <s v="New"/>
    <x v="6"/>
    <n v="2"/>
    <n v="0"/>
  </r>
  <r>
    <n v="123"/>
    <x v="8"/>
    <n v="1881"/>
    <x v="1"/>
    <x v="4"/>
    <x v="3"/>
    <n v="1"/>
    <n v="859"/>
    <s v="Card"/>
    <x v="0"/>
    <x v="2"/>
    <n v="2"/>
    <n v="1"/>
    <n v="1"/>
    <s v="New"/>
    <x v="0"/>
    <n v="32"/>
    <n v="1"/>
  </r>
  <r>
    <n v="124"/>
    <x v="81"/>
    <n v="1929"/>
    <x v="2"/>
    <x v="1"/>
    <x v="3"/>
    <n v="4"/>
    <n v="8136"/>
    <s v="COD"/>
    <x v="0"/>
    <x v="0"/>
    <n v="3"/>
    <n v="0"/>
    <n v="0"/>
    <s v="Repeat"/>
    <x v="0"/>
    <n v="33"/>
    <n v="1"/>
  </r>
  <r>
    <n v="125"/>
    <x v="82"/>
    <n v="1724"/>
    <x v="3"/>
    <x v="3"/>
    <x v="2"/>
    <n v="5"/>
    <n v="13305"/>
    <s v="UPI"/>
    <x v="0"/>
    <x v="2"/>
    <n v="9"/>
    <n v="0"/>
    <n v="0"/>
    <s v="New"/>
    <x v="0"/>
    <n v="33"/>
    <n v="1"/>
  </r>
  <r>
    <n v="126"/>
    <x v="16"/>
    <n v="1151"/>
    <x v="1"/>
    <x v="3"/>
    <x v="2"/>
    <n v="5"/>
    <n v="0"/>
    <s v="Wallet"/>
    <x v="1"/>
    <x v="1"/>
    <n v="3"/>
    <n v="1"/>
    <n v="0"/>
    <s v="New"/>
    <x v="0"/>
    <n v="32"/>
    <n v="0"/>
  </r>
  <r>
    <n v="127"/>
    <x v="83"/>
    <n v="1170"/>
    <x v="3"/>
    <x v="3"/>
    <x v="3"/>
    <n v="3"/>
    <n v="0"/>
    <s v="COD"/>
    <x v="1"/>
    <x v="1"/>
    <n v="4"/>
    <n v="1"/>
    <n v="1"/>
    <s v="Repeat"/>
    <x v="1"/>
    <n v="36"/>
    <n v="0"/>
  </r>
  <r>
    <n v="128"/>
    <x v="35"/>
    <n v="1735"/>
    <x v="2"/>
    <x v="3"/>
    <x v="1"/>
    <n v="5"/>
    <n v="0"/>
    <s v="COD"/>
    <x v="1"/>
    <x v="1"/>
    <n v="7"/>
    <n v="1"/>
    <n v="1"/>
    <s v="Repeat"/>
    <x v="0"/>
    <n v="35"/>
    <n v="0"/>
  </r>
  <r>
    <n v="129"/>
    <x v="84"/>
    <n v="1249"/>
    <x v="4"/>
    <x v="2"/>
    <x v="1"/>
    <n v="2"/>
    <n v="4846"/>
    <s v="UPI"/>
    <x v="0"/>
    <x v="3"/>
    <n v="5"/>
    <n v="1"/>
    <n v="1"/>
    <s v="New"/>
    <x v="2"/>
    <n v="41"/>
    <n v="1"/>
  </r>
  <r>
    <n v="130"/>
    <x v="58"/>
    <n v="1734"/>
    <x v="1"/>
    <x v="2"/>
    <x v="0"/>
    <n v="5"/>
    <n v="0"/>
    <s v="Wallet"/>
    <x v="1"/>
    <x v="3"/>
    <n v="4"/>
    <n v="0"/>
    <n v="0"/>
    <s v="Repeat"/>
    <x v="5"/>
    <n v="31"/>
    <n v="0"/>
  </r>
  <r>
    <n v="131"/>
    <x v="85"/>
    <n v="1442"/>
    <x v="2"/>
    <x v="4"/>
    <x v="0"/>
    <n v="4"/>
    <n v="0"/>
    <s v="Card"/>
    <x v="1"/>
    <x v="3"/>
    <n v="8"/>
    <n v="1"/>
    <n v="0"/>
    <s v="Repeat"/>
    <x v="3"/>
    <n v="50"/>
    <n v="0"/>
  </r>
  <r>
    <n v="132"/>
    <x v="86"/>
    <n v="1253"/>
    <x v="0"/>
    <x v="1"/>
    <x v="1"/>
    <n v="4"/>
    <n v="0"/>
    <s v="UPI"/>
    <x v="1"/>
    <x v="3"/>
    <n v="8"/>
    <n v="0"/>
    <n v="1"/>
    <s v="Repeat"/>
    <x v="6"/>
    <n v="1"/>
    <n v="0"/>
  </r>
  <r>
    <n v="133"/>
    <x v="19"/>
    <n v="1459"/>
    <x v="4"/>
    <x v="3"/>
    <x v="3"/>
    <n v="3"/>
    <n v="7680"/>
    <s v="Card"/>
    <x v="0"/>
    <x v="2"/>
    <n v="2"/>
    <n v="0"/>
    <n v="0"/>
    <s v="Repeat"/>
    <x v="0"/>
    <n v="33"/>
    <n v="1"/>
  </r>
  <r>
    <n v="134"/>
    <x v="51"/>
    <n v="1768"/>
    <x v="0"/>
    <x v="4"/>
    <x v="2"/>
    <n v="2"/>
    <n v="0"/>
    <s v="UPI"/>
    <x v="2"/>
    <x v="1"/>
    <n v="7"/>
    <n v="0"/>
    <n v="0"/>
    <s v="Repeat"/>
    <x v="5"/>
    <n v="29"/>
    <n v="0"/>
  </r>
  <r>
    <n v="135"/>
    <x v="26"/>
    <n v="1778"/>
    <x v="2"/>
    <x v="1"/>
    <x v="2"/>
    <n v="2"/>
    <n v="8556"/>
    <s v="Wallet"/>
    <x v="0"/>
    <x v="0"/>
    <n v="4"/>
    <n v="1"/>
    <n v="1"/>
    <s v="New"/>
    <x v="2"/>
    <n v="42"/>
    <n v="1"/>
  </r>
  <r>
    <n v="136"/>
    <x v="80"/>
    <n v="1075"/>
    <x v="1"/>
    <x v="2"/>
    <x v="3"/>
    <n v="5"/>
    <n v="0"/>
    <s v="UPI"/>
    <x v="1"/>
    <x v="3"/>
    <n v="3"/>
    <n v="0"/>
    <n v="0"/>
    <s v="New"/>
    <x v="6"/>
    <n v="2"/>
    <n v="0"/>
  </r>
  <r>
    <n v="137"/>
    <x v="87"/>
    <n v="1933"/>
    <x v="0"/>
    <x v="3"/>
    <x v="0"/>
    <n v="5"/>
    <n v="4620"/>
    <s v="Card"/>
    <x v="0"/>
    <x v="1"/>
    <n v="8"/>
    <n v="0"/>
    <n v="1"/>
    <s v="New"/>
    <x v="2"/>
    <n v="42"/>
    <n v="1"/>
  </r>
  <r>
    <n v="138"/>
    <x v="88"/>
    <n v="1942"/>
    <x v="1"/>
    <x v="4"/>
    <x v="1"/>
    <n v="4"/>
    <n v="0"/>
    <s v="COD"/>
    <x v="1"/>
    <x v="3"/>
    <n v="5"/>
    <n v="1"/>
    <n v="0"/>
    <s v="Repeat"/>
    <x v="1"/>
    <n v="37"/>
    <n v="0"/>
  </r>
  <r>
    <n v="139"/>
    <x v="89"/>
    <n v="1875"/>
    <x v="1"/>
    <x v="1"/>
    <x v="1"/>
    <n v="3"/>
    <n v="0"/>
    <s v="COD"/>
    <x v="2"/>
    <x v="0"/>
    <n v="2"/>
    <n v="1"/>
    <n v="0"/>
    <s v="Repeat"/>
    <x v="0"/>
    <n v="35"/>
    <n v="0"/>
  </r>
  <r>
    <n v="140"/>
    <x v="38"/>
    <n v="1970"/>
    <x v="4"/>
    <x v="1"/>
    <x v="3"/>
    <n v="1"/>
    <n v="0"/>
    <s v="UPI"/>
    <x v="1"/>
    <x v="0"/>
    <n v="5"/>
    <n v="0"/>
    <n v="1"/>
    <s v="New"/>
    <x v="1"/>
    <n v="39"/>
    <n v="0"/>
  </r>
  <r>
    <n v="141"/>
    <x v="90"/>
    <n v="1788"/>
    <x v="3"/>
    <x v="1"/>
    <x v="1"/>
    <n v="3"/>
    <n v="0"/>
    <s v="UPI"/>
    <x v="1"/>
    <x v="3"/>
    <n v="7"/>
    <n v="1"/>
    <n v="1"/>
    <s v="New"/>
    <x v="0"/>
    <n v="31"/>
    <n v="0"/>
  </r>
  <r>
    <n v="142"/>
    <x v="91"/>
    <n v="1237"/>
    <x v="2"/>
    <x v="2"/>
    <x v="2"/>
    <n v="2"/>
    <n v="7296"/>
    <s v="Card"/>
    <x v="0"/>
    <x v="0"/>
    <n v="2"/>
    <n v="0"/>
    <n v="0"/>
    <s v="Repeat"/>
    <x v="3"/>
    <n v="52"/>
    <n v="1"/>
  </r>
  <r>
    <n v="143"/>
    <x v="80"/>
    <n v="1522"/>
    <x v="4"/>
    <x v="4"/>
    <x v="0"/>
    <n v="1"/>
    <n v="0"/>
    <s v="UPI"/>
    <x v="2"/>
    <x v="1"/>
    <n v="5"/>
    <n v="0"/>
    <n v="0"/>
    <s v="New"/>
    <x v="6"/>
    <n v="2"/>
    <n v="0"/>
  </r>
  <r>
    <n v="144"/>
    <x v="26"/>
    <n v="1216"/>
    <x v="4"/>
    <x v="3"/>
    <x v="0"/>
    <n v="3"/>
    <n v="0"/>
    <s v="Wallet"/>
    <x v="1"/>
    <x v="2"/>
    <n v="4"/>
    <n v="1"/>
    <n v="1"/>
    <s v="Repeat"/>
    <x v="2"/>
    <n v="42"/>
    <n v="0"/>
  </r>
  <r>
    <n v="145"/>
    <x v="88"/>
    <n v="1951"/>
    <x v="4"/>
    <x v="3"/>
    <x v="1"/>
    <n v="1"/>
    <n v="2326"/>
    <s v="Card"/>
    <x v="0"/>
    <x v="2"/>
    <n v="4"/>
    <n v="0"/>
    <n v="0"/>
    <s v="Repeat"/>
    <x v="1"/>
    <n v="37"/>
    <n v="1"/>
  </r>
  <r>
    <n v="146"/>
    <x v="85"/>
    <n v="1724"/>
    <x v="3"/>
    <x v="3"/>
    <x v="3"/>
    <n v="2"/>
    <n v="0"/>
    <s v="Card"/>
    <x v="2"/>
    <x v="0"/>
    <n v="3"/>
    <n v="1"/>
    <n v="0"/>
    <s v="Repeat"/>
    <x v="3"/>
    <n v="50"/>
    <n v="0"/>
  </r>
  <r>
    <n v="147"/>
    <x v="19"/>
    <n v="1173"/>
    <x v="1"/>
    <x v="3"/>
    <x v="0"/>
    <n v="5"/>
    <n v="0"/>
    <s v="COD"/>
    <x v="1"/>
    <x v="2"/>
    <n v="4"/>
    <n v="1"/>
    <n v="1"/>
    <s v="New"/>
    <x v="0"/>
    <n v="33"/>
    <n v="0"/>
  </r>
  <r>
    <n v="148"/>
    <x v="7"/>
    <n v="1890"/>
    <x v="4"/>
    <x v="3"/>
    <x v="2"/>
    <n v="4"/>
    <n v="0"/>
    <s v="UPI"/>
    <x v="1"/>
    <x v="2"/>
    <n v="4"/>
    <n v="0"/>
    <n v="1"/>
    <s v="Repeat"/>
    <x v="3"/>
    <n v="49"/>
    <n v="0"/>
  </r>
  <r>
    <n v="149"/>
    <x v="92"/>
    <n v="1082"/>
    <x v="1"/>
    <x v="4"/>
    <x v="3"/>
    <n v="5"/>
    <n v="10980"/>
    <s v="Wallet"/>
    <x v="0"/>
    <x v="3"/>
    <n v="2"/>
    <n v="0"/>
    <n v="1"/>
    <s v="Repeat"/>
    <x v="3"/>
    <n v="53"/>
    <n v="1"/>
  </r>
  <r>
    <n v="150"/>
    <x v="18"/>
    <n v="1831"/>
    <x v="3"/>
    <x v="4"/>
    <x v="0"/>
    <n v="5"/>
    <n v="0"/>
    <s v="Wallet"/>
    <x v="2"/>
    <x v="3"/>
    <n v="3"/>
    <n v="1"/>
    <n v="1"/>
    <s v="Repeat"/>
    <x v="1"/>
    <n v="36"/>
    <n v="0"/>
  </r>
  <r>
    <n v="151"/>
    <x v="90"/>
    <n v="1415"/>
    <x v="0"/>
    <x v="0"/>
    <x v="3"/>
    <n v="4"/>
    <n v="15360"/>
    <s v="COD"/>
    <x v="0"/>
    <x v="0"/>
    <n v="4"/>
    <n v="1"/>
    <n v="1"/>
    <s v="New"/>
    <x v="0"/>
    <n v="31"/>
    <n v="1"/>
  </r>
  <r>
    <n v="152"/>
    <x v="93"/>
    <n v="1495"/>
    <x v="1"/>
    <x v="1"/>
    <x v="0"/>
    <n v="2"/>
    <n v="4048"/>
    <s v="Wallet"/>
    <x v="0"/>
    <x v="3"/>
    <n v="9"/>
    <n v="0"/>
    <n v="0"/>
    <s v="New"/>
    <x v="3"/>
    <n v="53"/>
    <n v="1"/>
  </r>
  <r>
    <n v="153"/>
    <x v="94"/>
    <n v="1526"/>
    <x v="1"/>
    <x v="2"/>
    <x v="2"/>
    <n v="4"/>
    <n v="14720"/>
    <s v="Card"/>
    <x v="0"/>
    <x v="3"/>
    <n v="9"/>
    <n v="0"/>
    <n v="1"/>
    <s v="New"/>
    <x v="1"/>
    <n v="40"/>
    <n v="1"/>
  </r>
  <r>
    <n v="154"/>
    <x v="95"/>
    <n v="1720"/>
    <x v="4"/>
    <x v="2"/>
    <x v="0"/>
    <n v="4"/>
    <n v="0"/>
    <s v="Wallet"/>
    <x v="1"/>
    <x v="3"/>
    <n v="9"/>
    <n v="0"/>
    <n v="0"/>
    <s v="Repeat"/>
    <x v="4"/>
    <n v="47"/>
    <n v="0"/>
  </r>
  <r>
    <n v="155"/>
    <x v="91"/>
    <n v="1904"/>
    <x v="4"/>
    <x v="3"/>
    <x v="0"/>
    <n v="5"/>
    <n v="0"/>
    <s v="COD"/>
    <x v="2"/>
    <x v="0"/>
    <n v="10"/>
    <n v="1"/>
    <n v="1"/>
    <s v="New"/>
    <x v="3"/>
    <n v="52"/>
    <n v="0"/>
  </r>
  <r>
    <n v="156"/>
    <x v="2"/>
    <n v="1674"/>
    <x v="4"/>
    <x v="3"/>
    <x v="3"/>
    <n v="1"/>
    <n v="0"/>
    <s v="Card"/>
    <x v="1"/>
    <x v="1"/>
    <n v="10"/>
    <n v="0"/>
    <n v="0"/>
    <s v="Repeat"/>
    <x v="2"/>
    <n v="41"/>
    <n v="0"/>
  </r>
  <r>
    <n v="157"/>
    <x v="96"/>
    <n v="1140"/>
    <x v="0"/>
    <x v="2"/>
    <x v="1"/>
    <n v="1"/>
    <n v="0"/>
    <s v="Wallet"/>
    <x v="1"/>
    <x v="2"/>
    <n v="2"/>
    <n v="0"/>
    <n v="1"/>
    <s v="Repeat"/>
    <x v="4"/>
    <n v="45"/>
    <n v="0"/>
  </r>
  <r>
    <n v="158"/>
    <x v="85"/>
    <n v="1205"/>
    <x v="4"/>
    <x v="3"/>
    <x v="3"/>
    <n v="5"/>
    <n v="22590"/>
    <s v="Card"/>
    <x v="0"/>
    <x v="2"/>
    <n v="4"/>
    <n v="1"/>
    <n v="0"/>
    <s v="New"/>
    <x v="3"/>
    <n v="50"/>
    <n v="1"/>
  </r>
  <r>
    <n v="159"/>
    <x v="97"/>
    <n v="1355"/>
    <x v="1"/>
    <x v="1"/>
    <x v="2"/>
    <n v="5"/>
    <n v="0"/>
    <s v="UPI"/>
    <x v="2"/>
    <x v="0"/>
    <n v="5"/>
    <n v="0"/>
    <n v="0"/>
    <s v="New"/>
    <x v="1"/>
    <n v="40"/>
    <n v="0"/>
  </r>
  <r>
    <n v="160"/>
    <x v="98"/>
    <n v="1355"/>
    <x v="3"/>
    <x v="1"/>
    <x v="3"/>
    <n v="3"/>
    <n v="1752"/>
    <s v="Wallet"/>
    <x v="0"/>
    <x v="1"/>
    <n v="3"/>
    <n v="0"/>
    <n v="0"/>
    <s v="New"/>
    <x v="3"/>
    <n v="51"/>
    <n v="1"/>
  </r>
  <r>
    <n v="161"/>
    <x v="4"/>
    <n v="1051"/>
    <x v="0"/>
    <x v="0"/>
    <x v="2"/>
    <n v="5"/>
    <n v="0"/>
    <s v="COD"/>
    <x v="2"/>
    <x v="1"/>
    <n v="7"/>
    <n v="1"/>
    <n v="0"/>
    <s v="Repeat"/>
    <x v="3"/>
    <n v="50"/>
    <n v="0"/>
  </r>
  <r>
    <n v="162"/>
    <x v="99"/>
    <n v="1438"/>
    <x v="4"/>
    <x v="4"/>
    <x v="2"/>
    <n v="1"/>
    <n v="0"/>
    <s v="Card"/>
    <x v="1"/>
    <x v="2"/>
    <n v="10"/>
    <n v="0"/>
    <n v="1"/>
    <s v="New"/>
    <x v="4"/>
    <n v="48"/>
    <n v="0"/>
  </r>
  <r>
    <n v="163"/>
    <x v="86"/>
    <n v="1210"/>
    <x v="3"/>
    <x v="3"/>
    <x v="0"/>
    <n v="5"/>
    <n v="23140"/>
    <s v="COD"/>
    <x v="0"/>
    <x v="0"/>
    <n v="6"/>
    <n v="0"/>
    <n v="1"/>
    <s v="New"/>
    <x v="6"/>
    <n v="1"/>
    <n v="1"/>
  </r>
  <r>
    <n v="164"/>
    <x v="100"/>
    <n v="1658"/>
    <x v="2"/>
    <x v="2"/>
    <x v="1"/>
    <n v="5"/>
    <n v="10230"/>
    <s v="Card"/>
    <x v="0"/>
    <x v="3"/>
    <n v="2"/>
    <n v="0"/>
    <n v="0"/>
    <s v="New"/>
    <x v="1"/>
    <n v="37"/>
    <n v="1"/>
  </r>
  <r>
    <n v="165"/>
    <x v="97"/>
    <n v="1603"/>
    <x v="0"/>
    <x v="4"/>
    <x v="1"/>
    <n v="1"/>
    <n v="0"/>
    <s v="COD"/>
    <x v="2"/>
    <x v="2"/>
    <n v="3"/>
    <n v="1"/>
    <n v="0"/>
    <s v="New"/>
    <x v="1"/>
    <n v="40"/>
    <n v="0"/>
  </r>
  <r>
    <n v="166"/>
    <x v="47"/>
    <n v="1306"/>
    <x v="0"/>
    <x v="1"/>
    <x v="0"/>
    <n v="2"/>
    <n v="5404"/>
    <s v="COD"/>
    <x v="0"/>
    <x v="0"/>
    <n v="4"/>
    <n v="1"/>
    <n v="0"/>
    <s v="Repeat"/>
    <x v="6"/>
    <n v="2"/>
    <n v="1"/>
  </r>
  <r>
    <n v="167"/>
    <x v="54"/>
    <n v="1002"/>
    <x v="4"/>
    <x v="3"/>
    <x v="1"/>
    <n v="3"/>
    <n v="0"/>
    <s v="COD"/>
    <x v="1"/>
    <x v="2"/>
    <n v="2"/>
    <n v="1"/>
    <n v="0"/>
    <s v="New"/>
    <x v="0"/>
    <n v="34"/>
    <n v="0"/>
  </r>
  <r>
    <n v="168"/>
    <x v="36"/>
    <n v="1053"/>
    <x v="1"/>
    <x v="0"/>
    <x v="3"/>
    <n v="5"/>
    <n v="0"/>
    <s v="Card"/>
    <x v="1"/>
    <x v="0"/>
    <n v="10"/>
    <n v="1"/>
    <n v="0"/>
    <s v="Repeat"/>
    <x v="2"/>
    <n v="44"/>
    <n v="0"/>
  </r>
  <r>
    <n v="169"/>
    <x v="101"/>
    <n v="1231"/>
    <x v="1"/>
    <x v="2"/>
    <x v="2"/>
    <n v="5"/>
    <n v="0"/>
    <s v="COD"/>
    <x v="1"/>
    <x v="1"/>
    <n v="1"/>
    <n v="0"/>
    <n v="0"/>
    <s v="New"/>
    <x v="3"/>
    <n v="49"/>
    <n v="0"/>
  </r>
  <r>
    <n v="170"/>
    <x v="88"/>
    <n v="1557"/>
    <x v="0"/>
    <x v="0"/>
    <x v="1"/>
    <n v="4"/>
    <n v="1792"/>
    <s v="Wallet"/>
    <x v="0"/>
    <x v="1"/>
    <n v="4"/>
    <n v="0"/>
    <n v="1"/>
    <s v="New"/>
    <x v="1"/>
    <n v="37"/>
    <n v="1"/>
  </r>
  <r>
    <n v="171"/>
    <x v="65"/>
    <n v="1744"/>
    <x v="4"/>
    <x v="1"/>
    <x v="0"/>
    <n v="5"/>
    <n v="0"/>
    <s v="UPI"/>
    <x v="2"/>
    <x v="2"/>
    <n v="1"/>
    <n v="1"/>
    <n v="0"/>
    <s v="New"/>
    <x v="1"/>
    <n v="38"/>
    <n v="0"/>
  </r>
  <r>
    <n v="172"/>
    <x v="94"/>
    <n v="1053"/>
    <x v="0"/>
    <x v="0"/>
    <x v="2"/>
    <n v="5"/>
    <n v="0"/>
    <s v="UPI"/>
    <x v="2"/>
    <x v="2"/>
    <n v="1"/>
    <n v="1"/>
    <n v="0"/>
    <s v="Repeat"/>
    <x v="1"/>
    <n v="40"/>
    <n v="0"/>
  </r>
  <r>
    <n v="173"/>
    <x v="66"/>
    <n v="1614"/>
    <x v="0"/>
    <x v="1"/>
    <x v="3"/>
    <n v="2"/>
    <n v="6750"/>
    <s v="Card"/>
    <x v="0"/>
    <x v="1"/>
    <n v="5"/>
    <n v="1"/>
    <n v="0"/>
    <s v="New"/>
    <x v="1"/>
    <n v="39"/>
    <n v="1"/>
  </r>
  <r>
    <n v="174"/>
    <x v="102"/>
    <n v="1428"/>
    <x v="2"/>
    <x v="3"/>
    <x v="2"/>
    <n v="4"/>
    <n v="0"/>
    <s v="Wallet"/>
    <x v="1"/>
    <x v="2"/>
    <n v="6"/>
    <n v="1"/>
    <n v="1"/>
    <s v="Repeat"/>
    <x v="3"/>
    <n v="50"/>
    <n v="0"/>
  </r>
  <r>
    <n v="175"/>
    <x v="103"/>
    <n v="1057"/>
    <x v="3"/>
    <x v="0"/>
    <x v="0"/>
    <n v="5"/>
    <n v="17830"/>
    <s v="UPI"/>
    <x v="0"/>
    <x v="2"/>
    <n v="3"/>
    <n v="1"/>
    <n v="1"/>
    <s v="Repeat"/>
    <x v="1"/>
    <n v="38"/>
    <n v="1"/>
  </r>
  <r>
    <n v="176"/>
    <x v="34"/>
    <n v="1936"/>
    <x v="3"/>
    <x v="3"/>
    <x v="1"/>
    <n v="1"/>
    <n v="0"/>
    <s v="Wallet"/>
    <x v="2"/>
    <x v="2"/>
    <n v="7"/>
    <n v="1"/>
    <n v="1"/>
    <s v="New"/>
    <x v="3"/>
    <n v="51"/>
    <n v="0"/>
  </r>
  <r>
    <n v="177"/>
    <x v="58"/>
    <n v="1838"/>
    <x v="2"/>
    <x v="3"/>
    <x v="0"/>
    <n v="5"/>
    <n v="0"/>
    <s v="COD"/>
    <x v="1"/>
    <x v="3"/>
    <n v="3"/>
    <n v="1"/>
    <n v="0"/>
    <s v="Repeat"/>
    <x v="5"/>
    <n v="31"/>
    <n v="0"/>
  </r>
  <r>
    <n v="178"/>
    <x v="64"/>
    <n v="1924"/>
    <x v="0"/>
    <x v="4"/>
    <x v="1"/>
    <n v="3"/>
    <n v="0"/>
    <s v="UPI"/>
    <x v="1"/>
    <x v="0"/>
    <n v="2"/>
    <n v="1"/>
    <n v="0"/>
    <s v="Repeat"/>
    <x v="2"/>
    <n v="43"/>
    <n v="0"/>
  </r>
  <r>
    <n v="179"/>
    <x v="85"/>
    <n v="1250"/>
    <x v="2"/>
    <x v="4"/>
    <x v="2"/>
    <n v="3"/>
    <n v="6102"/>
    <s v="UPI"/>
    <x v="0"/>
    <x v="2"/>
    <n v="8"/>
    <n v="1"/>
    <n v="0"/>
    <s v="New"/>
    <x v="3"/>
    <n v="50"/>
    <n v="1"/>
  </r>
  <r>
    <n v="180"/>
    <x v="41"/>
    <n v="1590"/>
    <x v="2"/>
    <x v="3"/>
    <x v="2"/>
    <n v="3"/>
    <n v="0"/>
    <s v="UPI"/>
    <x v="2"/>
    <x v="3"/>
    <n v="8"/>
    <n v="1"/>
    <n v="0"/>
    <s v="New"/>
    <x v="1"/>
    <n v="37"/>
    <n v="0"/>
  </r>
  <r>
    <n v="181"/>
    <x v="38"/>
    <n v="1120"/>
    <x v="1"/>
    <x v="4"/>
    <x v="3"/>
    <n v="2"/>
    <n v="932"/>
    <s v="Wallet"/>
    <x v="0"/>
    <x v="2"/>
    <n v="3"/>
    <n v="0"/>
    <n v="1"/>
    <s v="New"/>
    <x v="1"/>
    <n v="39"/>
    <n v="1"/>
  </r>
  <r>
    <n v="182"/>
    <x v="95"/>
    <n v="1868"/>
    <x v="0"/>
    <x v="1"/>
    <x v="1"/>
    <n v="3"/>
    <n v="0"/>
    <s v="Card"/>
    <x v="1"/>
    <x v="2"/>
    <n v="1"/>
    <n v="1"/>
    <n v="0"/>
    <s v="New"/>
    <x v="4"/>
    <n v="47"/>
    <n v="0"/>
  </r>
  <r>
    <n v="183"/>
    <x v="27"/>
    <n v="1060"/>
    <x v="2"/>
    <x v="0"/>
    <x v="1"/>
    <n v="2"/>
    <n v="0"/>
    <s v="UPI"/>
    <x v="1"/>
    <x v="1"/>
    <n v="2"/>
    <n v="1"/>
    <n v="0"/>
    <s v="New"/>
    <x v="1"/>
    <n v="37"/>
    <n v="0"/>
  </r>
  <r>
    <n v="184"/>
    <x v="104"/>
    <n v="1446"/>
    <x v="0"/>
    <x v="3"/>
    <x v="1"/>
    <n v="3"/>
    <n v="0"/>
    <s v="UPI"/>
    <x v="2"/>
    <x v="1"/>
    <n v="6"/>
    <n v="1"/>
    <n v="0"/>
    <s v="New"/>
    <x v="5"/>
    <n v="29"/>
    <n v="0"/>
  </r>
  <r>
    <n v="185"/>
    <x v="101"/>
    <n v="1085"/>
    <x v="4"/>
    <x v="1"/>
    <x v="3"/>
    <n v="3"/>
    <n v="0"/>
    <s v="COD"/>
    <x v="2"/>
    <x v="3"/>
    <n v="8"/>
    <n v="1"/>
    <n v="0"/>
    <s v="Repeat"/>
    <x v="3"/>
    <n v="49"/>
    <n v="0"/>
  </r>
  <r>
    <n v="186"/>
    <x v="105"/>
    <n v="1665"/>
    <x v="3"/>
    <x v="1"/>
    <x v="2"/>
    <n v="3"/>
    <n v="0"/>
    <s v="Wallet"/>
    <x v="1"/>
    <x v="0"/>
    <n v="8"/>
    <n v="0"/>
    <n v="0"/>
    <s v="Repeat"/>
    <x v="3"/>
    <n v="52"/>
    <n v="0"/>
  </r>
  <r>
    <n v="187"/>
    <x v="106"/>
    <n v="1369"/>
    <x v="0"/>
    <x v="0"/>
    <x v="0"/>
    <n v="5"/>
    <n v="0"/>
    <s v="Card"/>
    <x v="1"/>
    <x v="0"/>
    <n v="4"/>
    <n v="0"/>
    <n v="0"/>
    <s v="New"/>
    <x v="5"/>
    <n v="30"/>
    <n v="0"/>
  </r>
  <r>
    <n v="188"/>
    <x v="89"/>
    <n v="1221"/>
    <x v="3"/>
    <x v="3"/>
    <x v="3"/>
    <n v="4"/>
    <n v="11528"/>
    <s v="UPI"/>
    <x v="0"/>
    <x v="0"/>
    <n v="9"/>
    <n v="0"/>
    <n v="0"/>
    <s v="Repeat"/>
    <x v="0"/>
    <n v="35"/>
    <n v="1"/>
  </r>
  <r>
    <n v="189"/>
    <x v="107"/>
    <n v="1103"/>
    <x v="3"/>
    <x v="3"/>
    <x v="1"/>
    <n v="2"/>
    <n v="6466"/>
    <s v="Wallet"/>
    <x v="0"/>
    <x v="1"/>
    <n v="1"/>
    <n v="1"/>
    <n v="0"/>
    <s v="New"/>
    <x v="4"/>
    <n v="45"/>
    <n v="1"/>
  </r>
  <r>
    <n v="190"/>
    <x v="66"/>
    <n v="1088"/>
    <x v="2"/>
    <x v="0"/>
    <x v="2"/>
    <n v="4"/>
    <n v="5208"/>
    <s v="Card"/>
    <x v="0"/>
    <x v="2"/>
    <n v="10"/>
    <n v="0"/>
    <n v="0"/>
    <s v="Repeat"/>
    <x v="1"/>
    <n v="39"/>
    <n v="1"/>
  </r>
  <r>
    <n v="191"/>
    <x v="108"/>
    <n v="1924"/>
    <x v="0"/>
    <x v="0"/>
    <x v="3"/>
    <n v="5"/>
    <n v="0"/>
    <s v="UPI"/>
    <x v="1"/>
    <x v="3"/>
    <n v="2"/>
    <n v="0"/>
    <n v="0"/>
    <s v="Repeat"/>
    <x v="2"/>
    <n v="44"/>
    <n v="0"/>
  </r>
  <r>
    <n v="192"/>
    <x v="109"/>
    <n v="1696"/>
    <x v="0"/>
    <x v="0"/>
    <x v="1"/>
    <n v="3"/>
    <n v="0"/>
    <s v="COD"/>
    <x v="1"/>
    <x v="1"/>
    <n v="5"/>
    <n v="1"/>
    <n v="0"/>
    <s v="New"/>
    <x v="4"/>
    <n v="46"/>
    <n v="0"/>
  </r>
  <r>
    <n v="193"/>
    <x v="72"/>
    <n v="1641"/>
    <x v="0"/>
    <x v="2"/>
    <x v="0"/>
    <n v="4"/>
    <n v="0"/>
    <s v="COD"/>
    <x v="2"/>
    <x v="2"/>
    <n v="2"/>
    <n v="1"/>
    <n v="0"/>
    <s v="Repeat"/>
    <x v="2"/>
    <n v="41"/>
    <n v="0"/>
  </r>
  <r>
    <n v="194"/>
    <x v="50"/>
    <n v="1807"/>
    <x v="0"/>
    <x v="4"/>
    <x v="0"/>
    <n v="3"/>
    <n v="0"/>
    <s v="Card"/>
    <x v="1"/>
    <x v="1"/>
    <n v="4"/>
    <n v="1"/>
    <n v="1"/>
    <s v="Repeat"/>
    <x v="3"/>
    <n v="53"/>
    <n v="0"/>
  </r>
  <r>
    <n v="195"/>
    <x v="110"/>
    <n v="1603"/>
    <x v="0"/>
    <x v="1"/>
    <x v="3"/>
    <n v="5"/>
    <n v="0"/>
    <s v="COD"/>
    <x v="2"/>
    <x v="1"/>
    <n v="9"/>
    <n v="1"/>
    <n v="1"/>
    <s v="New"/>
    <x v="3"/>
    <n v="52"/>
    <n v="0"/>
  </r>
  <r>
    <n v="196"/>
    <x v="59"/>
    <n v="1664"/>
    <x v="1"/>
    <x v="0"/>
    <x v="0"/>
    <n v="5"/>
    <n v="4110"/>
    <s v="Wallet"/>
    <x v="0"/>
    <x v="3"/>
    <n v="8"/>
    <n v="0"/>
    <n v="1"/>
    <s v="Repeat"/>
    <x v="0"/>
    <n v="34"/>
    <n v="1"/>
  </r>
  <r>
    <n v="197"/>
    <x v="20"/>
    <n v="1098"/>
    <x v="3"/>
    <x v="4"/>
    <x v="3"/>
    <n v="3"/>
    <n v="0"/>
    <s v="Wallet"/>
    <x v="1"/>
    <x v="3"/>
    <n v="5"/>
    <n v="0"/>
    <n v="0"/>
    <s v="New"/>
    <x v="0"/>
    <n v="32"/>
    <n v="0"/>
  </r>
  <r>
    <n v="198"/>
    <x v="37"/>
    <n v="1623"/>
    <x v="1"/>
    <x v="4"/>
    <x v="3"/>
    <n v="4"/>
    <n v="0"/>
    <s v="UPI"/>
    <x v="1"/>
    <x v="2"/>
    <n v="7"/>
    <n v="1"/>
    <n v="0"/>
    <s v="New"/>
    <x v="4"/>
    <n v="46"/>
    <n v="0"/>
  </r>
  <r>
    <n v="199"/>
    <x v="111"/>
    <n v="1557"/>
    <x v="0"/>
    <x v="4"/>
    <x v="1"/>
    <n v="3"/>
    <n v="1782"/>
    <s v="COD"/>
    <x v="0"/>
    <x v="2"/>
    <n v="7"/>
    <n v="0"/>
    <n v="1"/>
    <s v="Repeat"/>
    <x v="4"/>
    <n v="48"/>
    <n v="1"/>
  </r>
  <r>
    <n v="200"/>
    <x v="59"/>
    <n v="1407"/>
    <x v="4"/>
    <x v="4"/>
    <x v="0"/>
    <n v="1"/>
    <n v="0"/>
    <s v="COD"/>
    <x v="1"/>
    <x v="2"/>
    <n v="1"/>
    <n v="1"/>
    <n v="0"/>
    <s v="Repeat"/>
    <x v="0"/>
    <n v="34"/>
    <n v="0"/>
  </r>
  <r>
    <n v="201"/>
    <x v="112"/>
    <n v="1116"/>
    <x v="0"/>
    <x v="0"/>
    <x v="1"/>
    <n v="3"/>
    <n v="2112"/>
    <s v="COD"/>
    <x v="0"/>
    <x v="1"/>
    <n v="5"/>
    <n v="1"/>
    <n v="0"/>
    <s v="New"/>
    <x v="5"/>
    <n v="30"/>
    <n v="1"/>
  </r>
  <r>
    <n v="202"/>
    <x v="18"/>
    <n v="1023"/>
    <x v="2"/>
    <x v="4"/>
    <x v="1"/>
    <n v="3"/>
    <n v="0"/>
    <s v="Card"/>
    <x v="1"/>
    <x v="1"/>
    <n v="1"/>
    <n v="1"/>
    <n v="0"/>
    <s v="New"/>
    <x v="1"/>
    <n v="36"/>
    <n v="0"/>
  </r>
  <r>
    <n v="203"/>
    <x v="6"/>
    <n v="1555"/>
    <x v="4"/>
    <x v="3"/>
    <x v="2"/>
    <n v="2"/>
    <n v="0"/>
    <s v="Card"/>
    <x v="2"/>
    <x v="1"/>
    <n v="8"/>
    <n v="1"/>
    <n v="1"/>
    <s v="New"/>
    <x v="4"/>
    <n v="47"/>
    <n v="0"/>
  </r>
  <r>
    <n v="204"/>
    <x v="3"/>
    <n v="1506"/>
    <x v="1"/>
    <x v="4"/>
    <x v="0"/>
    <n v="2"/>
    <n v="4950"/>
    <s v="Card"/>
    <x v="0"/>
    <x v="3"/>
    <n v="9"/>
    <n v="0"/>
    <n v="0"/>
    <s v="Repeat"/>
    <x v="0"/>
    <n v="32"/>
    <n v="1"/>
  </r>
  <r>
    <n v="205"/>
    <x v="113"/>
    <n v="1823"/>
    <x v="2"/>
    <x v="3"/>
    <x v="1"/>
    <n v="4"/>
    <n v="18708"/>
    <s v="UPI"/>
    <x v="0"/>
    <x v="1"/>
    <n v="10"/>
    <n v="1"/>
    <n v="0"/>
    <s v="Repeat"/>
    <x v="0"/>
    <n v="33"/>
    <n v="1"/>
  </r>
  <r>
    <n v="206"/>
    <x v="114"/>
    <n v="1377"/>
    <x v="2"/>
    <x v="1"/>
    <x v="3"/>
    <n v="1"/>
    <n v="3216"/>
    <s v="UPI"/>
    <x v="0"/>
    <x v="3"/>
    <n v="5"/>
    <n v="0"/>
    <n v="1"/>
    <s v="Repeat"/>
    <x v="3"/>
    <n v="50"/>
    <n v="1"/>
  </r>
  <r>
    <n v="207"/>
    <x v="115"/>
    <n v="1443"/>
    <x v="3"/>
    <x v="2"/>
    <x v="0"/>
    <n v="3"/>
    <n v="0"/>
    <s v="Wallet"/>
    <x v="1"/>
    <x v="1"/>
    <n v="9"/>
    <n v="1"/>
    <n v="0"/>
    <s v="New"/>
    <x v="4"/>
    <n v="48"/>
    <n v="0"/>
  </r>
  <r>
    <n v="208"/>
    <x v="63"/>
    <n v="1564"/>
    <x v="3"/>
    <x v="0"/>
    <x v="1"/>
    <n v="3"/>
    <n v="0"/>
    <s v="UPI"/>
    <x v="1"/>
    <x v="3"/>
    <n v="2"/>
    <n v="0"/>
    <n v="1"/>
    <s v="Repeat"/>
    <x v="5"/>
    <n v="29"/>
    <n v="0"/>
  </r>
  <r>
    <n v="209"/>
    <x v="109"/>
    <n v="1688"/>
    <x v="2"/>
    <x v="0"/>
    <x v="3"/>
    <n v="3"/>
    <n v="0"/>
    <s v="Card"/>
    <x v="2"/>
    <x v="0"/>
    <n v="5"/>
    <n v="0"/>
    <n v="0"/>
    <s v="Repeat"/>
    <x v="4"/>
    <n v="46"/>
    <n v="0"/>
  </r>
  <r>
    <n v="210"/>
    <x v="96"/>
    <n v="1812"/>
    <x v="4"/>
    <x v="1"/>
    <x v="2"/>
    <n v="3"/>
    <n v="0"/>
    <s v="Card"/>
    <x v="2"/>
    <x v="1"/>
    <n v="6"/>
    <n v="0"/>
    <n v="1"/>
    <s v="Repeat"/>
    <x v="4"/>
    <n v="45"/>
    <n v="0"/>
  </r>
  <r>
    <n v="211"/>
    <x v="116"/>
    <n v="1715"/>
    <x v="0"/>
    <x v="0"/>
    <x v="0"/>
    <n v="1"/>
    <n v="0"/>
    <s v="COD"/>
    <x v="1"/>
    <x v="2"/>
    <n v="2"/>
    <n v="1"/>
    <n v="1"/>
    <s v="Repeat"/>
    <x v="3"/>
    <n v="50"/>
    <n v="0"/>
  </r>
  <r>
    <n v="212"/>
    <x v="98"/>
    <n v="1662"/>
    <x v="1"/>
    <x v="1"/>
    <x v="2"/>
    <n v="1"/>
    <n v="501"/>
    <s v="UPI"/>
    <x v="0"/>
    <x v="0"/>
    <n v="2"/>
    <n v="1"/>
    <n v="0"/>
    <s v="Repeat"/>
    <x v="3"/>
    <n v="51"/>
    <n v="1"/>
  </r>
  <r>
    <n v="213"/>
    <x v="117"/>
    <n v="1165"/>
    <x v="1"/>
    <x v="1"/>
    <x v="2"/>
    <n v="3"/>
    <n v="0"/>
    <s v="COD"/>
    <x v="1"/>
    <x v="1"/>
    <n v="10"/>
    <n v="0"/>
    <n v="0"/>
    <s v="New"/>
    <x v="5"/>
    <n v="31"/>
    <n v="0"/>
  </r>
  <r>
    <n v="214"/>
    <x v="24"/>
    <n v="1586"/>
    <x v="0"/>
    <x v="4"/>
    <x v="3"/>
    <n v="1"/>
    <n v="2187"/>
    <s v="COD"/>
    <x v="0"/>
    <x v="2"/>
    <n v="5"/>
    <n v="1"/>
    <n v="0"/>
    <s v="New"/>
    <x v="5"/>
    <n v="30"/>
    <n v="1"/>
  </r>
  <r>
    <n v="215"/>
    <x v="118"/>
    <n v="1349"/>
    <x v="0"/>
    <x v="0"/>
    <x v="0"/>
    <n v="3"/>
    <n v="0"/>
    <s v="COD"/>
    <x v="2"/>
    <x v="2"/>
    <n v="6"/>
    <n v="1"/>
    <n v="0"/>
    <s v="New"/>
    <x v="0"/>
    <n v="35"/>
    <n v="0"/>
  </r>
  <r>
    <n v="216"/>
    <x v="30"/>
    <n v="1175"/>
    <x v="2"/>
    <x v="1"/>
    <x v="3"/>
    <n v="3"/>
    <n v="10923"/>
    <s v="Card"/>
    <x v="0"/>
    <x v="0"/>
    <n v="1"/>
    <n v="1"/>
    <n v="1"/>
    <s v="New"/>
    <x v="3"/>
    <n v="51"/>
    <n v="1"/>
  </r>
  <r>
    <n v="217"/>
    <x v="8"/>
    <n v="1243"/>
    <x v="1"/>
    <x v="0"/>
    <x v="0"/>
    <n v="1"/>
    <n v="0"/>
    <s v="Card"/>
    <x v="1"/>
    <x v="2"/>
    <n v="2"/>
    <n v="1"/>
    <n v="0"/>
    <s v="New"/>
    <x v="0"/>
    <n v="32"/>
    <n v="0"/>
  </r>
  <r>
    <n v="218"/>
    <x v="90"/>
    <n v="1362"/>
    <x v="3"/>
    <x v="2"/>
    <x v="3"/>
    <n v="3"/>
    <n v="0"/>
    <s v="Card"/>
    <x v="2"/>
    <x v="2"/>
    <n v="9"/>
    <n v="0"/>
    <n v="1"/>
    <s v="New"/>
    <x v="0"/>
    <n v="31"/>
    <n v="0"/>
  </r>
  <r>
    <n v="219"/>
    <x v="118"/>
    <n v="1070"/>
    <x v="3"/>
    <x v="2"/>
    <x v="1"/>
    <n v="3"/>
    <n v="0"/>
    <s v="Wallet"/>
    <x v="1"/>
    <x v="2"/>
    <n v="5"/>
    <n v="1"/>
    <n v="0"/>
    <s v="New"/>
    <x v="0"/>
    <n v="35"/>
    <n v="0"/>
  </r>
  <r>
    <n v="220"/>
    <x v="119"/>
    <n v="1007"/>
    <x v="2"/>
    <x v="4"/>
    <x v="2"/>
    <n v="5"/>
    <n v="0"/>
    <s v="UPI"/>
    <x v="1"/>
    <x v="1"/>
    <n v="6"/>
    <n v="0"/>
    <n v="1"/>
    <s v="Repeat"/>
    <x v="0"/>
    <n v="34"/>
    <n v="0"/>
  </r>
  <r>
    <n v="221"/>
    <x v="38"/>
    <n v="1632"/>
    <x v="1"/>
    <x v="1"/>
    <x v="0"/>
    <n v="1"/>
    <n v="0"/>
    <s v="Card"/>
    <x v="2"/>
    <x v="2"/>
    <n v="9"/>
    <n v="0"/>
    <n v="1"/>
    <s v="New"/>
    <x v="1"/>
    <n v="39"/>
    <n v="0"/>
  </r>
  <r>
    <n v="222"/>
    <x v="120"/>
    <n v="1027"/>
    <x v="2"/>
    <x v="4"/>
    <x v="1"/>
    <n v="3"/>
    <n v="0"/>
    <s v="UPI"/>
    <x v="1"/>
    <x v="1"/>
    <n v="5"/>
    <n v="0"/>
    <n v="1"/>
    <s v="Repeat"/>
    <x v="6"/>
    <n v="1"/>
    <n v="0"/>
  </r>
  <r>
    <n v="223"/>
    <x v="94"/>
    <n v="1406"/>
    <x v="1"/>
    <x v="4"/>
    <x v="3"/>
    <n v="3"/>
    <n v="0"/>
    <s v="COD"/>
    <x v="2"/>
    <x v="3"/>
    <n v="1"/>
    <n v="0"/>
    <n v="0"/>
    <s v="New"/>
    <x v="1"/>
    <n v="40"/>
    <n v="0"/>
  </r>
  <r>
    <n v="224"/>
    <x v="73"/>
    <n v="1988"/>
    <x v="3"/>
    <x v="3"/>
    <x v="3"/>
    <n v="3"/>
    <n v="10929"/>
    <s v="COD"/>
    <x v="0"/>
    <x v="3"/>
    <n v="7"/>
    <n v="1"/>
    <n v="0"/>
    <s v="New"/>
    <x v="4"/>
    <n v="45"/>
    <n v="1"/>
  </r>
  <r>
    <n v="225"/>
    <x v="121"/>
    <n v="1137"/>
    <x v="2"/>
    <x v="3"/>
    <x v="2"/>
    <n v="5"/>
    <n v="20065"/>
    <s v="Wallet"/>
    <x v="0"/>
    <x v="1"/>
    <n v="2"/>
    <n v="0"/>
    <n v="1"/>
    <s v="Repeat"/>
    <x v="1"/>
    <n v="37"/>
    <n v="1"/>
  </r>
  <r>
    <n v="226"/>
    <x v="66"/>
    <n v="1334"/>
    <x v="0"/>
    <x v="4"/>
    <x v="3"/>
    <n v="5"/>
    <n v="0"/>
    <s v="COD"/>
    <x v="1"/>
    <x v="3"/>
    <n v="2"/>
    <n v="1"/>
    <n v="1"/>
    <s v="New"/>
    <x v="1"/>
    <n v="39"/>
    <n v="0"/>
  </r>
  <r>
    <n v="227"/>
    <x v="121"/>
    <n v="1930"/>
    <x v="3"/>
    <x v="2"/>
    <x v="0"/>
    <n v="1"/>
    <n v="0"/>
    <s v="UPI"/>
    <x v="1"/>
    <x v="2"/>
    <n v="5"/>
    <n v="0"/>
    <n v="0"/>
    <s v="Repeat"/>
    <x v="1"/>
    <n v="37"/>
    <n v="0"/>
  </r>
  <r>
    <n v="228"/>
    <x v="122"/>
    <n v="1883"/>
    <x v="3"/>
    <x v="2"/>
    <x v="0"/>
    <n v="4"/>
    <n v="0"/>
    <s v="COD"/>
    <x v="1"/>
    <x v="1"/>
    <n v="4"/>
    <n v="1"/>
    <n v="0"/>
    <s v="New"/>
    <x v="3"/>
    <n v="53"/>
    <n v="0"/>
  </r>
  <r>
    <n v="229"/>
    <x v="33"/>
    <n v="1778"/>
    <x v="0"/>
    <x v="2"/>
    <x v="2"/>
    <n v="1"/>
    <n v="0"/>
    <s v="UPI"/>
    <x v="2"/>
    <x v="1"/>
    <n v="1"/>
    <n v="1"/>
    <n v="0"/>
    <s v="New"/>
    <x v="5"/>
    <n v="31"/>
    <n v="0"/>
  </r>
  <r>
    <n v="230"/>
    <x v="54"/>
    <n v="1406"/>
    <x v="3"/>
    <x v="0"/>
    <x v="3"/>
    <n v="5"/>
    <n v="11525"/>
    <s v="COD"/>
    <x v="0"/>
    <x v="0"/>
    <n v="10"/>
    <n v="0"/>
    <n v="0"/>
    <s v="New"/>
    <x v="0"/>
    <n v="34"/>
    <n v="1"/>
  </r>
  <r>
    <n v="231"/>
    <x v="53"/>
    <n v="1830"/>
    <x v="0"/>
    <x v="3"/>
    <x v="3"/>
    <n v="5"/>
    <n v="23895"/>
    <s v="Card"/>
    <x v="0"/>
    <x v="0"/>
    <n v="5"/>
    <n v="1"/>
    <n v="1"/>
    <s v="Repeat"/>
    <x v="2"/>
    <n v="42"/>
    <n v="1"/>
  </r>
  <r>
    <n v="232"/>
    <x v="95"/>
    <n v="1999"/>
    <x v="2"/>
    <x v="4"/>
    <x v="3"/>
    <n v="3"/>
    <n v="0"/>
    <s v="COD"/>
    <x v="1"/>
    <x v="3"/>
    <n v="10"/>
    <n v="0"/>
    <n v="0"/>
    <s v="New"/>
    <x v="4"/>
    <n v="47"/>
    <n v="0"/>
  </r>
  <r>
    <n v="233"/>
    <x v="78"/>
    <n v="1782"/>
    <x v="1"/>
    <x v="1"/>
    <x v="2"/>
    <n v="3"/>
    <n v="960"/>
    <s v="COD"/>
    <x v="0"/>
    <x v="3"/>
    <n v="8"/>
    <n v="1"/>
    <n v="0"/>
    <s v="Repeat"/>
    <x v="3"/>
    <n v="52"/>
    <n v="1"/>
  </r>
  <r>
    <n v="234"/>
    <x v="123"/>
    <n v="1271"/>
    <x v="3"/>
    <x v="3"/>
    <x v="0"/>
    <n v="4"/>
    <n v="0"/>
    <s v="Card"/>
    <x v="1"/>
    <x v="1"/>
    <n v="2"/>
    <n v="0"/>
    <n v="0"/>
    <s v="Repeat"/>
    <x v="0"/>
    <n v="34"/>
    <n v="0"/>
  </r>
  <r>
    <n v="235"/>
    <x v="124"/>
    <n v="1594"/>
    <x v="0"/>
    <x v="0"/>
    <x v="0"/>
    <n v="2"/>
    <n v="0"/>
    <s v="COD"/>
    <x v="1"/>
    <x v="2"/>
    <n v="8"/>
    <n v="1"/>
    <n v="0"/>
    <s v="Repeat"/>
    <x v="1"/>
    <n v="37"/>
    <n v="0"/>
  </r>
  <r>
    <n v="236"/>
    <x v="105"/>
    <n v="1518"/>
    <x v="4"/>
    <x v="2"/>
    <x v="2"/>
    <n v="4"/>
    <n v="0"/>
    <s v="Card"/>
    <x v="2"/>
    <x v="1"/>
    <n v="3"/>
    <n v="0"/>
    <n v="0"/>
    <s v="Repeat"/>
    <x v="3"/>
    <n v="52"/>
    <n v="0"/>
  </r>
  <r>
    <n v="237"/>
    <x v="108"/>
    <n v="1387"/>
    <x v="0"/>
    <x v="4"/>
    <x v="2"/>
    <n v="5"/>
    <n v="0"/>
    <s v="UPI"/>
    <x v="1"/>
    <x v="3"/>
    <n v="6"/>
    <n v="1"/>
    <n v="1"/>
    <s v="Repeat"/>
    <x v="2"/>
    <n v="44"/>
    <n v="0"/>
  </r>
  <r>
    <n v="238"/>
    <x v="0"/>
    <n v="1612"/>
    <x v="3"/>
    <x v="1"/>
    <x v="3"/>
    <n v="5"/>
    <n v="0"/>
    <s v="Wallet"/>
    <x v="2"/>
    <x v="0"/>
    <n v="3"/>
    <n v="1"/>
    <n v="1"/>
    <s v="Repeat"/>
    <x v="0"/>
    <n v="32"/>
    <n v="0"/>
  </r>
  <r>
    <n v="239"/>
    <x v="85"/>
    <n v="1727"/>
    <x v="4"/>
    <x v="4"/>
    <x v="1"/>
    <n v="4"/>
    <n v="8588"/>
    <s v="Wallet"/>
    <x v="0"/>
    <x v="3"/>
    <n v="7"/>
    <n v="0"/>
    <n v="0"/>
    <s v="Repeat"/>
    <x v="3"/>
    <n v="50"/>
    <n v="1"/>
  </r>
  <r>
    <n v="240"/>
    <x v="19"/>
    <n v="1552"/>
    <x v="2"/>
    <x v="4"/>
    <x v="2"/>
    <n v="2"/>
    <n v="0"/>
    <s v="Card"/>
    <x v="2"/>
    <x v="3"/>
    <n v="9"/>
    <n v="1"/>
    <n v="0"/>
    <s v="Repeat"/>
    <x v="0"/>
    <n v="33"/>
    <n v="0"/>
  </r>
  <r>
    <n v="241"/>
    <x v="39"/>
    <n v="1613"/>
    <x v="3"/>
    <x v="3"/>
    <x v="1"/>
    <n v="5"/>
    <n v="7575"/>
    <s v="UPI"/>
    <x v="0"/>
    <x v="1"/>
    <n v="7"/>
    <n v="0"/>
    <n v="0"/>
    <s v="Repeat"/>
    <x v="0"/>
    <n v="34"/>
    <n v="1"/>
  </r>
  <r>
    <n v="242"/>
    <x v="125"/>
    <n v="1722"/>
    <x v="4"/>
    <x v="1"/>
    <x v="1"/>
    <n v="3"/>
    <n v="0"/>
    <s v="Card"/>
    <x v="1"/>
    <x v="3"/>
    <n v="7"/>
    <n v="0"/>
    <n v="0"/>
    <s v="Repeat"/>
    <x v="5"/>
    <n v="31"/>
    <n v="0"/>
  </r>
  <r>
    <n v="243"/>
    <x v="49"/>
    <n v="1076"/>
    <x v="1"/>
    <x v="4"/>
    <x v="0"/>
    <n v="4"/>
    <n v="18788"/>
    <s v="Card"/>
    <x v="0"/>
    <x v="1"/>
    <n v="8"/>
    <n v="1"/>
    <n v="0"/>
    <s v="New"/>
    <x v="0"/>
    <n v="36"/>
    <n v="1"/>
  </r>
  <r>
    <n v="244"/>
    <x v="50"/>
    <n v="1663"/>
    <x v="4"/>
    <x v="1"/>
    <x v="0"/>
    <n v="2"/>
    <n v="0"/>
    <s v="COD"/>
    <x v="2"/>
    <x v="1"/>
    <n v="4"/>
    <n v="1"/>
    <n v="1"/>
    <s v="New"/>
    <x v="3"/>
    <n v="53"/>
    <n v="0"/>
  </r>
  <r>
    <n v="245"/>
    <x v="126"/>
    <n v="1282"/>
    <x v="1"/>
    <x v="0"/>
    <x v="3"/>
    <n v="2"/>
    <n v="0"/>
    <s v="Wallet"/>
    <x v="1"/>
    <x v="1"/>
    <n v="4"/>
    <n v="1"/>
    <n v="1"/>
    <s v="Repeat"/>
    <x v="4"/>
    <n v="46"/>
    <n v="0"/>
  </r>
  <r>
    <n v="246"/>
    <x v="109"/>
    <n v="1636"/>
    <x v="0"/>
    <x v="4"/>
    <x v="2"/>
    <n v="5"/>
    <n v="0"/>
    <s v="Wallet"/>
    <x v="2"/>
    <x v="0"/>
    <n v="1"/>
    <n v="1"/>
    <n v="0"/>
    <s v="Repeat"/>
    <x v="4"/>
    <n v="46"/>
    <n v="0"/>
  </r>
  <r>
    <n v="247"/>
    <x v="86"/>
    <n v="1307"/>
    <x v="0"/>
    <x v="3"/>
    <x v="3"/>
    <n v="1"/>
    <n v="0"/>
    <s v="Card"/>
    <x v="2"/>
    <x v="3"/>
    <n v="5"/>
    <n v="1"/>
    <n v="0"/>
    <s v="Repeat"/>
    <x v="6"/>
    <n v="1"/>
    <n v="0"/>
  </r>
  <r>
    <n v="248"/>
    <x v="87"/>
    <n v="1814"/>
    <x v="3"/>
    <x v="2"/>
    <x v="0"/>
    <n v="5"/>
    <n v="0"/>
    <s v="Wallet"/>
    <x v="1"/>
    <x v="0"/>
    <n v="1"/>
    <n v="0"/>
    <n v="0"/>
    <s v="New"/>
    <x v="2"/>
    <n v="42"/>
    <n v="0"/>
  </r>
  <r>
    <n v="249"/>
    <x v="102"/>
    <n v="1713"/>
    <x v="1"/>
    <x v="3"/>
    <x v="3"/>
    <n v="1"/>
    <n v="3936"/>
    <s v="UPI"/>
    <x v="0"/>
    <x v="3"/>
    <n v="8"/>
    <n v="0"/>
    <n v="0"/>
    <s v="Repeat"/>
    <x v="3"/>
    <n v="50"/>
    <n v="1"/>
  </r>
  <r>
    <n v="250"/>
    <x v="127"/>
    <n v="1986"/>
    <x v="4"/>
    <x v="0"/>
    <x v="3"/>
    <n v="5"/>
    <n v="0"/>
    <s v="Wallet"/>
    <x v="2"/>
    <x v="0"/>
    <n v="10"/>
    <n v="1"/>
    <n v="0"/>
    <s v="Repeat"/>
    <x v="5"/>
    <n v="29"/>
    <n v="0"/>
  </r>
  <r>
    <n v="251"/>
    <x v="52"/>
    <n v="1193"/>
    <x v="4"/>
    <x v="3"/>
    <x v="1"/>
    <n v="5"/>
    <n v="11675"/>
    <s v="UPI"/>
    <x v="0"/>
    <x v="0"/>
    <n v="10"/>
    <n v="1"/>
    <n v="1"/>
    <s v="New"/>
    <x v="4"/>
    <n v="44"/>
    <n v="1"/>
  </r>
  <r>
    <n v="252"/>
    <x v="35"/>
    <n v="1476"/>
    <x v="4"/>
    <x v="0"/>
    <x v="0"/>
    <n v="1"/>
    <n v="0"/>
    <s v="Card"/>
    <x v="1"/>
    <x v="1"/>
    <n v="10"/>
    <n v="1"/>
    <n v="0"/>
    <s v="Repeat"/>
    <x v="0"/>
    <n v="35"/>
    <n v="0"/>
  </r>
  <r>
    <n v="253"/>
    <x v="47"/>
    <n v="1362"/>
    <x v="1"/>
    <x v="0"/>
    <x v="0"/>
    <n v="2"/>
    <n v="0"/>
    <s v="Wallet"/>
    <x v="1"/>
    <x v="1"/>
    <n v="6"/>
    <n v="1"/>
    <n v="1"/>
    <s v="Repeat"/>
    <x v="6"/>
    <n v="2"/>
    <n v="0"/>
  </r>
  <r>
    <n v="254"/>
    <x v="79"/>
    <n v="1314"/>
    <x v="4"/>
    <x v="4"/>
    <x v="1"/>
    <n v="5"/>
    <n v="0"/>
    <s v="COD"/>
    <x v="1"/>
    <x v="3"/>
    <n v="9"/>
    <n v="1"/>
    <n v="0"/>
    <s v="New"/>
    <x v="1"/>
    <n v="36"/>
    <n v="0"/>
  </r>
  <r>
    <n v="255"/>
    <x v="95"/>
    <n v="1483"/>
    <x v="0"/>
    <x v="4"/>
    <x v="3"/>
    <n v="2"/>
    <n v="0"/>
    <s v="Card"/>
    <x v="2"/>
    <x v="3"/>
    <n v="4"/>
    <n v="0"/>
    <n v="0"/>
    <s v="Repeat"/>
    <x v="4"/>
    <n v="47"/>
    <n v="0"/>
  </r>
  <r>
    <n v="256"/>
    <x v="69"/>
    <n v="1699"/>
    <x v="3"/>
    <x v="3"/>
    <x v="1"/>
    <n v="4"/>
    <n v="10204"/>
    <s v="Card"/>
    <x v="0"/>
    <x v="3"/>
    <n v="10"/>
    <n v="1"/>
    <n v="0"/>
    <s v="Repeat"/>
    <x v="2"/>
    <n v="40"/>
    <n v="1"/>
  </r>
  <r>
    <n v="257"/>
    <x v="128"/>
    <n v="1736"/>
    <x v="2"/>
    <x v="2"/>
    <x v="1"/>
    <n v="5"/>
    <n v="0"/>
    <s v="COD"/>
    <x v="2"/>
    <x v="0"/>
    <n v="5"/>
    <n v="0"/>
    <n v="1"/>
    <s v="Repeat"/>
    <x v="1"/>
    <n v="39"/>
    <n v="0"/>
  </r>
  <r>
    <n v="258"/>
    <x v="129"/>
    <n v="1155"/>
    <x v="0"/>
    <x v="4"/>
    <x v="3"/>
    <n v="1"/>
    <n v="4626"/>
    <s v="UPI"/>
    <x v="0"/>
    <x v="1"/>
    <n v="4"/>
    <n v="0"/>
    <n v="0"/>
    <s v="Repeat"/>
    <x v="4"/>
    <n v="46"/>
    <n v="1"/>
  </r>
  <r>
    <n v="259"/>
    <x v="97"/>
    <n v="1475"/>
    <x v="0"/>
    <x v="0"/>
    <x v="3"/>
    <n v="5"/>
    <n v="0"/>
    <s v="Card"/>
    <x v="2"/>
    <x v="0"/>
    <n v="9"/>
    <n v="0"/>
    <n v="1"/>
    <s v="New"/>
    <x v="1"/>
    <n v="40"/>
    <n v="0"/>
  </r>
  <r>
    <n v="260"/>
    <x v="130"/>
    <n v="1168"/>
    <x v="2"/>
    <x v="1"/>
    <x v="0"/>
    <n v="5"/>
    <n v="8515"/>
    <s v="UPI"/>
    <x v="0"/>
    <x v="0"/>
    <n v="8"/>
    <n v="1"/>
    <n v="0"/>
    <s v="Repeat"/>
    <x v="3"/>
    <n v="51"/>
    <n v="1"/>
  </r>
  <r>
    <n v="261"/>
    <x v="131"/>
    <n v="1760"/>
    <x v="2"/>
    <x v="2"/>
    <x v="3"/>
    <n v="5"/>
    <n v="0"/>
    <s v="COD"/>
    <x v="1"/>
    <x v="3"/>
    <n v="3"/>
    <n v="0"/>
    <n v="1"/>
    <s v="New"/>
    <x v="4"/>
    <n v="47"/>
    <n v="0"/>
  </r>
  <r>
    <n v="262"/>
    <x v="42"/>
    <n v="1239"/>
    <x v="4"/>
    <x v="2"/>
    <x v="1"/>
    <n v="2"/>
    <n v="0"/>
    <s v="COD"/>
    <x v="1"/>
    <x v="1"/>
    <n v="6"/>
    <n v="0"/>
    <n v="0"/>
    <s v="New"/>
    <x v="2"/>
    <n v="44"/>
    <n v="0"/>
  </r>
  <r>
    <n v="263"/>
    <x v="68"/>
    <n v="1007"/>
    <x v="0"/>
    <x v="1"/>
    <x v="0"/>
    <n v="1"/>
    <n v="0"/>
    <s v="Card"/>
    <x v="2"/>
    <x v="2"/>
    <n v="4"/>
    <n v="1"/>
    <n v="1"/>
    <s v="Repeat"/>
    <x v="0"/>
    <n v="32"/>
    <n v="0"/>
  </r>
  <r>
    <n v="264"/>
    <x v="3"/>
    <n v="1518"/>
    <x v="3"/>
    <x v="3"/>
    <x v="1"/>
    <n v="3"/>
    <n v="0"/>
    <s v="UPI"/>
    <x v="1"/>
    <x v="2"/>
    <n v="5"/>
    <n v="1"/>
    <n v="1"/>
    <s v="Repeat"/>
    <x v="0"/>
    <n v="32"/>
    <n v="0"/>
  </r>
  <r>
    <n v="265"/>
    <x v="128"/>
    <n v="1950"/>
    <x v="1"/>
    <x v="3"/>
    <x v="0"/>
    <n v="3"/>
    <n v="10104"/>
    <s v="UPI"/>
    <x v="0"/>
    <x v="3"/>
    <n v="6"/>
    <n v="0"/>
    <n v="1"/>
    <s v="Repeat"/>
    <x v="1"/>
    <n v="39"/>
    <n v="1"/>
  </r>
  <r>
    <n v="266"/>
    <x v="132"/>
    <n v="1514"/>
    <x v="3"/>
    <x v="1"/>
    <x v="1"/>
    <n v="5"/>
    <n v="0"/>
    <s v="UPI"/>
    <x v="1"/>
    <x v="1"/>
    <n v="3"/>
    <n v="1"/>
    <n v="0"/>
    <s v="Repeat"/>
    <x v="2"/>
    <n v="42"/>
    <n v="0"/>
  </r>
  <r>
    <n v="267"/>
    <x v="133"/>
    <n v="1474"/>
    <x v="3"/>
    <x v="2"/>
    <x v="0"/>
    <n v="3"/>
    <n v="0"/>
    <s v="COD"/>
    <x v="1"/>
    <x v="0"/>
    <n v="5"/>
    <n v="0"/>
    <n v="0"/>
    <s v="New"/>
    <x v="0"/>
    <n v="35"/>
    <n v="0"/>
  </r>
  <r>
    <n v="268"/>
    <x v="63"/>
    <n v="1769"/>
    <x v="1"/>
    <x v="0"/>
    <x v="0"/>
    <n v="3"/>
    <n v="0"/>
    <s v="Card"/>
    <x v="2"/>
    <x v="2"/>
    <n v="6"/>
    <n v="0"/>
    <n v="0"/>
    <s v="Repeat"/>
    <x v="5"/>
    <n v="29"/>
    <n v="0"/>
  </r>
  <r>
    <n v="269"/>
    <x v="20"/>
    <n v="1568"/>
    <x v="1"/>
    <x v="0"/>
    <x v="3"/>
    <n v="3"/>
    <n v="0"/>
    <s v="Card"/>
    <x v="2"/>
    <x v="1"/>
    <n v="8"/>
    <n v="0"/>
    <n v="1"/>
    <s v="New"/>
    <x v="0"/>
    <n v="32"/>
    <n v="0"/>
  </r>
  <r>
    <n v="270"/>
    <x v="134"/>
    <n v="1784"/>
    <x v="1"/>
    <x v="0"/>
    <x v="2"/>
    <n v="3"/>
    <n v="8778"/>
    <s v="Wallet"/>
    <x v="0"/>
    <x v="3"/>
    <n v="8"/>
    <n v="1"/>
    <n v="1"/>
    <s v="Repeat"/>
    <x v="3"/>
    <n v="51"/>
    <n v="1"/>
  </r>
  <r>
    <n v="271"/>
    <x v="55"/>
    <n v="1740"/>
    <x v="2"/>
    <x v="2"/>
    <x v="3"/>
    <n v="1"/>
    <n v="3138"/>
    <s v="Card"/>
    <x v="0"/>
    <x v="2"/>
    <n v="9"/>
    <n v="0"/>
    <n v="0"/>
    <s v="New"/>
    <x v="1"/>
    <n v="37"/>
    <n v="1"/>
  </r>
  <r>
    <n v="272"/>
    <x v="124"/>
    <n v="1679"/>
    <x v="1"/>
    <x v="1"/>
    <x v="3"/>
    <n v="4"/>
    <n v="0"/>
    <s v="Wallet"/>
    <x v="2"/>
    <x v="3"/>
    <n v="4"/>
    <n v="1"/>
    <n v="1"/>
    <s v="New"/>
    <x v="1"/>
    <n v="37"/>
    <n v="0"/>
  </r>
  <r>
    <n v="273"/>
    <x v="62"/>
    <n v="1393"/>
    <x v="0"/>
    <x v="2"/>
    <x v="2"/>
    <n v="1"/>
    <n v="1365"/>
    <s v="COD"/>
    <x v="0"/>
    <x v="3"/>
    <n v="3"/>
    <n v="1"/>
    <n v="1"/>
    <s v="Repeat"/>
    <x v="2"/>
    <n v="43"/>
    <n v="1"/>
  </r>
  <r>
    <n v="274"/>
    <x v="122"/>
    <n v="1887"/>
    <x v="4"/>
    <x v="4"/>
    <x v="3"/>
    <n v="2"/>
    <n v="0"/>
    <s v="COD"/>
    <x v="1"/>
    <x v="0"/>
    <n v="1"/>
    <n v="1"/>
    <n v="1"/>
    <s v="New"/>
    <x v="3"/>
    <n v="53"/>
    <n v="0"/>
  </r>
  <r>
    <n v="275"/>
    <x v="75"/>
    <n v="1561"/>
    <x v="2"/>
    <x v="2"/>
    <x v="0"/>
    <n v="1"/>
    <n v="1792"/>
    <s v="UPI"/>
    <x v="0"/>
    <x v="3"/>
    <n v="4"/>
    <n v="0"/>
    <n v="1"/>
    <s v="New"/>
    <x v="3"/>
    <n v="52"/>
    <n v="1"/>
  </r>
  <r>
    <n v="276"/>
    <x v="135"/>
    <n v="1651"/>
    <x v="2"/>
    <x v="3"/>
    <x v="2"/>
    <n v="1"/>
    <n v="0"/>
    <s v="Card"/>
    <x v="1"/>
    <x v="1"/>
    <n v="1"/>
    <n v="0"/>
    <n v="1"/>
    <s v="New"/>
    <x v="2"/>
    <n v="43"/>
    <n v="0"/>
  </r>
  <r>
    <n v="277"/>
    <x v="68"/>
    <n v="1420"/>
    <x v="3"/>
    <x v="4"/>
    <x v="3"/>
    <n v="3"/>
    <n v="0"/>
    <s v="Card"/>
    <x v="2"/>
    <x v="1"/>
    <n v="8"/>
    <n v="0"/>
    <n v="0"/>
    <s v="New"/>
    <x v="0"/>
    <n v="32"/>
    <n v="0"/>
  </r>
  <r>
    <n v="278"/>
    <x v="136"/>
    <n v="1981"/>
    <x v="0"/>
    <x v="1"/>
    <x v="3"/>
    <n v="3"/>
    <n v="0"/>
    <s v="Card"/>
    <x v="1"/>
    <x v="0"/>
    <n v="5"/>
    <n v="0"/>
    <n v="0"/>
    <s v="Repeat"/>
    <x v="2"/>
    <n v="40"/>
    <n v="0"/>
  </r>
  <r>
    <n v="279"/>
    <x v="137"/>
    <n v="1353"/>
    <x v="1"/>
    <x v="4"/>
    <x v="3"/>
    <n v="1"/>
    <n v="2569"/>
    <s v="UPI"/>
    <x v="0"/>
    <x v="0"/>
    <n v="2"/>
    <n v="1"/>
    <n v="0"/>
    <s v="New"/>
    <x v="1"/>
    <n v="40"/>
    <n v="1"/>
  </r>
  <r>
    <n v="280"/>
    <x v="112"/>
    <n v="1295"/>
    <x v="2"/>
    <x v="2"/>
    <x v="3"/>
    <n v="5"/>
    <n v="5230"/>
    <s v="COD"/>
    <x v="0"/>
    <x v="2"/>
    <n v="3"/>
    <n v="0"/>
    <n v="1"/>
    <s v="Repeat"/>
    <x v="5"/>
    <n v="30"/>
    <n v="1"/>
  </r>
  <r>
    <n v="281"/>
    <x v="138"/>
    <n v="1867"/>
    <x v="2"/>
    <x v="4"/>
    <x v="2"/>
    <n v="2"/>
    <n v="0"/>
    <s v="UPI"/>
    <x v="2"/>
    <x v="3"/>
    <n v="4"/>
    <n v="1"/>
    <n v="0"/>
    <s v="Repeat"/>
    <x v="2"/>
    <n v="44"/>
    <n v="0"/>
  </r>
  <r>
    <n v="282"/>
    <x v="95"/>
    <n v="1423"/>
    <x v="2"/>
    <x v="3"/>
    <x v="1"/>
    <n v="5"/>
    <n v="0"/>
    <s v="Card"/>
    <x v="2"/>
    <x v="0"/>
    <n v="9"/>
    <n v="1"/>
    <n v="1"/>
    <s v="Repeat"/>
    <x v="4"/>
    <n v="47"/>
    <n v="0"/>
  </r>
  <r>
    <n v="283"/>
    <x v="139"/>
    <n v="1329"/>
    <x v="2"/>
    <x v="3"/>
    <x v="3"/>
    <n v="4"/>
    <n v="0"/>
    <s v="COD"/>
    <x v="2"/>
    <x v="3"/>
    <n v="4"/>
    <n v="1"/>
    <n v="0"/>
    <s v="Repeat"/>
    <x v="4"/>
    <n v="45"/>
    <n v="0"/>
  </r>
  <r>
    <n v="284"/>
    <x v="36"/>
    <n v="1843"/>
    <x v="1"/>
    <x v="2"/>
    <x v="3"/>
    <n v="4"/>
    <n v="0"/>
    <s v="Card"/>
    <x v="1"/>
    <x v="3"/>
    <n v="10"/>
    <n v="0"/>
    <n v="1"/>
    <s v="New"/>
    <x v="2"/>
    <n v="44"/>
    <n v="0"/>
  </r>
  <r>
    <n v="285"/>
    <x v="109"/>
    <n v="1501"/>
    <x v="0"/>
    <x v="0"/>
    <x v="2"/>
    <n v="1"/>
    <n v="0"/>
    <s v="Wallet"/>
    <x v="1"/>
    <x v="0"/>
    <n v="10"/>
    <n v="0"/>
    <n v="0"/>
    <s v="Repeat"/>
    <x v="4"/>
    <n v="46"/>
    <n v="0"/>
  </r>
  <r>
    <n v="286"/>
    <x v="10"/>
    <n v="1364"/>
    <x v="0"/>
    <x v="0"/>
    <x v="3"/>
    <n v="3"/>
    <n v="0"/>
    <s v="Card"/>
    <x v="2"/>
    <x v="2"/>
    <n v="7"/>
    <n v="0"/>
    <n v="1"/>
    <s v="New"/>
    <x v="3"/>
    <n v="49"/>
    <n v="0"/>
  </r>
  <r>
    <n v="287"/>
    <x v="140"/>
    <n v="1338"/>
    <x v="2"/>
    <x v="0"/>
    <x v="3"/>
    <n v="2"/>
    <n v="1854"/>
    <s v="Wallet"/>
    <x v="0"/>
    <x v="0"/>
    <n v="7"/>
    <n v="0"/>
    <n v="1"/>
    <s v="New"/>
    <x v="4"/>
    <n v="48"/>
    <n v="1"/>
  </r>
  <r>
    <n v="288"/>
    <x v="75"/>
    <n v="1403"/>
    <x v="4"/>
    <x v="1"/>
    <x v="1"/>
    <n v="1"/>
    <n v="0"/>
    <s v="COD"/>
    <x v="1"/>
    <x v="0"/>
    <n v="9"/>
    <n v="1"/>
    <n v="0"/>
    <s v="Repeat"/>
    <x v="3"/>
    <n v="52"/>
    <n v="0"/>
  </r>
  <r>
    <n v="289"/>
    <x v="94"/>
    <n v="1434"/>
    <x v="1"/>
    <x v="0"/>
    <x v="3"/>
    <n v="3"/>
    <n v="8151"/>
    <s v="Wallet"/>
    <x v="0"/>
    <x v="3"/>
    <n v="2"/>
    <n v="0"/>
    <n v="0"/>
    <s v="Repeat"/>
    <x v="1"/>
    <n v="40"/>
    <n v="1"/>
  </r>
  <r>
    <n v="290"/>
    <x v="141"/>
    <n v="1984"/>
    <x v="1"/>
    <x v="3"/>
    <x v="3"/>
    <n v="5"/>
    <n v="4050"/>
    <s v="Wallet"/>
    <x v="0"/>
    <x v="0"/>
    <n v="6"/>
    <n v="1"/>
    <n v="1"/>
    <s v="Repeat"/>
    <x v="1"/>
    <n v="39"/>
    <n v="1"/>
  </r>
  <r>
    <n v="291"/>
    <x v="112"/>
    <n v="1839"/>
    <x v="2"/>
    <x v="2"/>
    <x v="1"/>
    <n v="5"/>
    <n v="6650"/>
    <s v="UPI"/>
    <x v="0"/>
    <x v="2"/>
    <n v="10"/>
    <n v="0"/>
    <n v="1"/>
    <s v="Repeat"/>
    <x v="5"/>
    <n v="30"/>
    <n v="1"/>
  </r>
  <r>
    <n v="292"/>
    <x v="53"/>
    <n v="1347"/>
    <x v="0"/>
    <x v="3"/>
    <x v="3"/>
    <n v="5"/>
    <n v="0"/>
    <s v="UPI"/>
    <x v="1"/>
    <x v="0"/>
    <n v="2"/>
    <n v="1"/>
    <n v="0"/>
    <s v="New"/>
    <x v="2"/>
    <n v="42"/>
    <n v="0"/>
  </r>
  <r>
    <n v="293"/>
    <x v="31"/>
    <n v="1239"/>
    <x v="0"/>
    <x v="4"/>
    <x v="0"/>
    <n v="1"/>
    <n v="0"/>
    <s v="COD"/>
    <x v="2"/>
    <x v="1"/>
    <n v="5"/>
    <n v="1"/>
    <n v="0"/>
    <s v="Repeat"/>
    <x v="2"/>
    <n v="44"/>
    <n v="0"/>
  </r>
  <r>
    <n v="294"/>
    <x v="97"/>
    <n v="1035"/>
    <x v="2"/>
    <x v="0"/>
    <x v="1"/>
    <n v="4"/>
    <n v="0"/>
    <s v="Card"/>
    <x v="1"/>
    <x v="0"/>
    <n v="3"/>
    <n v="0"/>
    <n v="1"/>
    <s v="New"/>
    <x v="1"/>
    <n v="40"/>
    <n v="0"/>
  </r>
  <r>
    <n v="295"/>
    <x v="128"/>
    <n v="1304"/>
    <x v="0"/>
    <x v="1"/>
    <x v="2"/>
    <n v="1"/>
    <n v="4824"/>
    <s v="Card"/>
    <x v="0"/>
    <x v="1"/>
    <n v="7"/>
    <n v="1"/>
    <n v="1"/>
    <s v="New"/>
    <x v="1"/>
    <n v="39"/>
    <n v="1"/>
  </r>
  <r>
    <n v="296"/>
    <x v="142"/>
    <n v="1822"/>
    <x v="2"/>
    <x v="4"/>
    <x v="3"/>
    <n v="1"/>
    <n v="0"/>
    <s v="COD"/>
    <x v="2"/>
    <x v="0"/>
    <n v="8"/>
    <n v="1"/>
    <n v="1"/>
    <s v="New"/>
    <x v="2"/>
    <n v="42"/>
    <n v="0"/>
  </r>
  <r>
    <n v="297"/>
    <x v="143"/>
    <n v="1341"/>
    <x v="3"/>
    <x v="4"/>
    <x v="2"/>
    <n v="3"/>
    <n v="0"/>
    <s v="Card"/>
    <x v="2"/>
    <x v="2"/>
    <n v="5"/>
    <n v="0"/>
    <n v="0"/>
    <s v="New"/>
    <x v="2"/>
    <n v="43"/>
    <n v="0"/>
  </r>
  <r>
    <n v="298"/>
    <x v="129"/>
    <n v="1657"/>
    <x v="1"/>
    <x v="0"/>
    <x v="2"/>
    <n v="5"/>
    <n v="0"/>
    <s v="COD"/>
    <x v="1"/>
    <x v="3"/>
    <n v="4"/>
    <n v="0"/>
    <n v="1"/>
    <s v="Repeat"/>
    <x v="4"/>
    <n v="46"/>
    <n v="0"/>
  </r>
  <r>
    <n v="299"/>
    <x v="91"/>
    <n v="1699"/>
    <x v="3"/>
    <x v="2"/>
    <x v="2"/>
    <n v="2"/>
    <n v="0"/>
    <s v="Card"/>
    <x v="2"/>
    <x v="1"/>
    <n v="9"/>
    <n v="0"/>
    <n v="0"/>
    <s v="New"/>
    <x v="3"/>
    <n v="52"/>
    <n v="0"/>
  </r>
  <r>
    <n v="300"/>
    <x v="144"/>
    <n v="1993"/>
    <x v="2"/>
    <x v="0"/>
    <x v="1"/>
    <n v="5"/>
    <n v="0"/>
    <s v="UPI"/>
    <x v="1"/>
    <x v="0"/>
    <n v="8"/>
    <n v="0"/>
    <n v="1"/>
    <s v="Repeat"/>
    <x v="3"/>
    <n v="52"/>
    <n v="0"/>
  </r>
  <r>
    <n v="301"/>
    <x v="26"/>
    <n v="1502"/>
    <x v="2"/>
    <x v="3"/>
    <x v="0"/>
    <n v="1"/>
    <n v="3441"/>
    <s v="Wallet"/>
    <x v="0"/>
    <x v="2"/>
    <n v="9"/>
    <n v="1"/>
    <n v="0"/>
    <s v="Repeat"/>
    <x v="2"/>
    <n v="42"/>
    <n v="1"/>
  </r>
  <r>
    <n v="302"/>
    <x v="121"/>
    <n v="1803"/>
    <x v="2"/>
    <x v="0"/>
    <x v="0"/>
    <n v="1"/>
    <n v="0"/>
    <s v="Card"/>
    <x v="1"/>
    <x v="3"/>
    <n v="4"/>
    <n v="1"/>
    <n v="0"/>
    <s v="Repeat"/>
    <x v="1"/>
    <n v="37"/>
    <n v="0"/>
  </r>
  <r>
    <n v="303"/>
    <x v="42"/>
    <n v="1126"/>
    <x v="1"/>
    <x v="4"/>
    <x v="0"/>
    <n v="2"/>
    <n v="0"/>
    <s v="UPI"/>
    <x v="2"/>
    <x v="3"/>
    <n v="10"/>
    <n v="1"/>
    <n v="0"/>
    <s v="Repeat"/>
    <x v="2"/>
    <n v="44"/>
    <n v="0"/>
  </r>
  <r>
    <n v="304"/>
    <x v="89"/>
    <n v="1052"/>
    <x v="3"/>
    <x v="1"/>
    <x v="3"/>
    <n v="4"/>
    <n v="0"/>
    <s v="UPI"/>
    <x v="1"/>
    <x v="0"/>
    <n v="3"/>
    <n v="0"/>
    <n v="0"/>
    <s v="Repeat"/>
    <x v="0"/>
    <n v="35"/>
    <n v="0"/>
  </r>
  <r>
    <n v="305"/>
    <x v="69"/>
    <n v="1538"/>
    <x v="3"/>
    <x v="3"/>
    <x v="2"/>
    <n v="5"/>
    <n v="0"/>
    <s v="Wallet"/>
    <x v="2"/>
    <x v="1"/>
    <n v="10"/>
    <n v="0"/>
    <n v="0"/>
    <s v="New"/>
    <x v="2"/>
    <n v="40"/>
    <n v="0"/>
  </r>
  <r>
    <n v="306"/>
    <x v="23"/>
    <n v="1956"/>
    <x v="0"/>
    <x v="0"/>
    <x v="1"/>
    <n v="1"/>
    <n v="0"/>
    <s v="UPI"/>
    <x v="1"/>
    <x v="2"/>
    <n v="6"/>
    <n v="0"/>
    <n v="0"/>
    <s v="Repeat"/>
    <x v="3"/>
    <n v="51"/>
    <n v="0"/>
  </r>
  <r>
    <n v="307"/>
    <x v="47"/>
    <n v="1421"/>
    <x v="1"/>
    <x v="4"/>
    <x v="2"/>
    <n v="4"/>
    <n v="0"/>
    <s v="COD"/>
    <x v="1"/>
    <x v="3"/>
    <n v="5"/>
    <n v="1"/>
    <n v="0"/>
    <s v="New"/>
    <x v="6"/>
    <n v="2"/>
    <n v="0"/>
  </r>
  <r>
    <n v="308"/>
    <x v="37"/>
    <n v="1628"/>
    <x v="2"/>
    <x v="4"/>
    <x v="0"/>
    <n v="4"/>
    <n v="7916"/>
    <s v="Wallet"/>
    <x v="0"/>
    <x v="2"/>
    <n v="6"/>
    <n v="1"/>
    <n v="0"/>
    <s v="New"/>
    <x v="4"/>
    <n v="46"/>
    <n v="1"/>
  </r>
  <r>
    <n v="309"/>
    <x v="145"/>
    <n v="1974"/>
    <x v="3"/>
    <x v="1"/>
    <x v="0"/>
    <n v="1"/>
    <n v="0"/>
    <s v="UPI"/>
    <x v="2"/>
    <x v="1"/>
    <n v="2"/>
    <n v="1"/>
    <n v="1"/>
    <s v="New"/>
    <x v="4"/>
    <n v="48"/>
    <n v="0"/>
  </r>
  <r>
    <n v="310"/>
    <x v="20"/>
    <n v="1676"/>
    <x v="1"/>
    <x v="2"/>
    <x v="1"/>
    <n v="1"/>
    <n v="0"/>
    <s v="Card"/>
    <x v="2"/>
    <x v="2"/>
    <n v="1"/>
    <n v="0"/>
    <n v="1"/>
    <s v="New"/>
    <x v="0"/>
    <n v="32"/>
    <n v="0"/>
  </r>
  <r>
    <n v="311"/>
    <x v="108"/>
    <n v="1583"/>
    <x v="4"/>
    <x v="2"/>
    <x v="2"/>
    <n v="1"/>
    <n v="0"/>
    <s v="UPI"/>
    <x v="1"/>
    <x v="2"/>
    <n v="6"/>
    <n v="1"/>
    <n v="1"/>
    <s v="Repeat"/>
    <x v="2"/>
    <n v="44"/>
    <n v="0"/>
  </r>
  <r>
    <n v="312"/>
    <x v="98"/>
    <n v="1753"/>
    <x v="1"/>
    <x v="3"/>
    <x v="2"/>
    <n v="1"/>
    <n v="0"/>
    <s v="Wallet"/>
    <x v="2"/>
    <x v="3"/>
    <n v="5"/>
    <n v="0"/>
    <n v="1"/>
    <s v="New"/>
    <x v="3"/>
    <n v="51"/>
    <n v="0"/>
  </r>
  <r>
    <n v="313"/>
    <x v="5"/>
    <n v="1691"/>
    <x v="1"/>
    <x v="3"/>
    <x v="1"/>
    <n v="5"/>
    <n v="1375"/>
    <s v="UPI"/>
    <x v="0"/>
    <x v="0"/>
    <n v="2"/>
    <n v="1"/>
    <n v="0"/>
    <s v="New"/>
    <x v="0"/>
    <n v="33"/>
    <n v="1"/>
  </r>
  <r>
    <n v="314"/>
    <x v="56"/>
    <n v="1485"/>
    <x v="1"/>
    <x v="0"/>
    <x v="0"/>
    <n v="2"/>
    <n v="0"/>
    <s v="COD"/>
    <x v="2"/>
    <x v="0"/>
    <n v="3"/>
    <n v="1"/>
    <n v="1"/>
    <s v="Repeat"/>
    <x v="6"/>
    <n v="2"/>
    <n v="0"/>
  </r>
  <r>
    <n v="315"/>
    <x v="8"/>
    <n v="1947"/>
    <x v="4"/>
    <x v="1"/>
    <x v="2"/>
    <n v="4"/>
    <n v="0"/>
    <s v="Wallet"/>
    <x v="2"/>
    <x v="1"/>
    <n v="7"/>
    <n v="0"/>
    <n v="0"/>
    <s v="New"/>
    <x v="0"/>
    <n v="32"/>
    <n v="0"/>
  </r>
  <r>
    <n v="316"/>
    <x v="146"/>
    <n v="1950"/>
    <x v="2"/>
    <x v="0"/>
    <x v="2"/>
    <n v="3"/>
    <n v="0"/>
    <s v="UPI"/>
    <x v="2"/>
    <x v="2"/>
    <n v="10"/>
    <n v="1"/>
    <n v="0"/>
    <s v="New"/>
    <x v="2"/>
    <n v="40"/>
    <n v="0"/>
  </r>
  <r>
    <n v="317"/>
    <x v="19"/>
    <n v="1272"/>
    <x v="1"/>
    <x v="2"/>
    <x v="3"/>
    <n v="4"/>
    <n v="18628"/>
    <s v="Wallet"/>
    <x v="0"/>
    <x v="1"/>
    <n v="7"/>
    <n v="1"/>
    <n v="0"/>
    <s v="New"/>
    <x v="0"/>
    <n v="33"/>
    <n v="1"/>
  </r>
  <r>
    <n v="318"/>
    <x v="92"/>
    <n v="1866"/>
    <x v="0"/>
    <x v="2"/>
    <x v="3"/>
    <n v="5"/>
    <n v="0"/>
    <s v="COD"/>
    <x v="1"/>
    <x v="2"/>
    <n v="6"/>
    <n v="1"/>
    <n v="0"/>
    <s v="Repeat"/>
    <x v="3"/>
    <n v="53"/>
    <n v="0"/>
  </r>
  <r>
    <n v="319"/>
    <x v="77"/>
    <n v="1760"/>
    <x v="3"/>
    <x v="0"/>
    <x v="3"/>
    <n v="5"/>
    <n v="0"/>
    <s v="Card"/>
    <x v="1"/>
    <x v="3"/>
    <n v="10"/>
    <n v="1"/>
    <n v="1"/>
    <s v="New"/>
    <x v="1"/>
    <n v="38"/>
    <n v="0"/>
  </r>
  <r>
    <n v="320"/>
    <x v="147"/>
    <n v="1132"/>
    <x v="0"/>
    <x v="1"/>
    <x v="2"/>
    <n v="2"/>
    <n v="0"/>
    <s v="COD"/>
    <x v="1"/>
    <x v="2"/>
    <n v="2"/>
    <n v="1"/>
    <n v="0"/>
    <s v="Repeat"/>
    <x v="4"/>
    <n v="47"/>
    <n v="0"/>
  </r>
  <r>
    <n v="321"/>
    <x v="148"/>
    <n v="1622"/>
    <x v="4"/>
    <x v="0"/>
    <x v="1"/>
    <n v="4"/>
    <n v="0"/>
    <s v="Card"/>
    <x v="1"/>
    <x v="0"/>
    <n v="7"/>
    <n v="1"/>
    <n v="0"/>
    <s v="New"/>
    <x v="5"/>
    <n v="30"/>
    <n v="0"/>
  </r>
  <r>
    <n v="322"/>
    <x v="115"/>
    <n v="1886"/>
    <x v="3"/>
    <x v="4"/>
    <x v="2"/>
    <n v="4"/>
    <n v="0"/>
    <s v="UPI"/>
    <x v="2"/>
    <x v="1"/>
    <n v="7"/>
    <n v="0"/>
    <n v="0"/>
    <s v="Repeat"/>
    <x v="4"/>
    <n v="48"/>
    <n v="0"/>
  </r>
  <r>
    <n v="323"/>
    <x v="75"/>
    <n v="1576"/>
    <x v="3"/>
    <x v="0"/>
    <x v="3"/>
    <n v="2"/>
    <n v="4110"/>
    <s v="COD"/>
    <x v="0"/>
    <x v="3"/>
    <n v="6"/>
    <n v="0"/>
    <n v="1"/>
    <s v="New"/>
    <x v="3"/>
    <n v="52"/>
    <n v="1"/>
  </r>
  <r>
    <n v="324"/>
    <x v="51"/>
    <n v="1177"/>
    <x v="0"/>
    <x v="3"/>
    <x v="1"/>
    <n v="1"/>
    <n v="1915"/>
    <s v="COD"/>
    <x v="0"/>
    <x v="1"/>
    <n v="2"/>
    <n v="1"/>
    <n v="1"/>
    <s v="Repeat"/>
    <x v="5"/>
    <n v="29"/>
    <n v="1"/>
  </r>
  <r>
    <n v="325"/>
    <x v="76"/>
    <n v="1262"/>
    <x v="0"/>
    <x v="4"/>
    <x v="3"/>
    <n v="4"/>
    <n v="0"/>
    <s v="UPI"/>
    <x v="1"/>
    <x v="0"/>
    <n v="5"/>
    <n v="0"/>
    <n v="0"/>
    <s v="New"/>
    <x v="3"/>
    <n v="50"/>
    <n v="0"/>
  </r>
  <r>
    <n v="326"/>
    <x v="48"/>
    <n v="1151"/>
    <x v="1"/>
    <x v="1"/>
    <x v="3"/>
    <n v="3"/>
    <n v="0"/>
    <s v="COD"/>
    <x v="2"/>
    <x v="2"/>
    <n v="8"/>
    <n v="0"/>
    <n v="1"/>
    <s v="Repeat"/>
    <x v="3"/>
    <n v="50"/>
    <n v="0"/>
  </r>
  <r>
    <n v="327"/>
    <x v="149"/>
    <n v="1506"/>
    <x v="0"/>
    <x v="3"/>
    <x v="0"/>
    <n v="4"/>
    <n v="0"/>
    <s v="COD"/>
    <x v="1"/>
    <x v="1"/>
    <n v="6"/>
    <n v="1"/>
    <n v="0"/>
    <s v="Repeat"/>
    <x v="3"/>
    <n v="49"/>
    <n v="0"/>
  </r>
  <r>
    <n v="328"/>
    <x v="143"/>
    <n v="1560"/>
    <x v="4"/>
    <x v="1"/>
    <x v="1"/>
    <n v="1"/>
    <n v="4057"/>
    <s v="Wallet"/>
    <x v="0"/>
    <x v="1"/>
    <n v="4"/>
    <n v="0"/>
    <n v="0"/>
    <s v="New"/>
    <x v="2"/>
    <n v="43"/>
    <n v="1"/>
  </r>
  <r>
    <n v="329"/>
    <x v="99"/>
    <n v="1028"/>
    <x v="0"/>
    <x v="1"/>
    <x v="1"/>
    <n v="3"/>
    <n v="10959"/>
    <s v="UPI"/>
    <x v="0"/>
    <x v="1"/>
    <n v="1"/>
    <n v="1"/>
    <n v="0"/>
    <s v="New"/>
    <x v="4"/>
    <n v="48"/>
    <n v="1"/>
  </r>
  <r>
    <n v="330"/>
    <x v="132"/>
    <n v="1803"/>
    <x v="2"/>
    <x v="4"/>
    <x v="2"/>
    <n v="1"/>
    <n v="0"/>
    <s v="COD"/>
    <x v="2"/>
    <x v="3"/>
    <n v="8"/>
    <n v="0"/>
    <n v="0"/>
    <s v="Repeat"/>
    <x v="2"/>
    <n v="42"/>
    <n v="0"/>
  </r>
  <r>
    <n v="331"/>
    <x v="27"/>
    <n v="1253"/>
    <x v="4"/>
    <x v="2"/>
    <x v="3"/>
    <n v="3"/>
    <n v="0"/>
    <s v="Wallet"/>
    <x v="1"/>
    <x v="0"/>
    <n v="9"/>
    <n v="1"/>
    <n v="0"/>
    <s v="New"/>
    <x v="1"/>
    <n v="37"/>
    <n v="0"/>
  </r>
  <r>
    <n v="332"/>
    <x v="100"/>
    <n v="1600"/>
    <x v="2"/>
    <x v="2"/>
    <x v="0"/>
    <n v="4"/>
    <n v="0"/>
    <s v="Wallet"/>
    <x v="2"/>
    <x v="2"/>
    <n v="6"/>
    <n v="0"/>
    <n v="0"/>
    <s v="Repeat"/>
    <x v="1"/>
    <n v="37"/>
    <n v="0"/>
  </r>
  <r>
    <n v="333"/>
    <x v="104"/>
    <n v="1067"/>
    <x v="4"/>
    <x v="3"/>
    <x v="3"/>
    <n v="4"/>
    <n v="0"/>
    <s v="Card"/>
    <x v="1"/>
    <x v="0"/>
    <n v="4"/>
    <n v="0"/>
    <n v="1"/>
    <s v="New"/>
    <x v="5"/>
    <n v="29"/>
    <n v="0"/>
  </r>
  <r>
    <n v="334"/>
    <x v="150"/>
    <n v="1039"/>
    <x v="2"/>
    <x v="1"/>
    <x v="3"/>
    <n v="3"/>
    <n v="0"/>
    <s v="Wallet"/>
    <x v="1"/>
    <x v="2"/>
    <n v="1"/>
    <n v="0"/>
    <n v="0"/>
    <s v="New"/>
    <x v="0"/>
    <n v="35"/>
    <n v="0"/>
  </r>
  <r>
    <n v="335"/>
    <x v="151"/>
    <n v="1991"/>
    <x v="0"/>
    <x v="1"/>
    <x v="2"/>
    <n v="2"/>
    <n v="0"/>
    <s v="COD"/>
    <x v="2"/>
    <x v="0"/>
    <n v="3"/>
    <n v="1"/>
    <n v="1"/>
    <s v="New"/>
    <x v="3"/>
    <n v="52"/>
    <n v="0"/>
  </r>
  <r>
    <n v="336"/>
    <x v="15"/>
    <n v="1581"/>
    <x v="1"/>
    <x v="2"/>
    <x v="0"/>
    <n v="1"/>
    <n v="0"/>
    <s v="COD"/>
    <x v="2"/>
    <x v="1"/>
    <n v="3"/>
    <n v="1"/>
    <n v="1"/>
    <s v="New"/>
    <x v="4"/>
    <n v="47"/>
    <n v="0"/>
  </r>
  <r>
    <n v="337"/>
    <x v="96"/>
    <n v="1826"/>
    <x v="0"/>
    <x v="4"/>
    <x v="1"/>
    <n v="4"/>
    <n v="0"/>
    <s v="Wallet"/>
    <x v="2"/>
    <x v="3"/>
    <n v="9"/>
    <n v="0"/>
    <n v="1"/>
    <s v="Repeat"/>
    <x v="4"/>
    <n v="45"/>
    <n v="0"/>
  </r>
  <r>
    <n v="338"/>
    <x v="95"/>
    <n v="1007"/>
    <x v="0"/>
    <x v="4"/>
    <x v="0"/>
    <n v="5"/>
    <n v="2845"/>
    <s v="Wallet"/>
    <x v="0"/>
    <x v="0"/>
    <n v="7"/>
    <n v="0"/>
    <n v="0"/>
    <s v="Repeat"/>
    <x v="4"/>
    <n v="47"/>
    <n v="1"/>
  </r>
  <r>
    <n v="339"/>
    <x v="81"/>
    <n v="1439"/>
    <x v="3"/>
    <x v="2"/>
    <x v="3"/>
    <n v="1"/>
    <n v="3538"/>
    <s v="Wallet"/>
    <x v="0"/>
    <x v="2"/>
    <n v="3"/>
    <n v="1"/>
    <n v="0"/>
    <s v="Repeat"/>
    <x v="0"/>
    <n v="33"/>
    <n v="1"/>
  </r>
  <r>
    <n v="340"/>
    <x v="134"/>
    <n v="1350"/>
    <x v="4"/>
    <x v="2"/>
    <x v="2"/>
    <n v="4"/>
    <n v="4412"/>
    <s v="UPI"/>
    <x v="0"/>
    <x v="1"/>
    <n v="9"/>
    <n v="1"/>
    <n v="0"/>
    <s v="Repeat"/>
    <x v="3"/>
    <n v="51"/>
    <n v="1"/>
  </r>
  <r>
    <n v="341"/>
    <x v="152"/>
    <n v="1007"/>
    <x v="0"/>
    <x v="4"/>
    <x v="0"/>
    <n v="3"/>
    <n v="4008"/>
    <s v="COD"/>
    <x v="0"/>
    <x v="3"/>
    <n v="10"/>
    <n v="0"/>
    <n v="0"/>
    <s v="Repeat"/>
    <x v="2"/>
    <n v="42"/>
    <n v="1"/>
  </r>
  <r>
    <n v="342"/>
    <x v="59"/>
    <n v="1189"/>
    <x v="4"/>
    <x v="3"/>
    <x v="1"/>
    <n v="4"/>
    <n v="12644"/>
    <s v="COD"/>
    <x v="0"/>
    <x v="1"/>
    <n v="4"/>
    <n v="0"/>
    <n v="1"/>
    <s v="New"/>
    <x v="0"/>
    <n v="34"/>
    <n v="1"/>
  </r>
  <r>
    <n v="343"/>
    <x v="153"/>
    <n v="1734"/>
    <x v="1"/>
    <x v="1"/>
    <x v="2"/>
    <n v="4"/>
    <n v="19256"/>
    <s v="Card"/>
    <x v="0"/>
    <x v="3"/>
    <n v="9"/>
    <n v="1"/>
    <n v="1"/>
    <s v="New"/>
    <x v="0"/>
    <n v="31"/>
    <n v="1"/>
  </r>
  <r>
    <n v="344"/>
    <x v="154"/>
    <n v="1815"/>
    <x v="0"/>
    <x v="4"/>
    <x v="3"/>
    <n v="3"/>
    <n v="0"/>
    <s v="UPI"/>
    <x v="2"/>
    <x v="1"/>
    <n v="9"/>
    <n v="1"/>
    <n v="0"/>
    <s v="New"/>
    <x v="2"/>
    <n v="42"/>
    <n v="0"/>
  </r>
  <r>
    <n v="345"/>
    <x v="96"/>
    <n v="1744"/>
    <x v="2"/>
    <x v="4"/>
    <x v="0"/>
    <n v="4"/>
    <n v="0"/>
    <s v="UPI"/>
    <x v="1"/>
    <x v="2"/>
    <n v="6"/>
    <n v="1"/>
    <n v="1"/>
    <s v="New"/>
    <x v="4"/>
    <n v="45"/>
    <n v="0"/>
  </r>
  <r>
    <n v="346"/>
    <x v="154"/>
    <n v="1854"/>
    <x v="4"/>
    <x v="0"/>
    <x v="3"/>
    <n v="5"/>
    <n v="0"/>
    <s v="COD"/>
    <x v="2"/>
    <x v="1"/>
    <n v="7"/>
    <n v="1"/>
    <n v="0"/>
    <s v="New"/>
    <x v="2"/>
    <n v="42"/>
    <n v="0"/>
  </r>
  <r>
    <n v="347"/>
    <x v="60"/>
    <n v="1532"/>
    <x v="3"/>
    <x v="3"/>
    <x v="3"/>
    <n v="2"/>
    <n v="0"/>
    <s v="Wallet"/>
    <x v="1"/>
    <x v="3"/>
    <n v="7"/>
    <n v="0"/>
    <n v="1"/>
    <s v="Repeat"/>
    <x v="1"/>
    <n v="36"/>
    <n v="0"/>
  </r>
  <r>
    <n v="348"/>
    <x v="147"/>
    <n v="1143"/>
    <x v="4"/>
    <x v="4"/>
    <x v="2"/>
    <n v="3"/>
    <n v="6693"/>
    <s v="COD"/>
    <x v="0"/>
    <x v="3"/>
    <n v="9"/>
    <n v="1"/>
    <n v="0"/>
    <s v="New"/>
    <x v="4"/>
    <n v="47"/>
    <n v="1"/>
  </r>
  <r>
    <n v="349"/>
    <x v="149"/>
    <n v="1155"/>
    <x v="1"/>
    <x v="1"/>
    <x v="1"/>
    <n v="1"/>
    <n v="0"/>
    <s v="Wallet"/>
    <x v="2"/>
    <x v="2"/>
    <n v="2"/>
    <n v="0"/>
    <n v="0"/>
    <s v="Repeat"/>
    <x v="3"/>
    <n v="49"/>
    <n v="0"/>
  </r>
  <r>
    <n v="350"/>
    <x v="108"/>
    <n v="1752"/>
    <x v="4"/>
    <x v="1"/>
    <x v="1"/>
    <n v="2"/>
    <n v="0"/>
    <s v="UPI"/>
    <x v="2"/>
    <x v="3"/>
    <n v="8"/>
    <n v="0"/>
    <n v="1"/>
    <s v="Repeat"/>
    <x v="2"/>
    <n v="44"/>
    <n v="0"/>
  </r>
  <r>
    <n v="351"/>
    <x v="96"/>
    <n v="1771"/>
    <x v="1"/>
    <x v="0"/>
    <x v="3"/>
    <n v="5"/>
    <n v="0"/>
    <s v="UPI"/>
    <x v="2"/>
    <x v="2"/>
    <n v="8"/>
    <n v="0"/>
    <n v="1"/>
    <s v="Repeat"/>
    <x v="4"/>
    <n v="45"/>
    <n v="0"/>
  </r>
  <r>
    <n v="352"/>
    <x v="155"/>
    <n v="1798"/>
    <x v="3"/>
    <x v="2"/>
    <x v="2"/>
    <n v="1"/>
    <n v="0"/>
    <s v="Card"/>
    <x v="2"/>
    <x v="1"/>
    <n v="10"/>
    <n v="0"/>
    <n v="0"/>
    <s v="Repeat"/>
    <x v="0"/>
    <n v="33"/>
    <n v="0"/>
  </r>
  <r>
    <n v="353"/>
    <x v="111"/>
    <n v="1445"/>
    <x v="2"/>
    <x v="3"/>
    <x v="0"/>
    <n v="3"/>
    <n v="5478"/>
    <s v="Wallet"/>
    <x v="0"/>
    <x v="1"/>
    <n v="7"/>
    <n v="1"/>
    <n v="1"/>
    <s v="New"/>
    <x v="4"/>
    <n v="48"/>
    <n v="1"/>
  </r>
  <r>
    <n v="354"/>
    <x v="15"/>
    <n v="1636"/>
    <x v="0"/>
    <x v="2"/>
    <x v="1"/>
    <n v="2"/>
    <n v="0"/>
    <s v="Card"/>
    <x v="1"/>
    <x v="2"/>
    <n v="4"/>
    <n v="0"/>
    <n v="1"/>
    <s v="Repeat"/>
    <x v="4"/>
    <n v="47"/>
    <n v="0"/>
  </r>
  <r>
    <n v="355"/>
    <x v="110"/>
    <n v="1609"/>
    <x v="0"/>
    <x v="0"/>
    <x v="0"/>
    <n v="5"/>
    <n v="0"/>
    <s v="Wallet"/>
    <x v="2"/>
    <x v="3"/>
    <n v="10"/>
    <n v="0"/>
    <n v="1"/>
    <s v="Repeat"/>
    <x v="3"/>
    <n v="52"/>
    <n v="0"/>
  </r>
  <r>
    <n v="356"/>
    <x v="148"/>
    <n v="1246"/>
    <x v="2"/>
    <x v="4"/>
    <x v="2"/>
    <n v="2"/>
    <n v="0"/>
    <s v="UPI"/>
    <x v="2"/>
    <x v="0"/>
    <n v="9"/>
    <n v="0"/>
    <n v="1"/>
    <s v="New"/>
    <x v="5"/>
    <n v="30"/>
    <n v="0"/>
  </r>
  <r>
    <n v="357"/>
    <x v="156"/>
    <n v="1924"/>
    <x v="4"/>
    <x v="0"/>
    <x v="3"/>
    <n v="1"/>
    <n v="1959"/>
    <s v="Card"/>
    <x v="0"/>
    <x v="2"/>
    <n v="6"/>
    <n v="1"/>
    <n v="1"/>
    <s v="Repeat"/>
    <x v="6"/>
    <n v="2"/>
    <n v="1"/>
  </r>
  <r>
    <n v="358"/>
    <x v="157"/>
    <n v="1154"/>
    <x v="1"/>
    <x v="2"/>
    <x v="2"/>
    <n v="1"/>
    <n v="0"/>
    <s v="Wallet"/>
    <x v="1"/>
    <x v="3"/>
    <n v="3"/>
    <n v="0"/>
    <n v="1"/>
    <s v="Repeat"/>
    <x v="2"/>
    <n v="41"/>
    <n v="0"/>
  </r>
  <r>
    <n v="359"/>
    <x v="36"/>
    <n v="1985"/>
    <x v="2"/>
    <x v="0"/>
    <x v="3"/>
    <n v="1"/>
    <n v="0"/>
    <s v="Wallet"/>
    <x v="1"/>
    <x v="1"/>
    <n v="10"/>
    <n v="0"/>
    <n v="1"/>
    <s v="Repeat"/>
    <x v="2"/>
    <n v="44"/>
    <n v="0"/>
  </r>
  <r>
    <n v="360"/>
    <x v="109"/>
    <n v="1802"/>
    <x v="3"/>
    <x v="4"/>
    <x v="2"/>
    <n v="1"/>
    <n v="0"/>
    <s v="UPI"/>
    <x v="2"/>
    <x v="2"/>
    <n v="10"/>
    <n v="0"/>
    <n v="1"/>
    <s v="Repeat"/>
    <x v="4"/>
    <n v="46"/>
    <n v="0"/>
  </r>
  <r>
    <n v="361"/>
    <x v="105"/>
    <n v="1210"/>
    <x v="3"/>
    <x v="4"/>
    <x v="3"/>
    <n v="4"/>
    <n v="0"/>
    <s v="UPI"/>
    <x v="2"/>
    <x v="3"/>
    <n v="2"/>
    <n v="1"/>
    <n v="0"/>
    <s v="Repeat"/>
    <x v="3"/>
    <n v="52"/>
    <n v="0"/>
  </r>
  <r>
    <n v="362"/>
    <x v="71"/>
    <n v="1888"/>
    <x v="3"/>
    <x v="2"/>
    <x v="1"/>
    <n v="1"/>
    <n v="1034"/>
    <s v="Wallet"/>
    <x v="0"/>
    <x v="1"/>
    <n v="10"/>
    <n v="0"/>
    <n v="1"/>
    <s v="New"/>
    <x v="3"/>
    <n v="49"/>
    <n v="1"/>
  </r>
  <r>
    <n v="363"/>
    <x v="9"/>
    <n v="1423"/>
    <x v="4"/>
    <x v="0"/>
    <x v="3"/>
    <n v="3"/>
    <n v="0"/>
    <s v="COD"/>
    <x v="2"/>
    <x v="2"/>
    <n v="6"/>
    <n v="1"/>
    <n v="0"/>
    <s v="New"/>
    <x v="5"/>
    <n v="30"/>
    <n v="0"/>
  </r>
  <r>
    <n v="364"/>
    <x v="99"/>
    <n v="1657"/>
    <x v="1"/>
    <x v="0"/>
    <x v="2"/>
    <n v="2"/>
    <n v="0"/>
    <s v="COD"/>
    <x v="2"/>
    <x v="3"/>
    <n v="9"/>
    <n v="1"/>
    <n v="0"/>
    <s v="Repeat"/>
    <x v="4"/>
    <n v="48"/>
    <n v="0"/>
  </r>
  <r>
    <n v="365"/>
    <x v="100"/>
    <n v="1138"/>
    <x v="3"/>
    <x v="3"/>
    <x v="0"/>
    <n v="5"/>
    <n v="0"/>
    <s v="UPI"/>
    <x v="1"/>
    <x v="0"/>
    <n v="4"/>
    <n v="0"/>
    <n v="1"/>
    <s v="Repeat"/>
    <x v="1"/>
    <n v="37"/>
    <n v="0"/>
  </r>
  <r>
    <n v="366"/>
    <x v="6"/>
    <n v="1813"/>
    <x v="4"/>
    <x v="0"/>
    <x v="1"/>
    <n v="4"/>
    <n v="0"/>
    <s v="Card"/>
    <x v="2"/>
    <x v="1"/>
    <n v="9"/>
    <n v="0"/>
    <n v="0"/>
    <s v="Repeat"/>
    <x v="4"/>
    <n v="47"/>
    <n v="0"/>
  </r>
  <r>
    <n v="367"/>
    <x v="106"/>
    <n v="1053"/>
    <x v="3"/>
    <x v="3"/>
    <x v="0"/>
    <n v="2"/>
    <n v="3500"/>
    <s v="COD"/>
    <x v="0"/>
    <x v="1"/>
    <n v="2"/>
    <n v="1"/>
    <n v="0"/>
    <s v="Repeat"/>
    <x v="5"/>
    <n v="30"/>
    <n v="1"/>
  </r>
  <r>
    <n v="368"/>
    <x v="0"/>
    <n v="1702"/>
    <x v="0"/>
    <x v="4"/>
    <x v="1"/>
    <n v="2"/>
    <n v="0"/>
    <s v="Card"/>
    <x v="2"/>
    <x v="0"/>
    <n v="9"/>
    <n v="0"/>
    <n v="0"/>
    <s v="New"/>
    <x v="0"/>
    <n v="32"/>
    <n v="0"/>
  </r>
  <r>
    <n v="369"/>
    <x v="155"/>
    <n v="1961"/>
    <x v="4"/>
    <x v="2"/>
    <x v="1"/>
    <n v="3"/>
    <n v="10812"/>
    <s v="Card"/>
    <x v="0"/>
    <x v="0"/>
    <n v="6"/>
    <n v="1"/>
    <n v="0"/>
    <s v="Repeat"/>
    <x v="0"/>
    <n v="33"/>
    <n v="1"/>
  </r>
  <r>
    <n v="370"/>
    <x v="114"/>
    <n v="1580"/>
    <x v="1"/>
    <x v="4"/>
    <x v="2"/>
    <n v="1"/>
    <n v="0"/>
    <s v="COD"/>
    <x v="1"/>
    <x v="1"/>
    <n v="10"/>
    <n v="0"/>
    <n v="1"/>
    <s v="New"/>
    <x v="3"/>
    <n v="50"/>
    <n v="0"/>
  </r>
  <r>
    <n v="371"/>
    <x v="115"/>
    <n v="1116"/>
    <x v="1"/>
    <x v="4"/>
    <x v="2"/>
    <n v="1"/>
    <n v="3201"/>
    <s v="UPI"/>
    <x v="0"/>
    <x v="2"/>
    <n v="4"/>
    <n v="0"/>
    <n v="0"/>
    <s v="Repeat"/>
    <x v="4"/>
    <n v="48"/>
    <n v="1"/>
  </r>
  <r>
    <n v="372"/>
    <x v="34"/>
    <n v="1449"/>
    <x v="3"/>
    <x v="3"/>
    <x v="1"/>
    <n v="2"/>
    <n v="0"/>
    <s v="COD"/>
    <x v="1"/>
    <x v="3"/>
    <n v="4"/>
    <n v="1"/>
    <n v="1"/>
    <s v="New"/>
    <x v="3"/>
    <n v="51"/>
    <n v="0"/>
  </r>
  <r>
    <n v="373"/>
    <x v="23"/>
    <n v="1082"/>
    <x v="4"/>
    <x v="0"/>
    <x v="0"/>
    <n v="5"/>
    <n v="1265"/>
    <s v="COD"/>
    <x v="0"/>
    <x v="1"/>
    <n v="10"/>
    <n v="0"/>
    <n v="1"/>
    <s v="Repeat"/>
    <x v="3"/>
    <n v="51"/>
    <n v="1"/>
  </r>
  <r>
    <n v="374"/>
    <x v="115"/>
    <n v="1809"/>
    <x v="3"/>
    <x v="3"/>
    <x v="1"/>
    <n v="1"/>
    <n v="0"/>
    <s v="Wallet"/>
    <x v="1"/>
    <x v="3"/>
    <n v="9"/>
    <n v="0"/>
    <n v="0"/>
    <s v="Repeat"/>
    <x v="4"/>
    <n v="48"/>
    <n v="0"/>
  </r>
  <r>
    <n v="375"/>
    <x v="158"/>
    <n v="1034"/>
    <x v="2"/>
    <x v="3"/>
    <x v="3"/>
    <n v="5"/>
    <n v="0"/>
    <s v="COD"/>
    <x v="2"/>
    <x v="1"/>
    <n v="8"/>
    <n v="1"/>
    <n v="0"/>
    <s v="Repeat"/>
    <x v="1"/>
    <n v="38"/>
    <n v="0"/>
  </r>
  <r>
    <n v="376"/>
    <x v="71"/>
    <n v="1761"/>
    <x v="3"/>
    <x v="3"/>
    <x v="0"/>
    <n v="3"/>
    <n v="5919"/>
    <s v="Wallet"/>
    <x v="0"/>
    <x v="1"/>
    <n v="4"/>
    <n v="1"/>
    <n v="0"/>
    <s v="Repeat"/>
    <x v="3"/>
    <n v="49"/>
    <n v="1"/>
  </r>
  <r>
    <n v="377"/>
    <x v="159"/>
    <n v="1809"/>
    <x v="3"/>
    <x v="1"/>
    <x v="3"/>
    <n v="2"/>
    <n v="9164"/>
    <s v="UPI"/>
    <x v="0"/>
    <x v="0"/>
    <n v="5"/>
    <n v="0"/>
    <n v="0"/>
    <s v="New"/>
    <x v="3"/>
    <n v="49"/>
    <n v="1"/>
  </r>
  <r>
    <n v="378"/>
    <x v="160"/>
    <n v="1880"/>
    <x v="2"/>
    <x v="3"/>
    <x v="3"/>
    <n v="5"/>
    <n v="9170"/>
    <s v="Wallet"/>
    <x v="0"/>
    <x v="1"/>
    <n v="10"/>
    <n v="0"/>
    <n v="1"/>
    <s v="Repeat"/>
    <x v="4"/>
    <n v="47"/>
    <n v="1"/>
  </r>
  <r>
    <n v="379"/>
    <x v="123"/>
    <n v="1673"/>
    <x v="2"/>
    <x v="1"/>
    <x v="0"/>
    <n v="1"/>
    <n v="2155"/>
    <s v="COD"/>
    <x v="0"/>
    <x v="2"/>
    <n v="6"/>
    <n v="0"/>
    <n v="1"/>
    <s v="Repeat"/>
    <x v="0"/>
    <n v="34"/>
    <n v="1"/>
  </r>
  <r>
    <n v="380"/>
    <x v="71"/>
    <n v="1345"/>
    <x v="0"/>
    <x v="3"/>
    <x v="2"/>
    <n v="1"/>
    <n v="0"/>
    <s v="Card"/>
    <x v="2"/>
    <x v="2"/>
    <n v="2"/>
    <n v="1"/>
    <n v="1"/>
    <s v="Repeat"/>
    <x v="3"/>
    <n v="49"/>
    <n v="0"/>
  </r>
  <r>
    <n v="381"/>
    <x v="118"/>
    <n v="1616"/>
    <x v="2"/>
    <x v="3"/>
    <x v="0"/>
    <n v="4"/>
    <n v="0"/>
    <s v="UPI"/>
    <x v="2"/>
    <x v="3"/>
    <n v="2"/>
    <n v="1"/>
    <n v="0"/>
    <s v="Repeat"/>
    <x v="0"/>
    <n v="35"/>
    <n v="0"/>
  </r>
  <r>
    <n v="382"/>
    <x v="155"/>
    <n v="1839"/>
    <x v="4"/>
    <x v="3"/>
    <x v="2"/>
    <n v="1"/>
    <n v="0"/>
    <s v="Wallet"/>
    <x v="2"/>
    <x v="1"/>
    <n v="9"/>
    <n v="0"/>
    <n v="0"/>
    <s v="Repeat"/>
    <x v="0"/>
    <n v="33"/>
    <n v="0"/>
  </r>
  <r>
    <n v="383"/>
    <x v="161"/>
    <n v="1143"/>
    <x v="4"/>
    <x v="4"/>
    <x v="1"/>
    <n v="3"/>
    <n v="0"/>
    <s v="UPI"/>
    <x v="2"/>
    <x v="1"/>
    <n v="9"/>
    <n v="0"/>
    <n v="1"/>
    <s v="Repeat"/>
    <x v="2"/>
    <n v="41"/>
    <n v="0"/>
  </r>
  <r>
    <n v="384"/>
    <x v="139"/>
    <n v="1150"/>
    <x v="0"/>
    <x v="0"/>
    <x v="1"/>
    <n v="4"/>
    <n v="2268"/>
    <s v="COD"/>
    <x v="0"/>
    <x v="1"/>
    <n v="5"/>
    <n v="0"/>
    <n v="1"/>
    <s v="New"/>
    <x v="4"/>
    <n v="45"/>
    <n v="1"/>
  </r>
  <r>
    <n v="385"/>
    <x v="85"/>
    <n v="1137"/>
    <x v="4"/>
    <x v="0"/>
    <x v="0"/>
    <n v="4"/>
    <n v="4096"/>
    <s v="Wallet"/>
    <x v="0"/>
    <x v="0"/>
    <n v="2"/>
    <n v="1"/>
    <n v="0"/>
    <s v="New"/>
    <x v="3"/>
    <n v="50"/>
    <n v="1"/>
  </r>
  <r>
    <n v="386"/>
    <x v="162"/>
    <n v="1484"/>
    <x v="4"/>
    <x v="3"/>
    <x v="3"/>
    <n v="1"/>
    <n v="0"/>
    <s v="UPI"/>
    <x v="1"/>
    <x v="0"/>
    <n v="9"/>
    <n v="0"/>
    <n v="0"/>
    <s v="New"/>
    <x v="2"/>
    <n v="43"/>
    <n v="0"/>
  </r>
  <r>
    <n v="387"/>
    <x v="39"/>
    <n v="1562"/>
    <x v="4"/>
    <x v="2"/>
    <x v="1"/>
    <n v="1"/>
    <n v="3163"/>
    <s v="Wallet"/>
    <x v="0"/>
    <x v="2"/>
    <n v="6"/>
    <n v="0"/>
    <n v="1"/>
    <s v="Repeat"/>
    <x v="0"/>
    <n v="34"/>
    <n v="1"/>
  </r>
  <r>
    <n v="388"/>
    <x v="13"/>
    <n v="1873"/>
    <x v="0"/>
    <x v="1"/>
    <x v="3"/>
    <n v="2"/>
    <n v="8454"/>
    <s v="UPI"/>
    <x v="0"/>
    <x v="0"/>
    <n v="2"/>
    <n v="1"/>
    <n v="0"/>
    <s v="Repeat"/>
    <x v="2"/>
    <n v="41"/>
    <n v="1"/>
  </r>
  <r>
    <n v="389"/>
    <x v="47"/>
    <n v="1993"/>
    <x v="3"/>
    <x v="1"/>
    <x v="0"/>
    <n v="1"/>
    <n v="0"/>
    <s v="Card"/>
    <x v="2"/>
    <x v="3"/>
    <n v="6"/>
    <n v="0"/>
    <n v="1"/>
    <s v="New"/>
    <x v="6"/>
    <n v="2"/>
    <n v="0"/>
  </r>
  <r>
    <n v="390"/>
    <x v="108"/>
    <n v="1451"/>
    <x v="1"/>
    <x v="4"/>
    <x v="2"/>
    <n v="1"/>
    <n v="0"/>
    <s v="UPI"/>
    <x v="2"/>
    <x v="1"/>
    <n v="6"/>
    <n v="0"/>
    <n v="1"/>
    <s v="Repeat"/>
    <x v="2"/>
    <n v="44"/>
    <n v="0"/>
  </r>
  <r>
    <n v="391"/>
    <x v="129"/>
    <n v="1488"/>
    <x v="0"/>
    <x v="4"/>
    <x v="1"/>
    <n v="4"/>
    <n v="11872"/>
    <s v="Wallet"/>
    <x v="0"/>
    <x v="1"/>
    <n v="2"/>
    <n v="1"/>
    <n v="1"/>
    <s v="Repeat"/>
    <x v="4"/>
    <n v="46"/>
    <n v="1"/>
  </r>
  <r>
    <n v="392"/>
    <x v="75"/>
    <n v="1632"/>
    <x v="2"/>
    <x v="1"/>
    <x v="3"/>
    <n v="1"/>
    <n v="0"/>
    <s v="UPI"/>
    <x v="2"/>
    <x v="2"/>
    <n v="9"/>
    <n v="0"/>
    <n v="0"/>
    <s v="Repeat"/>
    <x v="3"/>
    <n v="52"/>
    <n v="0"/>
  </r>
  <r>
    <n v="393"/>
    <x v="32"/>
    <n v="1887"/>
    <x v="1"/>
    <x v="2"/>
    <x v="1"/>
    <n v="4"/>
    <n v="5400"/>
    <s v="UPI"/>
    <x v="0"/>
    <x v="0"/>
    <n v="7"/>
    <n v="0"/>
    <n v="1"/>
    <s v="Repeat"/>
    <x v="1"/>
    <n v="38"/>
    <n v="1"/>
  </r>
  <r>
    <n v="394"/>
    <x v="155"/>
    <n v="1316"/>
    <x v="2"/>
    <x v="4"/>
    <x v="3"/>
    <n v="5"/>
    <n v="0"/>
    <s v="Wallet"/>
    <x v="2"/>
    <x v="3"/>
    <n v="9"/>
    <n v="1"/>
    <n v="1"/>
    <s v="New"/>
    <x v="0"/>
    <n v="33"/>
    <n v="0"/>
  </r>
  <r>
    <n v="395"/>
    <x v="36"/>
    <n v="1657"/>
    <x v="3"/>
    <x v="2"/>
    <x v="3"/>
    <n v="3"/>
    <n v="1944"/>
    <s v="COD"/>
    <x v="0"/>
    <x v="0"/>
    <n v="4"/>
    <n v="1"/>
    <n v="0"/>
    <s v="New"/>
    <x v="2"/>
    <n v="44"/>
    <n v="1"/>
  </r>
  <r>
    <n v="396"/>
    <x v="22"/>
    <n v="1006"/>
    <x v="3"/>
    <x v="3"/>
    <x v="2"/>
    <n v="4"/>
    <n v="0"/>
    <s v="UPI"/>
    <x v="2"/>
    <x v="0"/>
    <n v="5"/>
    <n v="0"/>
    <n v="1"/>
    <s v="New"/>
    <x v="6"/>
    <n v="2"/>
    <n v="0"/>
  </r>
  <r>
    <n v="397"/>
    <x v="131"/>
    <n v="1602"/>
    <x v="4"/>
    <x v="2"/>
    <x v="3"/>
    <n v="3"/>
    <n v="0"/>
    <s v="Card"/>
    <x v="2"/>
    <x v="2"/>
    <n v="3"/>
    <n v="1"/>
    <n v="1"/>
    <s v="New"/>
    <x v="4"/>
    <n v="47"/>
    <n v="0"/>
  </r>
  <r>
    <n v="398"/>
    <x v="140"/>
    <n v="1875"/>
    <x v="4"/>
    <x v="4"/>
    <x v="1"/>
    <n v="5"/>
    <n v="0"/>
    <s v="Wallet"/>
    <x v="1"/>
    <x v="2"/>
    <n v="9"/>
    <n v="0"/>
    <n v="0"/>
    <s v="New"/>
    <x v="4"/>
    <n v="48"/>
    <n v="0"/>
  </r>
  <r>
    <n v="399"/>
    <x v="33"/>
    <n v="1494"/>
    <x v="0"/>
    <x v="1"/>
    <x v="0"/>
    <n v="2"/>
    <n v="0"/>
    <s v="Card"/>
    <x v="1"/>
    <x v="3"/>
    <n v="10"/>
    <n v="1"/>
    <n v="1"/>
    <s v="Repeat"/>
    <x v="5"/>
    <n v="31"/>
    <n v="0"/>
  </r>
  <r>
    <n v="400"/>
    <x v="2"/>
    <n v="1462"/>
    <x v="2"/>
    <x v="0"/>
    <x v="3"/>
    <n v="2"/>
    <n v="0"/>
    <s v="Wallet"/>
    <x v="1"/>
    <x v="3"/>
    <n v="2"/>
    <n v="0"/>
    <n v="1"/>
    <s v="Repeat"/>
    <x v="2"/>
    <n v="41"/>
    <n v="0"/>
  </r>
  <r>
    <n v="401"/>
    <x v="24"/>
    <n v="1865"/>
    <x v="3"/>
    <x v="3"/>
    <x v="3"/>
    <n v="5"/>
    <n v="0"/>
    <s v="Card"/>
    <x v="1"/>
    <x v="0"/>
    <n v="8"/>
    <n v="0"/>
    <n v="1"/>
    <s v="New"/>
    <x v="5"/>
    <n v="30"/>
    <n v="0"/>
  </r>
  <r>
    <n v="402"/>
    <x v="78"/>
    <n v="1149"/>
    <x v="0"/>
    <x v="3"/>
    <x v="2"/>
    <n v="3"/>
    <n v="0"/>
    <s v="UPI"/>
    <x v="2"/>
    <x v="0"/>
    <n v="2"/>
    <n v="1"/>
    <n v="1"/>
    <s v="New"/>
    <x v="3"/>
    <n v="52"/>
    <n v="0"/>
  </r>
  <r>
    <n v="403"/>
    <x v="14"/>
    <n v="1626"/>
    <x v="4"/>
    <x v="3"/>
    <x v="3"/>
    <n v="5"/>
    <n v="0"/>
    <s v="Wallet"/>
    <x v="2"/>
    <x v="0"/>
    <n v="6"/>
    <n v="1"/>
    <n v="0"/>
    <s v="New"/>
    <x v="0"/>
    <n v="34"/>
    <n v="0"/>
  </r>
  <r>
    <n v="404"/>
    <x v="84"/>
    <n v="1512"/>
    <x v="2"/>
    <x v="2"/>
    <x v="1"/>
    <n v="2"/>
    <n v="0"/>
    <s v="COD"/>
    <x v="1"/>
    <x v="0"/>
    <n v="3"/>
    <n v="1"/>
    <n v="1"/>
    <s v="New"/>
    <x v="2"/>
    <n v="41"/>
    <n v="0"/>
  </r>
  <r>
    <n v="405"/>
    <x v="24"/>
    <n v="1569"/>
    <x v="0"/>
    <x v="2"/>
    <x v="0"/>
    <n v="5"/>
    <n v="21600"/>
    <s v="Wallet"/>
    <x v="0"/>
    <x v="1"/>
    <n v="5"/>
    <n v="0"/>
    <n v="0"/>
    <s v="New"/>
    <x v="5"/>
    <n v="30"/>
    <n v="1"/>
  </r>
  <r>
    <n v="406"/>
    <x v="51"/>
    <n v="1443"/>
    <x v="1"/>
    <x v="1"/>
    <x v="0"/>
    <n v="3"/>
    <n v="0"/>
    <s v="UPI"/>
    <x v="2"/>
    <x v="0"/>
    <n v="1"/>
    <n v="0"/>
    <n v="1"/>
    <s v="New"/>
    <x v="5"/>
    <n v="29"/>
    <n v="0"/>
  </r>
  <r>
    <n v="407"/>
    <x v="96"/>
    <n v="1501"/>
    <x v="2"/>
    <x v="3"/>
    <x v="3"/>
    <n v="2"/>
    <n v="0"/>
    <s v="Wallet"/>
    <x v="2"/>
    <x v="3"/>
    <n v="1"/>
    <n v="1"/>
    <n v="0"/>
    <s v="New"/>
    <x v="4"/>
    <n v="45"/>
    <n v="0"/>
  </r>
  <r>
    <n v="408"/>
    <x v="68"/>
    <n v="1474"/>
    <x v="2"/>
    <x v="2"/>
    <x v="0"/>
    <n v="5"/>
    <n v="0"/>
    <s v="UPI"/>
    <x v="2"/>
    <x v="1"/>
    <n v="4"/>
    <n v="1"/>
    <n v="1"/>
    <s v="New"/>
    <x v="0"/>
    <n v="32"/>
    <n v="0"/>
  </r>
  <r>
    <n v="409"/>
    <x v="74"/>
    <n v="1040"/>
    <x v="0"/>
    <x v="3"/>
    <x v="2"/>
    <n v="2"/>
    <n v="3812"/>
    <s v="UPI"/>
    <x v="0"/>
    <x v="2"/>
    <n v="5"/>
    <n v="0"/>
    <n v="0"/>
    <s v="Repeat"/>
    <x v="5"/>
    <n v="29"/>
    <n v="1"/>
  </r>
  <r>
    <n v="410"/>
    <x v="139"/>
    <n v="1022"/>
    <x v="0"/>
    <x v="4"/>
    <x v="0"/>
    <n v="4"/>
    <n v="15528"/>
    <s v="COD"/>
    <x v="0"/>
    <x v="3"/>
    <n v="1"/>
    <n v="0"/>
    <n v="1"/>
    <s v="New"/>
    <x v="4"/>
    <n v="45"/>
    <n v="1"/>
  </r>
  <r>
    <n v="411"/>
    <x v="93"/>
    <n v="1045"/>
    <x v="4"/>
    <x v="2"/>
    <x v="3"/>
    <n v="2"/>
    <n v="7194"/>
    <s v="Wallet"/>
    <x v="0"/>
    <x v="1"/>
    <n v="10"/>
    <n v="0"/>
    <n v="1"/>
    <s v="New"/>
    <x v="3"/>
    <n v="53"/>
    <n v="1"/>
  </r>
  <r>
    <n v="412"/>
    <x v="90"/>
    <n v="1974"/>
    <x v="0"/>
    <x v="1"/>
    <x v="2"/>
    <n v="2"/>
    <n v="0"/>
    <s v="Wallet"/>
    <x v="2"/>
    <x v="3"/>
    <n v="10"/>
    <n v="1"/>
    <n v="0"/>
    <s v="Repeat"/>
    <x v="0"/>
    <n v="31"/>
    <n v="0"/>
  </r>
  <r>
    <n v="413"/>
    <x v="93"/>
    <n v="1051"/>
    <x v="1"/>
    <x v="1"/>
    <x v="1"/>
    <n v="4"/>
    <n v="0"/>
    <s v="Card"/>
    <x v="1"/>
    <x v="0"/>
    <n v="7"/>
    <n v="0"/>
    <n v="0"/>
    <s v="Repeat"/>
    <x v="3"/>
    <n v="53"/>
    <n v="0"/>
  </r>
  <r>
    <n v="414"/>
    <x v="25"/>
    <n v="1992"/>
    <x v="1"/>
    <x v="2"/>
    <x v="2"/>
    <n v="4"/>
    <n v="14876"/>
    <s v="COD"/>
    <x v="0"/>
    <x v="2"/>
    <n v="5"/>
    <n v="0"/>
    <n v="0"/>
    <s v="Repeat"/>
    <x v="4"/>
    <n v="49"/>
    <n v="1"/>
  </r>
  <r>
    <n v="415"/>
    <x v="50"/>
    <n v="1352"/>
    <x v="2"/>
    <x v="1"/>
    <x v="2"/>
    <n v="1"/>
    <n v="0"/>
    <s v="Card"/>
    <x v="2"/>
    <x v="2"/>
    <n v="9"/>
    <n v="0"/>
    <n v="0"/>
    <s v="Repeat"/>
    <x v="3"/>
    <n v="53"/>
    <n v="0"/>
  </r>
  <r>
    <n v="416"/>
    <x v="148"/>
    <n v="1700"/>
    <x v="4"/>
    <x v="3"/>
    <x v="2"/>
    <n v="4"/>
    <n v="7400"/>
    <s v="Card"/>
    <x v="0"/>
    <x v="1"/>
    <n v="1"/>
    <n v="0"/>
    <n v="0"/>
    <s v="New"/>
    <x v="5"/>
    <n v="30"/>
    <n v="1"/>
  </r>
  <r>
    <n v="417"/>
    <x v="94"/>
    <n v="1643"/>
    <x v="3"/>
    <x v="3"/>
    <x v="3"/>
    <n v="5"/>
    <n v="0"/>
    <s v="Card"/>
    <x v="2"/>
    <x v="3"/>
    <n v="5"/>
    <n v="1"/>
    <n v="0"/>
    <s v="New"/>
    <x v="1"/>
    <n v="40"/>
    <n v="0"/>
  </r>
  <r>
    <n v="418"/>
    <x v="105"/>
    <n v="1685"/>
    <x v="0"/>
    <x v="2"/>
    <x v="3"/>
    <n v="2"/>
    <n v="0"/>
    <s v="UPI"/>
    <x v="1"/>
    <x v="3"/>
    <n v="2"/>
    <n v="0"/>
    <n v="0"/>
    <s v="Repeat"/>
    <x v="3"/>
    <n v="52"/>
    <n v="0"/>
  </r>
  <r>
    <n v="419"/>
    <x v="88"/>
    <n v="1906"/>
    <x v="3"/>
    <x v="1"/>
    <x v="1"/>
    <n v="5"/>
    <n v="0"/>
    <s v="Card"/>
    <x v="1"/>
    <x v="3"/>
    <n v="5"/>
    <n v="1"/>
    <n v="1"/>
    <s v="Repeat"/>
    <x v="1"/>
    <n v="37"/>
    <n v="0"/>
  </r>
  <r>
    <n v="420"/>
    <x v="118"/>
    <n v="1496"/>
    <x v="0"/>
    <x v="0"/>
    <x v="2"/>
    <n v="3"/>
    <n v="0"/>
    <s v="Wallet"/>
    <x v="2"/>
    <x v="2"/>
    <n v="2"/>
    <n v="1"/>
    <n v="0"/>
    <s v="Repeat"/>
    <x v="0"/>
    <n v="35"/>
    <n v="0"/>
  </r>
  <r>
    <n v="421"/>
    <x v="163"/>
    <n v="1849"/>
    <x v="3"/>
    <x v="2"/>
    <x v="2"/>
    <n v="2"/>
    <n v="0"/>
    <s v="Card"/>
    <x v="2"/>
    <x v="3"/>
    <n v="5"/>
    <n v="0"/>
    <n v="1"/>
    <s v="New"/>
    <x v="4"/>
    <n v="45"/>
    <n v="0"/>
  </r>
  <r>
    <n v="422"/>
    <x v="151"/>
    <n v="1099"/>
    <x v="0"/>
    <x v="0"/>
    <x v="3"/>
    <n v="1"/>
    <n v="0"/>
    <s v="UPI"/>
    <x v="1"/>
    <x v="2"/>
    <n v="4"/>
    <n v="0"/>
    <n v="1"/>
    <s v="New"/>
    <x v="3"/>
    <n v="52"/>
    <n v="0"/>
  </r>
  <r>
    <n v="423"/>
    <x v="135"/>
    <n v="1533"/>
    <x v="2"/>
    <x v="1"/>
    <x v="1"/>
    <n v="5"/>
    <n v="3690"/>
    <s v="Wallet"/>
    <x v="0"/>
    <x v="0"/>
    <n v="5"/>
    <n v="1"/>
    <n v="0"/>
    <s v="New"/>
    <x v="2"/>
    <n v="43"/>
    <n v="1"/>
  </r>
  <r>
    <n v="424"/>
    <x v="155"/>
    <n v="1294"/>
    <x v="4"/>
    <x v="2"/>
    <x v="1"/>
    <n v="1"/>
    <n v="0"/>
    <s v="Wallet"/>
    <x v="2"/>
    <x v="2"/>
    <n v="7"/>
    <n v="1"/>
    <n v="0"/>
    <s v="New"/>
    <x v="0"/>
    <n v="33"/>
    <n v="0"/>
  </r>
  <r>
    <n v="425"/>
    <x v="155"/>
    <n v="1222"/>
    <x v="1"/>
    <x v="1"/>
    <x v="3"/>
    <n v="1"/>
    <n v="2870"/>
    <s v="COD"/>
    <x v="0"/>
    <x v="2"/>
    <n v="2"/>
    <n v="1"/>
    <n v="1"/>
    <s v="New"/>
    <x v="0"/>
    <n v="33"/>
    <n v="1"/>
  </r>
  <r>
    <n v="426"/>
    <x v="154"/>
    <n v="1934"/>
    <x v="3"/>
    <x v="3"/>
    <x v="3"/>
    <n v="1"/>
    <n v="4916"/>
    <s v="Card"/>
    <x v="0"/>
    <x v="3"/>
    <n v="7"/>
    <n v="0"/>
    <n v="0"/>
    <s v="Repeat"/>
    <x v="2"/>
    <n v="42"/>
    <n v="1"/>
  </r>
  <r>
    <n v="427"/>
    <x v="0"/>
    <n v="1716"/>
    <x v="3"/>
    <x v="0"/>
    <x v="0"/>
    <n v="5"/>
    <n v="0"/>
    <s v="Card"/>
    <x v="2"/>
    <x v="0"/>
    <n v="4"/>
    <n v="1"/>
    <n v="0"/>
    <s v="Repeat"/>
    <x v="0"/>
    <n v="32"/>
    <n v="0"/>
  </r>
  <r>
    <n v="428"/>
    <x v="5"/>
    <n v="1694"/>
    <x v="0"/>
    <x v="0"/>
    <x v="2"/>
    <n v="5"/>
    <n v="0"/>
    <s v="UPI"/>
    <x v="1"/>
    <x v="3"/>
    <n v="1"/>
    <n v="0"/>
    <n v="0"/>
    <s v="New"/>
    <x v="0"/>
    <n v="33"/>
    <n v="0"/>
  </r>
  <r>
    <n v="429"/>
    <x v="12"/>
    <n v="1198"/>
    <x v="0"/>
    <x v="3"/>
    <x v="3"/>
    <n v="1"/>
    <n v="4091"/>
    <s v="Card"/>
    <x v="0"/>
    <x v="3"/>
    <n v="3"/>
    <n v="0"/>
    <n v="0"/>
    <s v="New"/>
    <x v="1"/>
    <n v="38"/>
    <n v="1"/>
  </r>
  <r>
    <n v="430"/>
    <x v="11"/>
    <n v="1115"/>
    <x v="2"/>
    <x v="0"/>
    <x v="3"/>
    <n v="4"/>
    <n v="0"/>
    <s v="UPI"/>
    <x v="2"/>
    <x v="3"/>
    <n v="7"/>
    <n v="1"/>
    <n v="0"/>
    <s v="New"/>
    <x v="0"/>
    <n v="35"/>
    <n v="0"/>
  </r>
  <r>
    <n v="431"/>
    <x v="42"/>
    <n v="1305"/>
    <x v="3"/>
    <x v="1"/>
    <x v="0"/>
    <n v="3"/>
    <n v="0"/>
    <s v="COD"/>
    <x v="2"/>
    <x v="3"/>
    <n v="6"/>
    <n v="0"/>
    <n v="0"/>
    <s v="New"/>
    <x v="2"/>
    <n v="44"/>
    <n v="0"/>
  </r>
  <r>
    <n v="432"/>
    <x v="65"/>
    <n v="1709"/>
    <x v="2"/>
    <x v="4"/>
    <x v="2"/>
    <n v="1"/>
    <n v="0"/>
    <s v="COD"/>
    <x v="2"/>
    <x v="1"/>
    <n v="10"/>
    <n v="1"/>
    <n v="0"/>
    <s v="New"/>
    <x v="1"/>
    <n v="38"/>
    <n v="0"/>
  </r>
  <r>
    <n v="433"/>
    <x v="67"/>
    <n v="1834"/>
    <x v="0"/>
    <x v="3"/>
    <x v="3"/>
    <n v="5"/>
    <n v="22110"/>
    <s v="UPI"/>
    <x v="0"/>
    <x v="1"/>
    <n v="1"/>
    <n v="0"/>
    <n v="1"/>
    <s v="New"/>
    <x v="1"/>
    <n v="36"/>
    <n v="1"/>
  </r>
  <r>
    <n v="434"/>
    <x v="17"/>
    <n v="1154"/>
    <x v="3"/>
    <x v="3"/>
    <x v="3"/>
    <n v="5"/>
    <n v="0"/>
    <s v="COD"/>
    <x v="2"/>
    <x v="2"/>
    <n v="6"/>
    <n v="1"/>
    <n v="1"/>
    <s v="New"/>
    <x v="1"/>
    <n v="38"/>
    <n v="0"/>
  </r>
  <r>
    <n v="435"/>
    <x v="91"/>
    <n v="1283"/>
    <x v="1"/>
    <x v="3"/>
    <x v="2"/>
    <n v="4"/>
    <n v="2204"/>
    <s v="COD"/>
    <x v="0"/>
    <x v="0"/>
    <n v="6"/>
    <n v="0"/>
    <n v="0"/>
    <s v="Repeat"/>
    <x v="3"/>
    <n v="52"/>
    <n v="1"/>
  </r>
  <r>
    <n v="436"/>
    <x v="102"/>
    <n v="1307"/>
    <x v="1"/>
    <x v="3"/>
    <x v="3"/>
    <n v="5"/>
    <n v="4000"/>
    <s v="Card"/>
    <x v="0"/>
    <x v="1"/>
    <n v="1"/>
    <n v="0"/>
    <n v="0"/>
    <s v="Repeat"/>
    <x v="3"/>
    <n v="50"/>
    <n v="1"/>
  </r>
  <r>
    <n v="437"/>
    <x v="164"/>
    <n v="1339"/>
    <x v="4"/>
    <x v="0"/>
    <x v="0"/>
    <n v="5"/>
    <n v="0"/>
    <s v="UPI"/>
    <x v="1"/>
    <x v="0"/>
    <n v="3"/>
    <n v="1"/>
    <n v="0"/>
    <s v="Repeat"/>
    <x v="0"/>
    <n v="34"/>
    <n v="0"/>
  </r>
  <r>
    <n v="438"/>
    <x v="149"/>
    <n v="1353"/>
    <x v="3"/>
    <x v="4"/>
    <x v="2"/>
    <n v="5"/>
    <n v="0"/>
    <s v="Wallet"/>
    <x v="1"/>
    <x v="0"/>
    <n v="4"/>
    <n v="1"/>
    <n v="0"/>
    <s v="New"/>
    <x v="3"/>
    <n v="49"/>
    <n v="0"/>
  </r>
  <r>
    <n v="439"/>
    <x v="165"/>
    <n v="1200"/>
    <x v="1"/>
    <x v="3"/>
    <x v="0"/>
    <n v="4"/>
    <n v="10328"/>
    <s v="UPI"/>
    <x v="0"/>
    <x v="2"/>
    <n v="10"/>
    <n v="0"/>
    <n v="1"/>
    <s v="New"/>
    <x v="2"/>
    <n v="41"/>
    <n v="1"/>
  </r>
  <r>
    <n v="440"/>
    <x v="163"/>
    <n v="1805"/>
    <x v="2"/>
    <x v="0"/>
    <x v="0"/>
    <n v="1"/>
    <n v="0"/>
    <s v="Wallet"/>
    <x v="2"/>
    <x v="0"/>
    <n v="10"/>
    <n v="0"/>
    <n v="1"/>
    <s v="New"/>
    <x v="4"/>
    <n v="45"/>
    <n v="0"/>
  </r>
  <r>
    <n v="441"/>
    <x v="148"/>
    <n v="1810"/>
    <x v="3"/>
    <x v="1"/>
    <x v="0"/>
    <n v="5"/>
    <n v="0"/>
    <s v="Card"/>
    <x v="2"/>
    <x v="0"/>
    <n v="2"/>
    <n v="0"/>
    <n v="1"/>
    <s v="Repeat"/>
    <x v="5"/>
    <n v="30"/>
    <n v="0"/>
  </r>
  <r>
    <n v="442"/>
    <x v="51"/>
    <n v="1782"/>
    <x v="4"/>
    <x v="3"/>
    <x v="0"/>
    <n v="5"/>
    <n v="0"/>
    <s v="Wallet"/>
    <x v="1"/>
    <x v="0"/>
    <n v="5"/>
    <n v="0"/>
    <n v="1"/>
    <s v="Repeat"/>
    <x v="5"/>
    <n v="29"/>
    <n v="0"/>
  </r>
  <r>
    <n v="443"/>
    <x v="0"/>
    <n v="1150"/>
    <x v="4"/>
    <x v="0"/>
    <x v="1"/>
    <n v="2"/>
    <n v="9136"/>
    <s v="UPI"/>
    <x v="0"/>
    <x v="0"/>
    <n v="2"/>
    <n v="0"/>
    <n v="0"/>
    <s v="New"/>
    <x v="0"/>
    <n v="32"/>
    <n v="1"/>
  </r>
  <r>
    <n v="444"/>
    <x v="86"/>
    <n v="1201"/>
    <x v="3"/>
    <x v="2"/>
    <x v="1"/>
    <n v="5"/>
    <n v="0"/>
    <s v="Wallet"/>
    <x v="2"/>
    <x v="1"/>
    <n v="9"/>
    <n v="0"/>
    <n v="0"/>
    <s v="Repeat"/>
    <x v="6"/>
    <n v="1"/>
    <n v="0"/>
  </r>
  <r>
    <n v="445"/>
    <x v="47"/>
    <n v="1132"/>
    <x v="0"/>
    <x v="1"/>
    <x v="0"/>
    <n v="3"/>
    <n v="0"/>
    <s v="COD"/>
    <x v="1"/>
    <x v="0"/>
    <n v="9"/>
    <n v="0"/>
    <n v="0"/>
    <s v="New"/>
    <x v="6"/>
    <n v="2"/>
    <n v="0"/>
  </r>
  <r>
    <n v="446"/>
    <x v="166"/>
    <n v="1823"/>
    <x v="2"/>
    <x v="2"/>
    <x v="0"/>
    <n v="2"/>
    <n v="0"/>
    <s v="Card"/>
    <x v="1"/>
    <x v="0"/>
    <n v="4"/>
    <n v="1"/>
    <n v="0"/>
    <s v="Repeat"/>
    <x v="1"/>
    <n v="39"/>
    <n v="0"/>
  </r>
  <r>
    <n v="447"/>
    <x v="78"/>
    <n v="1495"/>
    <x v="4"/>
    <x v="3"/>
    <x v="1"/>
    <n v="4"/>
    <n v="0"/>
    <s v="Card"/>
    <x v="2"/>
    <x v="0"/>
    <n v="3"/>
    <n v="0"/>
    <n v="0"/>
    <s v="New"/>
    <x v="3"/>
    <n v="52"/>
    <n v="0"/>
  </r>
  <r>
    <n v="448"/>
    <x v="89"/>
    <n v="1496"/>
    <x v="2"/>
    <x v="1"/>
    <x v="2"/>
    <n v="1"/>
    <n v="2851"/>
    <s v="Wallet"/>
    <x v="0"/>
    <x v="1"/>
    <n v="5"/>
    <n v="0"/>
    <n v="0"/>
    <s v="New"/>
    <x v="0"/>
    <n v="35"/>
    <n v="1"/>
  </r>
  <r>
    <n v="449"/>
    <x v="147"/>
    <n v="1908"/>
    <x v="2"/>
    <x v="4"/>
    <x v="3"/>
    <n v="4"/>
    <n v="0"/>
    <s v="Card"/>
    <x v="1"/>
    <x v="2"/>
    <n v="2"/>
    <n v="1"/>
    <n v="0"/>
    <s v="Repeat"/>
    <x v="4"/>
    <n v="47"/>
    <n v="0"/>
  </r>
  <r>
    <n v="450"/>
    <x v="80"/>
    <n v="1533"/>
    <x v="2"/>
    <x v="4"/>
    <x v="3"/>
    <n v="1"/>
    <n v="0"/>
    <s v="Wallet"/>
    <x v="1"/>
    <x v="2"/>
    <n v="3"/>
    <n v="0"/>
    <n v="0"/>
    <s v="New"/>
    <x v="6"/>
    <n v="2"/>
    <n v="0"/>
  </r>
  <r>
    <n v="451"/>
    <x v="167"/>
    <n v="1243"/>
    <x v="0"/>
    <x v="4"/>
    <x v="1"/>
    <n v="4"/>
    <n v="0"/>
    <s v="UPI"/>
    <x v="2"/>
    <x v="0"/>
    <n v="6"/>
    <n v="0"/>
    <n v="1"/>
    <s v="New"/>
    <x v="0"/>
    <n v="35"/>
    <n v="0"/>
  </r>
  <r>
    <n v="452"/>
    <x v="153"/>
    <n v="1317"/>
    <x v="2"/>
    <x v="4"/>
    <x v="3"/>
    <n v="5"/>
    <n v="0"/>
    <s v="UPI"/>
    <x v="2"/>
    <x v="1"/>
    <n v="8"/>
    <n v="1"/>
    <n v="0"/>
    <s v="New"/>
    <x v="0"/>
    <n v="31"/>
    <n v="0"/>
  </r>
  <r>
    <n v="453"/>
    <x v="155"/>
    <n v="1736"/>
    <x v="0"/>
    <x v="2"/>
    <x v="1"/>
    <n v="1"/>
    <n v="0"/>
    <s v="Card"/>
    <x v="2"/>
    <x v="1"/>
    <n v="7"/>
    <n v="1"/>
    <n v="1"/>
    <s v="New"/>
    <x v="0"/>
    <n v="33"/>
    <n v="0"/>
  </r>
  <r>
    <n v="454"/>
    <x v="74"/>
    <n v="1147"/>
    <x v="2"/>
    <x v="1"/>
    <x v="3"/>
    <n v="1"/>
    <n v="0"/>
    <s v="Card"/>
    <x v="2"/>
    <x v="3"/>
    <n v="9"/>
    <n v="1"/>
    <n v="1"/>
    <s v="Repeat"/>
    <x v="5"/>
    <n v="29"/>
    <n v="0"/>
  </r>
  <r>
    <n v="455"/>
    <x v="99"/>
    <n v="1696"/>
    <x v="0"/>
    <x v="0"/>
    <x v="1"/>
    <n v="5"/>
    <n v="0"/>
    <s v="UPI"/>
    <x v="2"/>
    <x v="0"/>
    <n v="5"/>
    <n v="1"/>
    <n v="0"/>
    <s v="Repeat"/>
    <x v="4"/>
    <n v="48"/>
    <n v="0"/>
  </r>
  <r>
    <n v="456"/>
    <x v="93"/>
    <n v="1011"/>
    <x v="2"/>
    <x v="1"/>
    <x v="1"/>
    <n v="5"/>
    <n v="0"/>
    <s v="UPI"/>
    <x v="2"/>
    <x v="2"/>
    <n v="4"/>
    <n v="0"/>
    <n v="1"/>
    <s v="Repeat"/>
    <x v="3"/>
    <n v="53"/>
    <n v="0"/>
  </r>
  <r>
    <n v="457"/>
    <x v="168"/>
    <n v="1172"/>
    <x v="2"/>
    <x v="2"/>
    <x v="3"/>
    <n v="5"/>
    <n v="2340"/>
    <s v="Wallet"/>
    <x v="0"/>
    <x v="2"/>
    <n v="10"/>
    <n v="1"/>
    <n v="1"/>
    <s v="New"/>
    <x v="6"/>
    <n v="1"/>
    <n v="1"/>
  </r>
  <r>
    <n v="458"/>
    <x v="29"/>
    <n v="1304"/>
    <x v="0"/>
    <x v="0"/>
    <x v="2"/>
    <n v="5"/>
    <n v="0"/>
    <s v="Wallet"/>
    <x v="2"/>
    <x v="3"/>
    <n v="7"/>
    <n v="1"/>
    <n v="1"/>
    <s v="New"/>
    <x v="1"/>
    <n v="39"/>
    <n v="0"/>
  </r>
  <r>
    <n v="459"/>
    <x v="96"/>
    <n v="1678"/>
    <x v="2"/>
    <x v="4"/>
    <x v="2"/>
    <n v="1"/>
    <n v="350"/>
    <s v="Wallet"/>
    <x v="0"/>
    <x v="0"/>
    <n v="6"/>
    <n v="0"/>
    <n v="0"/>
    <s v="New"/>
    <x v="4"/>
    <n v="45"/>
    <n v="1"/>
  </r>
  <r>
    <n v="460"/>
    <x v="88"/>
    <n v="1206"/>
    <x v="0"/>
    <x v="4"/>
    <x v="1"/>
    <n v="4"/>
    <n v="3068"/>
    <s v="UPI"/>
    <x v="0"/>
    <x v="3"/>
    <n v="6"/>
    <n v="1"/>
    <n v="0"/>
    <s v="Repeat"/>
    <x v="1"/>
    <n v="37"/>
    <n v="1"/>
  </r>
  <r>
    <n v="461"/>
    <x v="150"/>
    <n v="1892"/>
    <x v="0"/>
    <x v="1"/>
    <x v="2"/>
    <n v="2"/>
    <n v="0"/>
    <s v="Card"/>
    <x v="2"/>
    <x v="3"/>
    <n v="4"/>
    <n v="0"/>
    <n v="0"/>
    <s v="New"/>
    <x v="0"/>
    <n v="35"/>
    <n v="0"/>
  </r>
  <r>
    <n v="462"/>
    <x v="38"/>
    <n v="1302"/>
    <x v="2"/>
    <x v="2"/>
    <x v="0"/>
    <n v="3"/>
    <n v="0"/>
    <s v="COD"/>
    <x v="1"/>
    <x v="2"/>
    <n v="7"/>
    <n v="0"/>
    <n v="1"/>
    <s v="Repeat"/>
    <x v="1"/>
    <n v="39"/>
    <n v="0"/>
  </r>
  <r>
    <n v="463"/>
    <x v="142"/>
    <n v="1674"/>
    <x v="3"/>
    <x v="1"/>
    <x v="0"/>
    <n v="2"/>
    <n v="0"/>
    <s v="UPI"/>
    <x v="1"/>
    <x v="0"/>
    <n v="4"/>
    <n v="1"/>
    <n v="1"/>
    <s v="Repeat"/>
    <x v="2"/>
    <n v="42"/>
    <n v="0"/>
  </r>
  <r>
    <n v="464"/>
    <x v="91"/>
    <n v="1571"/>
    <x v="4"/>
    <x v="1"/>
    <x v="3"/>
    <n v="4"/>
    <n v="17936"/>
    <s v="UPI"/>
    <x v="0"/>
    <x v="2"/>
    <n v="8"/>
    <n v="0"/>
    <n v="1"/>
    <s v="Repeat"/>
    <x v="3"/>
    <n v="52"/>
    <n v="1"/>
  </r>
  <r>
    <n v="465"/>
    <x v="1"/>
    <n v="1340"/>
    <x v="2"/>
    <x v="0"/>
    <x v="1"/>
    <n v="2"/>
    <n v="0"/>
    <s v="Wallet"/>
    <x v="1"/>
    <x v="2"/>
    <n v="7"/>
    <n v="1"/>
    <n v="0"/>
    <s v="Repeat"/>
    <x v="1"/>
    <n v="39"/>
    <n v="0"/>
  </r>
  <r>
    <n v="466"/>
    <x v="133"/>
    <n v="1157"/>
    <x v="2"/>
    <x v="3"/>
    <x v="0"/>
    <n v="5"/>
    <n v="0"/>
    <s v="Wallet"/>
    <x v="1"/>
    <x v="2"/>
    <n v="4"/>
    <n v="1"/>
    <n v="1"/>
    <s v="Repeat"/>
    <x v="0"/>
    <n v="35"/>
    <n v="0"/>
  </r>
  <r>
    <n v="467"/>
    <x v="154"/>
    <n v="1595"/>
    <x v="3"/>
    <x v="2"/>
    <x v="3"/>
    <n v="3"/>
    <n v="0"/>
    <s v="Wallet"/>
    <x v="2"/>
    <x v="0"/>
    <n v="8"/>
    <n v="1"/>
    <n v="1"/>
    <s v="New"/>
    <x v="2"/>
    <n v="42"/>
    <n v="0"/>
  </r>
  <r>
    <n v="468"/>
    <x v="150"/>
    <n v="1325"/>
    <x v="4"/>
    <x v="4"/>
    <x v="2"/>
    <n v="5"/>
    <n v="0"/>
    <s v="Card"/>
    <x v="1"/>
    <x v="0"/>
    <n v="2"/>
    <n v="1"/>
    <n v="0"/>
    <s v="New"/>
    <x v="0"/>
    <n v="35"/>
    <n v="0"/>
  </r>
  <r>
    <n v="469"/>
    <x v="15"/>
    <n v="1013"/>
    <x v="1"/>
    <x v="1"/>
    <x v="1"/>
    <n v="2"/>
    <n v="8882"/>
    <s v="COD"/>
    <x v="0"/>
    <x v="2"/>
    <n v="8"/>
    <n v="0"/>
    <n v="0"/>
    <s v="New"/>
    <x v="4"/>
    <n v="47"/>
    <n v="1"/>
  </r>
  <r>
    <n v="470"/>
    <x v="14"/>
    <n v="1049"/>
    <x v="2"/>
    <x v="3"/>
    <x v="2"/>
    <n v="4"/>
    <n v="0"/>
    <s v="COD"/>
    <x v="2"/>
    <x v="1"/>
    <n v="8"/>
    <n v="1"/>
    <n v="1"/>
    <s v="Repeat"/>
    <x v="0"/>
    <n v="34"/>
    <n v="0"/>
  </r>
  <r>
    <n v="471"/>
    <x v="15"/>
    <n v="1188"/>
    <x v="1"/>
    <x v="4"/>
    <x v="2"/>
    <n v="1"/>
    <n v="2028"/>
    <s v="UPI"/>
    <x v="0"/>
    <x v="1"/>
    <n v="1"/>
    <n v="0"/>
    <n v="0"/>
    <s v="New"/>
    <x v="4"/>
    <n v="47"/>
    <n v="1"/>
  </r>
  <r>
    <n v="472"/>
    <x v="6"/>
    <n v="1512"/>
    <x v="0"/>
    <x v="2"/>
    <x v="1"/>
    <n v="1"/>
    <n v="0"/>
    <s v="UPI"/>
    <x v="2"/>
    <x v="0"/>
    <n v="7"/>
    <n v="1"/>
    <n v="0"/>
    <s v="Repeat"/>
    <x v="4"/>
    <n v="47"/>
    <n v="0"/>
  </r>
  <r>
    <n v="473"/>
    <x v="26"/>
    <n v="1776"/>
    <x v="0"/>
    <x v="0"/>
    <x v="0"/>
    <n v="1"/>
    <n v="3233"/>
    <s v="COD"/>
    <x v="0"/>
    <x v="0"/>
    <n v="6"/>
    <n v="1"/>
    <n v="1"/>
    <s v="Repeat"/>
    <x v="2"/>
    <n v="42"/>
    <n v="1"/>
  </r>
  <r>
    <n v="474"/>
    <x v="115"/>
    <n v="1139"/>
    <x v="3"/>
    <x v="4"/>
    <x v="2"/>
    <n v="2"/>
    <n v="0"/>
    <s v="Wallet"/>
    <x v="2"/>
    <x v="1"/>
    <n v="5"/>
    <n v="0"/>
    <n v="0"/>
    <s v="New"/>
    <x v="4"/>
    <n v="48"/>
    <n v="0"/>
  </r>
  <r>
    <n v="475"/>
    <x v="28"/>
    <n v="1920"/>
    <x v="3"/>
    <x v="3"/>
    <x v="3"/>
    <n v="3"/>
    <n v="0"/>
    <s v="UPI"/>
    <x v="1"/>
    <x v="0"/>
    <n v="8"/>
    <n v="0"/>
    <n v="0"/>
    <s v="New"/>
    <x v="0"/>
    <n v="33"/>
    <n v="0"/>
  </r>
  <r>
    <n v="476"/>
    <x v="82"/>
    <n v="1316"/>
    <x v="4"/>
    <x v="0"/>
    <x v="3"/>
    <n v="4"/>
    <n v="1888"/>
    <s v="COD"/>
    <x v="0"/>
    <x v="1"/>
    <n v="8"/>
    <n v="1"/>
    <n v="0"/>
    <s v="New"/>
    <x v="0"/>
    <n v="33"/>
    <n v="1"/>
  </r>
  <r>
    <n v="477"/>
    <x v="14"/>
    <n v="1866"/>
    <x v="4"/>
    <x v="0"/>
    <x v="0"/>
    <n v="4"/>
    <n v="0"/>
    <s v="Wallet"/>
    <x v="2"/>
    <x v="0"/>
    <n v="3"/>
    <n v="1"/>
    <n v="1"/>
    <s v="New"/>
    <x v="0"/>
    <n v="34"/>
    <n v="0"/>
  </r>
  <r>
    <n v="478"/>
    <x v="167"/>
    <n v="1078"/>
    <x v="1"/>
    <x v="4"/>
    <x v="3"/>
    <n v="4"/>
    <n v="9400"/>
    <s v="COD"/>
    <x v="0"/>
    <x v="0"/>
    <n v="1"/>
    <n v="1"/>
    <n v="1"/>
    <s v="Repeat"/>
    <x v="0"/>
    <n v="35"/>
    <n v="1"/>
  </r>
  <r>
    <n v="479"/>
    <x v="53"/>
    <n v="1000"/>
    <x v="1"/>
    <x v="3"/>
    <x v="3"/>
    <n v="5"/>
    <n v="0"/>
    <s v="Card"/>
    <x v="2"/>
    <x v="3"/>
    <n v="10"/>
    <n v="1"/>
    <n v="0"/>
    <s v="Repeat"/>
    <x v="2"/>
    <n v="42"/>
    <n v="0"/>
  </r>
  <r>
    <n v="480"/>
    <x v="21"/>
    <n v="1860"/>
    <x v="3"/>
    <x v="1"/>
    <x v="0"/>
    <n v="4"/>
    <n v="4264"/>
    <s v="Card"/>
    <x v="0"/>
    <x v="3"/>
    <n v="5"/>
    <n v="1"/>
    <n v="0"/>
    <s v="New"/>
    <x v="2"/>
    <n v="43"/>
    <n v="1"/>
  </r>
  <r>
    <n v="481"/>
    <x v="145"/>
    <n v="1877"/>
    <x v="2"/>
    <x v="1"/>
    <x v="2"/>
    <n v="1"/>
    <n v="0"/>
    <s v="COD"/>
    <x v="2"/>
    <x v="2"/>
    <n v="7"/>
    <n v="0"/>
    <n v="1"/>
    <s v="New"/>
    <x v="4"/>
    <n v="48"/>
    <n v="0"/>
  </r>
  <r>
    <n v="482"/>
    <x v="116"/>
    <n v="1989"/>
    <x v="0"/>
    <x v="2"/>
    <x v="1"/>
    <n v="5"/>
    <n v="0"/>
    <s v="Card"/>
    <x v="2"/>
    <x v="3"/>
    <n v="10"/>
    <n v="0"/>
    <n v="1"/>
    <s v="Repeat"/>
    <x v="3"/>
    <n v="50"/>
    <n v="0"/>
  </r>
  <r>
    <n v="483"/>
    <x v="21"/>
    <n v="1038"/>
    <x v="3"/>
    <x v="3"/>
    <x v="0"/>
    <n v="4"/>
    <n v="8332"/>
    <s v="COD"/>
    <x v="0"/>
    <x v="0"/>
    <n v="2"/>
    <n v="1"/>
    <n v="1"/>
    <s v="New"/>
    <x v="2"/>
    <n v="43"/>
    <n v="1"/>
  </r>
  <r>
    <n v="484"/>
    <x v="137"/>
    <n v="1113"/>
    <x v="1"/>
    <x v="1"/>
    <x v="0"/>
    <n v="1"/>
    <n v="0"/>
    <s v="UPI"/>
    <x v="1"/>
    <x v="0"/>
    <n v="9"/>
    <n v="1"/>
    <n v="1"/>
    <s v="Repeat"/>
    <x v="1"/>
    <n v="40"/>
    <n v="0"/>
  </r>
  <r>
    <n v="485"/>
    <x v="153"/>
    <n v="1182"/>
    <x v="0"/>
    <x v="1"/>
    <x v="2"/>
    <n v="2"/>
    <n v="0"/>
    <s v="UPI"/>
    <x v="1"/>
    <x v="2"/>
    <n v="4"/>
    <n v="0"/>
    <n v="1"/>
    <s v="New"/>
    <x v="0"/>
    <n v="31"/>
    <n v="0"/>
  </r>
  <r>
    <n v="486"/>
    <x v="162"/>
    <n v="1409"/>
    <x v="1"/>
    <x v="2"/>
    <x v="1"/>
    <n v="2"/>
    <n v="4386"/>
    <s v="COD"/>
    <x v="0"/>
    <x v="0"/>
    <n v="1"/>
    <n v="0"/>
    <n v="1"/>
    <s v="Repeat"/>
    <x v="2"/>
    <n v="43"/>
    <n v="1"/>
  </r>
  <r>
    <n v="487"/>
    <x v="71"/>
    <n v="1741"/>
    <x v="0"/>
    <x v="0"/>
    <x v="2"/>
    <n v="5"/>
    <n v="0"/>
    <s v="UPI"/>
    <x v="1"/>
    <x v="1"/>
    <n v="6"/>
    <n v="1"/>
    <n v="1"/>
    <s v="New"/>
    <x v="3"/>
    <n v="49"/>
    <n v="0"/>
  </r>
  <r>
    <n v="488"/>
    <x v="133"/>
    <n v="1752"/>
    <x v="2"/>
    <x v="3"/>
    <x v="1"/>
    <n v="1"/>
    <n v="3227"/>
    <s v="COD"/>
    <x v="0"/>
    <x v="2"/>
    <n v="6"/>
    <n v="0"/>
    <n v="0"/>
    <s v="Repeat"/>
    <x v="0"/>
    <n v="35"/>
    <n v="1"/>
  </r>
  <r>
    <n v="489"/>
    <x v="17"/>
    <n v="1902"/>
    <x v="3"/>
    <x v="3"/>
    <x v="0"/>
    <n v="2"/>
    <n v="0"/>
    <s v="UPI"/>
    <x v="2"/>
    <x v="1"/>
    <n v="7"/>
    <n v="0"/>
    <n v="0"/>
    <s v="Repeat"/>
    <x v="1"/>
    <n v="38"/>
    <n v="0"/>
  </r>
  <r>
    <n v="490"/>
    <x v="38"/>
    <n v="1942"/>
    <x v="3"/>
    <x v="0"/>
    <x v="1"/>
    <n v="1"/>
    <n v="0"/>
    <s v="UPI"/>
    <x v="1"/>
    <x v="2"/>
    <n v="6"/>
    <n v="0"/>
    <n v="0"/>
    <s v="New"/>
    <x v="1"/>
    <n v="39"/>
    <n v="0"/>
  </r>
  <r>
    <n v="491"/>
    <x v="9"/>
    <n v="1814"/>
    <x v="1"/>
    <x v="3"/>
    <x v="2"/>
    <n v="1"/>
    <n v="0"/>
    <s v="Wallet"/>
    <x v="2"/>
    <x v="2"/>
    <n v="1"/>
    <n v="0"/>
    <n v="1"/>
    <s v="New"/>
    <x v="5"/>
    <n v="30"/>
    <n v="0"/>
  </r>
  <r>
    <n v="492"/>
    <x v="67"/>
    <n v="1268"/>
    <x v="3"/>
    <x v="0"/>
    <x v="0"/>
    <n v="3"/>
    <n v="0"/>
    <s v="COD"/>
    <x v="1"/>
    <x v="2"/>
    <n v="5"/>
    <n v="1"/>
    <n v="0"/>
    <s v="New"/>
    <x v="1"/>
    <n v="36"/>
    <n v="0"/>
  </r>
  <r>
    <n v="493"/>
    <x v="150"/>
    <n v="1992"/>
    <x v="1"/>
    <x v="0"/>
    <x v="2"/>
    <n v="4"/>
    <n v="2216"/>
    <s v="Wallet"/>
    <x v="0"/>
    <x v="2"/>
    <n v="6"/>
    <n v="1"/>
    <n v="1"/>
    <s v="Repeat"/>
    <x v="0"/>
    <n v="35"/>
    <n v="1"/>
  </r>
  <r>
    <n v="494"/>
    <x v="39"/>
    <n v="1519"/>
    <x v="4"/>
    <x v="1"/>
    <x v="3"/>
    <n v="5"/>
    <n v="8445"/>
    <s v="COD"/>
    <x v="0"/>
    <x v="0"/>
    <n v="6"/>
    <n v="0"/>
    <n v="0"/>
    <s v="New"/>
    <x v="0"/>
    <n v="34"/>
    <n v="1"/>
  </r>
  <r>
    <n v="495"/>
    <x v="169"/>
    <n v="1859"/>
    <x v="2"/>
    <x v="2"/>
    <x v="3"/>
    <n v="2"/>
    <n v="7906"/>
    <s v="UPI"/>
    <x v="0"/>
    <x v="2"/>
    <n v="2"/>
    <n v="0"/>
    <n v="0"/>
    <s v="New"/>
    <x v="2"/>
    <n v="43"/>
    <n v="1"/>
  </r>
  <r>
    <n v="496"/>
    <x v="152"/>
    <n v="1605"/>
    <x v="3"/>
    <x v="0"/>
    <x v="2"/>
    <n v="1"/>
    <n v="0"/>
    <s v="UPI"/>
    <x v="1"/>
    <x v="3"/>
    <n v="8"/>
    <n v="0"/>
    <n v="1"/>
    <s v="Repeat"/>
    <x v="2"/>
    <n v="42"/>
    <n v="0"/>
  </r>
  <r>
    <n v="497"/>
    <x v="88"/>
    <n v="1019"/>
    <x v="1"/>
    <x v="0"/>
    <x v="1"/>
    <n v="2"/>
    <n v="0"/>
    <s v="Wallet"/>
    <x v="1"/>
    <x v="3"/>
    <n v="9"/>
    <n v="1"/>
    <n v="0"/>
    <s v="Repeat"/>
    <x v="1"/>
    <n v="37"/>
    <n v="0"/>
  </r>
  <r>
    <n v="498"/>
    <x v="3"/>
    <n v="1206"/>
    <x v="3"/>
    <x v="1"/>
    <x v="0"/>
    <n v="5"/>
    <n v="0"/>
    <s v="COD"/>
    <x v="2"/>
    <x v="1"/>
    <n v="5"/>
    <n v="0"/>
    <n v="1"/>
    <s v="New"/>
    <x v="0"/>
    <n v="32"/>
    <n v="0"/>
  </r>
  <r>
    <n v="499"/>
    <x v="31"/>
    <n v="1515"/>
    <x v="1"/>
    <x v="4"/>
    <x v="3"/>
    <n v="4"/>
    <n v="0"/>
    <s v="Card"/>
    <x v="1"/>
    <x v="0"/>
    <n v="10"/>
    <n v="0"/>
    <n v="0"/>
    <s v="Repeat"/>
    <x v="2"/>
    <n v="44"/>
    <n v="0"/>
  </r>
  <r>
    <n v="500"/>
    <x v="37"/>
    <n v="1370"/>
    <x v="4"/>
    <x v="4"/>
    <x v="1"/>
    <n v="4"/>
    <n v="0"/>
    <s v="Card"/>
    <x v="1"/>
    <x v="2"/>
    <n v="7"/>
    <n v="1"/>
    <n v="1"/>
    <s v="New"/>
    <x v="4"/>
    <n v="46"/>
    <n v="0"/>
  </r>
  <r>
    <n v="501"/>
    <x v="6"/>
    <n v="1647"/>
    <x v="4"/>
    <x v="0"/>
    <x v="3"/>
    <n v="5"/>
    <n v="1300"/>
    <s v="COD"/>
    <x v="0"/>
    <x v="0"/>
    <n v="3"/>
    <n v="0"/>
    <n v="1"/>
    <s v="New"/>
    <x v="4"/>
    <n v="47"/>
    <n v="1"/>
  </r>
  <r>
    <n v="502"/>
    <x v="155"/>
    <n v="1448"/>
    <x v="1"/>
    <x v="1"/>
    <x v="1"/>
    <n v="4"/>
    <n v="2720"/>
    <s v="COD"/>
    <x v="0"/>
    <x v="3"/>
    <n v="7"/>
    <n v="1"/>
    <n v="1"/>
    <s v="New"/>
    <x v="0"/>
    <n v="33"/>
    <n v="1"/>
  </r>
  <r>
    <n v="503"/>
    <x v="149"/>
    <n v="1084"/>
    <x v="1"/>
    <x v="3"/>
    <x v="2"/>
    <n v="1"/>
    <n v="0"/>
    <s v="UPI"/>
    <x v="1"/>
    <x v="1"/>
    <n v="5"/>
    <n v="0"/>
    <n v="0"/>
    <s v="Repeat"/>
    <x v="3"/>
    <n v="49"/>
    <n v="0"/>
  </r>
  <r>
    <n v="504"/>
    <x v="96"/>
    <n v="1229"/>
    <x v="0"/>
    <x v="3"/>
    <x v="0"/>
    <n v="1"/>
    <n v="0"/>
    <s v="Card"/>
    <x v="1"/>
    <x v="2"/>
    <n v="6"/>
    <n v="1"/>
    <n v="1"/>
    <s v="New"/>
    <x v="4"/>
    <n v="45"/>
    <n v="0"/>
  </r>
  <r>
    <n v="505"/>
    <x v="170"/>
    <n v="1572"/>
    <x v="2"/>
    <x v="1"/>
    <x v="2"/>
    <n v="2"/>
    <n v="0"/>
    <s v="COD"/>
    <x v="1"/>
    <x v="0"/>
    <n v="7"/>
    <n v="0"/>
    <n v="0"/>
    <s v="Repeat"/>
    <x v="4"/>
    <n v="48"/>
    <n v="0"/>
  </r>
  <r>
    <n v="506"/>
    <x v="81"/>
    <n v="1569"/>
    <x v="0"/>
    <x v="4"/>
    <x v="0"/>
    <n v="2"/>
    <n v="0"/>
    <s v="Card"/>
    <x v="1"/>
    <x v="0"/>
    <n v="1"/>
    <n v="0"/>
    <n v="0"/>
    <s v="Repeat"/>
    <x v="0"/>
    <n v="33"/>
    <n v="0"/>
  </r>
  <r>
    <n v="507"/>
    <x v="171"/>
    <n v="1950"/>
    <x v="2"/>
    <x v="4"/>
    <x v="1"/>
    <n v="2"/>
    <n v="3558"/>
    <s v="UPI"/>
    <x v="0"/>
    <x v="1"/>
    <n v="8"/>
    <n v="1"/>
    <n v="0"/>
    <s v="Repeat"/>
    <x v="1"/>
    <n v="36"/>
    <n v="1"/>
  </r>
  <r>
    <n v="508"/>
    <x v="14"/>
    <n v="1930"/>
    <x v="3"/>
    <x v="3"/>
    <x v="1"/>
    <n v="2"/>
    <n v="0"/>
    <s v="Card"/>
    <x v="1"/>
    <x v="2"/>
    <n v="5"/>
    <n v="0"/>
    <n v="1"/>
    <s v="New"/>
    <x v="0"/>
    <n v="34"/>
    <n v="0"/>
  </r>
  <r>
    <n v="509"/>
    <x v="71"/>
    <n v="1088"/>
    <x v="4"/>
    <x v="4"/>
    <x v="0"/>
    <n v="2"/>
    <n v="9386"/>
    <s v="COD"/>
    <x v="0"/>
    <x v="2"/>
    <n v="7"/>
    <n v="1"/>
    <n v="1"/>
    <s v="New"/>
    <x v="3"/>
    <n v="49"/>
    <n v="1"/>
  </r>
  <r>
    <n v="510"/>
    <x v="7"/>
    <n v="1335"/>
    <x v="2"/>
    <x v="2"/>
    <x v="2"/>
    <n v="3"/>
    <n v="0"/>
    <s v="COD"/>
    <x v="2"/>
    <x v="2"/>
    <n v="7"/>
    <n v="0"/>
    <n v="0"/>
    <s v="Repeat"/>
    <x v="3"/>
    <n v="49"/>
    <n v="0"/>
  </r>
  <r>
    <n v="511"/>
    <x v="166"/>
    <n v="1219"/>
    <x v="1"/>
    <x v="4"/>
    <x v="3"/>
    <n v="2"/>
    <n v="4550"/>
    <s v="Card"/>
    <x v="0"/>
    <x v="0"/>
    <n v="9"/>
    <n v="1"/>
    <n v="1"/>
    <s v="Repeat"/>
    <x v="1"/>
    <n v="39"/>
    <n v="1"/>
  </r>
  <r>
    <n v="512"/>
    <x v="104"/>
    <n v="1101"/>
    <x v="3"/>
    <x v="4"/>
    <x v="3"/>
    <n v="3"/>
    <n v="0"/>
    <s v="Card"/>
    <x v="1"/>
    <x v="3"/>
    <n v="5"/>
    <n v="0"/>
    <n v="0"/>
    <s v="New"/>
    <x v="5"/>
    <n v="29"/>
    <n v="0"/>
  </r>
  <r>
    <n v="513"/>
    <x v="37"/>
    <n v="1759"/>
    <x v="0"/>
    <x v="0"/>
    <x v="1"/>
    <n v="1"/>
    <n v="0"/>
    <s v="Card"/>
    <x v="2"/>
    <x v="2"/>
    <n v="9"/>
    <n v="1"/>
    <n v="1"/>
    <s v="New"/>
    <x v="4"/>
    <n v="46"/>
    <n v="0"/>
  </r>
  <r>
    <n v="514"/>
    <x v="86"/>
    <n v="1492"/>
    <x v="1"/>
    <x v="3"/>
    <x v="3"/>
    <n v="1"/>
    <n v="0"/>
    <s v="Card"/>
    <x v="2"/>
    <x v="2"/>
    <n v="5"/>
    <n v="1"/>
    <n v="1"/>
    <s v="New"/>
    <x v="6"/>
    <n v="1"/>
    <n v="0"/>
  </r>
  <r>
    <n v="515"/>
    <x v="57"/>
    <n v="1681"/>
    <x v="4"/>
    <x v="1"/>
    <x v="3"/>
    <n v="4"/>
    <n v="4960"/>
    <s v="Card"/>
    <x v="0"/>
    <x v="0"/>
    <n v="4"/>
    <n v="1"/>
    <n v="1"/>
    <s v="New"/>
    <x v="4"/>
    <n v="48"/>
    <n v="1"/>
  </r>
  <r>
    <n v="516"/>
    <x v="141"/>
    <n v="1259"/>
    <x v="1"/>
    <x v="2"/>
    <x v="3"/>
    <n v="1"/>
    <n v="0"/>
    <s v="COD"/>
    <x v="2"/>
    <x v="1"/>
    <n v="4"/>
    <n v="1"/>
    <n v="0"/>
    <s v="Repeat"/>
    <x v="1"/>
    <n v="39"/>
    <n v="0"/>
  </r>
  <r>
    <n v="517"/>
    <x v="82"/>
    <n v="1010"/>
    <x v="2"/>
    <x v="0"/>
    <x v="0"/>
    <n v="5"/>
    <n v="6395"/>
    <s v="UPI"/>
    <x v="0"/>
    <x v="1"/>
    <n v="3"/>
    <n v="1"/>
    <n v="1"/>
    <s v="Repeat"/>
    <x v="0"/>
    <n v="33"/>
    <n v="1"/>
  </r>
  <r>
    <n v="518"/>
    <x v="164"/>
    <n v="1572"/>
    <x v="3"/>
    <x v="1"/>
    <x v="1"/>
    <n v="1"/>
    <n v="1314"/>
    <s v="UPI"/>
    <x v="0"/>
    <x v="0"/>
    <n v="4"/>
    <n v="1"/>
    <n v="1"/>
    <s v="New"/>
    <x v="0"/>
    <n v="34"/>
    <n v="1"/>
  </r>
  <r>
    <n v="519"/>
    <x v="46"/>
    <n v="1698"/>
    <x v="1"/>
    <x v="0"/>
    <x v="2"/>
    <n v="3"/>
    <n v="0"/>
    <s v="Wallet"/>
    <x v="1"/>
    <x v="3"/>
    <n v="5"/>
    <n v="0"/>
    <n v="1"/>
    <s v="New"/>
    <x v="5"/>
    <n v="30"/>
    <n v="0"/>
  </r>
  <r>
    <n v="520"/>
    <x v="71"/>
    <n v="1715"/>
    <x v="3"/>
    <x v="2"/>
    <x v="3"/>
    <n v="2"/>
    <n v="1002"/>
    <s v="Card"/>
    <x v="0"/>
    <x v="3"/>
    <n v="2"/>
    <n v="1"/>
    <n v="1"/>
    <s v="Repeat"/>
    <x v="3"/>
    <n v="49"/>
    <n v="1"/>
  </r>
  <r>
    <n v="521"/>
    <x v="95"/>
    <n v="1293"/>
    <x v="0"/>
    <x v="1"/>
    <x v="1"/>
    <n v="5"/>
    <n v="4160"/>
    <s v="Wallet"/>
    <x v="0"/>
    <x v="3"/>
    <n v="7"/>
    <n v="1"/>
    <n v="1"/>
    <s v="Repeat"/>
    <x v="4"/>
    <n v="47"/>
    <n v="1"/>
  </r>
  <r>
    <n v="522"/>
    <x v="145"/>
    <n v="1404"/>
    <x v="4"/>
    <x v="3"/>
    <x v="1"/>
    <n v="3"/>
    <n v="1461"/>
    <s v="Wallet"/>
    <x v="0"/>
    <x v="3"/>
    <n v="10"/>
    <n v="1"/>
    <n v="0"/>
    <s v="New"/>
    <x v="4"/>
    <n v="48"/>
    <n v="1"/>
  </r>
  <r>
    <n v="523"/>
    <x v="172"/>
    <n v="1206"/>
    <x v="4"/>
    <x v="1"/>
    <x v="0"/>
    <n v="3"/>
    <n v="0"/>
    <s v="UPI"/>
    <x v="1"/>
    <x v="2"/>
    <n v="3"/>
    <n v="0"/>
    <n v="1"/>
    <s v="Repeat"/>
    <x v="2"/>
    <n v="44"/>
    <n v="0"/>
  </r>
  <r>
    <n v="524"/>
    <x v="115"/>
    <n v="1694"/>
    <x v="3"/>
    <x v="3"/>
    <x v="3"/>
    <n v="4"/>
    <n v="0"/>
    <s v="UPI"/>
    <x v="2"/>
    <x v="0"/>
    <n v="9"/>
    <n v="0"/>
    <n v="0"/>
    <s v="Repeat"/>
    <x v="4"/>
    <n v="48"/>
    <n v="0"/>
  </r>
  <r>
    <n v="525"/>
    <x v="154"/>
    <n v="1507"/>
    <x v="4"/>
    <x v="1"/>
    <x v="2"/>
    <n v="3"/>
    <n v="0"/>
    <s v="Card"/>
    <x v="2"/>
    <x v="3"/>
    <n v="3"/>
    <n v="0"/>
    <n v="1"/>
    <s v="New"/>
    <x v="2"/>
    <n v="42"/>
    <n v="0"/>
  </r>
  <r>
    <n v="526"/>
    <x v="173"/>
    <n v="1886"/>
    <x v="4"/>
    <x v="3"/>
    <x v="1"/>
    <n v="1"/>
    <n v="3180"/>
    <s v="Wallet"/>
    <x v="0"/>
    <x v="2"/>
    <n v="6"/>
    <n v="1"/>
    <n v="1"/>
    <s v="New"/>
    <x v="5"/>
    <n v="30"/>
    <n v="1"/>
  </r>
  <r>
    <n v="527"/>
    <x v="40"/>
    <n v="1722"/>
    <x v="4"/>
    <x v="3"/>
    <x v="2"/>
    <n v="2"/>
    <n v="0"/>
    <s v="UPI"/>
    <x v="2"/>
    <x v="2"/>
    <n v="4"/>
    <n v="0"/>
    <n v="0"/>
    <s v="Repeat"/>
    <x v="0"/>
    <n v="32"/>
    <n v="0"/>
  </r>
  <r>
    <n v="528"/>
    <x v="31"/>
    <n v="1719"/>
    <x v="2"/>
    <x v="0"/>
    <x v="1"/>
    <n v="2"/>
    <n v="6262"/>
    <s v="Wallet"/>
    <x v="0"/>
    <x v="2"/>
    <n v="4"/>
    <n v="1"/>
    <n v="1"/>
    <s v="Repeat"/>
    <x v="2"/>
    <n v="44"/>
    <n v="1"/>
  </r>
  <r>
    <n v="529"/>
    <x v="17"/>
    <n v="1903"/>
    <x v="4"/>
    <x v="3"/>
    <x v="3"/>
    <n v="2"/>
    <n v="0"/>
    <s v="Card"/>
    <x v="1"/>
    <x v="1"/>
    <n v="4"/>
    <n v="1"/>
    <n v="1"/>
    <s v="New"/>
    <x v="1"/>
    <n v="38"/>
    <n v="0"/>
  </r>
  <r>
    <n v="530"/>
    <x v="82"/>
    <n v="1031"/>
    <x v="2"/>
    <x v="2"/>
    <x v="2"/>
    <n v="4"/>
    <n v="18856"/>
    <s v="Card"/>
    <x v="0"/>
    <x v="1"/>
    <n v="4"/>
    <n v="1"/>
    <n v="1"/>
    <s v="Repeat"/>
    <x v="0"/>
    <n v="33"/>
    <n v="1"/>
  </r>
  <r>
    <n v="531"/>
    <x v="54"/>
    <n v="1038"/>
    <x v="1"/>
    <x v="4"/>
    <x v="3"/>
    <n v="4"/>
    <n v="0"/>
    <s v="COD"/>
    <x v="1"/>
    <x v="3"/>
    <n v="7"/>
    <n v="0"/>
    <n v="0"/>
    <s v="New"/>
    <x v="0"/>
    <n v="34"/>
    <n v="0"/>
  </r>
  <r>
    <n v="532"/>
    <x v="114"/>
    <n v="1680"/>
    <x v="3"/>
    <x v="1"/>
    <x v="2"/>
    <n v="3"/>
    <n v="4215"/>
    <s v="Card"/>
    <x v="0"/>
    <x v="0"/>
    <n v="7"/>
    <n v="0"/>
    <n v="0"/>
    <s v="Repeat"/>
    <x v="3"/>
    <n v="50"/>
    <n v="1"/>
  </r>
  <r>
    <n v="533"/>
    <x v="73"/>
    <n v="1625"/>
    <x v="4"/>
    <x v="4"/>
    <x v="0"/>
    <n v="4"/>
    <n v="0"/>
    <s v="Card"/>
    <x v="1"/>
    <x v="0"/>
    <n v="5"/>
    <n v="0"/>
    <n v="1"/>
    <s v="Repeat"/>
    <x v="4"/>
    <n v="45"/>
    <n v="0"/>
  </r>
  <r>
    <n v="534"/>
    <x v="92"/>
    <n v="1660"/>
    <x v="3"/>
    <x v="1"/>
    <x v="3"/>
    <n v="3"/>
    <n v="7665"/>
    <s v="Card"/>
    <x v="0"/>
    <x v="3"/>
    <n v="9"/>
    <n v="0"/>
    <n v="1"/>
    <s v="New"/>
    <x v="3"/>
    <n v="53"/>
    <n v="1"/>
  </r>
  <r>
    <n v="535"/>
    <x v="103"/>
    <n v="1841"/>
    <x v="0"/>
    <x v="1"/>
    <x v="3"/>
    <n v="5"/>
    <n v="0"/>
    <s v="Card"/>
    <x v="2"/>
    <x v="3"/>
    <n v="5"/>
    <n v="0"/>
    <n v="0"/>
    <s v="Repeat"/>
    <x v="1"/>
    <n v="38"/>
    <n v="0"/>
  </r>
  <r>
    <n v="536"/>
    <x v="133"/>
    <n v="1329"/>
    <x v="2"/>
    <x v="0"/>
    <x v="1"/>
    <n v="5"/>
    <n v="0"/>
    <s v="Wallet"/>
    <x v="1"/>
    <x v="1"/>
    <n v="9"/>
    <n v="1"/>
    <n v="1"/>
    <s v="Repeat"/>
    <x v="0"/>
    <n v="35"/>
    <n v="0"/>
  </r>
  <r>
    <n v="537"/>
    <x v="163"/>
    <n v="1052"/>
    <x v="3"/>
    <x v="0"/>
    <x v="3"/>
    <n v="4"/>
    <n v="0"/>
    <s v="Card"/>
    <x v="1"/>
    <x v="2"/>
    <n v="1"/>
    <n v="1"/>
    <n v="0"/>
    <s v="New"/>
    <x v="4"/>
    <n v="45"/>
    <n v="0"/>
  </r>
  <r>
    <n v="538"/>
    <x v="29"/>
    <n v="1145"/>
    <x v="1"/>
    <x v="2"/>
    <x v="1"/>
    <n v="1"/>
    <n v="4015"/>
    <s v="Card"/>
    <x v="0"/>
    <x v="3"/>
    <n v="1"/>
    <n v="1"/>
    <n v="1"/>
    <s v="New"/>
    <x v="1"/>
    <n v="39"/>
    <n v="1"/>
  </r>
  <r>
    <n v="539"/>
    <x v="89"/>
    <n v="1594"/>
    <x v="2"/>
    <x v="1"/>
    <x v="0"/>
    <n v="5"/>
    <n v="22785"/>
    <s v="COD"/>
    <x v="0"/>
    <x v="2"/>
    <n v="1"/>
    <n v="1"/>
    <n v="1"/>
    <s v="Repeat"/>
    <x v="0"/>
    <n v="35"/>
    <n v="1"/>
  </r>
  <r>
    <n v="540"/>
    <x v="127"/>
    <n v="1161"/>
    <x v="1"/>
    <x v="0"/>
    <x v="1"/>
    <n v="2"/>
    <n v="0"/>
    <s v="COD"/>
    <x v="1"/>
    <x v="0"/>
    <n v="10"/>
    <n v="1"/>
    <n v="0"/>
    <s v="Repeat"/>
    <x v="5"/>
    <n v="29"/>
    <n v="0"/>
  </r>
  <r>
    <n v="541"/>
    <x v="12"/>
    <n v="1746"/>
    <x v="4"/>
    <x v="4"/>
    <x v="1"/>
    <n v="5"/>
    <n v="15120"/>
    <s v="Card"/>
    <x v="0"/>
    <x v="1"/>
    <n v="2"/>
    <n v="1"/>
    <n v="0"/>
    <s v="Repeat"/>
    <x v="1"/>
    <n v="38"/>
    <n v="1"/>
  </r>
  <r>
    <n v="542"/>
    <x v="135"/>
    <n v="1750"/>
    <x v="2"/>
    <x v="1"/>
    <x v="2"/>
    <n v="3"/>
    <n v="0"/>
    <s v="Wallet"/>
    <x v="1"/>
    <x v="3"/>
    <n v="5"/>
    <n v="0"/>
    <n v="1"/>
    <s v="New"/>
    <x v="2"/>
    <n v="43"/>
    <n v="0"/>
  </r>
  <r>
    <n v="543"/>
    <x v="33"/>
    <n v="1204"/>
    <x v="2"/>
    <x v="0"/>
    <x v="0"/>
    <n v="2"/>
    <n v="0"/>
    <s v="COD"/>
    <x v="1"/>
    <x v="1"/>
    <n v="10"/>
    <n v="1"/>
    <n v="0"/>
    <s v="Repeat"/>
    <x v="5"/>
    <n v="31"/>
    <n v="0"/>
  </r>
  <r>
    <n v="544"/>
    <x v="169"/>
    <n v="1279"/>
    <x v="1"/>
    <x v="1"/>
    <x v="1"/>
    <n v="2"/>
    <n v="0"/>
    <s v="COD"/>
    <x v="1"/>
    <x v="0"/>
    <n v="5"/>
    <n v="0"/>
    <n v="1"/>
    <s v="Repeat"/>
    <x v="2"/>
    <n v="43"/>
    <n v="0"/>
  </r>
  <r>
    <n v="545"/>
    <x v="72"/>
    <n v="1770"/>
    <x v="4"/>
    <x v="4"/>
    <x v="3"/>
    <n v="3"/>
    <n v="11223"/>
    <s v="Card"/>
    <x v="0"/>
    <x v="2"/>
    <n v="5"/>
    <n v="0"/>
    <n v="1"/>
    <s v="Repeat"/>
    <x v="2"/>
    <n v="41"/>
    <n v="1"/>
  </r>
  <r>
    <n v="546"/>
    <x v="92"/>
    <n v="1747"/>
    <x v="2"/>
    <x v="0"/>
    <x v="2"/>
    <n v="5"/>
    <n v="0"/>
    <s v="COD"/>
    <x v="1"/>
    <x v="1"/>
    <n v="4"/>
    <n v="0"/>
    <n v="1"/>
    <s v="New"/>
    <x v="3"/>
    <n v="53"/>
    <n v="0"/>
  </r>
  <r>
    <n v="547"/>
    <x v="77"/>
    <n v="1533"/>
    <x v="4"/>
    <x v="0"/>
    <x v="1"/>
    <n v="4"/>
    <n v="0"/>
    <s v="UPI"/>
    <x v="1"/>
    <x v="1"/>
    <n v="10"/>
    <n v="1"/>
    <n v="1"/>
    <s v="Repeat"/>
    <x v="1"/>
    <n v="38"/>
    <n v="0"/>
  </r>
  <r>
    <n v="548"/>
    <x v="174"/>
    <n v="1281"/>
    <x v="2"/>
    <x v="1"/>
    <x v="2"/>
    <n v="5"/>
    <n v="0"/>
    <s v="Wallet"/>
    <x v="2"/>
    <x v="0"/>
    <n v="6"/>
    <n v="0"/>
    <n v="0"/>
    <s v="Repeat"/>
    <x v="5"/>
    <n v="29"/>
    <n v="0"/>
  </r>
  <r>
    <n v="549"/>
    <x v="139"/>
    <n v="1754"/>
    <x v="1"/>
    <x v="3"/>
    <x v="0"/>
    <n v="1"/>
    <n v="2135"/>
    <s v="UPI"/>
    <x v="0"/>
    <x v="2"/>
    <n v="5"/>
    <n v="1"/>
    <n v="1"/>
    <s v="Repeat"/>
    <x v="4"/>
    <n v="45"/>
    <n v="1"/>
  </r>
  <r>
    <n v="550"/>
    <x v="79"/>
    <n v="1030"/>
    <x v="2"/>
    <x v="1"/>
    <x v="2"/>
    <n v="5"/>
    <n v="0"/>
    <s v="UPI"/>
    <x v="2"/>
    <x v="3"/>
    <n v="4"/>
    <n v="1"/>
    <n v="0"/>
    <s v="New"/>
    <x v="1"/>
    <n v="36"/>
    <n v="0"/>
  </r>
  <r>
    <n v="551"/>
    <x v="109"/>
    <n v="1093"/>
    <x v="2"/>
    <x v="4"/>
    <x v="2"/>
    <n v="5"/>
    <n v="0"/>
    <s v="UPI"/>
    <x v="2"/>
    <x v="2"/>
    <n v="3"/>
    <n v="1"/>
    <n v="0"/>
    <s v="New"/>
    <x v="4"/>
    <n v="46"/>
    <n v="0"/>
  </r>
  <r>
    <n v="552"/>
    <x v="40"/>
    <n v="1078"/>
    <x v="1"/>
    <x v="3"/>
    <x v="1"/>
    <n v="1"/>
    <n v="2457"/>
    <s v="Wallet"/>
    <x v="0"/>
    <x v="2"/>
    <n v="1"/>
    <n v="0"/>
    <n v="0"/>
    <s v="Repeat"/>
    <x v="0"/>
    <n v="32"/>
    <n v="1"/>
  </r>
  <r>
    <n v="553"/>
    <x v="152"/>
    <n v="1130"/>
    <x v="4"/>
    <x v="4"/>
    <x v="1"/>
    <n v="2"/>
    <n v="3046"/>
    <s v="Card"/>
    <x v="0"/>
    <x v="1"/>
    <n v="8"/>
    <n v="0"/>
    <n v="0"/>
    <s v="Repeat"/>
    <x v="2"/>
    <n v="42"/>
    <n v="1"/>
  </r>
  <r>
    <n v="554"/>
    <x v="121"/>
    <n v="1654"/>
    <x v="0"/>
    <x v="4"/>
    <x v="3"/>
    <n v="1"/>
    <n v="0"/>
    <s v="COD"/>
    <x v="2"/>
    <x v="1"/>
    <n v="3"/>
    <n v="0"/>
    <n v="1"/>
    <s v="New"/>
    <x v="1"/>
    <n v="37"/>
    <n v="0"/>
  </r>
  <r>
    <n v="555"/>
    <x v="135"/>
    <n v="1690"/>
    <x v="4"/>
    <x v="4"/>
    <x v="3"/>
    <n v="2"/>
    <n v="0"/>
    <s v="Card"/>
    <x v="1"/>
    <x v="1"/>
    <n v="7"/>
    <n v="0"/>
    <n v="1"/>
    <s v="Repeat"/>
    <x v="2"/>
    <n v="43"/>
    <n v="0"/>
  </r>
  <r>
    <n v="556"/>
    <x v="61"/>
    <n v="1245"/>
    <x v="1"/>
    <x v="1"/>
    <x v="3"/>
    <n v="4"/>
    <n v="0"/>
    <s v="Card"/>
    <x v="1"/>
    <x v="3"/>
    <n v="2"/>
    <n v="1"/>
    <n v="0"/>
    <s v="Repeat"/>
    <x v="4"/>
    <n v="46"/>
    <n v="0"/>
  </r>
  <r>
    <n v="557"/>
    <x v="115"/>
    <n v="1573"/>
    <x v="3"/>
    <x v="1"/>
    <x v="1"/>
    <n v="3"/>
    <n v="0"/>
    <s v="COD"/>
    <x v="1"/>
    <x v="0"/>
    <n v="5"/>
    <n v="1"/>
    <n v="0"/>
    <s v="New"/>
    <x v="4"/>
    <n v="48"/>
    <n v="0"/>
  </r>
  <r>
    <n v="558"/>
    <x v="31"/>
    <n v="1134"/>
    <x v="2"/>
    <x v="1"/>
    <x v="0"/>
    <n v="3"/>
    <n v="0"/>
    <s v="COD"/>
    <x v="1"/>
    <x v="1"/>
    <n v="3"/>
    <n v="0"/>
    <n v="0"/>
    <s v="Repeat"/>
    <x v="2"/>
    <n v="44"/>
    <n v="0"/>
  </r>
  <r>
    <n v="559"/>
    <x v="131"/>
    <n v="1441"/>
    <x v="0"/>
    <x v="2"/>
    <x v="0"/>
    <n v="2"/>
    <n v="0"/>
    <s v="COD"/>
    <x v="2"/>
    <x v="1"/>
    <n v="8"/>
    <n v="0"/>
    <n v="0"/>
    <s v="Repeat"/>
    <x v="4"/>
    <n v="47"/>
    <n v="0"/>
  </r>
  <r>
    <n v="560"/>
    <x v="126"/>
    <n v="1878"/>
    <x v="0"/>
    <x v="3"/>
    <x v="0"/>
    <n v="1"/>
    <n v="0"/>
    <s v="COD"/>
    <x v="1"/>
    <x v="0"/>
    <n v="10"/>
    <n v="0"/>
    <n v="0"/>
    <s v="Repeat"/>
    <x v="4"/>
    <n v="46"/>
    <n v="0"/>
  </r>
  <r>
    <n v="561"/>
    <x v="12"/>
    <n v="1581"/>
    <x v="1"/>
    <x v="0"/>
    <x v="3"/>
    <n v="4"/>
    <n v="0"/>
    <s v="COD"/>
    <x v="1"/>
    <x v="3"/>
    <n v="2"/>
    <n v="1"/>
    <n v="0"/>
    <s v="Repeat"/>
    <x v="1"/>
    <n v="38"/>
    <n v="0"/>
  </r>
  <r>
    <n v="562"/>
    <x v="43"/>
    <n v="1569"/>
    <x v="3"/>
    <x v="1"/>
    <x v="3"/>
    <n v="2"/>
    <n v="0"/>
    <s v="COD"/>
    <x v="1"/>
    <x v="3"/>
    <n v="5"/>
    <n v="1"/>
    <n v="1"/>
    <s v="New"/>
    <x v="4"/>
    <n v="46"/>
    <n v="0"/>
  </r>
  <r>
    <n v="563"/>
    <x v="34"/>
    <n v="1711"/>
    <x v="3"/>
    <x v="1"/>
    <x v="1"/>
    <n v="4"/>
    <n v="17664"/>
    <s v="Wallet"/>
    <x v="0"/>
    <x v="1"/>
    <n v="10"/>
    <n v="1"/>
    <n v="1"/>
    <s v="Repeat"/>
    <x v="3"/>
    <n v="51"/>
    <n v="1"/>
  </r>
  <r>
    <n v="564"/>
    <x v="127"/>
    <n v="1454"/>
    <x v="4"/>
    <x v="4"/>
    <x v="3"/>
    <n v="1"/>
    <n v="2500"/>
    <s v="Card"/>
    <x v="0"/>
    <x v="3"/>
    <n v="1"/>
    <n v="0"/>
    <n v="0"/>
    <s v="Repeat"/>
    <x v="5"/>
    <n v="29"/>
    <n v="1"/>
  </r>
  <r>
    <n v="565"/>
    <x v="133"/>
    <n v="1936"/>
    <x v="2"/>
    <x v="0"/>
    <x v="1"/>
    <n v="2"/>
    <n v="0"/>
    <s v="COD"/>
    <x v="2"/>
    <x v="1"/>
    <n v="10"/>
    <n v="0"/>
    <n v="0"/>
    <s v="Repeat"/>
    <x v="0"/>
    <n v="35"/>
    <n v="0"/>
  </r>
  <r>
    <n v="566"/>
    <x v="79"/>
    <n v="1099"/>
    <x v="2"/>
    <x v="2"/>
    <x v="3"/>
    <n v="5"/>
    <n v="0"/>
    <s v="Card"/>
    <x v="1"/>
    <x v="2"/>
    <n v="8"/>
    <n v="1"/>
    <n v="0"/>
    <s v="Repeat"/>
    <x v="1"/>
    <n v="36"/>
    <n v="0"/>
  </r>
  <r>
    <n v="567"/>
    <x v="37"/>
    <n v="1266"/>
    <x v="1"/>
    <x v="1"/>
    <x v="2"/>
    <n v="1"/>
    <n v="0"/>
    <s v="Card"/>
    <x v="1"/>
    <x v="0"/>
    <n v="9"/>
    <n v="0"/>
    <n v="1"/>
    <s v="New"/>
    <x v="4"/>
    <n v="46"/>
    <n v="0"/>
  </r>
  <r>
    <n v="568"/>
    <x v="124"/>
    <n v="1951"/>
    <x v="1"/>
    <x v="0"/>
    <x v="2"/>
    <n v="1"/>
    <n v="0"/>
    <s v="Card"/>
    <x v="1"/>
    <x v="2"/>
    <n v="5"/>
    <n v="0"/>
    <n v="1"/>
    <s v="Repeat"/>
    <x v="1"/>
    <n v="37"/>
    <n v="0"/>
  </r>
  <r>
    <n v="569"/>
    <x v="121"/>
    <n v="1053"/>
    <x v="2"/>
    <x v="2"/>
    <x v="3"/>
    <n v="4"/>
    <n v="0"/>
    <s v="COD"/>
    <x v="2"/>
    <x v="0"/>
    <n v="8"/>
    <n v="1"/>
    <n v="0"/>
    <s v="New"/>
    <x v="1"/>
    <n v="37"/>
    <n v="0"/>
  </r>
  <r>
    <n v="570"/>
    <x v="42"/>
    <n v="1985"/>
    <x v="1"/>
    <x v="0"/>
    <x v="1"/>
    <n v="5"/>
    <n v="0"/>
    <s v="UPI"/>
    <x v="1"/>
    <x v="3"/>
    <n v="5"/>
    <n v="0"/>
    <n v="1"/>
    <s v="New"/>
    <x v="2"/>
    <n v="44"/>
    <n v="0"/>
  </r>
  <r>
    <n v="571"/>
    <x v="153"/>
    <n v="1347"/>
    <x v="4"/>
    <x v="1"/>
    <x v="3"/>
    <n v="1"/>
    <n v="2459"/>
    <s v="Card"/>
    <x v="0"/>
    <x v="1"/>
    <n v="7"/>
    <n v="1"/>
    <n v="1"/>
    <s v="New"/>
    <x v="0"/>
    <n v="31"/>
    <n v="1"/>
  </r>
  <r>
    <n v="572"/>
    <x v="55"/>
    <n v="1683"/>
    <x v="4"/>
    <x v="3"/>
    <x v="1"/>
    <n v="4"/>
    <n v="0"/>
    <s v="Wallet"/>
    <x v="1"/>
    <x v="1"/>
    <n v="7"/>
    <n v="1"/>
    <n v="0"/>
    <s v="New"/>
    <x v="1"/>
    <n v="37"/>
    <n v="0"/>
  </r>
  <r>
    <n v="573"/>
    <x v="36"/>
    <n v="1415"/>
    <x v="2"/>
    <x v="2"/>
    <x v="3"/>
    <n v="1"/>
    <n v="0"/>
    <s v="COD"/>
    <x v="2"/>
    <x v="3"/>
    <n v="6"/>
    <n v="0"/>
    <n v="1"/>
    <s v="New"/>
    <x v="2"/>
    <n v="44"/>
    <n v="0"/>
  </r>
  <r>
    <n v="574"/>
    <x v="174"/>
    <n v="1371"/>
    <x v="4"/>
    <x v="0"/>
    <x v="1"/>
    <n v="2"/>
    <n v="0"/>
    <s v="UPI"/>
    <x v="2"/>
    <x v="1"/>
    <n v="4"/>
    <n v="0"/>
    <n v="1"/>
    <s v="New"/>
    <x v="5"/>
    <n v="29"/>
    <n v="0"/>
  </r>
  <r>
    <n v="575"/>
    <x v="76"/>
    <n v="1689"/>
    <x v="3"/>
    <x v="3"/>
    <x v="1"/>
    <n v="5"/>
    <n v="0"/>
    <s v="Wallet"/>
    <x v="1"/>
    <x v="2"/>
    <n v="9"/>
    <n v="1"/>
    <n v="1"/>
    <s v="New"/>
    <x v="3"/>
    <n v="50"/>
    <n v="0"/>
  </r>
  <r>
    <n v="576"/>
    <x v="57"/>
    <n v="1763"/>
    <x v="2"/>
    <x v="2"/>
    <x v="0"/>
    <n v="3"/>
    <n v="0"/>
    <s v="UPI"/>
    <x v="2"/>
    <x v="2"/>
    <n v="2"/>
    <n v="0"/>
    <n v="0"/>
    <s v="New"/>
    <x v="4"/>
    <n v="48"/>
    <n v="0"/>
  </r>
  <r>
    <n v="577"/>
    <x v="52"/>
    <n v="1572"/>
    <x v="2"/>
    <x v="2"/>
    <x v="2"/>
    <n v="4"/>
    <n v="0"/>
    <s v="Wallet"/>
    <x v="2"/>
    <x v="2"/>
    <n v="10"/>
    <n v="1"/>
    <n v="1"/>
    <s v="New"/>
    <x v="4"/>
    <n v="44"/>
    <n v="0"/>
  </r>
  <r>
    <n v="578"/>
    <x v="76"/>
    <n v="1814"/>
    <x v="2"/>
    <x v="1"/>
    <x v="3"/>
    <n v="3"/>
    <n v="0"/>
    <s v="COD"/>
    <x v="2"/>
    <x v="0"/>
    <n v="10"/>
    <n v="0"/>
    <n v="1"/>
    <s v="Repeat"/>
    <x v="3"/>
    <n v="50"/>
    <n v="0"/>
  </r>
  <r>
    <n v="579"/>
    <x v="40"/>
    <n v="1317"/>
    <x v="4"/>
    <x v="0"/>
    <x v="2"/>
    <n v="5"/>
    <n v="15600"/>
    <s v="Wallet"/>
    <x v="0"/>
    <x v="1"/>
    <n v="1"/>
    <n v="0"/>
    <n v="0"/>
    <s v="New"/>
    <x v="0"/>
    <n v="32"/>
    <n v="1"/>
  </r>
  <r>
    <n v="580"/>
    <x v="46"/>
    <n v="1673"/>
    <x v="2"/>
    <x v="4"/>
    <x v="3"/>
    <n v="2"/>
    <n v="0"/>
    <s v="Card"/>
    <x v="1"/>
    <x v="2"/>
    <n v="7"/>
    <n v="0"/>
    <n v="1"/>
    <s v="New"/>
    <x v="5"/>
    <n v="30"/>
    <n v="0"/>
  </r>
  <r>
    <n v="581"/>
    <x v="89"/>
    <n v="1454"/>
    <x v="4"/>
    <x v="2"/>
    <x v="3"/>
    <n v="2"/>
    <n v="0"/>
    <s v="COD"/>
    <x v="2"/>
    <x v="3"/>
    <n v="9"/>
    <n v="1"/>
    <n v="1"/>
    <s v="New"/>
    <x v="0"/>
    <n v="35"/>
    <n v="0"/>
  </r>
  <r>
    <n v="582"/>
    <x v="117"/>
    <n v="1771"/>
    <x v="3"/>
    <x v="3"/>
    <x v="2"/>
    <n v="1"/>
    <n v="0"/>
    <s v="Wallet"/>
    <x v="1"/>
    <x v="0"/>
    <n v="4"/>
    <n v="0"/>
    <n v="1"/>
    <s v="New"/>
    <x v="5"/>
    <n v="31"/>
    <n v="0"/>
  </r>
  <r>
    <n v="583"/>
    <x v="29"/>
    <n v="1234"/>
    <x v="1"/>
    <x v="0"/>
    <x v="3"/>
    <n v="5"/>
    <n v="0"/>
    <s v="UPI"/>
    <x v="1"/>
    <x v="3"/>
    <n v="9"/>
    <n v="0"/>
    <n v="0"/>
    <s v="New"/>
    <x v="1"/>
    <n v="39"/>
    <n v="0"/>
  </r>
  <r>
    <n v="584"/>
    <x v="69"/>
    <n v="1444"/>
    <x v="3"/>
    <x v="3"/>
    <x v="1"/>
    <n v="5"/>
    <n v="0"/>
    <s v="UPI"/>
    <x v="1"/>
    <x v="1"/>
    <n v="2"/>
    <n v="0"/>
    <n v="0"/>
    <s v="New"/>
    <x v="2"/>
    <n v="40"/>
    <n v="0"/>
  </r>
  <r>
    <n v="585"/>
    <x v="5"/>
    <n v="1403"/>
    <x v="4"/>
    <x v="1"/>
    <x v="2"/>
    <n v="5"/>
    <n v="0"/>
    <s v="Card"/>
    <x v="2"/>
    <x v="3"/>
    <n v="1"/>
    <n v="0"/>
    <n v="0"/>
    <s v="New"/>
    <x v="0"/>
    <n v="33"/>
    <n v="0"/>
  </r>
  <r>
    <n v="586"/>
    <x v="156"/>
    <n v="1340"/>
    <x v="1"/>
    <x v="0"/>
    <x v="1"/>
    <n v="2"/>
    <n v="0"/>
    <s v="Card"/>
    <x v="1"/>
    <x v="2"/>
    <n v="3"/>
    <n v="0"/>
    <n v="0"/>
    <s v="New"/>
    <x v="6"/>
    <n v="2"/>
    <n v="0"/>
  </r>
  <r>
    <n v="587"/>
    <x v="161"/>
    <n v="1597"/>
    <x v="0"/>
    <x v="4"/>
    <x v="3"/>
    <n v="5"/>
    <n v="20075"/>
    <s v="COD"/>
    <x v="0"/>
    <x v="0"/>
    <n v="9"/>
    <n v="0"/>
    <n v="0"/>
    <s v="Repeat"/>
    <x v="2"/>
    <n v="41"/>
    <n v="1"/>
  </r>
  <r>
    <n v="588"/>
    <x v="69"/>
    <n v="1624"/>
    <x v="2"/>
    <x v="1"/>
    <x v="1"/>
    <n v="2"/>
    <n v="0"/>
    <s v="COD"/>
    <x v="2"/>
    <x v="2"/>
    <n v="9"/>
    <n v="0"/>
    <n v="1"/>
    <s v="New"/>
    <x v="2"/>
    <n v="40"/>
    <n v="0"/>
  </r>
  <r>
    <n v="589"/>
    <x v="37"/>
    <n v="1835"/>
    <x v="1"/>
    <x v="3"/>
    <x v="0"/>
    <n v="3"/>
    <n v="5934"/>
    <s v="Wallet"/>
    <x v="0"/>
    <x v="2"/>
    <n v="7"/>
    <n v="0"/>
    <n v="0"/>
    <s v="Repeat"/>
    <x v="4"/>
    <n v="46"/>
    <n v="1"/>
  </r>
  <r>
    <n v="590"/>
    <x v="162"/>
    <n v="1482"/>
    <x v="1"/>
    <x v="3"/>
    <x v="2"/>
    <n v="5"/>
    <n v="0"/>
    <s v="UPI"/>
    <x v="1"/>
    <x v="2"/>
    <n v="5"/>
    <n v="1"/>
    <n v="1"/>
    <s v="Repeat"/>
    <x v="2"/>
    <n v="43"/>
    <n v="0"/>
  </r>
  <r>
    <n v="591"/>
    <x v="30"/>
    <n v="1392"/>
    <x v="4"/>
    <x v="3"/>
    <x v="2"/>
    <n v="4"/>
    <n v="17208"/>
    <s v="COD"/>
    <x v="0"/>
    <x v="1"/>
    <n v="8"/>
    <n v="1"/>
    <n v="1"/>
    <s v="Repeat"/>
    <x v="3"/>
    <n v="51"/>
    <n v="1"/>
  </r>
  <r>
    <n v="592"/>
    <x v="169"/>
    <n v="1113"/>
    <x v="4"/>
    <x v="0"/>
    <x v="1"/>
    <n v="5"/>
    <n v="0"/>
    <s v="UPI"/>
    <x v="1"/>
    <x v="0"/>
    <n v="6"/>
    <n v="1"/>
    <n v="1"/>
    <s v="Repeat"/>
    <x v="2"/>
    <n v="43"/>
    <n v="0"/>
  </r>
  <r>
    <n v="593"/>
    <x v="33"/>
    <n v="1160"/>
    <x v="0"/>
    <x v="0"/>
    <x v="0"/>
    <n v="3"/>
    <n v="0"/>
    <s v="COD"/>
    <x v="1"/>
    <x v="1"/>
    <n v="3"/>
    <n v="0"/>
    <n v="1"/>
    <s v="New"/>
    <x v="5"/>
    <n v="31"/>
    <n v="0"/>
  </r>
  <r>
    <n v="594"/>
    <x v="148"/>
    <n v="1531"/>
    <x v="0"/>
    <x v="2"/>
    <x v="0"/>
    <n v="5"/>
    <n v="0"/>
    <s v="Card"/>
    <x v="1"/>
    <x v="1"/>
    <n v="2"/>
    <n v="0"/>
    <n v="0"/>
    <s v="New"/>
    <x v="5"/>
    <n v="30"/>
    <n v="0"/>
  </r>
  <r>
    <n v="595"/>
    <x v="127"/>
    <n v="1557"/>
    <x v="3"/>
    <x v="0"/>
    <x v="3"/>
    <n v="5"/>
    <n v="2705"/>
    <s v="Wallet"/>
    <x v="0"/>
    <x v="2"/>
    <n v="6"/>
    <n v="0"/>
    <n v="1"/>
    <s v="Repeat"/>
    <x v="5"/>
    <n v="29"/>
    <n v="1"/>
  </r>
  <r>
    <n v="596"/>
    <x v="79"/>
    <n v="1662"/>
    <x v="4"/>
    <x v="0"/>
    <x v="3"/>
    <n v="1"/>
    <n v="0"/>
    <s v="Wallet"/>
    <x v="2"/>
    <x v="3"/>
    <n v="4"/>
    <n v="0"/>
    <n v="1"/>
    <s v="New"/>
    <x v="1"/>
    <n v="36"/>
    <n v="0"/>
  </r>
  <r>
    <n v="597"/>
    <x v="99"/>
    <n v="1412"/>
    <x v="0"/>
    <x v="4"/>
    <x v="2"/>
    <n v="3"/>
    <n v="1983"/>
    <s v="Wallet"/>
    <x v="0"/>
    <x v="1"/>
    <n v="10"/>
    <n v="1"/>
    <n v="1"/>
    <s v="Repeat"/>
    <x v="4"/>
    <n v="48"/>
    <n v="1"/>
  </r>
  <r>
    <n v="598"/>
    <x v="5"/>
    <n v="1599"/>
    <x v="3"/>
    <x v="2"/>
    <x v="2"/>
    <n v="1"/>
    <n v="0"/>
    <s v="UPI"/>
    <x v="1"/>
    <x v="3"/>
    <n v="3"/>
    <n v="0"/>
    <n v="1"/>
    <s v="Repeat"/>
    <x v="0"/>
    <n v="33"/>
    <n v="0"/>
  </r>
  <r>
    <n v="599"/>
    <x v="92"/>
    <n v="1437"/>
    <x v="4"/>
    <x v="0"/>
    <x v="1"/>
    <n v="3"/>
    <n v="0"/>
    <s v="UPI"/>
    <x v="1"/>
    <x v="2"/>
    <n v="6"/>
    <n v="0"/>
    <n v="1"/>
    <s v="Repeat"/>
    <x v="3"/>
    <n v="53"/>
    <n v="0"/>
  </r>
  <r>
    <n v="600"/>
    <x v="9"/>
    <n v="1682"/>
    <x v="2"/>
    <x v="1"/>
    <x v="3"/>
    <n v="3"/>
    <n v="0"/>
    <s v="Wallet"/>
    <x v="2"/>
    <x v="3"/>
    <n v="1"/>
    <n v="0"/>
    <n v="0"/>
    <s v="New"/>
    <x v="5"/>
    <n v="30"/>
    <n v="0"/>
  </r>
  <r>
    <n v="601"/>
    <x v="169"/>
    <n v="1061"/>
    <x v="3"/>
    <x v="1"/>
    <x v="3"/>
    <n v="1"/>
    <n v="0"/>
    <s v="COD"/>
    <x v="1"/>
    <x v="0"/>
    <n v="5"/>
    <n v="0"/>
    <n v="1"/>
    <s v="Repeat"/>
    <x v="2"/>
    <n v="43"/>
    <n v="0"/>
  </r>
  <r>
    <n v="602"/>
    <x v="32"/>
    <n v="1750"/>
    <x v="4"/>
    <x v="1"/>
    <x v="2"/>
    <n v="5"/>
    <n v="3140"/>
    <s v="UPI"/>
    <x v="0"/>
    <x v="3"/>
    <n v="3"/>
    <n v="0"/>
    <n v="1"/>
    <s v="New"/>
    <x v="1"/>
    <n v="38"/>
    <n v="1"/>
  </r>
  <r>
    <n v="603"/>
    <x v="89"/>
    <n v="1201"/>
    <x v="0"/>
    <x v="3"/>
    <x v="1"/>
    <n v="5"/>
    <n v="0"/>
    <s v="Wallet"/>
    <x v="1"/>
    <x v="2"/>
    <n v="10"/>
    <n v="0"/>
    <n v="1"/>
    <s v="Repeat"/>
    <x v="0"/>
    <n v="35"/>
    <n v="0"/>
  </r>
  <r>
    <n v="604"/>
    <x v="150"/>
    <n v="1059"/>
    <x v="2"/>
    <x v="1"/>
    <x v="1"/>
    <n v="3"/>
    <n v="0"/>
    <s v="Wallet"/>
    <x v="1"/>
    <x v="3"/>
    <n v="4"/>
    <n v="0"/>
    <n v="1"/>
    <s v="Repeat"/>
    <x v="0"/>
    <n v="35"/>
    <n v="0"/>
  </r>
  <r>
    <n v="605"/>
    <x v="3"/>
    <n v="1186"/>
    <x v="0"/>
    <x v="3"/>
    <x v="2"/>
    <n v="5"/>
    <n v="0"/>
    <s v="Wallet"/>
    <x v="2"/>
    <x v="2"/>
    <n v="1"/>
    <n v="0"/>
    <n v="0"/>
    <s v="New"/>
    <x v="0"/>
    <n v="32"/>
    <n v="0"/>
  </r>
  <r>
    <n v="606"/>
    <x v="7"/>
    <n v="1320"/>
    <x v="0"/>
    <x v="4"/>
    <x v="3"/>
    <n v="5"/>
    <n v="0"/>
    <s v="COD"/>
    <x v="1"/>
    <x v="2"/>
    <n v="6"/>
    <n v="0"/>
    <n v="1"/>
    <s v="Repeat"/>
    <x v="3"/>
    <n v="49"/>
    <n v="0"/>
  </r>
  <r>
    <n v="607"/>
    <x v="59"/>
    <n v="1414"/>
    <x v="2"/>
    <x v="2"/>
    <x v="2"/>
    <n v="1"/>
    <n v="3691"/>
    <s v="COD"/>
    <x v="0"/>
    <x v="1"/>
    <n v="1"/>
    <n v="1"/>
    <n v="0"/>
    <s v="Repeat"/>
    <x v="0"/>
    <n v="34"/>
    <n v="1"/>
  </r>
  <r>
    <n v="608"/>
    <x v="73"/>
    <n v="1342"/>
    <x v="3"/>
    <x v="3"/>
    <x v="0"/>
    <n v="5"/>
    <n v="0"/>
    <s v="COD"/>
    <x v="2"/>
    <x v="0"/>
    <n v="8"/>
    <n v="1"/>
    <n v="0"/>
    <s v="Repeat"/>
    <x v="4"/>
    <n v="45"/>
    <n v="0"/>
  </r>
  <r>
    <n v="609"/>
    <x v="171"/>
    <n v="1953"/>
    <x v="1"/>
    <x v="4"/>
    <x v="1"/>
    <n v="1"/>
    <n v="0"/>
    <s v="Wallet"/>
    <x v="2"/>
    <x v="2"/>
    <n v="4"/>
    <n v="0"/>
    <n v="1"/>
    <s v="Repeat"/>
    <x v="1"/>
    <n v="36"/>
    <n v="0"/>
  </r>
  <r>
    <n v="610"/>
    <x v="95"/>
    <n v="1862"/>
    <x v="1"/>
    <x v="1"/>
    <x v="2"/>
    <n v="5"/>
    <n v="1255"/>
    <s v="Wallet"/>
    <x v="0"/>
    <x v="1"/>
    <n v="5"/>
    <n v="0"/>
    <n v="0"/>
    <s v="Repeat"/>
    <x v="4"/>
    <n v="47"/>
    <n v="1"/>
  </r>
  <r>
    <n v="611"/>
    <x v="108"/>
    <n v="1501"/>
    <x v="1"/>
    <x v="4"/>
    <x v="1"/>
    <n v="5"/>
    <n v="0"/>
    <s v="Wallet"/>
    <x v="1"/>
    <x v="3"/>
    <n v="9"/>
    <n v="1"/>
    <n v="1"/>
    <s v="New"/>
    <x v="2"/>
    <n v="44"/>
    <n v="0"/>
  </r>
  <r>
    <n v="612"/>
    <x v="146"/>
    <n v="1029"/>
    <x v="3"/>
    <x v="3"/>
    <x v="0"/>
    <n v="1"/>
    <n v="2069"/>
    <s v="COD"/>
    <x v="0"/>
    <x v="1"/>
    <n v="9"/>
    <n v="1"/>
    <n v="0"/>
    <s v="Repeat"/>
    <x v="2"/>
    <n v="40"/>
    <n v="1"/>
  </r>
  <r>
    <n v="613"/>
    <x v="175"/>
    <n v="1211"/>
    <x v="2"/>
    <x v="1"/>
    <x v="1"/>
    <n v="5"/>
    <n v="0"/>
    <s v="Wallet"/>
    <x v="2"/>
    <x v="3"/>
    <n v="9"/>
    <n v="0"/>
    <n v="1"/>
    <s v="New"/>
    <x v="5"/>
    <n v="31"/>
    <n v="0"/>
  </r>
  <r>
    <n v="614"/>
    <x v="141"/>
    <n v="1974"/>
    <x v="4"/>
    <x v="0"/>
    <x v="1"/>
    <n v="1"/>
    <n v="0"/>
    <s v="Card"/>
    <x v="1"/>
    <x v="3"/>
    <n v="9"/>
    <n v="0"/>
    <n v="1"/>
    <s v="Repeat"/>
    <x v="1"/>
    <n v="39"/>
    <n v="0"/>
  </r>
  <r>
    <n v="615"/>
    <x v="31"/>
    <n v="1977"/>
    <x v="0"/>
    <x v="2"/>
    <x v="0"/>
    <n v="4"/>
    <n v="9968"/>
    <s v="UPI"/>
    <x v="0"/>
    <x v="1"/>
    <n v="5"/>
    <n v="0"/>
    <n v="0"/>
    <s v="Repeat"/>
    <x v="2"/>
    <n v="44"/>
    <n v="1"/>
  </r>
  <r>
    <n v="616"/>
    <x v="171"/>
    <n v="1833"/>
    <x v="1"/>
    <x v="0"/>
    <x v="3"/>
    <n v="4"/>
    <n v="0"/>
    <s v="Card"/>
    <x v="2"/>
    <x v="0"/>
    <n v="6"/>
    <n v="1"/>
    <n v="1"/>
    <s v="Repeat"/>
    <x v="1"/>
    <n v="36"/>
    <n v="0"/>
  </r>
  <r>
    <n v="617"/>
    <x v="61"/>
    <n v="1666"/>
    <x v="2"/>
    <x v="3"/>
    <x v="3"/>
    <n v="4"/>
    <n v="0"/>
    <s v="COD"/>
    <x v="1"/>
    <x v="2"/>
    <n v="3"/>
    <n v="1"/>
    <n v="1"/>
    <s v="New"/>
    <x v="4"/>
    <n v="46"/>
    <n v="0"/>
  </r>
  <r>
    <n v="618"/>
    <x v="82"/>
    <n v="1932"/>
    <x v="2"/>
    <x v="1"/>
    <x v="3"/>
    <n v="5"/>
    <n v="20645"/>
    <s v="Card"/>
    <x v="0"/>
    <x v="1"/>
    <n v="8"/>
    <n v="0"/>
    <n v="0"/>
    <s v="New"/>
    <x v="0"/>
    <n v="33"/>
    <n v="1"/>
  </r>
  <r>
    <n v="619"/>
    <x v="34"/>
    <n v="1517"/>
    <x v="4"/>
    <x v="3"/>
    <x v="2"/>
    <n v="2"/>
    <n v="6124"/>
    <s v="COD"/>
    <x v="0"/>
    <x v="2"/>
    <n v="9"/>
    <n v="0"/>
    <n v="1"/>
    <s v="New"/>
    <x v="3"/>
    <n v="51"/>
    <n v="1"/>
  </r>
  <r>
    <n v="620"/>
    <x v="137"/>
    <n v="1614"/>
    <x v="0"/>
    <x v="1"/>
    <x v="0"/>
    <n v="4"/>
    <n v="0"/>
    <s v="Card"/>
    <x v="2"/>
    <x v="2"/>
    <n v="10"/>
    <n v="1"/>
    <n v="1"/>
    <s v="New"/>
    <x v="1"/>
    <n v="40"/>
    <n v="0"/>
  </r>
  <r>
    <n v="621"/>
    <x v="60"/>
    <n v="1136"/>
    <x v="1"/>
    <x v="3"/>
    <x v="3"/>
    <n v="4"/>
    <n v="0"/>
    <s v="UPI"/>
    <x v="2"/>
    <x v="0"/>
    <n v="10"/>
    <n v="0"/>
    <n v="0"/>
    <s v="New"/>
    <x v="1"/>
    <n v="36"/>
    <n v="0"/>
  </r>
  <r>
    <n v="622"/>
    <x v="88"/>
    <n v="1923"/>
    <x v="0"/>
    <x v="2"/>
    <x v="2"/>
    <n v="1"/>
    <n v="3151"/>
    <s v="Card"/>
    <x v="0"/>
    <x v="3"/>
    <n v="10"/>
    <n v="0"/>
    <n v="0"/>
    <s v="New"/>
    <x v="1"/>
    <n v="37"/>
    <n v="1"/>
  </r>
  <r>
    <n v="623"/>
    <x v="130"/>
    <n v="1975"/>
    <x v="3"/>
    <x v="0"/>
    <x v="3"/>
    <n v="2"/>
    <n v="0"/>
    <s v="COD"/>
    <x v="2"/>
    <x v="0"/>
    <n v="10"/>
    <n v="0"/>
    <n v="0"/>
    <s v="Repeat"/>
    <x v="3"/>
    <n v="51"/>
    <n v="0"/>
  </r>
  <r>
    <n v="624"/>
    <x v="14"/>
    <n v="1139"/>
    <x v="1"/>
    <x v="1"/>
    <x v="3"/>
    <n v="3"/>
    <n v="0"/>
    <s v="Card"/>
    <x v="2"/>
    <x v="2"/>
    <n v="4"/>
    <n v="1"/>
    <n v="0"/>
    <s v="Repeat"/>
    <x v="0"/>
    <n v="34"/>
    <n v="0"/>
  </r>
  <r>
    <n v="625"/>
    <x v="135"/>
    <n v="1824"/>
    <x v="0"/>
    <x v="3"/>
    <x v="2"/>
    <n v="5"/>
    <n v="0"/>
    <s v="Card"/>
    <x v="1"/>
    <x v="0"/>
    <n v="1"/>
    <n v="0"/>
    <n v="0"/>
    <s v="New"/>
    <x v="2"/>
    <n v="43"/>
    <n v="0"/>
  </r>
  <r>
    <n v="626"/>
    <x v="51"/>
    <n v="1381"/>
    <x v="0"/>
    <x v="2"/>
    <x v="0"/>
    <n v="1"/>
    <n v="3606"/>
    <s v="COD"/>
    <x v="0"/>
    <x v="1"/>
    <n v="6"/>
    <n v="1"/>
    <n v="1"/>
    <s v="Repeat"/>
    <x v="5"/>
    <n v="29"/>
    <n v="1"/>
  </r>
  <r>
    <n v="627"/>
    <x v="134"/>
    <n v="1998"/>
    <x v="4"/>
    <x v="1"/>
    <x v="2"/>
    <n v="4"/>
    <n v="14336"/>
    <s v="COD"/>
    <x v="0"/>
    <x v="1"/>
    <n v="8"/>
    <n v="0"/>
    <n v="1"/>
    <s v="Repeat"/>
    <x v="3"/>
    <n v="51"/>
    <n v="1"/>
  </r>
  <r>
    <n v="628"/>
    <x v="63"/>
    <n v="1423"/>
    <x v="1"/>
    <x v="2"/>
    <x v="0"/>
    <n v="3"/>
    <n v="8736"/>
    <s v="UPI"/>
    <x v="0"/>
    <x v="0"/>
    <n v="2"/>
    <n v="1"/>
    <n v="1"/>
    <s v="Repeat"/>
    <x v="5"/>
    <n v="29"/>
    <n v="1"/>
  </r>
  <r>
    <n v="629"/>
    <x v="43"/>
    <n v="1924"/>
    <x v="4"/>
    <x v="4"/>
    <x v="3"/>
    <n v="5"/>
    <n v="2230"/>
    <s v="UPI"/>
    <x v="0"/>
    <x v="3"/>
    <n v="4"/>
    <n v="0"/>
    <n v="1"/>
    <s v="New"/>
    <x v="4"/>
    <n v="46"/>
    <n v="1"/>
  </r>
  <r>
    <n v="630"/>
    <x v="4"/>
    <n v="1493"/>
    <x v="2"/>
    <x v="3"/>
    <x v="1"/>
    <n v="3"/>
    <n v="13452"/>
    <s v="UPI"/>
    <x v="0"/>
    <x v="3"/>
    <n v="8"/>
    <n v="0"/>
    <n v="1"/>
    <s v="Repeat"/>
    <x v="3"/>
    <n v="50"/>
    <n v="1"/>
  </r>
  <r>
    <n v="631"/>
    <x v="41"/>
    <n v="1827"/>
    <x v="2"/>
    <x v="2"/>
    <x v="0"/>
    <n v="4"/>
    <n v="0"/>
    <s v="UPI"/>
    <x v="2"/>
    <x v="2"/>
    <n v="6"/>
    <n v="1"/>
    <n v="0"/>
    <s v="New"/>
    <x v="1"/>
    <n v="37"/>
    <n v="0"/>
  </r>
  <r>
    <n v="632"/>
    <x v="24"/>
    <n v="1982"/>
    <x v="0"/>
    <x v="3"/>
    <x v="3"/>
    <n v="2"/>
    <n v="9760"/>
    <s v="COD"/>
    <x v="0"/>
    <x v="0"/>
    <n v="10"/>
    <n v="1"/>
    <n v="1"/>
    <s v="New"/>
    <x v="5"/>
    <n v="30"/>
    <n v="1"/>
  </r>
  <r>
    <n v="633"/>
    <x v="72"/>
    <n v="1152"/>
    <x v="2"/>
    <x v="0"/>
    <x v="2"/>
    <n v="3"/>
    <n v="0"/>
    <s v="UPI"/>
    <x v="2"/>
    <x v="1"/>
    <n v="5"/>
    <n v="1"/>
    <n v="1"/>
    <s v="Repeat"/>
    <x v="2"/>
    <n v="41"/>
    <n v="0"/>
  </r>
  <r>
    <n v="634"/>
    <x v="97"/>
    <n v="1420"/>
    <x v="2"/>
    <x v="0"/>
    <x v="1"/>
    <n v="5"/>
    <n v="3980"/>
    <s v="Card"/>
    <x v="0"/>
    <x v="2"/>
    <n v="4"/>
    <n v="1"/>
    <n v="1"/>
    <s v="Repeat"/>
    <x v="1"/>
    <n v="40"/>
    <n v="1"/>
  </r>
  <r>
    <n v="635"/>
    <x v="68"/>
    <n v="1760"/>
    <x v="3"/>
    <x v="1"/>
    <x v="0"/>
    <n v="3"/>
    <n v="2427"/>
    <s v="Card"/>
    <x v="0"/>
    <x v="0"/>
    <n v="8"/>
    <n v="0"/>
    <n v="0"/>
    <s v="Repeat"/>
    <x v="0"/>
    <n v="32"/>
    <n v="1"/>
  </r>
  <r>
    <n v="636"/>
    <x v="26"/>
    <n v="1914"/>
    <x v="1"/>
    <x v="1"/>
    <x v="0"/>
    <n v="1"/>
    <n v="0"/>
    <s v="COD"/>
    <x v="2"/>
    <x v="3"/>
    <n v="5"/>
    <n v="0"/>
    <n v="0"/>
    <s v="New"/>
    <x v="2"/>
    <n v="42"/>
    <n v="0"/>
  </r>
  <r>
    <n v="637"/>
    <x v="162"/>
    <n v="1602"/>
    <x v="0"/>
    <x v="4"/>
    <x v="1"/>
    <n v="1"/>
    <n v="942"/>
    <s v="COD"/>
    <x v="0"/>
    <x v="2"/>
    <n v="5"/>
    <n v="1"/>
    <n v="0"/>
    <s v="New"/>
    <x v="2"/>
    <n v="43"/>
    <n v="1"/>
  </r>
  <r>
    <n v="638"/>
    <x v="49"/>
    <n v="1562"/>
    <x v="0"/>
    <x v="4"/>
    <x v="0"/>
    <n v="3"/>
    <n v="0"/>
    <s v="COD"/>
    <x v="1"/>
    <x v="0"/>
    <n v="2"/>
    <n v="1"/>
    <n v="1"/>
    <s v="New"/>
    <x v="0"/>
    <n v="36"/>
    <n v="0"/>
  </r>
  <r>
    <n v="639"/>
    <x v="156"/>
    <n v="1174"/>
    <x v="2"/>
    <x v="2"/>
    <x v="0"/>
    <n v="1"/>
    <n v="1915"/>
    <s v="COD"/>
    <x v="0"/>
    <x v="0"/>
    <n v="1"/>
    <n v="1"/>
    <n v="1"/>
    <s v="Repeat"/>
    <x v="6"/>
    <n v="2"/>
    <n v="1"/>
  </r>
  <r>
    <n v="640"/>
    <x v="176"/>
    <n v="1272"/>
    <x v="2"/>
    <x v="1"/>
    <x v="3"/>
    <n v="2"/>
    <n v="0"/>
    <s v="UPI"/>
    <x v="2"/>
    <x v="1"/>
    <n v="10"/>
    <n v="1"/>
    <n v="1"/>
    <s v="New"/>
    <x v="3"/>
    <n v="51"/>
    <n v="0"/>
  </r>
  <r>
    <n v="641"/>
    <x v="65"/>
    <n v="1616"/>
    <x v="0"/>
    <x v="4"/>
    <x v="0"/>
    <n v="5"/>
    <n v="0"/>
    <s v="Wallet"/>
    <x v="2"/>
    <x v="2"/>
    <n v="7"/>
    <n v="0"/>
    <n v="1"/>
    <s v="New"/>
    <x v="1"/>
    <n v="38"/>
    <n v="0"/>
  </r>
  <r>
    <n v="642"/>
    <x v="60"/>
    <n v="1844"/>
    <x v="2"/>
    <x v="2"/>
    <x v="2"/>
    <n v="2"/>
    <n v="0"/>
    <s v="Wallet"/>
    <x v="1"/>
    <x v="2"/>
    <n v="6"/>
    <n v="1"/>
    <n v="1"/>
    <s v="Repeat"/>
    <x v="1"/>
    <n v="36"/>
    <n v="0"/>
  </r>
  <r>
    <n v="643"/>
    <x v="136"/>
    <n v="1156"/>
    <x v="2"/>
    <x v="4"/>
    <x v="0"/>
    <n v="4"/>
    <n v="9460"/>
    <s v="COD"/>
    <x v="0"/>
    <x v="0"/>
    <n v="2"/>
    <n v="0"/>
    <n v="1"/>
    <s v="Repeat"/>
    <x v="2"/>
    <n v="40"/>
    <n v="1"/>
  </r>
  <r>
    <n v="644"/>
    <x v="124"/>
    <n v="1832"/>
    <x v="1"/>
    <x v="0"/>
    <x v="1"/>
    <n v="2"/>
    <n v="0"/>
    <s v="UPI"/>
    <x v="1"/>
    <x v="1"/>
    <n v="3"/>
    <n v="1"/>
    <n v="1"/>
    <s v="New"/>
    <x v="1"/>
    <n v="37"/>
    <n v="0"/>
  </r>
  <r>
    <n v="645"/>
    <x v="109"/>
    <n v="1787"/>
    <x v="3"/>
    <x v="0"/>
    <x v="0"/>
    <n v="1"/>
    <n v="1771"/>
    <s v="UPI"/>
    <x v="0"/>
    <x v="1"/>
    <n v="1"/>
    <n v="0"/>
    <n v="0"/>
    <s v="New"/>
    <x v="4"/>
    <n v="46"/>
    <n v="1"/>
  </r>
  <r>
    <n v="646"/>
    <x v="120"/>
    <n v="1722"/>
    <x v="3"/>
    <x v="1"/>
    <x v="3"/>
    <n v="5"/>
    <n v="0"/>
    <s v="COD"/>
    <x v="2"/>
    <x v="1"/>
    <n v="9"/>
    <n v="1"/>
    <n v="1"/>
    <s v="New"/>
    <x v="6"/>
    <n v="1"/>
    <n v="0"/>
  </r>
  <r>
    <n v="647"/>
    <x v="138"/>
    <n v="1426"/>
    <x v="2"/>
    <x v="2"/>
    <x v="1"/>
    <n v="3"/>
    <n v="0"/>
    <s v="COD"/>
    <x v="2"/>
    <x v="1"/>
    <n v="1"/>
    <n v="1"/>
    <n v="1"/>
    <s v="Repeat"/>
    <x v="2"/>
    <n v="44"/>
    <n v="0"/>
  </r>
  <r>
    <n v="648"/>
    <x v="138"/>
    <n v="1903"/>
    <x v="3"/>
    <x v="4"/>
    <x v="3"/>
    <n v="3"/>
    <n v="0"/>
    <s v="UPI"/>
    <x v="2"/>
    <x v="0"/>
    <n v="5"/>
    <n v="1"/>
    <n v="0"/>
    <s v="New"/>
    <x v="2"/>
    <n v="44"/>
    <n v="0"/>
  </r>
  <r>
    <n v="649"/>
    <x v="167"/>
    <n v="1614"/>
    <x v="1"/>
    <x v="2"/>
    <x v="1"/>
    <n v="1"/>
    <n v="2474"/>
    <s v="Card"/>
    <x v="0"/>
    <x v="0"/>
    <n v="3"/>
    <n v="0"/>
    <n v="1"/>
    <s v="Repeat"/>
    <x v="0"/>
    <n v="35"/>
    <n v="1"/>
  </r>
  <r>
    <n v="650"/>
    <x v="100"/>
    <n v="1577"/>
    <x v="0"/>
    <x v="4"/>
    <x v="1"/>
    <n v="3"/>
    <n v="4656"/>
    <s v="COD"/>
    <x v="0"/>
    <x v="3"/>
    <n v="1"/>
    <n v="0"/>
    <n v="1"/>
    <s v="New"/>
    <x v="1"/>
    <n v="37"/>
    <n v="1"/>
  </r>
  <r>
    <n v="651"/>
    <x v="169"/>
    <n v="1954"/>
    <x v="2"/>
    <x v="4"/>
    <x v="1"/>
    <n v="5"/>
    <n v="0"/>
    <s v="COD"/>
    <x v="1"/>
    <x v="2"/>
    <n v="2"/>
    <n v="1"/>
    <n v="0"/>
    <s v="Repeat"/>
    <x v="2"/>
    <n v="43"/>
    <n v="0"/>
  </r>
  <r>
    <n v="652"/>
    <x v="162"/>
    <n v="1728"/>
    <x v="3"/>
    <x v="4"/>
    <x v="3"/>
    <n v="5"/>
    <n v="9230"/>
    <s v="Card"/>
    <x v="0"/>
    <x v="1"/>
    <n v="6"/>
    <n v="1"/>
    <n v="1"/>
    <s v="New"/>
    <x v="2"/>
    <n v="43"/>
    <n v="1"/>
  </r>
  <r>
    <n v="653"/>
    <x v="122"/>
    <n v="1782"/>
    <x v="2"/>
    <x v="2"/>
    <x v="0"/>
    <n v="3"/>
    <n v="13524"/>
    <s v="COD"/>
    <x v="0"/>
    <x v="0"/>
    <n v="6"/>
    <n v="0"/>
    <n v="1"/>
    <s v="New"/>
    <x v="3"/>
    <n v="53"/>
    <n v="1"/>
  </r>
  <r>
    <n v="654"/>
    <x v="49"/>
    <n v="1659"/>
    <x v="2"/>
    <x v="0"/>
    <x v="3"/>
    <n v="4"/>
    <n v="0"/>
    <s v="COD"/>
    <x v="2"/>
    <x v="0"/>
    <n v="5"/>
    <n v="1"/>
    <n v="0"/>
    <s v="Repeat"/>
    <x v="0"/>
    <n v="36"/>
    <n v="0"/>
  </r>
  <r>
    <n v="655"/>
    <x v="88"/>
    <n v="1750"/>
    <x v="2"/>
    <x v="0"/>
    <x v="1"/>
    <n v="4"/>
    <n v="0"/>
    <s v="COD"/>
    <x v="2"/>
    <x v="2"/>
    <n v="1"/>
    <n v="1"/>
    <n v="0"/>
    <s v="New"/>
    <x v="1"/>
    <n v="37"/>
    <n v="0"/>
  </r>
  <r>
    <n v="656"/>
    <x v="24"/>
    <n v="1749"/>
    <x v="2"/>
    <x v="0"/>
    <x v="0"/>
    <n v="1"/>
    <n v="4663"/>
    <s v="COD"/>
    <x v="0"/>
    <x v="1"/>
    <n v="3"/>
    <n v="1"/>
    <n v="1"/>
    <s v="Repeat"/>
    <x v="5"/>
    <n v="30"/>
    <n v="1"/>
  </r>
  <r>
    <n v="657"/>
    <x v="63"/>
    <n v="1783"/>
    <x v="1"/>
    <x v="3"/>
    <x v="3"/>
    <n v="1"/>
    <n v="0"/>
    <s v="UPI"/>
    <x v="1"/>
    <x v="0"/>
    <n v="7"/>
    <n v="1"/>
    <n v="1"/>
    <s v="Repeat"/>
    <x v="5"/>
    <n v="29"/>
    <n v="0"/>
  </r>
  <r>
    <n v="658"/>
    <x v="96"/>
    <n v="1305"/>
    <x v="4"/>
    <x v="4"/>
    <x v="1"/>
    <n v="5"/>
    <n v="0"/>
    <s v="Wallet"/>
    <x v="1"/>
    <x v="1"/>
    <n v="2"/>
    <n v="0"/>
    <n v="0"/>
    <s v="Repeat"/>
    <x v="4"/>
    <n v="45"/>
    <n v="0"/>
  </r>
  <r>
    <n v="659"/>
    <x v="134"/>
    <n v="1284"/>
    <x v="0"/>
    <x v="0"/>
    <x v="1"/>
    <n v="4"/>
    <n v="0"/>
    <s v="UPI"/>
    <x v="2"/>
    <x v="3"/>
    <n v="4"/>
    <n v="0"/>
    <n v="1"/>
    <s v="New"/>
    <x v="3"/>
    <n v="51"/>
    <n v="0"/>
  </r>
  <r>
    <n v="660"/>
    <x v="134"/>
    <n v="1737"/>
    <x v="2"/>
    <x v="3"/>
    <x v="1"/>
    <n v="5"/>
    <n v="0"/>
    <s v="Card"/>
    <x v="1"/>
    <x v="2"/>
    <n v="7"/>
    <n v="1"/>
    <n v="0"/>
    <s v="Repeat"/>
    <x v="3"/>
    <n v="51"/>
    <n v="0"/>
  </r>
  <r>
    <n v="661"/>
    <x v="85"/>
    <n v="1202"/>
    <x v="0"/>
    <x v="1"/>
    <x v="3"/>
    <n v="3"/>
    <n v="14583"/>
    <s v="Wallet"/>
    <x v="0"/>
    <x v="3"/>
    <n v="7"/>
    <n v="1"/>
    <n v="1"/>
    <s v="Repeat"/>
    <x v="3"/>
    <n v="50"/>
    <n v="1"/>
  </r>
  <r>
    <n v="662"/>
    <x v="173"/>
    <n v="1272"/>
    <x v="1"/>
    <x v="4"/>
    <x v="3"/>
    <n v="1"/>
    <n v="0"/>
    <s v="Card"/>
    <x v="2"/>
    <x v="0"/>
    <n v="2"/>
    <n v="1"/>
    <n v="0"/>
    <s v="Repeat"/>
    <x v="5"/>
    <n v="30"/>
    <n v="0"/>
  </r>
  <r>
    <n v="663"/>
    <x v="78"/>
    <n v="1487"/>
    <x v="3"/>
    <x v="0"/>
    <x v="2"/>
    <n v="3"/>
    <n v="0"/>
    <s v="COD"/>
    <x v="2"/>
    <x v="0"/>
    <n v="1"/>
    <n v="1"/>
    <n v="0"/>
    <s v="Repeat"/>
    <x v="3"/>
    <n v="52"/>
    <n v="0"/>
  </r>
  <r>
    <n v="664"/>
    <x v="147"/>
    <n v="1552"/>
    <x v="3"/>
    <x v="0"/>
    <x v="3"/>
    <n v="1"/>
    <n v="0"/>
    <s v="Wallet"/>
    <x v="1"/>
    <x v="3"/>
    <n v="7"/>
    <n v="1"/>
    <n v="1"/>
    <s v="New"/>
    <x v="4"/>
    <n v="47"/>
    <n v="0"/>
  </r>
  <r>
    <n v="665"/>
    <x v="147"/>
    <n v="1412"/>
    <x v="2"/>
    <x v="2"/>
    <x v="2"/>
    <n v="5"/>
    <n v="0"/>
    <s v="COD"/>
    <x v="1"/>
    <x v="3"/>
    <n v="4"/>
    <n v="1"/>
    <n v="1"/>
    <s v="Repeat"/>
    <x v="4"/>
    <n v="47"/>
    <n v="0"/>
  </r>
  <r>
    <n v="666"/>
    <x v="126"/>
    <n v="1984"/>
    <x v="1"/>
    <x v="0"/>
    <x v="3"/>
    <n v="4"/>
    <n v="0"/>
    <s v="Card"/>
    <x v="1"/>
    <x v="3"/>
    <n v="9"/>
    <n v="1"/>
    <n v="1"/>
    <s v="New"/>
    <x v="4"/>
    <n v="46"/>
    <n v="0"/>
  </r>
  <r>
    <n v="667"/>
    <x v="65"/>
    <n v="1381"/>
    <x v="2"/>
    <x v="2"/>
    <x v="1"/>
    <n v="1"/>
    <n v="3737"/>
    <s v="Card"/>
    <x v="0"/>
    <x v="1"/>
    <n v="9"/>
    <n v="1"/>
    <n v="1"/>
    <s v="Repeat"/>
    <x v="1"/>
    <n v="38"/>
    <n v="1"/>
  </r>
  <r>
    <n v="668"/>
    <x v="76"/>
    <n v="1320"/>
    <x v="1"/>
    <x v="0"/>
    <x v="2"/>
    <n v="4"/>
    <n v="13536"/>
    <s v="UPI"/>
    <x v="0"/>
    <x v="3"/>
    <n v="10"/>
    <n v="1"/>
    <n v="0"/>
    <s v="New"/>
    <x v="3"/>
    <n v="50"/>
    <n v="1"/>
  </r>
  <r>
    <n v="669"/>
    <x v="65"/>
    <n v="1111"/>
    <x v="1"/>
    <x v="3"/>
    <x v="1"/>
    <n v="4"/>
    <n v="0"/>
    <s v="Card"/>
    <x v="1"/>
    <x v="1"/>
    <n v="2"/>
    <n v="1"/>
    <n v="0"/>
    <s v="Repeat"/>
    <x v="1"/>
    <n v="38"/>
    <n v="0"/>
  </r>
  <r>
    <n v="670"/>
    <x v="160"/>
    <n v="1874"/>
    <x v="4"/>
    <x v="3"/>
    <x v="2"/>
    <n v="5"/>
    <n v="15070"/>
    <s v="COD"/>
    <x v="0"/>
    <x v="3"/>
    <n v="10"/>
    <n v="1"/>
    <n v="1"/>
    <s v="New"/>
    <x v="4"/>
    <n v="47"/>
    <n v="1"/>
  </r>
  <r>
    <n v="671"/>
    <x v="10"/>
    <n v="1154"/>
    <x v="2"/>
    <x v="0"/>
    <x v="2"/>
    <n v="2"/>
    <n v="4966"/>
    <s v="Card"/>
    <x v="0"/>
    <x v="1"/>
    <n v="9"/>
    <n v="1"/>
    <n v="0"/>
    <s v="New"/>
    <x v="3"/>
    <n v="49"/>
    <n v="1"/>
  </r>
  <r>
    <n v="672"/>
    <x v="92"/>
    <n v="1993"/>
    <x v="4"/>
    <x v="2"/>
    <x v="3"/>
    <n v="3"/>
    <n v="0"/>
    <s v="Card"/>
    <x v="1"/>
    <x v="3"/>
    <n v="7"/>
    <n v="1"/>
    <n v="1"/>
    <s v="Repeat"/>
    <x v="3"/>
    <n v="53"/>
    <n v="0"/>
  </r>
  <r>
    <n v="673"/>
    <x v="121"/>
    <n v="1021"/>
    <x v="2"/>
    <x v="0"/>
    <x v="0"/>
    <n v="2"/>
    <n v="0"/>
    <s v="Card"/>
    <x v="2"/>
    <x v="3"/>
    <n v="2"/>
    <n v="1"/>
    <n v="1"/>
    <s v="Repeat"/>
    <x v="1"/>
    <n v="37"/>
    <n v="0"/>
  </r>
  <r>
    <n v="674"/>
    <x v="103"/>
    <n v="1700"/>
    <x v="2"/>
    <x v="1"/>
    <x v="2"/>
    <n v="2"/>
    <n v="7830"/>
    <s v="Wallet"/>
    <x v="0"/>
    <x v="2"/>
    <n v="1"/>
    <n v="1"/>
    <n v="0"/>
    <s v="Repeat"/>
    <x v="1"/>
    <n v="38"/>
    <n v="1"/>
  </r>
  <r>
    <n v="675"/>
    <x v="65"/>
    <n v="1046"/>
    <x v="1"/>
    <x v="3"/>
    <x v="2"/>
    <n v="1"/>
    <n v="0"/>
    <s v="COD"/>
    <x v="1"/>
    <x v="3"/>
    <n v="10"/>
    <n v="1"/>
    <n v="0"/>
    <s v="Repeat"/>
    <x v="1"/>
    <n v="38"/>
    <n v="0"/>
  </r>
  <r>
    <n v="676"/>
    <x v="38"/>
    <n v="1271"/>
    <x v="4"/>
    <x v="4"/>
    <x v="0"/>
    <n v="5"/>
    <n v="0"/>
    <s v="Card"/>
    <x v="1"/>
    <x v="0"/>
    <n v="4"/>
    <n v="0"/>
    <n v="0"/>
    <s v="New"/>
    <x v="1"/>
    <n v="39"/>
    <n v="0"/>
  </r>
  <r>
    <n v="677"/>
    <x v="59"/>
    <n v="1925"/>
    <x v="4"/>
    <x v="1"/>
    <x v="1"/>
    <n v="3"/>
    <n v="0"/>
    <s v="Card"/>
    <x v="2"/>
    <x v="3"/>
    <n v="9"/>
    <n v="0"/>
    <n v="1"/>
    <s v="Repeat"/>
    <x v="0"/>
    <n v="34"/>
    <n v="0"/>
  </r>
  <r>
    <n v="678"/>
    <x v="110"/>
    <n v="1231"/>
    <x v="1"/>
    <x v="1"/>
    <x v="1"/>
    <n v="5"/>
    <n v="0"/>
    <s v="UPI"/>
    <x v="1"/>
    <x v="3"/>
    <n v="6"/>
    <n v="0"/>
    <n v="0"/>
    <s v="Repeat"/>
    <x v="3"/>
    <n v="52"/>
    <n v="0"/>
  </r>
  <r>
    <n v="679"/>
    <x v="164"/>
    <n v="1315"/>
    <x v="0"/>
    <x v="0"/>
    <x v="0"/>
    <n v="4"/>
    <n v="0"/>
    <s v="UPI"/>
    <x v="1"/>
    <x v="2"/>
    <n v="3"/>
    <n v="0"/>
    <n v="0"/>
    <s v="New"/>
    <x v="0"/>
    <n v="34"/>
    <n v="0"/>
  </r>
  <r>
    <n v="680"/>
    <x v="71"/>
    <n v="1470"/>
    <x v="2"/>
    <x v="3"/>
    <x v="2"/>
    <n v="2"/>
    <n v="0"/>
    <s v="COD"/>
    <x v="2"/>
    <x v="1"/>
    <n v="4"/>
    <n v="1"/>
    <n v="1"/>
    <s v="New"/>
    <x v="3"/>
    <n v="49"/>
    <n v="0"/>
  </r>
  <r>
    <n v="681"/>
    <x v="168"/>
    <n v="1997"/>
    <x v="1"/>
    <x v="2"/>
    <x v="3"/>
    <n v="2"/>
    <n v="0"/>
    <s v="UPI"/>
    <x v="1"/>
    <x v="0"/>
    <n v="8"/>
    <n v="0"/>
    <n v="0"/>
    <s v="Repeat"/>
    <x v="6"/>
    <n v="1"/>
    <n v="0"/>
  </r>
  <r>
    <n v="682"/>
    <x v="157"/>
    <n v="1360"/>
    <x v="3"/>
    <x v="1"/>
    <x v="0"/>
    <n v="3"/>
    <n v="0"/>
    <s v="Wallet"/>
    <x v="2"/>
    <x v="1"/>
    <n v="5"/>
    <n v="1"/>
    <n v="0"/>
    <s v="Repeat"/>
    <x v="2"/>
    <n v="41"/>
    <n v="0"/>
  </r>
  <r>
    <n v="683"/>
    <x v="69"/>
    <n v="1138"/>
    <x v="2"/>
    <x v="1"/>
    <x v="2"/>
    <n v="1"/>
    <n v="0"/>
    <s v="UPI"/>
    <x v="1"/>
    <x v="0"/>
    <n v="4"/>
    <n v="1"/>
    <n v="0"/>
    <s v="New"/>
    <x v="2"/>
    <n v="40"/>
    <n v="0"/>
  </r>
  <r>
    <n v="684"/>
    <x v="162"/>
    <n v="1002"/>
    <x v="1"/>
    <x v="1"/>
    <x v="3"/>
    <n v="2"/>
    <n v="0"/>
    <s v="COD"/>
    <x v="2"/>
    <x v="3"/>
    <n v="6"/>
    <n v="0"/>
    <n v="1"/>
    <s v="Repeat"/>
    <x v="2"/>
    <n v="43"/>
    <n v="0"/>
  </r>
  <r>
    <n v="685"/>
    <x v="21"/>
    <n v="1857"/>
    <x v="2"/>
    <x v="1"/>
    <x v="0"/>
    <n v="4"/>
    <n v="0"/>
    <s v="COD"/>
    <x v="1"/>
    <x v="2"/>
    <n v="7"/>
    <n v="1"/>
    <n v="1"/>
    <s v="Repeat"/>
    <x v="2"/>
    <n v="43"/>
    <n v="0"/>
  </r>
  <r>
    <n v="686"/>
    <x v="147"/>
    <n v="1233"/>
    <x v="4"/>
    <x v="3"/>
    <x v="2"/>
    <n v="2"/>
    <n v="0"/>
    <s v="Card"/>
    <x v="2"/>
    <x v="2"/>
    <n v="3"/>
    <n v="0"/>
    <n v="1"/>
    <s v="New"/>
    <x v="4"/>
    <n v="47"/>
    <n v="0"/>
  </r>
  <r>
    <n v="687"/>
    <x v="62"/>
    <n v="1736"/>
    <x v="1"/>
    <x v="4"/>
    <x v="1"/>
    <n v="2"/>
    <n v="1786"/>
    <s v="Wallet"/>
    <x v="0"/>
    <x v="3"/>
    <n v="3"/>
    <n v="0"/>
    <n v="0"/>
    <s v="New"/>
    <x v="2"/>
    <n v="43"/>
    <n v="1"/>
  </r>
  <r>
    <n v="688"/>
    <x v="98"/>
    <n v="1729"/>
    <x v="4"/>
    <x v="1"/>
    <x v="1"/>
    <n v="5"/>
    <n v="0"/>
    <s v="Card"/>
    <x v="1"/>
    <x v="3"/>
    <n v="2"/>
    <n v="0"/>
    <n v="0"/>
    <s v="New"/>
    <x v="3"/>
    <n v="51"/>
    <n v="0"/>
  </r>
  <r>
    <n v="689"/>
    <x v="118"/>
    <n v="1393"/>
    <x v="2"/>
    <x v="0"/>
    <x v="2"/>
    <n v="2"/>
    <n v="3098"/>
    <s v="Card"/>
    <x v="0"/>
    <x v="1"/>
    <n v="6"/>
    <n v="1"/>
    <n v="1"/>
    <s v="New"/>
    <x v="0"/>
    <n v="35"/>
    <n v="1"/>
  </r>
  <r>
    <n v="690"/>
    <x v="57"/>
    <n v="1055"/>
    <x v="2"/>
    <x v="1"/>
    <x v="2"/>
    <n v="2"/>
    <n v="0"/>
    <s v="UPI"/>
    <x v="2"/>
    <x v="2"/>
    <n v="7"/>
    <n v="1"/>
    <n v="1"/>
    <s v="New"/>
    <x v="4"/>
    <n v="48"/>
    <n v="0"/>
  </r>
  <r>
    <n v="691"/>
    <x v="175"/>
    <n v="1506"/>
    <x v="4"/>
    <x v="0"/>
    <x v="2"/>
    <n v="3"/>
    <n v="0"/>
    <s v="Wallet"/>
    <x v="1"/>
    <x v="1"/>
    <n v="9"/>
    <n v="1"/>
    <n v="1"/>
    <s v="Repeat"/>
    <x v="5"/>
    <n v="31"/>
    <n v="0"/>
  </r>
  <r>
    <n v="692"/>
    <x v="17"/>
    <n v="1256"/>
    <x v="4"/>
    <x v="3"/>
    <x v="3"/>
    <n v="1"/>
    <n v="0"/>
    <s v="Card"/>
    <x v="2"/>
    <x v="0"/>
    <n v="3"/>
    <n v="1"/>
    <n v="1"/>
    <s v="Repeat"/>
    <x v="1"/>
    <n v="38"/>
    <n v="0"/>
  </r>
  <r>
    <n v="693"/>
    <x v="126"/>
    <n v="1995"/>
    <x v="3"/>
    <x v="0"/>
    <x v="2"/>
    <n v="1"/>
    <n v="751"/>
    <s v="Card"/>
    <x v="0"/>
    <x v="3"/>
    <n v="6"/>
    <n v="0"/>
    <n v="0"/>
    <s v="Repeat"/>
    <x v="4"/>
    <n v="46"/>
    <n v="1"/>
  </r>
  <r>
    <n v="694"/>
    <x v="141"/>
    <n v="1844"/>
    <x v="1"/>
    <x v="1"/>
    <x v="1"/>
    <n v="2"/>
    <n v="0"/>
    <s v="UPI"/>
    <x v="2"/>
    <x v="1"/>
    <n v="8"/>
    <n v="1"/>
    <n v="1"/>
    <s v="Repeat"/>
    <x v="1"/>
    <n v="39"/>
    <n v="0"/>
  </r>
  <r>
    <n v="695"/>
    <x v="51"/>
    <n v="1609"/>
    <x v="2"/>
    <x v="0"/>
    <x v="3"/>
    <n v="2"/>
    <n v="0"/>
    <s v="UPI"/>
    <x v="1"/>
    <x v="3"/>
    <n v="5"/>
    <n v="0"/>
    <n v="0"/>
    <s v="Repeat"/>
    <x v="5"/>
    <n v="29"/>
    <n v="0"/>
  </r>
  <r>
    <n v="696"/>
    <x v="176"/>
    <n v="1080"/>
    <x v="1"/>
    <x v="2"/>
    <x v="2"/>
    <n v="1"/>
    <n v="2710"/>
    <s v="Card"/>
    <x v="0"/>
    <x v="0"/>
    <n v="9"/>
    <n v="1"/>
    <n v="0"/>
    <s v="New"/>
    <x v="3"/>
    <n v="51"/>
    <n v="1"/>
  </r>
  <r>
    <n v="697"/>
    <x v="24"/>
    <n v="1774"/>
    <x v="4"/>
    <x v="4"/>
    <x v="2"/>
    <n v="1"/>
    <n v="4416"/>
    <s v="Card"/>
    <x v="0"/>
    <x v="1"/>
    <n v="4"/>
    <n v="1"/>
    <n v="1"/>
    <s v="Repeat"/>
    <x v="5"/>
    <n v="30"/>
    <n v="1"/>
  </r>
  <r>
    <n v="698"/>
    <x v="0"/>
    <n v="1093"/>
    <x v="2"/>
    <x v="0"/>
    <x v="0"/>
    <n v="5"/>
    <n v="0"/>
    <s v="COD"/>
    <x v="1"/>
    <x v="3"/>
    <n v="3"/>
    <n v="0"/>
    <n v="0"/>
    <s v="New"/>
    <x v="0"/>
    <n v="32"/>
    <n v="0"/>
  </r>
  <r>
    <n v="699"/>
    <x v="146"/>
    <n v="1571"/>
    <x v="3"/>
    <x v="3"/>
    <x v="0"/>
    <n v="4"/>
    <n v="7908"/>
    <s v="COD"/>
    <x v="0"/>
    <x v="1"/>
    <n v="1"/>
    <n v="1"/>
    <n v="1"/>
    <s v="New"/>
    <x v="2"/>
    <n v="40"/>
    <n v="1"/>
  </r>
  <r>
    <n v="700"/>
    <x v="27"/>
    <n v="1605"/>
    <x v="3"/>
    <x v="3"/>
    <x v="1"/>
    <n v="2"/>
    <n v="0"/>
    <s v="Wallet"/>
    <x v="2"/>
    <x v="0"/>
    <n v="6"/>
    <n v="0"/>
    <n v="0"/>
    <s v="New"/>
    <x v="1"/>
    <n v="37"/>
    <n v="0"/>
  </r>
  <r>
    <n v="701"/>
    <x v="33"/>
    <n v="1320"/>
    <x v="1"/>
    <x v="4"/>
    <x v="1"/>
    <n v="1"/>
    <n v="0"/>
    <s v="Card"/>
    <x v="1"/>
    <x v="3"/>
    <n v="6"/>
    <n v="0"/>
    <n v="1"/>
    <s v="Repeat"/>
    <x v="5"/>
    <n v="31"/>
    <n v="0"/>
  </r>
  <r>
    <n v="702"/>
    <x v="40"/>
    <n v="1276"/>
    <x v="4"/>
    <x v="4"/>
    <x v="1"/>
    <n v="2"/>
    <n v="0"/>
    <s v="UPI"/>
    <x v="1"/>
    <x v="3"/>
    <n v="8"/>
    <n v="1"/>
    <n v="1"/>
    <s v="Repeat"/>
    <x v="0"/>
    <n v="32"/>
    <n v="0"/>
  </r>
  <r>
    <n v="703"/>
    <x v="111"/>
    <n v="1912"/>
    <x v="4"/>
    <x v="0"/>
    <x v="3"/>
    <n v="1"/>
    <n v="0"/>
    <s v="COD"/>
    <x v="2"/>
    <x v="3"/>
    <n v="5"/>
    <n v="1"/>
    <n v="0"/>
    <s v="Repeat"/>
    <x v="4"/>
    <n v="48"/>
    <n v="0"/>
  </r>
  <r>
    <n v="704"/>
    <x v="138"/>
    <n v="1995"/>
    <x v="0"/>
    <x v="1"/>
    <x v="0"/>
    <n v="4"/>
    <n v="0"/>
    <s v="COD"/>
    <x v="1"/>
    <x v="3"/>
    <n v="5"/>
    <n v="1"/>
    <n v="0"/>
    <s v="Repeat"/>
    <x v="2"/>
    <n v="44"/>
    <n v="0"/>
  </r>
  <r>
    <n v="705"/>
    <x v="142"/>
    <n v="1204"/>
    <x v="4"/>
    <x v="4"/>
    <x v="1"/>
    <n v="1"/>
    <n v="1766"/>
    <s v="Wallet"/>
    <x v="0"/>
    <x v="2"/>
    <n v="6"/>
    <n v="0"/>
    <n v="0"/>
    <s v="Repeat"/>
    <x v="2"/>
    <n v="42"/>
    <n v="1"/>
  </r>
  <r>
    <n v="706"/>
    <x v="13"/>
    <n v="1600"/>
    <x v="3"/>
    <x v="2"/>
    <x v="3"/>
    <n v="5"/>
    <n v="3980"/>
    <s v="Wallet"/>
    <x v="0"/>
    <x v="1"/>
    <n v="6"/>
    <n v="0"/>
    <n v="0"/>
    <s v="New"/>
    <x v="2"/>
    <n v="41"/>
    <n v="1"/>
  </r>
  <r>
    <n v="707"/>
    <x v="102"/>
    <n v="1569"/>
    <x v="4"/>
    <x v="2"/>
    <x v="2"/>
    <n v="4"/>
    <n v="8344"/>
    <s v="Card"/>
    <x v="0"/>
    <x v="1"/>
    <n v="10"/>
    <n v="1"/>
    <n v="0"/>
    <s v="New"/>
    <x v="3"/>
    <n v="50"/>
    <n v="1"/>
  </r>
  <r>
    <n v="708"/>
    <x v="143"/>
    <n v="1242"/>
    <x v="4"/>
    <x v="2"/>
    <x v="2"/>
    <n v="1"/>
    <n v="0"/>
    <s v="Wallet"/>
    <x v="2"/>
    <x v="0"/>
    <n v="10"/>
    <n v="0"/>
    <n v="1"/>
    <s v="Repeat"/>
    <x v="2"/>
    <n v="43"/>
    <n v="0"/>
  </r>
  <r>
    <n v="709"/>
    <x v="124"/>
    <n v="1059"/>
    <x v="0"/>
    <x v="2"/>
    <x v="3"/>
    <n v="1"/>
    <n v="0"/>
    <s v="Wallet"/>
    <x v="2"/>
    <x v="3"/>
    <n v="6"/>
    <n v="1"/>
    <n v="0"/>
    <s v="Repeat"/>
    <x v="1"/>
    <n v="37"/>
    <n v="0"/>
  </r>
  <r>
    <n v="710"/>
    <x v="6"/>
    <n v="1803"/>
    <x v="1"/>
    <x v="4"/>
    <x v="3"/>
    <n v="5"/>
    <n v="0"/>
    <s v="COD"/>
    <x v="1"/>
    <x v="1"/>
    <n v="5"/>
    <n v="0"/>
    <n v="1"/>
    <s v="New"/>
    <x v="4"/>
    <n v="47"/>
    <n v="0"/>
  </r>
  <r>
    <n v="711"/>
    <x v="76"/>
    <n v="1815"/>
    <x v="0"/>
    <x v="4"/>
    <x v="2"/>
    <n v="2"/>
    <n v="8326"/>
    <s v="Card"/>
    <x v="0"/>
    <x v="2"/>
    <n v="3"/>
    <n v="0"/>
    <n v="0"/>
    <s v="New"/>
    <x v="3"/>
    <n v="50"/>
    <n v="1"/>
  </r>
  <r>
    <n v="712"/>
    <x v="76"/>
    <n v="1359"/>
    <x v="3"/>
    <x v="0"/>
    <x v="2"/>
    <n v="4"/>
    <n v="11164"/>
    <s v="Card"/>
    <x v="0"/>
    <x v="3"/>
    <n v="5"/>
    <n v="0"/>
    <n v="1"/>
    <s v="New"/>
    <x v="3"/>
    <n v="50"/>
    <n v="1"/>
  </r>
  <r>
    <n v="713"/>
    <x v="7"/>
    <n v="1290"/>
    <x v="2"/>
    <x v="0"/>
    <x v="3"/>
    <n v="1"/>
    <n v="0"/>
    <s v="Wallet"/>
    <x v="2"/>
    <x v="3"/>
    <n v="8"/>
    <n v="0"/>
    <n v="0"/>
    <s v="New"/>
    <x v="3"/>
    <n v="49"/>
    <n v="0"/>
  </r>
  <r>
    <n v="714"/>
    <x v="77"/>
    <n v="1797"/>
    <x v="3"/>
    <x v="4"/>
    <x v="1"/>
    <n v="3"/>
    <n v="0"/>
    <s v="COD"/>
    <x v="2"/>
    <x v="3"/>
    <n v="1"/>
    <n v="1"/>
    <n v="0"/>
    <s v="Repeat"/>
    <x v="1"/>
    <n v="38"/>
    <n v="0"/>
  </r>
  <r>
    <n v="715"/>
    <x v="71"/>
    <n v="1573"/>
    <x v="1"/>
    <x v="1"/>
    <x v="3"/>
    <n v="4"/>
    <n v="0"/>
    <s v="Card"/>
    <x v="2"/>
    <x v="0"/>
    <n v="4"/>
    <n v="0"/>
    <n v="1"/>
    <s v="Repeat"/>
    <x v="3"/>
    <n v="49"/>
    <n v="0"/>
  </r>
  <r>
    <n v="716"/>
    <x v="99"/>
    <n v="1051"/>
    <x v="1"/>
    <x v="0"/>
    <x v="0"/>
    <n v="3"/>
    <n v="3318"/>
    <s v="Card"/>
    <x v="0"/>
    <x v="1"/>
    <n v="7"/>
    <n v="1"/>
    <n v="0"/>
    <s v="Repeat"/>
    <x v="4"/>
    <n v="48"/>
    <n v="1"/>
  </r>
  <r>
    <n v="717"/>
    <x v="135"/>
    <n v="1630"/>
    <x v="3"/>
    <x v="4"/>
    <x v="2"/>
    <n v="2"/>
    <n v="0"/>
    <s v="UPI"/>
    <x v="1"/>
    <x v="2"/>
    <n v="5"/>
    <n v="0"/>
    <n v="1"/>
    <s v="Repeat"/>
    <x v="2"/>
    <n v="43"/>
    <n v="0"/>
  </r>
  <r>
    <n v="718"/>
    <x v="23"/>
    <n v="1827"/>
    <x v="0"/>
    <x v="2"/>
    <x v="3"/>
    <n v="4"/>
    <n v="0"/>
    <s v="Card"/>
    <x v="2"/>
    <x v="0"/>
    <n v="10"/>
    <n v="1"/>
    <n v="0"/>
    <s v="Repeat"/>
    <x v="3"/>
    <n v="51"/>
    <n v="0"/>
  </r>
  <r>
    <n v="719"/>
    <x v="44"/>
    <n v="1906"/>
    <x v="1"/>
    <x v="0"/>
    <x v="2"/>
    <n v="1"/>
    <n v="558"/>
    <s v="Wallet"/>
    <x v="0"/>
    <x v="1"/>
    <n v="8"/>
    <n v="0"/>
    <n v="1"/>
    <s v="Repeat"/>
    <x v="4"/>
    <n v="47"/>
    <n v="1"/>
  </r>
  <r>
    <n v="720"/>
    <x v="33"/>
    <n v="1859"/>
    <x v="4"/>
    <x v="2"/>
    <x v="1"/>
    <n v="2"/>
    <n v="0"/>
    <s v="Card"/>
    <x v="1"/>
    <x v="1"/>
    <n v="1"/>
    <n v="1"/>
    <n v="0"/>
    <s v="Repeat"/>
    <x v="5"/>
    <n v="31"/>
    <n v="0"/>
  </r>
  <r>
    <n v="721"/>
    <x v="53"/>
    <n v="1630"/>
    <x v="1"/>
    <x v="0"/>
    <x v="1"/>
    <n v="2"/>
    <n v="0"/>
    <s v="COD"/>
    <x v="2"/>
    <x v="1"/>
    <n v="4"/>
    <n v="1"/>
    <n v="0"/>
    <s v="Repeat"/>
    <x v="2"/>
    <n v="42"/>
    <n v="0"/>
  </r>
  <r>
    <n v="722"/>
    <x v="163"/>
    <n v="1598"/>
    <x v="0"/>
    <x v="1"/>
    <x v="1"/>
    <n v="5"/>
    <n v="0"/>
    <s v="COD"/>
    <x v="2"/>
    <x v="2"/>
    <n v="9"/>
    <n v="1"/>
    <n v="1"/>
    <s v="Repeat"/>
    <x v="4"/>
    <n v="45"/>
    <n v="0"/>
  </r>
  <r>
    <n v="723"/>
    <x v="156"/>
    <n v="1400"/>
    <x v="0"/>
    <x v="2"/>
    <x v="0"/>
    <n v="3"/>
    <n v="0"/>
    <s v="Card"/>
    <x v="2"/>
    <x v="2"/>
    <n v="6"/>
    <n v="0"/>
    <n v="1"/>
    <s v="Repeat"/>
    <x v="6"/>
    <n v="2"/>
    <n v="0"/>
  </r>
  <r>
    <n v="724"/>
    <x v="31"/>
    <n v="1765"/>
    <x v="4"/>
    <x v="3"/>
    <x v="2"/>
    <n v="2"/>
    <n v="0"/>
    <s v="COD"/>
    <x v="2"/>
    <x v="2"/>
    <n v="9"/>
    <n v="1"/>
    <n v="1"/>
    <s v="New"/>
    <x v="2"/>
    <n v="44"/>
    <n v="0"/>
  </r>
  <r>
    <n v="725"/>
    <x v="11"/>
    <n v="1369"/>
    <x v="2"/>
    <x v="3"/>
    <x v="2"/>
    <n v="2"/>
    <n v="0"/>
    <s v="Wallet"/>
    <x v="1"/>
    <x v="3"/>
    <n v="7"/>
    <n v="1"/>
    <n v="1"/>
    <s v="New"/>
    <x v="0"/>
    <n v="35"/>
    <n v="0"/>
  </r>
  <r>
    <n v="726"/>
    <x v="36"/>
    <n v="1479"/>
    <x v="4"/>
    <x v="0"/>
    <x v="1"/>
    <n v="3"/>
    <n v="1365"/>
    <s v="Wallet"/>
    <x v="0"/>
    <x v="2"/>
    <n v="10"/>
    <n v="0"/>
    <n v="0"/>
    <s v="New"/>
    <x v="2"/>
    <n v="44"/>
    <n v="1"/>
  </r>
  <r>
    <n v="727"/>
    <x v="14"/>
    <n v="1433"/>
    <x v="0"/>
    <x v="2"/>
    <x v="0"/>
    <n v="2"/>
    <n v="978"/>
    <s v="Wallet"/>
    <x v="0"/>
    <x v="3"/>
    <n v="3"/>
    <n v="0"/>
    <n v="1"/>
    <s v="New"/>
    <x v="0"/>
    <n v="34"/>
    <n v="1"/>
  </r>
  <r>
    <n v="728"/>
    <x v="23"/>
    <n v="1604"/>
    <x v="1"/>
    <x v="1"/>
    <x v="1"/>
    <n v="2"/>
    <n v="716"/>
    <s v="Card"/>
    <x v="0"/>
    <x v="3"/>
    <n v="7"/>
    <n v="1"/>
    <n v="1"/>
    <s v="Repeat"/>
    <x v="3"/>
    <n v="51"/>
    <n v="1"/>
  </r>
  <r>
    <n v="729"/>
    <x v="170"/>
    <n v="1670"/>
    <x v="4"/>
    <x v="1"/>
    <x v="3"/>
    <n v="4"/>
    <n v="0"/>
    <s v="COD"/>
    <x v="2"/>
    <x v="1"/>
    <n v="8"/>
    <n v="0"/>
    <n v="0"/>
    <s v="New"/>
    <x v="4"/>
    <n v="48"/>
    <n v="0"/>
  </r>
  <r>
    <n v="730"/>
    <x v="56"/>
    <n v="1817"/>
    <x v="3"/>
    <x v="3"/>
    <x v="3"/>
    <n v="1"/>
    <n v="0"/>
    <s v="Card"/>
    <x v="2"/>
    <x v="3"/>
    <n v="6"/>
    <n v="0"/>
    <n v="1"/>
    <s v="Repeat"/>
    <x v="6"/>
    <n v="2"/>
    <n v="0"/>
  </r>
  <r>
    <n v="731"/>
    <x v="156"/>
    <n v="1521"/>
    <x v="0"/>
    <x v="4"/>
    <x v="2"/>
    <n v="3"/>
    <n v="0"/>
    <s v="COD"/>
    <x v="2"/>
    <x v="1"/>
    <n v="4"/>
    <n v="0"/>
    <n v="1"/>
    <s v="New"/>
    <x v="6"/>
    <n v="2"/>
    <n v="0"/>
  </r>
  <r>
    <n v="732"/>
    <x v="85"/>
    <n v="1625"/>
    <x v="3"/>
    <x v="0"/>
    <x v="3"/>
    <n v="2"/>
    <n v="0"/>
    <s v="COD"/>
    <x v="1"/>
    <x v="2"/>
    <n v="2"/>
    <n v="0"/>
    <n v="0"/>
    <s v="Repeat"/>
    <x v="3"/>
    <n v="50"/>
    <n v="0"/>
  </r>
  <r>
    <n v="733"/>
    <x v="79"/>
    <n v="1599"/>
    <x v="2"/>
    <x v="3"/>
    <x v="2"/>
    <n v="1"/>
    <n v="2017"/>
    <s v="COD"/>
    <x v="0"/>
    <x v="3"/>
    <n v="5"/>
    <n v="1"/>
    <n v="0"/>
    <s v="Repeat"/>
    <x v="1"/>
    <n v="36"/>
    <n v="1"/>
  </r>
  <r>
    <n v="734"/>
    <x v="116"/>
    <n v="1490"/>
    <x v="4"/>
    <x v="1"/>
    <x v="0"/>
    <n v="2"/>
    <n v="0"/>
    <s v="COD"/>
    <x v="2"/>
    <x v="3"/>
    <n v="2"/>
    <n v="1"/>
    <n v="0"/>
    <s v="Repeat"/>
    <x v="3"/>
    <n v="50"/>
    <n v="0"/>
  </r>
  <r>
    <n v="735"/>
    <x v="165"/>
    <n v="1275"/>
    <x v="3"/>
    <x v="4"/>
    <x v="3"/>
    <n v="3"/>
    <n v="675"/>
    <s v="UPI"/>
    <x v="0"/>
    <x v="3"/>
    <n v="3"/>
    <n v="1"/>
    <n v="0"/>
    <s v="Repeat"/>
    <x v="2"/>
    <n v="41"/>
    <n v="1"/>
  </r>
  <r>
    <n v="736"/>
    <x v="123"/>
    <n v="1301"/>
    <x v="0"/>
    <x v="0"/>
    <x v="0"/>
    <n v="2"/>
    <n v="0"/>
    <s v="UPI"/>
    <x v="2"/>
    <x v="3"/>
    <n v="4"/>
    <n v="0"/>
    <n v="1"/>
    <s v="Repeat"/>
    <x v="0"/>
    <n v="34"/>
    <n v="0"/>
  </r>
  <r>
    <n v="737"/>
    <x v="42"/>
    <n v="1227"/>
    <x v="3"/>
    <x v="2"/>
    <x v="2"/>
    <n v="4"/>
    <n v="0"/>
    <s v="UPI"/>
    <x v="1"/>
    <x v="0"/>
    <n v="3"/>
    <n v="1"/>
    <n v="1"/>
    <s v="Repeat"/>
    <x v="2"/>
    <n v="44"/>
    <n v="0"/>
  </r>
  <r>
    <n v="738"/>
    <x v="146"/>
    <n v="1665"/>
    <x v="4"/>
    <x v="3"/>
    <x v="3"/>
    <n v="1"/>
    <n v="0"/>
    <s v="COD"/>
    <x v="1"/>
    <x v="2"/>
    <n v="9"/>
    <n v="1"/>
    <n v="1"/>
    <s v="Repeat"/>
    <x v="2"/>
    <n v="40"/>
    <n v="0"/>
  </r>
  <r>
    <n v="739"/>
    <x v="42"/>
    <n v="1043"/>
    <x v="1"/>
    <x v="2"/>
    <x v="3"/>
    <n v="1"/>
    <n v="0"/>
    <s v="COD"/>
    <x v="2"/>
    <x v="0"/>
    <n v="1"/>
    <n v="1"/>
    <n v="1"/>
    <s v="Repeat"/>
    <x v="2"/>
    <n v="44"/>
    <n v="0"/>
  </r>
  <r>
    <n v="740"/>
    <x v="4"/>
    <n v="1003"/>
    <x v="4"/>
    <x v="2"/>
    <x v="0"/>
    <n v="1"/>
    <n v="0"/>
    <s v="Wallet"/>
    <x v="1"/>
    <x v="2"/>
    <n v="3"/>
    <n v="1"/>
    <n v="1"/>
    <s v="Repeat"/>
    <x v="3"/>
    <n v="50"/>
    <n v="0"/>
  </r>
  <r>
    <n v="741"/>
    <x v="33"/>
    <n v="1135"/>
    <x v="1"/>
    <x v="3"/>
    <x v="3"/>
    <n v="2"/>
    <n v="3580"/>
    <s v="Wallet"/>
    <x v="0"/>
    <x v="1"/>
    <n v="5"/>
    <n v="1"/>
    <n v="1"/>
    <s v="New"/>
    <x v="5"/>
    <n v="31"/>
    <n v="1"/>
  </r>
  <r>
    <n v="742"/>
    <x v="31"/>
    <n v="1170"/>
    <x v="0"/>
    <x v="3"/>
    <x v="1"/>
    <n v="5"/>
    <n v="0"/>
    <s v="Wallet"/>
    <x v="2"/>
    <x v="3"/>
    <n v="4"/>
    <n v="1"/>
    <n v="0"/>
    <s v="New"/>
    <x v="2"/>
    <n v="44"/>
    <n v="0"/>
  </r>
  <r>
    <n v="743"/>
    <x v="159"/>
    <n v="1012"/>
    <x v="2"/>
    <x v="3"/>
    <x v="3"/>
    <n v="4"/>
    <n v="19912"/>
    <s v="COD"/>
    <x v="0"/>
    <x v="0"/>
    <n v="4"/>
    <n v="0"/>
    <n v="0"/>
    <s v="New"/>
    <x v="3"/>
    <n v="49"/>
    <n v="1"/>
  </r>
  <r>
    <n v="744"/>
    <x v="72"/>
    <n v="1864"/>
    <x v="1"/>
    <x v="2"/>
    <x v="3"/>
    <n v="5"/>
    <n v="9490"/>
    <s v="Card"/>
    <x v="0"/>
    <x v="3"/>
    <n v="8"/>
    <n v="0"/>
    <n v="0"/>
    <s v="New"/>
    <x v="2"/>
    <n v="41"/>
    <n v="1"/>
  </r>
  <r>
    <n v="745"/>
    <x v="34"/>
    <n v="1170"/>
    <x v="1"/>
    <x v="0"/>
    <x v="0"/>
    <n v="2"/>
    <n v="3248"/>
    <s v="Wallet"/>
    <x v="0"/>
    <x v="0"/>
    <n v="8"/>
    <n v="1"/>
    <n v="0"/>
    <s v="Repeat"/>
    <x v="3"/>
    <n v="51"/>
    <n v="1"/>
  </r>
  <r>
    <n v="746"/>
    <x v="34"/>
    <n v="1725"/>
    <x v="2"/>
    <x v="4"/>
    <x v="0"/>
    <n v="4"/>
    <n v="0"/>
    <s v="Wallet"/>
    <x v="2"/>
    <x v="3"/>
    <n v="2"/>
    <n v="0"/>
    <n v="0"/>
    <s v="New"/>
    <x v="3"/>
    <n v="51"/>
    <n v="0"/>
  </r>
  <r>
    <n v="747"/>
    <x v="80"/>
    <n v="1725"/>
    <x v="3"/>
    <x v="0"/>
    <x v="0"/>
    <n v="4"/>
    <n v="0"/>
    <s v="Wallet"/>
    <x v="2"/>
    <x v="2"/>
    <n v="3"/>
    <n v="0"/>
    <n v="1"/>
    <s v="Repeat"/>
    <x v="6"/>
    <n v="2"/>
    <n v="0"/>
  </r>
  <r>
    <n v="748"/>
    <x v="23"/>
    <n v="1254"/>
    <x v="0"/>
    <x v="4"/>
    <x v="0"/>
    <n v="1"/>
    <n v="3047"/>
    <s v="UPI"/>
    <x v="0"/>
    <x v="3"/>
    <n v="6"/>
    <n v="0"/>
    <n v="1"/>
    <s v="New"/>
    <x v="3"/>
    <n v="51"/>
    <n v="1"/>
  </r>
  <r>
    <n v="749"/>
    <x v="69"/>
    <n v="1230"/>
    <x v="3"/>
    <x v="3"/>
    <x v="3"/>
    <n v="3"/>
    <n v="3450"/>
    <s v="UPI"/>
    <x v="0"/>
    <x v="0"/>
    <n v="8"/>
    <n v="1"/>
    <n v="1"/>
    <s v="New"/>
    <x v="2"/>
    <n v="40"/>
    <n v="1"/>
  </r>
  <r>
    <n v="750"/>
    <x v="78"/>
    <n v="1780"/>
    <x v="3"/>
    <x v="1"/>
    <x v="1"/>
    <n v="2"/>
    <n v="5170"/>
    <s v="COD"/>
    <x v="0"/>
    <x v="1"/>
    <n v="4"/>
    <n v="0"/>
    <n v="0"/>
    <s v="New"/>
    <x v="3"/>
    <n v="52"/>
    <n v="1"/>
  </r>
  <r>
    <n v="751"/>
    <x v="66"/>
    <n v="1061"/>
    <x v="1"/>
    <x v="0"/>
    <x v="3"/>
    <n v="2"/>
    <n v="5558"/>
    <s v="Card"/>
    <x v="0"/>
    <x v="3"/>
    <n v="9"/>
    <n v="0"/>
    <n v="1"/>
    <s v="Repeat"/>
    <x v="1"/>
    <n v="39"/>
    <n v="1"/>
  </r>
  <r>
    <n v="752"/>
    <x v="50"/>
    <n v="1544"/>
    <x v="1"/>
    <x v="3"/>
    <x v="1"/>
    <n v="2"/>
    <n v="1004"/>
    <s v="COD"/>
    <x v="0"/>
    <x v="1"/>
    <n v="6"/>
    <n v="0"/>
    <n v="1"/>
    <s v="Repeat"/>
    <x v="3"/>
    <n v="53"/>
    <n v="1"/>
  </r>
  <r>
    <n v="753"/>
    <x v="122"/>
    <n v="1324"/>
    <x v="0"/>
    <x v="1"/>
    <x v="0"/>
    <n v="5"/>
    <n v="0"/>
    <s v="COD"/>
    <x v="2"/>
    <x v="0"/>
    <n v="2"/>
    <n v="0"/>
    <n v="0"/>
    <s v="Repeat"/>
    <x v="3"/>
    <n v="53"/>
    <n v="0"/>
  </r>
  <r>
    <n v="754"/>
    <x v="177"/>
    <n v="1914"/>
    <x v="0"/>
    <x v="1"/>
    <x v="1"/>
    <n v="3"/>
    <n v="0"/>
    <s v="UPI"/>
    <x v="2"/>
    <x v="2"/>
    <n v="9"/>
    <n v="0"/>
    <n v="1"/>
    <s v="Repeat"/>
    <x v="4"/>
    <n v="45"/>
    <n v="0"/>
  </r>
  <r>
    <n v="755"/>
    <x v="122"/>
    <n v="1327"/>
    <x v="0"/>
    <x v="1"/>
    <x v="1"/>
    <n v="3"/>
    <n v="8649"/>
    <s v="COD"/>
    <x v="0"/>
    <x v="1"/>
    <n v="4"/>
    <n v="1"/>
    <n v="0"/>
    <s v="New"/>
    <x v="3"/>
    <n v="53"/>
    <n v="1"/>
  </r>
  <r>
    <n v="756"/>
    <x v="144"/>
    <n v="1436"/>
    <x v="1"/>
    <x v="3"/>
    <x v="2"/>
    <n v="5"/>
    <n v="5495"/>
    <s v="Wallet"/>
    <x v="0"/>
    <x v="2"/>
    <n v="7"/>
    <n v="1"/>
    <n v="0"/>
    <s v="New"/>
    <x v="3"/>
    <n v="52"/>
    <n v="1"/>
  </r>
  <r>
    <n v="757"/>
    <x v="136"/>
    <n v="1473"/>
    <x v="1"/>
    <x v="1"/>
    <x v="2"/>
    <n v="1"/>
    <n v="1298"/>
    <s v="Card"/>
    <x v="0"/>
    <x v="3"/>
    <n v="10"/>
    <n v="1"/>
    <n v="1"/>
    <s v="New"/>
    <x v="2"/>
    <n v="40"/>
    <n v="1"/>
  </r>
  <r>
    <n v="758"/>
    <x v="145"/>
    <n v="1556"/>
    <x v="0"/>
    <x v="2"/>
    <x v="1"/>
    <n v="1"/>
    <n v="3664"/>
    <s v="COD"/>
    <x v="0"/>
    <x v="2"/>
    <n v="9"/>
    <n v="1"/>
    <n v="0"/>
    <s v="New"/>
    <x v="4"/>
    <n v="48"/>
    <n v="1"/>
  </r>
  <r>
    <n v="759"/>
    <x v="104"/>
    <n v="1529"/>
    <x v="2"/>
    <x v="4"/>
    <x v="0"/>
    <n v="3"/>
    <n v="9396"/>
    <s v="Card"/>
    <x v="0"/>
    <x v="2"/>
    <n v="9"/>
    <n v="0"/>
    <n v="1"/>
    <s v="New"/>
    <x v="5"/>
    <n v="29"/>
    <n v="1"/>
  </r>
  <r>
    <n v="760"/>
    <x v="4"/>
    <n v="1799"/>
    <x v="4"/>
    <x v="2"/>
    <x v="0"/>
    <n v="2"/>
    <n v="0"/>
    <s v="UPI"/>
    <x v="2"/>
    <x v="0"/>
    <n v="5"/>
    <n v="0"/>
    <n v="1"/>
    <s v="Repeat"/>
    <x v="3"/>
    <n v="50"/>
    <n v="0"/>
  </r>
  <r>
    <n v="761"/>
    <x v="15"/>
    <n v="1771"/>
    <x v="3"/>
    <x v="1"/>
    <x v="1"/>
    <n v="3"/>
    <n v="0"/>
    <s v="UPI"/>
    <x v="2"/>
    <x v="2"/>
    <n v="9"/>
    <n v="0"/>
    <n v="1"/>
    <s v="New"/>
    <x v="4"/>
    <n v="47"/>
    <n v="0"/>
  </r>
  <r>
    <n v="762"/>
    <x v="0"/>
    <n v="1684"/>
    <x v="1"/>
    <x v="0"/>
    <x v="2"/>
    <n v="3"/>
    <n v="0"/>
    <s v="UPI"/>
    <x v="1"/>
    <x v="3"/>
    <n v="6"/>
    <n v="1"/>
    <n v="0"/>
    <s v="Repeat"/>
    <x v="0"/>
    <n v="32"/>
    <n v="0"/>
  </r>
  <r>
    <n v="763"/>
    <x v="157"/>
    <n v="1190"/>
    <x v="4"/>
    <x v="2"/>
    <x v="2"/>
    <n v="3"/>
    <n v="0"/>
    <s v="COD"/>
    <x v="2"/>
    <x v="2"/>
    <n v="10"/>
    <n v="0"/>
    <n v="1"/>
    <s v="New"/>
    <x v="2"/>
    <n v="41"/>
    <n v="0"/>
  </r>
  <r>
    <n v="764"/>
    <x v="154"/>
    <n v="1519"/>
    <x v="2"/>
    <x v="4"/>
    <x v="1"/>
    <n v="4"/>
    <n v="6568"/>
    <s v="Wallet"/>
    <x v="0"/>
    <x v="2"/>
    <n v="2"/>
    <n v="0"/>
    <n v="1"/>
    <s v="Repeat"/>
    <x v="2"/>
    <n v="42"/>
    <n v="1"/>
  </r>
  <r>
    <n v="765"/>
    <x v="69"/>
    <n v="1804"/>
    <x v="1"/>
    <x v="3"/>
    <x v="2"/>
    <n v="4"/>
    <n v="13224"/>
    <s v="COD"/>
    <x v="0"/>
    <x v="3"/>
    <n v="5"/>
    <n v="1"/>
    <n v="0"/>
    <s v="New"/>
    <x v="2"/>
    <n v="40"/>
    <n v="1"/>
  </r>
  <r>
    <n v="766"/>
    <x v="176"/>
    <n v="1729"/>
    <x v="1"/>
    <x v="2"/>
    <x v="0"/>
    <n v="2"/>
    <n v="0"/>
    <s v="COD"/>
    <x v="1"/>
    <x v="0"/>
    <n v="8"/>
    <n v="0"/>
    <n v="1"/>
    <s v="Repeat"/>
    <x v="3"/>
    <n v="51"/>
    <n v="0"/>
  </r>
  <r>
    <n v="767"/>
    <x v="49"/>
    <n v="1252"/>
    <x v="0"/>
    <x v="1"/>
    <x v="0"/>
    <n v="3"/>
    <n v="0"/>
    <s v="UPI"/>
    <x v="2"/>
    <x v="1"/>
    <n v="3"/>
    <n v="1"/>
    <n v="0"/>
    <s v="Repeat"/>
    <x v="0"/>
    <n v="36"/>
    <n v="0"/>
  </r>
  <r>
    <n v="768"/>
    <x v="136"/>
    <n v="1779"/>
    <x v="4"/>
    <x v="0"/>
    <x v="2"/>
    <n v="4"/>
    <n v="0"/>
    <s v="UPI"/>
    <x v="1"/>
    <x v="2"/>
    <n v="7"/>
    <n v="1"/>
    <n v="1"/>
    <s v="Repeat"/>
    <x v="2"/>
    <n v="40"/>
    <n v="0"/>
  </r>
  <r>
    <n v="769"/>
    <x v="60"/>
    <n v="1595"/>
    <x v="2"/>
    <x v="3"/>
    <x v="1"/>
    <n v="1"/>
    <n v="710"/>
    <s v="COD"/>
    <x v="0"/>
    <x v="1"/>
    <n v="5"/>
    <n v="1"/>
    <n v="1"/>
    <s v="Repeat"/>
    <x v="1"/>
    <n v="36"/>
    <n v="1"/>
  </r>
  <r>
    <n v="770"/>
    <x v="17"/>
    <n v="1004"/>
    <x v="4"/>
    <x v="3"/>
    <x v="0"/>
    <n v="1"/>
    <n v="525"/>
    <s v="Wallet"/>
    <x v="0"/>
    <x v="1"/>
    <n v="3"/>
    <n v="1"/>
    <n v="0"/>
    <s v="Repeat"/>
    <x v="1"/>
    <n v="38"/>
    <n v="1"/>
  </r>
  <r>
    <n v="771"/>
    <x v="155"/>
    <n v="1349"/>
    <x v="1"/>
    <x v="4"/>
    <x v="2"/>
    <n v="4"/>
    <n v="0"/>
    <s v="Wallet"/>
    <x v="1"/>
    <x v="2"/>
    <n v="10"/>
    <n v="1"/>
    <n v="1"/>
    <s v="New"/>
    <x v="0"/>
    <n v="33"/>
    <n v="0"/>
  </r>
  <r>
    <n v="772"/>
    <x v="121"/>
    <n v="1760"/>
    <x v="4"/>
    <x v="2"/>
    <x v="3"/>
    <n v="4"/>
    <n v="0"/>
    <s v="UPI"/>
    <x v="1"/>
    <x v="2"/>
    <n v="2"/>
    <n v="0"/>
    <n v="1"/>
    <s v="Repeat"/>
    <x v="1"/>
    <n v="37"/>
    <n v="0"/>
  </r>
  <r>
    <n v="773"/>
    <x v="100"/>
    <n v="1559"/>
    <x v="1"/>
    <x v="2"/>
    <x v="0"/>
    <n v="1"/>
    <n v="0"/>
    <s v="Card"/>
    <x v="1"/>
    <x v="2"/>
    <n v="1"/>
    <n v="0"/>
    <n v="1"/>
    <s v="Repeat"/>
    <x v="1"/>
    <n v="37"/>
    <n v="0"/>
  </r>
  <r>
    <n v="774"/>
    <x v="70"/>
    <n v="1091"/>
    <x v="1"/>
    <x v="2"/>
    <x v="0"/>
    <n v="4"/>
    <n v="0"/>
    <s v="Wallet"/>
    <x v="1"/>
    <x v="1"/>
    <n v="4"/>
    <n v="0"/>
    <n v="0"/>
    <s v="Repeat"/>
    <x v="2"/>
    <n v="40"/>
    <n v="0"/>
  </r>
  <r>
    <n v="775"/>
    <x v="82"/>
    <n v="1792"/>
    <x v="0"/>
    <x v="3"/>
    <x v="3"/>
    <n v="1"/>
    <n v="0"/>
    <s v="Wallet"/>
    <x v="1"/>
    <x v="1"/>
    <n v="4"/>
    <n v="0"/>
    <n v="1"/>
    <s v="New"/>
    <x v="0"/>
    <n v="33"/>
    <n v="0"/>
  </r>
  <r>
    <n v="776"/>
    <x v="20"/>
    <n v="1709"/>
    <x v="2"/>
    <x v="3"/>
    <x v="3"/>
    <n v="5"/>
    <n v="0"/>
    <s v="COD"/>
    <x v="1"/>
    <x v="1"/>
    <n v="2"/>
    <n v="0"/>
    <n v="1"/>
    <s v="New"/>
    <x v="0"/>
    <n v="32"/>
    <n v="0"/>
  </r>
  <r>
    <n v="777"/>
    <x v="117"/>
    <n v="1566"/>
    <x v="3"/>
    <x v="4"/>
    <x v="3"/>
    <n v="3"/>
    <n v="0"/>
    <s v="Wallet"/>
    <x v="1"/>
    <x v="3"/>
    <n v="10"/>
    <n v="0"/>
    <n v="1"/>
    <s v="New"/>
    <x v="5"/>
    <n v="31"/>
    <n v="0"/>
  </r>
  <r>
    <n v="778"/>
    <x v="174"/>
    <n v="1950"/>
    <x v="3"/>
    <x v="2"/>
    <x v="2"/>
    <n v="4"/>
    <n v="0"/>
    <s v="COD"/>
    <x v="1"/>
    <x v="2"/>
    <n v="5"/>
    <n v="0"/>
    <n v="0"/>
    <s v="Repeat"/>
    <x v="5"/>
    <n v="29"/>
    <n v="0"/>
  </r>
  <r>
    <n v="779"/>
    <x v="42"/>
    <n v="1771"/>
    <x v="1"/>
    <x v="3"/>
    <x v="1"/>
    <n v="4"/>
    <n v="0"/>
    <s v="Wallet"/>
    <x v="1"/>
    <x v="3"/>
    <n v="5"/>
    <n v="0"/>
    <n v="0"/>
    <s v="Repeat"/>
    <x v="2"/>
    <n v="44"/>
    <n v="0"/>
  </r>
  <r>
    <n v="780"/>
    <x v="37"/>
    <n v="1539"/>
    <x v="4"/>
    <x v="4"/>
    <x v="0"/>
    <n v="1"/>
    <n v="0"/>
    <s v="COD"/>
    <x v="2"/>
    <x v="3"/>
    <n v="8"/>
    <n v="0"/>
    <n v="0"/>
    <s v="New"/>
    <x v="4"/>
    <n v="46"/>
    <n v="0"/>
  </r>
  <r>
    <n v="781"/>
    <x v="83"/>
    <n v="1556"/>
    <x v="2"/>
    <x v="1"/>
    <x v="3"/>
    <n v="4"/>
    <n v="12772"/>
    <s v="Wallet"/>
    <x v="0"/>
    <x v="0"/>
    <n v="1"/>
    <n v="1"/>
    <n v="0"/>
    <s v="Repeat"/>
    <x v="1"/>
    <n v="36"/>
    <n v="1"/>
  </r>
  <r>
    <n v="782"/>
    <x v="49"/>
    <n v="1393"/>
    <x v="3"/>
    <x v="3"/>
    <x v="3"/>
    <n v="5"/>
    <n v="0"/>
    <s v="Card"/>
    <x v="2"/>
    <x v="1"/>
    <n v="4"/>
    <n v="0"/>
    <n v="1"/>
    <s v="Repeat"/>
    <x v="0"/>
    <n v="36"/>
    <n v="0"/>
  </r>
  <r>
    <n v="783"/>
    <x v="57"/>
    <n v="1859"/>
    <x v="3"/>
    <x v="4"/>
    <x v="1"/>
    <n v="1"/>
    <n v="0"/>
    <s v="UPI"/>
    <x v="1"/>
    <x v="0"/>
    <n v="8"/>
    <n v="0"/>
    <n v="1"/>
    <s v="Repeat"/>
    <x v="4"/>
    <n v="48"/>
    <n v="0"/>
  </r>
  <r>
    <n v="784"/>
    <x v="103"/>
    <n v="1531"/>
    <x v="2"/>
    <x v="0"/>
    <x v="1"/>
    <n v="2"/>
    <n v="0"/>
    <s v="Card"/>
    <x v="1"/>
    <x v="0"/>
    <n v="7"/>
    <n v="1"/>
    <n v="1"/>
    <s v="Repeat"/>
    <x v="1"/>
    <n v="38"/>
    <n v="0"/>
  </r>
  <r>
    <n v="785"/>
    <x v="27"/>
    <n v="1269"/>
    <x v="0"/>
    <x v="0"/>
    <x v="0"/>
    <n v="4"/>
    <n v="0"/>
    <s v="Card"/>
    <x v="1"/>
    <x v="0"/>
    <n v="2"/>
    <n v="1"/>
    <n v="1"/>
    <s v="New"/>
    <x v="1"/>
    <n v="37"/>
    <n v="0"/>
  </r>
  <r>
    <n v="786"/>
    <x v="55"/>
    <n v="1117"/>
    <x v="0"/>
    <x v="2"/>
    <x v="0"/>
    <n v="4"/>
    <n v="0"/>
    <s v="COD"/>
    <x v="1"/>
    <x v="0"/>
    <n v="10"/>
    <n v="1"/>
    <n v="1"/>
    <s v="Repeat"/>
    <x v="1"/>
    <n v="37"/>
    <n v="0"/>
  </r>
  <r>
    <n v="787"/>
    <x v="168"/>
    <n v="1732"/>
    <x v="3"/>
    <x v="2"/>
    <x v="0"/>
    <n v="5"/>
    <n v="9205"/>
    <s v="Card"/>
    <x v="0"/>
    <x v="1"/>
    <n v="1"/>
    <n v="1"/>
    <n v="1"/>
    <s v="New"/>
    <x v="6"/>
    <n v="1"/>
    <n v="1"/>
  </r>
  <r>
    <n v="788"/>
    <x v="16"/>
    <n v="1448"/>
    <x v="0"/>
    <x v="3"/>
    <x v="3"/>
    <n v="3"/>
    <n v="0"/>
    <s v="UPI"/>
    <x v="2"/>
    <x v="2"/>
    <n v="9"/>
    <n v="0"/>
    <n v="0"/>
    <s v="New"/>
    <x v="0"/>
    <n v="32"/>
    <n v="0"/>
  </r>
  <r>
    <n v="789"/>
    <x v="96"/>
    <n v="1262"/>
    <x v="4"/>
    <x v="0"/>
    <x v="3"/>
    <n v="2"/>
    <n v="0"/>
    <s v="UPI"/>
    <x v="1"/>
    <x v="0"/>
    <n v="3"/>
    <n v="1"/>
    <n v="1"/>
    <s v="New"/>
    <x v="4"/>
    <n v="45"/>
    <n v="0"/>
  </r>
  <r>
    <n v="790"/>
    <x v="115"/>
    <n v="1459"/>
    <x v="3"/>
    <x v="3"/>
    <x v="0"/>
    <n v="3"/>
    <n v="14844"/>
    <s v="Card"/>
    <x v="0"/>
    <x v="3"/>
    <n v="8"/>
    <n v="0"/>
    <n v="0"/>
    <s v="New"/>
    <x v="4"/>
    <n v="48"/>
    <n v="1"/>
  </r>
  <r>
    <n v="791"/>
    <x v="66"/>
    <n v="1912"/>
    <x v="2"/>
    <x v="2"/>
    <x v="3"/>
    <n v="5"/>
    <n v="0"/>
    <s v="Card"/>
    <x v="2"/>
    <x v="3"/>
    <n v="4"/>
    <n v="0"/>
    <n v="0"/>
    <s v="New"/>
    <x v="1"/>
    <n v="39"/>
    <n v="0"/>
  </r>
  <r>
    <n v="792"/>
    <x v="87"/>
    <n v="1797"/>
    <x v="4"/>
    <x v="1"/>
    <x v="3"/>
    <n v="1"/>
    <n v="0"/>
    <s v="UPI"/>
    <x v="2"/>
    <x v="1"/>
    <n v="2"/>
    <n v="0"/>
    <n v="0"/>
    <s v="Repeat"/>
    <x v="2"/>
    <n v="42"/>
    <n v="0"/>
  </r>
  <r>
    <n v="793"/>
    <x v="12"/>
    <n v="1115"/>
    <x v="2"/>
    <x v="3"/>
    <x v="3"/>
    <n v="5"/>
    <n v="0"/>
    <s v="Wallet"/>
    <x v="2"/>
    <x v="3"/>
    <n v="6"/>
    <n v="0"/>
    <n v="0"/>
    <s v="New"/>
    <x v="1"/>
    <n v="38"/>
    <n v="0"/>
  </r>
  <r>
    <n v="794"/>
    <x v="173"/>
    <n v="1389"/>
    <x v="1"/>
    <x v="2"/>
    <x v="1"/>
    <n v="2"/>
    <n v="0"/>
    <s v="Card"/>
    <x v="2"/>
    <x v="0"/>
    <n v="6"/>
    <n v="1"/>
    <n v="0"/>
    <s v="Repeat"/>
    <x v="5"/>
    <n v="30"/>
    <n v="0"/>
  </r>
  <r>
    <n v="795"/>
    <x v="102"/>
    <n v="1818"/>
    <x v="3"/>
    <x v="2"/>
    <x v="2"/>
    <n v="2"/>
    <n v="0"/>
    <s v="Wallet"/>
    <x v="1"/>
    <x v="2"/>
    <n v="7"/>
    <n v="1"/>
    <n v="0"/>
    <s v="New"/>
    <x v="3"/>
    <n v="50"/>
    <n v="0"/>
  </r>
  <r>
    <n v="796"/>
    <x v="22"/>
    <n v="1750"/>
    <x v="4"/>
    <x v="3"/>
    <x v="0"/>
    <n v="5"/>
    <n v="0"/>
    <s v="Card"/>
    <x v="2"/>
    <x v="2"/>
    <n v="3"/>
    <n v="1"/>
    <n v="1"/>
    <s v="Repeat"/>
    <x v="6"/>
    <n v="2"/>
    <n v="0"/>
  </r>
  <r>
    <n v="797"/>
    <x v="133"/>
    <n v="1442"/>
    <x v="2"/>
    <x v="3"/>
    <x v="3"/>
    <n v="1"/>
    <n v="0"/>
    <s v="COD"/>
    <x v="2"/>
    <x v="3"/>
    <n v="5"/>
    <n v="0"/>
    <n v="0"/>
    <s v="New"/>
    <x v="0"/>
    <n v="35"/>
    <n v="0"/>
  </r>
  <r>
    <n v="798"/>
    <x v="144"/>
    <n v="1337"/>
    <x v="1"/>
    <x v="0"/>
    <x v="0"/>
    <n v="5"/>
    <n v="0"/>
    <s v="Wallet"/>
    <x v="1"/>
    <x v="2"/>
    <n v="7"/>
    <n v="1"/>
    <n v="0"/>
    <s v="New"/>
    <x v="3"/>
    <n v="52"/>
    <n v="0"/>
  </r>
  <r>
    <n v="799"/>
    <x v="99"/>
    <n v="1772"/>
    <x v="3"/>
    <x v="1"/>
    <x v="0"/>
    <n v="2"/>
    <n v="0"/>
    <s v="Wallet"/>
    <x v="1"/>
    <x v="3"/>
    <n v="3"/>
    <n v="0"/>
    <n v="0"/>
    <s v="New"/>
    <x v="4"/>
    <n v="48"/>
    <n v="0"/>
  </r>
  <r>
    <n v="800"/>
    <x v="54"/>
    <n v="1779"/>
    <x v="4"/>
    <x v="1"/>
    <x v="0"/>
    <n v="4"/>
    <n v="0"/>
    <s v="COD"/>
    <x v="1"/>
    <x v="3"/>
    <n v="8"/>
    <n v="1"/>
    <n v="1"/>
    <s v="Repeat"/>
    <x v="0"/>
    <n v="34"/>
    <n v="0"/>
  </r>
  <r>
    <n v="801"/>
    <x v="41"/>
    <n v="1571"/>
    <x v="1"/>
    <x v="0"/>
    <x v="0"/>
    <n v="1"/>
    <n v="1520"/>
    <s v="UPI"/>
    <x v="0"/>
    <x v="1"/>
    <n v="6"/>
    <n v="1"/>
    <n v="0"/>
    <s v="Repeat"/>
    <x v="1"/>
    <n v="37"/>
    <n v="1"/>
  </r>
  <r>
    <n v="802"/>
    <x v="159"/>
    <n v="1021"/>
    <x v="0"/>
    <x v="4"/>
    <x v="2"/>
    <n v="5"/>
    <n v="0"/>
    <s v="Card"/>
    <x v="2"/>
    <x v="0"/>
    <n v="6"/>
    <n v="1"/>
    <n v="0"/>
    <s v="New"/>
    <x v="3"/>
    <n v="49"/>
    <n v="0"/>
  </r>
  <r>
    <n v="803"/>
    <x v="117"/>
    <n v="1896"/>
    <x v="3"/>
    <x v="1"/>
    <x v="2"/>
    <n v="1"/>
    <n v="0"/>
    <s v="COD"/>
    <x v="1"/>
    <x v="3"/>
    <n v="7"/>
    <n v="1"/>
    <n v="0"/>
    <s v="Repeat"/>
    <x v="5"/>
    <n v="31"/>
    <n v="0"/>
  </r>
  <r>
    <n v="804"/>
    <x v="135"/>
    <n v="1742"/>
    <x v="4"/>
    <x v="3"/>
    <x v="3"/>
    <n v="5"/>
    <n v="0"/>
    <s v="UPI"/>
    <x v="2"/>
    <x v="2"/>
    <n v="10"/>
    <n v="1"/>
    <n v="0"/>
    <s v="New"/>
    <x v="2"/>
    <n v="43"/>
    <n v="0"/>
  </r>
  <r>
    <n v="805"/>
    <x v="88"/>
    <n v="1050"/>
    <x v="0"/>
    <x v="3"/>
    <x v="1"/>
    <n v="3"/>
    <n v="5400"/>
    <s v="Card"/>
    <x v="0"/>
    <x v="2"/>
    <n v="3"/>
    <n v="1"/>
    <n v="1"/>
    <s v="New"/>
    <x v="1"/>
    <n v="37"/>
    <n v="1"/>
  </r>
  <r>
    <n v="806"/>
    <x v="139"/>
    <n v="1298"/>
    <x v="0"/>
    <x v="1"/>
    <x v="1"/>
    <n v="2"/>
    <n v="3428"/>
    <s v="Card"/>
    <x v="0"/>
    <x v="1"/>
    <n v="1"/>
    <n v="1"/>
    <n v="1"/>
    <s v="New"/>
    <x v="4"/>
    <n v="45"/>
    <n v="1"/>
  </r>
  <r>
    <n v="807"/>
    <x v="124"/>
    <n v="1236"/>
    <x v="1"/>
    <x v="1"/>
    <x v="1"/>
    <n v="5"/>
    <n v="0"/>
    <s v="Wallet"/>
    <x v="2"/>
    <x v="1"/>
    <n v="4"/>
    <n v="1"/>
    <n v="1"/>
    <s v="Repeat"/>
    <x v="1"/>
    <n v="37"/>
    <n v="0"/>
  </r>
  <r>
    <n v="808"/>
    <x v="166"/>
    <n v="1916"/>
    <x v="2"/>
    <x v="4"/>
    <x v="0"/>
    <n v="4"/>
    <n v="0"/>
    <s v="Wallet"/>
    <x v="1"/>
    <x v="0"/>
    <n v="7"/>
    <n v="0"/>
    <n v="0"/>
    <s v="Repeat"/>
    <x v="1"/>
    <n v="39"/>
    <n v="0"/>
  </r>
  <r>
    <n v="809"/>
    <x v="37"/>
    <n v="1766"/>
    <x v="1"/>
    <x v="4"/>
    <x v="0"/>
    <n v="3"/>
    <n v="11307"/>
    <s v="Wallet"/>
    <x v="0"/>
    <x v="1"/>
    <n v="10"/>
    <n v="0"/>
    <n v="1"/>
    <s v="Repeat"/>
    <x v="4"/>
    <n v="46"/>
    <n v="1"/>
  </r>
  <r>
    <n v="810"/>
    <x v="147"/>
    <n v="1669"/>
    <x v="2"/>
    <x v="4"/>
    <x v="1"/>
    <n v="1"/>
    <n v="1083"/>
    <s v="Wallet"/>
    <x v="0"/>
    <x v="1"/>
    <n v="1"/>
    <n v="1"/>
    <n v="1"/>
    <s v="Repeat"/>
    <x v="4"/>
    <n v="47"/>
    <n v="1"/>
  </r>
  <r>
    <n v="811"/>
    <x v="83"/>
    <n v="1580"/>
    <x v="4"/>
    <x v="0"/>
    <x v="0"/>
    <n v="5"/>
    <n v="0"/>
    <s v="Card"/>
    <x v="2"/>
    <x v="3"/>
    <n v="7"/>
    <n v="0"/>
    <n v="0"/>
    <s v="New"/>
    <x v="1"/>
    <n v="36"/>
    <n v="0"/>
  </r>
  <r>
    <n v="812"/>
    <x v="15"/>
    <n v="1474"/>
    <x v="1"/>
    <x v="3"/>
    <x v="3"/>
    <n v="1"/>
    <n v="0"/>
    <s v="Card"/>
    <x v="2"/>
    <x v="1"/>
    <n v="4"/>
    <n v="0"/>
    <n v="0"/>
    <s v="Repeat"/>
    <x v="4"/>
    <n v="47"/>
    <n v="0"/>
  </r>
  <r>
    <n v="813"/>
    <x v="7"/>
    <n v="1726"/>
    <x v="4"/>
    <x v="1"/>
    <x v="2"/>
    <n v="2"/>
    <n v="4864"/>
    <s v="Wallet"/>
    <x v="0"/>
    <x v="1"/>
    <n v="6"/>
    <n v="0"/>
    <n v="0"/>
    <s v="Repeat"/>
    <x v="3"/>
    <n v="49"/>
    <n v="1"/>
  </r>
  <r>
    <n v="814"/>
    <x v="38"/>
    <n v="1559"/>
    <x v="2"/>
    <x v="1"/>
    <x v="0"/>
    <n v="5"/>
    <n v="0"/>
    <s v="UPI"/>
    <x v="2"/>
    <x v="0"/>
    <n v="10"/>
    <n v="0"/>
    <n v="0"/>
    <s v="Repeat"/>
    <x v="1"/>
    <n v="39"/>
    <n v="0"/>
  </r>
  <r>
    <n v="815"/>
    <x v="62"/>
    <n v="1294"/>
    <x v="3"/>
    <x v="2"/>
    <x v="0"/>
    <n v="4"/>
    <n v="7772"/>
    <s v="Card"/>
    <x v="0"/>
    <x v="0"/>
    <n v="8"/>
    <n v="0"/>
    <n v="0"/>
    <s v="Repeat"/>
    <x v="2"/>
    <n v="43"/>
    <n v="1"/>
  </r>
  <r>
    <n v="816"/>
    <x v="117"/>
    <n v="1086"/>
    <x v="2"/>
    <x v="1"/>
    <x v="1"/>
    <n v="3"/>
    <n v="0"/>
    <s v="Card"/>
    <x v="1"/>
    <x v="2"/>
    <n v="5"/>
    <n v="0"/>
    <n v="0"/>
    <s v="New"/>
    <x v="5"/>
    <n v="31"/>
    <n v="0"/>
  </r>
  <r>
    <n v="817"/>
    <x v="104"/>
    <n v="1274"/>
    <x v="4"/>
    <x v="1"/>
    <x v="3"/>
    <n v="2"/>
    <n v="4732"/>
    <s v="Wallet"/>
    <x v="0"/>
    <x v="1"/>
    <n v="1"/>
    <n v="1"/>
    <n v="1"/>
    <s v="New"/>
    <x v="5"/>
    <n v="29"/>
    <n v="1"/>
  </r>
  <r>
    <n v="818"/>
    <x v="144"/>
    <n v="1895"/>
    <x v="1"/>
    <x v="4"/>
    <x v="2"/>
    <n v="1"/>
    <n v="0"/>
    <s v="Card"/>
    <x v="2"/>
    <x v="2"/>
    <n v="9"/>
    <n v="0"/>
    <n v="1"/>
    <s v="New"/>
    <x v="3"/>
    <n v="52"/>
    <n v="0"/>
  </r>
  <r>
    <n v="819"/>
    <x v="69"/>
    <n v="1645"/>
    <x v="1"/>
    <x v="3"/>
    <x v="1"/>
    <n v="1"/>
    <n v="0"/>
    <s v="UPI"/>
    <x v="1"/>
    <x v="3"/>
    <n v="1"/>
    <n v="1"/>
    <n v="0"/>
    <s v="Repeat"/>
    <x v="2"/>
    <n v="40"/>
    <n v="0"/>
  </r>
  <r>
    <n v="820"/>
    <x v="24"/>
    <n v="1734"/>
    <x v="3"/>
    <x v="2"/>
    <x v="0"/>
    <n v="3"/>
    <n v="0"/>
    <s v="UPI"/>
    <x v="2"/>
    <x v="2"/>
    <n v="9"/>
    <n v="0"/>
    <n v="0"/>
    <s v="Repeat"/>
    <x v="5"/>
    <n v="30"/>
    <n v="0"/>
  </r>
  <r>
    <n v="821"/>
    <x v="48"/>
    <n v="1875"/>
    <x v="1"/>
    <x v="0"/>
    <x v="3"/>
    <n v="4"/>
    <n v="0"/>
    <s v="Wallet"/>
    <x v="2"/>
    <x v="0"/>
    <n v="1"/>
    <n v="1"/>
    <n v="0"/>
    <s v="Repeat"/>
    <x v="3"/>
    <n v="50"/>
    <n v="0"/>
  </r>
  <r>
    <n v="822"/>
    <x v="44"/>
    <n v="1642"/>
    <x v="3"/>
    <x v="0"/>
    <x v="1"/>
    <n v="4"/>
    <n v="0"/>
    <s v="UPI"/>
    <x v="1"/>
    <x v="2"/>
    <n v="5"/>
    <n v="1"/>
    <n v="1"/>
    <s v="Repeat"/>
    <x v="4"/>
    <n v="47"/>
    <n v="0"/>
  </r>
  <r>
    <n v="823"/>
    <x v="115"/>
    <n v="1187"/>
    <x v="3"/>
    <x v="3"/>
    <x v="1"/>
    <n v="3"/>
    <n v="7845"/>
    <s v="COD"/>
    <x v="0"/>
    <x v="1"/>
    <n v="2"/>
    <n v="0"/>
    <n v="0"/>
    <s v="Repeat"/>
    <x v="4"/>
    <n v="48"/>
    <n v="1"/>
  </r>
  <r>
    <n v="824"/>
    <x v="171"/>
    <n v="1748"/>
    <x v="3"/>
    <x v="4"/>
    <x v="1"/>
    <n v="3"/>
    <n v="0"/>
    <s v="UPI"/>
    <x v="1"/>
    <x v="2"/>
    <n v="1"/>
    <n v="1"/>
    <n v="0"/>
    <s v="Repeat"/>
    <x v="1"/>
    <n v="36"/>
    <n v="0"/>
  </r>
  <r>
    <n v="825"/>
    <x v="12"/>
    <n v="1856"/>
    <x v="2"/>
    <x v="1"/>
    <x v="3"/>
    <n v="1"/>
    <n v="0"/>
    <s v="UPI"/>
    <x v="1"/>
    <x v="3"/>
    <n v="10"/>
    <n v="1"/>
    <n v="0"/>
    <s v="Repeat"/>
    <x v="1"/>
    <n v="38"/>
    <n v="0"/>
  </r>
  <r>
    <n v="826"/>
    <x v="155"/>
    <n v="1595"/>
    <x v="4"/>
    <x v="1"/>
    <x v="0"/>
    <n v="2"/>
    <n v="0"/>
    <s v="COD"/>
    <x v="1"/>
    <x v="1"/>
    <n v="7"/>
    <n v="1"/>
    <n v="1"/>
    <s v="New"/>
    <x v="0"/>
    <n v="33"/>
    <n v="0"/>
  </r>
  <r>
    <n v="827"/>
    <x v="164"/>
    <n v="1402"/>
    <x v="0"/>
    <x v="3"/>
    <x v="0"/>
    <n v="1"/>
    <n v="0"/>
    <s v="UPI"/>
    <x v="2"/>
    <x v="1"/>
    <n v="9"/>
    <n v="0"/>
    <n v="1"/>
    <s v="Repeat"/>
    <x v="0"/>
    <n v="34"/>
    <n v="0"/>
  </r>
  <r>
    <n v="828"/>
    <x v="165"/>
    <n v="1073"/>
    <x v="4"/>
    <x v="1"/>
    <x v="1"/>
    <n v="5"/>
    <n v="0"/>
    <s v="Card"/>
    <x v="1"/>
    <x v="1"/>
    <n v="2"/>
    <n v="1"/>
    <n v="1"/>
    <s v="New"/>
    <x v="2"/>
    <n v="41"/>
    <n v="0"/>
  </r>
  <r>
    <n v="829"/>
    <x v="5"/>
    <n v="1602"/>
    <x v="3"/>
    <x v="2"/>
    <x v="0"/>
    <n v="2"/>
    <n v="7658"/>
    <s v="COD"/>
    <x v="0"/>
    <x v="0"/>
    <n v="4"/>
    <n v="0"/>
    <n v="0"/>
    <s v="New"/>
    <x v="0"/>
    <n v="33"/>
    <n v="1"/>
  </r>
  <r>
    <n v="830"/>
    <x v="116"/>
    <n v="1333"/>
    <x v="0"/>
    <x v="0"/>
    <x v="2"/>
    <n v="3"/>
    <n v="0"/>
    <s v="Wallet"/>
    <x v="2"/>
    <x v="2"/>
    <n v="4"/>
    <n v="1"/>
    <n v="1"/>
    <s v="Repeat"/>
    <x v="3"/>
    <n v="50"/>
    <n v="0"/>
  </r>
  <r>
    <n v="831"/>
    <x v="80"/>
    <n v="1755"/>
    <x v="2"/>
    <x v="4"/>
    <x v="1"/>
    <n v="2"/>
    <n v="0"/>
    <s v="Wallet"/>
    <x v="2"/>
    <x v="0"/>
    <n v="6"/>
    <n v="1"/>
    <n v="1"/>
    <s v="New"/>
    <x v="6"/>
    <n v="2"/>
    <n v="0"/>
  </r>
  <r>
    <n v="832"/>
    <x v="43"/>
    <n v="1882"/>
    <x v="4"/>
    <x v="3"/>
    <x v="3"/>
    <n v="5"/>
    <n v="0"/>
    <s v="Wallet"/>
    <x v="1"/>
    <x v="3"/>
    <n v="3"/>
    <n v="1"/>
    <n v="1"/>
    <s v="Repeat"/>
    <x v="4"/>
    <n v="46"/>
    <n v="0"/>
  </r>
  <r>
    <n v="833"/>
    <x v="64"/>
    <n v="1097"/>
    <x v="4"/>
    <x v="2"/>
    <x v="1"/>
    <n v="2"/>
    <n v="0"/>
    <s v="Card"/>
    <x v="1"/>
    <x v="1"/>
    <n v="8"/>
    <n v="0"/>
    <n v="0"/>
    <s v="New"/>
    <x v="2"/>
    <n v="43"/>
    <n v="0"/>
  </r>
  <r>
    <n v="834"/>
    <x v="140"/>
    <n v="1965"/>
    <x v="4"/>
    <x v="1"/>
    <x v="3"/>
    <n v="1"/>
    <n v="0"/>
    <s v="Wallet"/>
    <x v="1"/>
    <x v="0"/>
    <n v="6"/>
    <n v="1"/>
    <n v="1"/>
    <s v="Repeat"/>
    <x v="4"/>
    <n v="48"/>
    <n v="0"/>
  </r>
  <r>
    <n v="835"/>
    <x v="123"/>
    <n v="1044"/>
    <x v="2"/>
    <x v="4"/>
    <x v="3"/>
    <n v="5"/>
    <n v="0"/>
    <s v="COD"/>
    <x v="2"/>
    <x v="3"/>
    <n v="10"/>
    <n v="1"/>
    <n v="1"/>
    <s v="Repeat"/>
    <x v="0"/>
    <n v="34"/>
    <n v="0"/>
  </r>
  <r>
    <n v="836"/>
    <x v="34"/>
    <n v="1195"/>
    <x v="1"/>
    <x v="3"/>
    <x v="2"/>
    <n v="4"/>
    <n v="8432"/>
    <s v="Card"/>
    <x v="0"/>
    <x v="2"/>
    <n v="6"/>
    <n v="1"/>
    <n v="0"/>
    <s v="Repeat"/>
    <x v="3"/>
    <n v="51"/>
    <n v="1"/>
  </r>
  <r>
    <n v="837"/>
    <x v="174"/>
    <n v="1033"/>
    <x v="4"/>
    <x v="2"/>
    <x v="3"/>
    <n v="3"/>
    <n v="0"/>
    <s v="Card"/>
    <x v="1"/>
    <x v="2"/>
    <n v="5"/>
    <n v="0"/>
    <n v="1"/>
    <s v="Repeat"/>
    <x v="5"/>
    <n v="29"/>
    <n v="0"/>
  </r>
  <r>
    <n v="838"/>
    <x v="128"/>
    <n v="1618"/>
    <x v="0"/>
    <x v="4"/>
    <x v="1"/>
    <n v="4"/>
    <n v="14708"/>
    <s v="Wallet"/>
    <x v="0"/>
    <x v="1"/>
    <n v="3"/>
    <n v="1"/>
    <n v="0"/>
    <s v="Repeat"/>
    <x v="1"/>
    <n v="39"/>
    <n v="1"/>
  </r>
  <r>
    <n v="839"/>
    <x v="152"/>
    <n v="1641"/>
    <x v="0"/>
    <x v="4"/>
    <x v="3"/>
    <n v="5"/>
    <n v="0"/>
    <s v="Wallet"/>
    <x v="2"/>
    <x v="2"/>
    <n v="3"/>
    <n v="1"/>
    <n v="1"/>
    <s v="Repeat"/>
    <x v="2"/>
    <n v="42"/>
    <n v="0"/>
  </r>
  <r>
    <n v="840"/>
    <x v="158"/>
    <n v="1893"/>
    <x v="0"/>
    <x v="1"/>
    <x v="2"/>
    <n v="1"/>
    <n v="1836"/>
    <s v="Wallet"/>
    <x v="0"/>
    <x v="2"/>
    <n v="9"/>
    <n v="1"/>
    <n v="0"/>
    <s v="Repeat"/>
    <x v="1"/>
    <n v="38"/>
    <n v="1"/>
  </r>
  <r>
    <n v="841"/>
    <x v="144"/>
    <n v="1454"/>
    <x v="0"/>
    <x v="2"/>
    <x v="1"/>
    <n v="5"/>
    <n v="0"/>
    <s v="Card"/>
    <x v="1"/>
    <x v="2"/>
    <n v="3"/>
    <n v="0"/>
    <n v="1"/>
    <s v="New"/>
    <x v="3"/>
    <n v="52"/>
    <n v="0"/>
  </r>
  <r>
    <n v="842"/>
    <x v="33"/>
    <n v="1090"/>
    <x v="0"/>
    <x v="2"/>
    <x v="3"/>
    <n v="4"/>
    <n v="0"/>
    <s v="Card"/>
    <x v="1"/>
    <x v="2"/>
    <n v="8"/>
    <n v="0"/>
    <n v="0"/>
    <s v="New"/>
    <x v="5"/>
    <n v="31"/>
    <n v="0"/>
  </r>
  <r>
    <n v="843"/>
    <x v="130"/>
    <n v="1488"/>
    <x v="4"/>
    <x v="1"/>
    <x v="2"/>
    <n v="5"/>
    <n v="0"/>
    <s v="UPI"/>
    <x v="1"/>
    <x v="1"/>
    <n v="5"/>
    <n v="1"/>
    <n v="0"/>
    <s v="Repeat"/>
    <x v="3"/>
    <n v="51"/>
    <n v="0"/>
  </r>
  <r>
    <n v="844"/>
    <x v="78"/>
    <n v="1016"/>
    <x v="4"/>
    <x v="0"/>
    <x v="1"/>
    <n v="3"/>
    <n v="13107"/>
    <s v="UPI"/>
    <x v="0"/>
    <x v="1"/>
    <n v="1"/>
    <n v="1"/>
    <n v="1"/>
    <s v="New"/>
    <x v="3"/>
    <n v="52"/>
    <n v="1"/>
  </r>
  <r>
    <n v="845"/>
    <x v="126"/>
    <n v="1963"/>
    <x v="4"/>
    <x v="2"/>
    <x v="3"/>
    <n v="1"/>
    <n v="1726"/>
    <s v="Wallet"/>
    <x v="0"/>
    <x v="0"/>
    <n v="2"/>
    <n v="1"/>
    <n v="1"/>
    <s v="New"/>
    <x v="4"/>
    <n v="46"/>
    <n v="1"/>
  </r>
  <r>
    <n v="846"/>
    <x v="47"/>
    <n v="1375"/>
    <x v="3"/>
    <x v="2"/>
    <x v="0"/>
    <n v="3"/>
    <n v="0"/>
    <s v="Wallet"/>
    <x v="2"/>
    <x v="0"/>
    <n v="1"/>
    <n v="0"/>
    <n v="0"/>
    <s v="New"/>
    <x v="6"/>
    <n v="2"/>
    <n v="0"/>
  </r>
  <r>
    <n v="847"/>
    <x v="158"/>
    <n v="1938"/>
    <x v="0"/>
    <x v="2"/>
    <x v="1"/>
    <n v="5"/>
    <n v="0"/>
    <s v="Wallet"/>
    <x v="2"/>
    <x v="1"/>
    <n v="9"/>
    <n v="1"/>
    <n v="0"/>
    <s v="Repeat"/>
    <x v="1"/>
    <n v="38"/>
    <n v="0"/>
  </r>
  <r>
    <n v="848"/>
    <x v="178"/>
    <n v="1010"/>
    <x v="1"/>
    <x v="1"/>
    <x v="2"/>
    <n v="1"/>
    <n v="435"/>
    <s v="Card"/>
    <x v="0"/>
    <x v="0"/>
    <n v="2"/>
    <n v="0"/>
    <n v="1"/>
    <s v="New"/>
    <x v="4"/>
    <n v="45"/>
    <n v="1"/>
  </r>
  <r>
    <n v="849"/>
    <x v="6"/>
    <n v="1864"/>
    <x v="3"/>
    <x v="4"/>
    <x v="1"/>
    <n v="2"/>
    <n v="0"/>
    <s v="Card"/>
    <x v="2"/>
    <x v="3"/>
    <n v="7"/>
    <n v="0"/>
    <n v="0"/>
    <s v="Repeat"/>
    <x v="4"/>
    <n v="47"/>
    <n v="0"/>
  </r>
  <r>
    <n v="850"/>
    <x v="59"/>
    <n v="1655"/>
    <x v="0"/>
    <x v="2"/>
    <x v="2"/>
    <n v="3"/>
    <n v="4875"/>
    <s v="COD"/>
    <x v="0"/>
    <x v="2"/>
    <n v="3"/>
    <n v="1"/>
    <n v="0"/>
    <s v="New"/>
    <x v="0"/>
    <n v="34"/>
    <n v="1"/>
  </r>
  <r>
    <n v="851"/>
    <x v="143"/>
    <n v="1026"/>
    <x v="4"/>
    <x v="0"/>
    <x v="3"/>
    <n v="4"/>
    <n v="2656"/>
    <s v="UPI"/>
    <x v="0"/>
    <x v="3"/>
    <n v="10"/>
    <n v="1"/>
    <n v="1"/>
    <s v="Repeat"/>
    <x v="2"/>
    <n v="43"/>
    <n v="1"/>
  </r>
  <r>
    <n v="852"/>
    <x v="41"/>
    <n v="1778"/>
    <x v="3"/>
    <x v="2"/>
    <x v="0"/>
    <n v="4"/>
    <n v="1652"/>
    <s v="Wallet"/>
    <x v="0"/>
    <x v="1"/>
    <n v="1"/>
    <n v="1"/>
    <n v="0"/>
    <s v="Repeat"/>
    <x v="1"/>
    <n v="37"/>
    <n v="1"/>
  </r>
  <r>
    <n v="853"/>
    <x v="173"/>
    <n v="1033"/>
    <x v="3"/>
    <x v="3"/>
    <x v="3"/>
    <n v="3"/>
    <n v="7293"/>
    <s v="Wallet"/>
    <x v="0"/>
    <x v="2"/>
    <n v="7"/>
    <n v="1"/>
    <n v="1"/>
    <s v="Repeat"/>
    <x v="5"/>
    <n v="30"/>
    <n v="1"/>
  </r>
  <r>
    <n v="854"/>
    <x v="168"/>
    <n v="1149"/>
    <x v="4"/>
    <x v="1"/>
    <x v="2"/>
    <n v="4"/>
    <n v="15468"/>
    <s v="COD"/>
    <x v="0"/>
    <x v="1"/>
    <n v="1"/>
    <n v="0"/>
    <n v="1"/>
    <s v="New"/>
    <x v="6"/>
    <n v="1"/>
    <n v="1"/>
  </r>
  <r>
    <n v="855"/>
    <x v="96"/>
    <n v="1789"/>
    <x v="0"/>
    <x v="4"/>
    <x v="3"/>
    <n v="2"/>
    <n v="0"/>
    <s v="UPI"/>
    <x v="1"/>
    <x v="0"/>
    <n v="2"/>
    <n v="0"/>
    <n v="1"/>
    <s v="Repeat"/>
    <x v="4"/>
    <n v="45"/>
    <n v="0"/>
  </r>
  <r>
    <n v="856"/>
    <x v="108"/>
    <n v="1521"/>
    <x v="2"/>
    <x v="0"/>
    <x v="3"/>
    <n v="1"/>
    <n v="0"/>
    <s v="COD"/>
    <x v="2"/>
    <x v="2"/>
    <n v="3"/>
    <n v="0"/>
    <n v="1"/>
    <s v="New"/>
    <x v="2"/>
    <n v="44"/>
    <n v="0"/>
  </r>
  <r>
    <n v="857"/>
    <x v="12"/>
    <n v="1040"/>
    <x v="4"/>
    <x v="4"/>
    <x v="2"/>
    <n v="2"/>
    <n v="0"/>
    <s v="Card"/>
    <x v="2"/>
    <x v="1"/>
    <n v="5"/>
    <n v="0"/>
    <n v="1"/>
    <s v="New"/>
    <x v="1"/>
    <n v="38"/>
    <n v="0"/>
  </r>
  <r>
    <n v="858"/>
    <x v="58"/>
    <n v="1026"/>
    <x v="4"/>
    <x v="0"/>
    <x v="1"/>
    <n v="4"/>
    <n v="0"/>
    <s v="COD"/>
    <x v="1"/>
    <x v="3"/>
    <n v="3"/>
    <n v="0"/>
    <n v="0"/>
    <s v="New"/>
    <x v="5"/>
    <n v="31"/>
    <n v="0"/>
  </r>
  <r>
    <n v="859"/>
    <x v="49"/>
    <n v="1110"/>
    <x v="3"/>
    <x v="4"/>
    <x v="1"/>
    <n v="5"/>
    <n v="0"/>
    <s v="Card"/>
    <x v="1"/>
    <x v="3"/>
    <n v="9"/>
    <n v="1"/>
    <n v="0"/>
    <s v="Repeat"/>
    <x v="0"/>
    <n v="36"/>
    <n v="0"/>
  </r>
  <r>
    <n v="860"/>
    <x v="28"/>
    <n v="1910"/>
    <x v="3"/>
    <x v="2"/>
    <x v="0"/>
    <n v="4"/>
    <n v="0"/>
    <s v="COD"/>
    <x v="2"/>
    <x v="1"/>
    <n v="9"/>
    <n v="1"/>
    <n v="1"/>
    <s v="Repeat"/>
    <x v="0"/>
    <n v="33"/>
    <n v="0"/>
  </r>
  <r>
    <n v="861"/>
    <x v="154"/>
    <n v="1761"/>
    <x v="2"/>
    <x v="3"/>
    <x v="2"/>
    <n v="3"/>
    <n v="0"/>
    <s v="Card"/>
    <x v="1"/>
    <x v="3"/>
    <n v="1"/>
    <n v="1"/>
    <n v="1"/>
    <s v="Repeat"/>
    <x v="2"/>
    <n v="42"/>
    <n v="0"/>
  </r>
  <r>
    <n v="862"/>
    <x v="0"/>
    <n v="1798"/>
    <x v="0"/>
    <x v="1"/>
    <x v="0"/>
    <n v="1"/>
    <n v="0"/>
    <s v="COD"/>
    <x v="1"/>
    <x v="2"/>
    <n v="2"/>
    <n v="1"/>
    <n v="0"/>
    <s v="New"/>
    <x v="0"/>
    <n v="32"/>
    <n v="0"/>
  </r>
  <r>
    <n v="863"/>
    <x v="10"/>
    <n v="1248"/>
    <x v="4"/>
    <x v="4"/>
    <x v="2"/>
    <n v="1"/>
    <n v="0"/>
    <s v="UPI"/>
    <x v="1"/>
    <x v="3"/>
    <n v="2"/>
    <n v="1"/>
    <n v="1"/>
    <s v="Repeat"/>
    <x v="3"/>
    <n v="49"/>
    <n v="0"/>
  </r>
  <r>
    <n v="864"/>
    <x v="17"/>
    <n v="1804"/>
    <x v="0"/>
    <x v="0"/>
    <x v="0"/>
    <n v="2"/>
    <n v="0"/>
    <s v="Wallet"/>
    <x v="2"/>
    <x v="2"/>
    <n v="1"/>
    <n v="1"/>
    <n v="1"/>
    <s v="Repeat"/>
    <x v="1"/>
    <n v="38"/>
    <n v="0"/>
  </r>
  <r>
    <n v="865"/>
    <x v="105"/>
    <n v="1800"/>
    <x v="1"/>
    <x v="3"/>
    <x v="3"/>
    <n v="5"/>
    <n v="0"/>
    <s v="COD"/>
    <x v="1"/>
    <x v="1"/>
    <n v="3"/>
    <n v="0"/>
    <n v="0"/>
    <s v="New"/>
    <x v="3"/>
    <n v="52"/>
    <n v="0"/>
  </r>
  <r>
    <n v="866"/>
    <x v="119"/>
    <n v="1638"/>
    <x v="1"/>
    <x v="4"/>
    <x v="0"/>
    <n v="4"/>
    <n v="9108"/>
    <s v="UPI"/>
    <x v="0"/>
    <x v="0"/>
    <n v="5"/>
    <n v="1"/>
    <n v="1"/>
    <s v="New"/>
    <x v="0"/>
    <n v="34"/>
    <n v="1"/>
  </r>
  <r>
    <n v="867"/>
    <x v="5"/>
    <n v="1551"/>
    <x v="0"/>
    <x v="4"/>
    <x v="3"/>
    <n v="4"/>
    <n v="11096"/>
    <s v="Wallet"/>
    <x v="0"/>
    <x v="0"/>
    <n v="2"/>
    <n v="1"/>
    <n v="0"/>
    <s v="New"/>
    <x v="0"/>
    <n v="33"/>
    <n v="1"/>
  </r>
  <r>
    <n v="868"/>
    <x v="133"/>
    <n v="1771"/>
    <x v="1"/>
    <x v="3"/>
    <x v="0"/>
    <n v="5"/>
    <n v="0"/>
    <s v="UPI"/>
    <x v="1"/>
    <x v="0"/>
    <n v="9"/>
    <n v="1"/>
    <n v="0"/>
    <s v="New"/>
    <x v="0"/>
    <n v="35"/>
    <n v="0"/>
  </r>
  <r>
    <n v="869"/>
    <x v="111"/>
    <n v="1238"/>
    <x v="3"/>
    <x v="1"/>
    <x v="1"/>
    <n v="2"/>
    <n v="1042"/>
    <s v="Wallet"/>
    <x v="0"/>
    <x v="2"/>
    <n v="1"/>
    <n v="1"/>
    <n v="0"/>
    <s v="New"/>
    <x v="4"/>
    <n v="48"/>
    <n v="1"/>
  </r>
  <r>
    <n v="870"/>
    <x v="69"/>
    <n v="1116"/>
    <x v="2"/>
    <x v="4"/>
    <x v="3"/>
    <n v="3"/>
    <n v="0"/>
    <s v="Wallet"/>
    <x v="2"/>
    <x v="3"/>
    <n v="7"/>
    <n v="0"/>
    <n v="1"/>
    <s v="New"/>
    <x v="2"/>
    <n v="40"/>
    <n v="0"/>
  </r>
  <r>
    <n v="871"/>
    <x v="103"/>
    <n v="1383"/>
    <x v="0"/>
    <x v="2"/>
    <x v="3"/>
    <n v="5"/>
    <n v="0"/>
    <s v="Card"/>
    <x v="1"/>
    <x v="0"/>
    <n v="3"/>
    <n v="1"/>
    <n v="1"/>
    <s v="New"/>
    <x v="1"/>
    <n v="38"/>
    <n v="0"/>
  </r>
  <r>
    <n v="872"/>
    <x v="44"/>
    <n v="1825"/>
    <x v="2"/>
    <x v="1"/>
    <x v="1"/>
    <n v="4"/>
    <n v="11388"/>
    <s v="COD"/>
    <x v="0"/>
    <x v="2"/>
    <n v="6"/>
    <n v="0"/>
    <n v="1"/>
    <s v="Repeat"/>
    <x v="4"/>
    <n v="47"/>
    <n v="1"/>
  </r>
  <r>
    <n v="873"/>
    <x v="20"/>
    <n v="1531"/>
    <x v="4"/>
    <x v="3"/>
    <x v="3"/>
    <n v="1"/>
    <n v="4402"/>
    <s v="Wallet"/>
    <x v="0"/>
    <x v="2"/>
    <n v="7"/>
    <n v="0"/>
    <n v="1"/>
    <s v="Repeat"/>
    <x v="0"/>
    <n v="32"/>
    <n v="1"/>
  </r>
  <r>
    <n v="874"/>
    <x v="128"/>
    <n v="1088"/>
    <x v="0"/>
    <x v="4"/>
    <x v="1"/>
    <n v="3"/>
    <n v="0"/>
    <s v="UPI"/>
    <x v="1"/>
    <x v="3"/>
    <n v="7"/>
    <n v="0"/>
    <n v="0"/>
    <s v="Repeat"/>
    <x v="1"/>
    <n v="39"/>
    <n v="0"/>
  </r>
  <r>
    <n v="875"/>
    <x v="177"/>
    <n v="1881"/>
    <x v="4"/>
    <x v="4"/>
    <x v="0"/>
    <n v="5"/>
    <n v="13120"/>
    <s v="Card"/>
    <x v="0"/>
    <x v="0"/>
    <n v="2"/>
    <n v="0"/>
    <n v="0"/>
    <s v="Repeat"/>
    <x v="4"/>
    <n v="45"/>
    <n v="1"/>
  </r>
  <r>
    <n v="876"/>
    <x v="123"/>
    <n v="1617"/>
    <x v="2"/>
    <x v="0"/>
    <x v="0"/>
    <n v="5"/>
    <n v="0"/>
    <s v="Wallet"/>
    <x v="1"/>
    <x v="2"/>
    <n v="7"/>
    <n v="1"/>
    <n v="1"/>
    <s v="Repeat"/>
    <x v="0"/>
    <n v="34"/>
    <n v="0"/>
  </r>
  <r>
    <n v="877"/>
    <x v="151"/>
    <n v="1896"/>
    <x v="1"/>
    <x v="1"/>
    <x v="3"/>
    <n v="3"/>
    <n v="0"/>
    <s v="Wallet"/>
    <x v="2"/>
    <x v="0"/>
    <n v="6"/>
    <n v="0"/>
    <n v="0"/>
    <s v="Repeat"/>
    <x v="3"/>
    <n v="52"/>
    <n v="0"/>
  </r>
  <r>
    <n v="878"/>
    <x v="12"/>
    <n v="1531"/>
    <x v="0"/>
    <x v="3"/>
    <x v="0"/>
    <n v="5"/>
    <n v="0"/>
    <s v="Card"/>
    <x v="2"/>
    <x v="0"/>
    <n v="9"/>
    <n v="1"/>
    <n v="0"/>
    <s v="New"/>
    <x v="1"/>
    <n v="38"/>
    <n v="0"/>
  </r>
  <r>
    <n v="879"/>
    <x v="171"/>
    <n v="1017"/>
    <x v="4"/>
    <x v="2"/>
    <x v="3"/>
    <n v="5"/>
    <n v="0"/>
    <s v="Wallet"/>
    <x v="1"/>
    <x v="2"/>
    <n v="1"/>
    <n v="0"/>
    <n v="0"/>
    <s v="New"/>
    <x v="1"/>
    <n v="36"/>
    <n v="0"/>
  </r>
  <r>
    <n v="880"/>
    <x v="85"/>
    <n v="1995"/>
    <x v="0"/>
    <x v="2"/>
    <x v="0"/>
    <n v="5"/>
    <n v="15780"/>
    <s v="Wallet"/>
    <x v="0"/>
    <x v="1"/>
    <n v="9"/>
    <n v="0"/>
    <n v="1"/>
    <s v="Repeat"/>
    <x v="3"/>
    <n v="50"/>
    <n v="1"/>
  </r>
  <r>
    <n v="881"/>
    <x v="152"/>
    <n v="1490"/>
    <x v="3"/>
    <x v="1"/>
    <x v="1"/>
    <n v="2"/>
    <n v="2556"/>
    <s v="Wallet"/>
    <x v="0"/>
    <x v="0"/>
    <n v="3"/>
    <n v="1"/>
    <n v="0"/>
    <s v="New"/>
    <x v="2"/>
    <n v="42"/>
    <n v="1"/>
  </r>
  <r>
    <n v="882"/>
    <x v="62"/>
    <n v="1712"/>
    <x v="1"/>
    <x v="3"/>
    <x v="0"/>
    <n v="3"/>
    <n v="0"/>
    <s v="UPI"/>
    <x v="1"/>
    <x v="0"/>
    <n v="3"/>
    <n v="0"/>
    <n v="1"/>
    <s v="New"/>
    <x v="2"/>
    <n v="43"/>
    <n v="0"/>
  </r>
  <r>
    <n v="883"/>
    <x v="102"/>
    <n v="1288"/>
    <x v="2"/>
    <x v="3"/>
    <x v="0"/>
    <n v="1"/>
    <n v="0"/>
    <s v="COD"/>
    <x v="2"/>
    <x v="0"/>
    <n v="4"/>
    <n v="0"/>
    <n v="0"/>
    <s v="New"/>
    <x v="3"/>
    <n v="50"/>
    <n v="0"/>
  </r>
  <r>
    <n v="884"/>
    <x v="130"/>
    <n v="1431"/>
    <x v="1"/>
    <x v="2"/>
    <x v="3"/>
    <n v="5"/>
    <n v="0"/>
    <s v="Card"/>
    <x v="1"/>
    <x v="2"/>
    <n v="10"/>
    <n v="0"/>
    <n v="1"/>
    <s v="Repeat"/>
    <x v="3"/>
    <n v="51"/>
    <n v="0"/>
  </r>
  <r>
    <n v="885"/>
    <x v="25"/>
    <n v="1153"/>
    <x v="1"/>
    <x v="3"/>
    <x v="2"/>
    <n v="4"/>
    <n v="0"/>
    <s v="COD"/>
    <x v="1"/>
    <x v="1"/>
    <n v="3"/>
    <n v="1"/>
    <n v="1"/>
    <s v="Repeat"/>
    <x v="4"/>
    <n v="49"/>
    <n v="0"/>
  </r>
  <r>
    <n v="886"/>
    <x v="123"/>
    <n v="1401"/>
    <x v="4"/>
    <x v="4"/>
    <x v="2"/>
    <n v="4"/>
    <n v="0"/>
    <s v="UPI"/>
    <x v="2"/>
    <x v="1"/>
    <n v="7"/>
    <n v="1"/>
    <n v="0"/>
    <s v="New"/>
    <x v="0"/>
    <n v="34"/>
    <n v="0"/>
  </r>
  <r>
    <n v="887"/>
    <x v="13"/>
    <n v="1138"/>
    <x v="4"/>
    <x v="4"/>
    <x v="2"/>
    <n v="1"/>
    <n v="1853"/>
    <s v="COD"/>
    <x v="0"/>
    <x v="1"/>
    <n v="8"/>
    <n v="1"/>
    <n v="1"/>
    <s v="Repeat"/>
    <x v="2"/>
    <n v="41"/>
    <n v="1"/>
  </r>
  <r>
    <n v="888"/>
    <x v="169"/>
    <n v="1927"/>
    <x v="1"/>
    <x v="0"/>
    <x v="0"/>
    <n v="1"/>
    <n v="2714"/>
    <s v="COD"/>
    <x v="0"/>
    <x v="2"/>
    <n v="5"/>
    <n v="0"/>
    <n v="0"/>
    <s v="New"/>
    <x v="2"/>
    <n v="43"/>
    <n v="1"/>
  </r>
  <r>
    <n v="889"/>
    <x v="59"/>
    <n v="1423"/>
    <x v="0"/>
    <x v="4"/>
    <x v="3"/>
    <n v="1"/>
    <n v="0"/>
    <s v="Card"/>
    <x v="1"/>
    <x v="1"/>
    <n v="7"/>
    <n v="0"/>
    <n v="0"/>
    <s v="New"/>
    <x v="0"/>
    <n v="34"/>
    <n v="0"/>
  </r>
  <r>
    <n v="890"/>
    <x v="93"/>
    <n v="1447"/>
    <x v="4"/>
    <x v="0"/>
    <x v="0"/>
    <n v="4"/>
    <n v="16844"/>
    <s v="UPI"/>
    <x v="0"/>
    <x v="1"/>
    <n v="1"/>
    <n v="1"/>
    <n v="0"/>
    <s v="Repeat"/>
    <x v="3"/>
    <n v="53"/>
    <n v="1"/>
  </r>
  <r>
    <n v="891"/>
    <x v="19"/>
    <n v="1955"/>
    <x v="0"/>
    <x v="3"/>
    <x v="1"/>
    <n v="5"/>
    <n v="7960"/>
    <s v="Wallet"/>
    <x v="0"/>
    <x v="0"/>
    <n v="3"/>
    <n v="1"/>
    <n v="0"/>
    <s v="New"/>
    <x v="0"/>
    <n v="33"/>
    <n v="1"/>
  </r>
  <r>
    <n v="892"/>
    <x v="97"/>
    <n v="1485"/>
    <x v="3"/>
    <x v="1"/>
    <x v="0"/>
    <n v="1"/>
    <n v="2274"/>
    <s v="UPI"/>
    <x v="0"/>
    <x v="1"/>
    <n v="1"/>
    <n v="0"/>
    <n v="1"/>
    <s v="Repeat"/>
    <x v="1"/>
    <n v="40"/>
    <n v="1"/>
  </r>
  <r>
    <n v="893"/>
    <x v="5"/>
    <n v="1670"/>
    <x v="2"/>
    <x v="0"/>
    <x v="2"/>
    <n v="5"/>
    <n v="0"/>
    <s v="Wallet"/>
    <x v="1"/>
    <x v="1"/>
    <n v="8"/>
    <n v="1"/>
    <n v="1"/>
    <s v="Repeat"/>
    <x v="0"/>
    <n v="33"/>
    <n v="0"/>
  </r>
  <r>
    <n v="894"/>
    <x v="50"/>
    <n v="1479"/>
    <x v="3"/>
    <x v="3"/>
    <x v="3"/>
    <n v="2"/>
    <n v="4124"/>
    <s v="UPI"/>
    <x v="0"/>
    <x v="2"/>
    <n v="7"/>
    <n v="1"/>
    <n v="1"/>
    <s v="New"/>
    <x v="3"/>
    <n v="53"/>
    <n v="1"/>
  </r>
  <r>
    <n v="895"/>
    <x v="93"/>
    <n v="1932"/>
    <x v="0"/>
    <x v="3"/>
    <x v="2"/>
    <n v="5"/>
    <n v="0"/>
    <s v="UPI"/>
    <x v="1"/>
    <x v="0"/>
    <n v="2"/>
    <n v="1"/>
    <n v="0"/>
    <s v="Repeat"/>
    <x v="3"/>
    <n v="53"/>
    <n v="0"/>
  </r>
  <r>
    <n v="896"/>
    <x v="1"/>
    <n v="1543"/>
    <x v="0"/>
    <x v="2"/>
    <x v="2"/>
    <n v="3"/>
    <n v="0"/>
    <s v="Card"/>
    <x v="2"/>
    <x v="2"/>
    <n v="1"/>
    <n v="1"/>
    <n v="1"/>
    <s v="Repeat"/>
    <x v="1"/>
    <n v="39"/>
    <n v="0"/>
  </r>
  <r>
    <n v="897"/>
    <x v="106"/>
    <n v="1044"/>
    <x v="4"/>
    <x v="0"/>
    <x v="0"/>
    <n v="2"/>
    <n v="0"/>
    <s v="UPI"/>
    <x v="2"/>
    <x v="2"/>
    <n v="3"/>
    <n v="0"/>
    <n v="0"/>
    <s v="New"/>
    <x v="5"/>
    <n v="30"/>
    <n v="0"/>
  </r>
  <r>
    <n v="898"/>
    <x v="96"/>
    <n v="1333"/>
    <x v="0"/>
    <x v="1"/>
    <x v="1"/>
    <n v="2"/>
    <n v="0"/>
    <s v="COD"/>
    <x v="1"/>
    <x v="0"/>
    <n v="4"/>
    <n v="1"/>
    <n v="0"/>
    <s v="New"/>
    <x v="4"/>
    <n v="45"/>
    <n v="0"/>
  </r>
  <r>
    <n v="899"/>
    <x v="67"/>
    <n v="1407"/>
    <x v="4"/>
    <x v="1"/>
    <x v="1"/>
    <n v="4"/>
    <n v="5972"/>
    <s v="Wallet"/>
    <x v="0"/>
    <x v="0"/>
    <n v="10"/>
    <n v="0"/>
    <n v="0"/>
    <s v="Repeat"/>
    <x v="1"/>
    <n v="36"/>
    <n v="1"/>
  </r>
  <r>
    <n v="900"/>
    <x v="144"/>
    <n v="1220"/>
    <x v="3"/>
    <x v="1"/>
    <x v="3"/>
    <n v="3"/>
    <n v="0"/>
    <s v="Wallet"/>
    <x v="1"/>
    <x v="1"/>
    <n v="8"/>
    <n v="1"/>
    <n v="1"/>
    <s v="New"/>
    <x v="3"/>
    <n v="52"/>
    <n v="0"/>
  </r>
  <r>
    <n v="901"/>
    <x v="87"/>
    <n v="1863"/>
    <x v="0"/>
    <x v="2"/>
    <x v="1"/>
    <n v="2"/>
    <n v="0"/>
    <s v="Wallet"/>
    <x v="2"/>
    <x v="2"/>
    <n v="1"/>
    <n v="1"/>
    <n v="1"/>
    <s v="New"/>
    <x v="2"/>
    <n v="42"/>
    <n v="0"/>
  </r>
  <r>
    <n v="902"/>
    <x v="172"/>
    <n v="1527"/>
    <x v="0"/>
    <x v="0"/>
    <x v="2"/>
    <n v="3"/>
    <n v="0"/>
    <s v="Wallet"/>
    <x v="2"/>
    <x v="1"/>
    <n v="7"/>
    <n v="0"/>
    <n v="1"/>
    <s v="Repeat"/>
    <x v="2"/>
    <n v="44"/>
    <n v="0"/>
  </r>
  <r>
    <n v="903"/>
    <x v="99"/>
    <n v="1258"/>
    <x v="0"/>
    <x v="2"/>
    <x v="2"/>
    <n v="1"/>
    <n v="0"/>
    <s v="UPI"/>
    <x v="2"/>
    <x v="3"/>
    <n v="5"/>
    <n v="1"/>
    <n v="1"/>
    <s v="Repeat"/>
    <x v="4"/>
    <n v="48"/>
    <n v="0"/>
  </r>
  <r>
    <n v="904"/>
    <x v="141"/>
    <n v="1569"/>
    <x v="1"/>
    <x v="4"/>
    <x v="0"/>
    <n v="4"/>
    <n v="0"/>
    <s v="Card"/>
    <x v="2"/>
    <x v="3"/>
    <n v="3"/>
    <n v="1"/>
    <n v="0"/>
    <s v="Repeat"/>
    <x v="1"/>
    <n v="39"/>
    <n v="0"/>
  </r>
  <r>
    <n v="905"/>
    <x v="27"/>
    <n v="1762"/>
    <x v="2"/>
    <x v="2"/>
    <x v="2"/>
    <n v="5"/>
    <n v="0"/>
    <s v="COD"/>
    <x v="2"/>
    <x v="3"/>
    <n v="3"/>
    <n v="0"/>
    <n v="0"/>
    <s v="New"/>
    <x v="1"/>
    <n v="37"/>
    <n v="0"/>
  </r>
  <r>
    <n v="906"/>
    <x v="60"/>
    <n v="1729"/>
    <x v="4"/>
    <x v="1"/>
    <x v="2"/>
    <n v="5"/>
    <n v="0"/>
    <s v="Wallet"/>
    <x v="2"/>
    <x v="3"/>
    <n v="5"/>
    <n v="1"/>
    <n v="0"/>
    <s v="New"/>
    <x v="1"/>
    <n v="36"/>
    <n v="0"/>
  </r>
  <r>
    <n v="907"/>
    <x v="18"/>
    <n v="1442"/>
    <x v="4"/>
    <x v="4"/>
    <x v="3"/>
    <n v="1"/>
    <n v="3141"/>
    <s v="UPI"/>
    <x v="0"/>
    <x v="3"/>
    <n v="5"/>
    <n v="0"/>
    <n v="0"/>
    <s v="Repeat"/>
    <x v="1"/>
    <n v="36"/>
    <n v="1"/>
  </r>
  <r>
    <n v="908"/>
    <x v="118"/>
    <n v="1981"/>
    <x v="4"/>
    <x v="4"/>
    <x v="1"/>
    <n v="5"/>
    <n v="0"/>
    <s v="Card"/>
    <x v="1"/>
    <x v="3"/>
    <n v="4"/>
    <n v="1"/>
    <n v="0"/>
    <s v="New"/>
    <x v="0"/>
    <n v="35"/>
    <n v="0"/>
  </r>
  <r>
    <n v="909"/>
    <x v="20"/>
    <n v="1466"/>
    <x v="2"/>
    <x v="2"/>
    <x v="3"/>
    <n v="2"/>
    <n v="6196"/>
    <s v="COD"/>
    <x v="0"/>
    <x v="3"/>
    <n v="9"/>
    <n v="1"/>
    <n v="1"/>
    <s v="Repeat"/>
    <x v="0"/>
    <n v="32"/>
    <n v="1"/>
  </r>
  <r>
    <n v="910"/>
    <x v="137"/>
    <n v="1289"/>
    <x v="4"/>
    <x v="1"/>
    <x v="1"/>
    <n v="1"/>
    <n v="0"/>
    <s v="COD"/>
    <x v="2"/>
    <x v="0"/>
    <n v="4"/>
    <n v="0"/>
    <n v="1"/>
    <s v="New"/>
    <x v="1"/>
    <n v="40"/>
    <n v="0"/>
  </r>
  <r>
    <n v="911"/>
    <x v="1"/>
    <n v="1290"/>
    <x v="3"/>
    <x v="4"/>
    <x v="0"/>
    <n v="4"/>
    <n v="11712"/>
    <s v="Card"/>
    <x v="0"/>
    <x v="3"/>
    <n v="7"/>
    <n v="1"/>
    <n v="0"/>
    <s v="New"/>
    <x v="1"/>
    <n v="39"/>
    <n v="1"/>
  </r>
  <r>
    <n v="912"/>
    <x v="1"/>
    <n v="1949"/>
    <x v="3"/>
    <x v="1"/>
    <x v="2"/>
    <n v="2"/>
    <n v="0"/>
    <s v="COD"/>
    <x v="2"/>
    <x v="0"/>
    <n v="5"/>
    <n v="1"/>
    <n v="0"/>
    <s v="New"/>
    <x v="1"/>
    <n v="39"/>
    <n v="0"/>
  </r>
  <r>
    <n v="913"/>
    <x v="106"/>
    <n v="1037"/>
    <x v="3"/>
    <x v="2"/>
    <x v="3"/>
    <n v="3"/>
    <n v="8682"/>
    <s v="COD"/>
    <x v="0"/>
    <x v="0"/>
    <n v="6"/>
    <n v="0"/>
    <n v="0"/>
    <s v="Repeat"/>
    <x v="5"/>
    <n v="30"/>
    <n v="1"/>
  </r>
  <r>
    <n v="914"/>
    <x v="16"/>
    <n v="1084"/>
    <x v="4"/>
    <x v="2"/>
    <x v="0"/>
    <n v="3"/>
    <n v="0"/>
    <s v="Wallet"/>
    <x v="2"/>
    <x v="2"/>
    <n v="9"/>
    <n v="0"/>
    <n v="0"/>
    <s v="Repeat"/>
    <x v="0"/>
    <n v="32"/>
    <n v="0"/>
  </r>
  <r>
    <n v="915"/>
    <x v="62"/>
    <n v="1078"/>
    <x v="4"/>
    <x v="1"/>
    <x v="2"/>
    <n v="1"/>
    <n v="3477"/>
    <s v="Card"/>
    <x v="0"/>
    <x v="0"/>
    <n v="7"/>
    <n v="0"/>
    <n v="1"/>
    <s v="Repeat"/>
    <x v="2"/>
    <n v="43"/>
    <n v="1"/>
  </r>
  <r>
    <n v="916"/>
    <x v="103"/>
    <n v="1358"/>
    <x v="4"/>
    <x v="1"/>
    <x v="1"/>
    <n v="2"/>
    <n v="0"/>
    <s v="COD"/>
    <x v="2"/>
    <x v="2"/>
    <n v="8"/>
    <n v="1"/>
    <n v="0"/>
    <s v="New"/>
    <x v="1"/>
    <n v="38"/>
    <n v="0"/>
  </r>
  <r>
    <n v="917"/>
    <x v="12"/>
    <n v="1109"/>
    <x v="1"/>
    <x v="2"/>
    <x v="3"/>
    <n v="5"/>
    <n v="0"/>
    <s v="Wallet"/>
    <x v="1"/>
    <x v="3"/>
    <n v="3"/>
    <n v="1"/>
    <n v="0"/>
    <s v="Repeat"/>
    <x v="1"/>
    <n v="38"/>
    <n v="0"/>
  </r>
  <r>
    <n v="918"/>
    <x v="179"/>
    <n v="1186"/>
    <x v="0"/>
    <x v="4"/>
    <x v="3"/>
    <n v="1"/>
    <n v="0"/>
    <s v="Card"/>
    <x v="2"/>
    <x v="2"/>
    <n v="6"/>
    <n v="1"/>
    <n v="0"/>
    <s v="Repeat"/>
    <x v="5"/>
    <n v="29"/>
    <n v="0"/>
  </r>
  <r>
    <n v="919"/>
    <x v="122"/>
    <n v="1873"/>
    <x v="2"/>
    <x v="1"/>
    <x v="2"/>
    <n v="1"/>
    <n v="0"/>
    <s v="Card"/>
    <x v="1"/>
    <x v="2"/>
    <n v="6"/>
    <n v="1"/>
    <n v="1"/>
    <s v="Repeat"/>
    <x v="3"/>
    <n v="53"/>
    <n v="0"/>
  </r>
  <r>
    <n v="920"/>
    <x v="134"/>
    <n v="1783"/>
    <x v="3"/>
    <x v="0"/>
    <x v="3"/>
    <n v="1"/>
    <n v="0"/>
    <s v="Wallet"/>
    <x v="2"/>
    <x v="2"/>
    <n v="5"/>
    <n v="0"/>
    <n v="1"/>
    <s v="New"/>
    <x v="3"/>
    <n v="51"/>
    <n v="0"/>
  </r>
  <r>
    <n v="921"/>
    <x v="84"/>
    <n v="1811"/>
    <x v="2"/>
    <x v="1"/>
    <x v="0"/>
    <n v="4"/>
    <n v="16468"/>
    <s v="UPI"/>
    <x v="0"/>
    <x v="3"/>
    <n v="2"/>
    <n v="0"/>
    <n v="0"/>
    <s v="New"/>
    <x v="2"/>
    <n v="41"/>
    <n v="1"/>
  </r>
  <r>
    <n v="922"/>
    <x v="148"/>
    <n v="1601"/>
    <x v="0"/>
    <x v="1"/>
    <x v="0"/>
    <n v="2"/>
    <n v="3704"/>
    <s v="Wallet"/>
    <x v="0"/>
    <x v="3"/>
    <n v="2"/>
    <n v="1"/>
    <n v="0"/>
    <s v="New"/>
    <x v="5"/>
    <n v="30"/>
    <n v="1"/>
  </r>
  <r>
    <n v="923"/>
    <x v="105"/>
    <n v="1226"/>
    <x v="0"/>
    <x v="3"/>
    <x v="0"/>
    <n v="1"/>
    <n v="2868"/>
    <s v="UPI"/>
    <x v="0"/>
    <x v="1"/>
    <n v="10"/>
    <n v="0"/>
    <n v="1"/>
    <s v="New"/>
    <x v="3"/>
    <n v="52"/>
    <n v="1"/>
  </r>
  <r>
    <n v="924"/>
    <x v="103"/>
    <n v="1141"/>
    <x v="4"/>
    <x v="0"/>
    <x v="2"/>
    <n v="5"/>
    <n v="0"/>
    <s v="Card"/>
    <x v="1"/>
    <x v="2"/>
    <n v="6"/>
    <n v="0"/>
    <n v="0"/>
    <s v="New"/>
    <x v="1"/>
    <n v="38"/>
    <n v="0"/>
  </r>
  <r>
    <n v="925"/>
    <x v="5"/>
    <n v="1279"/>
    <x v="1"/>
    <x v="0"/>
    <x v="3"/>
    <n v="2"/>
    <n v="0"/>
    <s v="Wallet"/>
    <x v="2"/>
    <x v="2"/>
    <n v="7"/>
    <n v="1"/>
    <n v="0"/>
    <s v="New"/>
    <x v="0"/>
    <n v="33"/>
    <n v="0"/>
  </r>
  <r>
    <n v="926"/>
    <x v="86"/>
    <n v="1237"/>
    <x v="3"/>
    <x v="4"/>
    <x v="0"/>
    <n v="2"/>
    <n v="0"/>
    <s v="COD"/>
    <x v="2"/>
    <x v="2"/>
    <n v="9"/>
    <n v="0"/>
    <n v="0"/>
    <s v="New"/>
    <x v="6"/>
    <n v="1"/>
    <n v="0"/>
  </r>
  <r>
    <n v="927"/>
    <x v="113"/>
    <n v="1448"/>
    <x v="0"/>
    <x v="3"/>
    <x v="2"/>
    <n v="2"/>
    <n v="0"/>
    <s v="Card"/>
    <x v="2"/>
    <x v="3"/>
    <n v="6"/>
    <n v="1"/>
    <n v="1"/>
    <s v="New"/>
    <x v="0"/>
    <n v="33"/>
    <n v="0"/>
  </r>
  <r>
    <n v="928"/>
    <x v="103"/>
    <n v="1136"/>
    <x v="0"/>
    <x v="2"/>
    <x v="0"/>
    <n v="3"/>
    <n v="0"/>
    <s v="Card"/>
    <x v="2"/>
    <x v="3"/>
    <n v="5"/>
    <n v="0"/>
    <n v="1"/>
    <s v="Repeat"/>
    <x v="1"/>
    <n v="38"/>
    <n v="0"/>
  </r>
  <r>
    <n v="929"/>
    <x v="143"/>
    <n v="1599"/>
    <x v="2"/>
    <x v="2"/>
    <x v="0"/>
    <n v="1"/>
    <n v="0"/>
    <s v="COD"/>
    <x v="1"/>
    <x v="1"/>
    <n v="2"/>
    <n v="1"/>
    <n v="1"/>
    <s v="New"/>
    <x v="2"/>
    <n v="43"/>
    <n v="0"/>
  </r>
  <r>
    <n v="930"/>
    <x v="26"/>
    <n v="1502"/>
    <x v="0"/>
    <x v="2"/>
    <x v="2"/>
    <n v="3"/>
    <n v="4836"/>
    <s v="Card"/>
    <x v="0"/>
    <x v="3"/>
    <n v="5"/>
    <n v="0"/>
    <n v="0"/>
    <s v="Repeat"/>
    <x v="2"/>
    <n v="42"/>
    <n v="1"/>
  </r>
  <r>
    <n v="931"/>
    <x v="68"/>
    <n v="1303"/>
    <x v="0"/>
    <x v="1"/>
    <x v="3"/>
    <n v="1"/>
    <n v="3407"/>
    <s v="Card"/>
    <x v="0"/>
    <x v="1"/>
    <n v="3"/>
    <n v="0"/>
    <n v="1"/>
    <s v="Repeat"/>
    <x v="0"/>
    <n v="32"/>
    <n v="1"/>
  </r>
  <r>
    <n v="932"/>
    <x v="78"/>
    <n v="1549"/>
    <x v="4"/>
    <x v="4"/>
    <x v="1"/>
    <n v="3"/>
    <n v="0"/>
    <s v="Wallet"/>
    <x v="1"/>
    <x v="1"/>
    <n v="1"/>
    <n v="0"/>
    <n v="1"/>
    <s v="New"/>
    <x v="3"/>
    <n v="52"/>
    <n v="0"/>
  </r>
  <r>
    <n v="933"/>
    <x v="136"/>
    <n v="1025"/>
    <x v="1"/>
    <x v="0"/>
    <x v="2"/>
    <n v="5"/>
    <n v="18920"/>
    <s v="Wallet"/>
    <x v="0"/>
    <x v="2"/>
    <n v="6"/>
    <n v="0"/>
    <n v="1"/>
    <s v="Repeat"/>
    <x v="2"/>
    <n v="40"/>
    <n v="1"/>
  </r>
  <r>
    <n v="934"/>
    <x v="94"/>
    <n v="1938"/>
    <x v="3"/>
    <x v="0"/>
    <x v="1"/>
    <n v="4"/>
    <n v="0"/>
    <s v="Card"/>
    <x v="1"/>
    <x v="2"/>
    <n v="8"/>
    <n v="0"/>
    <n v="1"/>
    <s v="Repeat"/>
    <x v="1"/>
    <n v="40"/>
    <n v="0"/>
  </r>
  <r>
    <n v="935"/>
    <x v="22"/>
    <n v="1804"/>
    <x v="4"/>
    <x v="3"/>
    <x v="2"/>
    <n v="3"/>
    <n v="8811"/>
    <s v="Card"/>
    <x v="0"/>
    <x v="0"/>
    <n v="6"/>
    <n v="0"/>
    <n v="1"/>
    <s v="Repeat"/>
    <x v="6"/>
    <n v="2"/>
    <n v="1"/>
  </r>
  <r>
    <n v="936"/>
    <x v="157"/>
    <n v="1013"/>
    <x v="2"/>
    <x v="3"/>
    <x v="2"/>
    <n v="5"/>
    <n v="0"/>
    <s v="Wallet"/>
    <x v="2"/>
    <x v="3"/>
    <n v="7"/>
    <n v="0"/>
    <n v="0"/>
    <s v="Repeat"/>
    <x v="2"/>
    <n v="41"/>
    <n v="0"/>
  </r>
  <r>
    <n v="937"/>
    <x v="115"/>
    <n v="1467"/>
    <x v="2"/>
    <x v="1"/>
    <x v="2"/>
    <n v="3"/>
    <n v="0"/>
    <s v="UPI"/>
    <x v="1"/>
    <x v="1"/>
    <n v="3"/>
    <n v="0"/>
    <n v="0"/>
    <s v="New"/>
    <x v="4"/>
    <n v="48"/>
    <n v="0"/>
  </r>
  <r>
    <n v="938"/>
    <x v="63"/>
    <n v="1191"/>
    <x v="0"/>
    <x v="0"/>
    <x v="3"/>
    <n v="5"/>
    <n v="0"/>
    <s v="Wallet"/>
    <x v="1"/>
    <x v="2"/>
    <n v="5"/>
    <n v="1"/>
    <n v="0"/>
    <s v="Repeat"/>
    <x v="5"/>
    <n v="29"/>
    <n v="0"/>
  </r>
  <r>
    <n v="939"/>
    <x v="67"/>
    <n v="1873"/>
    <x v="2"/>
    <x v="2"/>
    <x v="3"/>
    <n v="2"/>
    <n v="0"/>
    <s v="Wallet"/>
    <x v="2"/>
    <x v="3"/>
    <n v="8"/>
    <n v="0"/>
    <n v="0"/>
    <s v="Repeat"/>
    <x v="1"/>
    <n v="36"/>
    <n v="0"/>
  </r>
  <r>
    <n v="940"/>
    <x v="166"/>
    <n v="1878"/>
    <x v="3"/>
    <x v="3"/>
    <x v="2"/>
    <n v="3"/>
    <n v="0"/>
    <s v="COD"/>
    <x v="2"/>
    <x v="2"/>
    <n v="7"/>
    <n v="1"/>
    <n v="1"/>
    <s v="Repeat"/>
    <x v="1"/>
    <n v="39"/>
    <n v="0"/>
  </r>
  <r>
    <n v="941"/>
    <x v="79"/>
    <n v="1257"/>
    <x v="3"/>
    <x v="2"/>
    <x v="3"/>
    <n v="3"/>
    <n v="0"/>
    <s v="Wallet"/>
    <x v="2"/>
    <x v="0"/>
    <n v="4"/>
    <n v="1"/>
    <n v="1"/>
    <s v="Repeat"/>
    <x v="1"/>
    <n v="36"/>
    <n v="0"/>
  </r>
  <r>
    <n v="942"/>
    <x v="127"/>
    <n v="1028"/>
    <x v="4"/>
    <x v="4"/>
    <x v="3"/>
    <n v="5"/>
    <n v="13725"/>
    <s v="COD"/>
    <x v="0"/>
    <x v="3"/>
    <n v="10"/>
    <n v="1"/>
    <n v="1"/>
    <s v="New"/>
    <x v="5"/>
    <n v="29"/>
    <n v="1"/>
  </r>
  <r>
    <n v="943"/>
    <x v="114"/>
    <n v="1539"/>
    <x v="2"/>
    <x v="2"/>
    <x v="3"/>
    <n v="3"/>
    <n v="0"/>
    <s v="COD"/>
    <x v="1"/>
    <x v="1"/>
    <n v="7"/>
    <n v="1"/>
    <n v="1"/>
    <s v="New"/>
    <x v="3"/>
    <n v="50"/>
    <n v="0"/>
  </r>
  <r>
    <n v="944"/>
    <x v="8"/>
    <n v="1344"/>
    <x v="1"/>
    <x v="0"/>
    <x v="3"/>
    <n v="2"/>
    <n v="0"/>
    <s v="Card"/>
    <x v="1"/>
    <x v="1"/>
    <n v="4"/>
    <n v="1"/>
    <n v="0"/>
    <s v="New"/>
    <x v="0"/>
    <n v="32"/>
    <n v="0"/>
  </r>
  <r>
    <n v="945"/>
    <x v="16"/>
    <n v="1509"/>
    <x v="2"/>
    <x v="4"/>
    <x v="0"/>
    <n v="2"/>
    <n v="0"/>
    <s v="Card"/>
    <x v="1"/>
    <x v="3"/>
    <n v="2"/>
    <n v="1"/>
    <n v="1"/>
    <s v="New"/>
    <x v="0"/>
    <n v="32"/>
    <n v="0"/>
  </r>
  <r>
    <n v="946"/>
    <x v="110"/>
    <n v="1641"/>
    <x v="3"/>
    <x v="1"/>
    <x v="2"/>
    <n v="5"/>
    <n v="1855"/>
    <s v="Card"/>
    <x v="0"/>
    <x v="1"/>
    <n v="3"/>
    <n v="0"/>
    <n v="0"/>
    <s v="Repeat"/>
    <x v="3"/>
    <n v="52"/>
    <n v="1"/>
  </r>
  <r>
    <n v="947"/>
    <x v="9"/>
    <n v="1666"/>
    <x v="4"/>
    <x v="4"/>
    <x v="0"/>
    <n v="3"/>
    <n v="0"/>
    <s v="UPI"/>
    <x v="1"/>
    <x v="2"/>
    <n v="3"/>
    <n v="0"/>
    <n v="0"/>
    <s v="Repeat"/>
    <x v="5"/>
    <n v="30"/>
    <n v="0"/>
  </r>
  <r>
    <n v="948"/>
    <x v="128"/>
    <n v="1331"/>
    <x v="0"/>
    <x v="0"/>
    <x v="1"/>
    <n v="3"/>
    <n v="9897"/>
    <s v="Card"/>
    <x v="0"/>
    <x v="0"/>
    <n v="8"/>
    <n v="1"/>
    <n v="1"/>
    <s v="New"/>
    <x v="1"/>
    <n v="39"/>
    <n v="1"/>
  </r>
  <r>
    <n v="949"/>
    <x v="34"/>
    <n v="1098"/>
    <x v="4"/>
    <x v="2"/>
    <x v="2"/>
    <n v="4"/>
    <n v="0"/>
    <s v="Card"/>
    <x v="2"/>
    <x v="1"/>
    <n v="7"/>
    <n v="0"/>
    <n v="1"/>
    <s v="New"/>
    <x v="3"/>
    <n v="51"/>
    <n v="0"/>
  </r>
  <r>
    <n v="950"/>
    <x v="33"/>
    <n v="1841"/>
    <x v="4"/>
    <x v="4"/>
    <x v="2"/>
    <n v="1"/>
    <n v="0"/>
    <s v="Wallet"/>
    <x v="1"/>
    <x v="3"/>
    <n v="3"/>
    <n v="0"/>
    <n v="1"/>
    <s v="New"/>
    <x v="5"/>
    <n v="31"/>
    <n v="0"/>
  </r>
  <r>
    <n v="951"/>
    <x v="151"/>
    <n v="1193"/>
    <x v="4"/>
    <x v="0"/>
    <x v="3"/>
    <n v="3"/>
    <n v="2517"/>
    <s v="COD"/>
    <x v="0"/>
    <x v="2"/>
    <n v="3"/>
    <n v="0"/>
    <n v="1"/>
    <s v="New"/>
    <x v="3"/>
    <n v="52"/>
    <n v="1"/>
  </r>
  <r>
    <n v="952"/>
    <x v="83"/>
    <n v="1638"/>
    <x v="3"/>
    <x v="0"/>
    <x v="1"/>
    <n v="3"/>
    <n v="0"/>
    <s v="COD"/>
    <x v="2"/>
    <x v="2"/>
    <n v="9"/>
    <n v="1"/>
    <n v="0"/>
    <s v="New"/>
    <x v="1"/>
    <n v="36"/>
    <n v="0"/>
  </r>
  <r>
    <n v="953"/>
    <x v="25"/>
    <n v="1449"/>
    <x v="1"/>
    <x v="3"/>
    <x v="0"/>
    <n v="4"/>
    <n v="0"/>
    <s v="Wallet"/>
    <x v="1"/>
    <x v="3"/>
    <n v="6"/>
    <n v="0"/>
    <n v="0"/>
    <s v="Repeat"/>
    <x v="4"/>
    <n v="49"/>
    <n v="0"/>
  </r>
  <r>
    <n v="954"/>
    <x v="75"/>
    <n v="1220"/>
    <x v="3"/>
    <x v="2"/>
    <x v="3"/>
    <n v="1"/>
    <n v="0"/>
    <s v="Wallet"/>
    <x v="2"/>
    <x v="0"/>
    <n v="9"/>
    <n v="0"/>
    <n v="1"/>
    <s v="Repeat"/>
    <x v="3"/>
    <n v="52"/>
    <n v="0"/>
  </r>
  <r>
    <n v="955"/>
    <x v="4"/>
    <n v="1286"/>
    <x v="4"/>
    <x v="1"/>
    <x v="0"/>
    <n v="1"/>
    <n v="0"/>
    <s v="Card"/>
    <x v="2"/>
    <x v="2"/>
    <n v="1"/>
    <n v="1"/>
    <n v="0"/>
    <s v="Repeat"/>
    <x v="3"/>
    <n v="50"/>
    <n v="0"/>
  </r>
  <r>
    <n v="956"/>
    <x v="157"/>
    <n v="1177"/>
    <x v="4"/>
    <x v="4"/>
    <x v="1"/>
    <n v="5"/>
    <n v="0"/>
    <s v="COD"/>
    <x v="2"/>
    <x v="0"/>
    <n v="8"/>
    <n v="1"/>
    <n v="1"/>
    <s v="Repeat"/>
    <x v="2"/>
    <n v="41"/>
    <n v="0"/>
  </r>
  <r>
    <n v="957"/>
    <x v="122"/>
    <n v="1829"/>
    <x v="3"/>
    <x v="2"/>
    <x v="0"/>
    <n v="4"/>
    <n v="0"/>
    <s v="Wallet"/>
    <x v="2"/>
    <x v="0"/>
    <n v="7"/>
    <n v="1"/>
    <n v="1"/>
    <s v="Repeat"/>
    <x v="3"/>
    <n v="53"/>
    <n v="0"/>
  </r>
  <r>
    <n v="958"/>
    <x v="56"/>
    <n v="1752"/>
    <x v="3"/>
    <x v="1"/>
    <x v="2"/>
    <n v="2"/>
    <n v="0"/>
    <s v="UPI"/>
    <x v="2"/>
    <x v="2"/>
    <n v="1"/>
    <n v="1"/>
    <n v="0"/>
    <s v="Repeat"/>
    <x v="6"/>
    <n v="2"/>
    <n v="0"/>
  </r>
  <r>
    <n v="959"/>
    <x v="29"/>
    <n v="1079"/>
    <x v="2"/>
    <x v="2"/>
    <x v="2"/>
    <n v="3"/>
    <n v="8586"/>
    <s v="COD"/>
    <x v="0"/>
    <x v="2"/>
    <n v="6"/>
    <n v="0"/>
    <n v="0"/>
    <s v="New"/>
    <x v="1"/>
    <n v="39"/>
    <n v="1"/>
  </r>
  <r>
    <n v="960"/>
    <x v="163"/>
    <n v="1983"/>
    <x v="0"/>
    <x v="3"/>
    <x v="2"/>
    <n v="2"/>
    <n v="0"/>
    <s v="COD"/>
    <x v="1"/>
    <x v="0"/>
    <n v="9"/>
    <n v="0"/>
    <n v="1"/>
    <s v="New"/>
    <x v="4"/>
    <n v="45"/>
    <n v="0"/>
  </r>
  <r>
    <n v="961"/>
    <x v="62"/>
    <n v="1002"/>
    <x v="1"/>
    <x v="1"/>
    <x v="3"/>
    <n v="2"/>
    <n v="0"/>
    <s v="COD"/>
    <x v="1"/>
    <x v="0"/>
    <n v="6"/>
    <n v="1"/>
    <n v="1"/>
    <s v="New"/>
    <x v="2"/>
    <n v="43"/>
    <n v="0"/>
  </r>
  <r>
    <n v="962"/>
    <x v="46"/>
    <n v="1054"/>
    <x v="1"/>
    <x v="4"/>
    <x v="2"/>
    <n v="4"/>
    <n v="0"/>
    <s v="COD"/>
    <x v="1"/>
    <x v="2"/>
    <n v="2"/>
    <n v="1"/>
    <n v="1"/>
    <s v="New"/>
    <x v="5"/>
    <n v="30"/>
    <n v="0"/>
  </r>
  <r>
    <n v="963"/>
    <x v="103"/>
    <n v="1151"/>
    <x v="0"/>
    <x v="3"/>
    <x v="3"/>
    <n v="5"/>
    <n v="0"/>
    <s v="UPI"/>
    <x v="2"/>
    <x v="1"/>
    <n v="7"/>
    <n v="0"/>
    <n v="0"/>
    <s v="New"/>
    <x v="1"/>
    <n v="38"/>
    <n v="0"/>
  </r>
  <r>
    <n v="964"/>
    <x v="112"/>
    <n v="1987"/>
    <x v="2"/>
    <x v="0"/>
    <x v="2"/>
    <n v="5"/>
    <n v="0"/>
    <s v="Card"/>
    <x v="2"/>
    <x v="2"/>
    <n v="5"/>
    <n v="1"/>
    <n v="1"/>
    <s v="New"/>
    <x v="5"/>
    <n v="30"/>
    <n v="0"/>
  </r>
  <r>
    <n v="965"/>
    <x v="127"/>
    <n v="1164"/>
    <x v="3"/>
    <x v="2"/>
    <x v="1"/>
    <n v="2"/>
    <n v="0"/>
    <s v="COD"/>
    <x v="1"/>
    <x v="1"/>
    <n v="6"/>
    <n v="0"/>
    <n v="0"/>
    <s v="Repeat"/>
    <x v="5"/>
    <n v="29"/>
    <n v="0"/>
  </r>
  <r>
    <n v="966"/>
    <x v="154"/>
    <n v="1339"/>
    <x v="3"/>
    <x v="3"/>
    <x v="2"/>
    <n v="5"/>
    <n v="0"/>
    <s v="Card"/>
    <x v="2"/>
    <x v="0"/>
    <n v="7"/>
    <n v="1"/>
    <n v="1"/>
    <s v="Repeat"/>
    <x v="2"/>
    <n v="42"/>
    <n v="0"/>
  </r>
  <r>
    <n v="967"/>
    <x v="144"/>
    <n v="1153"/>
    <x v="4"/>
    <x v="1"/>
    <x v="0"/>
    <n v="1"/>
    <n v="0"/>
    <s v="UPI"/>
    <x v="2"/>
    <x v="0"/>
    <n v="1"/>
    <n v="0"/>
    <n v="0"/>
    <s v="Repeat"/>
    <x v="3"/>
    <n v="52"/>
    <n v="0"/>
  </r>
  <r>
    <n v="968"/>
    <x v="40"/>
    <n v="1961"/>
    <x v="2"/>
    <x v="3"/>
    <x v="0"/>
    <n v="5"/>
    <n v="9425"/>
    <s v="UPI"/>
    <x v="0"/>
    <x v="2"/>
    <n v="10"/>
    <n v="1"/>
    <n v="0"/>
    <s v="Repeat"/>
    <x v="0"/>
    <n v="32"/>
    <n v="1"/>
  </r>
  <r>
    <n v="969"/>
    <x v="42"/>
    <n v="1068"/>
    <x v="4"/>
    <x v="3"/>
    <x v="1"/>
    <n v="5"/>
    <n v="0"/>
    <s v="Wallet"/>
    <x v="1"/>
    <x v="3"/>
    <n v="1"/>
    <n v="0"/>
    <n v="1"/>
    <s v="New"/>
    <x v="2"/>
    <n v="44"/>
    <n v="0"/>
  </r>
  <r>
    <n v="970"/>
    <x v="118"/>
    <n v="1482"/>
    <x v="1"/>
    <x v="2"/>
    <x v="2"/>
    <n v="5"/>
    <n v="8800"/>
    <s v="UPI"/>
    <x v="0"/>
    <x v="3"/>
    <n v="9"/>
    <n v="1"/>
    <n v="1"/>
    <s v="Repeat"/>
    <x v="0"/>
    <n v="35"/>
    <n v="1"/>
  </r>
  <r>
    <n v="971"/>
    <x v="142"/>
    <n v="1524"/>
    <x v="2"/>
    <x v="1"/>
    <x v="0"/>
    <n v="5"/>
    <n v="0"/>
    <s v="Card"/>
    <x v="2"/>
    <x v="0"/>
    <n v="1"/>
    <n v="1"/>
    <n v="1"/>
    <s v="New"/>
    <x v="2"/>
    <n v="42"/>
    <n v="0"/>
  </r>
  <r>
    <n v="972"/>
    <x v="46"/>
    <n v="1969"/>
    <x v="1"/>
    <x v="4"/>
    <x v="3"/>
    <n v="3"/>
    <n v="10530"/>
    <s v="UPI"/>
    <x v="0"/>
    <x v="2"/>
    <n v="9"/>
    <n v="1"/>
    <n v="0"/>
    <s v="New"/>
    <x v="5"/>
    <n v="30"/>
    <n v="1"/>
  </r>
  <r>
    <n v="973"/>
    <x v="15"/>
    <n v="1045"/>
    <x v="1"/>
    <x v="4"/>
    <x v="2"/>
    <n v="5"/>
    <n v="0"/>
    <s v="COD"/>
    <x v="2"/>
    <x v="3"/>
    <n v="4"/>
    <n v="1"/>
    <n v="0"/>
    <s v="Repeat"/>
    <x v="4"/>
    <n v="47"/>
    <n v="0"/>
  </r>
  <r>
    <n v="974"/>
    <x v="32"/>
    <n v="1161"/>
    <x v="3"/>
    <x v="4"/>
    <x v="0"/>
    <n v="4"/>
    <n v="13540"/>
    <s v="Wallet"/>
    <x v="0"/>
    <x v="2"/>
    <n v="8"/>
    <n v="0"/>
    <n v="1"/>
    <s v="Repeat"/>
    <x v="1"/>
    <n v="38"/>
    <n v="1"/>
  </r>
  <r>
    <n v="975"/>
    <x v="70"/>
    <n v="1173"/>
    <x v="4"/>
    <x v="3"/>
    <x v="2"/>
    <n v="5"/>
    <n v="0"/>
    <s v="UPI"/>
    <x v="2"/>
    <x v="3"/>
    <n v="5"/>
    <n v="1"/>
    <n v="0"/>
    <s v="New"/>
    <x v="2"/>
    <n v="40"/>
    <n v="0"/>
  </r>
  <r>
    <n v="976"/>
    <x v="167"/>
    <n v="1614"/>
    <x v="1"/>
    <x v="0"/>
    <x v="3"/>
    <n v="2"/>
    <n v="0"/>
    <s v="UPI"/>
    <x v="2"/>
    <x v="1"/>
    <n v="2"/>
    <n v="1"/>
    <n v="1"/>
    <s v="New"/>
    <x v="0"/>
    <n v="35"/>
    <n v="0"/>
  </r>
  <r>
    <n v="977"/>
    <x v="22"/>
    <n v="1222"/>
    <x v="3"/>
    <x v="3"/>
    <x v="3"/>
    <n v="1"/>
    <n v="0"/>
    <s v="COD"/>
    <x v="1"/>
    <x v="1"/>
    <n v="5"/>
    <n v="0"/>
    <n v="1"/>
    <s v="Repeat"/>
    <x v="6"/>
    <n v="2"/>
    <n v="0"/>
  </r>
  <r>
    <n v="978"/>
    <x v="151"/>
    <n v="1420"/>
    <x v="3"/>
    <x v="3"/>
    <x v="0"/>
    <n v="2"/>
    <n v="0"/>
    <s v="Card"/>
    <x v="2"/>
    <x v="0"/>
    <n v="8"/>
    <n v="0"/>
    <n v="0"/>
    <s v="Repeat"/>
    <x v="3"/>
    <n v="52"/>
    <n v="0"/>
  </r>
  <r>
    <n v="979"/>
    <x v="35"/>
    <n v="1315"/>
    <x v="1"/>
    <x v="4"/>
    <x v="0"/>
    <n v="5"/>
    <n v="0"/>
    <s v="Wallet"/>
    <x v="1"/>
    <x v="2"/>
    <n v="1"/>
    <n v="0"/>
    <n v="0"/>
    <s v="New"/>
    <x v="0"/>
    <n v="35"/>
    <n v="0"/>
  </r>
  <r>
    <n v="980"/>
    <x v="79"/>
    <n v="1396"/>
    <x v="2"/>
    <x v="0"/>
    <x v="1"/>
    <n v="4"/>
    <n v="0"/>
    <s v="UPI"/>
    <x v="1"/>
    <x v="2"/>
    <n v="4"/>
    <n v="0"/>
    <n v="1"/>
    <s v="New"/>
    <x v="1"/>
    <n v="36"/>
    <n v="0"/>
  </r>
  <r>
    <n v="981"/>
    <x v="92"/>
    <n v="1878"/>
    <x v="0"/>
    <x v="2"/>
    <x v="0"/>
    <n v="2"/>
    <n v="0"/>
    <s v="COD"/>
    <x v="1"/>
    <x v="0"/>
    <n v="8"/>
    <n v="1"/>
    <n v="1"/>
    <s v="New"/>
    <x v="3"/>
    <n v="53"/>
    <n v="0"/>
  </r>
  <r>
    <n v="982"/>
    <x v="84"/>
    <n v="1016"/>
    <x v="0"/>
    <x v="1"/>
    <x v="0"/>
    <n v="3"/>
    <n v="0"/>
    <s v="Card"/>
    <x v="2"/>
    <x v="3"/>
    <n v="7"/>
    <n v="1"/>
    <n v="1"/>
    <s v="New"/>
    <x v="2"/>
    <n v="41"/>
    <n v="0"/>
  </r>
  <r>
    <n v="983"/>
    <x v="94"/>
    <n v="1583"/>
    <x v="3"/>
    <x v="3"/>
    <x v="2"/>
    <n v="3"/>
    <n v="6495"/>
    <s v="Card"/>
    <x v="0"/>
    <x v="1"/>
    <n v="8"/>
    <n v="0"/>
    <n v="1"/>
    <s v="New"/>
    <x v="1"/>
    <n v="40"/>
    <n v="1"/>
  </r>
  <r>
    <n v="984"/>
    <x v="123"/>
    <n v="1390"/>
    <x v="4"/>
    <x v="1"/>
    <x v="1"/>
    <n v="5"/>
    <n v="0"/>
    <s v="Wallet"/>
    <x v="1"/>
    <x v="2"/>
    <n v="7"/>
    <n v="0"/>
    <n v="1"/>
    <s v="Repeat"/>
    <x v="0"/>
    <n v="34"/>
    <n v="0"/>
  </r>
  <r>
    <n v="985"/>
    <x v="114"/>
    <n v="1952"/>
    <x v="1"/>
    <x v="1"/>
    <x v="3"/>
    <n v="3"/>
    <n v="10137"/>
    <s v="Wallet"/>
    <x v="0"/>
    <x v="0"/>
    <n v="6"/>
    <n v="0"/>
    <n v="0"/>
    <s v="New"/>
    <x v="3"/>
    <n v="50"/>
    <n v="1"/>
  </r>
  <r>
    <n v="986"/>
    <x v="104"/>
    <n v="1727"/>
    <x v="2"/>
    <x v="4"/>
    <x v="2"/>
    <n v="1"/>
    <n v="0"/>
    <s v="UPI"/>
    <x v="1"/>
    <x v="0"/>
    <n v="10"/>
    <n v="0"/>
    <n v="1"/>
    <s v="Repeat"/>
    <x v="5"/>
    <n v="29"/>
    <n v="0"/>
  </r>
  <r>
    <n v="987"/>
    <x v="84"/>
    <n v="1841"/>
    <x v="0"/>
    <x v="2"/>
    <x v="3"/>
    <n v="5"/>
    <n v="18430"/>
    <s v="UPI"/>
    <x v="0"/>
    <x v="2"/>
    <n v="5"/>
    <n v="0"/>
    <n v="1"/>
    <s v="New"/>
    <x v="2"/>
    <n v="41"/>
    <n v="1"/>
  </r>
  <r>
    <n v="988"/>
    <x v="27"/>
    <n v="1224"/>
    <x v="0"/>
    <x v="2"/>
    <x v="3"/>
    <n v="2"/>
    <n v="4520"/>
    <s v="COD"/>
    <x v="0"/>
    <x v="2"/>
    <n v="7"/>
    <n v="0"/>
    <n v="1"/>
    <s v="New"/>
    <x v="1"/>
    <n v="37"/>
    <n v="1"/>
  </r>
  <r>
    <n v="989"/>
    <x v="179"/>
    <n v="1691"/>
    <x v="0"/>
    <x v="4"/>
    <x v="3"/>
    <n v="3"/>
    <n v="0"/>
    <s v="Wallet"/>
    <x v="2"/>
    <x v="3"/>
    <n v="10"/>
    <n v="0"/>
    <n v="0"/>
    <s v="Repeat"/>
    <x v="5"/>
    <n v="29"/>
    <n v="0"/>
  </r>
  <r>
    <n v="990"/>
    <x v="49"/>
    <n v="1799"/>
    <x v="3"/>
    <x v="4"/>
    <x v="2"/>
    <n v="4"/>
    <n v="4508"/>
    <s v="Card"/>
    <x v="0"/>
    <x v="1"/>
    <n v="3"/>
    <n v="0"/>
    <n v="0"/>
    <s v="Repeat"/>
    <x v="0"/>
    <n v="36"/>
    <n v="1"/>
  </r>
  <r>
    <n v="991"/>
    <x v="104"/>
    <n v="1128"/>
    <x v="0"/>
    <x v="4"/>
    <x v="1"/>
    <n v="4"/>
    <n v="0"/>
    <s v="UPI"/>
    <x v="1"/>
    <x v="2"/>
    <n v="3"/>
    <n v="0"/>
    <n v="1"/>
    <s v="New"/>
    <x v="5"/>
    <n v="29"/>
    <n v="0"/>
  </r>
  <r>
    <n v="992"/>
    <x v="101"/>
    <n v="1417"/>
    <x v="3"/>
    <x v="3"/>
    <x v="0"/>
    <n v="2"/>
    <n v="5278"/>
    <s v="Wallet"/>
    <x v="0"/>
    <x v="2"/>
    <n v="1"/>
    <n v="1"/>
    <n v="0"/>
    <s v="Repeat"/>
    <x v="3"/>
    <n v="49"/>
    <n v="1"/>
  </r>
  <r>
    <n v="993"/>
    <x v="175"/>
    <n v="1868"/>
    <x v="1"/>
    <x v="0"/>
    <x v="1"/>
    <n v="3"/>
    <n v="0"/>
    <s v="Card"/>
    <x v="2"/>
    <x v="1"/>
    <n v="9"/>
    <n v="1"/>
    <n v="1"/>
    <s v="New"/>
    <x v="5"/>
    <n v="31"/>
    <n v="0"/>
  </r>
  <r>
    <n v="994"/>
    <x v="91"/>
    <n v="1232"/>
    <x v="0"/>
    <x v="0"/>
    <x v="0"/>
    <n v="2"/>
    <n v="6870"/>
    <s v="Wallet"/>
    <x v="0"/>
    <x v="2"/>
    <n v="8"/>
    <n v="0"/>
    <n v="1"/>
    <s v="New"/>
    <x v="3"/>
    <n v="52"/>
    <n v="1"/>
  </r>
  <r>
    <n v="995"/>
    <x v="95"/>
    <n v="1232"/>
    <x v="4"/>
    <x v="2"/>
    <x v="0"/>
    <n v="1"/>
    <n v="0"/>
    <s v="Wallet"/>
    <x v="1"/>
    <x v="3"/>
    <n v="5"/>
    <n v="0"/>
    <n v="0"/>
    <s v="Repeat"/>
    <x v="4"/>
    <n v="47"/>
    <n v="0"/>
  </r>
  <r>
    <n v="996"/>
    <x v="114"/>
    <n v="1178"/>
    <x v="3"/>
    <x v="3"/>
    <x v="2"/>
    <n v="4"/>
    <n v="0"/>
    <s v="UPI"/>
    <x v="2"/>
    <x v="1"/>
    <n v="10"/>
    <n v="0"/>
    <n v="0"/>
    <s v="New"/>
    <x v="3"/>
    <n v="50"/>
    <n v="0"/>
  </r>
  <r>
    <n v="997"/>
    <x v="105"/>
    <n v="1581"/>
    <x v="0"/>
    <x v="0"/>
    <x v="3"/>
    <n v="5"/>
    <n v="0"/>
    <s v="Wallet"/>
    <x v="1"/>
    <x v="0"/>
    <n v="5"/>
    <n v="0"/>
    <n v="0"/>
    <s v="New"/>
    <x v="3"/>
    <n v="52"/>
    <n v="0"/>
  </r>
  <r>
    <n v="998"/>
    <x v="151"/>
    <n v="1449"/>
    <x v="1"/>
    <x v="0"/>
    <x v="2"/>
    <n v="5"/>
    <n v="0"/>
    <s v="Card"/>
    <x v="1"/>
    <x v="0"/>
    <n v="6"/>
    <n v="1"/>
    <n v="1"/>
    <s v="Repeat"/>
    <x v="3"/>
    <n v="52"/>
    <n v="0"/>
  </r>
  <r>
    <n v="999"/>
    <x v="158"/>
    <n v="1355"/>
    <x v="3"/>
    <x v="3"/>
    <x v="3"/>
    <n v="3"/>
    <n v="0"/>
    <s v="Card"/>
    <x v="2"/>
    <x v="2"/>
    <n v="1"/>
    <n v="0"/>
    <n v="1"/>
    <s v="New"/>
    <x v="1"/>
    <n v="38"/>
    <n v="0"/>
  </r>
  <r>
    <n v="1000"/>
    <x v="98"/>
    <n v="1003"/>
    <x v="2"/>
    <x v="0"/>
    <x v="2"/>
    <n v="2"/>
    <n v="1662"/>
    <s v="Wallet"/>
    <x v="0"/>
    <x v="1"/>
    <n v="4"/>
    <n v="1"/>
    <n v="1"/>
    <s v="New"/>
    <x v="3"/>
    <n v="51"/>
    <n v="1"/>
  </r>
  <r>
    <n v="1001"/>
    <x v="39"/>
    <n v="1636"/>
    <x v="4"/>
    <x v="1"/>
    <x v="1"/>
    <n v="2"/>
    <n v="0"/>
    <s v="UPI"/>
    <x v="1"/>
    <x v="2"/>
    <n v="1"/>
    <n v="1"/>
    <n v="0"/>
    <s v="New"/>
    <x v="0"/>
    <n v="34"/>
    <n v="0"/>
  </r>
  <r>
    <n v="1002"/>
    <x v="44"/>
    <n v="1385"/>
    <x v="2"/>
    <x v="0"/>
    <x v="3"/>
    <n v="3"/>
    <n v="12582"/>
    <s v="Wallet"/>
    <x v="0"/>
    <x v="0"/>
    <n v="4"/>
    <n v="1"/>
    <n v="0"/>
    <s v="New"/>
    <x v="4"/>
    <n v="47"/>
    <n v="1"/>
  </r>
  <r>
    <n v="1003"/>
    <x v="148"/>
    <n v="1978"/>
    <x v="2"/>
    <x v="1"/>
    <x v="0"/>
    <n v="5"/>
    <n v="0"/>
    <s v="Wallet"/>
    <x v="1"/>
    <x v="2"/>
    <n v="8"/>
    <n v="0"/>
    <n v="0"/>
    <s v="New"/>
    <x v="5"/>
    <n v="30"/>
    <n v="0"/>
  </r>
  <r>
    <n v="1004"/>
    <x v="168"/>
    <n v="1740"/>
    <x v="0"/>
    <x v="4"/>
    <x v="2"/>
    <n v="1"/>
    <n v="0"/>
    <s v="UPI"/>
    <x v="1"/>
    <x v="1"/>
    <n v="8"/>
    <n v="1"/>
    <n v="0"/>
    <s v="Repeat"/>
    <x v="6"/>
    <n v="1"/>
    <n v="0"/>
  </r>
  <r>
    <n v="1005"/>
    <x v="142"/>
    <n v="1026"/>
    <x v="2"/>
    <x v="1"/>
    <x v="3"/>
    <n v="1"/>
    <n v="332"/>
    <s v="Wallet"/>
    <x v="0"/>
    <x v="1"/>
    <n v="4"/>
    <n v="0"/>
    <n v="1"/>
    <s v="New"/>
    <x v="2"/>
    <n v="42"/>
    <n v="1"/>
  </r>
  <r>
    <n v="1006"/>
    <x v="79"/>
    <n v="1430"/>
    <x v="3"/>
    <x v="1"/>
    <x v="0"/>
    <n v="1"/>
    <n v="0"/>
    <s v="Card"/>
    <x v="1"/>
    <x v="0"/>
    <n v="8"/>
    <n v="0"/>
    <n v="0"/>
    <s v="New"/>
    <x v="1"/>
    <n v="36"/>
    <n v="0"/>
  </r>
  <r>
    <n v="1007"/>
    <x v="11"/>
    <n v="1039"/>
    <x v="4"/>
    <x v="3"/>
    <x v="3"/>
    <n v="4"/>
    <n v="0"/>
    <s v="COD"/>
    <x v="2"/>
    <x v="1"/>
    <n v="1"/>
    <n v="1"/>
    <n v="0"/>
    <s v="New"/>
    <x v="0"/>
    <n v="35"/>
    <n v="0"/>
  </r>
  <r>
    <n v="1008"/>
    <x v="112"/>
    <n v="1152"/>
    <x v="3"/>
    <x v="2"/>
    <x v="0"/>
    <n v="1"/>
    <n v="2915"/>
    <s v="UPI"/>
    <x v="0"/>
    <x v="2"/>
    <n v="4"/>
    <n v="0"/>
    <n v="0"/>
    <s v="New"/>
    <x v="5"/>
    <n v="30"/>
    <n v="1"/>
  </r>
  <r>
    <n v="1009"/>
    <x v="131"/>
    <n v="1653"/>
    <x v="3"/>
    <x v="3"/>
    <x v="2"/>
    <n v="4"/>
    <n v="0"/>
    <s v="COD"/>
    <x v="1"/>
    <x v="2"/>
    <n v="5"/>
    <n v="0"/>
    <n v="0"/>
    <s v="New"/>
    <x v="4"/>
    <n v="47"/>
    <n v="0"/>
  </r>
  <r>
    <n v="1010"/>
    <x v="86"/>
    <n v="1730"/>
    <x v="4"/>
    <x v="3"/>
    <x v="3"/>
    <n v="2"/>
    <n v="0"/>
    <s v="UPI"/>
    <x v="2"/>
    <x v="3"/>
    <n v="9"/>
    <n v="0"/>
    <n v="1"/>
    <s v="Repeat"/>
    <x v="6"/>
    <n v="1"/>
    <n v="0"/>
  </r>
  <r>
    <n v="1011"/>
    <x v="71"/>
    <n v="1753"/>
    <x v="2"/>
    <x v="1"/>
    <x v="0"/>
    <n v="1"/>
    <n v="0"/>
    <s v="Wallet"/>
    <x v="2"/>
    <x v="1"/>
    <n v="5"/>
    <n v="1"/>
    <n v="0"/>
    <s v="Repeat"/>
    <x v="3"/>
    <n v="49"/>
    <n v="0"/>
  </r>
  <r>
    <n v="1012"/>
    <x v="141"/>
    <n v="1652"/>
    <x v="2"/>
    <x v="4"/>
    <x v="0"/>
    <n v="3"/>
    <n v="11178"/>
    <s v="Card"/>
    <x v="0"/>
    <x v="0"/>
    <n v="6"/>
    <n v="1"/>
    <n v="0"/>
    <s v="Repeat"/>
    <x v="1"/>
    <n v="39"/>
    <n v="1"/>
  </r>
  <r>
    <n v="1013"/>
    <x v="120"/>
    <n v="1356"/>
    <x v="0"/>
    <x v="1"/>
    <x v="1"/>
    <n v="2"/>
    <n v="2380"/>
    <s v="Wallet"/>
    <x v="0"/>
    <x v="0"/>
    <n v="5"/>
    <n v="0"/>
    <n v="1"/>
    <s v="Repeat"/>
    <x v="6"/>
    <n v="1"/>
    <n v="1"/>
  </r>
  <r>
    <n v="1014"/>
    <x v="43"/>
    <n v="1548"/>
    <x v="1"/>
    <x v="3"/>
    <x v="1"/>
    <n v="5"/>
    <n v="0"/>
    <s v="Card"/>
    <x v="1"/>
    <x v="3"/>
    <n v="1"/>
    <n v="1"/>
    <n v="1"/>
    <s v="New"/>
    <x v="4"/>
    <n v="46"/>
    <n v="0"/>
  </r>
  <r>
    <n v="1015"/>
    <x v="27"/>
    <n v="1096"/>
    <x v="4"/>
    <x v="1"/>
    <x v="2"/>
    <n v="4"/>
    <n v="1824"/>
    <s v="UPI"/>
    <x v="0"/>
    <x v="1"/>
    <n v="2"/>
    <n v="0"/>
    <n v="0"/>
    <s v="New"/>
    <x v="1"/>
    <n v="37"/>
    <n v="1"/>
  </r>
  <r>
    <n v="1016"/>
    <x v="145"/>
    <n v="1789"/>
    <x v="4"/>
    <x v="1"/>
    <x v="1"/>
    <n v="3"/>
    <n v="0"/>
    <s v="UPI"/>
    <x v="1"/>
    <x v="0"/>
    <n v="6"/>
    <n v="1"/>
    <n v="1"/>
    <s v="Repeat"/>
    <x v="4"/>
    <n v="48"/>
    <n v="0"/>
  </r>
  <r>
    <n v="1017"/>
    <x v="9"/>
    <n v="1339"/>
    <x v="2"/>
    <x v="2"/>
    <x v="1"/>
    <n v="1"/>
    <n v="0"/>
    <s v="COD"/>
    <x v="2"/>
    <x v="2"/>
    <n v="10"/>
    <n v="1"/>
    <n v="0"/>
    <s v="New"/>
    <x v="5"/>
    <n v="30"/>
    <n v="0"/>
  </r>
  <r>
    <n v="1018"/>
    <x v="175"/>
    <n v="1329"/>
    <x v="2"/>
    <x v="2"/>
    <x v="0"/>
    <n v="2"/>
    <n v="0"/>
    <s v="UPI"/>
    <x v="1"/>
    <x v="3"/>
    <n v="7"/>
    <n v="0"/>
    <n v="0"/>
    <s v="Repeat"/>
    <x v="5"/>
    <n v="31"/>
    <n v="0"/>
  </r>
  <r>
    <n v="1019"/>
    <x v="153"/>
    <n v="1420"/>
    <x v="4"/>
    <x v="1"/>
    <x v="3"/>
    <n v="2"/>
    <n v="0"/>
    <s v="Card"/>
    <x v="2"/>
    <x v="0"/>
    <n v="6"/>
    <n v="1"/>
    <n v="0"/>
    <s v="New"/>
    <x v="0"/>
    <n v="31"/>
    <n v="0"/>
  </r>
  <r>
    <n v="1020"/>
    <x v="87"/>
    <n v="1326"/>
    <x v="0"/>
    <x v="4"/>
    <x v="0"/>
    <n v="3"/>
    <n v="0"/>
    <s v="COD"/>
    <x v="2"/>
    <x v="2"/>
    <n v="5"/>
    <n v="0"/>
    <n v="0"/>
    <s v="Repeat"/>
    <x v="2"/>
    <n v="42"/>
    <n v="0"/>
  </r>
  <r>
    <n v="1021"/>
    <x v="15"/>
    <n v="1675"/>
    <x v="0"/>
    <x v="4"/>
    <x v="1"/>
    <n v="4"/>
    <n v="0"/>
    <s v="COD"/>
    <x v="1"/>
    <x v="1"/>
    <n v="4"/>
    <n v="0"/>
    <n v="1"/>
    <s v="New"/>
    <x v="4"/>
    <n v="47"/>
    <n v="0"/>
  </r>
  <r>
    <n v="1022"/>
    <x v="4"/>
    <n v="1039"/>
    <x v="4"/>
    <x v="0"/>
    <x v="1"/>
    <n v="5"/>
    <n v="12860"/>
    <s v="COD"/>
    <x v="0"/>
    <x v="1"/>
    <n v="9"/>
    <n v="0"/>
    <n v="1"/>
    <s v="New"/>
    <x v="3"/>
    <n v="50"/>
    <n v="1"/>
  </r>
  <r>
    <n v="1023"/>
    <x v="47"/>
    <n v="1215"/>
    <x v="4"/>
    <x v="4"/>
    <x v="3"/>
    <n v="4"/>
    <n v="5892"/>
    <s v="UPI"/>
    <x v="0"/>
    <x v="1"/>
    <n v="4"/>
    <n v="1"/>
    <n v="1"/>
    <s v="Repeat"/>
    <x v="6"/>
    <n v="2"/>
    <n v="1"/>
  </r>
  <r>
    <n v="1024"/>
    <x v="148"/>
    <n v="1857"/>
    <x v="1"/>
    <x v="3"/>
    <x v="3"/>
    <n v="3"/>
    <n v="0"/>
    <s v="Card"/>
    <x v="1"/>
    <x v="0"/>
    <n v="9"/>
    <n v="1"/>
    <n v="0"/>
    <s v="Repeat"/>
    <x v="5"/>
    <n v="30"/>
    <n v="0"/>
  </r>
  <r>
    <n v="1025"/>
    <x v="42"/>
    <n v="1811"/>
    <x v="0"/>
    <x v="1"/>
    <x v="0"/>
    <n v="1"/>
    <n v="634"/>
    <s v="Card"/>
    <x v="0"/>
    <x v="0"/>
    <n v="3"/>
    <n v="0"/>
    <n v="0"/>
    <s v="New"/>
    <x v="2"/>
    <n v="44"/>
    <n v="1"/>
  </r>
  <r>
    <n v="1026"/>
    <x v="86"/>
    <n v="1637"/>
    <x v="3"/>
    <x v="1"/>
    <x v="2"/>
    <n v="4"/>
    <n v="0"/>
    <s v="Card"/>
    <x v="2"/>
    <x v="2"/>
    <n v="10"/>
    <n v="1"/>
    <n v="0"/>
    <s v="New"/>
    <x v="6"/>
    <n v="1"/>
    <n v="0"/>
  </r>
  <r>
    <n v="1027"/>
    <x v="47"/>
    <n v="1554"/>
    <x v="1"/>
    <x v="1"/>
    <x v="1"/>
    <n v="4"/>
    <n v="0"/>
    <s v="Wallet"/>
    <x v="2"/>
    <x v="2"/>
    <n v="4"/>
    <n v="1"/>
    <n v="0"/>
    <s v="Repeat"/>
    <x v="6"/>
    <n v="2"/>
    <n v="0"/>
  </r>
  <r>
    <n v="1028"/>
    <x v="124"/>
    <n v="1875"/>
    <x v="4"/>
    <x v="0"/>
    <x v="2"/>
    <n v="2"/>
    <n v="0"/>
    <s v="COD"/>
    <x v="2"/>
    <x v="1"/>
    <n v="8"/>
    <n v="1"/>
    <n v="0"/>
    <s v="New"/>
    <x v="1"/>
    <n v="37"/>
    <n v="0"/>
  </r>
  <r>
    <n v="1029"/>
    <x v="52"/>
    <n v="1657"/>
    <x v="3"/>
    <x v="0"/>
    <x v="0"/>
    <n v="5"/>
    <n v="0"/>
    <s v="UPI"/>
    <x v="2"/>
    <x v="2"/>
    <n v="2"/>
    <n v="0"/>
    <n v="0"/>
    <s v="New"/>
    <x v="4"/>
    <n v="44"/>
    <n v="0"/>
  </r>
  <r>
    <n v="1030"/>
    <x v="38"/>
    <n v="1235"/>
    <x v="2"/>
    <x v="3"/>
    <x v="1"/>
    <n v="3"/>
    <n v="0"/>
    <s v="Card"/>
    <x v="1"/>
    <x v="1"/>
    <n v="4"/>
    <n v="1"/>
    <n v="1"/>
    <s v="New"/>
    <x v="1"/>
    <n v="39"/>
    <n v="0"/>
  </r>
  <r>
    <n v="1031"/>
    <x v="53"/>
    <n v="1551"/>
    <x v="2"/>
    <x v="1"/>
    <x v="0"/>
    <n v="1"/>
    <n v="4279"/>
    <s v="UPI"/>
    <x v="0"/>
    <x v="3"/>
    <n v="4"/>
    <n v="1"/>
    <n v="1"/>
    <s v="New"/>
    <x v="2"/>
    <n v="42"/>
    <n v="1"/>
  </r>
  <r>
    <n v="1032"/>
    <x v="10"/>
    <n v="1457"/>
    <x v="3"/>
    <x v="4"/>
    <x v="1"/>
    <n v="4"/>
    <n v="0"/>
    <s v="Wallet"/>
    <x v="2"/>
    <x v="3"/>
    <n v="4"/>
    <n v="1"/>
    <n v="0"/>
    <s v="New"/>
    <x v="3"/>
    <n v="49"/>
    <n v="0"/>
  </r>
  <r>
    <n v="1033"/>
    <x v="97"/>
    <n v="1577"/>
    <x v="4"/>
    <x v="1"/>
    <x v="2"/>
    <n v="3"/>
    <n v="0"/>
    <s v="Card"/>
    <x v="1"/>
    <x v="2"/>
    <n v="9"/>
    <n v="0"/>
    <n v="0"/>
    <s v="Repeat"/>
    <x v="1"/>
    <n v="40"/>
    <n v="0"/>
  </r>
  <r>
    <n v="1034"/>
    <x v="15"/>
    <n v="1628"/>
    <x v="4"/>
    <x v="4"/>
    <x v="3"/>
    <n v="4"/>
    <n v="0"/>
    <s v="Card"/>
    <x v="1"/>
    <x v="2"/>
    <n v="7"/>
    <n v="1"/>
    <n v="1"/>
    <s v="Repeat"/>
    <x v="4"/>
    <n v="47"/>
    <n v="0"/>
  </r>
  <r>
    <n v="1035"/>
    <x v="123"/>
    <n v="1221"/>
    <x v="3"/>
    <x v="3"/>
    <x v="2"/>
    <n v="2"/>
    <n v="7084"/>
    <s v="Wallet"/>
    <x v="0"/>
    <x v="1"/>
    <n v="2"/>
    <n v="1"/>
    <n v="1"/>
    <s v="New"/>
    <x v="0"/>
    <n v="34"/>
    <n v="1"/>
  </r>
  <r>
    <n v="1036"/>
    <x v="105"/>
    <n v="1785"/>
    <x v="1"/>
    <x v="3"/>
    <x v="0"/>
    <n v="4"/>
    <n v="10664"/>
    <s v="UPI"/>
    <x v="0"/>
    <x v="1"/>
    <n v="10"/>
    <n v="0"/>
    <n v="1"/>
    <s v="Repeat"/>
    <x v="3"/>
    <n v="52"/>
    <n v="1"/>
  </r>
  <r>
    <n v="1037"/>
    <x v="108"/>
    <n v="1376"/>
    <x v="3"/>
    <x v="4"/>
    <x v="1"/>
    <n v="4"/>
    <n v="0"/>
    <s v="Wallet"/>
    <x v="2"/>
    <x v="3"/>
    <n v="7"/>
    <n v="0"/>
    <n v="0"/>
    <s v="Repeat"/>
    <x v="2"/>
    <n v="44"/>
    <n v="0"/>
  </r>
  <r>
    <n v="1038"/>
    <x v="72"/>
    <n v="1513"/>
    <x v="0"/>
    <x v="1"/>
    <x v="0"/>
    <n v="4"/>
    <n v="0"/>
    <s v="COD"/>
    <x v="2"/>
    <x v="0"/>
    <n v="3"/>
    <n v="1"/>
    <n v="1"/>
    <s v="Repeat"/>
    <x v="2"/>
    <n v="41"/>
    <n v="0"/>
  </r>
  <r>
    <n v="1039"/>
    <x v="0"/>
    <n v="1405"/>
    <x v="1"/>
    <x v="1"/>
    <x v="2"/>
    <n v="5"/>
    <n v="0"/>
    <s v="Wallet"/>
    <x v="1"/>
    <x v="1"/>
    <n v="7"/>
    <n v="0"/>
    <n v="0"/>
    <s v="New"/>
    <x v="0"/>
    <n v="32"/>
    <n v="0"/>
  </r>
  <r>
    <n v="1040"/>
    <x v="108"/>
    <n v="1316"/>
    <x v="0"/>
    <x v="3"/>
    <x v="0"/>
    <n v="5"/>
    <n v="17805"/>
    <s v="UPI"/>
    <x v="0"/>
    <x v="3"/>
    <n v="8"/>
    <n v="0"/>
    <n v="0"/>
    <s v="Repeat"/>
    <x v="2"/>
    <n v="44"/>
    <n v="1"/>
  </r>
  <r>
    <n v="1041"/>
    <x v="101"/>
    <n v="1113"/>
    <x v="3"/>
    <x v="3"/>
    <x v="1"/>
    <n v="1"/>
    <n v="0"/>
    <s v="Wallet"/>
    <x v="2"/>
    <x v="0"/>
    <n v="2"/>
    <n v="1"/>
    <n v="0"/>
    <s v="Repeat"/>
    <x v="3"/>
    <n v="49"/>
    <n v="0"/>
  </r>
  <r>
    <n v="1042"/>
    <x v="83"/>
    <n v="1659"/>
    <x v="2"/>
    <x v="0"/>
    <x v="3"/>
    <n v="3"/>
    <n v="12939"/>
    <s v="Wallet"/>
    <x v="0"/>
    <x v="0"/>
    <n v="2"/>
    <n v="1"/>
    <n v="1"/>
    <s v="Repeat"/>
    <x v="1"/>
    <n v="36"/>
    <n v="1"/>
  </r>
  <r>
    <n v="1043"/>
    <x v="17"/>
    <n v="1917"/>
    <x v="2"/>
    <x v="0"/>
    <x v="1"/>
    <n v="3"/>
    <n v="0"/>
    <s v="UPI"/>
    <x v="2"/>
    <x v="3"/>
    <n v="9"/>
    <n v="1"/>
    <n v="1"/>
    <s v="Repeat"/>
    <x v="1"/>
    <n v="38"/>
    <n v="0"/>
  </r>
  <r>
    <n v="1044"/>
    <x v="50"/>
    <n v="1884"/>
    <x v="2"/>
    <x v="3"/>
    <x v="1"/>
    <n v="5"/>
    <n v="0"/>
    <s v="Wallet"/>
    <x v="2"/>
    <x v="3"/>
    <n v="2"/>
    <n v="0"/>
    <n v="1"/>
    <s v="Repeat"/>
    <x v="3"/>
    <n v="53"/>
    <n v="0"/>
  </r>
  <r>
    <n v="1045"/>
    <x v="17"/>
    <n v="1786"/>
    <x v="2"/>
    <x v="0"/>
    <x v="2"/>
    <n v="2"/>
    <n v="0"/>
    <s v="Card"/>
    <x v="2"/>
    <x v="2"/>
    <n v="2"/>
    <n v="0"/>
    <n v="0"/>
    <s v="Repeat"/>
    <x v="1"/>
    <n v="38"/>
    <n v="0"/>
  </r>
  <r>
    <n v="1046"/>
    <x v="136"/>
    <n v="1297"/>
    <x v="0"/>
    <x v="4"/>
    <x v="1"/>
    <n v="5"/>
    <n v="24735"/>
    <s v="Wallet"/>
    <x v="0"/>
    <x v="2"/>
    <n v="8"/>
    <n v="1"/>
    <n v="0"/>
    <s v="New"/>
    <x v="2"/>
    <n v="40"/>
    <n v="1"/>
  </r>
  <r>
    <n v="1047"/>
    <x v="160"/>
    <n v="1043"/>
    <x v="0"/>
    <x v="0"/>
    <x v="0"/>
    <n v="1"/>
    <n v="0"/>
    <s v="COD"/>
    <x v="2"/>
    <x v="3"/>
    <n v="7"/>
    <n v="1"/>
    <n v="0"/>
    <s v="Repeat"/>
    <x v="4"/>
    <n v="47"/>
    <n v="0"/>
  </r>
  <r>
    <n v="1048"/>
    <x v="89"/>
    <n v="1878"/>
    <x v="4"/>
    <x v="3"/>
    <x v="3"/>
    <n v="5"/>
    <n v="0"/>
    <s v="UPI"/>
    <x v="2"/>
    <x v="1"/>
    <n v="8"/>
    <n v="1"/>
    <n v="1"/>
    <s v="Repeat"/>
    <x v="0"/>
    <n v="35"/>
    <n v="0"/>
  </r>
  <r>
    <n v="1049"/>
    <x v="160"/>
    <n v="1543"/>
    <x v="0"/>
    <x v="1"/>
    <x v="2"/>
    <n v="2"/>
    <n v="5090"/>
    <s v="UPI"/>
    <x v="0"/>
    <x v="1"/>
    <n v="10"/>
    <n v="0"/>
    <n v="0"/>
    <s v="New"/>
    <x v="4"/>
    <n v="47"/>
    <n v="1"/>
  </r>
  <r>
    <n v="1050"/>
    <x v="105"/>
    <n v="1730"/>
    <x v="0"/>
    <x v="4"/>
    <x v="3"/>
    <n v="4"/>
    <n v="1384"/>
    <s v="COD"/>
    <x v="0"/>
    <x v="3"/>
    <n v="6"/>
    <n v="0"/>
    <n v="1"/>
    <s v="Repeat"/>
    <x v="3"/>
    <n v="52"/>
    <n v="1"/>
  </r>
  <r>
    <n v="1051"/>
    <x v="93"/>
    <n v="1238"/>
    <x v="0"/>
    <x v="0"/>
    <x v="1"/>
    <n v="1"/>
    <n v="0"/>
    <s v="Card"/>
    <x v="1"/>
    <x v="2"/>
    <n v="8"/>
    <n v="1"/>
    <n v="0"/>
    <s v="New"/>
    <x v="3"/>
    <n v="53"/>
    <n v="0"/>
  </r>
  <r>
    <n v="1052"/>
    <x v="175"/>
    <n v="1845"/>
    <x v="0"/>
    <x v="1"/>
    <x v="0"/>
    <n v="4"/>
    <n v="0"/>
    <s v="UPI"/>
    <x v="2"/>
    <x v="2"/>
    <n v="1"/>
    <n v="1"/>
    <n v="0"/>
    <s v="Repeat"/>
    <x v="5"/>
    <n v="31"/>
    <n v="0"/>
  </r>
  <r>
    <n v="1053"/>
    <x v="2"/>
    <n v="1201"/>
    <x v="1"/>
    <x v="1"/>
    <x v="0"/>
    <n v="1"/>
    <n v="4309"/>
    <s v="COD"/>
    <x v="0"/>
    <x v="1"/>
    <n v="4"/>
    <n v="0"/>
    <n v="0"/>
    <s v="New"/>
    <x v="2"/>
    <n v="41"/>
    <n v="1"/>
  </r>
  <r>
    <n v="1054"/>
    <x v="19"/>
    <n v="1395"/>
    <x v="0"/>
    <x v="3"/>
    <x v="2"/>
    <n v="1"/>
    <n v="0"/>
    <s v="UPI"/>
    <x v="2"/>
    <x v="3"/>
    <n v="8"/>
    <n v="0"/>
    <n v="0"/>
    <s v="Repeat"/>
    <x v="0"/>
    <n v="33"/>
    <n v="0"/>
  </r>
  <r>
    <n v="1055"/>
    <x v="2"/>
    <n v="1784"/>
    <x v="2"/>
    <x v="2"/>
    <x v="3"/>
    <n v="3"/>
    <n v="13818"/>
    <s v="UPI"/>
    <x v="0"/>
    <x v="0"/>
    <n v="1"/>
    <n v="0"/>
    <n v="1"/>
    <s v="New"/>
    <x v="2"/>
    <n v="41"/>
    <n v="1"/>
  </r>
  <r>
    <n v="1056"/>
    <x v="19"/>
    <n v="1194"/>
    <x v="2"/>
    <x v="2"/>
    <x v="1"/>
    <n v="2"/>
    <n v="0"/>
    <s v="Card"/>
    <x v="2"/>
    <x v="3"/>
    <n v="9"/>
    <n v="0"/>
    <n v="1"/>
    <s v="Repeat"/>
    <x v="0"/>
    <n v="33"/>
    <n v="0"/>
  </r>
  <r>
    <n v="1057"/>
    <x v="118"/>
    <n v="1297"/>
    <x v="3"/>
    <x v="0"/>
    <x v="1"/>
    <n v="2"/>
    <n v="5816"/>
    <s v="UPI"/>
    <x v="0"/>
    <x v="0"/>
    <n v="8"/>
    <n v="1"/>
    <n v="0"/>
    <s v="Repeat"/>
    <x v="0"/>
    <n v="35"/>
    <n v="1"/>
  </r>
  <r>
    <n v="1058"/>
    <x v="102"/>
    <n v="1528"/>
    <x v="0"/>
    <x v="3"/>
    <x v="2"/>
    <n v="5"/>
    <n v="0"/>
    <s v="UPI"/>
    <x v="2"/>
    <x v="2"/>
    <n v="5"/>
    <n v="1"/>
    <n v="1"/>
    <s v="Repeat"/>
    <x v="3"/>
    <n v="50"/>
    <n v="0"/>
  </r>
  <r>
    <n v="1059"/>
    <x v="140"/>
    <n v="1689"/>
    <x v="0"/>
    <x v="2"/>
    <x v="3"/>
    <n v="4"/>
    <n v="12788"/>
    <s v="Card"/>
    <x v="0"/>
    <x v="2"/>
    <n v="7"/>
    <n v="1"/>
    <n v="1"/>
    <s v="New"/>
    <x v="4"/>
    <n v="48"/>
    <n v="1"/>
  </r>
  <r>
    <n v="1060"/>
    <x v="108"/>
    <n v="1172"/>
    <x v="0"/>
    <x v="4"/>
    <x v="3"/>
    <n v="1"/>
    <n v="0"/>
    <s v="UPI"/>
    <x v="2"/>
    <x v="0"/>
    <n v="7"/>
    <n v="0"/>
    <n v="0"/>
    <s v="New"/>
    <x v="2"/>
    <n v="44"/>
    <n v="0"/>
  </r>
  <r>
    <n v="1061"/>
    <x v="33"/>
    <n v="1714"/>
    <x v="2"/>
    <x v="0"/>
    <x v="3"/>
    <n v="1"/>
    <n v="0"/>
    <s v="Wallet"/>
    <x v="1"/>
    <x v="2"/>
    <n v="9"/>
    <n v="1"/>
    <n v="0"/>
    <s v="Repeat"/>
    <x v="5"/>
    <n v="31"/>
    <n v="0"/>
  </r>
  <r>
    <n v="1062"/>
    <x v="60"/>
    <n v="1339"/>
    <x v="1"/>
    <x v="4"/>
    <x v="2"/>
    <n v="4"/>
    <n v="0"/>
    <s v="UPI"/>
    <x v="2"/>
    <x v="1"/>
    <n v="5"/>
    <n v="0"/>
    <n v="1"/>
    <s v="New"/>
    <x v="1"/>
    <n v="36"/>
    <n v="0"/>
  </r>
  <r>
    <n v="1063"/>
    <x v="44"/>
    <n v="1073"/>
    <x v="4"/>
    <x v="0"/>
    <x v="0"/>
    <n v="2"/>
    <n v="7668"/>
    <s v="COD"/>
    <x v="0"/>
    <x v="1"/>
    <n v="1"/>
    <n v="0"/>
    <n v="1"/>
    <s v="New"/>
    <x v="4"/>
    <n v="47"/>
    <n v="1"/>
  </r>
  <r>
    <n v="1064"/>
    <x v="118"/>
    <n v="1435"/>
    <x v="1"/>
    <x v="4"/>
    <x v="3"/>
    <n v="4"/>
    <n v="16568"/>
    <s v="UPI"/>
    <x v="0"/>
    <x v="1"/>
    <n v="1"/>
    <n v="1"/>
    <n v="1"/>
    <s v="Repeat"/>
    <x v="0"/>
    <n v="35"/>
    <n v="1"/>
  </r>
  <r>
    <n v="1065"/>
    <x v="77"/>
    <n v="1791"/>
    <x v="2"/>
    <x v="3"/>
    <x v="2"/>
    <n v="3"/>
    <n v="0"/>
    <s v="COD"/>
    <x v="1"/>
    <x v="2"/>
    <n v="2"/>
    <n v="0"/>
    <n v="0"/>
    <s v="Repeat"/>
    <x v="1"/>
    <n v="38"/>
    <n v="0"/>
  </r>
  <r>
    <n v="1066"/>
    <x v="120"/>
    <n v="1335"/>
    <x v="4"/>
    <x v="4"/>
    <x v="0"/>
    <n v="2"/>
    <n v="9666"/>
    <s v="Wallet"/>
    <x v="0"/>
    <x v="2"/>
    <n v="2"/>
    <n v="0"/>
    <n v="1"/>
    <s v="New"/>
    <x v="6"/>
    <n v="1"/>
    <n v="1"/>
  </r>
  <r>
    <n v="1067"/>
    <x v="101"/>
    <n v="1680"/>
    <x v="0"/>
    <x v="0"/>
    <x v="2"/>
    <n v="2"/>
    <n v="1624"/>
    <s v="Card"/>
    <x v="0"/>
    <x v="3"/>
    <n v="6"/>
    <n v="1"/>
    <n v="0"/>
    <s v="Repeat"/>
    <x v="3"/>
    <n v="49"/>
    <n v="1"/>
  </r>
  <r>
    <n v="1068"/>
    <x v="69"/>
    <n v="1364"/>
    <x v="2"/>
    <x v="4"/>
    <x v="0"/>
    <n v="2"/>
    <n v="4246"/>
    <s v="COD"/>
    <x v="0"/>
    <x v="2"/>
    <n v="8"/>
    <n v="1"/>
    <n v="1"/>
    <s v="New"/>
    <x v="2"/>
    <n v="40"/>
    <n v="1"/>
  </r>
  <r>
    <n v="1069"/>
    <x v="64"/>
    <n v="1506"/>
    <x v="0"/>
    <x v="1"/>
    <x v="0"/>
    <n v="1"/>
    <n v="0"/>
    <s v="UPI"/>
    <x v="2"/>
    <x v="3"/>
    <n v="7"/>
    <n v="1"/>
    <n v="1"/>
    <s v="New"/>
    <x v="2"/>
    <n v="43"/>
    <n v="0"/>
  </r>
  <r>
    <n v="1070"/>
    <x v="157"/>
    <n v="1386"/>
    <x v="0"/>
    <x v="1"/>
    <x v="0"/>
    <n v="4"/>
    <n v="8736"/>
    <s v="Wallet"/>
    <x v="0"/>
    <x v="2"/>
    <n v="9"/>
    <n v="1"/>
    <n v="1"/>
    <s v="Repeat"/>
    <x v="2"/>
    <n v="41"/>
    <n v="1"/>
  </r>
  <r>
    <n v="1071"/>
    <x v="45"/>
    <n v="1544"/>
    <x v="3"/>
    <x v="1"/>
    <x v="1"/>
    <n v="4"/>
    <n v="0"/>
    <s v="Card"/>
    <x v="1"/>
    <x v="1"/>
    <n v="10"/>
    <n v="1"/>
    <n v="1"/>
    <s v="Repeat"/>
    <x v="6"/>
    <n v="2"/>
    <n v="0"/>
  </r>
  <r>
    <n v="1072"/>
    <x v="164"/>
    <n v="1537"/>
    <x v="3"/>
    <x v="0"/>
    <x v="2"/>
    <n v="3"/>
    <n v="0"/>
    <s v="COD"/>
    <x v="2"/>
    <x v="0"/>
    <n v="3"/>
    <n v="0"/>
    <n v="0"/>
    <s v="Repeat"/>
    <x v="0"/>
    <n v="34"/>
    <n v="0"/>
  </r>
  <r>
    <n v="1073"/>
    <x v="69"/>
    <n v="1313"/>
    <x v="0"/>
    <x v="0"/>
    <x v="3"/>
    <n v="3"/>
    <n v="0"/>
    <s v="COD"/>
    <x v="2"/>
    <x v="2"/>
    <n v="4"/>
    <n v="1"/>
    <n v="0"/>
    <s v="Repeat"/>
    <x v="2"/>
    <n v="40"/>
    <n v="0"/>
  </r>
  <r>
    <n v="1074"/>
    <x v="2"/>
    <n v="1216"/>
    <x v="1"/>
    <x v="1"/>
    <x v="3"/>
    <n v="4"/>
    <n v="3072"/>
    <s v="Wallet"/>
    <x v="0"/>
    <x v="1"/>
    <n v="9"/>
    <n v="1"/>
    <n v="1"/>
    <s v="Repeat"/>
    <x v="2"/>
    <n v="41"/>
    <n v="1"/>
  </r>
  <r>
    <n v="1075"/>
    <x v="168"/>
    <n v="1671"/>
    <x v="3"/>
    <x v="3"/>
    <x v="1"/>
    <n v="3"/>
    <n v="0"/>
    <s v="Wallet"/>
    <x v="2"/>
    <x v="0"/>
    <n v="10"/>
    <n v="0"/>
    <n v="0"/>
    <s v="Repeat"/>
    <x v="6"/>
    <n v="1"/>
    <n v="0"/>
  </r>
  <r>
    <n v="1076"/>
    <x v="138"/>
    <n v="1267"/>
    <x v="3"/>
    <x v="2"/>
    <x v="0"/>
    <n v="2"/>
    <n v="9908"/>
    <s v="UPI"/>
    <x v="0"/>
    <x v="3"/>
    <n v="4"/>
    <n v="0"/>
    <n v="0"/>
    <s v="Repeat"/>
    <x v="2"/>
    <n v="44"/>
    <n v="1"/>
  </r>
  <r>
    <n v="1077"/>
    <x v="55"/>
    <n v="1669"/>
    <x v="0"/>
    <x v="2"/>
    <x v="0"/>
    <n v="2"/>
    <n v="1868"/>
    <s v="UPI"/>
    <x v="0"/>
    <x v="1"/>
    <n v="8"/>
    <n v="0"/>
    <n v="1"/>
    <s v="Repeat"/>
    <x v="1"/>
    <n v="37"/>
    <n v="1"/>
  </r>
  <r>
    <n v="1078"/>
    <x v="81"/>
    <n v="1332"/>
    <x v="4"/>
    <x v="0"/>
    <x v="0"/>
    <n v="2"/>
    <n v="5108"/>
    <s v="Wallet"/>
    <x v="0"/>
    <x v="1"/>
    <n v="6"/>
    <n v="0"/>
    <n v="1"/>
    <s v="New"/>
    <x v="0"/>
    <n v="33"/>
    <n v="1"/>
  </r>
  <r>
    <n v="1079"/>
    <x v="115"/>
    <n v="1995"/>
    <x v="4"/>
    <x v="3"/>
    <x v="3"/>
    <n v="4"/>
    <n v="5872"/>
    <s v="Card"/>
    <x v="0"/>
    <x v="3"/>
    <n v="5"/>
    <n v="1"/>
    <n v="0"/>
    <s v="New"/>
    <x v="4"/>
    <n v="48"/>
    <n v="1"/>
  </r>
  <r>
    <n v="1080"/>
    <x v="4"/>
    <n v="1837"/>
    <x v="2"/>
    <x v="0"/>
    <x v="1"/>
    <n v="3"/>
    <n v="0"/>
    <s v="COD"/>
    <x v="1"/>
    <x v="3"/>
    <n v="8"/>
    <n v="1"/>
    <n v="0"/>
    <s v="Repeat"/>
    <x v="3"/>
    <n v="50"/>
    <n v="0"/>
  </r>
  <r>
    <n v="1081"/>
    <x v="74"/>
    <n v="1223"/>
    <x v="4"/>
    <x v="1"/>
    <x v="1"/>
    <n v="3"/>
    <n v="9813"/>
    <s v="Card"/>
    <x v="0"/>
    <x v="1"/>
    <n v="9"/>
    <n v="1"/>
    <n v="0"/>
    <s v="Repeat"/>
    <x v="5"/>
    <n v="29"/>
    <n v="1"/>
  </r>
  <r>
    <n v="1082"/>
    <x v="112"/>
    <n v="1501"/>
    <x v="2"/>
    <x v="4"/>
    <x v="3"/>
    <n v="1"/>
    <n v="0"/>
    <s v="UPI"/>
    <x v="2"/>
    <x v="1"/>
    <n v="8"/>
    <n v="1"/>
    <n v="1"/>
    <s v="New"/>
    <x v="5"/>
    <n v="30"/>
    <n v="0"/>
  </r>
  <r>
    <n v="1083"/>
    <x v="3"/>
    <n v="1708"/>
    <x v="4"/>
    <x v="3"/>
    <x v="0"/>
    <n v="1"/>
    <n v="4618"/>
    <s v="Card"/>
    <x v="0"/>
    <x v="3"/>
    <n v="2"/>
    <n v="0"/>
    <n v="0"/>
    <s v="New"/>
    <x v="0"/>
    <n v="32"/>
    <n v="1"/>
  </r>
  <r>
    <n v="1084"/>
    <x v="128"/>
    <n v="1873"/>
    <x v="4"/>
    <x v="0"/>
    <x v="0"/>
    <n v="4"/>
    <n v="13352"/>
    <s v="UPI"/>
    <x v="0"/>
    <x v="0"/>
    <n v="8"/>
    <n v="0"/>
    <n v="1"/>
    <s v="Repeat"/>
    <x v="1"/>
    <n v="39"/>
    <n v="1"/>
  </r>
  <r>
    <n v="1085"/>
    <x v="11"/>
    <n v="1560"/>
    <x v="1"/>
    <x v="2"/>
    <x v="2"/>
    <n v="1"/>
    <n v="0"/>
    <s v="Card"/>
    <x v="1"/>
    <x v="3"/>
    <n v="8"/>
    <n v="1"/>
    <n v="0"/>
    <s v="Repeat"/>
    <x v="0"/>
    <n v="35"/>
    <n v="0"/>
  </r>
  <r>
    <n v="1086"/>
    <x v="124"/>
    <n v="1380"/>
    <x v="3"/>
    <x v="2"/>
    <x v="0"/>
    <n v="5"/>
    <n v="14255"/>
    <s v="Wallet"/>
    <x v="0"/>
    <x v="2"/>
    <n v="8"/>
    <n v="0"/>
    <n v="0"/>
    <s v="New"/>
    <x v="1"/>
    <n v="37"/>
    <n v="1"/>
  </r>
  <r>
    <n v="1087"/>
    <x v="62"/>
    <n v="1229"/>
    <x v="2"/>
    <x v="1"/>
    <x v="1"/>
    <n v="3"/>
    <n v="3894"/>
    <s v="UPI"/>
    <x v="0"/>
    <x v="3"/>
    <n v="6"/>
    <n v="0"/>
    <n v="0"/>
    <s v="Repeat"/>
    <x v="2"/>
    <n v="43"/>
    <n v="1"/>
  </r>
  <r>
    <n v="1088"/>
    <x v="70"/>
    <n v="1976"/>
    <x v="2"/>
    <x v="1"/>
    <x v="1"/>
    <n v="5"/>
    <n v="0"/>
    <s v="COD"/>
    <x v="2"/>
    <x v="0"/>
    <n v="4"/>
    <n v="0"/>
    <n v="0"/>
    <s v="New"/>
    <x v="2"/>
    <n v="40"/>
    <n v="0"/>
  </r>
  <r>
    <n v="1089"/>
    <x v="7"/>
    <n v="1007"/>
    <x v="1"/>
    <x v="4"/>
    <x v="0"/>
    <n v="5"/>
    <n v="0"/>
    <s v="Wallet"/>
    <x v="1"/>
    <x v="1"/>
    <n v="8"/>
    <n v="1"/>
    <n v="1"/>
    <s v="New"/>
    <x v="3"/>
    <n v="49"/>
    <n v="0"/>
  </r>
  <r>
    <n v="1090"/>
    <x v="89"/>
    <n v="1564"/>
    <x v="3"/>
    <x v="1"/>
    <x v="3"/>
    <n v="4"/>
    <n v="11736"/>
    <s v="UPI"/>
    <x v="0"/>
    <x v="2"/>
    <n v="4"/>
    <n v="0"/>
    <n v="1"/>
    <s v="Repeat"/>
    <x v="0"/>
    <n v="35"/>
    <n v="1"/>
  </r>
  <r>
    <n v="1091"/>
    <x v="148"/>
    <n v="1773"/>
    <x v="0"/>
    <x v="4"/>
    <x v="1"/>
    <n v="3"/>
    <n v="0"/>
    <s v="UPI"/>
    <x v="1"/>
    <x v="3"/>
    <n v="1"/>
    <n v="0"/>
    <n v="0"/>
    <s v="New"/>
    <x v="5"/>
    <n v="30"/>
    <n v="0"/>
  </r>
  <r>
    <n v="1092"/>
    <x v="59"/>
    <n v="1112"/>
    <x v="0"/>
    <x v="3"/>
    <x v="3"/>
    <n v="2"/>
    <n v="0"/>
    <s v="UPI"/>
    <x v="1"/>
    <x v="0"/>
    <n v="6"/>
    <n v="1"/>
    <n v="1"/>
    <s v="New"/>
    <x v="0"/>
    <n v="34"/>
    <n v="0"/>
  </r>
  <r>
    <n v="1093"/>
    <x v="33"/>
    <n v="1476"/>
    <x v="2"/>
    <x v="1"/>
    <x v="0"/>
    <n v="4"/>
    <n v="0"/>
    <s v="Card"/>
    <x v="1"/>
    <x v="3"/>
    <n v="5"/>
    <n v="0"/>
    <n v="1"/>
    <s v="Repeat"/>
    <x v="5"/>
    <n v="31"/>
    <n v="0"/>
  </r>
  <r>
    <n v="1094"/>
    <x v="28"/>
    <n v="1353"/>
    <x v="0"/>
    <x v="0"/>
    <x v="2"/>
    <n v="3"/>
    <n v="0"/>
    <s v="UPI"/>
    <x v="1"/>
    <x v="0"/>
    <n v="8"/>
    <n v="1"/>
    <n v="1"/>
    <s v="Repeat"/>
    <x v="0"/>
    <n v="33"/>
    <n v="0"/>
  </r>
  <r>
    <n v="1095"/>
    <x v="144"/>
    <n v="1423"/>
    <x v="3"/>
    <x v="4"/>
    <x v="3"/>
    <n v="3"/>
    <n v="0"/>
    <s v="Wallet"/>
    <x v="2"/>
    <x v="3"/>
    <n v="10"/>
    <n v="0"/>
    <n v="0"/>
    <s v="Repeat"/>
    <x v="3"/>
    <n v="52"/>
    <n v="0"/>
  </r>
  <r>
    <n v="1096"/>
    <x v="4"/>
    <n v="1188"/>
    <x v="3"/>
    <x v="0"/>
    <x v="1"/>
    <n v="4"/>
    <n v="0"/>
    <s v="COD"/>
    <x v="1"/>
    <x v="1"/>
    <n v="10"/>
    <n v="1"/>
    <n v="1"/>
    <s v="Repeat"/>
    <x v="3"/>
    <n v="50"/>
    <n v="0"/>
  </r>
  <r>
    <n v="1097"/>
    <x v="82"/>
    <n v="1160"/>
    <x v="3"/>
    <x v="0"/>
    <x v="0"/>
    <n v="5"/>
    <n v="0"/>
    <s v="UPI"/>
    <x v="1"/>
    <x v="1"/>
    <n v="8"/>
    <n v="1"/>
    <n v="0"/>
    <s v="New"/>
    <x v="0"/>
    <n v="33"/>
    <n v="0"/>
  </r>
  <r>
    <n v="1098"/>
    <x v="38"/>
    <n v="1496"/>
    <x v="0"/>
    <x v="3"/>
    <x v="2"/>
    <n v="3"/>
    <n v="0"/>
    <s v="Wallet"/>
    <x v="2"/>
    <x v="3"/>
    <n v="10"/>
    <n v="0"/>
    <n v="0"/>
    <s v="New"/>
    <x v="1"/>
    <n v="39"/>
    <n v="0"/>
  </r>
  <r>
    <n v="1099"/>
    <x v="6"/>
    <n v="1841"/>
    <x v="0"/>
    <x v="0"/>
    <x v="3"/>
    <n v="1"/>
    <n v="0"/>
    <s v="Wallet"/>
    <x v="1"/>
    <x v="2"/>
    <n v="4"/>
    <n v="1"/>
    <n v="0"/>
    <s v="New"/>
    <x v="4"/>
    <n v="47"/>
    <n v="0"/>
  </r>
  <r>
    <n v="1100"/>
    <x v="64"/>
    <n v="1293"/>
    <x v="2"/>
    <x v="0"/>
    <x v="2"/>
    <n v="3"/>
    <n v="0"/>
    <s v="Wallet"/>
    <x v="2"/>
    <x v="3"/>
    <n v="6"/>
    <n v="1"/>
    <n v="1"/>
    <s v="New"/>
    <x v="2"/>
    <n v="43"/>
    <n v="0"/>
  </r>
  <r>
    <n v="1101"/>
    <x v="8"/>
    <n v="1446"/>
    <x v="3"/>
    <x v="3"/>
    <x v="0"/>
    <n v="2"/>
    <n v="0"/>
    <s v="Wallet"/>
    <x v="1"/>
    <x v="3"/>
    <n v="9"/>
    <n v="1"/>
    <n v="1"/>
    <s v="New"/>
    <x v="0"/>
    <n v="32"/>
    <n v="0"/>
  </r>
  <r>
    <n v="1102"/>
    <x v="176"/>
    <n v="1199"/>
    <x v="3"/>
    <x v="2"/>
    <x v="3"/>
    <n v="4"/>
    <n v="7000"/>
    <s v="COD"/>
    <x v="0"/>
    <x v="3"/>
    <n v="10"/>
    <n v="0"/>
    <n v="1"/>
    <s v="New"/>
    <x v="3"/>
    <n v="51"/>
    <n v="1"/>
  </r>
  <r>
    <n v="1103"/>
    <x v="52"/>
    <n v="1176"/>
    <x v="1"/>
    <x v="1"/>
    <x v="1"/>
    <n v="2"/>
    <n v="3636"/>
    <s v="Card"/>
    <x v="0"/>
    <x v="3"/>
    <n v="9"/>
    <n v="0"/>
    <n v="0"/>
    <s v="Repeat"/>
    <x v="4"/>
    <n v="44"/>
    <n v="1"/>
  </r>
  <r>
    <n v="1104"/>
    <x v="96"/>
    <n v="1609"/>
    <x v="3"/>
    <x v="3"/>
    <x v="3"/>
    <n v="1"/>
    <n v="2887"/>
    <s v="Wallet"/>
    <x v="0"/>
    <x v="0"/>
    <n v="9"/>
    <n v="0"/>
    <n v="0"/>
    <s v="New"/>
    <x v="4"/>
    <n v="45"/>
    <n v="1"/>
  </r>
  <r>
    <n v="1105"/>
    <x v="84"/>
    <n v="1310"/>
    <x v="4"/>
    <x v="3"/>
    <x v="1"/>
    <n v="5"/>
    <n v="0"/>
    <s v="Wallet"/>
    <x v="2"/>
    <x v="3"/>
    <n v="1"/>
    <n v="1"/>
    <n v="0"/>
    <s v="Repeat"/>
    <x v="2"/>
    <n v="41"/>
    <n v="0"/>
  </r>
  <r>
    <n v="1106"/>
    <x v="35"/>
    <n v="1024"/>
    <x v="1"/>
    <x v="2"/>
    <x v="1"/>
    <n v="2"/>
    <n v="0"/>
    <s v="UPI"/>
    <x v="1"/>
    <x v="3"/>
    <n v="5"/>
    <n v="1"/>
    <n v="0"/>
    <s v="New"/>
    <x v="0"/>
    <n v="35"/>
    <n v="0"/>
  </r>
  <r>
    <n v="1107"/>
    <x v="128"/>
    <n v="1423"/>
    <x v="4"/>
    <x v="0"/>
    <x v="1"/>
    <n v="3"/>
    <n v="0"/>
    <s v="Card"/>
    <x v="2"/>
    <x v="1"/>
    <n v="2"/>
    <n v="1"/>
    <n v="0"/>
    <s v="Repeat"/>
    <x v="1"/>
    <n v="39"/>
    <n v="0"/>
  </r>
  <r>
    <n v="1108"/>
    <x v="124"/>
    <n v="1279"/>
    <x v="4"/>
    <x v="3"/>
    <x v="3"/>
    <n v="2"/>
    <n v="0"/>
    <s v="Card"/>
    <x v="1"/>
    <x v="2"/>
    <n v="10"/>
    <n v="1"/>
    <n v="1"/>
    <s v="Repeat"/>
    <x v="1"/>
    <n v="37"/>
    <n v="0"/>
  </r>
  <r>
    <n v="1109"/>
    <x v="102"/>
    <n v="1612"/>
    <x v="3"/>
    <x v="4"/>
    <x v="2"/>
    <n v="4"/>
    <n v="15236"/>
    <s v="COD"/>
    <x v="0"/>
    <x v="1"/>
    <n v="1"/>
    <n v="1"/>
    <n v="0"/>
    <s v="Repeat"/>
    <x v="3"/>
    <n v="50"/>
    <n v="1"/>
  </r>
  <r>
    <n v="1110"/>
    <x v="8"/>
    <n v="1678"/>
    <x v="0"/>
    <x v="3"/>
    <x v="0"/>
    <n v="1"/>
    <n v="4881"/>
    <s v="COD"/>
    <x v="0"/>
    <x v="1"/>
    <n v="6"/>
    <n v="1"/>
    <n v="1"/>
    <s v="New"/>
    <x v="0"/>
    <n v="32"/>
    <n v="1"/>
  </r>
  <r>
    <n v="1111"/>
    <x v="56"/>
    <n v="1176"/>
    <x v="0"/>
    <x v="3"/>
    <x v="2"/>
    <n v="3"/>
    <n v="0"/>
    <s v="UPI"/>
    <x v="1"/>
    <x v="1"/>
    <n v="9"/>
    <n v="0"/>
    <n v="0"/>
    <s v="Repeat"/>
    <x v="6"/>
    <n v="2"/>
    <n v="0"/>
  </r>
  <r>
    <n v="1112"/>
    <x v="125"/>
    <n v="1199"/>
    <x v="4"/>
    <x v="1"/>
    <x v="0"/>
    <n v="1"/>
    <n v="0"/>
    <s v="Wallet"/>
    <x v="2"/>
    <x v="1"/>
    <n v="4"/>
    <n v="0"/>
    <n v="1"/>
    <s v="Repeat"/>
    <x v="5"/>
    <n v="31"/>
    <n v="0"/>
  </r>
  <r>
    <n v="1113"/>
    <x v="97"/>
    <n v="1358"/>
    <x v="2"/>
    <x v="0"/>
    <x v="1"/>
    <n v="4"/>
    <n v="0"/>
    <s v="Wallet"/>
    <x v="1"/>
    <x v="0"/>
    <n v="4"/>
    <n v="0"/>
    <n v="1"/>
    <s v="New"/>
    <x v="1"/>
    <n v="40"/>
    <n v="0"/>
  </r>
  <r>
    <n v="1114"/>
    <x v="171"/>
    <n v="1212"/>
    <x v="2"/>
    <x v="3"/>
    <x v="1"/>
    <n v="5"/>
    <n v="0"/>
    <s v="UPI"/>
    <x v="1"/>
    <x v="3"/>
    <n v="3"/>
    <n v="0"/>
    <n v="0"/>
    <s v="Repeat"/>
    <x v="1"/>
    <n v="36"/>
    <n v="0"/>
  </r>
  <r>
    <n v="1115"/>
    <x v="161"/>
    <n v="1536"/>
    <x v="0"/>
    <x v="2"/>
    <x v="1"/>
    <n v="1"/>
    <n v="0"/>
    <s v="UPI"/>
    <x v="2"/>
    <x v="3"/>
    <n v="9"/>
    <n v="1"/>
    <n v="0"/>
    <s v="New"/>
    <x v="2"/>
    <n v="41"/>
    <n v="0"/>
  </r>
  <r>
    <n v="1116"/>
    <x v="143"/>
    <n v="1681"/>
    <x v="3"/>
    <x v="2"/>
    <x v="3"/>
    <n v="4"/>
    <n v="0"/>
    <s v="Wallet"/>
    <x v="2"/>
    <x v="3"/>
    <n v="7"/>
    <n v="1"/>
    <n v="1"/>
    <s v="New"/>
    <x v="2"/>
    <n v="43"/>
    <n v="0"/>
  </r>
  <r>
    <n v="1117"/>
    <x v="125"/>
    <n v="1064"/>
    <x v="1"/>
    <x v="1"/>
    <x v="3"/>
    <n v="2"/>
    <n v="3856"/>
    <s v="Card"/>
    <x v="0"/>
    <x v="1"/>
    <n v="2"/>
    <n v="1"/>
    <n v="0"/>
    <s v="New"/>
    <x v="5"/>
    <n v="31"/>
    <n v="1"/>
  </r>
  <r>
    <n v="1118"/>
    <x v="125"/>
    <n v="1212"/>
    <x v="3"/>
    <x v="3"/>
    <x v="1"/>
    <n v="1"/>
    <n v="0"/>
    <s v="UPI"/>
    <x v="2"/>
    <x v="3"/>
    <n v="7"/>
    <n v="1"/>
    <n v="0"/>
    <s v="New"/>
    <x v="5"/>
    <n v="31"/>
    <n v="0"/>
  </r>
  <r>
    <n v="1119"/>
    <x v="96"/>
    <n v="1409"/>
    <x v="3"/>
    <x v="1"/>
    <x v="0"/>
    <n v="1"/>
    <n v="1514"/>
    <s v="UPI"/>
    <x v="0"/>
    <x v="0"/>
    <n v="6"/>
    <n v="0"/>
    <n v="0"/>
    <s v="Repeat"/>
    <x v="4"/>
    <n v="45"/>
    <n v="1"/>
  </r>
  <r>
    <n v="1120"/>
    <x v="32"/>
    <n v="1504"/>
    <x v="2"/>
    <x v="1"/>
    <x v="3"/>
    <n v="2"/>
    <n v="3546"/>
    <s v="UPI"/>
    <x v="0"/>
    <x v="1"/>
    <n v="3"/>
    <n v="0"/>
    <n v="0"/>
    <s v="New"/>
    <x v="1"/>
    <n v="38"/>
    <n v="1"/>
  </r>
  <r>
    <n v="1121"/>
    <x v="179"/>
    <n v="1058"/>
    <x v="3"/>
    <x v="0"/>
    <x v="1"/>
    <n v="3"/>
    <n v="2517"/>
    <s v="COD"/>
    <x v="0"/>
    <x v="2"/>
    <n v="10"/>
    <n v="0"/>
    <n v="0"/>
    <s v="Repeat"/>
    <x v="5"/>
    <n v="29"/>
    <n v="1"/>
  </r>
  <r>
    <n v="1122"/>
    <x v="145"/>
    <n v="1260"/>
    <x v="2"/>
    <x v="3"/>
    <x v="1"/>
    <n v="3"/>
    <n v="0"/>
    <s v="Card"/>
    <x v="2"/>
    <x v="0"/>
    <n v="8"/>
    <n v="0"/>
    <n v="0"/>
    <s v="Repeat"/>
    <x v="4"/>
    <n v="48"/>
    <n v="0"/>
  </r>
  <r>
    <n v="1123"/>
    <x v="15"/>
    <n v="1691"/>
    <x v="0"/>
    <x v="4"/>
    <x v="2"/>
    <n v="2"/>
    <n v="0"/>
    <s v="Card"/>
    <x v="2"/>
    <x v="2"/>
    <n v="3"/>
    <n v="1"/>
    <n v="1"/>
    <s v="Repeat"/>
    <x v="4"/>
    <n v="47"/>
    <n v="0"/>
  </r>
  <r>
    <n v="1124"/>
    <x v="18"/>
    <n v="1742"/>
    <x v="2"/>
    <x v="2"/>
    <x v="0"/>
    <n v="2"/>
    <n v="0"/>
    <s v="Card"/>
    <x v="2"/>
    <x v="3"/>
    <n v="5"/>
    <n v="0"/>
    <n v="1"/>
    <s v="New"/>
    <x v="1"/>
    <n v="36"/>
    <n v="0"/>
  </r>
  <r>
    <n v="1125"/>
    <x v="48"/>
    <n v="1973"/>
    <x v="0"/>
    <x v="1"/>
    <x v="0"/>
    <n v="4"/>
    <n v="15716"/>
    <s v="COD"/>
    <x v="0"/>
    <x v="1"/>
    <n v="2"/>
    <n v="0"/>
    <n v="1"/>
    <s v="Repeat"/>
    <x v="3"/>
    <n v="50"/>
    <n v="1"/>
  </r>
  <r>
    <n v="1126"/>
    <x v="38"/>
    <n v="1730"/>
    <x v="4"/>
    <x v="0"/>
    <x v="1"/>
    <n v="3"/>
    <n v="0"/>
    <s v="COD"/>
    <x v="1"/>
    <x v="3"/>
    <n v="3"/>
    <n v="0"/>
    <n v="1"/>
    <s v="New"/>
    <x v="1"/>
    <n v="39"/>
    <n v="0"/>
  </r>
  <r>
    <n v="1127"/>
    <x v="97"/>
    <n v="1273"/>
    <x v="1"/>
    <x v="0"/>
    <x v="3"/>
    <n v="1"/>
    <n v="0"/>
    <s v="Wallet"/>
    <x v="2"/>
    <x v="0"/>
    <n v="7"/>
    <n v="1"/>
    <n v="0"/>
    <s v="Repeat"/>
    <x v="1"/>
    <n v="40"/>
    <n v="0"/>
  </r>
  <r>
    <n v="1128"/>
    <x v="160"/>
    <n v="1484"/>
    <x v="4"/>
    <x v="1"/>
    <x v="3"/>
    <n v="3"/>
    <n v="2970"/>
    <s v="COD"/>
    <x v="0"/>
    <x v="3"/>
    <n v="3"/>
    <n v="1"/>
    <n v="1"/>
    <s v="New"/>
    <x v="4"/>
    <n v="47"/>
    <n v="1"/>
  </r>
  <r>
    <n v="1129"/>
    <x v="126"/>
    <n v="1653"/>
    <x v="1"/>
    <x v="0"/>
    <x v="2"/>
    <n v="5"/>
    <n v="0"/>
    <s v="UPI"/>
    <x v="1"/>
    <x v="2"/>
    <n v="5"/>
    <n v="0"/>
    <n v="0"/>
    <s v="New"/>
    <x v="4"/>
    <n v="46"/>
    <n v="0"/>
  </r>
  <r>
    <n v="1130"/>
    <x v="22"/>
    <n v="1744"/>
    <x v="2"/>
    <x v="2"/>
    <x v="1"/>
    <n v="2"/>
    <n v="0"/>
    <s v="COD"/>
    <x v="2"/>
    <x v="2"/>
    <n v="5"/>
    <n v="0"/>
    <n v="0"/>
    <s v="Repeat"/>
    <x v="6"/>
    <n v="2"/>
    <n v="0"/>
  </r>
  <r>
    <n v="1131"/>
    <x v="90"/>
    <n v="1428"/>
    <x v="3"/>
    <x v="0"/>
    <x v="3"/>
    <n v="2"/>
    <n v="0"/>
    <s v="Card"/>
    <x v="1"/>
    <x v="0"/>
    <n v="6"/>
    <n v="1"/>
    <n v="1"/>
    <s v="Repeat"/>
    <x v="0"/>
    <n v="31"/>
    <n v="0"/>
  </r>
  <r>
    <n v="1132"/>
    <x v="154"/>
    <n v="1543"/>
    <x v="2"/>
    <x v="4"/>
    <x v="2"/>
    <n v="2"/>
    <n v="0"/>
    <s v="Card"/>
    <x v="1"/>
    <x v="2"/>
    <n v="8"/>
    <n v="1"/>
    <n v="0"/>
    <s v="Repeat"/>
    <x v="2"/>
    <n v="42"/>
    <n v="0"/>
  </r>
  <r>
    <n v="1133"/>
    <x v="139"/>
    <n v="1663"/>
    <x v="4"/>
    <x v="4"/>
    <x v="2"/>
    <n v="1"/>
    <n v="0"/>
    <s v="Card"/>
    <x v="1"/>
    <x v="2"/>
    <n v="6"/>
    <n v="1"/>
    <n v="0"/>
    <s v="Repeat"/>
    <x v="4"/>
    <n v="45"/>
    <n v="0"/>
  </r>
  <r>
    <n v="1134"/>
    <x v="148"/>
    <n v="1018"/>
    <x v="0"/>
    <x v="4"/>
    <x v="1"/>
    <n v="1"/>
    <n v="3211"/>
    <s v="Wallet"/>
    <x v="0"/>
    <x v="2"/>
    <n v="6"/>
    <n v="1"/>
    <n v="1"/>
    <s v="New"/>
    <x v="5"/>
    <n v="30"/>
    <n v="1"/>
  </r>
  <r>
    <n v="1135"/>
    <x v="171"/>
    <n v="1200"/>
    <x v="2"/>
    <x v="4"/>
    <x v="3"/>
    <n v="5"/>
    <n v="0"/>
    <s v="COD"/>
    <x v="2"/>
    <x v="1"/>
    <n v="10"/>
    <n v="0"/>
    <n v="0"/>
    <s v="Repeat"/>
    <x v="1"/>
    <n v="36"/>
    <n v="0"/>
  </r>
  <r>
    <n v="1136"/>
    <x v="48"/>
    <n v="1765"/>
    <x v="0"/>
    <x v="2"/>
    <x v="2"/>
    <n v="3"/>
    <n v="0"/>
    <s v="UPI"/>
    <x v="1"/>
    <x v="0"/>
    <n v="1"/>
    <n v="1"/>
    <n v="0"/>
    <s v="Repeat"/>
    <x v="3"/>
    <n v="50"/>
    <n v="0"/>
  </r>
  <r>
    <n v="1137"/>
    <x v="151"/>
    <n v="1808"/>
    <x v="3"/>
    <x v="3"/>
    <x v="1"/>
    <n v="1"/>
    <n v="3397"/>
    <s v="COD"/>
    <x v="0"/>
    <x v="0"/>
    <n v="4"/>
    <n v="1"/>
    <n v="1"/>
    <s v="New"/>
    <x v="3"/>
    <n v="52"/>
    <n v="1"/>
  </r>
  <r>
    <n v="1138"/>
    <x v="131"/>
    <n v="1646"/>
    <x v="2"/>
    <x v="2"/>
    <x v="1"/>
    <n v="1"/>
    <n v="2309"/>
    <s v="COD"/>
    <x v="0"/>
    <x v="2"/>
    <n v="1"/>
    <n v="0"/>
    <n v="0"/>
    <s v="Repeat"/>
    <x v="4"/>
    <n v="47"/>
    <n v="1"/>
  </r>
  <r>
    <n v="1139"/>
    <x v="147"/>
    <n v="1003"/>
    <x v="0"/>
    <x v="0"/>
    <x v="3"/>
    <n v="4"/>
    <n v="0"/>
    <s v="UPI"/>
    <x v="2"/>
    <x v="3"/>
    <n v="3"/>
    <n v="1"/>
    <n v="0"/>
    <s v="Repeat"/>
    <x v="4"/>
    <n v="47"/>
    <n v="0"/>
  </r>
  <r>
    <n v="1140"/>
    <x v="61"/>
    <n v="1369"/>
    <x v="4"/>
    <x v="2"/>
    <x v="1"/>
    <n v="5"/>
    <n v="18045"/>
    <s v="Card"/>
    <x v="0"/>
    <x v="2"/>
    <n v="10"/>
    <n v="0"/>
    <n v="0"/>
    <s v="Repeat"/>
    <x v="4"/>
    <n v="46"/>
    <n v="1"/>
  </r>
  <r>
    <n v="1141"/>
    <x v="124"/>
    <n v="1491"/>
    <x v="2"/>
    <x v="4"/>
    <x v="2"/>
    <n v="5"/>
    <n v="0"/>
    <s v="UPI"/>
    <x v="2"/>
    <x v="0"/>
    <n v="2"/>
    <n v="0"/>
    <n v="0"/>
    <s v="Repeat"/>
    <x v="1"/>
    <n v="37"/>
    <n v="0"/>
  </r>
  <r>
    <n v="1142"/>
    <x v="27"/>
    <n v="1789"/>
    <x v="4"/>
    <x v="1"/>
    <x v="0"/>
    <n v="5"/>
    <n v="0"/>
    <s v="UPI"/>
    <x v="1"/>
    <x v="2"/>
    <n v="8"/>
    <n v="1"/>
    <n v="0"/>
    <s v="New"/>
    <x v="1"/>
    <n v="37"/>
    <n v="0"/>
  </r>
  <r>
    <n v="1143"/>
    <x v="68"/>
    <n v="1513"/>
    <x v="1"/>
    <x v="3"/>
    <x v="2"/>
    <n v="3"/>
    <n v="0"/>
    <s v="COD"/>
    <x v="1"/>
    <x v="2"/>
    <n v="8"/>
    <n v="1"/>
    <n v="1"/>
    <s v="Repeat"/>
    <x v="0"/>
    <n v="32"/>
    <n v="0"/>
  </r>
  <r>
    <n v="1144"/>
    <x v="102"/>
    <n v="1270"/>
    <x v="0"/>
    <x v="1"/>
    <x v="1"/>
    <n v="2"/>
    <n v="6112"/>
    <s v="Wallet"/>
    <x v="0"/>
    <x v="0"/>
    <n v="1"/>
    <n v="0"/>
    <n v="0"/>
    <s v="New"/>
    <x v="3"/>
    <n v="50"/>
    <n v="1"/>
  </r>
  <r>
    <n v="1145"/>
    <x v="39"/>
    <n v="1871"/>
    <x v="2"/>
    <x v="3"/>
    <x v="3"/>
    <n v="5"/>
    <n v="0"/>
    <s v="Card"/>
    <x v="1"/>
    <x v="0"/>
    <n v="1"/>
    <n v="1"/>
    <n v="1"/>
    <s v="Repeat"/>
    <x v="0"/>
    <n v="34"/>
    <n v="0"/>
  </r>
  <r>
    <n v="1146"/>
    <x v="157"/>
    <n v="1650"/>
    <x v="4"/>
    <x v="4"/>
    <x v="2"/>
    <n v="3"/>
    <n v="0"/>
    <s v="Wallet"/>
    <x v="1"/>
    <x v="1"/>
    <n v="10"/>
    <n v="0"/>
    <n v="1"/>
    <s v="New"/>
    <x v="2"/>
    <n v="41"/>
    <n v="0"/>
  </r>
  <r>
    <n v="1147"/>
    <x v="84"/>
    <n v="1760"/>
    <x v="0"/>
    <x v="2"/>
    <x v="3"/>
    <n v="5"/>
    <n v="14370"/>
    <s v="Wallet"/>
    <x v="0"/>
    <x v="3"/>
    <n v="10"/>
    <n v="0"/>
    <n v="1"/>
    <s v="New"/>
    <x v="2"/>
    <n v="41"/>
    <n v="1"/>
  </r>
  <r>
    <n v="1148"/>
    <x v="139"/>
    <n v="1550"/>
    <x v="3"/>
    <x v="1"/>
    <x v="1"/>
    <n v="4"/>
    <n v="5416"/>
    <s v="UPI"/>
    <x v="0"/>
    <x v="3"/>
    <n v="2"/>
    <n v="0"/>
    <n v="0"/>
    <s v="New"/>
    <x v="4"/>
    <n v="45"/>
    <n v="1"/>
  </r>
  <r>
    <n v="1149"/>
    <x v="178"/>
    <n v="1771"/>
    <x v="0"/>
    <x v="1"/>
    <x v="3"/>
    <n v="1"/>
    <n v="4545"/>
    <s v="Wallet"/>
    <x v="0"/>
    <x v="1"/>
    <n v="10"/>
    <n v="1"/>
    <n v="1"/>
    <s v="Repeat"/>
    <x v="4"/>
    <n v="45"/>
    <n v="1"/>
  </r>
  <r>
    <n v="1150"/>
    <x v="137"/>
    <n v="1832"/>
    <x v="2"/>
    <x v="2"/>
    <x v="0"/>
    <n v="1"/>
    <n v="0"/>
    <s v="COD"/>
    <x v="1"/>
    <x v="2"/>
    <n v="2"/>
    <n v="1"/>
    <n v="0"/>
    <s v="Repeat"/>
    <x v="1"/>
    <n v="40"/>
    <n v="0"/>
  </r>
  <r>
    <n v="1151"/>
    <x v="94"/>
    <n v="1906"/>
    <x v="0"/>
    <x v="4"/>
    <x v="0"/>
    <n v="3"/>
    <n v="0"/>
    <s v="Card"/>
    <x v="2"/>
    <x v="3"/>
    <n v="3"/>
    <n v="1"/>
    <n v="0"/>
    <s v="Repeat"/>
    <x v="1"/>
    <n v="40"/>
    <n v="0"/>
  </r>
  <r>
    <n v="1152"/>
    <x v="64"/>
    <n v="1274"/>
    <x v="0"/>
    <x v="0"/>
    <x v="2"/>
    <n v="2"/>
    <n v="7506"/>
    <s v="COD"/>
    <x v="0"/>
    <x v="3"/>
    <n v="3"/>
    <n v="0"/>
    <n v="0"/>
    <s v="New"/>
    <x v="2"/>
    <n v="43"/>
    <n v="1"/>
  </r>
  <r>
    <n v="1153"/>
    <x v="46"/>
    <n v="1486"/>
    <x v="2"/>
    <x v="1"/>
    <x v="3"/>
    <n v="1"/>
    <n v="0"/>
    <s v="UPI"/>
    <x v="2"/>
    <x v="3"/>
    <n v="6"/>
    <n v="0"/>
    <n v="0"/>
    <s v="New"/>
    <x v="5"/>
    <n v="30"/>
    <n v="0"/>
  </r>
  <r>
    <n v="1154"/>
    <x v="50"/>
    <n v="1574"/>
    <x v="4"/>
    <x v="3"/>
    <x v="2"/>
    <n v="5"/>
    <n v="0"/>
    <s v="Wallet"/>
    <x v="1"/>
    <x v="3"/>
    <n v="6"/>
    <n v="0"/>
    <n v="1"/>
    <s v="Repeat"/>
    <x v="3"/>
    <n v="53"/>
    <n v="0"/>
  </r>
  <r>
    <n v="1155"/>
    <x v="53"/>
    <n v="1142"/>
    <x v="0"/>
    <x v="1"/>
    <x v="1"/>
    <n v="3"/>
    <n v="11385"/>
    <s v="Wallet"/>
    <x v="0"/>
    <x v="3"/>
    <n v="1"/>
    <n v="0"/>
    <n v="0"/>
    <s v="Repeat"/>
    <x v="2"/>
    <n v="42"/>
    <n v="1"/>
  </r>
  <r>
    <n v="1156"/>
    <x v="55"/>
    <n v="1222"/>
    <x v="3"/>
    <x v="0"/>
    <x v="3"/>
    <n v="2"/>
    <n v="8676"/>
    <s v="UPI"/>
    <x v="0"/>
    <x v="2"/>
    <n v="2"/>
    <n v="0"/>
    <n v="1"/>
    <s v="Repeat"/>
    <x v="1"/>
    <n v="37"/>
    <n v="1"/>
  </r>
  <r>
    <n v="1157"/>
    <x v="47"/>
    <n v="1468"/>
    <x v="2"/>
    <x v="4"/>
    <x v="0"/>
    <n v="1"/>
    <n v="0"/>
    <s v="Wallet"/>
    <x v="2"/>
    <x v="1"/>
    <n v="10"/>
    <n v="0"/>
    <n v="0"/>
    <s v="New"/>
    <x v="6"/>
    <n v="2"/>
    <n v="0"/>
  </r>
  <r>
    <n v="1158"/>
    <x v="35"/>
    <n v="1449"/>
    <x v="2"/>
    <x v="4"/>
    <x v="2"/>
    <n v="1"/>
    <n v="0"/>
    <s v="COD"/>
    <x v="1"/>
    <x v="1"/>
    <n v="7"/>
    <n v="1"/>
    <n v="1"/>
    <s v="New"/>
    <x v="0"/>
    <n v="35"/>
    <n v="0"/>
  </r>
  <r>
    <n v="1159"/>
    <x v="2"/>
    <n v="1030"/>
    <x v="2"/>
    <x v="4"/>
    <x v="1"/>
    <n v="3"/>
    <n v="5643"/>
    <s v="Wallet"/>
    <x v="0"/>
    <x v="2"/>
    <n v="5"/>
    <n v="0"/>
    <n v="0"/>
    <s v="New"/>
    <x v="2"/>
    <n v="41"/>
    <n v="1"/>
  </r>
  <r>
    <n v="1160"/>
    <x v="103"/>
    <n v="1096"/>
    <x v="1"/>
    <x v="1"/>
    <x v="0"/>
    <n v="1"/>
    <n v="0"/>
    <s v="Card"/>
    <x v="1"/>
    <x v="3"/>
    <n v="5"/>
    <n v="0"/>
    <n v="0"/>
    <s v="Repeat"/>
    <x v="1"/>
    <n v="38"/>
    <n v="0"/>
  </r>
  <r>
    <n v="1161"/>
    <x v="66"/>
    <n v="1196"/>
    <x v="3"/>
    <x v="3"/>
    <x v="3"/>
    <n v="1"/>
    <n v="4848"/>
    <s v="Wallet"/>
    <x v="0"/>
    <x v="2"/>
    <n v="4"/>
    <n v="1"/>
    <n v="0"/>
    <s v="New"/>
    <x v="1"/>
    <n v="39"/>
    <n v="1"/>
  </r>
  <r>
    <n v="1162"/>
    <x v="52"/>
    <n v="1648"/>
    <x v="2"/>
    <x v="1"/>
    <x v="3"/>
    <n v="5"/>
    <n v="3540"/>
    <s v="UPI"/>
    <x v="0"/>
    <x v="1"/>
    <n v="8"/>
    <n v="1"/>
    <n v="1"/>
    <s v="New"/>
    <x v="4"/>
    <n v="44"/>
    <n v="1"/>
  </r>
  <r>
    <n v="1163"/>
    <x v="162"/>
    <n v="1300"/>
    <x v="2"/>
    <x v="0"/>
    <x v="3"/>
    <n v="5"/>
    <n v="0"/>
    <s v="UPI"/>
    <x v="2"/>
    <x v="1"/>
    <n v="2"/>
    <n v="0"/>
    <n v="0"/>
    <s v="Repeat"/>
    <x v="2"/>
    <n v="43"/>
    <n v="0"/>
  </r>
  <r>
    <n v="1164"/>
    <x v="70"/>
    <n v="1551"/>
    <x v="1"/>
    <x v="0"/>
    <x v="0"/>
    <n v="4"/>
    <n v="0"/>
    <s v="Card"/>
    <x v="2"/>
    <x v="1"/>
    <n v="6"/>
    <n v="1"/>
    <n v="0"/>
    <s v="New"/>
    <x v="2"/>
    <n v="40"/>
    <n v="0"/>
  </r>
  <r>
    <n v="1165"/>
    <x v="60"/>
    <n v="1913"/>
    <x v="1"/>
    <x v="3"/>
    <x v="2"/>
    <n v="5"/>
    <n v="8175"/>
    <s v="UPI"/>
    <x v="0"/>
    <x v="3"/>
    <n v="10"/>
    <n v="0"/>
    <n v="0"/>
    <s v="Repeat"/>
    <x v="1"/>
    <n v="36"/>
    <n v="1"/>
  </r>
  <r>
    <n v="1166"/>
    <x v="134"/>
    <n v="1309"/>
    <x v="4"/>
    <x v="4"/>
    <x v="1"/>
    <n v="4"/>
    <n v="2372"/>
    <s v="Wallet"/>
    <x v="0"/>
    <x v="3"/>
    <n v="4"/>
    <n v="0"/>
    <n v="1"/>
    <s v="New"/>
    <x v="3"/>
    <n v="51"/>
    <n v="1"/>
  </r>
  <r>
    <n v="1167"/>
    <x v="143"/>
    <n v="1523"/>
    <x v="3"/>
    <x v="4"/>
    <x v="0"/>
    <n v="5"/>
    <n v="0"/>
    <s v="Wallet"/>
    <x v="1"/>
    <x v="2"/>
    <n v="4"/>
    <n v="0"/>
    <n v="1"/>
    <s v="New"/>
    <x v="2"/>
    <n v="43"/>
    <n v="0"/>
  </r>
  <r>
    <n v="1168"/>
    <x v="36"/>
    <n v="1316"/>
    <x v="2"/>
    <x v="3"/>
    <x v="2"/>
    <n v="2"/>
    <n v="0"/>
    <s v="Card"/>
    <x v="2"/>
    <x v="1"/>
    <n v="7"/>
    <n v="1"/>
    <n v="1"/>
    <s v="Repeat"/>
    <x v="2"/>
    <n v="44"/>
    <n v="0"/>
  </r>
  <r>
    <n v="1169"/>
    <x v="116"/>
    <n v="1850"/>
    <x v="4"/>
    <x v="4"/>
    <x v="0"/>
    <n v="2"/>
    <n v="0"/>
    <s v="Card"/>
    <x v="2"/>
    <x v="3"/>
    <n v="10"/>
    <n v="0"/>
    <n v="0"/>
    <s v="Repeat"/>
    <x v="3"/>
    <n v="50"/>
    <n v="0"/>
  </r>
  <r>
    <n v="1170"/>
    <x v="175"/>
    <n v="1440"/>
    <x v="3"/>
    <x v="0"/>
    <x v="3"/>
    <n v="2"/>
    <n v="8464"/>
    <s v="UPI"/>
    <x v="0"/>
    <x v="2"/>
    <n v="3"/>
    <n v="1"/>
    <n v="1"/>
    <s v="New"/>
    <x v="5"/>
    <n v="31"/>
    <n v="1"/>
  </r>
  <r>
    <n v="1171"/>
    <x v="89"/>
    <n v="1699"/>
    <x v="3"/>
    <x v="4"/>
    <x v="2"/>
    <n v="5"/>
    <n v="0"/>
    <s v="Wallet"/>
    <x v="1"/>
    <x v="1"/>
    <n v="7"/>
    <n v="1"/>
    <n v="0"/>
    <s v="Repeat"/>
    <x v="0"/>
    <n v="35"/>
    <n v="0"/>
  </r>
  <r>
    <n v="1172"/>
    <x v="86"/>
    <n v="1562"/>
    <x v="3"/>
    <x v="2"/>
    <x v="0"/>
    <n v="1"/>
    <n v="1844"/>
    <s v="UPI"/>
    <x v="0"/>
    <x v="2"/>
    <n v="10"/>
    <n v="1"/>
    <n v="1"/>
    <s v="Repeat"/>
    <x v="6"/>
    <n v="1"/>
    <n v="1"/>
  </r>
  <r>
    <n v="1173"/>
    <x v="121"/>
    <n v="1053"/>
    <x v="4"/>
    <x v="2"/>
    <x v="3"/>
    <n v="4"/>
    <n v="0"/>
    <s v="UPI"/>
    <x v="1"/>
    <x v="1"/>
    <n v="7"/>
    <n v="1"/>
    <n v="1"/>
    <s v="New"/>
    <x v="1"/>
    <n v="37"/>
    <n v="0"/>
  </r>
  <r>
    <n v="1174"/>
    <x v="75"/>
    <n v="1233"/>
    <x v="1"/>
    <x v="4"/>
    <x v="2"/>
    <n v="1"/>
    <n v="0"/>
    <s v="Wallet"/>
    <x v="1"/>
    <x v="1"/>
    <n v="3"/>
    <n v="0"/>
    <n v="0"/>
    <s v="Repeat"/>
    <x v="3"/>
    <n v="52"/>
    <n v="0"/>
  </r>
  <r>
    <n v="1175"/>
    <x v="13"/>
    <n v="1270"/>
    <x v="2"/>
    <x v="1"/>
    <x v="0"/>
    <n v="1"/>
    <n v="0"/>
    <s v="Wallet"/>
    <x v="2"/>
    <x v="0"/>
    <n v="9"/>
    <n v="1"/>
    <n v="1"/>
    <s v="Repeat"/>
    <x v="2"/>
    <n v="41"/>
    <n v="0"/>
  </r>
  <r>
    <n v="1176"/>
    <x v="163"/>
    <n v="1565"/>
    <x v="4"/>
    <x v="1"/>
    <x v="1"/>
    <n v="3"/>
    <n v="0"/>
    <s v="Wallet"/>
    <x v="2"/>
    <x v="3"/>
    <n v="8"/>
    <n v="1"/>
    <n v="1"/>
    <s v="Repeat"/>
    <x v="4"/>
    <n v="45"/>
    <n v="0"/>
  </r>
  <r>
    <n v="1177"/>
    <x v="125"/>
    <n v="1828"/>
    <x v="3"/>
    <x v="0"/>
    <x v="2"/>
    <n v="4"/>
    <n v="15376"/>
    <s v="UPI"/>
    <x v="0"/>
    <x v="0"/>
    <n v="10"/>
    <n v="1"/>
    <n v="0"/>
    <s v="Repeat"/>
    <x v="5"/>
    <n v="31"/>
    <n v="1"/>
  </r>
  <r>
    <n v="1178"/>
    <x v="117"/>
    <n v="1828"/>
    <x v="3"/>
    <x v="0"/>
    <x v="0"/>
    <n v="3"/>
    <n v="0"/>
    <s v="Card"/>
    <x v="2"/>
    <x v="1"/>
    <n v="6"/>
    <n v="0"/>
    <n v="0"/>
    <s v="New"/>
    <x v="5"/>
    <n v="31"/>
    <n v="0"/>
  </r>
  <r>
    <n v="1179"/>
    <x v="173"/>
    <n v="1114"/>
    <x v="1"/>
    <x v="3"/>
    <x v="0"/>
    <n v="1"/>
    <n v="0"/>
    <s v="UPI"/>
    <x v="2"/>
    <x v="0"/>
    <n v="8"/>
    <n v="0"/>
    <n v="1"/>
    <s v="New"/>
    <x v="5"/>
    <n v="30"/>
    <n v="0"/>
  </r>
  <r>
    <n v="1180"/>
    <x v="25"/>
    <n v="1991"/>
    <x v="2"/>
    <x v="2"/>
    <x v="2"/>
    <n v="1"/>
    <n v="0"/>
    <s v="UPI"/>
    <x v="2"/>
    <x v="0"/>
    <n v="4"/>
    <n v="0"/>
    <n v="0"/>
    <s v="Repeat"/>
    <x v="4"/>
    <n v="49"/>
    <n v="0"/>
  </r>
  <r>
    <n v="1181"/>
    <x v="161"/>
    <n v="1006"/>
    <x v="4"/>
    <x v="0"/>
    <x v="0"/>
    <n v="3"/>
    <n v="0"/>
    <s v="COD"/>
    <x v="1"/>
    <x v="0"/>
    <n v="2"/>
    <n v="0"/>
    <n v="1"/>
    <s v="Repeat"/>
    <x v="2"/>
    <n v="41"/>
    <n v="0"/>
  </r>
  <r>
    <n v="1182"/>
    <x v="144"/>
    <n v="1644"/>
    <x v="0"/>
    <x v="4"/>
    <x v="0"/>
    <n v="4"/>
    <n v="7352"/>
    <s v="Wallet"/>
    <x v="0"/>
    <x v="3"/>
    <n v="8"/>
    <n v="0"/>
    <n v="1"/>
    <s v="Repeat"/>
    <x v="3"/>
    <n v="52"/>
    <n v="1"/>
  </r>
  <r>
    <n v="1183"/>
    <x v="55"/>
    <n v="1046"/>
    <x v="0"/>
    <x v="1"/>
    <x v="3"/>
    <n v="3"/>
    <n v="6267"/>
    <s v="Wallet"/>
    <x v="0"/>
    <x v="1"/>
    <n v="3"/>
    <n v="0"/>
    <n v="0"/>
    <s v="New"/>
    <x v="1"/>
    <n v="37"/>
    <n v="1"/>
  </r>
  <r>
    <n v="1184"/>
    <x v="179"/>
    <n v="1544"/>
    <x v="1"/>
    <x v="1"/>
    <x v="0"/>
    <n v="1"/>
    <n v="3058"/>
    <s v="UPI"/>
    <x v="0"/>
    <x v="2"/>
    <n v="3"/>
    <n v="0"/>
    <n v="1"/>
    <s v="New"/>
    <x v="5"/>
    <n v="29"/>
    <n v="1"/>
  </r>
  <r>
    <n v="1185"/>
    <x v="32"/>
    <n v="1899"/>
    <x v="4"/>
    <x v="0"/>
    <x v="0"/>
    <n v="5"/>
    <n v="8605"/>
    <s v="Card"/>
    <x v="0"/>
    <x v="3"/>
    <n v="8"/>
    <n v="0"/>
    <n v="0"/>
    <s v="Repeat"/>
    <x v="1"/>
    <n v="38"/>
    <n v="1"/>
  </r>
  <r>
    <n v="1186"/>
    <x v="115"/>
    <n v="1238"/>
    <x v="0"/>
    <x v="2"/>
    <x v="0"/>
    <n v="4"/>
    <n v="0"/>
    <s v="COD"/>
    <x v="2"/>
    <x v="2"/>
    <n v="7"/>
    <n v="1"/>
    <n v="0"/>
    <s v="Repeat"/>
    <x v="4"/>
    <n v="48"/>
    <n v="0"/>
  </r>
  <r>
    <n v="1187"/>
    <x v="174"/>
    <n v="1253"/>
    <x v="1"/>
    <x v="4"/>
    <x v="0"/>
    <n v="1"/>
    <n v="2976"/>
    <s v="COD"/>
    <x v="0"/>
    <x v="3"/>
    <n v="3"/>
    <n v="1"/>
    <n v="1"/>
    <s v="New"/>
    <x v="5"/>
    <n v="29"/>
    <n v="1"/>
  </r>
  <r>
    <n v="1188"/>
    <x v="39"/>
    <n v="1387"/>
    <x v="1"/>
    <x v="1"/>
    <x v="3"/>
    <n v="2"/>
    <n v="0"/>
    <s v="COD"/>
    <x v="2"/>
    <x v="3"/>
    <n v="9"/>
    <n v="0"/>
    <n v="0"/>
    <s v="New"/>
    <x v="0"/>
    <n v="34"/>
    <n v="0"/>
  </r>
  <r>
    <n v="1189"/>
    <x v="96"/>
    <n v="1859"/>
    <x v="2"/>
    <x v="4"/>
    <x v="0"/>
    <n v="3"/>
    <n v="0"/>
    <s v="UPI"/>
    <x v="2"/>
    <x v="2"/>
    <n v="6"/>
    <n v="1"/>
    <n v="1"/>
    <s v="New"/>
    <x v="4"/>
    <n v="45"/>
    <n v="0"/>
  </r>
  <r>
    <n v="1190"/>
    <x v="161"/>
    <n v="1281"/>
    <x v="1"/>
    <x v="1"/>
    <x v="0"/>
    <n v="1"/>
    <n v="0"/>
    <s v="Card"/>
    <x v="1"/>
    <x v="3"/>
    <n v="7"/>
    <n v="0"/>
    <n v="1"/>
    <s v="New"/>
    <x v="2"/>
    <n v="41"/>
    <n v="0"/>
  </r>
  <r>
    <n v="1191"/>
    <x v="18"/>
    <n v="1607"/>
    <x v="3"/>
    <x v="4"/>
    <x v="3"/>
    <n v="1"/>
    <n v="433"/>
    <s v="UPI"/>
    <x v="0"/>
    <x v="0"/>
    <n v="3"/>
    <n v="1"/>
    <n v="1"/>
    <s v="Repeat"/>
    <x v="1"/>
    <n v="36"/>
    <n v="1"/>
  </r>
  <r>
    <n v="1192"/>
    <x v="75"/>
    <n v="1990"/>
    <x v="4"/>
    <x v="0"/>
    <x v="1"/>
    <n v="2"/>
    <n v="0"/>
    <s v="Card"/>
    <x v="1"/>
    <x v="2"/>
    <n v="3"/>
    <n v="0"/>
    <n v="0"/>
    <s v="New"/>
    <x v="3"/>
    <n v="52"/>
    <n v="0"/>
  </r>
  <r>
    <n v="1193"/>
    <x v="150"/>
    <n v="1010"/>
    <x v="0"/>
    <x v="1"/>
    <x v="3"/>
    <n v="2"/>
    <n v="0"/>
    <s v="Wallet"/>
    <x v="1"/>
    <x v="3"/>
    <n v="3"/>
    <n v="0"/>
    <n v="1"/>
    <s v="Repeat"/>
    <x v="0"/>
    <n v="35"/>
    <n v="0"/>
  </r>
  <r>
    <n v="1194"/>
    <x v="90"/>
    <n v="1585"/>
    <x v="4"/>
    <x v="4"/>
    <x v="1"/>
    <n v="4"/>
    <n v="0"/>
    <s v="UPI"/>
    <x v="2"/>
    <x v="3"/>
    <n v="8"/>
    <n v="0"/>
    <n v="0"/>
    <s v="New"/>
    <x v="0"/>
    <n v="31"/>
    <n v="0"/>
  </r>
  <r>
    <n v="1195"/>
    <x v="28"/>
    <n v="1888"/>
    <x v="2"/>
    <x v="2"/>
    <x v="3"/>
    <n v="3"/>
    <n v="0"/>
    <s v="COD"/>
    <x v="1"/>
    <x v="0"/>
    <n v="3"/>
    <n v="1"/>
    <n v="1"/>
    <s v="Repeat"/>
    <x v="0"/>
    <n v="33"/>
    <n v="0"/>
  </r>
  <r>
    <n v="1196"/>
    <x v="111"/>
    <n v="1892"/>
    <x v="3"/>
    <x v="2"/>
    <x v="2"/>
    <n v="1"/>
    <n v="0"/>
    <s v="COD"/>
    <x v="2"/>
    <x v="3"/>
    <n v="7"/>
    <n v="0"/>
    <n v="1"/>
    <s v="New"/>
    <x v="4"/>
    <n v="48"/>
    <n v="0"/>
  </r>
  <r>
    <n v="1197"/>
    <x v="45"/>
    <n v="1886"/>
    <x v="2"/>
    <x v="4"/>
    <x v="3"/>
    <n v="2"/>
    <n v="0"/>
    <s v="COD"/>
    <x v="1"/>
    <x v="1"/>
    <n v="5"/>
    <n v="1"/>
    <n v="1"/>
    <s v="Repeat"/>
    <x v="6"/>
    <n v="2"/>
    <n v="0"/>
  </r>
  <r>
    <n v="1198"/>
    <x v="50"/>
    <n v="1862"/>
    <x v="3"/>
    <x v="3"/>
    <x v="1"/>
    <n v="4"/>
    <n v="19080"/>
    <s v="Card"/>
    <x v="0"/>
    <x v="1"/>
    <n v="10"/>
    <n v="0"/>
    <n v="1"/>
    <s v="Repeat"/>
    <x v="3"/>
    <n v="53"/>
    <n v="1"/>
  </r>
  <r>
    <n v="1199"/>
    <x v="109"/>
    <n v="1752"/>
    <x v="0"/>
    <x v="3"/>
    <x v="1"/>
    <n v="3"/>
    <n v="12732"/>
    <s v="Wallet"/>
    <x v="0"/>
    <x v="3"/>
    <n v="10"/>
    <n v="0"/>
    <n v="1"/>
    <s v="Repeat"/>
    <x v="4"/>
    <n v="46"/>
    <n v="1"/>
  </r>
  <r>
    <n v="1200"/>
    <x v="55"/>
    <n v="1575"/>
    <x v="2"/>
    <x v="2"/>
    <x v="1"/>
    <n v="5"/>
    <n v="0"/>
    <s v="UPI"/>
    <x v="1"/>
    <x v="3"/>
    <n v="6"/>
    <n v="0"/>
    <n v="0"/>
    <s v="Repeat"/>
    <x v="1"/>
    <n v="37"/>
    <n v="0"/>
  </r>
  <r>
    <n v="1201"/>
    <x v="145"/>
    <n v="1006"/>
    <x v="2"/>
    <x v="4"/>
    <x v="0"/>
    <n v="3"/>
    <n v="0"/>
    <s v="COD"/>
    <x v="1"/>
    <x v="3"/>
    <n v="1"/>
    <n v="1"/>
    <n v="1"/>
    <s v="Repeat"/>
    <x v="4"/>
    <n v="48"/>
    <n v="0"/>
  </r>
  <r>
    <n v="1202"/>
    <x v="15"/>
    <n v="1774"/>
    <x v="4"/>
    <x v="3"/>
    <x v="1"/>
    <n v="2"/>
    <n v="0"/>
    <s v="Wallet"/>
    <x v="2"/>
    <x v="2"/>
    <n v="3"/>
    <n v="1"/>
    <n v="1"/>
    <s v="Repeat"/>
    <x v="4"/>
    <n v="47"/>
    <n v="0"/>
  </r>
  <r>
    <n v="1203"/>
    <x v="123"/>
    <n v="1315"/>
    <x v="4"/>
    <x v="4"/>
    <x v="1"/>
    <n v="1"/>
    <n v="0"/>
    <s v="Card"/>
    <x v="1"/>
    <x v="2"/>
    <n v="6"/>
    <n v="1"/>
    <n v="1"/>
    <s v="New"/>
    <x v="0"/>
    <n v="34"/>
    <n v="0"/>
  </r>
  <r>
    <n v="1204"/>
    <x v="149"/>
    <n v="1561"/>
    <x v="4"/>
    <x v="4"/>
    <x v="0"/>
    <n v="3"/>
    <n v="0"/>
    <s v="COD"/>
    <x v="1"/>
    <x v="1"/>
    <n v="1"/>
    <n v="0"/>
    <n v="0"/>
    <s v="New"/>
    <x v="3"/>
    <n v="49"/>
    <n v="0"/>
  </r>
  <r>
    <n v="1205"/>
    <x v="154"/>
    <n v="1307"/>
    <x v="1"/>
    <x v="4"/>
    <x v="2"/>
    <n v="5"/>
    <n v="23185"/>
    <s v="UPI"/>
    <x v="0"/>
    <x v="3"/>
    <n v="4"/>
    <n v="0"/>
    <n v="0"/>
    <s v="Repeat"/>
    <x v="2"/>
    <n v="42"/>
    <n v="1"/>
  </r>
  <r>
    <n v="1206"/>
    <x v="42"/>
    <n v="1822"/>
    <x v="4"/>
    <x v="2"/>
    <x v="2"/>
    <n v="1"/>
    <n v="0"/>
    <s v="Wallet"/>
    <x v="2"/>
    <x v="3"/>
    <n v="2"/>
    <n v="1"/>
    <n v="0"/>
    <s v="New"/>
    <x v="2"/>
    <n v="44"/>
    <n v="0"/>
  </r>
  <r>
    <n v="1207"/>
    <x v="29"/>
    <n v="1893"/>
    <x v="1"/>
    <x v="4"/>
    <x v="3"/>
    <n v="5"/>
    <n v="0"/>
    <s v="COD"/>
    <x v="1"/>
    <x v="0"/>
    <n v="8"/>
    <n v="1"/>
    <n v="0"/>
    <s v="New"/>
    <x v="1"/>
    <n v="39"/>
    <n v="0"/>
  </r>
  <r>
    <n v="1208"/>
    <x v="161"/>
    <n v="1780"/>
    <x v="3"/>
    <x v="1"/>
    <x v="1"/>
    <n v="1"/>
    <n v="0"/>
    <s v="COD"/>
    <x v="1"/>
    <x v="3"/>
    <n v="3"/>
    <n v="1"/>
    <n v="0"/>
    <s v="New"/>
    <x v="2"/>
    <n v="41"/>
    <n v="0"/>
  </r>
  <r>
    <n v="1209"/>
    <x v="111"/>
    <n v="1178"/>
    <x v="3"/>
    <x v="0"/>
    <x v="2"/>
    <n v="3"/>
    <n v="0"/>
    <s v="COD"/>
    <x v="2"/>
    <x v="2"/>
    <n v="10"/>
    <n v="0"/>
    <n v="0"/>
    <s v="Repeat"/>
    <x v="4"/>
    <n v="48"/>
    <n v="0"/>
  </r>
  <r>
    <n v="1210"/>
    <x v="132"/>
    <n v="1512"/>
    <x v="0"/>
    <x v="4"/>
    <x v="0"/>
    <n v="1"/>
    <n v="0"/>
    <s v="UPI"/>
    <x v="2"/>
    <x v="3"/>
    <n v="1"/>
    <n v="0"/>
    <n v="0"/>
    <s v="Repeat"/>
    <x v="2"/>
    <n v="42"/>
    <n v="0"/>
  </r>
  <r>
    <n v="1211"/>
    <x v="106"/>
    <n v="1366"/>
    <x v="4"/>
    <x v="2"/>
    <x v="2"/>
    <n v="3"/>
    <n v="0"/>
    <s v="Card"/>
    <x v="1"/>
    <x v="2"/>
    <n v="4"/>
    <n v="0"/>
    <n v="0"/>
    <s v="Repeat"/>
    <x v="5"/>
    <n v="30"/>
    <n v="0"/>
  </r>
  <r>
    <n v="1212"/>
    <x v="101"/>
    <n v="1763"/>
    <x v="2"/>
    <x v="3"/>
    <x v="3"/>
    <n v="2"/>
    <n v="0"/>
    <s v="Wallet"/>
    <x v="2"/>
    <x v="1"/>
    <n v="7"/>
    <n v="0"/>
    <n v="1"/>
    <s v="Repeat"/>
    <x v="3"/>
    <n v="49"/>
    <n v="0"/>
  </r>
  <r>
    <n v="1213"/>
    <x v="167"/>
    <n v="1636"/>
    <x v="3"/>
    <x v="2"/>
    <x v="3"/>
    <n v="5"/>
    <n v="0"/>
    <s v="UPI"/>
    <x v="2"/>
    <x v="3"/>
    <n v="4"/>
    <n v="0"/>
    <n v="1"/>
    <s v="Repeat"/>
    <x v="0"/>
    <n v="35"/>
    <n v="0"/>
  </r>
  <r>
    <n v="1214"/>
    <x v="44"/>
    <n v="1291"/>
    <x v="1"/>
    <x v="2"/>
    <x v="3"/>
    <n v="2"/>
    <n v="0"/>
    <s v="COD"/>
    <x v="2"/>
    <x v="0"/>
    <n v="7"/>
    <n v="1"/>
    <n v="1"/>
    <s v="New"/>
    <x v="4"/>
    <n v="47"/>
    <n v="0"/>
  </r>
  <r>
    <n v="1215"/>
    <x v="139"/>
    <n v="1830"/>
    <x v="3"/>
    <x v="0"/>
    <x v="2"/>
    <n v="3"/>
    <n v="14649"/>
    <s v="COD"/>
    <x v="0"/>
    <x v="1"/>
    <n v="9"/>
    <n v="0"/>
    <n v="0"/>
    <s v="New"/>
    <x v="4"/>
    <n v="45"/>
    <n v="1"/>
  </r>
  <r>
    <n v="1216"/>
    <x v="127"/>
    <n v="1243"/>
    <x v="2"/>
    <x v="4"/>
    <x v="1"/>
    <n v="2"/>
    <n v="0"/>
    <s v="UPI"/>
    <x v="2"/>
    <x v="2"/>
    <n v="5"/>
    <n v="0"/>
    <n v="0"/>
    <s v="New"/>
    <x v="5"/>
    <n v="29"/>
    <n v="0"/>
  </r>
  <r>
    <n v="1217"/>
    <x v="132"/>
    <n v="1649"/>
    <x v="3"/>
    <x v="1"/>
    <x v="2"/>
    <n v="2"/>
    <n v="0"/>
    <s v="Wallet"/>
    <x v="1"/>
    <x v="2"/>
    <n v="5"/>
    <n v="0"/>
    <n v="0"/>
    <s v="New"/>
    <x v="2"/>
    <n v="42"/>
    <n v="0"/>
  </r>
  <r>
    <n v="1218"/>
    <x v="87"/>
    <n v="1704"/>
    <x v="3"/>
    <x v="2"/>
    <x v="1"/>
    <n v="3"/>
    <n v="6570"/>
    <s v="COD"/>
    <x v="0"/>
    <x v="0"/>
    <n v="2"/>
    <n v="0"/>
    <n v="1"/>
    <s v="Repeat"/>
    <x v="2"/>
    <n v="42"/>
    <n v="1"/>
  </r>
  <r>
    <n v="1219"/>
    <x v="23"/>
    <n v="1480"/>
    <x v="1"/>
    <x v="2"/>
    <x v="2"/>
    <n v="5"/>
    <n v="0"/>
    <s v="Card"/>
    <x v="1"/>
    <x v="0"/>
    <n v="3"/>
    <n v="0"/>
    <n v="1"/>
    <s v="Repeat"/>
    <x v="3"/>
    <n v="51"/>
    <n v="0"/>
  </r>
  <r>
    <n v="1220"/>
    <x v="129"/>
    <n v="1808"/>
    <x v="4"/>
    <x v="3"/>
    <x v="1"/>
    <n v="4"/>
    <n v="0"/>
    <s v="UPI"/>
    <x v="1"/>
    <x v="1"/>
    <n v="3"/>
    <n v="0"/>
    <n v="0"/>
    <s v="New"/>
    <x v="4"/>
    <n v="46"/>
    <n v="0"/>
  </r>
  <r>
    <n v="1221"/>
    <x v="83"/>
    <n v="1468"/>
    <x v="4"/>
    <x v="2"/>
    <x v="0"/>
    <n v="5"/>
    <n v="12845"/>
    <s v="COD"/>
    <x v="0"/>
    <x v="2"/>
    <n v="7"/>
    <n v="0"/>
    <n v="0"/>
    <s v="New"/>
    <x v="1"/>
    <n v="36"/>
    <n v="1"/>
  </r>
  <r>
    <n v="1222"/>
    <x v="20"/>
    <n v="1522"/>
    <x v="2"/>
    <x v="4"/>
    <x v="1"/>
    <n v="4"/>
    <n v="0"/>
    <s v="COD"/>
    <x v="2"/>
    <x v="2"/>
    <n v="2"/>
    <n v="1"/>
    <n v="0"/>
    <s v="New"/>
    <x v="0"/>
    <n v="32"/>
    <n v="0"/>
  </r>
  <r>
    <n v="1223"/>
    <x v="108"/>
    <n v="1448"/>
    <x v="1"/>
    <x v="2"/>
    <x v="0"/>
    <n v="2"/>
    <n v="0"/>
    <s v="Wallet"/>
    <x v="1"/>
    <x v="3"/>
    <n v="6"/>
    <n v="0"/>
    <n v="1"/>
    <s v="Repeat"/>
    <x v="2"/>
    <n v="44"/>
    <n v="0"/>
  </r>
  <r>
    <n v="1224"/>
    <x v="171"/>
    <n v="1198"/>
    <x v="0"/>
    <x v="4"/>
    <x v="2"/>
    <n v="2"/>
    <n v="0"/>
    <s v="Wallet"/>
    <x v="2"/>
    <x v="0"/>
    <n v="3"/>
    <n v="1"/>
    <n v="0"/>
    <s v="Repeat"/>
    <x v="1"/>
    <n v="36"/>
    <n v="0"/>
  </r>
  <r>
    <n v="1225"/>
    <x v="178"/>
    <n v="1358"/>
    <x v="1"/>
    <x v="3"/>
    <x v="3"/>
    <n v="4"/>
    <n v="17644"/>
    <s v="COD"/>
    <x v="0"/>
    <x v="0"/>
    <n v="5"/>
    <n v="0"/>
    <n v="1"/>
    <s v="Repeat"/>
    <x v="4"/>
    <n v="45"/>
    <n v="1"/>
  </r>
  <r>
    <n v="1226"/>
    <x v="81"/>
    <n v="1430"/>
    <x v="2"/>
    <x v="3"/>
    <x v="0"/>
    <n v="1"/>
    <n v="0"/>
    <s v="Wallet"/>
    <x v="2"/>
    <x v="1"/>
    <n v="9"/>
    <n v="1"/>
    <n v="0"/>
    <s v="New"/>
    <x v="0"/>
    <n v="33"/>
    <n v="0"/>
  </r>
  <r>
    <n v="1227"/>
    <x v="77"/>
    <n v="1369"/>
    <x v="3"/>
    <x v="4"/>
    <x v="1"/>
    <n v="2"/>
    <n v="716"/>
    <s v="Wallet"/>
    <x v="0"/>
    <x v="0"/>
    <n v="9"/>
    <n v="1"/>
    <n v="1"/>
    <s v="New"/>
    <x v="1"/>
    <n v="38"/>
    <n v="1"/>
  </r>
  <r>
    <n v="1228"/>
    <x v="42"/>
    <n v="1638"/>
    <x v="3"/>
    <x v="4"/>
    <x v="3"/>
    <n v="1"/>
    <n v="0"/>
    <s v="COD"/>
    <x v="1"/>
    <x v="2"/>
    <n v="8"/>
    <n v="0"/>
    <n v="1"/>
    <s v="Repeat"/>
    <x v="2"/>
    <n v="44"/>
    <n v="0"/>
  </r>
  <r>
    <n v="1229"/>
    <x v="26"/>
    <n v="1584"/>
    <x v="2"/>
    <x v="4"/>
    <x v="1"/>
    <n v="4"/>
    <n v="0"/>
    <s v="COD"/>
    <x v="2"/>
    <x v="2"/>
    <n v="3"/>
    <n v="1"/>
    <n v="1"/>
    <s v="New"/>
    <x v="2"/>
    <n v="42"/>
    <n v="0"/>
  </r>
  <r>
    <n v="1230"/>
    <x v="65"/>
    <n v="1708"/>
    <x v="3"/>
    <x v="1"/>
    <x v="1"/>
    <n v="5"/>
    <n v="0"/>
    <s v="COD"/>
    <x v="1"/>
    <x v="0"/>
    <n v="4"/>
    <n v="1"/>
    <n v="0"/>
    <s v="Repeat"/>
    <x v="1"/>
    <n v="38"/>
    <n v="0"/>
  </r>
  <r>
    <n v="1231"/>
    <x v="52"/>
    <n v="1893"/>
    <x v="1"/>
    <x v="1"/>
    <x v="0"/>
    <n v="3"/>
    <n v="0"/>
    <s v="COD"/>
    <x v="1"/>
    <x v="1"/>
    <n v="5"/>
    <n v="1"/>
    <n v="0"/>
    <s v="New"/>
    <x v="4"/>
    <n v="44"/>
    <n v="0"/>
  </r>
  <r>
    <n v="1232"/>
    <x v="104"/>
    <n v="1508"/>
    <x v="0"/>
    <x v="0"/>
    <x v="0"/>
    <n v="2"/>
    <n v="1426"/>
    <s v="COD"/>
    <x v="0"/>
    <x v="3"/>
    <n v="8"/>
    <n v="1"/>
    <n v="1"/>
    <s v="Repeat"/>
    <x v="5"/>
    <n v="29"/>
    <n v="1"/>
  </r>
  <r>
    <n v="1233"/>
    <x v="57"/>
    <n v="1482"/>
    <x v="4"/>
    <x v="2"/>
    <x v="3"/>
    <n v="4"/>
    <n v="0"/>
    <s v="UPI"/>
    <x v="1"/>
    <x v="3"/>
    <n v="8"/>
    <n v="1"/>
    <n v="0"/>
    <s v="Repeat"/>
    <x v="4"/>
    <n v="48"/>
    <n v="0"/>
  </r>
  <r>
    <n v="1234"/>
    <x v="14"/>
    <n v="1903"/>
    <x v="3"/>
    <x v="0"/>
    <x v="1"/>
    <n v="2"/>
    <n v="0"/>
    <s v="Wallet"/>
    <x v="2"/>
    <x v="2"/>
    <n v="3"/>
    <n v="1"/>
    <n v="0"/>
    <s v="New"/>
    <x v="0"/>
    <n v="34"/>
    <n v="0"/>
  </r>
  <r>
    <n v="1235"/>
    <x v="145"/>
    <n v="1826"/>
    <x v="0"/>
    <x v="4"/>
    <x v="2"/>
    <n v="5"/>
    <n v="10375"/>
    <s v="UPI"/>
    <x v="0"/>
    <x v="1"/>
    <n v="7"/>
    <n v="0"/>
    <n v="0"/>
    <s v="New"/>
    <x v="4"/>
    <n v="48"/>
    <n v="1"/>
  </r>
  <r>
    <n v="1236"/>
    <x v="92"/>
    <n v="1211"/>
    <x v="0"/>
    <x v="3"/>
    <x v="3"/>
    <n v="1"/>
    <n v="0"/>
    <s v="UPI"/>
    <x v="2"/>
    <x v="0"/>
    <n v="8"/>
    <n v="1"/>
    <n v="0"/>
    <s v="New"/>
    <x v="3"/>
    <n v="53"/>
    <n v="0"/>
  </r>
  <r>
    <n v="1237"/>
    <x v="142"/>
    <n v="1852"/>
    <x v="3"/>
    <x v="1"/>
    <x v="0"/>
    <n v="5"/>
    <n v="18825"/>
    <s v="UPI"/>
    <x v="0"/>
    <x v="1"/>
    <n v="4"/>
    <n v="0"/>
    <n v="1"/>
    <s v="Repeat"/>
    <x v="2"/>
    <n v="42"/>
    <n v="1"/>
  </r>
  <r>
    <n v="1238"/>
    <x v="66"/>
    <n v="1066"/>
    <x v="1"/>
    <x v="4"/>
    <x v="2"/>
    <n v="4"/>
    <n v="10424"/>
    <s v="COD"/>
    <x v="0"/>
    <x v="0"/>
    <n v="6"/>
    <n v="0"/>
    <n v="1"/>
    <s v="Repeat"/>
    <x v="1"/>
    <n v="39"/>
    <n v="1"/>
  </r>
  <r>
    <n v="1239"/>
    <x v="138"/>
    <n v="1659"/>
    <x v="0"/>
    <x v="1"/>
    <x v="1"/>
    <n v="2"/>
    <n v="0"/>
    <s v="Wallet"/>
    <x v="1"/>
    <x v="1"/>
    <n v="6"/>
    <n v="0"/>
    <n v="1"/>
    <s v="Repeat"/>
    <x v="2"/>
    <n v="44"/>
    <n v="0"/>
  </r>
  <r>
    <n v="1240"/>
    <x v="109"/>
    <n v="1937"/>
    <x v="0"/>
    <x v="2"/>
    <x v="1"/>
    <n v="4"/>
    <n v="0"/>
    <s v="COD"/>
    <x v="1"/>
    <x v="2"/>
    <n v="9"/>
    <n v="1"/>
    <n v="1"/>
    <s v="Repeat"/>
    <x v="4"/>
    <n v="46"/>
    <n v="0"/>
  </r>
  <r>
    <n v="1241"/>
    <x v="40"/>
    <n v="1355"/>
    <x v="2"/>
    <x v="3"/>
    <x v="0"/>
    <n v="2"/>
    <n v="0"/>
    <s v="COD"/>
    <x v="2"/>
    <x v="2"/>
    <n v="4"/>
    <n v="1"/>
    <n v="0"/>
    <s v="New"/>
    <x v="0"/>
    <n v="32"/>
    <n v="0"/>
  </r>
  <r>
    <n v="1242"/>
    <x v="167"/>
    <n v="1142"/>
    <x v="0"/>
    <x v="2"/>
    <x v="3"/>
    <n v="2"/>
    <n v="0"/>
    <s v="Wallet"/>
    <x v="2"/>
    <x v="1"/>
    <n v="7"/>
    <n v="0"/>
    <n v="0"/>
    <s v="Repeat"/>
    <x v="0"/>
    <n v="35"/>
    <n v="0"/>
  </r>
  <r>
    <n v="1243"/>
    <x v="163"/>
    <n v="1666"/>
    <x v="3"/>
    <x v="3"/>
    <x v="0"/>
    <n v="3"/>
    <n v="0"/>
    <s v="Card"/>
    <x v="2"/>
    <x v="2"/>
    <n v="3"/>
    <n v="0"/>
    <n v="1"/>
    <s v="New"/>
    <x v="4"/>
    <n v="45"/>
    <n v="0"/>
  </r>
  <r>
    <n v="1244"/>
    <x v="141"/>
    <n v="1424"/>
    <x v="2"/>
    <x v="0"/>
    <x v="1"/>
    <n v="3"/>
    <n v="0"/>
    <s v="Card"/>
    <x v="2"/>
    <x v="0"/>
    <n v="9"/>
    <n v="0"/>
    <n v="0"/>
    <s v="Repeat"/>
    <x v="1"/>
    <n v="39"/>
    <n v="0"/>
  </r>
  <r>
    <n v="1245"/>
    <x v="141"/>
    <n v="1517"/>
    <x v="0"/>
    <x v="2"/>
    <x v="0"/>
    <n v="2"/>
    <n v="0"/>
    <s v="Card"/>
    <x v="1"/>
    <x v="1"/>
    <n v="2"/>
    <n v="0"/>
    <n v="1"/>
    <s v="New"/>
    <x v="1"/>
    <n v="39"/>
    <n v="0"/>
  </r>
  <r>
    <n v="1246"/>
    <x v="1"/>
    <n v="1669"/>
    <x v="3"/>
    <x v="3"/>
    <x v="1"/>
    <n v="3"/>
    <n v="0"/>
    <s v="Wallet"/>
    <x v="1"/>
    <x v="0"/>
    <n v="4"/>
    <n v="1"/>
    <n v="1"/>
    <s v="New"/>
    <x v="1"/>
    <n v="39"/>
    <n v="0"/>
  </r>
  <r>
    <n v="1247"/>
    <x v="98"/>
    <n v="1003"/>
    <x v="1"/>
    <x v="2"/>
    <x v="1"/>
    <n v="5"/>
    <n v="0"/>
    <s v="Wallet"/>
    <x v="1"/>
    <x v="2"/>
    <n v="4"/>
    <n v="0"/>
    <n v="1"/>
    <s v="Repeat"/>
    <x v="3"/>
    <n v="51"/>
    <n v="0"/>
  </r>
  <r>
    <n v="1248"/>
    <x v="109"/>
    <n v="1391"/>
    <x v="2"/>
    <x v="4"/>
    <x v="1"/>
    <n v="4"/>
    <n v="0"/>
    <s v="Wallet"/>
    <x v="2"/>
    <x v="1"/>
    <n v="5"/>
    <n v="0"/>
    <n v="1"/>
    <s v="New"/>
    <x v="4"/>
    <n v="46"/>
    <n v="0"/>
  </r>
  <r>
    <n v="1249"/>
    <x v="2"/>
    <n v="1958"/>
    <x v="0"/>
    <x v="1"/>
    <x v="0"/>
    <n v="4"/>
    <n v="4224"/>
    <s v="Wallet"/>
    <x v="0"/>
    <x v="1"/>
    <n v="5"/>
    <n v="1"/>
    <n v="0"/>
    <s v="Repeat"/>
    <x v="2"/>
    <n v="41"/>
    <n v="1"/>
  </r>
  <r>
    <n v="1250"/>
    <x v="133"/>
    <n v="1332"/>
    <x v="1"/>
    <x v="1"/>
    <x v="2"/>
    <n v="1"/>
    <n v="0"/>
    <s v="Card"/>
    <x v="2"/>
    <x v="0"/>
    <n v="4"/>
    <n v="1"/>
    <n v="1"/>
    <s v="Repeat"/>
    <x v="0"/>
    <n v="35"/>
    <n v="0"/>
  </r>
  <r>
    <n v="1251"/>
    <x v="86"/>
    <n v="1633"/>
    <x v="0"/>
    <x v="0"/>
    <x v="3"/>
    <n v="1"/>
    <n v="440"/>
    <s v="UPI"/>
    <x v="0"/>
    <x v="1"/>
    <n v="4"/>
    <n v="0"/>
    <n v="1"/>
    <s v="New"/>
    <x v="6"/>
    <n v="1"/>
    <n v="1"/>
  </r>
  <r>
    <n v="1252"/>
    <x v="170"/>
    <n v="1100"/>
    <x v="0"/>
    <x v="4"/>
    <x v="2"/>
    <n v="4"/>
    <n v="0"/>
    <s v="Card"/>
    <x v="1"/>
    <x v="0"/>
    <n v="2"/>
    <n v="1"/>
    <n v="1"/>
    <s v="Repeat"/>
    <x v="4"/>
    <n v="48"/>
    <n v="0"/>
  </r>
  <r>
    <n v="1253"/>
    <x v="140"/>
    <n v="1980"/>
    <x v="2"/>
    <x v="3"/>
    <x v="3"/>
    <n v="2"/>
    <n v="0"/>
    <s v="COD"/>
    <x v="2"/>
    <x v="0"/>
    <n v="8"/>
    <n v="1"/>
    <n v="1"/>
    <s v="Repeat"/>
    <x v="4"/>
    <n v="48"/>
    <n v="0"/>
  </r>
  <r>
    <n v="1254"/>
    <x v="45"/>
    <n v="1739"/>
    <x v="4"/>
    <x v="0"/>
    <x v="1"/>
    <n v="3"/>
    <n v="0"/>
    <s v="Card"/>
    <x v="2"/>
    <x v="1"/>
    <n v="2"/>
    <n v="0"/>
    <n v="1"/>
    <s v="New"/>
    <x v="6"/>
    <n v="2"/>
    <n v="0"/>
  </r>
  <r>
    <n v="1255"/>
    <x v="46"/>
    <n v="1585"/>
    <x v="2"/>
    <x v="4"/>
    <x v="0"/>
    <n v="5"/>
    <n v="19575"/>
    <s v="Card"/>
    <x v="0"/>
    <x v="1"/>
    <n v="10"/>
    <n v="0"/>
    <n v="0"/>
    <s v="Repeat"/>
    <x v="5"/>
    <n v="30"/>
    <n v="1"/>
  </r>
  <r>
    <n v="1256"/>
    <x v="128"/>
    <n v="1268"/>
    <x v="4"/>
    <x v="1"/>
    <x v="1"/>
    <n v="3"/>
    <n v="6717"/>
    <s v="UPI"/>
    <x v="0"/>
    <x v="2"/>
    <n v="7"/>
    <n v="1"/>
    <n v="1"/>
    <s v="New"/>
    <x v="1"/>
    <n v="39"/>
    <n v="1"/>
  </r>
  <r>
    <n v="1257"/>
    <x v="136"/>
    <n v="1360"/>
    <x v="0"/>
    <x v="3"/>
    <x v="3"/>
    <n v="2"/>
    <n v="0"/>
    <s v="COD"/>
    <x v="2"/>
    <x v="1"/>
    <n v="9"/>
    <n v="0"/>
    <n v="0"/>
    <s v="New"/>
    <x v="2"/>
    <n v="40"/>
    <n v="0"/>
  </r>
  <r>
    <n v="1258"/>
    <x v="127"/>
    <n v="1650"/>
    <x v="2"/>
    <x v="1"/>
    <x v="1"/>
    <n v="5"/>
    <n v="0"/>
    <s v="Wallet"/>
    <x v="1"/>
    <x v="2"/>
    <n v="1"/>
    <n v="0"/>
    <n v="0"/>
    <s v="New"/>
    <x v="5"/>
    <n v="29"/>
    <n v="0"/>
  </r>
  <r>
    <n v="1259"/>
    <x v="46"/>
    <n v="1927"/>
    <x v="2"/>
    <x v="2"/>
    <x v="3"/>
    <n v="3"/>
    <n v="0"/>
    <s v="COD"/>
    <x v="2"/>
    <x v="0"/>
    <n v="5"/>
    <n v="1"/>
    <n v="1"/>
    <s v="Repeat"/>
    <x v="5"/>
    <n v="30"/>
    <n v="0"/>
  </r>
  <r>
    <n v="1260"/>
    <x v="0"/>
    <n v="1404"/>
    <x v="2"/>
    <x v="4"/>
    <x v="1"/>
    <n v="2"/>
    <n v="8474"/>
    <s v="Wallet"/>
    <x v="0"/>
    <x v="2"/>
    <n v="8"/>
    <n v="0"/>
    <n v="1"/>
    <s v="Repeat"/>
    <x v="0"/>
    <n v="32"/>
    <n v="1"/>
  </r>
  <r>
    <n v="1261"/>
    <x v="73"/>
    <n v="1105"/>
    <x v="1"/>
    <x v="3"/>
    <x v="0"/>
    <n v="5"/>
    <n v="0"/>
    <s v="COD"/>
    <x v="1"/>
    <x v="3"/>
    <n v="6"/>
    <n v="1"/>
    <n v="0"/>
    <s v="Repeat"/>
    <x v="4"/>
    <n v="45"/>
    <n v="0"/>
  </r>
  <r>
    <n v="1262"/>
    <x v="31"/>
    <n v="1535"/>
    <x v="4"/>
    <x v="4"/>
    <x v="0"/>
    <n v="4"/>
    <n v="1096"/>
    <s v="UPI"/>
    <x v="0"/>
    <x v="1"/>
    <n v="5"/>
    <n v="0"/>
    <n v="0"/>
    <s v="Repeat"/>
    <x v="2"/>
    <n v="44"/>
    <n v="1"/>
  </r>
  <r>
    <n v="1263"/>
    <x v="34"/>
    <n v="1588"/>
    <x v="4"/>
    <x v="4"/>
    <x v="1"/>
    <n v="4"/>
    <n v="11672"/>
    <s v="Wallet"/>
    <x v="0"/>
    <x v="1"/>
    <n v="1"/>
    <n v="0"/>
    <n v="0"/>
    <s v="New"/>
    <x v="3"/>
    <n v="51"/>
    <n v="1"/>
  </r>
  <r>
    <n v="1264"/>
    <x v="156"/>
    <n v="1476"/>
    <x v="0"/>
    <x v="0"/>
    <x v="1"/>
    <n v="4"/>
    <n v="0"/>
    <s v="Card"/>
    <x v="1"/>
    <x v="2"/>
    <n v="3"/>
    <n v="0"/>
    <n v="0"/>
    <s v="New"/>
    <x v="6"/>
    <n v="2"/>
    <n v="0"/>
  </r>
  <r>
    <n v="1265"/>
    <x v="35"/>
    <n v="1621"/>
    <x v="0"/>
    <x v="3"/>
    <x v="1"/>
    <n v="2"/>
    <n v="0"/>
    <s v="UPI"/>
    <x v="2"/>
    <x v="2"/>
    <n v="2"/>
    <n v="1"/>
    <n v="1"/>
    <s v="Repeat"/>
    <x v="0"/>
    <n v="35"/>
    <n v="0"/>
  </r>
  <r>
    <n v="1266"/>
    <x v="142"/>
    <n v="1716"/>
    <x v="1"/>
    <x v="1"/>
    <x v="1"/>
    <n v="1"/>
    <n v="0"/>
    <s v="Card"/>
    <x v="2"/>
    <x v="2"/>
    <n v="6"/>
    <n v="0"/>
    <n v="1"/>
    <s v="New"/>
    <x v="2"/>
    <n v="42"/>
    <n v="0"/>
  </r>
  <r>
    <n v="1267"/>
    <x v="88"/>
    <n v="1305"/>
    <x v="0"/>
    <x v="1"/>
    <x v="0"/>
    <n v="2"/>
    <n v="0"/>
    <s v="UPI"/>
    <x v="2"/>
    <x v="1"/>
    <n v="2"/>
    <n v="0"/>
    <n v="1"/>
    <s v="Repeat"/>
    <x v="1"/>
    <n v="37"/>
    <n v="0"/>
  </r>
  <r>
    <n v="1268"/>
    <x v="165"/>
    <n v="1806"/>
    <x v="2"/>
    <x v="0"/>
    <x v="1"/>
    <n v="1"/>
    <n v="0"/>
    <s v="UPI"/>
    <x v="1"/>
    <x v="3"/>
    <n v="7"/>
    <n v="0"/>
    <n v="1"/>
    <s v="Repeat"/>
    <x v="2"/>
    <n v="41"/>
    <n v="0"/>
  </r>
  <r>
    <n v="1269"/>
    <x v="163"/>
    <n v="1357"/>
    <x v="4"/>
    <x v="4"/>
    <x v="2"/>
    <n v="1"/>
    <n v="3440"/>
    <s v="COD"/>
    <x v="0"/>
    <x v="2"/>
    <n v="3"/>
    <n v="0"/>
    <n v="0"/>
    <s v="New"/>
    <x v="4"/>
    <n v="45"/>
    <n v="1"/>
  </r>
  <r>
    <n v="1270"/>
    <x v="35"/>
    <n v="1848"/>
    <x v="1"/>
    <x v="3"/>
    <x v="0"/>
    <n v="3"/>
    <n v="0"/>
    <s v="UPI"/>
    <x v="2"/>
    <x v="2"/>
    <n v="3"/>
    <n v="1"/>
    <n v="1"/>
    <s v="New"/>
    <x v="0"/>
    <n v="35"/>
    <n v="0"/>
  </r>
  <r>
    <n v="1271"/>
    <x v="65"/>
    <n v="1268"/>
    <x v="4"/>
    <x v="0"/>
    <x v="1"/>
    <n v="4"/>
    <n v="17444"/>
    <s v="Wallet"/>
    <x v="0"/>
    <x v="3"/>
    <n v="1"/>
    <n v="0"/>
    <n v="0"/>
    <s v="New"/>
    <x v="1"/>
    <n v="38"/>
    <n v="1"/>
  </r>
  <r>
    <n v="1272"/>
    <x v="22"/>
    <n v="1423"/>
    <x v="0"/>
    <x v="0"/>
    <x v="2"/>
    <n v="3"/>
    <n v="0"/>
    <s v="UPI"/>
    <x v="1"/>
    <x v="2"/>
    <n v="1"/>
    <n v="0"/>
    <n v="1"/>
    <s v="Repeat"/>
    <x v="6"/>
    <n v="2"/>
    <n v="0"/>
  </r>
  <r>
    <n v="1273"/>
    <x v="99"/>
    <n v="1259"/>
    <x v="2"/>
    <x v="3"/>
    <x v="0"/>
    <n v="3"/>
    <n v="6774"/>
    <s v="Wallet"/>
    <x v="0"/>
    <x v="2"/>
    <n v="10"/>
    <n v="1"/>
    <n v="0"/>
    <s v="Repeat"/>
    <x v="4"/>
    <n v="48"/>
    <n v="1"/>
  </r>
  <r>
    <n v="1274"/>
    <x v="31"/>
    <n v="1261"/>
    <x v="3"/>
    <x v="4"/>
    <x v="0"/>
    <n v="5"/>
    <n v="0"/>
    <s v="COD"/>
    <x v="1"/>
    <x v="1"/>
    <n v="4"/>
    <n v="0"/>
    <n v="1"/>
    <s v="New"/>
    <x v="2"/>
    <n v="44"/>
    <n v="0"/>
  </r>
  <r>
    <n v="1275"/>
    <x v="62"/>
    <n v="1362"/>
    <x v="1"/>
    <x v="1"/>
    <x v="1"/>
    <n v="1"/>
    <n v="1467"/>
    <s v="COD"/>
    <x v="0"/>
    <x v="3"/>
    <n v="1"/>
    <n v="1"/>
    <n v="0"/>
    <s v="Repeat"/>
    <x v="2"/>
    <n v="43"/>
    <n v="1"/>
  </r>
  <r>
    <n v="1276"/>
    <x v="50"/>
    <n v="1936"/>
    <x v="3"/>
    <x v="0"/>
    <x v="2"/>
    <n v="5"/>
    <n v="0"/>
    <s v="COD"/>
    <x v="1"/>
    <x v="1"/>
    <n v="9"/>
    <n v="0"/>
    <n v="0"/>
    <s v="Repeat"/>
    <x v="3"/>
    <n v="53"/>
    <n v="0"/>
  </r>
  <r>
    <n v="1277"/>
    <x v="130"/>
    <n v="2000"/>
    <x v="3"/>
    <x v="2"/>
    <x v="0"/>
    <n v="3"/>
    <n v="0"/>
    <s v="Wallet"/>
    <x v="1"/>
    <x v="0"/>
    <n v="3"/>
    <n v="1"/>
    <n v="1"/>
    <s v="New"/>
    <x v="3"/>
    <n v="51"/>
    <n v="0"/>
  </r>
  <r>
    <n v="1278"/>
    <x v="132"/>
    <n v="1382"/>
    <x v="0"/>
    <x v="2"/>
    <x v="1"/>
    <n v="4"/>
    <n v="0"/>
    <s v="UPI"/>
    <x v="1"/>
    <x v="0"/>
    <n v="3"/>
    <n v="0"/>
    <n v="0"/>
    <s v="New"/>
    <x v="2"/>
    <n v="42"/>
    <n v="0"/>
  </r>
  <r>
    <n v="1279"/>
    <x v="97"/>
    <n v="1040"/>
    <x v="2"/>
    <x v="0"/>
    <x v="3"/>
    <n v="3"/>
    <n v="5295"/>
    <s v="COD"/>
    <x v="0"/>
    <x v="0"/>
    <n v="7"/>
    <n v="1"/>
    <n v="0"/>
    <s v="Repeat"/>
    <x v="1"/>
    <n v="40"/>
    <n v="1"/>
  </r>
  <r>
    <n v="1280"/>
    <x v="62"/>
    <n v="1687"/>
    <x v="4"/>
    <x v="4"/>
    <x v="0"/>
    <n v="4"/>
    <n v="0"/>
    <s v="UPI"/>
    <x v="1"/>
    <x v="1"/>
    <n v="3"/>
    <n v="0"/>
    <n v="1"/>
    <s v="Repeat"/>
    <x v="2"/>
    <n v="43"/>
    <n v="0"/>
  </r>
  <r>
    <n v="1281"/>
    <x v="60"/>
    <n v="1921"/>
    <x v="2"/>
    <x v="1"/>
    <x v="1"/>
    <n v="5"/>
    <n v="0"/>
    <s v="Wallet"/>
    <x v="2"/>
    <x v="0"/>
    <n v="2"/>
    <n v="1"/>
    <n v="1"/>
    <s v="New"/>
    <x v="1"/>
    <n v="36"/>
    <n v="0"/>
  </r>
  <r>
    <n v="1282"/>
    <x v="65"/>
    <n v="1817"/>
    <x v="4"/>
    <x v="3"/>
    <x v="2"/>
    <n v="4"/>
    <n v="0"/>
    <s v="Card"/>
    <x v="2"/>
    <x v="3"/>
    <n v="10"/>
    <n v="1"/>
    <n v="0"/>
    <s v="Repeat"/>
    <x v="1"/>
    <n v="38"/>
    <n v="0"/>
  </r>
  <r>
    <n v="1283"/>
    <x v="21"/>
    <n v="1612"/>
    <x v="2"/>
    <x v="3"/>
    <x v="3"/>
    <n v="3"/>
    <n v="0"/>
    <s v="UPI"/>
    <x v="2"/>
    <x v="3"/>
    <n v="6"/>
    <n v="0"/>
    <n v="1"/>
    <s v="New"/>
    <x v="2"/>
    <n v="43"/>
    <n v="0"/>
  </r>
  <r>
    <n v="1284"/>
    <x v="111"/>
    <n v="1610"/>
    <x v="1"/>
    <x v="0"/>
    <x v="1"/>
    <n v="1"/>
    <n v="4432"/>
    <s v="Card"/>
    <x v="0"/>
    <x v="2"/>
    <n v="4"/>
    <n v="1"/>
    <n v="1"/>
    <s v="Repeat"/>
    <x v="4"/>
    <n v="48"/>
    <n v="1"/>
  </r>
  <r>
    <n v="1285"/>
    <x v="172"/>
    <n v="1327"/>
    <x v="4"/>
    <x v="0"/>
    <x v="3"/>
    <n v="3"/>
    <n v="0"/>
    <s v="COD"/>
    <x v="2"/>
    <x v="3"/>
    <n v="9"/>
    <n v="1"/>
    <n v="0"/>
    <s v="Repeat"/>
    <x v="2"/>
    <n v="44"/>
    <n v="0"/>
  </r>
  <r>
    <n v="1286"/>
    <x v="158"/>
    <n v="1218"/>
    <x v="1"/>
    <x v="3"/>
    <x v="3"/>
    <n v="1"/>
    <n v="0"/>
    <s v="UPI"/>
    <x v="2"/>
    <x v="0"/>
    <n v="3"/>
    <n v="1"/>
    <n v="0"/>
    <s v="Repeat"/>
    <x v="1"/>
    <n v="38"/>
    <n v="0"/>
  </r>
  <r>
    <n v="1287"/>
    <x v="72"/>
    <n v="1799"/>
    <x v="1"/>
    <x v="4"/>
    <x v="0"/>
    <n v="1"/>
    <n v="0"/>
    <s v="Card"/>
    <x v="2"/>
    <x v="0"/>
    <n v="8"/>
    <n v="1"/>
    <n v="1"/>
    <s v="New"/>
    <x v="2"/>
    <n v="41"/>
    <n v="0"/>
  </r>
  <r>
    <n v="1288"/>
    <x v="100"/>
    <n v="1155"/>
    <x v="1"/>
    <x v="0"/>
    <x v="0"/>
    <n v="3"/>
    <n v="0"/>
    <s v="Wallet"/>
    <x v="1"/>
    <x v="3"/>
    <n v="2"/>
    <n v="0"/>
    <n v="1"/>
    <s v="New"/>
    <x v="1"/>
    <n v="37"/>
    <n v="0"/>
  </r>
  <r>
    <n v="1289"/>
    <x v="42"/>
    <n v="1494"/>
    <x v="2"/>
    <x v="1"/>
    <x v="1"/>
    <n v="4"/>
    <n v="0"/>
    <s v="UPI"/>
    <x v="1"/>
    <x v="1"/>
    <n v="6"/>
    <n v="1"/>
    <n v="1"/>
    <s v="New"/>
    <x v="2"/>
    <n v="44"/>
    <n v="0"/>
  </r>
  <r>
    <n v="1290"/>
    <x v="19"/>
    <n v="1328"/>
    <x v="2"/>
    <x v="0"/>
    <x v="3"/>
    <n v="1"/>
    <n v="0"/>
    <s v="Card"/>
    <x v="1"/>
    <x v="1"/>
    <n v="3"/>
    <n v="1"/>
    <n v="1"/>
    <s v="New"/>
    <x v="0"/>
    <n v="33"/>
    <n v="0"/>
  </r>
  <r>
    <n v="1291"/>
    <x v="43"/>
    <n v="1474"/>
    <x v="1"/>
    <x v="4"/>
    <x v="1"/>
    <n v="2"/>
    <n v="0"/>
    <s v="COD"/>
    <x v="2"/>
    <x v="1"/>
    <n v="3"/>
    <n v="1"/>
    <n v="1"/>
    <s v="New"/>
    <x v="4"/>
    <n v="46"/>
    <n v="0"/>
  </r>
  <r>
    <n v="1292"/>
    <x v="59"/>
    <n v="1298"/>
    <x v="4"/>
    <x v="0"/>
    <x v="2"/>
    <n v="5"/>
    <n v="1210"/>
    <s v="UPI"/>
    <x v="0"/>
    <x v="1"/>
    <n v="4"/>
    <n v="0"/>
    <n v="1"/>
    <s v="Repeat"/>
    <x v="0"/>
    <n v="34"/>
    <n v="1"/>
  </r>
  <r>
    <n v="1293"/>
    <x v="91"/>
    <n v="1197"/>
    <x v="0"/>
    <x v="4"/>
    <x v="1"/>
    <n v="1"/>
    <n v="0"/>
    <s v="Card"/>
    <x v="1"/>
    <x v="2"/>
    <n v="7"/>
    <n v="0"/>
    <n v="0"/>
    <s v="Repeat"/>
    <x v="3"/>
    <n v="52"/>
    <n v="0"/>
  </r>
  <r>
    <n v="1294"/>
    <x v="12"/>
    <n v="1752"/>
    <x v="2"/>
    <x v="4"/>
    <x v="3"/>
    <n v="3"/>
    <n v="11634"/>
    <s v="COD"/>
    <x v="0"/>
    <x v="0"/>
    <n v="2"/>
    <n v="0"/>
    <n v="0"/>
    <s v="New"/>
    <x v="1"/>
    <n v="38"/>
    <n v="1"/>
  </r>
  <r>
    <n v="1295"/>
    <x v="45"/>
    <n v="1055"/>
    <x v="2"/>
    <x v="1"/>
    <x v="2"/>
    <n v="5"/>
    <n v="0"/>
    <s v="Wallet"/>
    <x v="2"/>
    <x v="3"/>
    <n v="10"/>
    <n v="0"/>
    <n v="1"/>
    <s v="Repeat"/>
    <x v="6"/>
    <n v="2"/>
    <n v="0"/>
  </r>
  <r>
    <n v="1296"/>
    <x v="109"/>
    <n v="1347"/>
    <x v="3"/>
    <x v="4"/>
    <x v="1"/>
    <n v="4"/>
    <n v="0"/>
    <s v="UPI"/>
    <x v="1"/>
    <x v="1"/>
    <n v="9"/>
    <n v="1"/>
    <n v="1"/>
    <s v="Repeat"/>
    <x v="4"/>
    <n v="46"/>
    <n v="0"/>
  </r>
  <r>
    <n v="1297"/>
    <x v="42"/>
    <n v="1637"/>
    <x v="1"/>
    <x v="3"/>
    <x v="2"/>
    <n v="2"/>
    <n v="0"/>
    <s v="Card"/>
    <x v="1"/>
    <x v="3"/>
    <n v="7"/>
    <n v="1"/>
    <n v="0"/>
    <s v="Repeat"/>
    <x v="2"/>
    <n v="44"/>
    <n v="0"/>
  </r>
  <r>
    <n v="1298"/>
    <x v="71"/>
    <n v="1181"/>
    <x v="2"/>
    <x v="0"/>
    <x v="2"/>
    <n v="5"/>
    <n v="0"/>
    <s v="UPI"/>
    <x v="1"/>
    <x v="2"/>
    <n v="2"/>
    <n v="0"/>
    <n v="0"/>
    <s v="Repeat"/>
    <x v="3"/>
    <n v="49"/>
    <n v="0"/>
  </r>
  <r>
    <n v="1299"/>
    <x v="111"/>
    <n v="1056"/>
    <x v="0"/>
    <x v="3"/>
    <x v="3"/>
    <n v="5"/>
    <n v="0"/>
    <s v="Card"/>
    <x v="2"/>
    <x v="0"/>
    <n v="6"/>
    <n v="0"/>
    <n v="1"/>
    <s v="Repeat"/>
    <x v="4"/>
    <n v="48"/>
    <n v="0"/>
  </r>
  <r>
    <n v="1300"/>
    <x v="26"/>
    <n v="1688"/>
    <x v="2"/>
    <x v="1"/>
    <x v="1"/>
    <n v="1"/>
    <n v="0"/>
    <s v="COD"/>
    <x v="1"/>
    <x v="2"/>
    <n v="8"/>
    <n v="0"/>
    <n v="1"/>
    <s v="New"/>
    <x v="2"/>
    <n v="42"/>
    <n v="0"/>
  </r>
  <r>
    <n v="1301"/>
    <x v="122"/>
    <n v="1594"/>
    <x v="2"/>
    <x v="0"/>
    <x v="3"/>
    <n v="5"/>
    <n v="4265"/>
    <s v="UPI"/>
    <x v="0"/>
    <x v="3"/>
    <n v="6"/>
    <n v="1"/>
    <n v="0"/>
    <s v="New"/>
    <x v="3"/>
    <n v="53"/>
    <n v="1"/>
  </r>
  <r>
    <n v="1302"/>
    <x v="86"/>
    <n v="1041"/>
    <x v="2"/>
    <x v="1"/>
    <x v="3"/>
    <n v="2"/>
    <n v="3988"/>
    <s v="COD"/>
    <x v="0"/>
    <x v="3"/>
    <n v="6"/>
    <n v="1"/>
    <n v="1"/>
    <s v="New"/>
    <x v="6"/>
    <n v="1"/>
    <n v="1"/>
  </r>
  <r>
    <n v="1303"/>
    <x v="157"/>
    <n v="1737"/>
    <x v="1"/>
    <x v="4"/>
    <x v="0"/>
    <n v="1"/>
    <n v="982"/>
    <s v="Wallet"/>
    <x v="0"/>
    <x v="1"/>
    <n v="10"/>
    <n v="0"/>
    <n v="1"/>
    <s v="Repeat"/>
    <x v="2"/>
    <n v="41"/>
    <n v="1"/>
  </r>
  <r>
    <n v="1304"/>
    <x v="58"/>
    <n v="1608"/>
    <x v="4"/>
    <x v="3"/>
    <x v="2"/>
    <n v="1"/>
    <n v="0"/>
    <s v="Card"/>
    <x v="1"/>
    <x v="2"/>
    <n v="5"/>
    <n v="1"/>
    <n v="1"/>
    <s v="New"/>
    <x v="5"/>
    <n v="31"/>
    <n v="0"/>
  </r>
  <r>
    <n v="1305"/>
    <x v="80"/>
    <n v="1944"/>
    <x v="4"/>
    <x v="4"/>
    <x v="3"/>
    <n v="4"/>
    <n v="7968"/>
    <s v="Card"/>
    <x v="0"/>
    <x v="3"/>
    <n v="2"/>
    <n v="1"/>
    <n v="0"/>
    <s v="New"/>
    <x v="6"/>
    <n v="2"/>
    <n v="1"/>
  </r>
  <r>
    <n v="1306"/>
    <x v="40"/>
    <n v="1571"/>
    <x v="4"/>
    <x v="3"/>
    <x v="2"/>
    <n v="4"/>
    <n v="8364"/>
    <s v="Card"/>
    <x v="0"/>
    <x v="2"/>
    <n v="5"/>
    <n v="0"/>
    <n v="0"/>
    <s v="Repeat"/>
    <x v="0"/>
    <n v="32"/>
    <n v="1"/>
  </r>
  <r>
    <n v="1307"/>
    <x v="78"/>
    <n v="1466"/>
    <x v="0"/>
    <x v="4"/>
    <x v="2"/>
    <n v="3"/>
    <n v="0"/>
    <s v="COD"/>
    <x v="2"/>
    <x v="3"/>
    <n v="2"/>
    <n v="0"/>
    <n v="0"/>
    <s v="Repeat"/>
    <x v="3"/>
    <n v="52"/>
    <n v="0"/>
  </r>
  <r>
    <n v="1308"/>
    <x v="1"/>
    <n v="1168"/>
    <x v="0"/>
    <x v="0"/>
    <x v="1"/>
    <n v="4"/>
    <n v="11428"/>
    <s v="COD"/>
    <x v="0"/>
    <x v="2"/>
    <n v="7"/>
    <n v="1"/>
    <n v="1"/>
    <s v="Repeat"/>
    <x v="1"/>
    <n v="39"/>
    <n v="1"/>
  </r>
  <r>
    <n v="1309"/>
    <x v="169"/>
    <n v="1914"/>
    <x v="1"/>
    <x v="1"/>
    <x v="1"/>
    <n v="1"/>
    <n v="0"/>
    <s v="COD"/>
    <x v="1"/>
    <x v="3"/>
    <n v="10"/>
    <n v="1"/>
    <n v="0"/>
    <s v="Repeat"/>
    <x v="2"/>
    <n v="43"/>
    <n v="0"/>
  </r>
  <r>
    <n v="1310"/>
    <x v="89"/>
    <n v="1435"/>
    <x v="3"/>
    <x v="3"/>
    <x v="0"/>
    <n v="1"/>
    <n v="3765"/>
    <s v="COD"/>
    <x v="0"/>
    <x v="3"/>
    <n v="7"/>
    <n v="0"/>
    <n v="1"/>
    <s v="New"/>
    <x v="0"/>
    <n v="35"/>
    <n v="1"/>
  </r>
  <r>
    <n v="1311"/>
    <x v="71"/>
    <n v="1066"/>
    <x v="0"/>
    <x v="0"/>
    <x v="3"/>
    <n v="1"/>
    <n v="0"/>
    <s v="COD"/>
    <x v="2"/>
    <x v="0"/>
    <n v="3"/>
    <n v="0"/>
    <n v="1"/>
    <s v="New"/>
    <x v="3"/>
    <n v="49"/>
    <n v="0"/>
  </r>
  <r>
    <n v="1312"/>
    <x v="46"/>
    <n v="1670"/>
    <x v="4"/>
    <x v="4"/>
    <x v="3"/>
    <n v="2"/>
    <n v="0"/>
    <s v="Card"/>
    <x v="2"/>
    <x v="3"/>
    <n v="7"/>
    <n v="0"/>
    <n v="1"/>
    <s v="Repeat"/>
    <x v="5"/>
    <n v="30"/>
    <n v="0"/>
  </r>
  <r>
    <n v="1313"/>
    <x v="1"/>
    <n v="1561"/>
    <x v="3"/>
    <x v="4"/>
    <x v="1"/>
    <n v="4"/>
    <n v="15272"/>
    <s v="UPI"/>
    <x v="0"/>
    <x v="3"/>
    <n v="1"/>
    <n v="1"/>
    <n v="1"/>
    <s v="Repeat"/>
    <x v="1"/>
    <n v="39"/>
    <n v="1"/>
  </r>
  <r>
    <n v="1314"/>
    <x v="42"/>
    <n v="1468"/>
    <x v="1"/>
    <x v="4"/>
    <x v="2"/>
    <n v="4"/>
    <n v="12728"/>
    <s v="Card"/>
    <x v="0"/>
    <x v="0"/>
    <n v="9"/>
    <n v="1"/>
    <n v="1"/>
    <s v="New"/>
    <x v="2"/>
    <n v="44"/>
    <n v="1"/>
  </r>
  <r>
    <n v="1315"/>
    <x v="132"/>
    <n v="1462"/>
    <x v="1"/>
    <x v="4"/>
    <x v="2"/>
    <n v="3"/>
    <n v="0"/>
    <s v="COD"/>
    <x v="1"/>
    <x v="1"/>
    <n v="1"/>
    <n v="0"/>
    <n v="1"/>
    <s v="Repeat"/>
    <x v="2"/>
    <n v="42"/>
    <n v="0"/>
  </r>
  <r>
    <n v="1316"/>
    <x v="78"/>
    <n v="1992"/>
    <x v="0"/>
    <x v="0"/>
    <x v="3"/>
    <n v="2"/>
    <n v="5932"/>
    <s v="Wallet"/>
    <x v="0"/>
    <x v="3"/>
    <n v="7"/>
    <n v="1"/>
    <n v="0"/>
    <s v="New"/>
    <x v="3"/>
    <n v="52"/>
    <n v="1"/>
  </r>
  <r>
    <n v="1317"/>
    <x v="28"/>
    <n v="1147"/>
    <x v="0"/>
    <x v="0"/>
    <x v="2"/>
    <n v="5"/>
    <n v="0"/>
    <s v="Card"/>
    <x v="2"/>
    <x v="1"/>
    <n v="3"/>
    <n v="0"/>
    <n v="1"/>
    <s v="Repeat"/>
    <x v="0"/>
    <n v="33"/>
    <n v="0"/>
  </r>
  <r>
    <n v="1318"/>
    <x v="141"/>
    <n v="1193"/>
    <x v="0"/>
    <x v="3"/>
    <x v="1"/>
    <n v="5"/>
    <n v="0"/>
    <s v="Card"/>
    <x v="2"/>
    <x v="0"/>
    <n v="8"/>
    <n v="1"/>
    <n v="1"/>
    <s v="Repeat"/>
    <x v="1"/>
    <n v="39"/>
    <n v="0"/>
  </r>
  <r>
    <n v="1319"/>
    <x v="107"/>
    <n v="1928"/>
    <x v="2"/>
    <x v="2"/>
    <x v="2"/>
    <n v="5"/>
    <n v="20680"/>
    <s v="UPI"/>
    <x v="0"/>
    <x v="0"/>
    <n v="1"/>
    <n v="1"/>
    <n v="0"/>
    <s v="New"/>
    <x v="4"/>
    <n v="45"/>
    <n v="1"/>
  </r>
  <r>
    <n v="1320"/>
    <x v="101"/>
    <n v="1348"/>
    <x v="0"/>
    <x v="2"/>
    <x v="0"/>
    <n v="3"/>
    <n v="6723"/>
    <s v="Wallet"/>
    <x v="0"/>
    <x v="3"/>
    <n v="10"/>
    <n v="1"/>
    <n v="0"/>
    <s v="New"/>
    <x v="3"/>
    <n v="49"/>
    <n v="1"/>
  </r>
  <r>
    <n v="1321"/>
    <x v="78"/>
    <n v="1590"/>
    <x v="1"/>
    <x v="0"/>
    <x v="3"/>
    <n v="1"/>
    <n v="4693"/>
    <s v="Wallet"/>
    <x v="0"/>
    <x v="2"/>
    <n v="1"/>
    <n v="0"/>
    <n v="0"/>
    <s v="New"/>
    <x v="3"/>
    <n v="52"/>
    <n v="1"/>
  </r>
  <r>
    <n v="1322"/>
    <x v="117"/>
    <n v="1399"/>
    <x v="2"/>
    <x v="2"/>
    <x v="3"/>
    <n v="1"/>
    <n v="0"/>
    <s v="COD"/>
    <x v="2"/>
    <x v="1"/>
    <n v="6"/>
    <n v="1"/>
    <n v="0"/>
    <s v="Repeat"/>
    <x v="5"/>
    <n v="31"/>
    <n v="0"/>
  </r>
  <r>
    <n v="1323"/>
    <x v="126"/>
    <n v="1575"/>
    <x v="0"/>
    <x v="3"/>
    <x v="2"/>
    <n v="1"/>
    <n v="0"/>
    <s v="Wallet"/>
    <x v="2"/>
    <x v="0"/>
    <n v="9"/>
    <n v="1"/>
    <n v="1"/>
    <s v="Repeat"/>
    <x v="4"/>
    <n v="46"/>
    <n v="0"/>
  </r>
  <r>
    <n v="1324"/>
    <x v="16"/>
    <n v="1376"/>
    <x v="1"/>
    <x v="4"/>
    <x v="3"/>
    <n v="5"/>
    <n v="0"/>
    <s v="COD"/>
    <x v="1"/>
    <x v="1"/>
    <n v="3"/>
    <n v="0"/>
    <n v="1"/>
    <s v="New"/>
    <x v="0"/>
    <n v="32"/>
    <n v="0"/>
  </r>
  <r>
    <n v="1325"/>
    <x v="132"/>
    <n v="1852"/>
    <x v="0"/>
    <x v="1"/>
    <x v="2"/>
    <n v="4"/>
    <n v="0"/>
    <s v="Wallet"/>
    <x v="1"/>
    <x v="3"/>
    <n v="5"/>
    <n v="1"/>
    <n v="1"/>
    <s v="New"/>
    <x v="2"/>
    <n v="42"/>
    <n v="0"/>
  </r>
  <r>
    <n v="1326"/>
    <x v="62"/>
    <n v="1563"/>
    <x v="1"/>
    <x v="2"/>
    <x v="1"/>
    <n v="5"/>
    <n v="0"/>
    <s v="Card"/>
    <x v="2"/>
    <x v="1"/>
    <n v="8"/>
    <n v="0"/>
    <n v="1"/>
    <s v="Repeat"/>
    <x v="2"/>
    <n v="43"/>
    <n v="0"/>
  </r>
  <r>
    <n v="1327"/>
    <x v="102"/>
    <n v="1155"/>
    <x v="2"/>
    <x v="1"/>
    <x v="2"/>
    <n v="1"/>
    <n v="0"/>
    <s v="COD"/>
    <x v="1"/>
    <x v="1"/>
    <n v="3"/>
    <n v="0"/>
    <n v="0"/>
    <s v="Repeat"/>
    <x v="3"/>
    <n v="50"/>
    <n v="0"/>
  </r>
  <r>
    <n v="1328"/>
    <x v="171"/>
    <n v="1118"/>
    <x v="0"/>
    <x v="0"/>
    <x v="3"/>
    <n v="5"/>
    <n v="24240"/>
    <s v="COD"/>
    <x v="0"/>
    <x v="0"/>
    <n v="5"/>
    <n v="0"/>
    <n v="1"/>
    <s v="Repeat"/>
    <x v="1"/>
    <n v="36"/>
    <n v="1"/>
  </r>
  <r>
    <n v="1329"/>
    <x v="163"/>
    <n v="1607"/>
    <x v="0"/>
    <x v="2"/>
    <x v="0"/>
    <n v="1"/>
    <n v="0"/>
    <s v="UPI"/>
    <x v="2"/>
    <x v="2"/>
    <n v="5"/>
    <n v="1"/>
    <n v="0"/>
    <s v="New"/>
    <x v="4"/>
    <n v="45"/>
    <n v="0"/>
  </r>
  <r>
    <n v="1330"/>
    <x v="73"/>
    <n v="1751"/>
    <x v="4"/>
    <x v="2"/>
    <x v="2"/>
    <n v="5"/>
    <n v="8935"/>
    <s v="Card"/>
    <x v="0"/>
    <x v="1"/>
    <n v="9"/>
    <n v="0"/>
    <n v="1"/>
    <s v="New"/>
    <x v="4"/>
    <n v="45"/>
    <n v="1"/>
  </r>
  <r>
    <n v="1331"/>
    <x v="30"/>
    <n v="1120"/>
    <x v="4"/>
    <x v="4"/>
    <x v="1"/>
    <n v="3"/>
    <n v="8916"/>
    <s v="Card"/>
    <x v="0"/>
    <x v="3"/>
    <n v="10"/>
    <n v="0"/>
    <n v="0"/>
    <s v="Repeat"/>
    <x v="3"/>
    <n v="51"/>
    <n v="1"/>
  </r>
  <r>
    <n v="1332"/>
    <x v="43"/>
    <n v="1278"/>
    <x v="1"/>
    <x v="1"/>
    <x v="1"/>
    <n v="5"/>
    <n v="15375"/>
    <s v="Card"/>
    <x v="0"/>
    <x v="2"/>
    <n v="8"/>
    <n v="1"/>
    <n v="1"/>
    <s v="Repeat"/>
    <x v="4"/>
    <n v="46"/>
    <n v="1"/>
  </r>
  <r>
    <n v="1333"/>
    <x v="154"/>
    <n v="1993"/>
    <x v="1"/>
    <x v="3"/>
    <x v="3"/>
    <n v="4"/>
    <n v="6524"/>
    <s v="COD"/>
    <x v="0"/>
    <x v="1"/>
    <n v="2"/>
    <n v="1"/>
    <n v="1"/>
    <s v="New"/>
    <x v="2"/>
    <n v="42"/>
    <n v="1"/>
  </r>
  <r>
    <n v="1334"/>
    <x v="84"/>
    <n v="1577"/>
    <x v="4"/>
    <x v="2"/>
    <x v="1"/>
    <n v="2"/>
    <n v="4964"/>
    <s v="Wallet"/>
    <x v="0"/>
    <x v="0"/>
    <n v="5"/>
    <n v="0"/>
    <n v="0"/>
    <s v="Repeat"/>
    <x v="2"/>
    <n v="41"/>
    <n v="1"/>
  </r>
  <r>
    <n v="1335"/>
    <x v="2"/>
    <n v="1725"/>
    <x v="0"/>
    <x v="1"/>
    <x v="2"/>
    <n v="3"/>
    <n v="0"/>
    <s v="Card"/>
    <x v="1"/>
    <x v="1"/>
    <n v="5"/>
    <n v="1"/>
    <n v="0"/>
    <s v="New"/>
    <x v="2"/>
    <n v="41"/>
    <n v="0"/>
  </r>
  <r>
    <n v="1336"/>
    <x v="27"/>
    <n v="1967"/>
    <x v="3"/>
    <x v="0"/>
    <x v="3"/>
    <n v="5"/>
    <n v="0"/>
    <s v="Wallet"/>
    <x v="1"/>
    <x v="3"/>
    <n v="2"/>
    <n v="1"/>
    <n v="1"/>
    <s v="New"/>
    <x v="1"/>
    <n v="37"/>
    <n v="0"/>
  </r>
  <r>
    <n v="1337"/>
    <x v="85"/>
    <n v="1519"/>
    <x v="0"/>
    <x v="1"/>
    <x v="0"/>
    <n v="2"/>
    <n v="0"/>
    <s v="UPI"/>
    <x v="2"/>
    <x v="3"/>
    <n v="7"/>
    <n v="0"/>
    <n v="0"/>
    <s v="New"/>
    <x v="3"/>
    <n v="50"/>
    <n v="0"/>
  </r>
  <r>
    <n v="1338"/>
    <x v="68"/>
    <n v="1745"/>
    <x v="4"/>
    <x v="3"/>
    <x v="0"/>
    <n v="5"/>
    <n v="0"/>
    <s v="COD"/>
    <x v="1"/>
    <x v="2"/>
    <n v="9"/>
    <n v="1"/>
    <n v="0"/>
    <s v="New"/>
    <x v="0"/>
    <n v="32"/>
    <n v="0"/>
  </r>
  <r>
    <n v="1339"/>
    <x v="161"/>
    <n v="1087"/>
    <x v="0"/>
    <x v="2"/>
    <x v="2"/>
    <n v="2"/>
    <n v="7356"/>
    <s v="UPI"/>
    <x v="0"/>
    <x v="1"/>
    <n v="1"/>
    <n v="1"/>
    <n v="0"/>
    <s v="New"/>
    <x v="2"/>
    <n v="41"/>
    <n v="1"/>
  </r>
  <r>
    <n v="1340"/>
    <x v="40"/>
    <n v="1159"/>
    <x v="0"/>
    <x v="4"/>
    <x v="3"/>
    <n v="3"/>
    <n v="0"/>
    <s v="Card"/>
    <x v="2"/>
    <x v="1"/>
    <n v="1"/>
    <n v="0"/>
    <n v="1"/>
    <s v="Repeat"/>
    <x v="0"/>
    <n v="32"/>
    <n v="0"/>
  </r>
  <r>
    <n v="1341"/>
    <x v="127"/>
    <n v="1829"/>
    <x v="0"/>
    <x v="0"/>
    <x v="0"/>
    <n v="2"/>
    <n v="0"/>
    <s v="Wallet"/>
    <x v="1"/>
    <x v="3"/>
    <n v="7"/>
    <n v="0"/>
    <n v="1"/>
    <s v="Repeat"/>
    <x v="5"/>
    <n v="29"/>
    <n v="0"/>
  </r>
  <r>
    <n v="1342"/>
    <x v="98"/>
    <n v="1852"/>
    <x v="0"/>
    <x v="2"/>
    <x v="3"/>
    <n v="4"/>
    <n v="0"/>
    <s v="COD"/>
    <x v="2"/>
    <x v="1"/>
    <n v="8"/>
    <n v="0"/>
    <n v="0"/>
    <s v="New"/>
    <x v="3"/>
    <n v="51"/>
    <n v="0"/>
  </r>
  <r>
    <n v="1343"/>
    <x v="175"/>
    <n v="1518"/>
    <x v="2"/>
    <x v="2"/>
    <x v="0"/>
    <n v="2"/>
    <n v="7960"/>
    <s v="COD"/>
    <x v="0"/>
    <x v="0"/>
    <n v="6"/>
    <n v="0"/>
    <n v="0"/>
    <s v="New"/>
    <x v="5"/>
    <n v="31"/>
    <n v="1"/>
  </r>
  <r>
    <n v="1344"/>
    <x v="17"/>
    <n v="1307"/>
    <x v="1"/>
    <x v="3"/>
    <x v="0"/>
    <n v="3"/>
    <n v="0"/>
    <s v="Card"/>
    <x v="2"/>
    <x v="0"/>
    <n v="2"/>
    <n v="1"/>
    <n v="1"/>
    <s v="Repeat"/>
    <x v="1"/>
    <n v="38"/>
    <n v="0"/>
  </r>
  <r>
    <n v="1345"/>
    <x v="110"/>
    <n v="1644"/>
    <x v="3"/>
    <x v="0"/>
    <x v="0"/>
    <n v="5"/>
    <n v="0"/>
    <s v="UPI"/>
    <x v="2"/>
    <x v="1"/>
    <n v="2"/>
    <n v="1"/>
    <n v="1"/>
    <s v="Repeat"/>
    <x v="3"/>
    <n v="52"/>
    <n v="0"/>
  </r>
  <r>
    <n v="1346"/>
    <x v="137"/>
    <n v="1053"/>
    <x v="2"/>
    <x v="1"/>
    <x v="2"/>
    <n v="4"/>
    <n v="0"/>
    <s v="COD"/>
    <x v="2"/>
    <x v="2"/>
    <n v="7"/>
    <n v="1"/>
    <n v="0"/>
    <s v="New"/>
    <x v="1"/>
    <n v="40"/>
    <n v="0"/>
  </r>
  <r>
    <n v="1347"/>
    <x v="145"/>
    <n v="1593"/>
    <x v="3"/>
    <x v="0"/>
    <x v="3"/>
    <n v="4"/>
    <n v="7196"/>
    <s v="COD"/>
    <x v="0"/>
    <x v="3"/>
    <n v="8"/>
    <n v="1"/>
    <n v="1"/>
    <s v="Repeat"/>
    <x v="4"/>
    <n v="48"/>
    <n v="1"/>
  </r>
  <r>
    <n v="1348"/>
    <x v="52"/>
    <n v="1342"/>
    <x v="1"/>
    <x v="1"/>
    <x v="2"/>
    <n v="3"/>
    <n v="0"/>
    <s v="Card"/>
    <x v="2"/>
    <x v="2"/>
    <n v="6"/>
    <n v="1"/>
    <n v="1"/>
    <s v="Repeat"/>
    <x v="4"/>
    <n v="44"/>
    <n v="0"/>
  </r>
  <r>
    <n v="1349"/>
    <x v="115"/>
    <n v="1507"/>
    <x v="3"/>
    <x v="3"/>
    <x v="1"/>
    <n v="1"/>
    <n v="0"/>
    <s v="COD"/>
    <x v="2"/>
    <x v="0"/>
    <n v="4"/>
    <n v="1"/>
    <n v="1"/>
    <s v="Repeat"/>
    <x v="4"/>
    <n v="48"/>
    <n v="0"/>
  </r>
  <r>
    <n v="1350"/>
    <x v="44"/>
    <n v="1745"/>
    <x v="4"/>
    <x v="4"/>
    <x v="2"/>
    <n v="4"/>
    <n v="0"/>
    <s v="Wallet"/>
    <x v="1"/>
    <x v="3"/>
    <n v="7"/>
    <n v="1"/>
    <n v="0"/>
    <s v="New"/>
    <x v="4"/>
    <n v="47"/>
    <n v="0"/>
  </r>
  <r>
    <n v="1351"/>
    <x v="120"/>
    <n v="1914"/>
    <x v="4"/>
    <x v="3"/>
    <x v="2"/>
    <n v="3"/>
    <n v="0"/>
    <s v="Wallet"/>
    <x v="1"/>
    <x v="0"/>
    <n v="2"/>
    <n v="0"/>
    <n v="1"/>
    <s v="New"/>
    <x v="6"/>
    <n v="1"/>
    <n v="0"/>
  </r>
  <r>
    <n v="1352"/>
    <x v="154"/>
    <n v="1769"/>
    <x v="2"/>
    <x v="2"/>
    <x v="1"/>
    <n v="3"/>
    <n v="0"/>
    <s v="Wallet"/>
    <x v="2"/>
    <x v="3"/>
    <n v="6"/>
    <n v="1"/>
    <n v="1"/>
    <s v="New"/>
    <x v="2"/>
    <n v="42"/>
    <n v="0"/>
  </r>
  <r>
    <n v="1353"/>
    <x v="78"/>
    <n v="1875"/>
    <x v="2"/>
    <x v="4"/>
    <x v="2"/>
    <n v="5"/>
    <n v="0"/>
    <s v="Card"/>
    <x v="2"/>
    <x v="2"/>
    <n v="3"/>
    <n v="0"/>
    <n v="0"/>
    <s v="Repeat"/>
    <x v="3"/>
    <n v="52"/>
    <n v="0"/>
  </r>
  <r>
    <n v="1354"/>
    <x v="1"/>
    <n v="1047"/>
    <x v="2"/>
    <x v="1"/>
    <x v="0"/>
    <n v="3"/>
    <n v="0"/>
    <s v="Wallet"/>
    <x v="2"/>
    <x v="2"/>
    <n v="1"/>
    <n v="1"/>
    <n v="1"/>
    <s v="Repeat"/>
    <x v="1"/>
    <n v="39"/>
    <n v="0"/>
  </r>
  <r>
    <n v="1355"/>
    <x v="56"/>
    <n v="1032"/>
    <x v="2"/>
    <x v="3"/>
    <x v="0"/>
    <n v="3"/>
    <n v="0"/>
    <s v="Wallet"/>
    <x v="1"/>
    <x v="0"/>
    <n v="10"/>
    <n v="0"/>
    <n v="1"/>
    <s v="Repeat"/>
    <x v="6"/>
    <n v="2"/>
    <n v="0"/>
  </r>
  <r>
    <n v="1356"/>
    <x v="111"/>
    <n v="1899"/>
    <x v="1"/>
    <x v="0"/>
    <x v="0"/>
    <n v="2"/>
    <n v="0"/>
    <s v="COD"/>
    <x v="1"/>
    <x v="0"/>
    <n v="2"/>
    <n v="1"/>
    <n v="1"/>
    <s v="Repeat"/>
    <x v="4"/>
    <n v="48"/>
    <n v="0"/>
  </r>
  <r>
    <n v="1357"/>
    <x v="43"/>
    <n v="1567"/>
    <x v="4"/>
    <x v="1"/>
    <x v="0"/>
    <n v="1"/>
    <n v="4154"/>
    <s v="Wallet"/>
    <x v="0"/>
    <x v="1"/>
    <n v="5"/>
    <n v="0"/>
    <n v="0"/>
    <s v="Repeat"/>
    <x v="4"/>
    <n v="46"/>
    <n v="1"/>
  </r>
  <r>
    <n v="1358"/>
    <x v="159"/>
    <n v="1452"/>
    <x v="1"/>
    <x v="4"/>
    <x v="0"/>
    <n v="1"/>
    <n v="3199"/>
    <s v="Wallet"/>
    <x v="0"/>
    <x v="0"/>
    <n v="5"/>
    <n v="1"/>
    <n v="1"/>
    <s v="New"/>
    <x v="3"/>
    <n v="49"/>
    <n v="1"/>
  </r>
  <r>
    <n v="1359"/>
    <x v="152"/>
    <n v="1462"/>
    <x v="0"/>
    <x v="2"/>
    <x v="3"/>
    <n v="2"/>
    <n v="8588"/>
    <s v="UPI"/>
    <x v="0"/>
    <x v="2"/>
    <n v="4"/>
    <n v="0"/>
    <n v="0"/>
    <s v="New"/>
    <x v="2"/>
    <n v="42"/>
    <n v="1"/>
  </r>
  <r>
    <n v="1360"/>
    <x v="50"/>
    <n v="1524"/>
    <x v="1"/>
    <x v="4"/>
    <x v="0"/>
    <n v="2"/>
    <n v="0"/>
    <s v="Wallet"/>
    <x v="1"/>
    <x v="0"/>
    <n v="1"/>
    <n v="0"/>
    <n v="0"/>
    <s v="Repeat"/>
    <x v="3"/>
    <n v="53"/>
    <n v="0"/>
  </r>
  <r>
    <n v="1361"/>
    <x v="67"/>
    <n v="1675"/>
    <x v="3"/>
    <x v="4"/>
    <x v="0"/>
    <n v="1"/>
    <n v="0"/>
    <s v="Wallet"/>
    <x v="2"/>
    <x v="2"/>
    <n v="5"/>
    <n v="1"/>
    <n v="1"/>
    <s v="Repeat"/>
    <x v="1"/>
    <n v="36"/>
    <n v="0"/>
  </r>
  <r>
    <n v="1362"/>
    <x v="3"/>
    <n v="1603"/>
    <x v="0"/>
    <x v="3"/>
    <x v="3"/>
    <n v="2"/>
    <n v="3806"/>
    <s v="COD"/>
    <x v="0"/>
    <x v="0"/>
    <n v="8"/>
    <n v="0"/>
    <n v="0"/>
    <s v="Repeat"/>
    <x v="0"/>
    <n v="32"/>
    <n v="1"/>
  </r>
  <r>
    <n v="1363"/>
    <x v="77"/>
    <n v="1599"/>
    <x v="0"/>
    <x v="3"/>
    <x v="2"/>
    <n v="2"/>
    <n v="0"/>
    <s v="UPI"/>
    <x v="1"/>
    <x v="1"/>
    <n v="2"/>
    <n v="0"/>
    <n v="1"/>
    <s v="New"/>
    <x v="1"/>
    <n v="38"/>
    <n v="0"/>
  </r>
  <r>
    <n v="1364"/>
    <x v="105"/>
    <n v="1298"/>
    <x v="1"/>
    <x v="0"/>
    <x v="3"/>
    <n v="1"/>
    <n v="0"/>
    <s v="Wallet"/>
    <x v="2"/>
    <x v="0"/>
    <n v="8"/>
    <n v="0"/>
    <n v="1"/>
    <s v="Repeat"/>
    <x v="3"/>
    <n v="52"/>
    <n v="0"/>
  </r>
  <r>
    <n v="1365"/>
    <x v="166"/>
    <n v="1142"/>
    <x v="0"/>
    <x v="3"/>
    <x v="3"/>
    <n v="2"/>
    <n v="0"/>
    <s v="Wallet"/>
    <x v="1"/>
    <x v="1"/>
    <n v="4"/>
    <n v="1"/>
    <n v="1"/>
    <s v="New"/>
    <x v="1"/>
    <n v="39"/>
    <n v="0"/>
  </r>
  <r>
    <n v="1366"/>
    <x v="76"/>
    <n v="1760"/>
    <x v="1"/>
    <x v="4"/>
    <x v="0"/>
    <n v="5"/>
    <n v="22760"/>
    <s v="UPI"/>
    <x v="0"/>
    <x v="3"/>
    <n v="5"/>
    <n v="1"/>
    <n v="0"/>
    <s v="New"/>
    <x v="3"/>
    <n v="50"/>
    <n v="1"/>
  </r>
  <r>
    <n v="1367"/>
    <x v="176"/>
    <n v="1778"/>
    <x v="4"/>
    <x v="1"/>
    <x v="2"/>
    <n v="4"/>
    <n v="17040"/>
    <s v="Wallet"/>
    <x v="0"/>
    <x v="3"/>
    <n v="4"/>
    <n v="1"/>
    <n v="0"/>
    <s v="Repeat"/>
    <x v="3"/>
    <n v="51"/>
    <n v="1"/>
  </r>
  <r>
    <n v="1368"/>
    <x v="116"/>
    <n v="1091"/>
    <x v="0"/>
    <x v="1"/>
    <x v="0"/>
    <n v="5"/>
    <n v="0"/>
    <s v="COD"/>
    <x v="2"/>
    <x v="0"/>
    <n v="6"/>
    <n v="0"/>
    <n v="1"/>
    <s v="Repeat"/>
    <x v="3"/>
    <n v="50"/>
    <n v="0"/>
  </r>
  <r>
    <n v="1369"/>
    <x v="101"/>
    <n v="1381"/>
    <x v="3"/>
    <x v="3"/>
    <x v="3"/>
    <n v="3"/>
    <n v="0"/>
    <s v="Card"/>
    <x v="2"/>
    <x v="0"/>
    <n v="7"/>
    <n v="0"/>
    <n v="0"/>
    <s v="Repeat"/>
    <x v="3"/>
    <n v="49"/>
    <n v="0"/>
  </r>
  <r>
    <n v="1370"/>
    <x v="5"/>
    <n v="1557"/>
    <x v="1"/>
    <x v="4"/>
    <x v="1"/>
    <n v="2"/>
    <n v="0"/>
    <s v="Card"/>
    <x v="2"/>
    <x v="2"/>
    <n v="2"/>
    <n v="0"/>
    <n v="1"/>
    <s v="New"/>
    <x v="0"/>
    <n v="33"/>
    <n v="0"/>
  </r>
  <r>
    <n v="1371"/>
    <x v="88"/>
    <n v="1133"/>
    <x v="4"/>
    <x v="1"/>
    <x v="0"/>
    <n v="3"/>
    <n v="3012"/>
    <s v="UPI"/>
    <x v="0"/>
    <x v="2"/>
    <n v="1"/>
    <n v="0"/>
    <n v="1"/>
    <s v="New"/>
    <x v="1"/>
    <n v="37"/>
    <n v="1"/>
  </r>
  <r>
    <n v="1372"/>
    <x v="178"/>
    <n v="1875"/>
    <x v="1"/>
    <x v="1"/>
    <x v="3"/>
    <n v="5"/>
    <n v="0"/>
    <s v="UPI"/>
    <x v="2"/>
    <x v="2"/>
    <n v="10"/>
    <n v="0"/>
    <n v="0"/>
    <s v="Repeat"/>
    <x v="4"/>
    <n v="45"/>
    <n v="0"/>
  </r>
  <r>
    <n v="1373"/>
    <x v="32"/>
    <n v="1447"/>
    <x v="4"/>
    <x v="0"/>
    <x v="0"/>
    <n v="3"/>
    <n v="0"/>
    <s v="Wallet"/>
    <x v="1"/>
    <x v="1"/>
    <n v="3"/>
    <n v="0"/>
    <n v="0"/>
    <s v="Repeat"/>
    <x v="1"/>
    <n v="38"/>
    <n v="0"/>
  </r>
  <r>
    <n v="1374"/>
    <x v="128"/>
    <n v="1203"/>
    <x v="3"/>
    <x v="4"/>
    <x v="0"/>
    <n v="4"/>
    <n v="0"/>
    <s v="COD"/>
    <x v="2"/>
    <x v="1"/>
    <n v="3"/>
    <n v="0"/>
    <n v="1"/>
    <s v="Repeat"/>
    <x v="1"/>
    <n v="39"/>
    <n v="0"/>
  </r>
  <r>
    <n v="1375"/>
    <x v="73"/>
    <n v="1952"/>
    <x v="3"/>
    <x v="3"/>
    <x v="3"/>
    <n v="3"/>
    <n v="0"/>
    <s v="COD"/>
    <x v="1"/>
    <x v="3"/>
    <n v="5"/>
    <n v="1"/>
    <n v="0"/>
    <s v="Repeat"/>
    <x v="4"/>
    <n v="45"/>
    <n v="0"/>
  </r>
  <r>
    <n v="1376"/>
    <x v="119"/>
    <n v="1046"/>
    <x v="1"/>
    <x v="3"/>
    <x v="2"/>
    <n v="3"/>
    <n v="0"/>
    <s v="COD"/>
    <x v="1"/>
    <x v="0"/>
    <n v="4"/>
    <n v="0"/>
    <n v="1"/>
    <s v="Repeat"/>
    <x v="0"/>
    <n v="34"/>
    <n v="0"/>
  </r>
  <r>
    <n v="1377"/>
    <x v="132"/>
    <n v="1965"/>
    <x v="2"/>
    <x v="2"/>
    <x v="0"/>
    <n v="4"/>
    <n v="7856"/>
    <s v="Card"/>
    <x v="0"/>
    <x v="3"/>
    <n v="3"/>
    <n v="0"/>
    <n v="1"/>
    <s v="New"/>
    <x v="2"/>
    <n v="42"/>
    <n v="1"/>
  </r>
  <r>
    <n v="1378"/>
    <x v="158"/>
    <n v="1071"/>
    <x v="1"/>
    <x v="0"/>
    <x v="2"/>
    <n v="4"/>
    <n v="0"/>
    <s v="COD"/>
    <x v="2"/>
    <x v="3"/>
    <n v="3"/>
    <n v="1"/>
    <n v="0"/>
    <s v="New"/>
    <x v="1"/>
    <n v="38"/>
    <n v="0"/>
  </r>
  <r>
    <n v="1379"/>
    <x v="68"/>
    <n v="1301"/>
    <x v="3"/>
    <x v="3"/>
    <x v="1"/>
    <n v="3"/>
    <n v="14685"/>
    <s v="COD"/>
    <x v="0"/>
    <x v="1"/>
    <n v="5"/>
    <n v="0"/>
    <n v="0"/>
    <s v="Repeat"/>
    <x v="0"/>
    <n v="32"/>
    <n v="1"/>
  </r>
  <r>
    <n v="1380"/>
    <x v="117"/>
    <n v="1154"/>
    <x v="4"/>
    <x v="3"/>
    <x v="1"/>
    <n v="4"/>
    <n v="0"/>
    <s v="Card"/>
    <x v="2"/>
    <x v="2"/>
    <n v="3"/>
    <n v="1"/>
    <n v="0"/>
    <s v="Repeat"/>
    <x v="5"/>
    <n v="31"/>
    <n v="0"/>
  </r>
  <r>
    <n v="1381"/>
    <x v="125"/>
    <n v="1146"/>
    <x v="3"/>
    <x v="3"/>
    <x v="1"/>
    <n v="4"/>
    <n v="0"/>
    <s v="UPI"/>
    <x v="2"/>
    <x v="1"/>
    <n v="3"/>
    <n v="0"/>
    <n v="0"/>
    <s v="New"/>
    <x v="5"/>
    <n v="31"/>
    <n v="0"/>
  </r>
  <r>
    <n v="1382"/>
    <x v="154"/>
    <n v="1833"/>
    <x v="2"/>
    <x v="0"/>
    <x v="0"/>
    <n v="2"/>
    <n v="0"/>
    <s v="UPI"/>
    <x v="2"/>
    <x v="3"/>
    <n v="4"/>
    <n v="1"/>
    <n v="0"/>
    <s v="New"/>
    <x v="2"/>
    <n v="42"/>
    <n v="0"/>
  </r>
  <r>
    <n v="1383"/>
    <x v="112"/>
    <n v="1973"/>
    <x v="4"/>
    <x v="4"/>
    <x v="0"/>
    <n v="5"/>
    <n v="0"/>
    <s v="COD"/>
    <x v="2"/>
    <x v="2"/>
    <n v="4"/>
    <n v="1"/>
    <n v="1"/>
    <s v="Repeat"/>
    <x v="5"/>
    <n v="30"/>
    <n v="0"/>
  </r>
  <r>
    <n v="1384"/>
    <x v="174"/>
    <n v="1786"/>
    <x v="2"/>
    <x v="2"/>
    <x v="2"/>
    <n v="3"/>
    <n v="9444"/>
    <s v="Wallet"/>
    <x v="0"/>
    <x v="0"/>
    <n v="4"/>
    <n v="1"/>
    <n v="0"/>
    <s v="Repeat"/>
    <x v="5"/>
    <n v="29"/>
    <n v="1"/>
  </r>
  <r>
    <n v="1385"/>
    <x v="59"/>
    <n v="1197"/>
    <x v="0"/>
    <x v="1"/>
    <x v="2"/>
    <n v="4"/>
    <n v="0"/>
    <s v="Wallet"/>
    <x v="2"/>
    <x v="0"/>
    <n v="4"/>
    <n v="1"/>
    <n v="1"/>
    <s v="Repeat"/>
    <x v="0"/>
    <n v="34"/>
    <n v="0"/>
  </r>
  <r>
    <n v="1386"/>
    <x v="149"/>
    <n v="1712"/>
    <x v="4"/>
    <x v="2"/>
    <x v="1"/>
    <n v="1"/>
    <n v="0"/>
    <s v="Card"/>
    <x v="2"/>
    <x v="1"/>
    <n v="2"/>
    <n v="0"/>
    <n v="0"/>
    <s v="Repeat"/>
    <x v="3"/>
    <n v="49"/>
    <n v="0"/>
  </r>
  <r>
    <n v="1387"/>
    <x v="149"/>
    <n v="1201"/>
    <x v="2"/>
    <x v="2"/>
    <x v="3"/>
    <n v="4"/>
    <n v="0"/>
    <s v="Card"/>
    <x v="1"/>
    <x v="3"/>
    <n v="2"/>
    <n v="1"/>
    <n v="1"/>
    <s v="Repeat"/>
    <x v="3"/>
    <n v="49"/>
    <n v="0"/>
  </r>
  <r>
    <n v="1388"/>
    <x v="24"/>
    <n v="1211"/>
    <x v="0"/>
    <x v="4"/>
    <x v="0"/>
    <n v="1"/>
    <n v="0"/>
    <s v="Card"/>
    <x v="2"/>
    <x v="2"/>
    <n v="1"/>
    <n v="0"/>
    <n v="1"/>
    <s v="Repeat"/>
    <x v="5"/>
    <n v="30"/>
    <n v="0"/>
  </r>
  <r>
    <n v="1389"/>
    <x v="125"/>
    <n v="1501"/>
    <x v="4"/>
    <x v="0"/>
    <x v="3"/>
    <n v="3"/>
    <n v="6843"/>
    <s v="UPI"/>
    <x v="0"/>
    <x v="1"/>
    <n v="10"/>
    <n v="0"/>
    <n v="0"/>
    <s v="Repeat"/>
    <x v="5"/>
    <n v="31"/>
    <n v="1"/>
  </r>
  <r>
    <n v="1390"/>
    <x v="49"/>
    <n v="1740"/>
    <x v="4"/>
    <x v="3"/>
    <x v="1"/>
    <n v="5"/>
    <n v="0"/>
    <s v="Wallet"/>
    <x v="1"/>
    <x v="2"/>
    <n v="2"/>
    <n v="1"/>
    <n v="1"/>
    <s v="Repeat"/>
    <x v="0"/>
    <n v="36"/>
    <n v="0"/>
  </r>
  <r>
    <n v="1391"/>
    <x v="180"/>
    <n v="1522"/>
    <x v="0"/>
    <x v="1"/>
    <x v="2"/>
    <n v="2"/>
    <n v="0"/>
    <s v="Card"/>
    <x v="2"/>
    <x v="1"/>
    <n v="8"/>
    <n v="1"/>
    <n v="0"/>
    <s v="Repeat"/>
    <x v="4"/>
    <n v="46"/>
    <n v="0"/>
  </r>
  <r>
    <n v="1392"/>
    <x v="76"/>
    <n v="1753"/>
    <x v="3"/>
    <x v="1"/>
    <x v="1"/>
    <n v="1"/>
    <n v="0"/>
    <s v="Wallet"/>
    <x v="2"/>
    <x v="0"/>
    <n v="9"/>
    <n v="0"/>
    <n v="1"/>
    <s v="Repeat"/>
    <x v="3"/>
    <n v="50"/>
    <n v="0"/>
  </r>
  <r>
    <n v="1393"/>
    <x v="36"/>
    <n v="1344"/>
    <x v="2"/>
    <x v="2"/>
    <x v="3"/>
    <n v="1"/>
    <n v="0"/>
    <s v="Wallet"/>
    <x v="1"/>
    <x v="2"/>
    <n v="5"/>
    <n v="0"/>
    <n v="0"/>
    <s v="New"/>
    <x v="2"/>
    <n v="44"/>
    <n v="0"/>
  </r>
  <r>
    <n v="1394"/>
    <x v="176"/>
    <n v="1381"/>
    <x v="2"/>
    <x v="3"/>
    <x v="2"/>
    <n v="3"/>
    <n v="0"/>
    <s v="Card"/>
    <x v="1"/>
    <x v="3"/>
    <n v="6"/>
    <n v="0"/>
    <n v="0"/>
    <s v="New"/>
    <x v="3"/>
    <n v="51"/>
    <n v="0"/>
  </r>
  <r>
    <n v="1395"/>
    <x v="151"/>
    <n v="1634"/>
    <x v="3"/>
    <x v="1"/>
    <x v="1"/>
    <n v="5"/>
    <n v="0"/>
    <s v="UPI"/>
    <x v="1"/>
    <x v="0"/>
    <n v="3"/>
    <n v="1"/>
    <n v="1"/>
    <s v="New"/>
    <x v="3"/>
    <n v="52"/>
    <n v="0"/>
  </r>
  <r>
    <n v="1396"/>
    <x v="174"/>
    <n v="1828"/>
    <x v="4"/>
    <x v="1"/>
    <x v="0"/>
    <n v="5"/>
    <n v="23585"/>
    <s v="Card"/>
    <x v="0"/>
    <x v="2"/>
    <n v="9"/>
    <n v="0"/>
    <n v="0"/>
    <s v="New"/>
    <x v="5"/>
    <n v="29"/>
    <n v="1"/>
  </r>
  <r>
    <n v="1397"/>
    <x v="30"/>
    <n v="1656"/>
    <x v="3"/>
    <x v="3"/>
    <x v="2"/>
    <n v="5"/>
    <n v="13930"/>
    <s v="COD"/>
    <x v="0"/>
    <x v="0"/>
    <n v="1"/>
    <n v="0"/>
    <n v="1"/>
    <s v="New"/>
    <x v="3"/>
    <n v="51"/>
    <n v="1"/>
  </r>
  <r>
    <n v="1398"/>
    <x v="19"/>
    <n v="1678"/>
    <x v="2"/>
    <x v="0"/>
    <x v="2"/>
    <n v="2"/>
    <n v="0"/>
    <s v="COD"/>
    <x v="2"/>
    <x v="1"/>
    <n v="1"/>
    <n v="1"/>
    <n v="0"/>
    <s v="New"/>
    <x v="0"/>
    <n v="33"/>
    <n v="0"/>
  </r>
  <r>
    <n v="1399"/>
    <x v="20"/>
    <n v="1896"/>
    <x v="4"/>
    <x v="1"/>
    <x v="2"/>
    <n v="4"/>
    <n v="0"/>
    <s v="COD"/>
    <x v="1"/>
    <x v="1"/>
    <n v="8"/>
    <n v="0"/>
    <n v="1"/>
    <s v="New"/>
    <x v="0"/>
    <n v="32"/>
    <n v="0"/>
  </r>
  <r>
    <n v="1400"/>
    <x v="177"/>
    <n v="1967"/>
    <x v="0"/>
    <x v="3"/>
    <x v="0"/>
    <n v="3"/>
    <n v="5787"/>
    <s v="Wallet"/>
    <x v="0"/>
    <x v="3"/>
    <n v="1"/>
    <n v="0"/>
    <n v="0"/>
    <s v="New"/>
    <x v="4"/>
    <n v="45"/>
    <n v="1"/>
  </r>
  <r>
    <n v="1401"/>
    <x v="161"/>
    <n v="1626"/>
    <x v="4"/>
    <x v="1"/>
    <x v="3"/>
    <n v="3"/>
    <n v="14784"/>
    <s v="Card"/>
    <x v="0"/>
    <x v="1"/>
    <n v="7"/>
    <n v="1"/>
    <n v="0"/>
    <s v="Repeat"/>
    <x v="2"/>
    <n v="41"/>
    <n v="1"/>
  </r>
  <r>
    <n v="1402"/>
    <x v="93"/>
    <n v="1240"/>
    <x v="1"/>
    <x v="3"/>
    <x v="1"/>
    <n v="2"/>
    <n v="5230"/>
    <s v="Card"/>
    <x v="0"/>
    <x v="2"/>
    <n v="1"/>
    <n v="0"/>
    <n v="0"/>
    <s v="Repeat"/>
    <x v="3"/>
    <n v="53"/>
    <n v="1"/>
  </r>
  <r>
    <n v="1403"/>
    <x v="73"/>
    <n v="1894"/>
    <x v="1"/>
    <x v="2"/>
    <x v="1"/>
    <n v="2"/>
    <n v="0"/>
    <s v="Card"/>
    <x v="2"/>
    <x v="1"/>
    <n v="7"/>
    <n v="0"/>
    <n v="1"/>
    <s v="Repeat"/>
    <x v="4"/>
    <n v="45"/>
    <n v="0"/>
  </r>
  <r>
    <n v="1404"/>
    <x v="131"/>
    <n v="1684"/>
    <x v="0"/>
    <x v="1"/>
    <x v="3"/>
    <n v="1"/>
    <n v="0"/>
    <s v="COD"/>
    <x v="1"/>
    <x v="2"/>
    <n v="10"/>
    <n v="0"/>
    <n v="0"/>
    <s v="Repeat"/>
    <x v="4"/>
    <n v="47"/>
    <n v="0"/>
  </r>
  <r>
    <n v="1405"/>
    <x v="91"/>
    <n v="1446"/>
    <x v="3"/>
    <x v="1"/>
    <x v="3"/>
    <n v="4"/>
    <n v="0"/>
    <s v="Card"/>
    <x v="1"/>
    <x v="1"/>
    <n v="3"/>
    <n v="0"/>
    <n v="0"/>
    <s v="New"/>
    <x v="3"/>
    <n v="52"/>
    <n v="0"/>
  </r>
  <r>
    <n v="1406"/>
    <x v="88"/>
    <n v="1325"/>
    <x v="1"/>
    <x v="2"/>
    <x v="0"/>
    <n v="2"/>
    <n v="5626"/>
    <s v="UPI"/>
    <x v="0"/>
    <x v="1"/>
    <n v="1"/>
    <n v="0"/>
    <n v="1"/>
    <s v="New"/>
    <x v="1"/>
    <n v="37"/>
    <n v="1"/>
  </r>
  <r>
    <n v="1407"/>
    <x v="93"/>
    <n v="1802"/>
    <x v="2"/>
    <x v="4"/>
    <x v="1"/>
    <n v="5"/>
    <n v="7415"/>
    <s v="UPI"/>
    <x v="0"/>
    <x v="2"/>
    <n v="9"/>
    <n v="1"/>
    <n v="1"/>
    <s v="New"/>
    <x v="3"/>
    <n v="53"/>
    <n v="1"/>
  </r>
  <r>
    <n v="1408"/>
    <x v="158"/>
    <n v="1857"/>
    <x v="2"/>
    <x v="1"/>
    <x v="3"/>
    <n v="1"/>
    <n v="0"/>
    <s v="UPI"/>
    <x v="2"/>
    <x v="2"/>
    <n v="2"/>
    <n v="1"/>
    <n v="1"/>
    <s v="New"/>
    <x v="1"/>
    <n v="38"/>
    <n v="0"/>
  </r>
  <r>
    <n v="1409"/>
    <x v="146"/>
    <n v="1610"/>
    <x v="2"/>
    <x v="0"/>
    <x v="2"/>
    <n v="4"/>
    <n v="0"/>
    <s v="Wallet"/>
    <x v="1"/>
    <x v="0"/>
    <n v="7"/>
    <n v="1"/>
    <n v="1"/>
    <s v="New"/>
    <x v="2"/>
    <n v="40"/>
    <n v="0"/>
  </r>
  <r>
    <n v="1410"/>
    <x v="8"/>
    <n v="1645"/>
    <x v="4"/>
    <x v="0"/>
    <x v="2"/>
    <n v="4"/>
    <n v="13840"/>
    <s v="UPI"/>
    <x v="0"/>
    <x v="3"/>
    <n v="3"/>
    <n v="1"/>
    <n v="1"/>
    <s v="New"/>
    <x v="0"/>
    <n v="32"/>
    <n v="1"/>
  </r>
  <r>
    <n v="1411"/>
    <x v="29"/>
    <n v="1290"/>
    <x v="2"/>
    <x v="2"/>
    <x v="1"/>
    <n v="1"/>
    <n v="0"/>
    <s v="Wallet"/>
    <x v="2"/>
    <x v="1"/>
    <n v="3"/>
    <n v="1"/>
    <n v="0"/>
    <s v="New"/>
    <x v="1"/>
    <n v="39"/>
    <n v="0"/>
  </r>
  <r>
    <n v="1412"/>
    <x v="96"/>
    <n v="1480"/>
    <x v="3"/>
    <x v="1"/>
    <x v="1"/>
    <n v="2"/>
    <n v="0"/>
    <s v="Wallet"/>
    <x v="1"/>
    <x v="1"/>
    <n v="7"/>
    <n v="0"/>
    <n v="0"/>
    <s v="New"/>
    <x v="4"/>
    <n v="45"/>
    <n v="0"/>
  </r>
  <r>
    <n v="1413"/>
    <x v="67"/>
    <n v="1546"/>
    <x v="2"/>
    <x v="1"/>
    <x v="0"/>
    <n v="3"/>
    <n v="7854"/>
    <s v="COD"/>
    <x v="0"/>
    <x v="1"/>
    <n v="4"/>
    <n v="1"/>
    <n v="0"/>
    <s v="New"/>
    <x v="1"/>
    <n v="36"/>
    <n v="1"/>
  </r>
  <r>
    <n v="1414"/>
    <x v="6"/>
    <n v="1809"/>
    <x v="1"/>
    <x v="4"/>
    <x v="1"/>
    <n v="3"/>
    <n v="0"/>
    <s v="COD"/>
    <x v="1"/>
    <x v="1"/>
    <n v="1"/>
    <n v="0"/>
    <n v="1"/>
    <s v="Repeat"/>
    <x v="4"/>
    <n v="47"/>
    <n v="0"/>
  </r>
  <r>
    <n v="1415"/>
    <x v="176"/>
    <n v="1762"/>
    <x v="2"/>
    <x v="1"/>
    <x v="2"/>
    <n v="1"/>
    <n v="4815"/>
    <s v="Wallet"/>
    <x v="0"/>
    <x v="2"/>
    <n v="5"/>
    <n v="1"/>
    <n v="0"/>
    <s v="Repeat"/>
    <x v="3"/>
    <n v="51"/>
    <n v="1"/>
  </r>
  <r>
    <n v="1416"/>
    <x v="18"/>
    <n v="1037"/>
    <x v="1"/>
    <x v="4"/>
    <x v="3"/>
    <n v="5"/>
    <n v="0"/>
    <s v="COD"/>
    <x v="1"/>
    <x v="3"/>
    <n v="2"/>
    <n v="0"/>
    <n v="1"/>
    <s v="Repeat"/>
    <x v="1"/>
    <n v="36"/>
    <n v="0"/>
  </r>
  <r>
    <n v="1417"/>
    <x v="76"/>
    <n v="1187"/>
    <x v="0"/>
    <x v="3"/>
    <x v="0"/>
    <n v="2"/>
    <n v="0"/>
    <s v="Card"/>
    <x v="1"/>
    <x v="1"/>
    <n v="2"/>
    <n v="0"/>
    <n v="1"/>
    <s v="New"/>
    <x v="3"/>
    <n v="50"/>
    <n v="0"/>
  </r>
  <r>
    <n v="1418"/>
    <x v="23"/>
    <n v="1683"/>
    <x v="1"/>
    <x v="2"/>
    <x v="1"/>
    <n v="5"/>
    <n v="10915"/>
    <s v="COD"/>
    <x v="0"/>
    <x v="1"/>
    <n v="7"/>
    <n v="1"/>
    <n v="0"/>
    <s v="New"/>
    <x v="3"/>
    <n v="51"/>
    <n v="1"/>
  </r>
  <r>
    <n v="1419"/>
    <x v="107"/>
    <n v="1080"/>
    <x v="3"/>
    <x v="1"/>
    <x v="2"/>
    <n v="5"/>
    <n v="0"/>
    <s v="Wallet"/>
    <x v="1"/>
    <x v="2"/>
    <n v="9"/>
    <n v="1"/>
    <n v="0"/>
    <s v="Repeat"/>
    <x v="4"/>
    <n v="45"/>
    <n v="0"/>
  </r>
  <r>
    <n v="1420"/>
    <x v="64"/>
    <n v="1115"/>
    <x v="0"/>
    <x v="4"/>
    <x v="3"/>
    <n v="5"/>
    <n v="6910"/>
    <s v="Card"/>
    <x v="0"/>
    <x v="0"/>
    <n v="7"/>
    <n v="1"/>
    <n v="0"/>
    <s v="New"/>
    <x v="2"/>
    <n v="43"/>
    <n v="1"/>
  </r>
  <r>
    <n v="1421"/>
    <x v="104"/>
    <n v="1128"/>
    <x v="2"/>
    <x v="0"/>
    <x v="2"/>
    <n v="3"/>
    <n v="0"/>
    <s v="Card"/>
    <x v="1"/>
    <x v="3"/>
    <n v="7"/>
    <n v="1"/>
    <n v="1"/>
    <s v="New"/>
    <x v="5"/>
    <n v="29"/>
    <n v="0"/>
  </r>
  <r>
    <n v="1422"/>
    <x v="53"/>
    <n v="1066"/>
    <x v="0"/>
    <x v="4"/>
    <x v="3"/>
    <n v="1"/>
    <n v="0"/>
    <s v="UPI"/>
    <x v="1"/>
    <x v="0"/>
    <n v="10"/>
    <n v="0"/>
    <n v="1"/>
    <s v="New"/>
    <x v="2"/>
    <n v="42"/>
    <n v="0"/>
  </r>
  <r>
    <n v="1423"/>
    <x v="4"/>
    <n v="1627"/>
    <x v="4"/>
    <x v="2"/>
    <x v="0"/>
    <n v="2"/>
    <n v="6772"/>
    <s v="Card"/>
    <x v="0"/>
    <x v="0"/>
    <n v="7"/>
    <n v="1"/>
    <n v="1"/>
    <s v="New"/>
    <x v="3"/>
    <n v="50"/>
    <n v="1"/>
  </r>
  <r>
    <n v="1424"/>
    <x v="168"/>
    <n v="1301"/>
    <x v="2"/>
    <x v="0"/>
    <x v="2"/>
    <n v="1"/>
    <n v="0"/>
    <s v="UPI"/>
    <x v="2"/>
    <x v="0"/>
    <n v="9"/>
    <n v="0"/>
    <n v="1"/>
    <s v="Repeat"/>
    <x v="6"/>
    <n v="1"/>
    <n v="0"/>
  </r>
  <r>
    <n v="1425"/>
    <x v="32"/>
    <n v="1161"/>
    <x v="1"/>
    <x v="1"/>
    <x v="1"/>
    <n v="5"/>
    <n v="0"/>
    <s v="UPI"/>
    <x v="2"/>
    <x v="2"/>
    <n v="1"/>
    <n v="1"/>
    <n v="1"/>
    <s v="Repeat"/>
    <x v="1"/>
    <n v="38"/>
    <n v="0"/>
  </r>
  <r>
    <n v="1426"/>
    <x v="13"/>
    <n v="1907"/>
    <x v="2"/>
    <x v="1"/>
    <x v="0"/>
    <n v="2"/>
    <n v="0"/>
    <s v="Card"/>
    <x v="2"/>
    <x v="3"/>
    <n v="10"/>
    <n v="1"/>
    <n v="0"/>
    <s v="Repeat"/>
    <x v="2"/>
    <n v="41"/>
    <n v="0"/>
  </r>
  <r>
    <n v="1427"/>
    <x v="43"/>
    <n v="1369"/>
    <x v="2"/>
    <x v="3"/>
    <x v="0"/>
    <n v="1"/>
    <n v="0"/>
    <s v="UPI"/>
    <x v="1"/>
    <x v="2"/>
    <n v="6"/>
    <n v="1"/>
    <n v="0"/>
    <s v="New"/>
    <x v="4"/>
    <n v="46"/>
    <n v="0"/>
  </r>
  <r>
    <n v="1428"/>
    <x v="122"/>
    <n v="1582"/>
    <x v="3"/>
    <x v="1"/>
    <x v="2"/>
    <n v="3"/>
    <n v="780"/>
    <s v="Card"/>
    <x v="0"/>
    <x v="2"/>
    <n v="10"/>
    <n v="0"/>
    <n v="0"/>
    <s v="New"/>
    <x v="3"/>
    <n v="53"/>
    <n v="1"/>
  </r>
  <r>
    <n v="1429"/>
    <x v="148"/>
    <n v="1495"/>
    <x v="2"/>
    <x v="4"/>
    <x v="2"/>
    <n v="2"/>
    <n v="7412"/>
    <s v="COD"/>
    <x v="0"/>
    <x v="0"/>
    <n v="5"/>
    <n v="1"/>
    <n v="1"/>
    <s v="Repeat"/>
    <x v="5"/>
    <n v="30"/>
    <n v="1"/>
  </r>
  <r>
    <n v="1430"/>
    <x v="166"/>
    <n v="1175"/>
    <x v="2"/>
    <x v="0"/>
    <x v="3"/>
    <n v="3"/>
    <n v="8454"/>
    <s v="UPI"/>
    <x v="0"/>
    <x v="2"/>
    <n v="2"/>
    <n v="1"/>
    <n v="0"/>
    <s v="New"/>
    <x v="1"/>
    <n v="39"/>
    <n v="1"/>
  </r>
  <r>
    <n v="1431"/>
    <x v="15"/>
    <n v="1087"/>
    <x v="4"/>
    <x v="2"/>
    <x v="0"/>
    <n v="3"/>
    <n v="0"/>
    <s v="Card"/>
    <x v="2"/>
    <x v="3"/>
    <n v="2"/>
    <n v="1"/>
    <n v="1"/>
    <s v="New"/>
    <x v="4"/>
    <n v="47"/>
    <n v="0"/>
  </r>
  <r>
    <n v="1432"/>
    <x v="78"/>
    <n v="1737"/>
    <x v="1"/>
    <x v="0"/>
    <x v="0"/>
    <n v="2"/>
    <n v="514"/>
    <s v="Wallet"/>
    <x v="0"/>
    <x v="1"/>
    <n v="10"/>
    <n v="0"/>
    <n v="0"/>
    <s v="Repeat"/>
    <x v="3"/>
    <n v="52"/>
    <n v="1"/>
  </r>
  <r>
    <n v="1433"/>
    <x v="169"/>
    <n v="1122"/>
    <x v="0"/>
    <x v="0"/>
    <x v="0"/>
    <n v="4"/>
    <n v="0"/>
    <s v="Wallet"/>
    <x v="2"/>
    <x v="3"/>
    <n v="1"/>
    <n v="0"/>
    <n v="1"/>
    <s v="Repeat"/>
    <x v="2"/>
    <n v="43"/>
    <n v="0"/>
  </r>
  <r>
    <n v="1434"/>
    <x v="91"/>
    <n v="1463"/>
    <x v="0"/>
    <x v="2"/>
    <x v="2"/>
    <n v="4"/>
    <n v="17380"/>
    <s v="Wallet"/>
    <x v="0"/>
    <x v="1"/>
    <n v="1"/>
    <n v="0"/>
    <n v="0"/>
    <s v="New"/>
    <x v="3"/>
    <n v="52"/>
    <n v="1"/>
  </r>
  <r>
    <n v="1435"/>
    <x v="147"/>
    <n v="1211"/>
    <x v="0"/>
    <x v="3"/>
    <x v="1"/>
    <n v="2"/>
    <n v="9414"/>
    <s v="COD"/>
    <x v="0"/>
    <x v="2"/>
    <n v="1"/>
    <n v="0"/>
    <n v="1"/>
    <s v="New"/>
    <x v="4"/>
    <n v="47"/>
    <n v="1"/>
  </r>
  <r>
    <n v="1436"/>
    <x v="144"/>
    <n v="1062"/>
    <x v="4"/>
    <x v="0"/>
    <x v="0"/>
    <n v="4"/>
    <n v="0"/>
    <s v="Wallet"/>
    <x v="1"/>
    <x v="2"/>
    <n v="5"/>
    <n v="1"/>
    <n v="0"/>
    <s v="New"/>
    <x v="3"/>
    <n v="52"/>
    <n v="0"/>
  </r>
  <r>
    <n v="1437"/>
    <x v="65"/>
    <n v="1115"/>
    <x v="4"/>
    <x v="3"/>
    <x v="1"/>
    <n v="1"/>
    <n v="0"/>
    <s v="COD"/>
    <x v="1"/>
    <x v="1"/>
    <n v="4"/>
    <n v="0"/>
    <n v="0"/>
    <s v="Repeat"/>
    <x v="1"/>
    <n v="38"/>
    <n v="0"/>
  </r>
  <r>
    <n v="1438"/>
    <x v="135"/>
    <n v="1422"/>
    <x v="0"/>
    <x v="3"/>
    <x v="2"/>
    <n v="3"/>
    <n v="2637"/>
    <s v="UPI"/>
    <x v="0"/>
    <x v="1"/>
    <n v="9"/>
    <n v="0"/>
    <n v="0"/>
    <s v="Repeat"/>
    <x v="2"/>
    <n v="43"/>
    <n v="1"/>
  </r>
  <r>
    <n v="1439"/>
    <x v="3"/>
    <n v="1608"/>
    <x v="1"/>
    <x v="1"/>
    <x v="0"/>
    <n v="1"/>
    <n v="1188"/>
    <s v="UPI"/>
    <x v="0"/>
    <x v="0"/>
    <n v="5"/>
    <n v="0"/>
    <n v="1"/>
    <s v="New"/>
    <x v="0"/>
    <n v="32"/>
    <n v="1"/>
  </r>
  <r>
    <n v="1440"/>
    <x v="166"/>
    <n v="1184"/>
    <x v="0"/>
    <x v="2"/>
    <x v="3"/>
    <n v="2"/>
    <n v="0"/>
    <s v="Wallet"/>
    <x v="2"/>
    <x v="1"/>
    <n v="9"/>
    <n v="1"/>
    <n v="0"/>
    <s v="Repeat"/>
    <x v="1"/>
    <n v="39"/>
    <n v="0"/>
  </r>
  <r>
    <n v="1441"/>
    <x v="126"/>
    <n v="1764"/>
    <x v="4"/>
    <x v="1"/>
    <x v="1"/>
    <n v="5"/>
    <n v="0"/>
    <s v="Card"/>
    <x v="2"/>
    <x v="0"/>
    <n v="9"/>
    <n v="0"/>
    <n v="0"/>
    <s v="New"/>
    <x v="4"/>
    <n v="46"/>
    <n v="0"/>
  </r>
  <r>
    <n v="1442"/>
    <x v="89"/>
    <n v="1421"/>
    <x v="3"/>
    <x v="1"/>
    <x v="0"/>
    <n v="4"/>
    <n v="0"/>
    <s v="UPI"/>
    <x v="1"/>
    <x v="2"/>
    <n v="7"/>
    <n v="1"/>
    <n v="1"/>
    <s v="New"/>
    <x v="0"/>
    <n v="35"/>
    <n v="0"/>
  </r>
  <r>
    <n v="1443"/>
    <x v="115"/>
    <n v="1662"/>
    <x v="1"/>
    <x v="0"/>
    <x v="3"/>
    <n v="1"/>
    <n v="0"/>
    <s v="Card"/>
    <x v="1"/>
    <x v="0"/>
    <n v="8"/>
    <n v="1"/>
    <n v="0"/>
    <s v="New"/>
    <x v="4"/>
    <n v="48"/>
    <n v="0"/>
  </r>
  <r>
    <n v="1444"/>
    <x v="178"/>
    <n v="1908"/>
    <x v="3"/>
    <x v="4"/>
    <x v="1"/>
    <n v="5"/>
    <n v="0"/>
    <s v="Wallet"/>
    <x v="1"/>
    <x v="2"/>
    <n v="4"/>
    <n v="0"/>
    <n v="1"/>
    <s v="Repeat"/>
    <x v="4"/>
    <n v="45"/>
    <n v="0"/>
  </r>
  <r>
    <n v="1445"/>
    <x v="112"/>
    <n v="1401"/>
    <x v="2"/>
    <x v="4"/>
    <x v="3"/>
    <n v="2"/>
    <n v="3938"/>
    <s v="UPI"/>
    <x v="0"/>
    <x v="2"/>
    <n v="6"/>
    <n v="1"/>
    <n v="1"/>
    <s v="New"/>
    <x v="5"/>
    <n v="30"/>
    <n v="1"/>
  </r>
  <r>
    <n v="1446"/>
    <x v="86"/>
    <n v="1426"/>
    <x v="0"/>
    <x v="1"/>
    <x v="0"/>
    <n v="2"/>
    <n v="9066"/>
    <s v="Card"/>
    <x v="0"/>
    <x v="1"/>
    <n v="5"/>
    <n v="0"/>
    <n v="0"/>
    <s v="Repeat"/>
    <x v="6"/>
    <n v="1"/>
    <n v="1"/>
  </r>
  <r>
    <n v="1447"/>
    <x v="97"/>
    <n v="1024"/>
    <x v="0"/>
    <x v="2"/>
    <x v="2"/>
    <n v="2"/>
    <n v="0"/>
    <s v="Card"/>
    <x v="2"/>
    <x v="0"/>
    <n v="4"/>
    <n v="1"/>
    <n v="1"/>
    <s v="New"/>
    <x v="1"/>
    <n v="40"/>
    <n v="0"/>
  </r>
  <r>
    <n v="1448"/>
    <x v="178"/>
    <n v="1065"/>
    <x v="4"/>
    <x v="4"/>
    <x v="1"/>
    <n v="3"/>
    <n v="0"/>
    <s v="COD"/>
    <x v="2"/>
    <x v="1"/>
    <n v="4"/>
    <n v="1"/>
    <n v="1"/>
    <s v="Repeat"/>
    <x v="4"/>
    <n v="45"/>
    <n v="0"/>
  </r>
  <r>
    <n v="1449"/>
    <x v="131"/>
    <n v="1082"/>
    <x v="2"/>
    <x v="3"/>
    <x v="2"/>
    <n v="2"/>
    <n v="0"/>
    <s v="Card"/>
    <x v="1"/>
    <x v="1"/>
    <n v="8"/>
    <n v="0"/>
    <n v="0"/>
    <s v="New"/>
    <x v="4"/>
    <n v="47"/>
    <n v="0"/>
  </r>
  <r>
    <n v="1450"/>
    <x v="96"/>
    <n v="1458"/>
    <x v="1"/>
    <x v="4"/>
    <x v="3"/>
    <n v="4"/>
    <n v="0"/>
    <s v="COD"/>
    <x v="2"/>
    <x v="2"/>
    <n v="10"/>
    <n v="1"/>
    <n v="0"/>
    <s v="New"/>
    <x v="4"/>
    <n v="45"/>
    <n v="0"/>
  </r>
  <r>
    <n v="1451"/>
    <x v="147"/>
    <n v="1921"/>
    <x v="1"/>
    <x v="0"/>
    <x v="1"/>
    <n v="2"/>
    <n v="0"/>
    <s v="COD"/>
    <x v="1"/>
    <x v="1"/>
    <n v="6"/>
    <n v="1"/>
    <n v="1"/>
    <s v="New"/>
    <x v="4"/>
    <n v="47"/>
    <n v="0"/>
  </r>
  <r>
    <n v="1452"/>
    <x v="58"/>
    <n v="1463"/>
    <x v="3"/>
    <x v="3"/>
    <x v="0"/>
    <n v="3"/>
    <n v="9933"/>
    <s v="Wallet"/>
    <x v="0"/>
    <x v="3"/>
    <n v="3"/>
    <n v="1"/>
    <n v="1"/>
    <s v="Repeat"/>
    <x v="5"/>
    <n v="31"/>
    <n v="1"/>
  </r>
  <r>
    <n v="1453"/>
    <x v="68"/>
    <n v="1905"/>
    <x v="3"/>
    <x v="3"/>
    <x v="1"/>
    <n v="3"/>
    <n v="0"/>
    <s v="Wallet"/>
    <x v="1"/>
    <x v="2"/>
    <n v="4"/>
    <n v="1"/>
    <n v="0"/>
    <s v="Repeat"/>
    <x v="0"/>
    <n v="32"/>
    <n v="0"/>
  </r>
  <r>
    <n v="1454"/>
    <x v="100"/>
    <n v="1469"/>
    <x v="1"/>
    <x v="4"/>
    <x v="0"/>
    <n v="5"/>
    <n v="0"/>
    <s v="Wallet"/>
    <x v="1"/>
    <x v="1"/>
    <n v="5"/>
    <n v="1"/>
    <n v="1"/>
    <s v="New"/>
    <x v="1"/>
    <n v="37"/>
    <n v="0"/>
  </r>
  <r>
    <n v="1455"/>
    <x v="111"/>
    <n v="1332"/>
    <x v="4"/>
    <x v="0"/>
    <x v="1"/>
    <n v="2"/>
    <n v="0"/>
    <s v="UPI"/>
    <x v="2"/>
    <x v="1"/>
    <n v="7"/>
    <n v="1"/>
    <n v="1"/>
    <s v="Repeat"/>
    <x v="4"/>
    <n v="48"/>
    <n v="0"/>
  </r>
  <r>
    <n v="1456"/>
    <x v="6"/>
    <n v="1712"/>
    <x v="4"/>
    <x v="3"/>
    <x v="2"/>
    <n v="5"/>
    <n v="19095"/>
    <s v="COD"/>
    <x v="0"/>
    <x v="0"/>
    <n v="4"/>
    <n v="0"/>
    <n v="0"/>
    <s v="Repeat"/>
    <x v="4"/>
    <n v="47"/>
    <n v="1"/>
  </r>
  <r>
    <n v="1457"/>
    <x v="31"/>
    <n v="1958"/>
    <x v="1"/>
    <x v="2"/>
    <x v="2"/>
    <n v="2"/>
    <n v="0"/>
    <s v="UPI"/>
    <x v="1"/>
    <x v="1"/>
    <n v="6"/>
    <n v="1"/>
    <n v="1"/>
    <s v="New"/>
    <x v="2"/>
    <n v="44"/>
    <n v="0"/>
  </r>
  <r>
    <n v="1458"/>
    <x v="32"/>
    <n v="1705"/>
    <x v="0"/>
    <x v="3"/>
    <x v="3"/>
    <n v="1"/>
    <n v="4741"/>
    <s v="Wallet"/>
    <x v="0"/>
    <x v="1"/>
    <n v="3"/>
    <n v="1"/>
    <n v="0"/>
    <s v="Repeat"/>
    <x v="1"/>
    <n v="38"/>
    <n v="1"/>
  </r>
  <r>
    <n v="1459"/>
    <x v="171"/>
    <n v="1142"/>
    <x v="0"/>
    <x v="2"/>
    <x v="3"/>
    <n v="2"/>
    <n v="3844"/>
    <s v="UPI"/>
    <x v="0"/>
    <x v="2"/>
    <n v="9"/>
    <n v="1"/>
    <n v="1"/>
    <s v="New"/>
    <x v="1"/>
    <n v="36"/>
    <n v="1"/>
  </r>
  <r>
    <n v="1460"/>
    <x v="108"/>
    <n v="1809"/>
    <x v="4"/>
    <x v="1"/>
    <x v="1"/>
    <n v="5"/>
    <n v="18070"/>
    <s v="Card"/>
    <x v="0"/>
    <x v="2"/>
    <n v="4"/>
    <n v="0"/>
    <n v="0"/>
    <s v="New"/>
    <x v="2"/>
    <n v="44"/>
    <n v="1"/>
  </r>
  <r>
    <n v="1461"/>
    <x v="58"/>
    <n v="1404"/>
    <x v="4"/>
    <x v="1"/>
    <x v="0"/>
    <n v="3"/>
    <n v="0"/>
    <s v="COD"/>
    <x v="1"/>
    <x v="1"/>
    <n v="6"/>
    <n v="1"/>
    <n v="0"/>
    <s v="Repeat"/>
    <x v="5"/>
    <n v="31"/>
    <n v="0"/>
  </r>
  <r>
    <n v="1462"/>
    <x v="70"/>
    <n v="1262"/>
    <x v="0"/>
    <x v="4"/>
    <x v="0"/>
    <n v="4"/>
    <n v="3144"/>
    <s v="Wallet"/>
    <x v="0"/>
    <x v="0"/>
    <n v="3"/>
    <n v="0"/>
    <n v="1"/>
    <s v="New"/>
    <x v="2"/>
    <n v="40"/>
    <n v="1"/>
  </r>
  <r>
    <n v="1463"/>
    <x v="58"/>
    <n v="1479"/>
    <x v="3"/>
    <x v="0"/>
    <x v="1"/>
    <n v="2"/>
    <n v="0"/>
    <s v="UPI"/>
    <x v="2"/>
    <x v="1"/>
    <n v="7"/>
    <n v="0"/>
    <n v="0"/>
    <s v="New"/>
    <x v="5"/>
    <n v="31"/>
    <n v="0"/>
  </r>
  <r>
    <n v="1464"/>
    <x v="120"/>
    <n v="1912"/>
    <x v="1"/>
    <x v="0"/>
    <x v="2"/>
    <n v="4"/>
    <n v="15476"/>
    <s v="Card"/>
    <x v="0"/>
    <x v="2"/>
    <n v="10"/>
    <n v="1"/>
    <n v="1"/>
    <s v="Repeat"/>
    <x v="6"/>
    <n v="1"/>
    <n v="1"/>
  </r>
  <r>
    <n v="1465"/>
    <x v="25"/>
    <n v="1494"/>
    <x v="3"/>
    <x v="3"/>
    <x v="0"/>
    <n v="4"/>
    <n v="0"/>
    <s v="Card"/>
    <x v="1"/>
    <x v="0"/>
    <n v="1"/>
    <n v="1"/>
    <n v="1"/>
    <s v="Repeat"/>
    <x v="4"/>
    <n v="49"/>
    <n v="0"/>
  </r>
  <r>
    <n v="1466"/>
    <x v="170"/>
    <n v="1432"/>
    <x v="4"/>
    <x v="1"/>
    <x v="2"/>
    <n v="2"/>
    <n v="3420"/>
    <s v="COD"/>
    <x v="0"/>
    <x v="3"/>
    <n v="4"/>
    <n v="0"/>
    <n v="1"/>
    <s v="Repeat"/>
    <x v="4"/>
    <n v="48"/>
    <n v="1"/>
  </r>
  <r>
    <n v="1467"/>
    <x v="21"/>
    <n v="1352"/>
    <x v="0"/>
    <x v="1"/>
    <x v="3"/>
    <n v="5"/>
    <n v="0"/>
    <s v="UPI"/>
    <x v="2"/>
    <x v="2"/>
    <n v="1"/>
    <n v="0"/>
    <n v="1"/>
    <s v="New"/>
    <x v="2"/>
    <n v="43"/>
    <n v="0"/>
  </r>
  <r>
    <n v="1468"/>
    <x v="116"/>
    <n v="1308"/>
    <x v="2"/>
    <x v="0"/>
    <x v="2"/>
    <n v="4"/>
    <n v="0"/>
    <s v="UPI"/>
    <x v="1"/>
    <x v="0"/>
    <n v="9"/>
    <n v="0"/>
    <n v="1"/>
    <s v="Repeat"/>
    <x v="3"/>
    <n v="50"/>
    <n v="0"/>
  </r>
  <r>
    <n v="1469"/>
    <x v="157"/>
    <n v="1534"/>
    <x v="4"/>
    <x v="3"/>
    <x v="0"/>
    <n v="3"/>
    <n v="0"/>
    <s v="UPI"/>
    <x v="2"/>
    <x v="3"/>
    <n v="4"/>
    <n v="1"/>
    <n v="1"/>
    <s v="Repeat"/>
    <x v="2"/>
    <n v="41"/>
    <n v="0"/>
  </r>
  <r>
    <n v="1470"/>
    <x v="178"/>
    <n v="1206"/>
    <x v="2"/>
    <x v="4"/>
    <x v="0"/>
    <n v="5"/>
    <n v="0"/>
    <s v="Card"/>
    <x v="1"/>
    <x v="2"/>
    <n v="6"/>
    <n v="1"/>
    <n v="0"/>
    <s v="New"/>
    <x v="4"/>
    <n v="45"/>
    <n v="0"/>
  </r>
  <r>
    <n v="1471"/>
    <x v="153"/>
    <n v="1351"/>
    <x v="2"/>
    <x v="1"/>
    <x v="2"/>
    <n v="1"/>
    <n v="0"/>
    <s v="UPI"/>
    <x v="1"/>
    <x v="1"/>
    <n v="2"/>
    <n v="1"/>
    <n v="0"/>
    <s v="Repeat"/>
    <x v="0"/>
    <n v="31"/>
    <n v="0"/>
  </r>
  <r>
    <n v="1472"/>
    <x v="65"/>
    <n v="1896"/>
    <x v="2"/>
    <x v="1"/>
    <x v="1"/>
    <n v="4"/>
    <n v="0"/>
    <s v="COD"/>
    <x v="1"/>
    <x v="0"/>
    <n v="3"/>
    <n v="0"/>
    <n v="1"/>
    <s v="New"/>
    <x v="1"/>
    <n v="38"/>
    <n v="0"/>
  </r>
  <r>
    <n v="1473"/>
    <x v="126"/>
    <n v="1658"/>
    <x v="3"/>
    <x v="2"/>
    <x v="1"/>
    <n v="1"/>
    <n v="0"/>
    <s v="COD"/>
    <x v="1"/>
    <x v="1"/>
    <n v="4"/>
    <n v="1"/>
    <n v="0"/>
    <s v="Repeat"/>
    <x v="4"/>
    <n v="46"/>
    <n v="0"/>
  </r>
  <r>
    <n v="1474"/>
    <x v="136"/>
    <n v="1475"/>
    <x v="2"/>
    <x v="2"/>
    <x v="2"/>
    <n v="3"/>
    <n v="0"/>
    <s v="UPI"/>
    <x v="1"/>
    <x v="0"/>
    <n v="4"/>
    <n v="1"/>
    <n v="1"/>
    <s v="Repeat"/>
    <x v="2"/>
    <n v="40"/>
    <n v="0"/>
  </r>
  <r>
    <n v="1475"/>
    <x v="103"/>
    <n v="1729"/>
    <x v="4"/>
    <x v="2"/>
    <x v="1"/>
    <n v="3"/>
    <n v="3543"/>
    <s v="Card"/>
    <x v="0"/>
    <x v="2"/>
    <n v="1"/>
    <n v="1"/>
    <n v="1"/>
    <s v="Repeat"/>
    <x v="1"/>
    <n v="38"/>
    <n v="1"/>
  </r>
  <r>
    <n v="1476"/>
    <x v="141"/>
    <n v="1892"/>
    <x v="0"/>
    <x v="2"/>
    <x v="1"/>
    <n v="1"/>
    <n v="0"/>
    <s v="UPI"/>
    <x v="2"/>
    <x v="1"/>
    <n v="4"/>
    <n v="0"/>
    <n v="1"/>
    <s v="Repeat"/>
    <x v="1"/>
    <n v="39"/>
    <n v="0"/>
  </r>
  <r>
    <n v="1477"/>
    <x v="152"/>
    <n v="1014"/>
    <x v="2"/>
    <x v="4"/>
    <x v="0"/>
    <n v="2"/>
    <n v="0"/>
    <s v="UPI"/>
    <x v="1"/>
    <x v="3"/>
    <n v="5"/>
    <n v="0"/>
    <n v="0"/>
    <s v="New"/>
    <x v="2"/>
    <n v="42"/>
    <n v="0"/>
  </r>
  <r>
    <n v="1478"/>
    <x v="151"/>
    <n v="1067"/>
    <x v="1"/>
    <x v="2"/>
    <x v="2"/>
    <n v="5"/>
    <n v="0"/>
    <s v="UPI"/>
    <x v="1"/>
    <x v="2"/>
    <n v="7"/>
    <n v="1"/>
    <n v="0"/>
    <s v="New"/>
    <x v="3"/>
    <n v="52"/>
    <n v="0"/>
  </r>
  <r>
    <n v="1479"/>
    <x v="10"/>
    <n v="1149"/>
    <x v="0"/>
    <x v="1"/>
    <x v="0"/>
    <n v="5"/>
    <n v="4655"/>
    <s v="COD"/>
    <x v="0"/>
    <x v="0"/>
    <n v="1"/>
    <n v="1"/>
    <n v="0"/>
    <s v="Repeat"/>
    <x v="3"/>
    <n v="49"/>
    <n v="1"/>
  </r>
  <r>
    <n v="1480"/>
    <x v="123"/>
    <n v="1532"/>
    <x v="3"/>
    <x v="0"/>
    <x v="1"/>
    <n v="1"/>
    <n v="4214"/>
    <s v="COD"/>
    <x v="0"/>
    <x v="3"/>
    <n v="2"/>
    <n v="0"/>
    <n v="0"/>
    <s v="Repeat"/>
    <x v="0"/>
    <n v="34"/>
    <n v="1"/>
  </r>
  <r>
    <n v="1481"/>
    <x v="22"/>
    <n v="1710"/>
    <x v="2"/>
    <x v="4"/>
    <x v="3"/>
    <n v="4"/>
    <n v="0"/>
    <s v="COD"/>
    <x v="2"/>
    <x v="2"/>
    <n v="4"/>
    <n v="1"/>
    <n v="1"/>
    <s v="New"/>
    <x v="6"/>
    <n v="2"/>
    <n v="0"/>
  </r>
  <r>
    <n v="1482"/>
    <x v="127"/>
    <n v="1145"/>
    <x v="4"/>
    <x v="1"/>
    <x v="3"/>
    <n v="4"/>
    <n v="0"/>
    <s v="Card"/>
    <x v="2"/>
    <x v="3"/>
    <n v="3"/>
    <n v="0"/>
    <n v="0"/>
    <s v="Repeat"/>
    <x v="5"/>
    <n v="29"/>
    <n v="0"/>
  </r>
  <r>
    <n v="1483"/>
    <x v="145"/>
    <n v="1561"/>
    <x v="2"/>
    <x v="2"/>
    <x v="2"/>
    <n v="5"/>
    <n v="0"/>
    <s v="Wallet"/>
    <x v="2"/>
    <x v="1"/>
    <n v="10"/>
    <n v="1"/>
    <n v="0"/>
    <s v="New"/>
    <x v="4"/>
    <n v="48"/>
    <n v="0"/>
  </r>
  <r>
    <n v="1484"/>
    <x v="73"/>
    <n v="1874"/>
    <x v="2"/>
    <x v="3"/>
    <x v="2"/>
    <n v="3"/>
    <n v="9219"/>
    <s v="Card"/>
    <x v="0"/>
    <x v="0"/>
    <n v="1"/>
    <n v="1"/>
    <n v="1"/>
    <s v="New"/>
    <x v="4"/>
    <n v="45"/>
    <n v="1"/>
  </r>
  <r>
    <n v="1485"/>
    <x v="75"/>
    <n v="1411"/>
    <x v="0"/>
    <x v="4"/>
    <x v="3"/>
    <n v="2"/>
    <n v="0"/>
    <s v="Card"/>
    <x v="1"/>
    <x v="3"/>
    <n v="10"/>
    <n v="1"/>
    <n v="0"/>
    <s v="Repeat"/>
    <x v="3"/>
    <n v="52"/>
    <n v="0"/>
  </r>
  <r>
    <n v="1486"/>
    <x v="96"/>
    <n v="1578"/>
    <x v="0"/>
    <x v="2"/>
    <x v="3"/>
    <n v="5"/>
    <n v="0"/>
    <s v="COD"/>
    <x v="2"/>
    <x v="0"/>
    <n v="2"/>
    <n v="1"/>
    <n v="0"/>
    <s v="Repeat"/>
    <x v="4"/>
    <n v="45"/>
    <n v="0"/>
  </r>
  <r>
    <n v="1487"/>
    <x v="95"/>
    <n v="1870"/>
    <x v="1"/>
    <x v="3"/>
    <x v="2"/>
    <n v="2"/>
    <n v="9388"/>
    <s v="UPI"/>
    <x v="0"/>
    <x v="3"/>
    <n v="3"/>
    <n v="0"/>
    <n v="1"/>
    <s v="New"/>
    <x v="4"/>
    <n v="47"/>
    <n v="1"/>
  </r>
  <r>
    <n v="1488"/>
    <x v="109"/>
    <n v="1726"/>
    <x v="2"/>
    <x v="4"/>
    <x v="2"/>
    <n v="4"/>
    <n v="0"/>
    <s v="COD"/>
    <x v="1"/>
    <x v="0"/>
    <n v="8"/>
    <n v="0"/>
    <n v="1"/>
    <s v="New"/>
    <x v="4"/>
    <n v="46"/>
    <n v="0"/>
  </r>
  <r>
    <n v="1489"/>
    <x v="150"/>
    <n v="1672"/>
    <x v="0"/>
    <x v="2"/>
    <x v="1"/>
    <n v="3"/>
    <n v="2340"/>
    <s v="COD"/>
    <x v="0"/>
    <x v="1"/>
    <n v="4"/>
    <n v="0"/>
    <n v="1"/>
    <s v="Repeat"/>
    <x v="0"/>
    <n v="35"/>
    <n v="1"/>
  </r>
  <r>
    <n v="1490"/>
    <x v="99"/>
    <n v="1605"/>
    <x v="2"/>
    <x v="2"/>
    <x v="1"/>
    <n v="4"/>
    <n v="11544"/>
    <s v="Card"/>
    <x v="0"/>
    <x v="2"/>
    <n v="2"/>
    <n v="0"/>
    <n v="1"/>
    <s v="Repeat"/>
    <x v="4"/>
    <n v="48"/>
    <n v="1"/>
  </r>
  <r>
    <n v="1491"/>
    <x v="6"/>
    <n v="1286"/>
    <x v="1"/>
    <x v="1"/>
    <x v="0"/>
    <n v="4"/>
    <n v="0"/>
    <s v="COD"/>
    <x v="1"/>
    <x v="0"/>
    <n v="8"/>
    <n v="0"/>
    <n v="1"/>
    <s v="Repeat"/>
    <x v="4"/>
    <n v="47"/>
    <n v="0"/>
  </r>
  <r>
    <n v="1492"/>
    <x v="112"/>
    <n v="1706"/>
    <x v="1"/>
    <x v="1"/>
    <x v="2"/>
    <n v="2"/>
    <n v="0"/>
    <s v="Wallet"/>
    <x v="1"/>
    <x v="0"/>
    <n v="3"/>
    <n v="0"/>
    <n v="1"/>
    <s v="New"/>
    <x v="5"/>
    <n v="30"/>
    <n v="0"/>
  </r>
  <r>
    <n v="1493"/>
    <x v="102"/>
    <n v="1906"/>
    <x v="3"/>
    <x v="1"/>
    <x v="1"/>
    <n v="4"/>
    <n v="0"/>
    <s v="Wallet"/>
    <x v="1"/>
    <x v="0"/>
    <n v="6"/>
    <n v="1"/>
    <n v="0"/>
    <s v="New"/>
    <x v="3"/>
    <n v="50"/>
    <n v="0"/>
  </r>
  <r>
    <n v="1494"/>
    <x v="35"/>
    <n v="1978"/>
    <x v="1"/>
    <x v="1"/>
    <x v="0"/>
    <n v="2"/>
    <n v="0"/>
    <s v="Card"/>
    <x v="2"/>
    <x v="2"/>
    <n v="2"/>
    <n v="1"/>
    <n v="0"/>
    <s v="Repeat"/>
    <x v="0"/>
    <n v="35"/>
    <n v="0"/>
  </r>
  <r>
    <n v="1495"/>
    <x v="139"/>
    <n v="1601"/>
    <x v="3"/>
    <x v="3"/>
    <x v="1"/>
    <n v="4"/>
    <n v="0"/>
    <s v="Card"/>
    <x v="1"/>
    <x v="0"/>
    <n v="3"/>
    <n v="1"/>
    <n v="1"/>
    <s v="Repeat"/>
    <x v="4"/>
    <n v="45"/>
    <n v="0"/>
  </r>
  <r>
    <n v="1496"/>
    <x v="6"/>
    <n v="1676"/>
    <x v="4"/>
    <x v="4"/>
    <x v="2"/>
    <n v="4"/>
    <n v="0"/>
    <s v="Card"/>
    <x v="1"/>
    <x v="1"/>
    <n v="4"/>
    <n v="1"/>
    <n v="0"/>
    <s v="New"/>
    <x v="4"/>
    <n v="47"/>
    <n v="0"/>
  </r>
  <r>
    <n v="1497"/>
    <x v="138"/>
    <n v="1582"/>
    <x v="3"/>
    <x v="2"/>
    <x v="1"/>
    <n v="3"/>
    <n v="0"/>
    <s v="Card"/>
    <x v="1"/>
    <x v="3"/>
    <n v="8"/>
    <n v="0"/>
    <n v="1"/>
    <s v="New"/>
    <x v="2"/>
    <n v="44"/>
    <n v="0"/>
  </r>
  <r>
    <n v="1498"/>
    <x v="12"/>
    <n v="1746"/>
    <x v="0"/>
    <x v="2"/>
    <x v="1"/>
    <n v="2"/>
    <n v="8990"/>
    <s v="UPI"/>
    <x v="0"/>
    <x v="2"/>
    <n v="4"/>
    <n v="0"/>
    <n v="0"/>
    <s v="Repeat"/>
    <x v="1"/>
    <n v="38"/>
    <n v="1"/>
  </r>
  <r>
    <n v="1499"/>
    <x v="5"/>
    <n v="1498"/>
    <x v="3"/>
    <x v="3"/>
    <x v="0"/>
    <n v="5"/>
    <n v="0"/>
    <s v="COD"/>
    <x v="2"/>
    <x v="3"/>
    <n v="8"/>
    <n v="0"/>
    <n v="0"/>
    <s v="New"/>
    <x v="0"/>
    <n v="33"/>
    <n v="0"/>
  </r>
  <r>
    <n v="1500"/>
    <x v="19"/>
    <n v="1437"/>
    <x v="3"/>
    <x v="1"/>
    <x v="3"/>
    <n v="3"/>
    <n v="0"/>
    <s v="Wallet"/>
    <x v="2"/>
    <x v="2"/>
    <n v="4"/>
    <n v="0"/>
    <n v="0"/>
    <s v="Repeat"/>
    <x v="0"/>
    <n v="33"/>
    <n v="0"/>
  </r>
  <r>
    <n v="1501"/>
    <x v="32"/>
    <n v="1113"/>
    <x v="4"/>
    <x v="0"/>
    <x v="3"/>
    <n v="5"/>
    <n v="0"/>
    <s v="Wallet"/>
    <x v="1"/>
    <x v="0"/>
    <n v="9"/>
    <n v="0"/>
    <n v="1"/>
    <s v="New"/>
    <x v="1"/>
    <n v="38"/>
    <n v="0"/>
  </r>
  <r>
    <n v="1502"/>
    <x v="164"/>
    <n v="1122"/>
    <x v="3"/>
    <x v="2"/>
    <x v="0"/>
    <n v="1"/>
    <n v="3787"/>
    <s v="COD"/>
    <x v="0"/>
    <x v="3"/>
    <n v="2"/>
    <n v="1"/>
    <n v="1"/>
    <s v="New"/>
    <x v="0"/>
    <n v="34"/>
    <n v="1"/>
  </r>
  <r>
    <n v="1503"/>
    <x v="60"/>
    <n v="1824"/>
    <x v="0"/>
    <x v="3"/>
    <x v="1"/>
    <n v="1"/>
    <n v="0"/>
    <s v="Card"/>
    <x v="2"/>
    <x v="2"/>
    <n v="5"/>
    <n v="0"/>
    <n v="0"/>
    <s v="Repeat"/>
    <x v="1"/>
    <n v="36"/>
    <n v="0"/>
  </r>
  <r>
    <n v="1504"/>
    <x v="28"/>
    <n v="1386"/>
    <x v="1"/>
    <x v="4"/>
    <x v="1"/>
    <n v="3"/>
    <n v="0"/>
    <s v="Wallet"/>
    <x v="2"/>
    <x v="2"/>
    <n v="6"/>
    <n v="1"/>
    <n v="1"/>
    <s v="New"/>
    <x v="0"/>
    <n v="33"/>
    <n v="0"/>
  </r>
  <r>
    <n v="1505"/>
    <x v="178"/>
    <n v="1504"/>
    <x v="4"/>
    <x v="2"/>
    <x v="3"/>
    <n v="2"/>
    <n v="0"/>
    <s v="Wallet"/>
    <x v="1"/>
    <x v="0"/>
    <n v="10"/>
    <n v="0"/>
    <n v="0"/>
    <s v="Repeat"/>
    <x v="4"/>
    <n v="45"/>
    <n v="0"/>
  </r>
  <r>
    <n v="1506"/>
    <x v="139"/>
    <n v="1046"/>
    <x v="4"/>
    <x v="4"/>
    <x v="1"/>
    <n v="1"/>
    <n v="0"/>
    <s v="Card"/>
    <x v="1"/>
    <x v="0"/>
    <n v="10"/>
    <n v="0"/>
    <n v="1"/>
    <s v="Repeat"/>
    <x v="4"/>
    <n v="45"/>
    <n v="0"/>
  </r>
  <r>
    <n v="1507"/>
    <x v="6"/>
    <n v="1011"/>
    <x v="4"/>
    <x v="3"/>
    <x v="1"/>
    <n v="2"/>
    <n v="0"/>
    <s v="Card"/>
    <x v="1"/>
    <x v="3"/>
    <n v="9"/>
    <n v="0"/>
    <n v="0"/>
    <s v="New"/>
    <x v="4"/>
    <n v="47"/>
    <n v="0"/>
  </r>
  <r>
    <n v="1508"/>
    <x v="153"/>
    <n v="1972"/>
    <x v="1"/>
    <x v="2"/>
    <x v="3"/>
    <n v="1"/>
    <n v="2850"/>
    <s v="Card"/>
    <x v="0"/>
    <x v="2"/>
    <n v="9"/>
    <n v="1"/>
    <n v="0"/>
    <s v="New"/>
    <x v="0"/>
    <n v="31"/>
    <n v="1"/>
  </r>
  <r>
    <n v="1509"/>
    <x v="178"/>
    <n v="1821"/>
    <x v="1"/>
    <x v="3"/>
    <x v="0"/>
    <n v="1"/>
    <n v="1917"/>
    <s v="COD"/>
    <x v="0"/>
    <x v="1"/>
    <n v="2"/>
    <n v="1"/>
    <n v="0"/>
    <s v="New"/>
    <x v="4"/>
    <n v="45"/>
    <n v="1"/>
  </r>
  <r>
    <n v="1510"/>
    <x v="109"/>
    <n v="1371"/>
    <x v="0"/>
    <x v="1"/>
    <x v="3"/>
    <n v="3"/>
    <n v="13086"/>
    <s v="COD"/>
    <x v="0"/>
    <x v="1"/>
    <n v="10"/>
    <n v="1"/>
    <n v="1"/>
    <s v="New"/>
    <x v="4"/>
    <n v="46"/>
    <n v="1"/>
  </r>
  <r>
    <n v="1511"/>
    <x v="140"/>
    <n v="1035"/>
    <x v="0"/>
    <x v="2"/>
    <x v="1"/>
    <n v="1"/>
    <n v="0"/>
    <s v="Card"/>
    <x v="1"/>
    <x v="2"/>
    <n v="7"/>
    <n v="1"/>
    <n v="0"/>
    <s v="Repeat"/>
    <x v="4"/>
    <n v="48"/>
    <n v="0"/>
  </r>
  <r>
    <n v="1512"/>
    <x v="56"/>
    <n v="1205"/>
    <x v="2"/>
    <x v="1"/>
    <x v="2"/>
    <n v="1"/>
    <n v="0"/>
    <s v="COD"/>
    <x v="1"/>
    <x v="2"/>
    <n v="5"/>
    <n v="0"/>
    <n v="1"/>
    <s v="Repeat"/>
    <x v="6"/>
    <n v="2"/>
    <n v="0"/>
  </r>
  <r>
    <n v="1513"/>
    <x v="55"/>
    <n v="1949"/>
    <x v="0"/>
    <x v="4"/>
    <x v="0"/>
    <n v="5"/>
    <n v="0"/>
    <s v="COD"/>
    <x v="1"/>
    <x v="1"/>
    <n v="10"/>
    <n v="1"/>
    <n v="0"/>
    <s v="Repeat"/>
    <x v="1"/>
    <n v="37"/>
    <n v="0"/>
  </r>
  <r>
    <n v="1514"/>
    <x v="104"/>
    <n v="1404"/>
    <x v="3"/>
    <x v="1"/>
    <x v="3"/>
    <n v="2"/>
    <n v="0"/>
    <s v="Wallet"/>
    <x v="2"/>
    <x v="0"/>
    <n v="3"/>
    <n v="0"/>
    <n v="0"/>
    <s v="New"/>
    <x v="5"/>
    <n v="29"/>
    <n v="0"/>
  </r>
  <r>
    <n v="1515"/>
    <x v="110"/>
    <n v="1130"/>
    <x v="0"/>
    <x v="0"/>
    <x v="0"/>
    <n v="1"/>
    <n v="0"/>
    <s v="UPI"/>
    <x v="2"/>
    <x v="0"/>
    <n v="1"/>
    <n v="1"/>
    <n v="0"/>
    <s v="New"/>
    <x v="3"/>
    <n v="52"/>
    <n v="0"/>
  </r>
  <r>
    <n v="1516"/>
    <x v="21"/>
    <n v="1224"/>
    <x v="4"/>
    <x v="4"/>
    <x v="2"/>
    <n v="1"/>
    <n v="0"/>
    <s v="COD"/>
    <x v="1"/>
    <x v="3"/>
    <n v="1"/>
    <n v="0"/>
    <n v="1"/>
    <s v="Repeat"/>
    <x v="2"/>
    <n v="43"/>
    <n v="0"/>
  </r>
  <r>
    <n v="1517"/>
    <x v="176"/>
    <n v="1323"/>
    <x v="3"/>
    <x v="3"/>
    <x v="3"/>
    <n v="1"/>
    <n v="0"/>
    <s v="COD"/>
    <x v="2"/>
    <x v="3"/>
    <n v="8"/>
    <n v="1"/>
    <n v="1"/>
    <s v="New"/>
    <x v="3"/>
    <n v="51"/>
    <n v="0"/>
  </r>
  <r>
    <n v="1518"/>
    <x v="57"/>
    <n v="1451"/>
    <x v="0"/>
    <x v="3"/>
    <x v="0"/>
    <n v="1"/>
    <n v="0"/>
    <s v="COD"/>
    <x v="2"/>
    <x v="0"/>
    <n v="10"/>
    <n v="0"/>
    <n v="1"/>
    <s v="New"/>
    <x v="4"/>
    <n v="48"/>
    <n v="0"/>
  </r>
  <r>
    <n v="1519"/>
    <x v="140"/>
    <n v="1179"/>
    <x v="2"/>
    <x v="2"/>
    <x v="1"/>
    <n v="4"/>
    <n v="0"/>
    <s v="UPI"/>
    <x v="2"/>
    <x v="3"/>
    <n v="4"/>
    <n v="1"/>
    <n v="0"/>
    <s v="Repeat"/>
    <x v="4"/>
    <n v="48"/>
    <n v="0"/>
  </r>
  <r>
    <n v="1520"/>
    <x v="5"/>
    <n v="1257"/>
    <x v="0"/>
    <x v="1"/>
    <x v="1"/>
    <n v="1"/>
    <n v="0"/>
    <s v="Wallet"/>
    <x v="2"/>
    <x v="1"/>
    <n v="10"/>
    <n v="1"/>
    <n v="1"/>
    <s v="Repeat"/>
    <x v="0"/>
    <n v="33"/>
    <n v="0"/>
  </r>
  <r>
    <n v="1521"/>
    <x v="147"/>
    <n v="1064"/>
    <x v="1"/>
    <x v="3"/>
    <x v="2"/>
    <n v="1"/>
    <n v="3023"/>
    <s v="COD"/>
    <x v="0"/>
    <x v="1"/>
    <n v="10"/>
    <n v="0"/>
    <n v="0"/>
    <s v="Repeat"/>
    <x v="4"/>
    <n v="47"/>
    <n v="1"/>
  </r>
  <r>
    <n v="1522"/>
    <x v="163"/>
    <n v="1955"/>
    <x v="0"/>
    <x v="4"/>
    <x v="0"/>
    <n v="2"/>
    <n v="0"/>
    <s v="UPI"/>
    <x v="1"/>
    <x v="2"/>
    <n v="4"/>
    <n v="1"/>
    <n v="1"/>
    <s v="Repeat"/>
    <x v="4"/>
    <n v="45"/>
    <n v="0"/>
  </r>
  <r>
    <n v="1523"/>
    <x v="54"/>
    <n v="1805"/>
    <x v="2"/>
    <x v="0"/>
    <x v="1"/>
    <n v="5"/>
    <n v="0"/>
    <s v="Wallet"/>
    <x v="2"/>
    <x v="2"/>
    <n v="5"/>
    <n v="0"/>
    <n v="1"/>
    <s v="Repeat"/>
    <x v="0"/>
    <n v="34"/>
    <n v="0"/>
  </r>
  <r>
    <n v="1524"/>
    <x v="76"/>
    <n v="1711"/>
    <x v="4"/>
    <x v="0"/>
    <x v="0"/>
    <n v="3"/>
    <n v="0"/>
    <s v="UPI"/>
    <x v="2"/>
    <x v="2"/>
    <n v="7"/>
    <n v="1"/>
    <n v="0"/>
    <s v="Repeat"/>
    <x v="3"/>
    <n v="50"/>
    <n v="0"/>
  </r>
  <r>
    <n v="1525"/>
    <x v="160"/>
    <n v="1760"/>
    <x v="1"/>
    <x v="3"/>
    <x v="3"/>
    <n v="3"/>
    <n v="0"/>
    <s v="Wallet"/>
    <x v="2"/>
    <x v="3"/>
    <n v="4"/>
    <n v="1"/>
    <n v="1"/>
    <s v="Repeat"/>
    <x v="4"/>
    <n v="47"/>
    <n v="0"/>
  </r>
  <r>
    <n v="1526"/>
    <x v="122"/>
    <n v="1433"/>
    <x v="4"/>
    <x v="1"/>
    <x v="0"/>
    <n v="1"/>
    <n v="0"/>
    <s v="COD"/>
    <x v="2"/>
    <x v="1"/>
    <n v="1"/>
    <n v="1"/>
    <n v="0"/>
    <s v="New"/>
    <x v="3"/>
    <n v="53"/>
    <n v="0"/>
  </r>
  <r>
    <n v="1527"/>
    <x v="161"/>
    <n v="1381"/>
    <x v="1"/>
    <x v="2"/>
    <x v="2"/>
    <n v="4"/>
    <n v="0"/>
    <s v="Card"/>
    <x v="2"/>
    <x v="1"/>
    <n v="5"/>
    <n v="0"/>
    <n v="0"/>
    <s v="Repeat"/>
    <x v="2"/>
    <n v="41"/>
    <n v="0"/>
  </r>
  <r>
    <n v="1528"/>
    <x v="7"/>
    <n v="1922"/>
    <x v="0"/>
    <x v="2"/>
    <x v="1"/>
    <n v="4"/>
    <n v="0"/>
    <s v="UPI"/>
    <x v="2"/>
    <x v="3"/>
    <n v="8"/>
    <n v="0"/>
    <n v="1"/>
    <s v="Repeat"/>
    <x v="3"/>
    <n v="49"/>
    <n v="0"/>
  </r>
  <r>
    <n v="1529"/>
    <x v="137"/>
    <n v="1491"/>
    <x v="2"/>
    <x v="3"/>
    <x v="0"/>
    <n v="4"/>
    <n v="1288"/>
    <s v="Wallet"/>
    <x v="0"/>
    <x v="3"/>
    <n v="8"/>
    <n v="0"/>
    <n v="0"/>
    <s v="Repeat"/>
    <x v="1"/>
    <n v="40"/>
    <n v="1"/>
  </r>
  <r>
    <n v="1530"/>
    <x v="15"/>
    <n v="1582"/>
    <x v="2"/>
    <x v="4"/>
    <x v="3"/>
    <n v="1"/>
    <n v="939"/>
    <s v="UPI"/>
    <x v="0"/>
    <x v="2"/>
    <n v="8"/>
    <n v="0"/>
    <n v="0"/>
    <s v="Repeat"/>
    <x v="4"/>
    <n v="47"/>
    <n v="1"/>
  </r>
  <r>
    <n v="1531"/>
    <x v="45"/>
    <n v="1617"/>
    <x v="3"/>
    <x v="2"/>
    <x v="0"/>
    <n v="3"/>
    <n v="0"/>
    <s v="COD"/>
    <x v="2"/>
    <x v="2"/>
    <n v="7"/>
    <n v="0"/>
    <n v="1"/>
    <s v="New"/>
    <x v="6"/>
    <n v="2"/>
    <n v="0"/>
  </r>
  <r>
    <n v="1532"/>
    <x v="180"/>
    <n v="1066"/>
    <x v="1"/>
    <x v="4"/>
    <x v="1"/>
    <n v="1"/>
    <n v="0"/>
    <s v="UPI"/>
    <x v="1"/>
    <x v="3"/>
    <n v="10"/>
    <n v="0"/>
    <n v="0"/>
    <s v="New"/>
    <x v="4"/>
    <n v="46"/>
    <n v="0"/>
  </r>
  <r>
    <n v="1533"/>
    <x v="89"/>
    <n v="1087"/>
    <x v="3"/>
    <x v="4"/>
    <x v="0"/>
    <n v="5"/>
    <n v="0"/>
    <s v="UPI"/>
    <x v="1"/>
    <x v="0"/>
    <n v="1"/>
    <n v="0"/>
    <n v="1"/>
    <s v="Repeat"/>
    <x v="0"/>
    <n v="35"/>
    <n v="0"/>
  </r>
  <r>
    <n v="1534"/>
    <x v="60"/>
    <n v="1466"/>
    <x v="1"/>
    <x v="2"/>
    <x v="1"/>
    <n v="5"/>
    <n v="11670"/>
    <s v="COD"/>
    <x v="0"/>
    <x v="3"/>
    <n v="10"/>
    <n v="0"/>
    <n v="0"/>
    <s v="Repeat"/>
    <x v="1"/>
    <n v="36"/>
    <n v="1"/>
  </r>
  <r>
    <n v="1535"/>
    <x v="61"/>
    <n v="1690"/>
    <x v="1"/>
    <x v="0"/>
    <x v="1"/>
    <n v="3"/>
    <n v="0"/>
    <s v="UPI"/>
    <x v="1"/>
    <x v="3"/>
    <n v="4"/>
    <n v="0"/>
    <n v="1"/>
    <s v="New"/>
    <x v="4"/>
    <n v="46"/>
    <n v="0"/>
  </r>
  <r>
    <n v="1536"/>
    <x v="31"/>
    <n v="1296"/>
    <x v="3"/>
    <x v="2"/>
    <x v="1"/>
    <n v="5"/>
    <n v="0"/>
    <s v="COD"/>
    <x v="2"/>
    <x v="2"/>
    <n v="1"/>
    <n v="1"/>
    <n v="0"/>
    <s v="New"/>
    <x v="2"/>
    <n v="44"/>
    <n v="0"/>
  </r>
  <r>
    <n v="1537"/>
    <x v="165"/>
    <n v="1414"/>
    <x v="3"/>
    <x v="0"/>
    <x v="3"/>
    <n v="3"/>
    <n v="0"/>
    <s v="Card"/>
    <x v="2"/>
    <x v="3"/>
    <n v="2"/>
    <n v="0"/>
    <n v="1"/>
    <s v="Repeat"/>
    <x v="2"/>
    <n v="41"/>
    <n v="0"/>
  </r>
  <r>
    <n v="1538"/>
    <x v="116"/>
    <n v="1449"/>
    <x v="0"/>
    <x v="3"/>
    <x v="3"/>
    <n v="3"/>
    <n v="0"/>
    <s v="COD"/>
    <x v="1"/>
    <x v="1"/>
    <n v="6"/>
    <n v="1"/>
    <n v="1"/>
    <s v="Repeat"/>
    <x v="3"/>
    <n v="50"/>
    <n v="0"/>
  </r>
  <r>
    <n v="1539"/>
    <x v="11"/>
    <n v="1889"/>
    <x v="2"/>
    <x v="0"/>
    <x v="3"/>
    <n v="4"/>
    <n v="0"/>
    <s v="Wallet"/>
    <x v="2"/>
    <x v="3"/>
    <n v="8"/>
    <n v="0"/>
    <n v="1"/>
    <s v="Repeat"/>
    <x v="0"/>
    <n v="35"/>
    <n v="0"/>
  </r>
  <r>
    <n v="1540"/>
    <x v="7"/>
    <n v="1494"/>
    <x v="0"/>
    <x v="1"/>
    <x v="3"/>
    <n v="1"/>
    <n v="0"/>
    <s v="Wallet"/>
    <x v="2"/>
    <x v="2"/>
    <n v="1"/>
    <n v="1"/>
    <n v="0"/>
    <s v="New"/>
    <x v="3"/>
    <n v="49"/>
    <n v="0"/>
  </r>
  <r>
    <n v="1541"/>
    <x v="131"/>
    <n v="1850"/>
    <x v="2"/>
    <x v="4"/>
    <x v="2"/>
    <n v="5"/>
    <n v="21220"/>
    <s v="COD"/>
    <x v="0"/>
    <x v="3"/>
    <n v="7"/>
    <n v="1"/>
    <n v="0"/>
    <s v="New"/>
    <x v="4"/>
    <n v="47"/>
    <n v="1"/>
  </r>
  <r>
    <n v="1542"/>
    <x v="1"/>
    <n v="1739"/>
    <x v="2"/>
    <x v="3"/>
    <x v="0"/>
    <n v="4"/>
    <n v="0"/>
    <s v="UPI"/>
    <x v="2"/>
    <x v="1"/>
    <n v="3"/>
    <n v="0"/>
    <n v="0"/>
    <s v="New"/>
    <x v="1"/>
    <n v="39"/>
    <n v="0"/>
  </r>
  <r>
    <n v="1543"/>
    <x v="148"/>
    <n v="1939"/>
    <x v="1"/>
    <x v="1"/>
    <x v="0"/>
    <n v="5"/>
    <n v="0"/>
    <s v="Card"/>
    <x v="2"/>
    <x v="0"/>
    <n v="6"/>
    <n v="0"/>
    <n v="0"/>
    <s v="Repeat"/>
    <x v="5"/>
    <n v="30"/>
    <n v="0"/>
  </r>
  <r>
    <n v="1544"/>
    <x v="146"/>
    <n v="1547"/>
    <x v="3"/>
    <x v="3"/>
    <x v="3"/>
    <n v="1"/>
    <n v="0"/>
    <s v="Wallet"/>
    <x v="1"/>
    <x v="3"/>
    <n v="10"/>
    <n v="1"/>
    <n v="0"/>
    <s v="New"/>
    <x v="2"/>
    <n v="40"/>
    <n v="0"/>
  </r>
  <r>
    <n v="1545"/>
    <x v="112"/>
    <n v="1466"/>
    <x v="0"/>
    <x v="3"/>
    <x v="3"/>
    <n v="3"/>
    <n v="0"/>
    <s v="UPI"/>
    <x v="1"/>
    <x v="1"/>
    <n v="3"/>
    <n v="1"/>
    <n v="0"/>
    <s v="Repeat"/>
    <x v="5"/>
    <n v="30"/>
    <n v="0"/>
  </r>
  <r>
    <n v="1546"/>
    <x v="76"/>
    <n v="1234"/>
    <x v="2"/>
    <x v="4"/>
    <x v="3"/>
    <n v="1"/>
    <n v="0"/>
    <s v="COD"/>
    <x v="1"/>
    <x v="3"/>
    <n v="1"/>
    <n v="0"/>
    <n v="1"/>
    <s v="Repeat"/>
    <x v="3"/>
    <n v="50"/>
    <n v="0"/>
  </r>
  <r>
    <n v="1547"/>
    <x v="125"/>
    <n v="1284"/>
    <x v="1"/>
    <x v="3"/>
    <x v="3"/>
    <n v="3"/>
    <n v="0"/>
    <s v="COD"/>
    <x v="2"/>
    <x v="0"/>
    <n v="8"/>
    <n v="1"/>
    <n v="1"/>
    <s v="New"/>
    <x v="5"/>
    <n v="31"/>
    <n v="0"/>
  </r>
  <r>
    <n v="1548"/>
    <x v="110"/>
    <n v="1352"/>
    <x v="2"/>
    <x v="0"/>
    <x v="3"/>
    <n v="5"/>
    <n v="0"/>
    <s v="COD"/>
    <x v="2"/>
    <x v="2"/>
    <n v="9"/>
    <n v="0"/>
    <n v="1"/>
    <s v="Repeat"/>
    <x v="3"/>
    <n v="52"/>
    <n v="0"/>
  </r>
  <r>
    <n v="1549"/>
    <x v="90"/>
    <n v="1611"/>
    <x v="3"/>
    <x v="3"/>
    <x v="2"/>
    <n v="3"/>
    <n v="1479"/>
    <s v="UPI"/>
    <x v="0"/>
    <x v="3"/>
    <n v="3"/>
    <n v="0"/>
    <n v="0"/>
    <s v="Repeat"/>
    <x v="0"/>
    <n v="31"/>
    <n v="1"/>
  </r>
  <r>
    <n v="1550"/>
    <x v="41"/>
    <n v="1432"/>
    <x v="1"/>
    <x v="4"/>
    <x v="3"/>
    <n v="3"/>
    <n v="0"/>
    <s v="Card"/>
    <x v="1"/>
    <x v="0"/>
    <n v="7"/>
    <n v="0"/>
    <n v="1"/>
    <s v="Repeat"/>
    <x v="1"/>
    <n v="37"/>
    <n v="0"/>
  </r>
  <r>
    <n v="1551"/>
    <x v="63"/>
    <n v="1535"/>
    <x v="1"/>
    <x v="4"/>
    <x v="1"/>
    <n v="3"/>
    <n v="0"/>
    <s v="COD"/>
    <x v="2"/>
    <x v="2"/>
    <n v="3"/>
    <n v="0"/>
    <n v="0"/>
    <s v="New"/>
    <x v="5"/>
    <n v="29"/>
    <n v="0"/>
  </r>
  <r>
    <n v="1552"/>
    <x v="83"/>
    <n v="1988"/>
    <x v="4"/>
    <x v="2"/>
    <x v="0"/>
    <n v="2"/>
    <n v="0"/>
    <s v="UPI"/>
    <x v="1"/>
    <x v="1"/>
    <n v="8"/>
    <n v="0"/>
    <n v="1"/>
    <s v="Repeat"/>
    <x v="1"/>
    <n v="36"/>
    <n v="0"/>
  </r>
  <r>
    <n v="1553"/>
    <x v="144"/>
    <n v="1973"/>
    <x v="2"/>
    <x v="3"/>
    <x v="0"/>
    <n v="3"/>
    <n v="0"/>
    <s v="Card"/>
    <x v="2"/>
    <x v="1"/>
    <n v="3"/>
    <n v="0"/>
    <n v="0"/>
    <s v="Repeat"/>
    <x v="3"/>
    <n v="52"/>
    <n v="0"/>
  </r>
  <r>
    <n v="1554"/>
    <x v="61"/>
    <n v="1500"/>
    <x v="1"/>
    <x v="0"/>
    <x v="2"/>
    <n v="1"/>
    <n v="2298"/>
    <s v="Wallet"/>
    <x v="0"/>
    <x v="2"/>
    <n v="4"/>
    <n v="1"/>
    <n v="1"/>
    <s v="New"/>
    <x v="4"/>
    <n v="46"/>
    <n v="1"/>
  </r>
  <r>
    <n v="1555"/>
    <x v="157"/>
    <n v="1157"/>
    <x v="3"/>
    <x v="0"/>
    <x v="3"/>
    <n v="5"/>
    <n v="23045"/>
    <s v="UPI"/>
    <x v="0"/>
    <x v="2"/>
    <n v="6"/>
    <n v="1"/>
    <n v="0"/>
    <s v="New"/>
    <x v="2"/>
    <n v="41"/>
    <n v="1"/>
  </r>
  <r>
    <n v="1556"/>
    <x v="72"/>
    <n v="1134"/>
    <x v="3"/>
    <x v="2"/>
    <x v="0"/>
    <n v="5"/>
    <n v="0"/>
    <s v="COD"/>
    <x v="1"/>
    <x v="3"/>
    <n v="2"/>
    <n v="1"/>
    <n v="1"/>
    <s v="New"/>
    <x v="2"/>
    <n v="41"/>
    <n v="0"/>
  </r>
  <r>
    <n v="1557"/>
    <x v="72"/>
    <n v="1915"/>
    <x v="0"/>
    <x v="0"/>
    <x v="1"/>
    <n v="5"/>
    <n v="4980"/>
    <s v="COD"/>
    <x v="0"/>
    <x v="3"/>
    <n v="10"/>
    <n v="0"/>
    <n v="1"/>
    <s v="New"/>
    <x v="2"/>
    <n v="41"/>
    <n v="1"/>
  </r>
  <r>
    <n v="1558"/>
    <x v="118"/>
    <n v="1101"/>
    <x v="0"/>
    <x v="3"/>
    <x v="2"/>
    <n v="2"/>
    <n v="0"/>
    <s v="Card"/>
    <x v="1"/>
    <x v="1"/>
    <n v="8"/>
    <n v="1"/>
    <n v="0"/>
    <s v="Repeat"/>
    <x v="0"/>
    <n v="35"/>
    <n v="0"/>
  </r>
  <r>
    <n v="1559"/>
    <x v="49"/>
    <n v="1324"/>
    <x v="2"/>
    <x v="4"/>
    <x v="2"/>
    <n v="3"/>
    <n v="0"/>
    <s v="UPI"/>
    <x v="2"/>
    <x v="2"/>
    <n v="6"/>
    <n v="0"/>
    <n v="0"/>
    <s v="Repeat"/>
    <x v="0"/>
    <n v="36"/>
    <n v="0"/>
  </r>
  <r>
    <n v="1560"/>
    <x v="124"/>
    <n v="1795"/>
    <x v="4"/>
    <x v="2"/>
    <x v="3"/>
    <n v="1"/>
    <n v="0"/>
    <s v="UPI"/>
    <x v="2"/>
    <x v="2"/>
    <n v="9"/>
    <n v="0"/>
    <n v="0"/>
    <s v="New"/>
    <x v="1"/>
    <n v="37"/>
    <n v="0"/>
  </r>
  <r>
    <n v="1561"/>
    <x v="151"/>
    <n v="1957"/>
    <x v="1"/>
    <x v="2"/>
    <x v="1"/>
    <n v="2"/>
    <n v="0"/>
    <s v="Card"/>
    <x v="2"/>
    <x v="3"/>
    <n v="6"/>
    <n v="1"/>
    <n v="1"/>
    <s v="New"/>
    <x v="3"/>
    <n v="52"/>
    <n v="0"/>
  </r>
  <r>
    <n v="1562"/>
    <x v="72"/>
    <n v="1854"/>
    <x v="4"/>
    <x v="1"/>
    <x v="1"/>
    <n v="3"/>
    <n v="6387"/>
    <s v="UPI"/>
    <x v="0"/>
    <x v="2"/>
    <n v="8"/>
    <n v="1"/>
    <n v="0"/>
    <s v="Repeat"/>
    <x v="2"/>
    <n v="41"/>
    <n v="1"/>
  </r>
  <r>
    <n v="1563"/>
    <x v="100"/>
    <n v="1896"/>
    <x v="3"/>
    <x v="2"/>
    <x v="1"/>
    <n v="4"/>
    <n v="2208"/>
    <s v="UPI"/>
    <x v="0"/>
    <x v="3"/>
    <n v="6"/>
    <n v="0"/>
    <n v="1"/>
    <s v="Repeat"/>
    <x v="1"/>
    <n v="37"/>
    <n v="1"/>
  </r>
  <r>
    <n v="1564"/>
    <x v="23"/>
    <n v="1754"/>
    <x v="3"/>
    <x v="3"/>
    <x v="3"/>
    <n v="5"/>
    <n v="0"/>
    <s v="Card"/>
    <x v="2"/>
    <x v="0"/>
    <n v="10"/>
    <n v="0"/>
    <n v="1"/>
    <s v="New"/>
    <x v="3"/>
    <n v="51"/>
    <n v="0"/>
  </r>
  <r>
    <n v="1565"/>
    <x v="45"/>
    <n v="1336"/>
    <x v="3"/>
    <x v="1"/>
    <x v="0"/>
    <n v="3"/>
    <n v="0"/>
    <s v="Wallet"/>
    <x v="1"/>
    <x v="2"/>
    <n v="8"/>
    <n v="1"/>
    <n v="0"/>
    <s v="New"/>
    <x v="6"/>
    <n v="2"/>
    <n v="0"/>
  </r>
  <r>
    <n v="1566"/>
    <x v="28"/>
    <n v="1501"/>
    <x v="1"/>
    <x v="2"/>
    <x v="1"/>
    <n v="4"/>
    <n v="0"/>
    <s v="UPI"/>
    <x v="1"/>
    <x v="0"/>
    <n v="5"/>
    <n v="0"/>
    <n v="0"/>
    <s v="New"/>
    <x v="0"/>
    <n v="33"/>
    <n v="0"/>
  </r>
  <r>
    <n v="1567"/>
    <x v="118"/>
    <n v="1299"/>
    <x v="4"/>
    <x v="1"/>
    <x v="0"/>
    <n v="4"/>
    <n v="0"/>
    <s v="UPI"/>
    <x v="1"/>
    <x v="2"/>
    <n v="10"/>
    <n v="1"/>
    <n v="0"/>
    <s v="Repeat"/>
    <x v="0"/>
    <n v="35"/>
    <n v="0"/>
  </r>
  <r>
    <n v="1568"/>
    <x v="120"/>
    <n v="1710"/>
    <x v="1"/>
    <x v="1"/>
    <x v="1"/>
    <n v="4"/>
    <n v="0"/>
    <s v="Card"/>
    <x v="2"/>
    <x v="2"/>
    <n v="2"/>
    <n v="1"/>
    <n v="0"/>
    <s v="Repeat"/>
    <x v="6"/>
    <n v="1"/>
    <n v="0"/>
  </r>
  <r>
    <n v="1569"/>
    <x v="111"/>
    <n v="1769"/>
    <x v="2"/>
    <x v="2"/>
    <x v="1"/>
    <n v="2"/>
    <n v="2752"/>
    <s v="Wallet"/>
    <x v="0"/>
    <x v="0"/>
    <n v="7"/>
    <n v="1"/>
    <n v="1"/>
    <s v="New"/>
    <x v="4"/>
    <n v="48"/>
    <n v="1"/>
  </r>
  <r>
    <n v="1570"/>
    <x v="175"/>
    <n v="1778"/>
    <x v="0"/>
    <x v="1"/>
    <x v="1"/>
    <n v="3"/>
    <n v="0"/>
    <s v="COD"/>
    <x v="2"/>
    <x v="2"/>
    <n v="5"/>
    <n v="0"/>
    <n v="1"/>
    <s v="New"/>
    <x v="5"/>
    <n v="31"/>
    <n v="0"/>
  </r>
  <r>
    <n v="1571"/>
    <x v="133"/>
    <n v="1823"/>
    <x v="3"/>
    <x v="4"/>
    <x v="1"/>
    <n v="3"/>
    <n v="6396"/>
    <s v="Card"/>
    <x v="0"/>
    <x v="1"/>
    <n v="4"/>
    <n v="1"/>
    <n v="1"/>
    <s v="Repeat"/>
    <x v="0"/>
    <n v="35"/>
    <n v="1"/>
  </r>
  <r>
    <n v="1572"/>
    <x v="159"/>
    <n v="1212"/>
    <x v="4"/>
    <x v="2"/>
    <x v="2"/>
    <n v="2"/>
    <n v="0"/>
    <s v="Wallet"/>
    <x v="2"/>
    <x v="2"/>
    <n v="5"/>
    <n v="0"/>
    <n v="1"/>
    <s v="Repeat"/>
    <x v="3"/>
    <n v="49"/>
    <n v="0"/>
  </r>
  <r>
    <n v="1573"/>
    <x v="141"/>
    <n v="1448"/>
    <x v="4"/>
    <x v="0"/>
    <x v="1"/>
    <n v="5"/>
    <n v="0"/>
    <s v="Wallet"/>
    <x v="1"/>
    <x v="1"/>
    <n v="6"/>
    <n v="0"/>
    <n v="1"/>
    <s v="New"/>
    <x v="1"/>
    <n v="39"/>
    <n v="0"/>
  </r>
  <r>
    <n v="1574"/>
    <x v="143"/>
    <n v="1347"/>
    <x v="1"/>
    <x v="4"/>
    <x v="1"/>
    <n v="1"/>
    <n v="0"/>
    <s v="Card"/>
    <x v="1"/>
    <x v="1"/>
    <n v="5"/>
    <n v="0"/>
    <n v="1"/>
    <s v="New"/>
    <x v="2"/>
    <n v="43"/>
    <n v="0"/>
  </r>
  <r>
    <n v="1575"/>
    <x v="33"/>
    <n v="1340"/>
    <x v="4"/>
    <x v="4"/>
    <x v="0"/>
    <n v="1"/>
    <n v="1008"/>
    <s v="Wallet"/>
    <x v="0"/>
    <x v="3"/>
    <n v="8"/>
    <n v="0"/>
    <n v="0"/>
    <s v="Repeat"/>
    <x v="5"/>
    <n v="31"/>
    <n v="1"/>
  </r>
  <r>
    <n v="1576"/>
    <x v="124"/>
    <n v="1261"/>
    <x v="4"/>
    <x v="0"/>
    <x v="0"/>
    <n v="2"/>
    <n v="0"/>
    <s v="UPI"/>
    <x v="1"/>
    <x v="1"/>
    <n v="3"/>
    <n v="0"/>
    <n v="0"/>
    <s v="Repeat"/>
    <x v="1"/>
    <n v="37"/>
    <n v="0"/>
  </r>
  <r>
    <n v="1577"/>
    <x v="15"/>
    <n v="1687"/>
    <x v="0"/>
    <x v="4"/>
    <x v="0"/>
    <n v="2"/>
    <n v="6170"/>
    <s v="Card"/>
    <x v="0"/>
    <x v="2"/>
    <n v="6"/>
    <n v="1"/>
    <n v="1"/>
    <s v="Repeat"/>
    <x v="4"/>
    <n v="47"/>
    <n v="1"/>
  </r>
  <r>
    <n v="1578"/>
    <x v="140"/>
    <n v="1392"/>
    <x v="2"/>
    <x v="1"/>
    <x v="2"/>
    <n v="4"/>
    <n v="0"/>
    <s v="COD"/>
    <x v="2"/>
    <x v="1"/>
    <n v="8"/>
    <n v="1"/>
    <n v="0"/>
    <s v="Repeat"/>
    <x v="4"/>
    <n v="48"/>
    <n v="0"/>
  </r>
  <r>
    <n v="1579"/>
    <x v="121"/>
    <n v="1455"/>
    <x v="3"/>
    <x v="3"/>
    <x v="3"/>
    <n v="2"/>
    <n v="9190"/>
    <s v="COD"/>
    <x v="0"/>
    <x v="0"/>
    <n v="8"/>
    <n v="0"/>
    <n v="0"/>
    <s v="Repeat"/>
    <x v="1"/>
    <n v="37"/>
    <n v="1"/>
  </r>
  <r>
    <n v="1580"/>
    <x v="28"/>
    <n v="1851"/>
    <x v="1"/>
    <x v="4"/>
    <x v="0"/>
    <n v="5"/>
    <n v="0"/>
    <s v="Wallet"/>
    <x v="1"/>
    <x v="1"/>
    <n v="3"/>
    <n v="0"/>
    <n v="0"/>
    <s v="Repeat"/>
    <x v="0"/>
    <n v="33"/>
    <n v="0"/>
  </r>
  <r>
    <n v="1581"/>
    <x v="98"/>
    <n v="1467"/>
    <x v="1"/>
    <x v="3"/>
    <x v="2"/>
    <n v="2"/>
    <n v="0"/>
    <s v="Card"/>
    <x v="2"/>
    <x v="0"/>
    <n v="7"/>
    <n v="0"/>
    <n v="0"/>
    <s v="New"/>
    <x v="3"/>
    <n v="51"/>
    <n v="0"/>
  </r>
  <r>
    <n v="1582"/>
    <x v="109"/>
    <n v="1852"/>
    <x v="2"/>
    <x v="4"/>
    <x v="3"/>
    <n v="2"/>
    <n v="0"/>
    <s v="COD"/>
    <x v="2"/>
    <x v="2"/>
    <n v="6"/>
    <n v="1"/>
    <n v="0"/>
    <s v="New"/>
    <x v="4"/>
    <n v="46"/>
    <n v="0"/>
  </r>
  <r>
    <n v="1583"/>
    <x v="41"/>
    <n v="1083"/>
    <x v="2"/>
    <x v="1"/>
    <x v="1"/>
    <n v="2"/>
    <n v="5184"/>
    <s v="COD"/>
    <x v="0"/>
    <x v="1"/>
    <n v="4"/>
    <n v="0"/>
    <n v="1"/>
    <s v="Repeat"/>
    <x v="1"/>
    <n v="37"/>
    <n v="1"/>
  </r>
  <r>
    <n v="1584"/>
    <x v="92"/>
    <n v="1824"/>
    <x v="2"/>
    <x v="0"/>
    <x v="2"/>
    <n v="3"/>
    <n v="0"/>
    <s v="UPI"/>
    <x v="1"/>
    <x v="0"/>
    <n v="3"/>
    <n v="0"/>
    <n v="1"/>
    <s v="New"/>
    <x v="3"/>
    <n v="53"/>
    <n v="0"/>
  </r>
  <r>
    <n v="1585"/>
    <x v="171"/>
    <n v="1582"/>
    <x v="2"/>
    <x v="4"/>
    <x v="3"/>
    <n v="1"/>
    <n v="3118"/>
    <s v="UPI"/>
    <x v="0"/>
    <x v="3"/>
    <n v="8"/>
    <n v="0"/>
    <n v="1"/>
    <s v="Repeat"/>
    <x v="1"/>
    <n v="36"/>
    <n v="1"/>
  </r>
  <r>
    <n v="1586"/>
    <x v="44"/>
    <n v="1242"/>
    <x v="2"/>
    <x v="0"/>
    <x v="2"/>
    <n v="2"/>
    <n v="0"/>
    <s v="UPI"/>
    <x v="1"/>
    <x v="3"/>
    <n v="9"/>
    <n v="1"/>
    <n v="0"/>
    <s v="Repeat"/>
    <x v="4"/>
    <n v="47"/>
    <n v="0"/>
  </r>
  <r>
    <n v="1587"/>
    <x v="114"/>
    <n v="1836"/>
    <x v="4"/>
    <x v="1"/>
    <x v="1"/>
    <n v="4"/>
    <n v="15992"/>
    <s v="Card"/>
    <x v="0"/>
    <x v="0"/>
    <n v="4"/>
    <n v="1"/>
    <n v="1"/>
    <s v="Repeat"/>
    <x v="3"/>
    <n v="50"/>
    <n v="1"/>
  </r>
  <r>
    <n v="1588"/>
    <x v="126"/>
    <n v="1994"/>
    <x v="4"/>
    <x v="0"/>
    <x v="0"/>
    <n v="5"/>
    <n v="0"/>
    <s v="COD"/>
    <x v="1"/>
    <x v="2"/>
    <n v="6"/>
    <n v="1"/>
    <n v="1"/>
    <s v="Repeat"/>
    <x v="4"/>
    <n v="46"/>
    <n v="0"/>
  </r>
  <r>
    <n v="1589"/>
    <x v="106"/>
    <n v="1085"/>
    <x v="2"/>
    <x v="2"/>
    <x v="2"/>
    <n v="3"/>
    <n v="0"/>
    <s v="COD"/>
    <x v="1"/>
    <x v="0"/>
    <n v="4"/>
    <n v="1"/>
    <n v="0"/>
    <s v="Repeat"/>
    <x v="5"/>
    <n v="30"/>
    <n v="0"/>
  </r>
  <r>
    <n v="1590"/>
    <x v="106"/>
    <n v="1152"/>
    <x v="1"/>
    <x v="1"/>
    <x v="1"/>
    <n v="2"/>
    <n v="0"/>
    <s v="Wallet"/>
    <x v="2"/>
    <x v="1"/>
    <n v="9"/>
    <n v="0"/>
    <n v="1"/>
    <s v="New"/>
    <x v="5"/>
    <n v="30"/>
    <n v="0"/>
  </r>
  <r>
    <n v="1591"/>
    <x v="18"/>
    <n v="1925"/>
    <x v="0"/>
    <x v="3"/>
    <x v="0"/>
    <n v="5"/>
    <n v="11390"/>
    <s v="COD"/>
    <x v="0"/>
    <x v="2"/>
    <n v="5"/>
    <n v="1"/>
    <n v="1"/>
    <s v="New"/>
    <x v="1"/>
    <n v="36"/>
    <n v="1"/>
  </r>
  <r>
    <n v="1592"/>
    <x v="130"/>
    <n v="1962"/>
    <x v="3"/>
    <x v="4"/>
    <x v="0"/>
    <n v="1"/>
    <n v="0"/>
    <s v="UPI"/>
    <x v="2"/>
    <x v="0"/>
    <n v="7"/>
    <n v="1"/>
    <n v="0"/>
    <s v="Repeat"/>
    <x v="3"/>
    <n v="51"/>
    <n v="0"/>
  </r>
  <r>
    <n v="1593"/>
    <x v="149"/>
    <n v="1281"/>
    <x v="3"/>
    <x v="2"/>
    <x v="0"/>
    <n v="1"/>
    <n v="3973"/>
    <s v="Wallet"/>
    <x v="0"/>
    <x v="1"/>
    <n v="4"/>
    <n v="1"/>
    <n v="1"/>
    <s v="New"/>
    <x v="3"/>
    <n v="49"/>
    <n v="1"/>
  </r>
  <r>
    <n v="1594"/>
    <x v="132"/>
    <n v="1680"/>
    <x v="4"/>
    <x v="0"/>
    <x v="0"/>
    <n v="5"/>
    <n v="0"/>
    <s v="COD"/>
    <x v="2"/>
    <x v="2"/>
    <n v="1"/>
    <n v="0"/>
    <n v="0"/>
    <s v="Repeat"/>
    <x v="2"/>
    <n v="42"/>
    <n v="0"/>
  </r>
  <r>
    <n v="1595"/>
    <x v="46"/>
    <n v="1791"/>
    <x v="2"/>
    <x v="2"/>
    <x v="2"/>
    <n v="3"/>
    <n v="0"/>
    <s v="Card"/>
    <x v="2"/>
    <x v="1"/>
    <n v="2"/>
    <n v="0"/>
    <n v="1"/>
    <s v="New"/>
    <x v="5"/>
    <n v="30"/>
    <n v="0"/>
  </r>
  <r>
    <n v="1596"/>
    <x v="65"/>
    <n v="1521"/>
    <x v="4"/>
    <x v="3"/>
    <x v="1"/>
    <n v="4"/>
    <n v="0"/>
    <s v="COD"/>
    <x v="1"/>
    <x v="0"/>
    <n v="8"/>
    <n v="1"/>
    <n v="0"/>
    <s v="Repeat"/>
    <x v="1"/>
    <n v="38"/>
    <n v="0"/>
  </r>
  <r>
    <n v="1597"/>
    <x v="75"/>
    <n v="1028"/>
    <x v="1"/>
    <x v="2"/>
    <x v="1"/>
    <n v="5"/>
    <n v="0"/>
    <s v="Wallet"/>
    <x v="1"/>
    <x v="3"/>
    <n v="3"/>
    <n v="1"/>
    <n v="0"/>
    <s v="New"/>
    <x v="3"/>
    <n v="52"/>
    <n v="0"/>
  </r>
  <r>
    <n v="1598"/>
    <x v="130"/>
    <n v="1479"/>
    <x v="4"/>
    <x v="2"/>
    <x v="0"/>
    <n v="1"/>
    <n v="3100"/>
    <s v="Card"/>
    <x v="0"/>
    <x v="3"/>
    <n v="4"/>
    <n v="0"/>
    <n v="0"/>
    <s v="Repeat"/>
    <x v="3"/>
    <n v="51"/>
    <n v="1"/>
  </r>
  <r>
    <n v="1599"/>
    <x v="113"/>
    <n v="1748"/>
    <x v="1"/>
    <x v="4"/>
    <x v="2"/>
    <n v="3"/>
    <n v="7977"/>
    <s v="Card"/>
    <x v="0"/>
    <x v="0"/>
    <n v="6"/>
    <n v="0"/>
    <n v="1"/>
    <s v="Repeat"/>
    <x v="0"/>
    <n v="33"/>
    <n v="1"/>
  </r>
  <r>
    <n v="1600"/>
    <x v="147"/>
    <n v="1606"/>
    <x v="0"/>
    <x v="3"/>
    <x v="0"/>
    <n v="2"/>
    <n v="0"/>
    <s v="Card"/>
    <x v="1"/>
    <x v="2"/>
    <n v="10"/>
    <n v="0"/>
    <n v="0"/>
    <s v="Repeat"/>
    <x v="4"/>
    <n v="47"/>
    <n v="0"/>
  </r>
  <r>
    <n v="1601"/>
    <x v="70"/>
    <n v="1034"/>
    <x v="2"/>
    <x v="3"/>
    <x v="2"/>
    <n v="4"/>
    <n v="0"/>
    <s v="Wallet"/>
    <x v="2"/>
    <x v="3"/>
    <n v="9"/>
    <n v="0"/>
    <n v="0"/>
    <s v="Repeat"/>
    <x v="2"/>
    <n v="40"/>
    <n v="0"/>
  </r>
  <r>
    <n v="1602"/>
    <x v="25"/>
    <n v="1809"/>
    <x v="0"/>
    <x v="0"/>
    <x v="2"/>
    <n v="2"/>
    <n v="7218"/>
    <s v="Wallet"/>
    <x v="0"/>
    <x v="1"/>
    <n v="10"/>
    <n v="0"/>
    <n v="1"/>
    <s v="Repeat"/>
    <x v="4"/>
    <n v="49"/>
    <n v="1"/>
  </r>
  <r>
    <n v="1603"/>
    <x v="166"/>
    <n v="1054"/>
    <x v="2"/>
    <x v="4"/>
    <x v="1"/>
    <n v="4"/>
    <n v="0"/>
    <s v="Card"/>
    <x v="1"/>
    <x v="3"/>
    <n v="3"/>
    <n v="1"/>
    <n v="0"/>
    <s v="New"/>
    <x v="1"/>
    <n v="39"/>
    <n v="0"/>
  </r>
  <r>
    <n v="1604"/>
    <x v="42"/>
    <n v="1870"/>
    <x v="1"/>
    <x v="0"/>
    <x v="2"/>
    <n v="3"/>
    <n v="13839"/>
    <s v="Wallet"/>
    <x v="0"/>
    <x v="3"/>
    <n v="1"/>
    <n v="0"/>
    <n v="0"/>
    <s v="New"/>
    <x v="2"/>
    <n v="44"/>
    <n v="1"/>
  </r>
  <r>
    <n v="1605"/>
    <x v="149"/>
    <n v="1895"/>
    <x v="1"/>
    <x v="3"/>
    <x v="2"/>
    <n v="4"/>
    <n v="0"/>
    <s v="Wallet"/>
    <x v="2"/>
    <x v="1"/>
    <n v="8"/>
    <n v="1"/>
    <n v="0"/>
    <s v="Repeat"/>
    <x v="3"/>
    <n v="49"/>
    <n v="0"/>
  </r>
  <r>
    <n v="1606"/>
    <x v="101"/>
    <n v="1038"/>
    <x v="3"/>
    <x v="2"/>
    <x v="3"/>
    <n v="2"/>
    <n v="6726"/>
    <s v="UPI"/>
    <x v="0"/>
    <x v="2"/>
    <n v="4"/>
    <n v="0"/>
    <n v="0"/>
    <s v="New"/>
    <x v="3"/>
    <n v="49"/>
    <n v="1"/>
  </r>
  <r>
    <n v="1607"/>
    <x v="136"/>
    <n v="1221"/>
    <x v="0"/>
    <x v="4"/>
    <x v="0"/>
    <n v="2"/>
    <n v="4274"/>
    <s v="Wallet"/>
    <x v="0"/>
    <x v="1"/>
    <n v="4"/>
    <n v="1"/>
    <n v="0"/>
    <s v="Repeat"/>
    <x v="2"/>
    <n v="40"/>
    <n v="1"/>
  </r>
  <r>
    <n v="1608"/>
    <x v="135"/>
    <n v="1677"/>
    <x v="4"/>
    <x v="2"/>
    <x v="1"/>
    <n v="5"/>
    <n v="20005"/>
    <s v="Card"/>
    <x v="0"/>
    <x v="0"/>
    <n v="4"/>
    <n v="1"/>
    <n v="0"/>
    <s v="New"/>
    <x v="2"/>
    <n v="43"/>
    <n v="1"/>
  </r>
  <r>
    <n v="1609"/>
    <x v="77"/>
    <n v="1836"/>
    <x v="1"/>
    <x v="4"/>
    <x v="1"/>
    <n v="5"/>
    <n v="0"/>
    <s v="UPI"/>
    <x v="1"/>
    <x v="1"/>
    <n v="2"/>
    <n v="0"/>
    <n v="0"/>
    <s v="New"/>
    <x v="1"/>
    <n v="38"/>
    <n v="0"/>
  </r>
  <r>
    <n v="1610"/>
    <x v="41"/>
    <n v="1703"/>
    <x v="4"/>
    <x v="0"/>
    <x v="1"/>
    <n v="5"/>
    <n v="0"/>
    <s v="Wallet"/>
    <x v="2"/>
    <x v="0"/>
    <n v="6"/>
    <n v="1"/>
    <n v="1"/>
    <s v="New"/>
    <x v="1"/>
    <n v="37"/>
    <n v="0"/>
  </r>
  <r>
    <n v="1611"/>
    <x v="31"/>
    <n v="1686"/>
    <x v="0"/>
    <x v="4"/>
    <x v="1"/>
    <n v="3"/>
    <n v="0"/>
    <s v="COD"/>
    <x v="1"/>
    <x v="2"/>
    <n v="2"/>
    <n v="1"/>
    <n v="1"/>
    <s v="Repeat"/>
    <x v="2"/>
    <n v="44"/>
    <n v="0"/>
  </r>
  <r>
    <n v="1612"/>
    <x v="103"/>
    <n v="1868"/>
    <x v="0"/>
    <x v="0"/>
    <x v="1"/>
    <n v="2"/>
    <n v="9890"/>
    <s v="COD"/>
    <x v="0"/>
    <x v="1"/>
    <n v="9"/>
    <n v="1"/>
    <n v="0"/>
    <s v="New"/>
    <x v="1"/>
    <n v="38"/>
    <n v="1"/>
  </r>
  <r>
    <n v="1613"/>
    <x v="24"/>
    <n v="1791"/>
    <x v="3"/>
    <x v="2"/>
    <x v="0"/>
    <n v="2"/>
    <n v="0"/>
    <s v="COD"/>
    <x v="1"/>
    <x v="2"/>
    <n v="4"/>
    <n v="0"/>
    <n v="1"/>
    <s v="New"/>
    <x v="5"/>
    <n v="30"/>
    <n v="0"/>
  </r>
  <r>
    <n v="1614"/>
    <x v="151"/>
    <n v="1329"/>
    <x v="3"/>
    <x v="1"/>
    <x v="1"/>
    <n v="1"/>
    <n v="0"/>
    <s v="UPI"/>
    <x v="2"/>
    <x v="3"/>
    <n v="6"/>
    <n v="1"/>
    <n v="1"/>
    <s v="Repeat"/>
    <x v="3"/>
    <n v="52"/>
    <n v="0"/>
  </r>
  <r>
    <n v="1615"/>
    <x v="123"/>
    <n v="1260"/>
    <x v="4"/>
    <x v="1"/>
    <x v="1"/>
    <n v="2"/>
    <n v="0"/>
    <s v="UPI"/>
    <x v="1"/>
    <x v="0"/>
    <n v="6"/>
    <n v="1"/>
    <n v="0"/>
    <s v="New"/>
    <x v="0"/>
    <n v="34"/>
    <n v="0"/>
  </r>
  <r>
    <n v="1616"/>
    <x v="170"/>
    <n v="1050"/>
    <x v="0"/>
    <x v="4"/>
    <x v="1"/>
    <n v="3"/>
    <n v="1173"/>
    <s v="COD"/>
    <x v="0"/>
    <x v="2"/>
    <n v="7"/>
    <n v="0"/>
    <n v="1"/>
    <s v="New"/>
    <x v="4"/>
    <n v="48"/>
    <n v="1"/>
  </r>
  <r>
    <n v="1617"/>
    <x v="33"/>
    <n v="1253"/>
    <x v="1"/>
    <x v="1"/>
    <x v="2"/>
    <n v="4"/>
    <n v="8852"/>
    <s v="COD"/>
    <x v="0"/>
    <x v="3"/>
    <n v="9"/>
    <n v="0"/>
    <n v="1"/>
    <s v="New"/>
    <x v="5"/>
    <n v="31"/>
    <n v="1"/>
  </r>
  <r>
    <n v="1618"/>
    <x v="81"/>
    <n v="1779"/>
    <x v="0"/>
    <x v="3"/>
    <x v="1"/>
    <n v="4"/>
    <n v="12544"/>
    <s v="Wallet"/>
    <x v="0"/>
    <x v="1"/>
    <n v="7"/>
    <n v="0"/>
    <n v="1"/>
    <s v="Repeat"/>
    <x v="0"/>
    <n v="33"/>
    <n v="1"/>
  </r>
  <r>
    <n v="1619"/>
    <x v="107"/>
    <n v="1090"/>
    <x v="3"/>
    <x v="1"/>
    <x v="0"/>
    <n v="5"/>
    <n v="14760"/>
    <s v="COD"/>
    <x v="0"/>
    <x v="3"/>
    <n v="4"/>
    <n v="1"/>
    <n v="1"/>
    <s v="New"/>
    <x v="4"/>
    <n v="45"/>
    <n v="1"/>
  </r>
  <r>
    <n v="1620"/>
    <x v="85"/>
    <n v="1550"/>
    <x v="2"/>
    <x v="0"/>
    <x v="3"/>
    <n v="2"/>
    <n v="9808"/>
    <s v="Wallet"/>
    <x v="0"/>
    <x v="1"/>
    <n v="9"/>
    <n v="1"/>
    <n v="0"/>
    <s v="New"/>
    <x v="3"/>
    <n v="50"/>
    <n v="1"/>
  </r>
  <r>
    <n v="1621"/>
    <x v="60"/>
    <n v="1936"/>
    <x v="2"/>
    <x v="1"/>
    <x v="0"/>
    <n v="2"/>
    <n v="9290"/>
    <s v="Card"/>
    <x v="0"/>
    <x v="0"/>
    <n v="7"/>
    <n v="0"/>
    <n v="1"/>
    <s v="New"/>
    <x v="1"/>
    <n v="36"/>
    <n v="1"/>
  </r>
  <r>
    <n v="1622"/>
    <x v="159"/>
    <n v="1641"/>
    <x v="1"/>
    <x v="3"/>
    <x v="1"/>
    <n v="4"/>
    <n v="0"/>
    <s v="UPI"/>
    <x v="2"/>
    <x v="1"/>
    <n v="7"/>
    <n v="0"/>
    <n v="0"/>
    <s v="New"/>
    <x v="3"/>
    <n v="49"/>
    <n v="0"/>
  </r>
  <r>
    <n v="1623"/>
    <x v="35"/>
    <n v="1457"/>
    <x v="4"/>
    <x v="4"/>
    <x v="1"/>
    <n v="4"/>
    <n v="9336"/>
    <s v="Wallet"/>
    <x v="0"/>
    <x v="1"/>
    <n v="6"/>
    <n v="1"/>
    <n v="0"/>
    <s v="New"/>
    <x v="0"/>
    <n v="35"/>
    <n v="1"/>
  </r>
  <r>
    <n v="1624"/>
    <x v="97"/>
    <n v="1594"/>
    <x v="1"/>
    <x v="4"/>
    <x v="1"/>
    <n v="5"/>
    <n v="0"/>
    <s v="UPI"/>
    <x v="2"/>
    <x v="1"/>
    <n v="2"/>
    <n v="0"/>
    <n v="1"/>
    <s v="New"/>
    <x v="1"/>
    <n v="40"/>
    <n v="0"/>
  </r>
  <r>
    <n v="1625"/>
    <x v="119"/>
    <n v="1052"/>
    <x v="3"/>
    <x v="3"/>
    <x v="3"/>
    <n v="2"/>
    <n v="0"/>
    <s v="UPI"/>
    <x v="1"/>
    <x v="0"/>
    <n v="9"/>
    <n v="0"/>
    <n v="0"/>
    <s v="New"/>
    <x v="0"/>
    <n v="34"/>
    <n v="0"/>
  </r>
  <r>
    <n v="1626"/>
    <x v="106"/>
    <n v="1278"/>
    <x v="3"/>
    <x v="4"/>
    <x v="3"/>
    <n v="3"/>
    <n v="0"/>
    <s v="Wallet"/>
    <x v="2"/>
    <x v="0"/>
    <n v="7"/>
    <n v="0"/>
    <n v="0"/>
    <s v="Repeat"/>
    <x v="5"/>
    <n v="30"/>
    <n v="0"/>
  </r>
  <r>
    <n v="1627"/>
    <x v="144"/>
    <n v="1308"/>
    <x v="1"/>
    <x v="0"/>
    <x v="2"/>
    <n v="3"/>
    <n v="0"/>
    <s v="COD"/>
    <x v="1"/>
    <x v="3"/>
    <n v="8"/>
    <n v="0"/>
    <n v="0"/>
    <s v="New"/>
    <x v="3"/>
    <n v="52"/>
    <n v="0"/>
  </r>
  <r>
    <n v="1628"/>
    <x v="98"/>
    <n v="1508"/>
    <x v="1"/>
    <x v="4"/>
    <x v="1"/>
    <n v="2"/>
    <n v="0"/>
    <s v="Card"/>
    <x v="1"/>
    <x v="2"/>
    <n v="2"/>
    <n v="0"/>
    <n v="0"/>
    <s v="Repeat"/>
    <x v="3"/>
    <n v="51"/>
    <n v="0"/>
  </r>
  <r>
    <n v="1629"/>
    <x v="121"/>
    <n v="1797"/>
    <x v="4"/>
    <x v="1"/>
    <x v="0"/>
    <n v="4"/>
    <n v="0"/>
    <s v="Wallet"/>
    <x v="1"/>
    <x v="2"/>
    <n v="2"/>
    <n v="1"/>
    <n v="0"/>
    <s v="New"/>
    <x v="1"/>
    <n v="37"/>
    <n v="0"/>
  </r>
  <r>
    <n v="1630"/>
    <x v="48"/>
    <n v="1396"/>
    <x v="0"/>
    <x v="1"/>
    <x v="2"/>
    <n v="4"/>
    <n v="13116"/>
    <s v="Wallet"/>
    <x v="0"/>
    <x v="2"/>
    <n v="7"/>
    <n v="0"/>
    <n v="1"/>
    <s v="New"/>
    <x v="3"/>
    <n v="50"/>
    <n v="1"/>
  </r>
  <r>
    <n v="1631"/>
    <x v="74"/>
    <n v="1101"/>
    <x v="0"/>
    <x v="3"/>
    <x v="2"/>
    <n v="3"/>
    <n v="13839"/>
    <s v="UPI"/>
    <x v="0"/>
    <x v="1"/>
    <n v="10"/>
    <n v="0"/>
    <n v="1"/>
    <s v="New"/>
    <x v="5"/>
    <n v="29"/>
    <n v="1"/>
  </r>
  <r>
    <n v="1632"/>
    <x v="170"/>
    <n v="1825"/>
    <x v="3"/>
    <x v="3"/>
    <x v="0"/>
    <n v="5"/>
    <n v="0"/>
    <s v="UPI"/>
    <x v="2"/>
    <x v="0"/>
    <n v="5"/>
    <n v="0"/>
    <n v="1"/>
    <s v="Repeat"/>
    <x v="4"/>
    <n v="48"/>
    <n v="0"/>
  </r>
  <r>
    <n v="1633"/>
    <x v="112"/>
    <n v="1294"/>
    <x v="3"/>
    <x v="2"/>
    <x v="0"/>
    <n v="1"/>
    <n v="857"/>
    <s v="Wallet"/>
    <x v="0"/>
    <x v="1"/>
    <n v="8"/>
    <n v="1"/>
    <n v="1"/>
    <s v="New"/>
    <x v="5"/>
    <n v="30"/>
    <n v="1"/>
  </r>
  <r>
    <n v="1634"/>
    <x v="4"/>
    <n v="1711"/>
    <x v="4"/>
    <x v="4"/>
    <x v="2"/>
    <n v="2"/>
    <n v="0"/>
    <s v="Card"/>
    <x v="1"/>
    <x v="1"/>
    <n v="8"/>
    <n v="1"/>
    <n v="1"/>
    <s v="Repeat"/>
    <x v="3"/>
    <n v="50"/>
    <n v="0"/>
  </r>
  <r>
    <n v="1635"/>
    <x v="114"/>
    <n v="1372"/>
    <x v="2"/>
    <x v="0"/>
    <x v="2"/>
    <n v="5"/>
    <n v="0"/>
    <s v="COD"/>
    <x v="2"/>
    <x v="2"/>
    <n v="3"/>
    <n v="0"/>
    <n v="0"/>
    <s v="Repeat"/>
    <x v="3"/>
    <n v="50"/>
    <n v="0"/>
  </r>
  <r>
    <n v="1636"/>
    <x v="70"/>
    <n v="1522"/>
    <x v="4"/>
    <x v="4"/>
    <x v="1"/>
    <n v="1"/>
    <n v="2587"/>
    <s v="Card"/>
    <x v="0"/>
    <x v="3"/>
    <n v="8"/>
    <n v="0"/>
    <n v="1"/>
    <s v="Repeat"/>
    <x v="2"/>
    <n v="40"/>
    <n v="1"/>
  </r>
  <r>
    <n v="1637"/>
    <x v="180"/>
    <n v="1600"/>
    <x v="2"/>
    <x v="2"/>
    <x v="1"/>
    <n v="2"/>
    <n v="0"/>
    <s v="COD"/>
    <x v="2"/>
    <x v="2"/>
    <n v="10"/>
    <n v="0"/>
    <n v="1"/>
    <s v="Repeat"/>
    <x v="4"/>
    <n v="46"/>
    <n v="0"/>
  </r>
  <r>
    <n v="1638"/>
    <x v="161"/>
    <n v="1553"/>
    <x v="1"/>
    <x v="3"/>
    <x v="3"/>
    <n v="1"/>
    <n v="3124"/>
    <s v="Card"/>
    <x v="0"/>
    <x v="0"/>
    <n v="1"/>
    <n v="0"/>
    <n v="1"/>
    <s v="Repeat"/>
    <x v="2"/>
    <n v="41"/>
    <n v="1"/>
  </r>
  <r>
    <n v="1639"/>
    <x v="27"/>
    <n v="1814"/>
    <x v="0"/>
    <x v="1"/>
    <x v="3"/>
    <n v="1"/>
    <n v="0"/>
    <s v="COD"/>
    <x v="2"/>
    <x v="1"/>
    <n v="5"/>
    <n v="0"/>
    <n v="0"/>
    <s v="New"/>
    <x v="1"/>
    <n v="37"/>
    <n v="0"/>
  </r>
  <r>
    <n v="1640"/>
    <x v="70"/>
    <n v="1759"/>
    <x v="3"/>
    <x v="3"/>
    <x v="1"/>
    <n v="4"/>
    <n v="10320"/>
    <s v="Card"/>
    <x v="0"/>
    <x v="0"/>
    <n v="8"/>
    <n v="0"/>
    <n v="1"/>
    <s v="Repeat"/>
    <x v="2"/>
    <n v="40"/>
    <n v="1"/>
  </r>
  <r>
    <n v="1641"/>
    <x v="15"/>
    <n v="1208"/>
    <x v="0"/>
    <x v="3"/>
    <x v="3"/>
    <n v="5"/>
    <n v="11860"/>
    <s v="Card"/>
    <x v="0"/>
    <x v="3"/>
    <n v="10"/>
    <n v="0"/>
    <n v="0"/>
    <s v="Repeat"/>
    <x v="4"/>
    <n v="47"/>
    <n v="1"/>
  </r>
  <r>
    <n v="1642"/>
    <x v="169"/>
    <n v="1267"/>
    <x v="3"/>
    <x v="4"/>
    <x v="3"/>
    <n v="1"/>
    <n v="0"/>
    <s v="COD"/>
    <x v="2"/>
    <x v="0"/>
    <n v="10"/>
    <n v="1"/>
    <n v="0"/>
    <s v="New"/>
    <x v="2"/>
    <n v="43"/>
    <n v="0"/>
  </r>
  <r>
    <n v="1643"/>
    <x v="137"/>
    <n v="1638"/>
    <x v="4"/>
    <x v="3"/>
    <x v="3"/>
    <n v="4"/>
    <n v="0"/>
    <s v="Card"/>
    <x v="1"/>
    <x v="0"/>
    <n v="3"/>
    <n v="1"/>
    <n v="1"/>
    <s v="New"/>
    <x v="1"/>
    <n v="40"/>
    <n v="0"/>
  </r>
  <r>
    <n v="1644"/>
    <x v="108"/>
    <n v="1233"/>
    <x v="1"/>
    <x v="3"/>
    <x v="0"/>
    <n v="5"/>
    <n v="17005"/>
    <s v="UPI"/>
    <x v="0"/>
    <x v="0"/>
    <n v="10"/>
    <n v="1"/>
    <n v="0"/>
    <s v="Repeat"/>
    <x v="2"/>
    <n v="44"/>
    <n v="1"/>
  </r>
  <r>
    <n v="1645"/>
    <x v="64"/>
    <n v="1600"/>
    <x v="1"/>
    <x v="1"/>
    <x v="2"/>
    <n v="3"/>
    <n v="0"/>
    <s v="UPI"/>
    <x v="2"/>
    <x v="0"/>
    <n v="5"/>
    <n v="0"/>
    <n v="1"/>
    <s v="Repeat"/>
    <x v="2"/>
    <n v="43"/>
    <n v="0"/>
  </r>
  <r>
    <n v="1646"/>
    <x v="160"/>
    <n v="1272"/>
    <x v="1"/>
    <x v="0"/>
    <x v="2"/>
    <n v="3"/>
    <n v="0"/>
    <s v="Card"/>
    <x v="2"/>
    <x v="3"/>
    <n v="2"/>
    <n v="1"/>
    <n v="0"/>
    <s v="New"/>
    <x v="4"/>
    <n v="47"/>
    <n v="0"/>
  </r>
  <r>
    <n v="1647"/>
    <x v="39"/>
    <n v="1820"/>
    <x v="1"/>
    <x v="3"/>
    <x v="1"/>
    <n v="2"/>
    <n v="0"/>
    <s v="Wallet"/>
    <x v="1"/>
    <x v="3"/>
    <n v="6"/>
    <n v="0"/>
    <n v="0"/>
    <s v="New"/>
    <x v="0"/>
    <n v="34"/>
    <n v="0"/>
  </r>
  <r>
    <n v="1648"/>
    <x v="78"/>
    <n v="1879"/>
    <x v="4"/>
    <x v="0"/>
    <x v="2"/>
    <n v="5"/>
    <n v="0"/>
    <s v="Wallet"/>
    <x v="1"/>
    <x v="0"/>
    <n v="6"/>
    <n v="0"/>
    <n v="0"/>
    <s v="New"/>
    <x v="3"/>
    <n v="52"/>
    <n v="0"/>
  </r>
  <r>
    <n v="1649"/>
    <x v="64"/>
    <n v="1463"/>
    <x v="4"/>
    <x v="1"/>
    <x v="1"/>
    <n v="3"/>
    <n v="9969"/>
    <s v="UPI"/>
    <x v="0"/>
    <x v="0"/>
    <n v="8"/>
    <n v="0"/>
    <n v="1"/>
    <s v="Repeat"/>
    <x v="2"/>
    <n v="43"/>
    <n v="1"/>
  </r>
  <r>
    <n v="1650"/>
    <x v="135"/>
    <n v="1149"/>
    <x v="4"/>
    <x v="1"/>
    <x v="1"/>
    <n v="1"/>
    <n v="4645"/>
    <s v="Card"/>
    <x v="0"/>
    <x v="2"/>
    <n v="1"/>
    <n v="0"/>
    <n v="1"/>
    <s v="New"/>
    <x v="2"/>
    <n v="43"/>
    <n v="1"/>
  </r>
  <r>
    <n v="1651"/>
    <x v="146"/>
    <n v="1919"/>
    <x v="2"/>
    <x v="3"/>
    <x v="1"/>
    <n v="2"/>
    <n v="5506"/>
    <s v="COD"/>
    <x v="0"/>
    <x v="0"/>
    <n v="2"/>
    <n v="1"/>
    <n v="1"/>
    <s v="New"/>
    <x v="2"/>
    <n v="40"/>
    <n v="1"/>
  </r>
  <r>
    <n v="1652"/>
    <x v="14"/>
    <n v="1379"/>
    <x v="0"/>
    <x v="3"/>
    <x v="0"/>
    <n v="2"/>
    <n v="0"/>
    <s v="COD"/>
    <x v="2"/>
    <x v="0"/>
    <n v="2"/>
    <n v="1"/>
    <n v="0"/>
    <s v="New"/>
    <x v="0"/>
    <n v="34"/>
    <n v="0"/>
  </r>
  <r>
    <n v="1653"/>
    <x v="75"/>
    <n v="1775"/>
    <x v="3"/>
    <x v="4"/>
    <x v="2"/>
    <n v="3"/>
    <n v="0"/>
    <s v="UPI"/>
    <x v="2"/>
    <x v="3"/>
    <n v="7"/>
    <n v="0"/>
    <n v="0"/>
    <s v="New"/>
    <x v="3"/>
    <n v="52"/>
    <n v="0"/>
  </r>
  <r>
    <n v="1654"/>
    <x v="163"/>
    <n v="1996"/>
    <x v="2"/>
    <x v="1"/>
    <x v="1"/>
    <n v="1"/>
    <n v="1766"/>
    <s v="COD"/>
    <x v="0"/>
    <x v="2"/>
    <n v="8"/>
    <n v="0"/>
    <n v="1"/>
    <s v="Repeat"/>
    <x v="4"/>
    <n v="45"/>
    <n v="1"/>
  </r>
  <r>
    <n v="1655"/>
    <x v="156"/>
    <n v="1303"/>
    <x v="4"/>
    <x v="2"/>
    <x v="2"/>
    <n v="4"/>
    <n v="16928"/>
    <s v="Card"/>
    <x v="0"/>
    <x v="3"/>
    <n v="1"/>
    <n v="0"/>
    <n v="0"/>
    <s v="Repeat"/>
    <x v="6"/>
    <n v="2"/>
    <n v="1"/>
  </r>
  <r>
    <n v="1656"/>
    <x v="156"/>
    <n v="1835"/>
    <x v="1"/>
    <x v="0"/>
    <x v="1"/>
    <n v="5"/>
    <n v="24390"/>
    <s v="UPI"/>
    <x v="0"/>
    <x v="1"/>
    <n v="10"/>
    <n v="1"/>
    <n v="1"/>
    <s v="New"/>
    <x v="6"/>
    <n v="2"/>
    <n v="1"/>
  </r>
  <r>
    <n v="1657"/>
    <x v="152"/>
    <n v="1844"/>
    <x v="1"/>
    <x v="1"/>
    <x v="2"/>
    <n v="4"/>
    <n v="0"/>
    <s v="UPI"/>
    <x v="1"/>
    <x v="0"/>
    <n v="7"/>
    <n v="1"/>
    <n v="1"/>
    <s v="New"/>
    <x v="2"/>
    <n v="42"/>
    <n v="0"/>
  </r>
  <r>
    <n v="1658"/>
    <x v="7"/>
    <n v="1658"/>
    <x v="1"/>
    <x v="1"/>
    <x v="2"/>
    <n v="3"/>
    <n v="0"/>
    <s v="UPI"/>
    <x v="1"/>
    <x v="2"/>
    <n v="3"/>
    <n v="0"/>
    <n v="1"/>
    <s v="New"/>
    <x v="3"/>
    <n v="49"/>
    <n v="0"/>
  </r>
  <r>
    <n v="1659"/>
    <x v="35"/>
    <n v="1082"/>
    <x v="3"/>
    <x v="1"/>
    <x v="1"/>
    <n v="3"/>
    <n v="0"/>
    <s v="Card"/>
    <x v="1"/>
    <x v="1"/>
    <n v="5"/>
    <n v="0"/>
    <n v="1"/>
    <s v="Repeat"/>
    <x v="0"/>
    <n v="35"/>
    <n v="0"/>
  </r>
  <r>
    <n v="1660"/>
    <x v="25"/>
    <n v="1487"/>
    <x v="2"/>
    <x v="4"/>
    <x v="2"/>
    <n v="2"/>
    <n v="0"/>
    <s v="Card"/>
    <x v="2"/>
    <x v="3"/>
    <n v="4"/>
    <n v="0"/>
    <n v="0"/>
    <s v="New"/>
    <x v="4"/>
    <n v="49"/>
    <n v="0"/>
  </r>
  <r>
    <n v="1661"/>
    <x v="147"/>
    <n v="1753"/>
    <x v="1"/>
    <x v="1"/>
    <x v="0"/>
    <n v="2"/>
    <n v="0"/>
    <s v="Card"/>
    <x v="2"/>
    <x v="2"/>
    <n v="7"/>
    <n v="0"/>
    <n v="1"/>
    <s v="Repeat"/>
    <x v="4"/>
    <n v="47"/>
    <n v="0"/>
  </r>
  <r>
    <n v="1662"/>
    <x v="167"/>
    <n v="1700"/>
    <x v="2"/>
    <x v="3"/>
    <x v="0"/>
    <n v="5"/>
    <n v="0"/>
    <s v="Wallet"/>
    <x v="2"/>
    <x v="1"/>
    <n v="6"/>
    <n v="1"/>
    <n v="0"/>
    <s v="Repeat"/>
    <x v="0"/>
    <n v="35"/>
    <n v="0"/>
  </r>
  <r>
    <n v="1663"/>
    <x v="163"/>
    <n v="1709"/>
    <x v="4"/>
    <x v="3"/>
    <x v="2"/>
    <n v="5"/>
    <n v="12960"/>
    <s v="COD"/>
    <x v="0"/>
    <x v="1"/>
    <n v="10"/>
    <n v="1"/>
    <n v="0"/>
    <s v="New"/>
    <x v="4"/>
    <n v="45"/>
    <n v="1"/>
  </r>
  <r>
    <n v="1664"/>
    <x v="70"/>
    <n v="1169"/>
    <x v="3"/>
    <x v="4"/>
    <x v="0"/>
    <n v="2"/>
    <n v="0"/>
    <s v="COD"/>
    <x v="1"/>
    <x v="1"/>
    <n v="7"/>
    <n v="0"/>
    <n v="0"/>
    <s v="Repeat"/>
    <x v="2"/>
    <n v="40"/>
    <n v="0"/>
  </r>
  <r>
    <n v="1665"/>
    <x v="2"/>
    <n v="1946"/>
    <x v="1"/>
    <x v="0"/>
    <x v="3"/>
    <n v="4"/>
    <n v="0"/>
    <s v="Wallet"/>
    <x v="1"/>
    <x v="1"/>
    <n v="7"/>
    <n v="1"/>
    <n v="1"/>
    <s v="Repeat"/>
    <x v="2"/>
    <n v="41"/>
    <n v="0"/>
  </r>
  <r>
    <n v="1666"/>
    <x v="42"/>
    <n v="1671"/>
    <x v="4"/>
    <x v="2"/>
    <x v="3"/>
    <n v="1"/>
    <n v="4112"/>
    <s v="UPI"/>
    <x v="0"/>
    <x v="1"/>
    <n v="9"/>
    <n v="1"/>
    <n v="0"/>
    <s v="New"/>
    <x v="2"/>
    <n v="44"/>
    <n v="1"/>
  </r>
  <r>
    <n v="1667"/>
    <x v="173"/>
    <n v="1854"/>
    <x v="2"/>
    <x v="2"/>
    <x v="3"/>
    <n v="3"/>
    <n v="9336"/>
    <s v="Wallet"/>
    <x v="0"/>
    <x v="0"/>
    <n v="7"/>
    <n v="0"/>
    <n v="0"/>
    <s v="Repeat"/>
    <x v="5"/>
    <n v="30"/>
    <n v="1"/>
  </r>
  <r>
    <n v="1668"/>
    <x v="72"/>
    <n v="1081"/>
    <x v="1"/>
    <x v="3"/>
    <x v="3"/>
    <n v="5"/>
    <n v="0"/>
    <s v="UPI"/>
    <x v="1"/>
    <x v="0"/>
    <n v="4"/>
    <n v="1"/>
    <n v="1"/>
    <s v="Repeat"/>
    <x v="2"/>
    <n v="41"/>
    <n v="0"/>
  </r>
  <r>
    <n v="1669"/>
    <x v="11"/>
    <n v="1232"/>
    <x v="1"/>
    <x v="0"/>
    <x v="1"/>
    <n v="2"/>
    <n v="0"/>
    <s v="UPI"/>
    <x v="1"/>
    <x v="0"/>
    <n v="8"/>
    <n v="0"/>
    <n v="0"/>
    <s v="Repeat"/>
    <x v="0"/>
    <n v="35"/>
    <n v="0"/>
  </r>
  <r>
    <n v="1670"/>
    <x v="128"/>
    <n v="1986"/>
    <x v="2"/>
    <x v="3"/>
    <x v="1"/>
    <n v="3"/>
    <n v="5751"/>
    <s v="Card"/>
    <x v="0"/>
    <x v="1"/>
    <n v="9"/>
    <n v="0"/>
    <n v="1"/>
    <s v="New"/>
    <x v="1"/>
    <n v="39"/>
    <n v="1"/>
  </r>
  <r>
    <n v="1671"/>
    <x v="88"/>
    <n v="1922"/>
    <x v="2"/>
    <x v="0"/>
    <x v="3"/>
    <n v="3"/>
    <n v="5610"/>
    <s v="Wallet"/>
    <x v="0"/>
    <x v="1"/>
    <n v="7"/>
    <n v="1"/>
    <n v="0"/>
    <s v="Repeat"/>
    <x v="1"/>
    <n v="37"/>
    <n v="1"/>
  </r>
  <r>
    <n v="1672"/>
    <x v="15"/>
    <n v="1358"/>
    <x v="0"/>
    <x v="4"/>
    <x v="3"/>
    <n v="3"/>
    <n v="1722"/>
    <s v="Wallet"/>
    <x v="0"/>
    <x v="2"/>
    <n v="9"/>
    <n v="0"/>
    <n v="0"/>
    <s v="New"/>
    <x v="4"/>
    <n v="47"/>
    <n v="1"/>
  </r>
  <r>
    <n v="1673"/>
    <x v="4"/>
    <n v="1015"/>
    <x v="0"/>
    <x v="4"/>
    <x v="1"/>
    <n v="2"/>
    <n v="0"/>
    <s v="Wallet"/>
    <x v="1"/>
    <x v="0"/>
    <n v="7"/>
    <n v="0"/>
    <n v="0"/>
    <s v="New"/>
    <x v="3"/>
    <n v="50"/>
    <n v="0"/>
  </r>
  <r>
    <n v="1674"/>
    <x v="54"/>
    <n v="1753"/>
    <x v="1"/>
    <x v="4"/>
    <x v="2"/>
    <n v="4"/>
    <n v="0"/>
    <s v="COD"/>
    <x v="1"/>
    <x v="0"/>
    <n v="1"/>
    <n v="1"/>
    <n v="0"/>
    <s v="Repeat"/>
    <x v="0"/>
    <n v="34"/>
    <n v="0"/>
  </r>
  <r>
    <n v="1675"/>
    <x v="21"/>
    <n v="1844"/>
    <x v="2"/>
    <x v="3"/>
    <x v="0"/>
    <n v="5"/>
    <n v="0"/>
    <s v="UPI"/>
    <x v="2"/>
    <x v="1"/>
    <n v="1"/>
    <n v="1"/>
    <n v="1"/>
    <s v="Repeat"/>
    <x v="2"/>
    <n v="43"/>
    <n v="0"/>
  </r>
  <r>
    <n v="1676"/>
    <x v="111"/>
    <n v="1871"/>
    <x v="0"/>
    <x v="1"/>
    <x v="1"/>
    <n v="5"/>
    <n v="0"/>
    <s v="Card"/>
    <x v="2"/>
    <x v="1"/>
    <n v="2"/>
    <n v="0"/>
    <n v="1"/>
    <s v="Repeat"/>
    <x v="4"/>
    <n v="48"/>
    <n v="0"/>
  </r>
  <r>
    <n v="1677"/>
    <x v="100"/>
    <n v="1686"/>
    <x v="2"/>
    <x v="3"/>
    <x v="3"/>
    <n v="2"/>
    <n v="0"/>
    <s v="Wallet"/>
    <x v="2"/>
    <x v="2"/>
    <n v="4"/>
    <n v="0"/>
    <n v="0"/>
    <s v="New"/>
    <x v="1"/>
    <n v="37"/>
    <n v="0"/>
  </r>
  <r>
    <n v="1678"/>
    <x v="166"/>
    <n v="1788"/>
    <x v="4"/>
    <x v="3"/>
    <x v="2"/>
    <n v="3"/>
    <n v="11769"/>
    <s v="UPI"/>
    <x v="0"/>
    <x v="1"/>
    <n v="2"/>
    <n v="1"/>
    <n v="1"/>
    <s v="New"/>
    <x v="1"/>
    <n v="39"/>
    <n v="1"/>
  </r>
  <r>
    <n v="1679"/>
    <x v="64"/>
    <n v="1304"/>
    <x v="3"/>
    <x v="3"/>
    <x v="0"/>
    <n v="4"/>
    <n v="0"/>
    <s v="UPI"/>
    <x v="2"/>
    <x v="3"/>
    <n v="3"/>
    <n v="1"/>
    <n v="0"/>
    <s v="New"/>
    <x v="2"/>
    <n v="43"/>
    <n v="0"/>
  </r>
  <r>
    <n v="1680"/>
    <x v="174"/>
    <n v="1223"/>
    <x v="0"/>
    <x v="2"/>
    <x v="1"/>
    <n v="1"/>
    <n v="0"/>
    <s v="COD"/>
    <x v="1"/>
    <x v="3"/>
    <n v="9"/>
    <n v="0"/>
    <n v="0"/>
    <s v="Repeat"/>
    <x v="5"/>
    <n v="29"/>
    <n v="0"/>
  </r>
  <r>
    <n v="1681"/>
    <x v="40"/>
    <n v="1389"/>
    <x v="2"/>
    <x v="2"/>
    <x v="0"/>
    <n v="3"/>
    <n v="0"/>
    <s v="Wallet"/>
    <x v="1"/>
    <x v="2"/>
    <n v="5"/>
    <n v="1"/>
    <n v="0"/>
    <s v="New"/>
    <x v="0"/>
    <n v="32"/>
    <n v="0"/>
  </r>
  <r>
    <n v="1682"/>
    <x v="165"/>
    <n v="1891"/>
    <x v="4"/>
    <x v="3"/>
    <x v="3"/>
    <n v="4"/>
    <n v="0"/>
    <s v="Card"/>
    <x v="2"/>
    <x v="3"/>
    <n v="9"/>
    <n v="0"/>
    <n v="0"/>
    <s v="New"/>
    <x v="2"/>
    <n v="41"/>
    <n v="0"/>
  </r>
  <r>
    <n v="1683"/>
    <x v="41"/>
    <n v="1928"/>
    <x v="0"/>
    <x v="0"/>
    <x v="0"/>
    <n v="1"/>
    <n v="0"/>
    <s v="UPI"/>
    <x v="1"/>
    <x v="2"/>
    <n v="10"/>
    <n v="0"/>
    <n v="1"/>
    <s v="New"/>
    <x v="1"/>
    <n v="37"/>
    <n v="0"/>
  </r>
  <r>
    <n v="1684"/>
    <x v="38"/>
    <n v="1335"/>
    <x v="3"/>
    <x v="0"/>
    <x v="1"/>
    <n v="2"/>
    <n v="0"/>
    <s v="UPI"/>
    <x v="1"/>
    <x v="3"/>
    <n v="9"/>
    <n v="0"/>
    <n v="1"/>
    <s v="Repeat"/>
    <x v="1"/>
    <n v="39"/>
    <n v="0"/>
  </r>
  <r>
    <n v="1685"/>
    <x v="88"/>
    <n v="1818"/>
    <x v="2"/>
    <x v="3"/>
    <x v="3"/>
    <n v="1"/>
    <n v="0"/>
    <s v="UPI"/>
    <x v="1"/>
    <x v="1"/>
    <n v="4"/>
    <n v="1"/>
    <n v="1"/>
    <s v="Repeat"/>
    <x v="1"/>
    <n v="37"/>
    <n v="0"/>
  </r>
  <r>
    <n v="1686"/>
    <x v="52"/>
    <n v="1838"/>
    <x v="0"/>
    <x v="1"/>
    <x v="3"/>
    <n v="4"/>
    <n v="0"/>
    <s v="UPI"/>
    <x v="2"/>
    <x v="2"/>
    <n v="5"/>
    <n v="1"/>
    <n v="0"/>
    <s v="New"/>
    <x v="4"/>
    <n v="44"/>
    <n v="0"/>
  </r>
  <r>
    <n v="1687"/>
    <x v="89"/>
    <n v="1995"/>
    <x v="1"/>
    <x v="3"/>
    <x v="0"/>
    <n v="1"/>
    <n v="0"/>
    <s v="Card"/>
    <x v="2"/>
    <x v="1"/>
    <n v="3"/>
    <n v="0"/>
    <n v="1"/>
    <s v="Repeat"/>
    <x v="0"/>
    <n v="35"/>
    <n v="0"/>
  </r>
  <r>
    <n v="1688"/>
    <x v="172"/>
    <n v="1794"/>
    <x v="0"/>
    <x v="1"/>
    <x v="0"/>
    <n v="4"/>
    <n v="0"/>
    <s v="UPI"/>
    <x v="2"/>
    <x v="0"/>
    <n v="2"/>
    <n v="1"/>
    <n v="0"/>
    <s v="Repeat"/>
    <x v="2"/>
    <n v="44"/>
    <n v="0"/>
  </r>
  <r>
    <n v="1689"/>
    <x v="154"/>
    <n v="1291"/>
    <x v="2"/>
    <x v="2"/>
    <x v="3"/>
    <n v="4"/>
    <n v="0"/>
    <s v="COD"/>
    <x v="2"/>
    <x v="1"/>
    <n v="6"/>
    <n v="0"/>
    <n v="0"/>
    <s v="New"/>
    <x v="2"/>
    <n v="42"/>
    <n v="0"/>
  </r>
  <r>
    <n v="1690"/>
    <x v="50"/>
    <n v="1743"/>
    <x v="4"/>
    <x v="2"/>
    <x v="1"/>
    <n v="2"/>
    <n v="0"/>
    <s v="COD"/>
    <x v="2"/>
    <x v="2"/>
    <n v="3"/>
    <n v="0"/>
    <n v="0"/>
    <s v="New"/>
    <x v="3"/>
    <n v="53"/>
    <n v="0"/>
  </r>
  <r>
    <n v="1691"/>
    <x v="112"/>
    <n v="1218"/>
    <x v="1"/>
    <x v="4"/>
    <x v="2"/>
    <n v="1"/>
    <n v="0"/>
    <s v="Wallet"/>
    <x v="2"/>
    <x v="1"/>
    <n v="8"/>
    <n v="1"/>
    <n v="0"/>
    <s v="New"/>
    <x v="5"/>
    <n v="30"/>
    <n v="0"/>
  </r>
  <r>
    <n v="1692"/>
    <x v="96"/>
    <n v="1073"/>
    <x v="0"/>
    <x v="3"/>
    <x v="2"/>
    <n v="1"/>
    <n v="0"/>
    <s v="UPI"/>
    <x v="2"/>
    <x v="2"/>
    <n v="4"/>
    <n v="0"/>
    <n v="0"/>
    <s v="New"/>
    <x v="4"/>
    <n v="45"/>
    <n v="0"/>
  </r>
  <r>
    <n v="1693"/>
    <x v="77"/>
    <n v="1499"/>
    <x v="4"/>
    <x v="0"/>
    <x v="1"/>
    <n v="4"/>
    <n v="0"/>
    <s v="Wallet"/>
    <x v="2"/>
    <x v="3"/>
    <n v="3"/>
    <n v="0"/>
    <n v="0"/>
    <s v="Repeat"/>
    <x v="1"/>
    <n v="38"/>
    <n v="0"/>
  </r>
  <r>
    <n v="1694"/>
    <x v="180"/>
    <n v="1973"/>
    <x v="2"/>
    <x v="0"/>
    <x v="0"/>
    <n v="2"/>
    <n v="0"/>
    <s v="Wallet"/>
    <x v="2"/>
    <x v="3"/>
    <n v="8"/>
    <n v="1"/>
    <n v="0"/>
    <s v="Repeat"/>
    <x v="4"/>
    <n v="46"/>
    <n v="0"/>
  </r>
  <r>
    <n v="1695"/>
    <x v="163"/>
    <n v="1340"/>
    <x v="0"/>
    <x v="0"/>
    <x v="0"/>
    <n v="3"/>
    <n v="0"/>
    <s v="Card"/>
    <x v="1"/>
    <x v="0"/>
    <n v="10"/>
    <n v="0"/>
    <n v="1"/>
    <s v="New"/>
    <x v="4"/>
    <n v="45"/>
    <n v="0"/>
  </r>
  <r>
    <n v="1696"/>
    <x v="158"/>
    <n v="1217"/>
    <x v="2"/>
    <x v="4"/>
    <x v="2"/>
    <n v="4"/>
    <n v="0"/>
    <s v="COD"/>
    <x v="1"/>
    <x v="1"/>
    <n v="7"/>
    <n v="0"/>
    <n v="1"/>
    <s v="Repeat"/>
    <x v="1"/>
    <n v="38"/>
    <n v="0"/>
  </r>
  <r>
    <n v="1697"/>
    <x v="31"/>
    <n v="1639"/>
    <x v="3"/>
    <x v="4"/>
    <x v="0"/>
    <n v="4"/>
    <n v="0"/>
    <s v="COD"/>
    <x v="2"/>
    <x v="3"/>
    <n v="3"/>
    <n v="0"/>
    <n v="1"/>
    <s v="New"/>
    <x v="2"/>
    <n v="44"/>
    <n v="0"/>
  </r>
  <r>
    <n v="1698"/>
    <x v="179"/>
    <n v="1803"/>
    <x v="1"/>
    <x v="3"/>
    <x v="2"/>
    <n v="5"/>
    <n v="0"/>
    <s v="Card"/>
    <x v="2"/>
    <x v="3"/>
    <n v="9"/>
    <n v="0"/>
    <n v="1"/>
    <s v="Repeat"/>
    <x v="5"/>
    <n v="29"/>
    <n v="0"/>
  </r>
  <r>
    <n v="1699"/>
    <x v="147"/>
    <n v="1511"/>
    <x v="3"/>
    <x v="1"/>
    <x v="1"/>
    <n v="5"/>
    <n v="0"/>
    <s v="Card"/>
    <x v="1"/>
    <x v="0"/>
    <n v="2"/>
    <n v="1"/>
    <n v="1"/>
    <s v="Repeat"/>
    <x v="4"/>
    <n v="47"/>
    <n v="0"/>
  </r>
  <r>
    <n v="1700"/>
    <x v="105"/>
    <n v="1116"/>
    <x v="1"/>
    <x v="2"/>
    <x v="1"/>
    <n v="2"/>
    <n v="0"/>
    <s v="UPI"/>
    <x v="2"/>
    <x v="2"/>
    <n v="3"/>
    <n v="0"/>
    <n v="0"/>
    <s v="New"/>
    <x v="3"/>
    <n v="52"/>
    <n v="0"/>
  </r>
  <r>
    <n v="1701"/>
    <x v="163"/>
    <n v="1544"/>
    <x v="4"/>
    <x v="4"/>
    <x v="3"/>
    <n v="4"/>
    <n v="0"/>
    <s v="COD"/>
    <x v="2"/>
    <x v="3"/>
    <n v="1"/>
    <n v="0"/>
    <n v="1"/>
    <s v="Repeat"/>
    <x v="4"/>
    <n v="45"/>
    <n v="0"/>
  </r>
  <r>
    <n v="1702"/>
    <x v="102"/>
    <n v="1011"/>
    <x v="3"/>
    <x v="1"/>
    <x v="0"/>
    <n v="1"/>
    <n v="3632"/>
    <s v="Card"/>
    <x v="0"/>
    <x v="3"/>
    <n v="2"/>
    <n v="1"/>
    <n v="0"/>
    <s v="Repeat"/>
    <x v="3"/>
    <n v="50"/>
    <n v="1"/>
  </r>
  <r>
    <n v="1703"/>
    <x v="66"/>
    <n v="1382"/>
    <x v="0"/>
    <x v="1"/>
    <x v="2"/>
    <n v="5"/>
    <n v="0"/>
    <s v="Wallet"/>
    <x v="2"/>
    <x v="1"/>
    <n v="9"/>
    <n v="0"/>
    <n v="1"/>
    <s v="Repeat"/>
    <x v="1"/>
    <n v="39"/>
    <n v="0"/>
  </r>
  <r>
    <n v="1704"/>
    <x v="171"/>
    <n v="1275"/>
    <x v="4"/>
    <x v="2"/>
    <x v="2"/>
    <n v="1"/>
    <n v="0"/>
    <s v="Wallet"/>
    <x v="1"/>
    <x v="3"/>
    <n v="5"/>
    <n v="0"/>
    <n v="1"/>
    <s v="Repeat"/>
    <x v="1"/>
    <n v="36"/>
    <n v="0"/>
  </r>
  <r>
    <n v="1705"/>
    <x v="87"/>
    <n v="1090"/>
    <x v="0"/>
    <x v="2"/>
    <x v="1"/>
    <n v="1"/>
    <n v="659"/>
    <s v="COD"/>
    <x v="0"/>
    <x v="0"/>
    <n v="5"/>
    <n v="0"/>
    <n v="1"/>
    <s v="Repeat"/>
    <x v="2"/>
    <n v="42"/>
    <n v="1"/>
  </r>
  <r>
    <n v="1706"/>
    <x v="122"/>
    <n v="1457"/>
    <x v="0"/>
    <x v="3"/>
    <x v="3"/>
    <n v="5"/>
    <n v="22405"/>
    <s v="Wallet"/>
    <x v="0"/>
    <x v="1"/>
    <n v="8"/>
    <n v="0"/>
    <n v="0"/>
    <s v="Repeat"/>
    <x v="3"/>
    <n v="53"/>
    <n v="1"/>
  </r>
  <r>
    <n v="1707"/>
    <x v="130"/>
    <n v="1314"/>
    <x v="3"/>
    <x v="1"/>
    <x v="1"/>
    <n v="3"/>
    <n v="8409"/>
    <s v="COD"/>
    <x v="0"/>
    <x v="3"/>
    <n v="2"/>
    <n v="1"/>
    <n v="1"/>
    <s v="New"/>
    <x v="3"/>
    <n v="51"/>
    <n v="1"/>
  </r>
  <r>
    <n v="1708"/>
    <x v="17"/>
    <n v="1486"/>
    <x v="3"/>
    <x v="1"/>
    <x v="2"/>
    <n v="1"/>
    <n v="0"/>
    <s v="COD"/>
    <x v="1"/>
    <x v="3"/>
    <n v="3"/>
    <n v="0"/>
    <n v="1"/>
    <s v="New"/>
    <x v="1"/>
    <n v="38"/>
    <n v="0"/>
  </r>
  <r>
    <n v="1709"/>
    <x v="9"/>
    <n v="1804"/>
    <x v="2"/>
    <x v="0"/>
    <x v="1"/>
    <n v="5"/>
    <n v="0"/>
    <s v="Wallet"/>
    <x v="1"/>
    <x v="1"/>
    <n v="7"/>
    <n v="1"/>
    <n v="1"/>
    <s v="New"/>
    <x v="5"/>
    <n v="30"/>
    <n v="0"/>
  </r>
  <r>
    <n v="1710"/>
    <x v="107"/>
    <n v="1644"/>
    <x v="3"/>
    <x v="3"/>
    <x v="0"/>
    <n v="1"/>
    <n v="1525"/>
    <s v="UPI"/>
    <x v="0"/>
    <x v="2"/>
    <n v="1"/>
    <n v="0"/>
    <n v="1"/>
    <s v="New"/>
    <x v="4"/>
    <n v="45"/>
    <n v="1"/>
  </r>
  <r>
    <n v="1711"/>
    <x v="179"/>
    <n v="1029"/>
    <x v="0"/>
    <x v="1"/>
    <x v="2"/>
    <n v="1"/>
    <n v="2838"/>
    <s v="Card"/>
    <x v="0"/>
    <x v="0"/>
    <n v="8"/>
    <n v="0"/>
    <n v="0"/>
    <s v="Repeat"/>
    <x v="5"/>
    <n v="29"/>
    <n v="1"/>
  </r>
  <r>
    <n v="1712"/>
    <x v="60"/>
    <n v="1396"/>
    <x v="0"/>
    <x v="3"/>
    <x v="1"/>
    <n v="1"/>
    <n v="0"/>
    <s v="Card"/>
    <x v="2"/>
    <x v="0"/>
    <n v="4"/>
    <n v="1"/>
    <n v="0"/>
    <s v="New"/>
    <x v="1"/>
    <n v="36"/>
    <n v="0"/>
  </r>
  <r>
    <n v="1713"/>
    <x v="124"/>
    <n v="1706"/>
    <x v="4"/>
    <x v="3"/>
    <x v="3"/>
    <n v="4"/>
    <n v="0"/>
    <s v="Card"/>
    <x v="2"/>
    <x v="3"/>
    <n v="1"/>
    <n v="1"/>
    <n v="0"/>
    <s v="New"/>
    <x v="1"/>
    <n v="37"/>
    <n v="0"/>
  </r>
  <r>
    <n v="1714"/>
    <x v="6"/>
    <n v="1557"/>
    <x v="2"/>
    <x v="2"/>
    <x v="0"/>
    <n v="2"/>
    <n v="0"/>
    <s v="UPI"/>
    <x v="1"/>
    <x v="2"/>
    <n v="3"/>
    <n v="0"/>
    <n v="0"/>
    <s v="Repeat"/>
    <x v="4"/>
    <n v="47"/>
    <n v="0"/>
  </r>
  <r>
    <n v="1715"/>
    <x v="143"/>
    <n v="1290"/>
    <x v="3"/>
    <x v="3"/>
    <x v="2"/>
    <n v="3"/>
    <n v="14697"/>
    <s v="Card"/>
    <x v="0"/>
    <x v="1"/>
    <n v="10"/>
    <n v="1"/>
    <n v="0"/>
    <s v="New"/>
    <x v="2"/>
    <n v="43"/>
    <n v="1"/>
  </r>
  <r>
    <n v="1716"/>
    <x v="143"/>
    <n v="1340"/>
    <x v="1"/>
    <x v="1"/>
    <x v="2"/>
    <n v="2"/>
    <n v="0"/>
    <s v="Card"/>
    <x v="1"/>
    <x v="2"/>
    <n v="2"/>
    <n v="0"/>
    <n v="0"/>
    <s v="New"/>
    <x v="2"/>
    <n v="43"/>
    <n v="0"/>
  </r>
  <r>
    <n v="1717"/>
    <x v="79"/>
    <n v="1091"/>
    <x v="3"/>
    <x v="3"/>
    <x v="3"/>
    <n v="1"/>
    <n v="0"/>
    <s v="Card"/>
    <x v="2"/>
    <x v="3"/>
    <n v="2"/>
    <n v="1"/>
    <n v="0"/>
    <s v="Repeat"/>
    <x v="1"/>
    <n v="36"/>
    <n v="0"/>
  </r>
  <r>
    <n v="1718"/>
    <x v="116"/>
    <n v="1524"/>
    <x v="1"/>
    <x v="4"/>
    <x v="1"/>
    <n v="5"/>
    <n v="12065"/>
    <s v="Wallet"/>
    <x v="0"/>
    <x v="1"/>
    <n v="8"/>
    <n v="1"/>
    <n v="0"/>
    <s v="Repeat"/>
    <x v="3"/>
    <n v="50"/>
    <n v="1"/>
  </r>
  <r>
    <n v="1719"/>
    <x v="0"/>
    <n v="1076"/>
    <x v="3"/>
    <x v="1"/>
    <x v="3"/>
    <n v="2"/>
    <n v="0"/>
    <s v="Card"/>
    <x v="1"/>
    <x v="1"/>
    <n v="8"/>
    <n v="1"/>
    <n v="0"/>
    <s v="Repeat"/>
    <x v="0"/>
    <n v="32"/>
    <n v="0"/>
  </r>
  <r>
    <n v="1720"/>
    <x v="171"/>
    <n v="1841"/>
    <x v="0"/>
    <x v="0"/>
    <x v="1"/>
    <n v="4"/>
    <n v="0"/>
    <s v="COD"/>
    <x v="1"/>
    <x v="2"/>
    <n v="8"/>
    <n v="0"/>
    <n v="0"/>
    <s v="New"/>
    <x v="1"/>
    <n v="36"/>
    <n v="0"/>
  </r>
  <r>
    <n v="1721"/>
    <x v="120"/>
    <n v="1107"/>
    <x v="3"/>
    <x v="3"/>
    <x v="0"/>
    <n v="1"/>
    <n v="0"/>
    <s v="Wallet"/>
    <x v="1"/>
    <x v="1"/>
    <n v="9"/>
    <n v="1"/>
    <n v="1"/>
    <s v="Repeat"/>
    <x v="6"/>
    <n v="1"/>
    <n v="0"/>
  </r>
  <r>
    <n v="1722"/>
    <x v="82"/>
    <n v="1989"/>
    <x v="1"/>
    <x v="1"/>
    <x v="2"/>
    <n v="1"/>
    <n v="0"/>
    <s v="Wallet"/>
    <x v="2"/>
    <x v="3"/>
    <n v="7"/>
    <n v="1"/>
    <n v="1"/>
    <s v="Repeat"/>
    <x v="0"/>
    <n v="33"/>
    <n v="0"/>
  </r>
  <r>
    <n v="1723"/>
    <x v="118"/>
    <n v="1907"/>
    <x v="3"/>
    <x v="2"/>
    <x v="2"/>
    <n v="5"/>
    <n v="0"/>
    <s v="UPI"/>
    <x v="1"/>
    <x v="1"/>
    <n v="3"/>
    <n v="0"/>
    <n v="0"/>
    <s v="New"/>
    <x v="0"/>
    <n v="35"/>
    <n v="0"/>
  </r>
  <r>
    <n v="1724"/>
    <x v="165"/>
    <n v="1173"/>
    <x v="1"/>
    <x v="4"/>
    <x v="0"/>
    <n v="3"/>
    <n v="10215"/>
    <s v="UPI"/>
    <x v="0"/>
    <x v="0"/>
    <n v="4"/>
    <n v="1"/>
    <n v="0"/>
    <s v="New"/>
    <x v="2"/>
    <n v="41"/>
    <n v="1"/>
  </r>
  <r>
    <n v="1725"/>
    <x v="54"/>
    <n v="1000"/>
    <x v="1"/>
    <x v="1"/>
    <x v="1"/>
    <n v="3"/>
    <n v="0"/>
    <s v="Wallet"/>
    <x v="2"/>
    <x v="0"/>
    <n v="10"/>
    <n v="1"/>
    <n v="0"/>
    <s v="New"/>
    <x v="0"/>
    <n v="34"/>
    <n v="0"/>
  </r>
  <r>
    <n v="1726"/>
    <x v="94"/>
    <n v="1240"/>
    <x v="1"/>
    <x v="3"/>
    <x v="0"/>
    <n v="5"/>
    <n v="0"/>
    <s v="COD"/>
    <x v="2"/>
    <x v="0"/>
    <n v="7"/>
    <n v="0"/>
    <n v="0"/>
    <s v="New"/>
    <x v="1"/>
    <n v="40"/>
    <n v="0"/>
  </r>
  <r>
    <n v="1727"/>
    <x v="28"/>
    <n v="1369"/>
    <x v="1"/>
    <x v="2"/>
    <x v="0"/>
    <n v="5"/>
    <n v="0"/>
    <s v="UPI"/>
    <x v="2"/>
    <x v="2"/>
    <n v="7"/>
    <n v="0"/>
    <n v="1"/>
    <s v="New"/>
    <x v="0"/>
    <n v="33"/>
    <n v="0"/>
  </r>
  <r>
    <n v="1728"/>
    <x v="157"/>
    <n v="1689"/>
    <x v="2"/>
    <x v="4"/>
    <x v="1"/>
    <n v="3"/>
    <n v="0"/>
    <s v="Card"/>
    <x v="1"/>
    <x v="1"/>
    <n v="8"/>
    <n v="0"/>
    <n v="0"/>
    <s v="Repeat"/>
    <x v="2"/>
    <n v="41"/>
    <n v="0"/>
  </r>
  <r>
    <n v="1729"/>
    <x v="22"/>
    <n v="1346"/>
    <x v="1"/>
    <x v="2"/>
    <x v="3"/>
    <n v="4"/>
    <n v="0"/>
    <s v="COD"/>
    <x v="1"/>
    <x v="2"/>
    <n v="10"/>
    <n v="1"/>
    <n v="0"/>
    <s v="New"/>
    <x v="6"/>
    <n v="2"/>
    <n v="0"/>
  </r>
  <r>
    <n v="1730"/>
    <x v="70"/>
    <n v="1502"/>
    <x v="0"/>
    <x v="3"/>
    <x v="0"/>
    <n v="4"/>
    <n v="0"/>
    <s v="Card"/>
    <x v="2"/>
    <x v="0"/>
    <n v="4"/>
    <n v="0"/>
    <n v="1"/>
    <s v="Repeat"/>
    <x v="2"/>
    <n v="40"/>
    <n v="0"/>
  </r>
  <r>
    <n v="1731"/>
    <x v="57"/>
    <n v="1428"/>
    <x v="0"/>
    <x v="1"/>
    <x v="0"/>
    <n v="2"/>
    <n v="4156"/>
    <s v="Wallet"/>
    <x v="0"/>
    <x v="2"/>
    <n v="10"/>
    <n v="0"/>
    <n v="1"/>
    <s v="New"/>
    <x v="4"/>
    <n v="48"/>
    <n v="1"/>
  </r>
  <r>
    <n v="1732"/>
    <x v="151"/>
    <n v="1999"/>
    <x v="0"/>
    <x v="4"/>
    <x v="1"/>
    <n v="1"/>
    <n v="0"/>
    <s v="Wallet"/>
    <x v="2"/>
    <x v="3"/>
    <n v="6"/>
    <n v="1"/>
    <n v="0"/>
    <s v="New"/>
    <x v="3"/>
    <n v="52"/>
    <n v="0"/>
  </r>
  <r>
    <n v="1733"/>
    <x v="163"/>
    <n v="1991"/>
    <x v="2"/>
    <x v="1"/>
    <x v="2"/>
    <n v="5"/>
    <n v="1365"/>
    <s v="Wallet"/>
    <x v="0"/>
    <x v="2"/>
    <n v="1"/>
    <n v="0"/>
    <n v="1"/>
    <s v="New"/>
    <x v="4"/>
    <n v="45"/>
    <n v="1"/>
  </r>
  <r>
    <n v="1734"/>
    <x v="38"/>
    <n v="1726"/>
    <x v="1"/>
    <x v="0"/>
    <x v="3"/>
    <n v="4"/>
    <n v="0"/>
    <s v="Wallet"/>
    <x v="2"/>
    <x v="0"/>
    <n v="5"/>
    <n v="0"/>
    <n v="0"/>
    <s v="New"/>
    <x v="1"/>
    <n v="39"/>
    <n v="0"/>
  </r>
  <r>
    <n v="1735"/>
    <x v="8"/>
    <n v="1212"/>
    <x v="1"/>
    <x v="2"/>
    <x v="3"/>
    <n v="5"/>
    <n v="0"/>
    <s v="Card"/>
    <x v="2"/>
    <x v="2"/>
    <n v="6"/>
    <n v="1"/>
    <n v="1"/>
    <s v="New"/>
    <x v="0"/>
    <n v="32"/>
    <n v="0"/>
  </r>
  <r>
    <n v="1736"/>
    <x v="73"/>
    <n v="1343"/>
    <x v="2"/>
    <x v="3"/>
    <x v="3"/>
    <n v="5"/>
    <n v="0"/>
    <s v="UPI"/>
    <x v="1"/>
    <x v="0"/>
    <n v="8"/>
    <n v="1"/>
    <n v="1"/>
    <s v="New"/>
    <x v="4"/>
    <n v="45"/>
    <n v="0"/>
  </r>
  <r>
    <n v="1737"/>
    <x v="161"/>
    <n v="1518"/>
    <x v="4"/>
    <x v="4"/>
    <x v="2"/>
    <n v="5"/>
    <n v="0"/>
    <s v="Card"/>
    <x v="2"/>
    <x v="0"/>
    <n v="3"/>
    <n v="0"/>
    <n v="1"/>
    <s v="New"/>
    <x v="2"/>
    <n v="41"/>
    <n v="0"/>
  </r>
  <r>
    <n v="1738"/>
    <x v="68"/>
    <n v="1146"/>
    <x v="1"/>
    <x v="1"/>
    <x v="0"/>
    <n v="1"/>
    <n v="0"/>
    <s v="Wallet"/>
    <x v="1"/>
    <x v="2"/>
    <n v="8"/>
    <n v="0"/>
    <n v="1"/>
    <s v="Repeat"/>
    <x v="0"/>
    <n v="32"/>
    <n v="0"/>
  </r>
  <r>
    <n v="1739"/>
    <x v="166"/>
    <n v="1575"/>
    <x v="0"/>
    <x v="0"/>
    <x v="1"/>
    <n v="1"/>
    <n v="2806"/>
    <s v="UPI"/>
    <x v="0"/>
    <x v="2"/>
    <n v="1"/>
    <n v="0"/>
    <n v="0"/>
    <s v="Repeat"/>
    <x v="1"/>
    <n v="39"/>
    <n v="1"/>
  </r>
  <r>
    <n v="1740"/>
    <x v="36"/>
    <n v="1687"/>
    <x v="1"/>
    <x v="4"/>
    <x v="2"/>
    <n v="1"/>
    <n v="0"/>
    <s v="COD"/>
    <x v="1"/>
    <x v="3"/>
    <n v="3"/>
    <n v="0"/>
    <n v="0"/>
    <s v="New"/>
    <x v="2"/>
    <n v="44"/>
    <n v="0"/>
  </r>
  <r>
    <n v="1741"/>
    <x v="61"/>
    <n v="1014"/>
    <x v="1"/>
    <x v="3"/>
    <x v="3"/>
    <n v="5"/>
    <n v="0"/>
    <s v="Card"/>
    <x v="2"/>
    <x v="2"/>
    <n v="2"/>
    <n v="0"/>
    <n v="0"/>
    <s v="New"/>
    <x v="4"/>
    <n v="46"/>
    <n v="0"/>
  </r>
  <r>
    <n v="1742"/>
    <x v="108"/>
    <n v="1018"/>
    <x v="2"/>
    <x v="2"/>
    <x v="1"/>
    <n v="1"/>
    <n v="1998"/>
    <s v="COD"/>
    <x v="0"/>
    <x v="3"/>
    <n v="3"/>
    <n v="1"/>
    <n v="0"/>
    <s v="Repeat"/>
    <x v="2"/>
    <n v="44"/>
    <n v="1"/>
  </r>
  <r>
    <n v="1743"/>
    <x v="148"/>
    <n v="1797"/>
    <x v="1"/>
    <x v="0"/>
    <x v="2"/>
    <n v="4"/>
    <n v="0"/>
    <s v="Card"/>
    <x v="2"/>
    <x v="2"/>
    <n v="9"/>
    <n v="0"/>
    <n v="0"/>
    <s v="Repeat"/>
    <x v="5"/>
    <n v="30"/>
    <n v="0"/>
  </r>
  <r>
    <n v="1744"/>
    <x v="143"/>
    <n v="1961"/>
    <x v="1"/>
    <x v="4"/>
    <x v="1"/>
    <n v="4"/>
    <n v="0"/>
    <s v="Wallet"/>
    <x v="2"/>
    <x v="3"/>
    <n v="5"/>
    <n v="0"/>
    <n v="0"/>
    <s v="New"/>
    <x v="2"/>
    <n v="43"/>
    <n v="0"/>
  </r>
  <r>
    <n v="1745"/>
    <x v="155"/>
    <n v="1416"/>
    <x v="2"/>
    <x v="3"/>
    <x v="0"/>
    <n v="4"/>
    <n v="0"/>
    <s v="UPI"/>
    <x v="2"/>
    <x v="3"/>
    <n v="10"/>
    <n v="0"/>
    <n v="0"/>
    <s v="Repeat"/>
    <x v="0"/>
    <n v="33"/>
    <n v="0"/>
  </r>
  <r>
    <n v="1746"/>
    <x v="165"/>
    <n v="1752"/>
    <x v="1"/>
    <x v="3"/>
    <x v="0"/>
    <n v="2"/>
    <n v="1620"/>
    <s v="Card"/>
    <x v="0"/>
    <x v="3"/>
    <n v="4"/>
    <n v="0"/>
    <n v="1"/>
    <s v="New"/>
    <x v="2"/>
    <n v="41"/>
    <n v="1"/>
  </r>
  <r>
    <n v="1747"/>
    <x v="135"/>
    <n v="1767"/>
    <x v="3"/>
    <x v="3"/>
    <x v="3"/>
    <n v="5"/>
    <n v="0"/>
    <s v="Card"/>
    <x v="1"/>
    <x v="0"/>
    <n v="8"/>
    <n v="1"/>
    <n v="1"/>
    <s v="Repeat"/>
    <x v="2"/>
    <n v="43"/>
    <n v="0"/>
  </r>
  <r>
    <n v="1748"/>
    <x v="88"/>
    <n v="1647"/>
    <x v="3"/>
    <x v="0"/>
    <x v="1"/>
    <n v="1"/>
    <n v="4136"/>
    <s v="Wallet"/>
    <x v="0"/>
    <x v="0"/>
    <n v="8"/>
    <n v="0"/>
    <n v="1"/>
    <s v="Repeat"/>
    <x v="1"/>
    <n v="37"/>
    <n v="1"/>
  </r>
  <r>
    <n v="1749"/>
    <x v="42"/>
    <n v="1013"/>
    <x v="3"/>
    <x v="3"/>
    <x v="3"/>
    <n v="2"/>
    <n v="0"/>
    <s v="UPI"/>
    <x v="1"/>
    <x v="2"/>
    <n v="10"/>
    <n v="1"/>
    <n v="1"/>
    <s v="New"/>
    <x v="2"/>
    <n v="44"/>
    <n v="0"/>
  </r>
  <r>
    <n v="1750"/>
    <x v="146"/>
    <n v="1722"/>
    <x v="2"/>
    <x v="2"/>
    <x v="3"/>
    <n v="1"/>
    <n v="0"/>
    <s v="COD"/>
    <x v="1"/>
    <x v="3"/>
    <n v="6"/>
    <n v="0"/>
    <n v="1"/>
    <s v="Repeat"/>
    <x v="2"/>
    <n v="40"/>
    <n v="0"/>
  </r>
  <r>
    <n v="1751"/>
    <x v="102"/>
    <n v="1699"/>
    <x v="0"/>
    <x v="0"/>
    <x v="1"/>
    <n v="1"/>
    <n v="0"/>
    <s v="Card"/>
    <x v="1"/>
    <x v="1"/>
    <n v="1"/>
    <n v="0"/>
    <n v="0"/>
    <s v="Repeat"/>
    <x v="3"/>
    <n v="50"/>
    <n v="0"/>
  </r>
  <r>
    <n v="1752"/>
    <x v="21"/>
    <n v="1593"/>
    <x v="4"/>
    <x v="1"/>
    <x v="2"/>
    <n v="2"/>
    <n v="8016"/>
    <s v="UPI"/>
    <x v="0"/>
    <x v="1"/>
    <n v="5"/>
    <n v="1"/>
    <n v="1"/>
    <s v="New"/>
    <x v="2"/>
    <n v="43"/>
    <n v="1"/>
  </r>
  <r>
    <n v="1753"/>
    <x v="95"/>
    <n v="1528"/>
    <x v="1"/>
    <x v="1"/>
    <x v="1"/>
    <n v="2"/>
    <n v="1914"/>
    <s v="UPI"/>
    <x v="0"/>
    <x v="3"/>
    <n v="3"/>
    <n v="0"/>
    <n v="1"/>
    <s v="Repeat"/>
    <x v="4"/>
    <n v="47"/>
    <n v="1"/>
  </r>
  <r>
    <n v="1754"/>
    <x v="96"/>
    <n v="1175"/>
    <x v="2"/>
    <x v="3"/>
    <x v="2"/>
    <n v="1"/>
    <n v="0"/>
    <s v="UPI"/>
    <x v="2"/>
    <x v="1"/>
    <n v="10"/>
    <n v="1"/>
    <n v="0"/>
    <s v="Repeat"/>
    <x v="4"/>
    <n v="45"/>
    <n v="0"/>
  </r>
  <r>
    <n v="1755"/>
    <x v="28"/>
    <n v="1516"/>
    <x v="2"/>
    <x v="4"/>
    <x v="2"/>
    <n v="5"/>
    <n v="0"/>
    <s v="UPI"/>
    <x v="1"/>
    <x v="0"/>
    <n v="4"/>
    <n v="1"/>
    <n v="0"/>
    <s v="Repeat"/>
    <x v="0"/>
    <n v="33"/>
    <n v="0"/>
  </r>
  <r>
    <n v="1756"/>
    <x v="163"/>
    <n v="1263"/>
    <x v="3"/>
    <x v="3"/>
    <x v="3"/>
    <n v="1"/>
    <n v="3831"/>
    <s v="COD"/>
    <x v="0"/>
    <x v="1"/>
    <n v="1"/>
    <n v="1"/>
    <n v="0"/>
    <s v="Repeat"/>
    <x v="4"/>
    <n v="45"/>
    <n v="1"/>
  </r>
  <r>
    <n v="1757"/>
    <x v="152"/>
    <n v="1267"/>
    <x v="4"/>
    <x v="2"/>
    <x v="0"/>
    <n v="1"/>
    <n v="0"/>
    <s v="COD"/>
    <x v="2"/>
    <x v="0"/>
    <n v="5"/>
    <n v="0"/>
    <n v="0"/>
    <s v="New"/>
    <x v="2"/>
    <n v="42"/>
    <n v="0"/>
  </r>
  <r>
    <n v="1758"/>
    <x v="109"/>
    <n v="1233"/>
    <x v="2"/>
    <x v="1"/>
    <x v="2"/>
    <n v="1"/>
    <n v="0"/>
    <s v="Card"/>
    <x v="2"/>
    <x v="3"/>
    <n v="3"/>
    <n v="0"/>
    <n v="0"/>
    <s v="New"/>
    <x v="4"/>
    <n v="46"/>
    <n v="0"/>
  </r>
  <r>
    <n v="1759"/>
    <x v="91"/>
    <n v="1367"/>
    <x v="0"/>
    <x v="0"/>
    <x v="2"/>
    <n v="1"/>
    <n v="1100"/>
    <s v="Wallet"/>
    <x v="0"/>
    <x v="0"/>
    <n v="3"/>
    <n v="0"/>
    <n v="0"/>
    <s v="New"/>
    <x v="3"/>
    <n v="52"/>
    <n v="1"/>
  </r>
  <r>
    <n v="1760"/>
    <x v="70"/>
    <n v="1539"/>
    <x v="2"/>
    <x v="3"/>
    <x v="0"/>
    <n v="4"/>
    <n v="0"/>
    <s v="COD"/>
    <x v="1"/>
    <x v="1"/>
    <n v="10"/>
    <n v="0"/>
    <n v="0"/>
    <s v="Repeat"/>
    <x v="2"/>
    <n v="40"/>
    <n v="0"/>
  </r>
  <r>
    <n v="1761"/>
    <x v="8"/>
    <n v="1846"/>
    <x v="4"/>
    <x v="0"/>
    <x v="0"/>
    <n v="1"/>
    <n v="3646"/>
    <s v="COD"/>
    <x v="0"/>
    <x v="0"/>
    <n v="1"/>
    <n v="0"/>
    <n v="1"/>
    <s v="New"/>
    <x v="0"/>
    <n v="32"/>
    <n v="1"/>
  </r>
  <r>
    <n v="1762"/>
    <x v="24"/>
    <n v="1219"/>
    <x v="3"/>
    <x v="4"/>
    <x v="0"/>
    <n v="4"/>
    <n v="0"/>
    <s v="Wallet"/>
    <x v="2"/>
    <x v="3"/>
    <n v="1"/>
    <n v="0"/>
    <n v="0"/>
    <s v="New"/>
    <x v="5"/>
    <n v="30"/>
    <n v="0"/>
  </r>
  <r>
    <n v="1763"/>
    <x v="146"/>
    <n v="1133"/>
    <x v="4"/>
    <x v="1"/>
    <x v="0"/>
    <n v="1"/>
    <n v="0"/>
    <s v="COD"/>
    <x v="2"/>
    <x v="3"/>
    <n v="1"/>
    <n v="1"/>
    <n v="0"/>
    <s v="Repeat"/>
    <x v="2"/>
    <n v="40"/>
    <n v="0"/>
  </r>
  <r>
    <n v="1764"/>
    <x v="25"/>
    <n v="1110"/>
    <x v="2"/>
    <x v="1"/>
    <x v="2"/>
    <n v="1"/>
    <n v="4934"/>
    <s v="Wallet"/>
    <x v="0"/>
    <x v="0"/>
    <n v="7"/>
    <n v="1"/>
    <n v="0"/>
    <s v="New"/>
    <x v="4"/>
    <n v="49"/>
    <n v="1"/>
  </r>
  <r>
    <n v="1765"/>
    <x v="76"/>
    <n v="1168"/>
    <x v="2"/>
    <x v="4"/>
    <x v="3"/>
    <n v="1"/>
    <n v="0"/>
    <s v="COD"/>
    <x v="2"/>
    <x v="1"/>
    <n v="6"/>
    <n v="0"/>
    <n v="0"/>
    <s v="New"/>
    <x v="3"/>
    <n v="50"/>
    <n v="0"/>
  </r>
  <r>
    <n v="1766"/>
    <x v="66"/>
    <n v="1124"/>
    <x v="4"/>
    <x v="3"/>
    <x v="1"/>
    <n v="5"/>
    <n v="0"/>
    <s v="Card"/>
    <x v="2"/>
    <x v="0"/>
    <n v="4"/>
    <n v="1"/>
    <n v="1"/>
    <s v="Repeat"/>
    <x v="1"/>
    <n v="39"/>
    <n v="0"/>
  </r>
  <r>
    <n v="1767"/>
    <x v="4"/>
    <n v="1223"/>
    <x v="3"/>
    <x v="1"/>
    <x v="2"/>
    <n v="3"/>
    <n v="0"/>
    <s v="UPI"/>
    <x v="2"/>
    <x v="2"/>
    <n v="1"/>
    <n v="1"/>
    <n v="1"/>
    <s v="Repeat"/>
    <x v="3"/>
    <n v="50"/>
    <n v="0"/>
  </r>
  <r>
    <n v="1768"/>
    <x v="176"/>
    <n v="1164"/>
    <x v="4"/>
    <x v="1"/>
    <x v="2"/>
    <n v="2"/>
    <n v="0"/>
    <s v="UPI"/>
    <x v="1"/>
    <x v="1"/>
    <n v="7"/>
    <n v="1"/>
    <n v="1"/>
    <s v="Repeat"/>
    <x v="3"/>
    <n v="51"/>
    <n v="0"/>
  </r>
  <r>
    <n v="1769"/>
    <x v="112"/>
    <n v="1762"/>
    <x v="3"/>
    <x v="4"/>
    <x v="2"/>
    <n v="2"/>
    <n v="0"/>
    <s v="Wallet"/>
    <x v="1"/>
    <x v="2"/>
    <n v="7"/>
    <n v="1"/>
    <n v="1"/>
    <s v="Repeat"/>
    <x v="5"/>
    <n v="30"/>
    <n v="0"/>
  </r>
  <r>
    <n v="1770"/>
    <x v="107"/>
    <n v="1866"/>
    <x v="1"/>
    <x v="2"/>
    <x v="3"/>
    <n v="4"/>
    <n v="1428"/>
    <s v="Card"/>
    <x v="0"/>
    <x v="2"/>
    <n v="1"/>
    <n v="0"/>
    <n v="1"/>
    <s v="New"/>
    <x v="4"/>
    <n v="45"/>
    <n v="1"/>
  </r>
  <r>
    <n v="1771"/>
    <x v="176"/>
    <n v="1956"/>
    <x v="0"/>
    <x v="3"/>
    <x v="3"/>
    <n v="1"/>
    <n v="0"/>
    <s v="Wallet"/>
    <x v="1"/>
    <x v="3"/>
    <n v="3"/>
    <n v="1"/>
    <n v="0"/>
    <s v="Repeat"/>
    <x v="3"/>
    <n v="51"/>
    <n v="0"/>
  </r>
  <r>
    <n v="1772"/>
    <x v="152"/>
    <n v="1101"/>
    <x v="1"/>
    <x v="0"/>
    <x v="0"/>
    <n v="5"/>
    <n v="4880"/>
    <s v="Wallet"/>
    <x v="0"/>
    <x v="0"/>
    <n v="1"/>
    <n v="0"/>
    <n v="1"/>
    <s v="Repeat"/>
    <x v="2"/>
    <n v="42"/>
    <n v="1"/>
  </r>
  <r>
    <n v="1773"/>
    <x v="177"/>
    <n v="1573"/>
    <x v="1"/>
    <x v="1"/>
    <x v="1"/>
    <n v="1"/>
    <n v="0"/>
    <s v="UPI"/>
    <x v="2"/>
    <x v="3"/>
    <n v="5"/>
    <n v="1"/>
    <n v="0"/>
    <s v="Repeat"/>
    <x v="4"/>
    <n v="45"/>
    <n v="0"/>
  </r>
  <r>
    <n v="1774"/>
    <x v="162"/>
    <n v="1770"/>
    <x v="1"/>
    <x v="2"/>
    <x v="0"/>
    <n v="5"/>
    <n v="0"/>
    <s v="COD"/>
    <x v="2"/>
    <x v="2"/>
    <n v="6"/>
    <n v="0"/>
    <n v="0"/>
    <s v="New"/>
    <x v="2"/>
    <n v="43"/>
    <n v="0"/>
  </r>
  <r>
    <n v="1775"/>
    <x v="105"/>
    <n v="1741"/>
    <x v="1"/>
    <x v="2"/>
    <x v="2"/>
    <n v="4"/>
    <n v="0"/>
    <s v="COD"/>
    <x v="2"/>
    <x v="3"/>
    <n v="3"/>
    <n v="0"/>
    <n v="0"/>
    <s v="New"/>
    <x v="3"/>
    <n v="52"/>
    <n v="0"/>
  </r>
  <r>
    <n v="1776"/>
    <x v="136"/>
    <n v="1503"/>
    <x v="0"/>
    <x v="2"/>
    <x v="1"/>
    <n v="2"/>
    <n v="6508"/>
    <s v="COD"/>
    <x v="0"/>
    <x v="0"/>
    <n v="8"/>
    <n v="1"/>
    <n v="1"/>
    <s v="Repeat"/>
    <x v="2"/>
    <n v="40"/>
    <n v="1"/>
  </r>
  <r>
    <n v="1777"/>
    <x v="57"/>
    <n v="1853"/>
    <x v="3"/>
    <x v="1"/>
    <x v="0"/>
    <n v="4"/>
    <n v="0"/>
    <s v="COD"/>
    <x v="1"/>
    <x v="1"/>
    <n v="10"/>
    <n v="1"/>
    <n v="0"/>
    <s v="New"/>
    <x v="4"/>
    <n v="48"/>
    <n v="0"/>
  </r>
  <r>
    <n v="1778"/>
    <x v="129"/>
    <n v="1091"/>
    <x v="4"/>
    <x v="1"/>
    <x v="3"/>
    <n v="5"/>
    <n v="0"/>
    <s v="UPI"/>
    <x v="2"/>
    <x v="3"/>
    <n v="8"/>
    <n v="1"/>
    <n v="0"/>
    <s v="Repeat"/>
    <x v="4"/>
    <n v="46"/>
    <n v="0"/>
  </r>
  <r>
    <n v="1779"/>
    <x v="93"/>
    <n v="1994"/>
    <x v="0"/>
    <x v="3"/>
    <x v="0"/>
    <n v="1"/>
    <n v="0"/>
    <s v="Card"/>
    <x v="2"/>
    <x v="0"/>
    <n v="5"/>
    <n v="0"/>
    <n v="1"/>
    <s v="Repeat"/>
    <x v="3"/>
    <n v="53"/>
    <n v="0"/>
  </r>
  <r>
    <n v="1780"/>
    <x v="132"/>
    <n v="1478"/>
    <x v="0"/>
    <x v="2"/>
    <x v="0"/>
    <n v="2"/>
    <n v="0"/>
    <s v="UPI"/>
    <x v="1"/>
    <x v="0"/>
    <n v="8"/>
    <n v="1"/>
    <n v="0"/>
    <s v="New"/>
    <x v="2"/>
    <n v="42"/>
    <n v="0"/>
  </r>
  <r>
    <n v="1781"/>
    <x v="27"/>
    <n v="1735"/>
    <x v="1"/>
    <x v="2"/>
    <x v="1"/>
    <n v="5"/>
    <n v="13150"/>
    <s v="Wallet"/>
    <x v="0"/>
    <x v="2"/>
    <n v="8"/>
    <n v="0"/>
    <n v="1"/>
    <s v="New"/>
    <x v="1"/>
    <n v="37"/>
    <n v="1"/>
  </r>
  <r>
    <n v="1782"/>
    <x v="170"/>
    <n v="1630"/>
    <x v="0"/>
    <x v="4"/>
    <x v="2"/>
    <n v="1"/>
    <n v="0"/>
    <s v="COD"/>
    <x v="2"/>
    <x v="2"/>
    <n v="9"/>
    <n v="1"/>
    <n v="1"/>
    <s v="Repeat"/>
    <x v="4"/>
    <n v="48"/>
    <n v="0"/>
  </r>
  <r>
    <n v="1783"/>
    <x v="141"/>
    <n v="1669"/>
    <x v="1"/>
    <x v="4"/>
    <x v="3"/>
    <n v="2"/>
    <n v="0"/>
    <s v="COD"/>
    <x v="1"/>
    <x v="1"/>
    <n v="10"/>
    <n v="1"/>
    <n v="0"/>
    <s v="Repeat"/>
    <x v="1"/>
    <n v="39"/>
    <n v="0"/>
  </r>
  <r>
    <n v="1784"/>
    <x v="38"/>
    <n v="1597"/>
    <x v="0"/>
    <x v="1"/>
    <x v="2"/>
    <n v="1"/>
    <n v="0"/>
    <s v="COD"/>
    <x v="2"/>
    <x v="3"/>
    <n v="4"/>
    <n v="1"/>
    <n v="1"/>
    <s v="Repeat"/>
    <x v="1"/>
    <n v="39"/>
    <n v="0"/>
  </r>
  <r>
    <n v="1785"/>
    <x v="67"/>
    <n v="1780"/>
    <x v="0"/>
    <x v="2"/>
    <x v="1"/>
    <n v="1"/>
    <n v="0"/>
    <s v="UPI"/>
    <x v="1"/>
    <x v="3"/>
    <n v="4"/>
    <n v="1"/>
    <n v="1"/>
    <s v="New"/>
    <x v="1"/>
    <n v="36"/>
    <n v="0"/>
  </r>
  <r>
    <n v="1786"/>
    <x v="166"/>
    <n v="1324"/>
    <x v="0"/>
    <x v="2"/>
    <x v="3"/>
    <n v="1"/>
    <n v="0"/>
    <s v="UPI"/>
    <x v="2"/>
    <x v="3"/>
    <n v="10"/>
    <n v="0"/>
    <n v="0"/>
    <s v="Repeat"/>
    <x v="1"/>
    <n v="39"/>
    <n v="0"/>
  </r>
  <r>
    <n v="1787"/>
    <x v="15"/>
    <n v="1813"/>
    <x v="1"/>
    <x v="2"/>
    <x v="3"/>
    <n v="3"/>
    <n v="2136"/>
    <s v="Card"/>
    <x v="0"/>
    <x v="3"/>
    <n v="1"/>
    <n v="1"/>
    <n v="0"/>
    <s v="New"/>
    <x v="4"/>
    <n v="47"/>
    <n v="1"/>
  </r>
  <r>
    <n v="1788"/>
    <x v="115"/>
    <n v="1121"/>
    <x v="3"/>
    <x v="2"/>
    <x v="1"/>
    <n v="5"/>
    <n v="0"/>
    <s v="Wallet"/>
    <x v="2"/>
    <x v="1"/>
    <n v="4"/>
    <n v="0"/>
    <n v="1"/>
    <s v="Repeat"/>
    <x v="4"/>
    <n v="48"/>
    <n v="0"/>
  </r>
  <r>
    <n v="1789"/>
    <x v="141"/>
    <n v="1720"/>
    <x v="0"/>
    <x v="4"/>
    <x v="1"/>
    <n v="3"/>
    <n v="0"/>
    <s v="Wallet"/>
    <x v="1"/>
    <x v="2"/>
    <n v="3"/>
    <n v="0"/>
    <n v="0"/>
    <s v="New"/>
    <x v="1"/>
    <n v="39"/>
    <n v="0"/>
  </r>
  <r>
    <n v="1790"/>
    <x v="23"/>
    <n v="1714"/>
    <x v="3"/>
    <x v="2"/>
    <x v="2"/>
    <n v="1"/>
    <n v="4737"/>
    <s v="COD"/>
    <x v="0"/>
    <x v="3"/>
    <n v="7"/>
    <n v="1"/>
    <n v="1"/>
    <s v="Repeat"/>
    <x v="3"/>
    <n v="51"/>
    <n v="1"/>
  </r>
  <r>
    <n v="1791"/>
    <x v="147"/>
    <n v="1615"/>
    <x v="2"/>
    <x v="0"/>
    <x v="0"/>
    <n v="2"/>
    <n v="9904"/>
    <s v="COD"/>
    <x v="0"/>
    <x v="3"/>
    <n v="4"/>
    <n v="1"/>
    <n v="0"/>
    <s v="New"/>
    <x v="4"/>
    <n v="47"/>
    <n v="1"/>
  </r>
  <r>
    <n v="1792"/>
    <x v="155"/>
    <n v="1365"/>
    <x v="2"/>
    <x v="2"/>
    <x v="2"/>
    <n v="2"/>
    <n v="0"/>
    <s v="Wallet"/>
    <x v="2"/>
    <x v="0"/>
    <n v="10"/>
    <n v="0"/>
    <n v="0"/>
    <s v="Repeat"/>
    <x v="0"/>
    <n v="33"/>
    <n v="0"/>
  </r>
  <r>
    <n v="1793"/>
    <x v="74"/>
    <n v="1288"/>
    <x v="4"/>
    <x v="0"/>
    <x v="2"/>
    <n v="5"/>
    <n v="0"/>
    <s v="UPI"/>
    <x v="1"/>
    <x v="3"/>
    <n v="5"/>
    <n v="1"/>
    <n v="0"/>
    <s v="Repeat"/>
    <x v="5"/>
    <n v="29"/>
    <n v="0"/>
  </r>
  <r>
    <n v="1794"/>
    <x v="1"/>
    <n v="1108"/>
    <x v="2"/>
    <x v="3"/>
    <x v="0"/>
    <n v="5"/>
    <n v="0"/>
    <s v="Card"/>
    <x v="1"/>
    <x v="3"/>
    <n v="7"/>
    <n v="0"/>
    <n v="0"/>
    <s v="New"/>
    <x v="1"/>
    <n v="39"/>
    <n v="0"/>
  </r>
  <r>
    <n v="1795"/>
    <x v="37"/>
    <n v="1924"/>
    <x v="0"/>
    <x v="1"/>
    <x v="0"/>
    <n v="4"/>
    <n v="10912"/>
    <s v="Card"/>
    <x v="0"/>
    <x v="2"/>
    <n v="5"/>
    <n v="1"/>
    <n v="1"/>
    <s v="Repeat"/>
    <x v="4"/>
    <n v="46"/>
    <n v="1"/>
  </r>
  <r>
    <n v="1796"/>
    <x v="133"/>
    <n v="1734"/>
    <x v="4"/>
    <x v="3"/>
    <x v="0"/>
    <n v="4"/>
    <n v="0"/>
    <s v="Wallet"/>
    <x v="1"/>
    <x v="0"/>
    <n v="5"/>
    <n v="1"/>
    <n v="1"/>
    <s v="New"/>
    <x v="0"/>
    <n v="35"/>
    <n v="0"/>
  </r>
  <r>
    <n v="1797"/>
    <x v="127"/>
    <n v="1877"/>
    <x v="0"/>
    <x v="2"/>
    <x v="3"/>
    <n v="4"/>
    <n v="0"/>
    <s v="Wallet"/>
    <x v="1"/>
    <x v="2"/>
    <n v="4"/>
    <n v="1"/>
    <n v="0"/>
    <s v="New"/>
    <x v="5"/>
    <n v="29"/>
    <n v="0"/>
  </r>
  <r>
    <n v="1798"/>
    <x v="131"/>
    <n v="1369"/>
    <x v="1"/>
    <x v="2"/>
    <x v="2"/>
    <n v="2"/>
    <n v="3742"/>
    <s v="COD"/>
    <x v="0"/>
    <x v="2"/>
    <n v="4"/>
    <n v="1"/>
    <n v="0"/>
    <s v="Repeat"/>
    <x v="4"/>
    <n v="47"/>
    <n v="1"/>
  </r>
  <r>
    <n v="1799"/>
    <x v="69"/>
    <n v="1180"/>
    <x v="1"/>
    <x v="2"/>
    <x v="3"/>
    <n v="3"/>
    <n v="0"/>
    <s v="UPI"/>
    <x v="1"/>
    <x v="3"/>
    <n v="8"/>
    <n v="1"/>
    <n v="0"/>
    <s v="New"/>
    <x v="2"/>
    <n v="40"/>
    <n v="0"/>
  </r>
  <r>
    <n v="1800"/>
    <x v="157"/>
    <n v="1344"/>
    <x v="3"/>
    <x v="4"/>
    <x v="0"/>
    <n v="1"/>
    <n v="0"/>
    <s v="COD"/>
    <x v="1"/>
    <x v="0"/>
    <n v="3"/>
    <n v="0"/>
    <n v="1"/>
    <s v="Repeat"/>
    <x v="2"/>
    <n v="41"/>
    <n v="0"/>
  </r>
  <r>
    <n v="1801"/>
    <x v="55"/>
    <n v="1494"/>
    <x v="4"/>
    <x v="0"/>
    <x v="1"/>
    <n v="5"/>
    <n v="17410"/>
    <s v="Card"/>
    <x v="0"/>
    <x v="1"/>
    <n v="3"/>
    <n v="1"/>
    <n v="0"/>
    <s v="New"/>
    <x v="1"/>
    <n v="37"/>
    <n v="1"/>
  </r>
  <r>
    <n v="1802"/>
    <x v="84"/>
    <n v="1039"/>
    <x v="1"/>
    <x v="0"/>
    <x v="2"/>
    <n v="2"/>
    <n v="1792"/>
    <s v="Card"/>
    <x v="0"/>
    <x v="2"/>
    <n v="9"/>
    <n v="0"/>
    <n v="1"/>
    <s v="Repeat"/>
    <x v="2"/>
    <n v="41"/>
    <n v="1"/>
  </r>
  <r>
    <n v="1803"/>
    <x v="168"/>
    <n v="1498"/>
    <x v="4"/>
    <x v="2"/>
    <x v="2"/>
    <n v="2"/>
    <n v="0"/>
    <s v="Wallet"/>
    <x v="1"/>
    <x v="2"/>
    <n v="3"/>
    <n v="0"/>
    <n v="1"/>
    <s v="New"/>
    <x v="6"/>
    <n v="1"/>
    <n v="0"/>
  </r>
  <r>
    <n v="1804"/>
    <x v="93"/>
    <n v="1122"/>
    <x v="4"/>
    <x v="4"/>
    <x v="0"/>
    <n v="3"/>
    <n v="0"/>
    <s v="COD"/>
    <x v="1"/>
    <x v="3"/>
    <n v="10"/>
    <n v="1"/>
    <n v="1"/>
    <s v="New"/>
    <x v="3"/>
    <n v="53"/>
    <n v="0"/>
  </r>
  <r>
    <n v="1805"/>
    <x v="132"/>
    <n v="1672"/>
    <x v="3"/>
    <x v="3"/>
    <x v="1"/>
    <n v="2"/>
    <n v="0"/>
    <s v="Wallet"/>
    <x v="1"/>
    <x v="1"/>
    <n v="8"/>
    <n v="1"/>
    <n v="1"/>
    <s v="New"/>
    <x v="2"/>
    <n v="42"/>
    <n v="0"/>
  </r>
  <r>
    <n v="1806"/>
    <x v="145"/>
    <n v="1035"/>
    <x v="3"/>
    <x v="4"/>
    <x v="1"/>
    <n v="5"/>
    <n v="0"/>
    <s v="UPI"/>
    <x v="1"/>
    <x v="2"/>
    <n v="8"/>
    <n v="0"/>
    <n v="0"/>
    <s v="Repeat"/>
    <x v="4"/>
    <n v="48"/>
    <n v="0"/>
  </r>
  <r>
    <n v="1807"/>
    <x v="161"/>
    <n v="1389"/>
    <x v="4"/>
    <x v="0"/>
    <x v="1"/>
    <n v="1"/>
    <n v="0"/>
    <s v="COD"/>
    <x v="1"/>
    <x v="1"/>
    <n v="9"/>
    <n v="0"/>
    <n v="1"/>
    <s v="Repeat"/>
    <x v="2"/>
    <n v="41"/>
    <n v="0"/>
  </r>
  <r>
    <n v="1808"/>
    <x v="131"/>
    <n v="1891"/>
    <x v="2"/>
    <x v="4"/>
    <x v="3"/>
    <n v="3"/>
    <n v="10176"/>
    <s v="Wallet"/>
    <x v="0"/>
    <x v="3"/>
    <n v="7"/>
    <n v="0"/>
    <n v="0"/>
    <s v="Repeat"/>
    <x v="4"/>
    <n v="47"/>
    <n v="1"/>
  </r>
  <r>
    <n v="1809"/>
    <x v="52"/>
    <n v="1338"/>
    <x v="2"/>
    <x v="1"/>
    <x v="1"/>
    <n v="3"/>
    <n v="0"/>
    <s v="Wallet"/>
    <x v="2"/>
    <x v="1"/>
    <n v="6"/>
    <n v="1"/>
    <n v="1"/>
    <s v="Repeat"/>
    <x v="4"/>
    <n v="44"/>
    <n v="0"/>
  </r>
  <r>
    <n v="1810"/>
    <x v="27"/>
    <n v="1945"/>
    <x v="3"/>
    <x v="2"/>
    <x v="3"/>
    <n v="5"/>
    <n v="18105"/>
    <s v="Wallet"/>
    <x v="0"/>
    <x v="0"/>
    <n v="1"/>
    <n v="1"/>
    <n v="0"/>
    <s v="Repeat"/>
    <x v="1"/>
    <n v="37"/>
    <n v="1"/>
  </r>
  <r>
    <n v="1811"/>
    <x v="30"/>
    <n v="1067"/>
    <x v="4"/>
    <x v="3"/>
    <x v="2"/>
    <n v="3"/>
    <n v="0"/>
    <s v="UPI"/>
    <x v="1"/>
    <x v="1"/>
    <n v="3"/>
    <n v="1"/>
    <n v="1"/>
    <s v="Repeat"/>
    <x v="3"/>
    <n v="51"/>
    <n v="0"/>
  </r>
  <r>
    <n v="1812"/>
    <x v="158"/>
    <n v="1863"/>
    <x v="2"/>
    <x v="2"/>
    <x v="3"/>
    <n v="2"/>
    <n v="5536"/>
    <s v="COD"/>
    <x v="0"/>
    <x v="3"/>
    <n v="2"/>
    <n v="1"/>
    <n v="0"/>
    <s v="Repeat"/>
    <x v="1"/>
    <n v="38"/>
    <n v="1"/>
  </r>
  <r>
    <n v="1813"/>
    <x v="87"/>
    <n v="1447"/>
    <x v="0"/>
    <x v="0"/>
    <x v="2"/>
    <n v="4"/>
    <n v="0"/>
    <s v="Card"/>
    <x v="2"/>
    <x v="0"/>
    <n v="6"/>
    <n v="1"/>
    <n v="1"/>
    <s v="Repeat"/>
    <x v="2"/>
    <n v="42"/>
    <n v="0"/>
  </r>
  <r>
    <n v="1814"/>
    <x v="1"/>
    <n v="1194"/>
    <x v="0"/>
    <x v="1"/>
    <x v="2"/>
    <n v="1"/>
    <n v="0"/>
    <s v="COD"/>
    <x v="1"/>
    <x v="0"/>
    <n v="4"/>
    <n v="0"/>
    <n v="1"/>
    <s v="Repeat"/>
    <x v="1"/>
    <n v="39"/>
    <n v="0"/>
  </r>
  <r>
    <n v="1815"/>
    <x v="98"/>
    <n v="1748"/>
    <x v="3"/>
    <x v="4"/>
    <x v="3"/>
    <n v="1"/>
    <n v="3583"/>
    <s v="UPI"/>
    <x v="0"/>
    <x v="0"/>
    <n v="2"/>
    <n v="1"/>
    <n v="0"/>
    <s v="Repeat"/>
    <x v="3"/>
    <n v="51"/>
    <n v="1"/>
  </r>
  <r>
    <n v="1816"/>
    <x v="114"/>
    <n v="1591"/>
    <x v="2"/>
    <x v="3"/>
    <x v="3"/>
    <n v="3"/>
    <n v="0"/>
    <s v="COD"/>
    <x v="2"/>
    <x v="1"/>
    <n v="1"/>
    <n v="0"/>
    <n v="1"/>
    <s v="Repeat"/>
    <x v="3"/>
    <n v="50"/>
    <n v="0"/>
  </r>
  <r>
    <n v="1817"/>
    <x v="164"/>
    <n v="1261"/>
    <x v="3"/>
    <x v="1"/>
    <x v="3"/>
    <n v="5"/>
    <n v="12875"/>
    <s v="Wallet"/>
    <x v="0"/>
    <x v="0"/>
    <n v="8"/>
    <n v="1"/>
    <n v="1"/>
    <s v="New"/>
    <x v="0"/>
    <n v="34"/>
    <n v="1"/>
  </r>
  <r>
    <n v="1818"/>
    <x v="98"/>
    <n v="1619"/>
    <x v="2"/>
    <x v="4"/>
    <x v="0"/>
    <n v="5"/>
    <n v="0"/>
    <s v="UPI"/>
    <x v="2"/>
    <x v="2"/>
    <n v="10"/>
    <n v="1"/>
    <n v="1"/>
    <s v="New"/>
    <x v="3"/>
    <n v="51"/>
    <n v="0"/>
  </r>
  <r>
    <n v="1819"/>
    <x v="131"/>
    <n v="1511"/>
    <x v="1"/>
    <x v="2"/>
    <x v="0"/>
    <n v="5"/>
    <n v="0"/>
    <s v="Wallet"/>
    <x v="2"/>
    <x v="1"/>
    <n v="7"/>
    <n v="1"/>
    <n v="1"/>
    <s v="New"/>
    <x v="4"/>
    <n v="47"/>
    <n v="0"/>
  </r>
  <r>
    <n v="1820"/>
    <x v="81"/>
    <n v="1198"/>
    <x v="2"/>
    <x v="2"/>
    <x v="1"/>
    <n v="2"/>
    <n v="0"/>
    <s v="Card"/>
    <x v="1"/>
    <x v="3"/>
    <n v="5"/>
    <n v="1"/>
    <n v="0"/>
    <s v="Repeat"/>
    <x v="0"/>
    <n v="33"/>
    <n v="0"/>
  </r>
  <r>
    <n v="1821"/>
    <x v="62"/>
    <n v="1284"/>
    <x v="2"/>
    <x v="4"/>
    <x v="0"/>
    <n v="5"/>
    <n v="0"/>
    <s v="COD"/>
    <x v="1"/>
    <x v="2"/>
    <n v="4"/>
    <n v="0"/>
    <n v="1"/>
    <s v="Repeat"/>
    <x v="2"/>
    <n v="43"/>
    <n v="0"/>
  </r>
  <r>
    <n v="1822"/>
    <x v="150"/>
    <n v="1812"/>
    <x v="0"/>
    <x v="2"/>
    <x v="2"/>
    <n v="5"/>
    <n v="0"/>
    <s v="Card"/>
    <x v="1"/>
    <x v="3"/>
    <n v="8"/>
    <n v="0"/>
    <n v="0"/>
    <s v="Repeat"/>
    <x v="0"/>
    <n v="35"/>
    <n v="0"/>
  </r>
  <r>
    <n v="1823"/>
    <x v="41"/>
    <n v="1313"/>
    <x v="4"/>
    <x v="2"/>
    <x v="0"/>
    <n v="5"/>
    <n v="2905"/>
    <s v="Wallet"/>
    <x v="0"/>
    <x v="1"/>
    <n v="3"/>
    <n v="0"/>
    <n v="1"/>
    <s v="Repeat"/>
    <x v="1"/>
    <n v="37"/>
    <n v="1"/>
  </r>
  <r>
    <n v="1824"/>
    <x v="74"/>
    <n v="1887"/>
    <x v="3"/>
    <x v="2"/>
    <x v="3"/>
    <n v="3"/>
    <n v="0"/>
    <s v="UPI"/>
    <x v="2"/>
    <x v="2"/>
    <n v="5"/>
    <n v="0"/>
    <n v="1"/>
    <s v="Repeat"/>
    <x v="5"/>
    <n v="29"/>
    <n v="0"/>
  </r>
  <r>
    <n v="1825"/>
    <x v="7"/>
    <n v="1705"/>
    <x v="1"/>
    <x v="3"/>
    <x v="3"/>
    <n v="3"/>
    <n v="0"/>
    <s v="Wallet"/>
    <x v="1"/>
    <x v="2"/>
    <n v="9"/>
    <n v="0"/>
    <n v="1"/>
    <s v="New"/>
    <x v="3"/>
    <n v="49"/>
    <n v="0"/>
  </r>
  <r>
    <n v="1826"/>
    <x v="123"/>
    <n v="1455"/>
    <x v="2"/>
    <x v="4"/>
    <x v="1"/>
    <n v="4"/>
    <n v="0"/>
    <s v="COD"/>
    <x v="1"/>
    <x v="1"/>
    <n v="6"/>
    <n v="1"/>
    <n v="0"/>
    <s v="New"/>
    <x v="0"/>
    <n v="34"/>
    <n v="0"/>
  </r>
  <r>
    <n v="1827"/>
    <x v="35"/>
    <n v="1354"/>
    <x v="1"/>
    <x v="0"/>
    <x v="3"/>
    <n v="3"/>
    <n v="1896"/>
    <s v="Card"/>
    <x v="0"/>
    <x v="1"/>
    <n v="6"/>
    <n v="0"/>
    <n v="0"/>
    <s v="Repeat"/>
    <x v="0"/>
    <n v="35"/>
    <n v="1"/>
  </r>
  <r>
    <n v="1828"/>
    <x v="175"/>
    <n v="1652"/>
    <x v="4"/>
    <x v="1"/>
    <x v="1"/>
    <n v="5"/>
    <n v="16145"/>
    <s v="Card"/>
    <x v="0"/>
    <x v="0"/>
    <n v="4"/>
    <n v="0"/>
    <n v="0"/>
    <s v="Repeat"/>
    <x v="5"/>
    <n v="31"/>
    <n v="1"/>
  </r>
  <r>
    <n v="1829"/>
    <x v="149"/>
    <n v="1034"/>
    <x v="3"/>
    <x v="0"/>
    <x v="2"/>
    <n v="2"/>
    <n v="0"/>
    <s v="UPI"/>
    <x v="1"/>
    <x v="0"/>
    <n v="9"/>
    <n v="0"/>
    <n v="0"/>
    <s v="New"/>
    <x v="3"/>
    <n v="49"/>
    <n v="0"/>
  </r>
  <r>
    <n v="1830"/>
    <x v="5"/>
    <n v="1200"/>
    <x v="0"/>
    <x v="3"/>
    <x v="2"/>
    <n v="1"/>
    <n v="714"/>
    <s v="Wallet"/>
    <x v="0"/>
    <x v="1"/>
    <n v="8"/>
    <n v="1"/>
    <n v="1"/>
    <s v="New"/>
    <x v="0"/>
    <n v="33"/>
    <n v="1"/>
  </r>
  <r>
    <n v="1831"/>
    <x v="157"/>
    <n v="1641"/>
    <x v="3"/>
    <x v="4"/>
    <x v="3"/>
    <n v="4"/>
    <n v="19540"/>
    <s v="UPI"/>
    <x v="0"/>
    <x v="3"/>
    <n v="1"/>
    <n v="0"/>
    <n v="1"/>
    <s v="Repeat"/>
    <x v="2"/>
    <n v="41"/>
    <n v="1"/>
  </r>
  <r>
    <n v="1832"/>
    <x v="75"/>
    <n v="1634"/>
    <x v="1"/>
    <x v="3"/>
    <x v="2"/>
    <n v="3"/>
    <n v="0"/>
    <s v="Card"/>
    <x v="1"/>
    <x v="3"/>
    <n v="5"/>
    <n v="0"/>
    <n v="0"/>
    <s v="New"/>
    <x v="3"/>
    <n v="52"/>
    <n v="0"/>
  </r>
  <r>
    <n v="1833"/>
    <x v="6"/>
    <n v="1512"/>
    <x v="4"/>
    <x v="1"/>
    <x v="1"/>
    <n v="4"/>
    <n v="0"/>
    <s v="UPI"/>
    <x v="1"/>
    <x v="3"/>
    <n v="2"/>
    <n v="0"/>
    <n v="1"/>
    <s v="Repeat"/>
    <x v="4"/>
    <n v="47"/>
    <n v="0"/>
  </r>
  <r>
    <n v="1834"/>
    <x v="70"/>
    <n v="1800"/>
    <x v="1"/>
    <x v="3"/>
    <x v="0"/>
    <n v="3"/>
    <n v="0"/>
    <s v="Wallet"/>
    <x v="1"/>
    <x v="0"/>
    <n v="1"/>
    <n v="1"/>
    <n v="0"/>
    <s v="New"/>
    <x v="2"/>
    <n v="40"/>
    <n v="0"/>
  </r>
  <r>
    <n v="1835"/>
    <x v="142"/>
    <n v="1215"/>
    <x v="4"/>
    <x v="2"/>
    <x v="2"/>
    <n v="2"/>
    <n v="0"/>
    <s v="COD"/>
    <x v="1"/>
    <x v="0"/>
    <n v="3"/>
    <n v="1"/>
    <n v="1"/>
    <s v="Repeat"/>
    <x v="2"/>
    <n v="42"/>
    <n v="0"/>
  </r>
  <r>
    <n v="1836"/>
    <x v="84"/>
    <n v="1918"/>
    <x v="0"/>
    <x v="1"/>
    <x v="0"/>
    <n v="4"/>
    <n v="0"/>
    <s v="UPI"/>
    <x v="1"/>
    <x v="3"/>
    <n v="1"/>
    <n v="1"/>
    <n v="0"/>
    <s v="New"/>
    <x v="2"/>
    <n v="41"/>
    <n v="0"/>
  </r>
  <r>
    <n v="1837"/>
    <x v="155"/>
    <n v="1676"/>
    <x v="3"/>
    <x v="0"/>
    <x v="2"/>
    <n v="3"/>
    <n v="0"/>
    <s v="COD"/>
    <x v="2"/>
    <x v="2"/>
    <n v="2"/>
    <n v="0"/>
    <n v="0"/>
    <s v="New"/>
    <x v="0"/>
    <n v="33"/>
    <n v="0"/>
  </r>
  <r>
    <n v="1838"/>
    <x v="61"/>
    <n v="1451"/>
    <x v="0"/>
    <x v="0"/>
    <x v="1"/>
    <n v="3"/>
    <n v="0"/>
    <s v="UPI"/>
    <x v="2"/>
    <x v="2"/>
    <n v="9"/>
    <n v="0"/>
    <n v="1"/>
    <s v="New"/>
    <x v="4"/>
    <n v="46"/>
    <n v="0"/>
  </r>
  <r>
    <n v="1839"/>
    <x v="142"/>
    <n v="1644"/>
    <x v="0"/>
    <x v="1"/>
    <x v="2"/>
    <n v="4"/>
    <n v="10976"/>
    <s v="UPI"/>
    <x v="0"/>
    <x v="1"/>
    <n v="4"/>
    <n v="0"/>
    <n v="1"/>
    <s v="New"/>
    <x v="2"/>
    <n v="42"/>
    <n v="1"/>
  </r>
  <r>
    <n v="1840"/>
    <x v="158"/>
    <n v="1661"/>
    <x v="4"/>
    <x v="4"/>
    <x v="0"/>
    <n v="4"/>
    <n v="0"/>
    <s v="Wallet"/>
    <x v="2"/>
    <x v="3"/>
    <n v="2"/>
    <n v="1"/>
    <n v="0"/>
    <s v="New"/>
    <x v="1"/>
    <n v="38"/>
    <n v="0"/>
  </r>
  <r>
    <n v="1841"/>
    <x v="149"/>
    <n v="1225"/>
    <x v="0"/>
    <x v="2"/>
    <x v="2"/>
    <n v="2"/>
    <n v="0"/>
    <s v="UPI"/>
    <x v="1"/>
    <x v="3"/>
    <n v="2"/>
    <n v="1"/>
    <n v="1"/>
    <s v="New"/>
    <x v="3"/>
    <n v="49"/>
    <n v="0"/>
  </r>
  <r>
    <n v="1842"/>
    <x v="68"/>
    <n v="1004"/>
    <x v="1"/>
    <x v="3"/>
    <x v="3"/>
    <n v="1"/>
    <n v="3872"/>
    <s v="Wallet"/>
    <x v="0"/>
    <x v="0"/>
    <n v="6"/>
    <n v="0"/>
    <n v="1"/>
    <s v="New"/>
    <x v="0"/>
    <n v="32"/>
    <n v="1"/>
  </r>
  <r>
    <n v="1843"/>
    <x v="167"/>
    <n v="1221"/>
    <x v="3"/>
    <x v="2"/>
    <x v="3"/>
    <n v="4"/>
    <n v="3788"/>
    <s v="COD"/>
    <x v="0"/>
    <x v="1"/>
    <n v="5"/>
    <n v="0"/>
    <n v="0"/>
    <s v="New"/>
    <x v="0"/>
    <n v="35"/>
    <n v="1"/>
  </r>
  <r>
    <n v="1844"/>
    <x v="35"/>
    <n v="1603"/>
    <x v="0"/>
    <x v="2"/>
    <x v="1"/>
    <n v="1"/>
    <n v="0"/>
    <s v="UPI"/>
    <x v="1"/>
    <x v="0"/>
    <n v="8"/>
    <n v="0"/>
    <n v="0"/>
    <s v="Repeat"/>
    <x v="0"/>
    <n v="35"/>
    <n v="0"/>
  </r>
  <r>
    <n v="1845"/>
    <x v="78"/>
    <n v="1905"/>
    <x v="3"/>
    <x v="0"/>
    <x v="1"/>
    <n v="4"/>
    <n v="0"/>
    <s v="COD"/>
    <x v="1"/>
    <x v="0"/>
    <n v="1"/>
    <n v="1"/>
    <n v="0"/>
    <s v="New"/>
    <x v="3"/>
    <n v="52"/>
    <n v="0"/>
  </r>
  <r>
    <n v="1846"/>
    <x v="119"/>
    <n v="1864"/>
    <x v="0"/>
    <x v="2"/>
    <x v="2"/>
    <n v="4"/>
    <n v="0"/>
    <s v="UPI"/>
    <x v="1"/>
    <x v="3"/>
    <n v="6"/>
    <n v="1"/>
    <n v="0"/>
    <s v="New"/>
    <x v="0"/>
    <n v="34"/>
    <n v="0"/>
  </r>
  <r>
    <n v="1847"/>
    <x v="141"/>
    <n v="1395"/>
    <x v="0"/>
    <x v="0"/>
    <x v="2"/>
    <n v="4"/>
    <n v="10400"/>
    <s v="Wallet"/>
    <x v="0"/>
    <x v="2"/>
    <n v="8"/>
    <n v="1"/>
    <n v="0"/>
    <s v="Repeat"/>
    <x v="1"/>
    <n v="39"/>
    <n v="1"/>
  </r>
  <r>
    <n v="1848"/>
    <x v="126"/>
    <n v="1950"/>
    <x v="1"/>
    <x v="0"/>
    <x v="3"/>
    <n v="3"/>
    <n v="7074"/>
    <s v="COD"/>
    <x v="0"/>
    <x v="0"/>
    <n v="5"/>
    <n v="0"/>
    <n v="1"/>
    <s v="Repeat"/>
    <x v="4"/>
    <n v="46"/>
    <n v="1"/>
  </r>
  <r>
    <n v="1849"/>
    <x v="21"/>
    <n v="1350"/>
    <x v="0"/>
    <x v="2"/>
    <x v="1"/>
    <n v="1"/>
    <n v="2399"/>
    <s v="COD"/>
    <x v="0"/>
    <x v="0"/>
    <n v="4"/>
    <n v="0"/>
    <n v="1"/>
    <s v="New"/>
    <x v="2"/>
    <n v="43"/>
    <n v="1"/>
  </r>
  <r>
    <n v="1850"/>
    <x v="142"/>
    <n v="1737"/>
    <x v="1"/>
    <x v="0"/>
    <x v="1"/>
    <n v="3"/>
    <n v="6921"/>
    <s v="Wallet"/>
    <x v="0"/>
    <x v="1"/>
    <n v="3"/>
    <n v="0"/>
    <n v="1"/>
    <s v="New"/>
    <x v="2"/>
    <n v="42"/>
    <n v="1"/>
  </r>
  <r>
    <n v="1851"/>
    <x v="86"/>
    <n v="1815"/>
    <x v="0"/>
    <x v="1"/>
    <x v="1"/>
    <n v="1"/>
    <n v="0"/>
    <s v="Card"/>
    <x v="1"/>
    <x v="0"/>
    <n v="6"/>
    <n v="1"/>
    <n v="0"/>
    <s v="New"/>
    <x v="6"/>
    <n v="1"/>
    <n v="0"/>
  </r>
  <r>
    <n v="1852"/>
    <x v="79"/>
    <n v="1809"/>
    <x v="3"/>
    <x v="0"/>
    <x v="0"/>
    <n v="1"/>
    <n v="0"/>
    <s v="COD"/>
    <x v="2"/>
    <x v="0"/>
    <n v="6"/>
    <n v="0"/>
    <n v="1"/>
    <s v="Repeat"/>
    <x v="1"/>
    <n v="36"/>
    <n v="0"/>
  </r>
  <r>
    <n v="1853"/>
    <x v="161"/>
    <n v="1243"/>
    <x v="4"/>
    <x v="3"/>
    <x v="0"/>
    <n v="1"/>
    <n v="0"/>
    <s v="Card"/>
    <x v="1"/>
    <x v="3"/>
    <n v="2"/>
    <n v="0"/>
    <n v="1"/>
    <s v="Repeat"/>
    <x v="2"/>
    <n v="41"/>
    <n v="0"/>
  </r>
  <r>
    <n v="1854"/>
    <x v="8"/>
    <n v="1609"/>
    <x v="2"/>
    <x v="1"/>
    <x v="2"/>
    <n v="2"/>
    <n v="2040"/>
    <s v="Wallet"/>
    <x v="0"/>
    <x v="3"/>
    <n v="10"/>
    <n v="0"/>
    <n v="0"/>
    <s v="Repeat"/>
    <x v="0"/>
    <n v="32"/>
    <n v="1"/>
  </r>
  <r>
    <n v="1855"/>
    <x v="180"/>
    <n v="1524"/>
    <x v="2"/>
    <x v="2"/>
    <x v="3"/>
    <n v="3"/>
    <n v="0"/>
    <s v="Wallet"/>
    <x v="2"/>
    <x v="1"/>
    <n v="9"/>
    <n v="1"/>
    <n v="0"/>
    <s v="Repeat"/>
    <x v="4"/>
    <n v="46"/>
    <n v="0"/>
  </r>
  <r>
    <n v="1856"/>
    <x v="163"/>
    <n v="1170"/>
    <x v="4"/>
    <x v="4"/>
    <x v="0"/>
    <n v="3"/>
    <n v="0"/>
    <s v="Wallet"/>
    <x v="2"/>
    <x v="3"/>
    <n v="8"/>
    <n v="1"/>
    <n v="0"/>
    <s v="Repeat"/>
    <x v="4"/>
    <n v="45"/>
    <n v="0"/>
  </r>
  <r>
    <n v="1857"/>
    <x v="17"/>
    <n v="1119"/>
    <x v="2"/>
    <x v="4"/>
    <x v="3"/>
    <n v="5"/>
    <n v="0"/>
    <s v="Card"/>
    <x v="1"/>
    <x v="1"/>
    <n v="5"/>
    <n v="1"/>
    <n v="0"/>
    <s v="New"/>
    <x v="1"/>
    <n v="38"/>
    <n v="0"/>
  </r>
  <r>
    <n v="1858"/>
    <x v="173"/>
    <n v="1168"/>
    <x v="0"/>
    <x v="1"/>
    <x v="0"/>
    <n v="5"/>
    <n v="18205"/>
    <s v="COD"/>
    <x v="0"/>
    <x v="1"/>
    <n v="1"/>
    <n v="1"/>
    <n v="1"/>
    <s v="New"/>
    <x v="5"/>
    <n v="30"/>
    <n v="1"/>
  </r>
  <r>
    <n v="1859"/>
    <x v="71"/>
    <n v="1046"/>
    <x v="3"/>
    <x v="3"/>
    <x v="3"/>
    <n v="3"/>
    <n v="0"/>
    <s v="COD"/>
    <x v="1"/>
    <x v="3"/>
    <n v="7"/>
    <n v="0"/>
    <n v="0"/>
    <s v="New"/>
    <x v="3"/>
    <n v="49"/>
    <n v="0"/>
  </r>
  <r>
    <n v="1860"/>
    <x v="138"/>
    <n v="1797"/>
    <x v="0"/>
    <x v="1"/>
    <x v="0"/>
    <n v="3"/>
    <n v="0"/>
    <s v="Card"/>
    <x v="2"/>
    <x v="1"/>
    <n v="4"/>
    <n v="1"/>
    <n v="1"/>
    <s v="New"/>
    <x v="2"/>
    <n v="44"/>
    <n v="0"/>
  </r>
  <r>
    <n v="1861"/>
    <x v="172"/>
    <n v="1536"/>
    <x v="2"/>
    <x v="3"/>
    <x v="2"/>
    <n v="2"/>
    <n v="0"/>
    <s v="UPI"/>
    <x v="2"/>
    <x v="3"/>
    <n v="5"/>
    <n v="1"/>
    <n v="0"/>
    <s v="Repeat"/>
    <x v="2"/>
    <n v="44"/>
    <n v="0"/>
  </r>
  <r>
    <n v="1862"/>
    <x v="175"/>
    <n v="1755"/>
    <x v="1"/>
    <x v="0"/>
    <x v="1"/>
    <n v="5"/>
    <n v="23570"/>
    <s v="Wallet"/>
    <x v="0"/>
    <x v="0"/>
    <n v="6"/>
    <n v="0"/>
    <n v="1"/>
    <s v="Repeat"/>
    <x v="5"/>
    <n v="31"/>
    <n v="1"/>
  </r>
  <r>
    <n v="1863"/>
    <x v="21"/>
    <n v="1566"/>
    <x v="2"/>
    <x v="4"/>
    <x v="3"/>
    <n v="4"/>
    <n v="6792"/>
    <s v="UPI"/>
    <x v="0"/>
    <x v="3"/>
    <n v="5"/>
    <n v="0"/>
    <n v="0"/>
    <s v="New"/>
    <x v="2"/>
    <n v="43"/>
    <n v="1"/>
  </r>
  <r>
    <n v="1864"/>
    <x v="96"/>
    <n v="1128"/>
    <x v="1"/>
    <x v="2"/>
    <x v="3"/>
    <n v="3"/>
    <n v="1233"/>
    <s v="COD"/>
    <x v="0"/>
    <x v="2"/>
    <n v="6"/>
    <n v="0"/>
    <n v="0"/>
    <s v="Repeat"/>
    <x v="4"/>
    <n v="45"/>
    <n v="1"/>
  </r>
  <r>
    <n v="1865"/>
    <x v="129"/>
    <n v="1193"/>
    <x v="0"/>
    <x v="0"/>
    <x v="2"/>
    <n v="3"/>
    <n v="0"/>
    <s v="Wallet"/>
    <x v="1"/>
    <x v="0"/>
    <n v="5"/>
    <n v="1"/>
    <n v="0"/>
    <s v="New"/>
    <x v="4"/>
    <n v="46"/>
    <n v="0"/>
  </r>
  <r>
    <n v="1866"/>
    <x v="130"/>
    <n v="1824"/>
    <x v="0"/>
    <x v="3"/>
    <x v="0"/>
    <n v="5"/>
    <n v="7610"/>
    <s v="UPI"/>
    <x v="0"/>
    <x v="0"/>
    <n v="5"/>
    <n v="1"/>
    <n v="0"/>
    <s v="New"/>
    <x v="3"/>
    <n v="51"/>
    <n v="1"/>
  </r>
  <r>
    <n v="1867"/>
    <x v="56"/>
    <n v="1940"/>
    <x v="2"/>
    <x v="2"/>
    <x v="1"/>
    <n v="1"/>
    <n v="1444"/>
    <s v="COD"/>
    <x v="0"/>
    <x v="3"/>
    <n v="3"/>
    <n v="0"/>
    <n v="0"/>
    <s v="New"/>
    <x v="6"/>
    <n v="2"/>
    <n v="1"/>
  </r>
  <r>
    <n v="1868"/>
    <x v="36"/>
    <n v="1263"/>
    <x v="1"/>
    <x v="0"/>
    <x v="1"/>
    <n v="4"/>
    <n v="0"/>
    <s v="Wallet"/>
    <x v="1"/>
    <x v="3"/>
    <n v="2"/>
    <n v="0"/>
    <n v="1"/>
    <s v="Repeat"/>
    <x v="2"/>
    <n v="44"/>
    <n v="0"/>
  </r>
  <r>
    <n v="1869"/>
    <x v="62"/>
    <n v="1526"/>
    <x v="3"/>
    <x v="2"/>
    <x v="0"/>
    <n v="1"/>
    <n v="0"/>
    <s v="UPI"/>
    <x v="2"/>
    <x v="3"/>
    <n v="4"/>
    <n v="1"/>
    <n v="0"/>
    <s v="New"/>
    <x v="2"/>
    <n v="43"/>
    <n v="0"/>
  </r>
  <r>
    <n v="1870"/>
    <x v="115"/>
    <n v="1890"/>
    <x v="2"/>
    <x v="4"/>
    <x v="1"/>
    <n v="1"/>
    <n v="4284"/>
    <s v="COD"/>
    <x v="0"/>
    <x v="0"/>
    <n v="3"/>
    <n v="0"/>
    <n v="1"/>
    <s v="New"/>
    <x v="4"/>
    <n v="48"/>
    <n v="1"/>
  </r>
  <r>
    <n v="1871"/>
    <x v="25"/>
    <n v="1054"/>
    <x v="2"/>
    <x v="3"/>
    <x v="0"/>
    <n v="2"/>
    <n v="2838"/>
    <s v="UPI"/>
    <x v="0"/>
    <x v="0"/>
    <n v="8"/>
    <n v="0"/>
    <n v="0"/>
    <s v="New"/>
    <x v="4"/>
    <n v="49"/>
    <n v="1"/>
  </r>
  <r>
    <n v="1872"/>
    <x v="133"/>
    <n v="1135"/>
    <x v="4"/>
    <x v="2"/>
    <x v="1"/>
    <n v="2"/>
    <n v="9002"/>
    <s v="Card"/>
    <x v="0"/>
    <x v="0"/>
    <n v="3"/>
    <n v="1"/>
    <n v="1"/>
    <s v="Repeat"/>
    <x v="0"/>
    <n v="35"/>
    <n v="1"/>
  </r>
  <r>
    <n v="1873"/>
    <x v="155"/>
    <n v="1989"/>
    <x v="3"/>
    <x v="0"/>
    <x v="0"/>
    <n v="5"/>
    <n v="0"/>
    <s v="Wallet"/>
    <x v="1"/>
    <x v="1"/>
    <n v="8"/>
    <n v="0"/>
    <n v="0"/>
    <s v="New"/>
    <x v="0"/>
    <n v="33"/>
    <n v="0"/>
  </r>
  <r>
    <n v="1874"/>
    <x v="134"/>
    <n v="1903"/>
    <x v="2"/>
    <x v="2"/>
    <x v="3"/>
    <n v="3"/>
    <n v="0"/>
    <s v="COD"/>
    <x v="1"/>
    <x v="2"/>
    <n v="1"/>
    <n v="0"/>
    <n v="0"/>
    <s v="Repeat"/>
    <x v="3"/>
    <n v="51"/>
    <n v="0"/>
  </r>
  <r>
    <n v="1875"/>
    <x v="94"/>
    <n v="1406"/>
    <x v="3"/>
    <x v="2"/>
    <x v="3"/>
    <n v="5"/>
    <n v="0"/>
    <s v="Card"/>
    <x v="1"/>
    <x v="2"/>
    <n v="7"/>
    <n v="0"/>
    <n v="1"/>
    <s v="Repeat"/>
    <x v="1"/>
    <n v="40"/>
    <n v="0"/>
  </r>
  <r>
    <n v="1876"/>
    <x v="91"/>
    <n v="1536"/>
    <x v="2"/>
    <x v="0"/>
    <x v="1"/>
    <n v="3"/>
    <n v="14727"/>
    <s v="Wallet"/>
    <x v="0"/>
    <x v="2"/>
    <n v="8"/>
    <n v="0"/>
    <n v="0"/>
    <s v="Repeat"/>
    <x v="3"/>
    <n v="52"/>
    <n v="1"/>
  </r>
  <r>
    <n v="1877"/>
    <x v="73"/>
    <n v="1737"/>
    <x v="3"/>
    <x v="2"/>
    <x v="0"/>
    <n v="5"/>
    <n v="2280"/>
    <s v="COD"/>
    <x v="0"/>
    <x v="1"/>
    <n v="4"/>
    <n v="0"/>
    <n v="0"/>
    <s v="New"/>
    <x v="4"/>
    <n v="45"/>
    <n v="1"/>
  </r>
  <r>
    <n v="1878"/>
    <x v="2"/>
    <n v="1002"/>
    <x v="2"/>
    <x v="2"/>
    <x v="0"/>
    <n v="1"/>
    <n v="0"/>
    <s v="COD"/>
    <x v="1"/>
    <x v="3"/>
    <n v="3"/>
    <n v="0"/>
    <n v="1"/>
    <s v="Repeat"/>
    <x v="2"/>
    <n v="41"/>
    <n v="0"/>
  </r>
  <r>
    <n v="1879"/>
    <x v="2"/>
    <n v="1007"/>
    <x v="4"/>
    <x v="2"/>
    <x v="0"/>
    <n v="1"/>
    <n v="0"/>
    <s v="Wallet"/>
    <x v="1"/>
    <x v="0"/>
    <n v="5"/>
    <n v="0"/>
    <n v="0"/>
    <s v="New"/>
    <x v="2"/>
    <n v="41"/>
    <n v="0"/>
  </r>
  <r>
    <n v="1880"/>
    <x v="139"/>
    <n v="1380"/>
    <x v="2"/>
    <x v="1"/>
    <x v="1"/>
    <n v="5"/>
    <n v="0"/>
    <s v="Wallet"/>
    <x v="2"/>
    <x v="0"/>
    <n v="2"/>
    <n v="1"/>
    <n v="0"/>
    <s v="Repeat"/>
    <x v="4"/>
    <n v="45"/>
    <n v="0"/>
  </r>
  <r>
    <n v="1881"/>
    <x v="55"/>
    <n v="1871"/>
    <x v="4"/>
    <x v="2"/>
    <x v="2"/>
    <n v="1"/>
    <n v="0"/>
    <s v="COD"/>
    <x v="1"/>
    <x v="3"/>
    <n v="5"/>
    <n v="0"/>
    <n v="0"/>
    <s v="Repeat"/>
    <x v="1"/>
    <n v="37"/>
    <n v="0"/>
  </r>
  <r>
    <n v="1882"/>
    <x v="113"/>
    <n v="1891"/>
    <x v="2"/>
    <x v="0"/>
    <x v="1"/>
    <n v="4"/>
    <n v="14524"/>
    <s v="Card"/>
    <x v="0"/>
    <x v="0"/>
    <n v="3"/>
    <n v="0"/>
    <n v="1"/>
    <s v="Repeat"/>
    <x v="0"/>
    <n v="33"/>
    <n v="1"/>
  </r>
  <r>
    <n v="1883"/>
    <x v="156"/>
    <n v="1499"/>
    <x v="2"/>
    <x v="3"/>
    <x v="3"/>
    <n v="1"/>
    <n v="0"/>
    <s v="Wallet"/>
    <x v="1"/>
    <x v="0"/>
    <n v="4"/>
    <n v="0"/>
    <n v="0"/>
    <s v="New"/>
    <x v="6"/>
    <n v="2"/>
    <n v="0"/>
  </r>
  <r>
    <n v="1884"/>
    <x v="133"/>
    <n v="1394"/>
    <x v="0"/>
    <x v="3"/>
    <x v="2"/>
    <n v="1"/>
    <n v="1152"/>
    <s v="COD"/>
    <x v="0"/>
    <x v="0"/>
    <n v="3"/>
    <n v="0"/>
    <n v="0"/>
    <s v="New"/>
    <x v="0"/>
    <n v="35"/>
    <n v="1"/>
  </r>
  <r>
    <n v="1885"/>
    <x v="56"/>
    <n v="1112"/>
    <x v="0"/>
    <x v="1"/>
    <x v="1"/>
    <n v="2"/>
    <n v="3962"/>
    <s v="Wallet"/>
    <x v="0"/>
    <x v="0"/>
    <n v="9"/>
    <n v="1"/>
    <n v="0"/>
    <s v="Repeat"/>
    <x v="6"/>
    <n v="2"/>
    <n v="1"/>
  </r>
  <r>
    <n v="1886"/>
    <x v="140"/>
    <n v="1690"/>
    <x v="0"/>
    <x v="3"/>
    <x v="3"/>
    <n v="2"/>
    <n v="0"/>
    <s v="Card"/>
    <x v="1"/>
    <x v="1"/>
    <n v="4"/>
    <n v="0"/>
    <n v="0"/>
    <s v="New"/>
    <x v="4"/>
    <n v="48"/>
    <n v="0"/>
  </r>
  <r>
    <n v="1887"/>
    <x v="92"/>
    <n v="1460"/>
    <x v="1"/>
    <x v="4"/>
    <x v="0"/>
    <n v="5"/>
    <n v="0"/>
    <s v="Card"/>
    <x v="1"/>
    <x v="1"/>
    <n v="5"/>
    <n v="0"/>
    <n v="0"/>
    <s v="Repeat"/>
    <x v="3"/>
    <n v="53"/>
    <n v="0"/>
  </r>
  <r>
    <n v="1888"/>
    <x v="58"/>
    <n v="1796"/>
    <x v="4"/>
    <x v="3"/>
    <x v="2"/>
    <n v="1"/>
    <n v="3236"/>
    <s v="Card"/>
    <x v="0"/>
    <x v="3"/>
    <n v="4"/>
    <n v="1"/>
    <n v="1"/>
    <s v="Repeat"/>
    <x v="5"/>
    <n v="31"/>
    <n v="1"/>
  </r>
  <r>
    <n v="1889"/>
    <x v="112"/>
    <n v="1387"/>
    <x v="1"/>
    <x v="0"/>
    <x v="2"/>
    <n v="3"/>
    <n v="7176"/>
    <s v="Card"/>
    <x v="0"/>
    <x v="0"/>
    <n v="5"/>
    <n v="0"/>
    <n v="0"/>
    <s v="Repeat"/>
    <x v="5"/>
    <n v="30"/>
    <n v="1"/>
  </r>
  <r>
    <n v="1890"/>
    <x v="175"/>
    <n v="1604"/>
    <x v="1"/>
    <x v="2"/>
    <x v="2"/>
    <n v="4"/>
    <n v="14180"/>
    <s v="Card"/>
    <x v="0"/>
    <x v="0"/>
    <n v="9"/>
    <n v="0"/>
    <n v="0"/>
    <s v="Repeat"/>
    <x v="5"/>
    <n v="31"/>
    <n v="1"/>
  </r>
  <r>
    <n v="1891"/>
    <x v="178"/>
    <n v="1966"/>
    <x v="1"/>
    <x v="4"/>
    <x v="2"/>
    <n v="1"/>
    <n v="0"/>
    <s v="COD"/>
    <x v="2"/>
    <x v="3"/>
    <n v="8"/>
    <n v="0"/>
    <n v="0"/>
    <s v="New"/>
    <x v="4"/>
    <n v="45"/>
    <n v="0"/>
  </r>
  <r>
    <n v="1892"/>
    <x v="121"/>
    <n v="1975"/>
    <x v="4"/>
    <x v="2"/>
    <x v="2"/>
    <n v="1"/>
    <n v="0"/>
    <s v="Wallet"/>
    <x v="2"/>
    <x v="3"/>
    <n v="8"/>
    <n v="0"/>
    <n v="1"/>
    <s v="New"/>
    <x v="1"/>
    <n v="37"/>
    <n v="0"/>
  </r>
  <r>
    <n v="1893"/>
    <x v="175"/>
    <n v="1411"/>
    <x v="1"/>
    <x v="1"/>
    <x v="0"/>
    <n v="4"/>
    <n v="17140"/>
    <s v="Card"/>
    <x v="0"/>
    <x v="3"/>
    <n v="1"/>
    <n v="0"/>
    <n v="0"/>
    <s v="Repeat"/>
    <x v="5"/>
    <n v="31"/>
    <n v="1"/>
  </r>
  <r>
    <n v="1894"/>
    <x v="116"/>
    <n v="1349"/>
    <x v="1"/>
    <x v="3"/>
    <x v="3"/>
    <n v="1"/>
    <n v="0"/>
    <s v="UPI"/>
    <x v="2"/>
    <x v="2"/>
    <n v="6"/>
    <n v="0"/>
    <n v="1"/>
    <s v="New"/>
    <x v="3"/>
    <n v="50"/>
    <n v="0"/>
  </r>
  <r>
    <n v="1895"/>
    <x v="59"/>
    <n v="1926"/>
    <x v="4"/>
    <x v="4"/>
    <x v="2"/>
    <n v="1"/>
    <n v="0"/>
    <s v="Card"/>
    <x v="1"/>
    <x v="0"/>
    <n v="7"/>
    <n v="1"/>
    <n v="1"/>
    <s v="Repeat"/>
    <x v="0"/>
    <n v="34"/>
    <n v="0"/>
  </r>
  <r>
    <n v="1896"/>
    <x v="167"/>
    <n v="1338"/>
    <x v="2"/>
    <x v="2"/>
    <x v="3"/>
    <n v="4"/>
    <n v="3072"/>
    <s v="Wallet"/>
    <x v="0"/>
    <x v="3"/>
    <n v="2"/>
    <n v="0"/>
    <n v="0"/>
    <s v="Repeat"/>
    <x v="0"/>
    <n v="35"/>
    <n v="1"/>
  </r>
  <r>
    <n v="1897"/>
    <x v="20"/>
    <n v="1864"/>
    <x v="1"/>
    <x v="4"/>
    <x v="3"/>
    <n v="2"/>
    <n v="0"/>
    <s v="Wallet"/>
    <x v="1"/>
    <x v="1"/>
    <n v="5"/>
    <n v="1"/>
    <n v="1"/>
    <s v="Repeat"/>
    <x v="0"/>
    <n v="32"/>
    <n v="0"/>
  </r>
  <r>
    <n v="1898"/>
    <x v="179"/>
    <n v="1109"/>
    <x v="2"/>
    <x v="1"/>
    <x v="2"/>
    <n v="3"/>
    <n v="12402"/>
    <s v="COD"/>
    <x v="0"/>
    <x v="1"/>
    <n v="2"/>
    <n v="1"/>
    <n v="0"/>
    <s v="New"/>
    <x v="5"/>
    <n v="29"/>
    <n v="1"/>
  </r>
  <r>
    <n v="1899"/>
    <x v="99"/>
    <n v="1963"/>
    <x v="2"/>
    <x v="3"/>
    <x v="1"/>
    <n v="5"/>
    <n v="0"/>
    <s v="Wallet"/>
    <x v="2"/>
    <x v="0"/>
    <n v="1"/>
    <n v="1"/>
    <n v="0"/>
    <s v="New"/>
    <x v="4"/>
    <n v="48"/>
    <n v="0"/>
  </r>
  <r>
    <n v="1900"/>
    <x v="69"/>
    <n v="1532"/>
    <x v="0"/>
    <x v="1"/>
    <x v="2"/>
    <n v="1"/>
    <n v="0"/>
    <s v="UPI"/>
    <x v="1"/>
    <x v="0"/>
    <n v="8"/>
    <n v="0"/>
    <n v="1"/>
    <s v="New"/>
    <x v="2"/>
    <n v="40"/>
    <n v="0"/>
  </r>
  <r>
    <n v="1901"/>
    <x v="150"/>
    <n v="1910"/>
    <x v="2"/>
    <x v="1"/>
    <x v="2"/>
    <n v="3"/>
    <n v="14445"/>
    <s v="COD"/>
    <x v="0"/>
    <x v="3"/>
    <n v="7"/>
    <n v="0"/>
    <n v="1"/>
    <s v="New"/>
    <x v="0"/>
    <n v="35"/>
    <n v="1"/>
  </r>
  <r>
    <n v="1902"/>
    <x v="89"/>
    <n v="1894"/>
    <x v="0"/>
    <x v="0"/>
    <x v="1"/>
    <n v="5"/>
    <n v="0"/>
    <s v="COD"/>
    <x v="2"/>
    <x v="1"/>
    <n v="6"/>
    <n v="1"/>
    <n v="1"/>
    <s v="New"/>
    <x v="0"/>
    <n v="35"/>
    <n v="0"/>
  </r>
  <r>
    <n v="1903"/>
    <x v="105"/>
    <n v="1477"/>
    <x v="4"/>
    <x v="0"/>
    <x v="0"/>
    <n v="1"/>
    <n v="0"/>
    <s v="UPI"/>
    <x v="1"/>
    <x v="3"/>
    <n v="1"/>
    <n v="1"/>
    <n v="1"/>
    <s v="New"/>
    <x v="3"/>
    <n v="52"/>
    <n v="0"/>
  </r>
  <r>
    <n v="1904"/>
    <x v="104"/>
    <n v="1181"/>
    <x v="1"/>
    <x v="0"/>
    <x v="1"/>
    <n v="4"/>
    <n v="5744"/>
    <s v="COD"/>
    <x v="0"/>
    <x v="1"/>
    <n v="5"/>
    <n v="1"/>
    <n v="0"/>
    <s v="Repeat"/>
    <x v="5"/>
    <n v="29"/>
    <n v="1"/>
  </r>
  <r>
    <n v="1905"/>
    <x v="80"/>
    <n v="1997"/>
    <x v="3"/>
    <x v="1"/>
    <x v="2"/>
    <n v="5"/>
    <n v="21430"/>
    <s v="Wallet"/>
    <x v="0"/>
    <x v="1"/>
    <n v="10"/>
    <n v="0"/>
    <n v="1"/>
    <s v="New"/>
    <x v="6"/>
    <n v="2"/>
    <n v="1"/>
  </r>
  <r>
    <n v="1906"/>
    <x v="4"/>
    <n v="1751"/>
    <x v="1"/>
    <x v="4"/>
    <x v="3"/>
    <n v="4"/>
    <n v="9900"/>
    <s v="UPI"/>
    <x v="0"/>
    <x v="3"/>
    <n v="6"/>
    <n v="1"/>
    <n v="1"/>
    <s v="Repeat"/>
    <x v="3"/>
    <n v="50"/>
    <n v="1"/>
  </r>
  <r>
    <n v="1907"/>
    <x v="123"/>
    <n v="1371"/>
    <x v="0"/>
    <x v="0"/>
    <x v="1"/>
    <n v="2"/>
    <n v="8038"/>
    <s v="Card"/>
    <x v="0"/>
    <x v="1"/>
    <n v="6"/>
    <n v="0"/>
    <n v="1"/>
    <s v="New"/>
    <x v="0"/>
    <n v="34"/>
    <n v="1"/>
  </r>
  <r>
    <n v="1908"/>
    <x v="14"/>
    <n v="1627"/>
    <x v="1"/>
    <x v="3"/>
    <x v="1"/>
    <n v="1"/>
    <n v="0"/>
    <s v="COD"/>
    <x v="2"/>
    <x v="3"/>
    <n v="10"/>
    <n v="0"/>
    <n v="0"/>
    <s v="New"/>
    <x v="0"/>
    <n v="34"/>
    <n v="0"/>
  </r>
  <r>
    <n v="1909"/>
    <x v="134"/>
    <n v="1972"/>
    <x v="0"/>
    <x v="1"/>
    <x v="3"/>
    <n v="4"/>
    <n v="0"/>
    <s v="COD"/>
    <x v="1"/>
    <x v="3"/>
    <n v="2"/>
    <n v="0"/>
    <n v="0"/>
    <s v="New"/>
    <x v="3"/>
    <n v="51"/>
    <n v="0"/>
  </r>
  <r>
    <n v="1910"/>
    <x v="14"/>
    <n v="1324"/>
    <x v="3"/>
    <x v="4"/>
    <x v="0"/>
    <n v="3"/>
    <n v="12048"/>
    <s v="COD"/>
    <x v="0"/>
    <x v="2"/>
    <n v="4"/>
    <n v="1"/>
    <n v="0"/>
    <s v="Repeat"/>
    <x v="0"/>
    <n v="34"/>
    <n v="1"/>
  </r>
  <r>
    <n v="1911"/>
    <x v="122"/>
    <n v="1748"/>
    <x v="0"/>
    <x v="0"/>
    <x v="3"/>
    <n v="2"/>
    <n v="0"/>
    <s v="Card"/>
    <x v="2"/>
    <x v="1"/>
    <n v="10"/>
    <n v="0"/>
    <n v="0"/>
    <s v="New"/>
    <x v="3"/>
    <n v="53"/>
    <n v="0"/>
  </r>
  <r>
    <n v="1912"/>
    <x v="126"/>
    <n v="1573"/>
    <x v="2"/>
    <x v="3"/>
    <x v="2"/>
    <n v="3"/>
    <n v="14961"/>
    <s v="Wallet"/>
    <x v="0"/>
    <x v="2"/>
    <n v="7"/>
    <n v="0"/>
    <n v="0"/>
    <s v="Repeat"/>
    <x v="4"/>
    <n v="46"/>
    <n v="1"/>
  </r>
  <r>
    <n v="1913"/>
    <x v="94"/>
    <n v="1401"/>
    <x v="1"/>
    <x v="1"/>
    <x v="2"/>
    <n v="3"/>
    <n v="11763"/>
    <s v="COD"/>
    <x v="0"/>
    <x v="0"/>
    <n v="10"/>
    <n v="1"/>
    <n v="1"/>
    <s v="Repeat"/>
    <x v="1"/>
    <n v="40"/>
    <n v="1"/>
  </r>
  <r>
    <n v="1914"/>
    <x v="65"/>
    <n v="1168"/>
    <x v="0"/>
    <x v="3"/>
    <x v="2"/>
    <n v="5"/>
    <n v="0"/>
    <s v="UPI"/>
    <x v="2"/>
    <x v="1"/>
    <n v="9"/>
    <n v="0"/>
    <n v="1"/>
    <s v="New"/>
    <x v="1"/>
    <n v="38"/>
    <n v="0"/>
  </r>
  <r>
    <n v="1915"/>
    <x v="90"/>
    <n v="1171"/>
    <x v="0"/>
    <x v="0"/>
    <x v="3"/>
    <n v="2"/>
    <n v="0"/>
    <s v="Wallet"/>
    <x v="2"/>
    <x v="1"/>
    <n v="3"/>
    <n v="0"/>
    <n v="0"/>
    <s v="Repeat"/>
    <x v="0"/>
    <n v="31"/>
    <n v="0"/>
  </r>
  <r>
    <n v="1916"/>
    <x v="32"/>
    <n v="1649"/>
    <x v="4"/>
    <x v="3"/>
    <x v="1"/>
    <n v="4"/>
    <n v="0"/>
    <s v="COD"/>
    <x v="1"/>
    <x v="0"/>
    <n v="10"/>
    <n v="0"/>
    <n v="0"/>
    <s v="New"/>
    <x v="1"/>
    <n v="38"/>
    <n v="0"/>
  </r>
  <r>
    <n v="1917"/>
    <x v="66"/>
    <n v="1217"/>
    <x v="0"/>
    <x v="4"/>
    <x v="0"/>
    <n v="3"/>
    <n v="4851"/>
    <s v="Wallet"/>
    <x v="0"/>
    <x v="3"/>
    <n v="9"/>
    <n v="0"/>
    <n v="0"/>
    <s v="Repeat"/>
    <x v="1"/>
    <n v="39"/>
    <n v="1"/>
  </r>
  <r>
    <n v="1918"/>
    <x v="29"/>
    <n v="1807"/>
    <x v="4"/>
    <x v="3"/>
    <x v="0"/>
    <n v="5"/>
    <n v="6095"/>
    <s v="UPI"/>
    <x v="0"/>
    <x v="2"/>
    <n v="1"/>
    <n v="1"/>
    <n v="0"/>
    <s v="Repeat"/>
    <x v="1"/>
    <n v="39"/>
    <n v="1"/>
  </r>
  <r>
    <n v="1919"/>
    <x v="132"/>
    <n v="1103"/>
    <x v="0"/>
    <x v="1"/>
    <x v="0"/>
    <n v="4"/>
    <n v="0"/>
    <s v="UPI"/>
    <x v="2"/>
    <x v="0"/>
    <n v="7"/>
    <n v="1"/>
    <n v="1"/>
    <s v="New"/>
    <x v="2"/>
    <n v="42"/>
    <n v="0"/>
  </r>
  <r>
    <n v="1920"/>
    <x v="38"/>
    <n v="1236"/>
    <x v="4"/>
    <x v="1"/>
    <x v="1"/>
    <n v="2"/>
    <n v="0"/>
    <s v="UPI"/>
    <x v="1"/>
    <x v="1"/>
    <n v="5"/>
    <n v="0"/>
    <n v="1"/>
    <s v="New"/>
    <x v="1"/>
    <n v="39"/>
    <n v="0"/>
  </r>
  <r>
    <n v="1921"/>
    <x v="143"/>
    <n v="1919"/>
    <x v="0"/>
    <x v="3"/>
    <x v="2"/>
    <n v="2"/>
    <n v="1712"/>
    <s v="UPI"/>
    <x v="0"/>
    <x v="3"/>
    <n v="6"/>
    <n v="1"/>
    <n v="1"/>
    <s v="Repeat"/>
    <x v="2"/>
    <n v="43"/>
    <n v="1"/>
  </r>
  <r>
    <n v="1922"/>
    <x v="73"/>
    <n v="1580"/>
    <x v="2"/>
    <x v="4"/>
    <x v="2"/>
    <n v="5"/>
    <n v="2800"/>
    <s v="Card"/>
    <x v="0"/>
    <x v="0"/>
    <n v="6"/>
    <n v="0"/>
    <n v="1"/>
    <s v="Repeat"/>
    <x v="4"/>
    <n v="45"/>
    <n v="1"/>
  </r>
  <r>
    <n v="1923"/>
    <x v="56"/>
    <n v="1904"/>
    <x v="0"/>
    <x v="4"/>
    <x v="0"/>
    <n v="1"/>
    <n v="0"/>
    <s v="Wallet"/>
    <x v="2"/>
    <x v="1"/>
    <n v="10"/>
    <n v="1"/>
    <n v="0"/>
    <s v="New"/>
    <x v="6"/>
    <n v="2"/>
    <n v="0"/>
  </r>
  <r>
    <n v="1924"/>
    <x v="77"/>
    <n v="1366"/>
    <x v="1"/>
    <x v="1"/>
    <x v="3"/>
    <n v="1"/>
    <n v="2123"/>
    <s v="Wallet"/>
    <x v="0"/>
    <x v="3"/>
    <n v="4"/>
    <n v="0"/>
    <n v="0"/>
    <s v="Repeat"/>
    <x v="1"/>
    <n v="38"/>
    <n v="1"/>
  </r>
  <r>
    <n v="1925"/>
    <x v="178"/>
    <n v="1576"/>
    <x v="3"/>
    <x v="1"/>
    <x v="0"/>
    <n v="1"/>
    <n v="0"/>
    <s v="UPI"/>
    <x v="2"/>
    <x v="3"/>
    <n v="8"/>
    <n v="1"/>
    <n v="1"/>
    <s v="Repeat"/>
    <x v="4"/>
    <n v="45"/>
    <n v="0"/>
  </r>
  <r>
    <n v="1926"/>
    <x v="63"/>
    <n v="1819"/>
    <x v="0"/>
    <x v="1"/>
    <x v="2"/>
    <n v="1"/>
    <n v="0"/>
    <s v="UPI"/>
    <x v="1"/>
    <x v="1"/>
    <n v="7"/>
    <n v="0"/>
    <n v="1"/>
    <s v="Repeat"/>
    <x v="5"/>
    <n v="29"/>
    <n v="0"/>
  </r>
  <r>
    <n v="1927"/>
    <x v="65"/>
    <n v="1919"/>
    <x v="3"/>
    <x v="4"/>
    <x v="0"/>
    <n v="4"/>
    <n v="0"/>
    <s v="COD"/>
    <x v="2"/>
    <x v="3"/>
    <n v="10"/>
    <n v="1"/>
    <n v="0"/>
    <s v="New"/>
    <x v="1"/>
    <n v="38"/>
    <n v="0"/>
  </r>
  <r>
    <n v="1928"/>
    <x v="142"/>
    <n v="1649"/>
    <x v="0"/>
    <x v="1"/>
    <x v="1"/>
    <n v="5"/>
    <n v="0"/>
    <s v="Card"/>
    <x v="1"/>
    <x v="3"/>
    <n v="2"/>
    <n v="1"/>
    <n v="1"/>
    <s v="Repeat"/>
    <x v="2"/>
    <n v="42"/>
    <n v="0"/>
  </r>
  <r>
    <n v="1929"/>
    <x v="127"/>
    <n v="1436"/>
    <x v="0"/>
    <x v="2"/>
    <x v="3"/>
    <n v="1"/>
    <n v="0"/>
    <s v="COD"/>
    <x v="2"/>
    <x v="1"/>
    <n v="8"/>
    <n v="1"/>
    <n v="1"/>
    <s v="New"/>
    <x v="5"/>
    <n v="29"/>
    <n v="0"/>
  </r>
  <r>
    <n v="1930"/>
    <x v="180"/>
    <n v="1748"/>
    <x v="1"/>
    <x v="1"/>
    <x v="3"/>
    <n v="5"/>
    <n v="0"/>
    <s v="Wallet"/>
    <x v="2"/>
    <x v="0"/>
    <n v="4"/>
    <n v="0"/>
    <n v="0"/>
    <s v="Repeat"/>
    <x v="4"/>
    <n v="46"/>
    <n v="0"/>
  </r>
  <r>
    <n v="1931"/>
    <x v="77"/>
    <n v="1390"/>
    <x v="4"/>
    <x v="3"/>
    <x v="0"/>
    <n v="2"/>
    <n v="0"/>
    <s v="Wallet"/>
    <x v="2"/>
    <x v="1"/>
    <n v="3"/>
    <n v="1"/>
    <n v="1"/>
    <s v="New"/>
    <x v="1"/>
    <n v="38"/>
    <n v="0"/>
  </r>
  <r>
    <n v="1932"/>
    <x v="103"/>
    <n v="1473"/>
    <x v="2"/>
    <x v="3"/>
    <x v="2"/>
    <n v="3"/>
    <n v="5106"/>
    <s v="COD"/>
    <x v="0"/>
    <x v="0"/>
    <n v="1"/>
    <n v="0"/>
    <n v="1"/>
    <s v="Repeat"/>
    <x v="1"/>
    <n v="38"/>
    <n v="1"/>
  </r>
  <r>
    <n v="1933"/>
    <x v="31"/>
    <n v="1010"/>
    <x v="2"/>
    <x v="3"/>
    <x v="1"/>
    <n v="3"/>
    <n v="0"/>
    <s v="UPI"/>
    <x v="1"/>
    <x v="0"/>
    <n v="5"/>
    <n v="0"/>
    <n v="0"/>
    <s v="Repeat"/>
    <x v="2"/>
    <n v="44"/>
    <n v="0"/>
  </r>
  <r>
    <n v="1934"/>
    <x v="111"/>
    <n v="1036"/>
    <x v="4"/>
    <x v="3"/>
    <x v="0"/>
    <n v="2"/>
    <n v="2976"/>
    <s v="COD"/>
    <x v="0"/>
    <x v="0"/>
    <n v="7"/>
    <n v="0"/>
    <n v="1"/>
    <s v="New"/>
    <x v="4"/>
    <n v="48"/>
    <n v="1"/>
  </r>
  <r>
    <n v="1935"/>
    <x v="27"/>
    <n v="1666"/>
    <x v="3"/>
    <x v="3"/>
    <x v="0"/>
    <n v="2"/>
    <n v="0"/>
    <s v="COD"/>
    <x v="2"/>
    <x v="0"/>
    <n v="5"/>
    <n v="1"/>
    <n v="0"/>
    <s v="Repeat"/>
    <x v="1"/>
    <n v="37"/>
    <n v="0"/>
  </r>
  <r>
    <n v="1936"/>
    <x v="129"/>
    <n v="1858"/>
    <x v="3"/>
    <x v="1"/>
    <x v="2"/>
    <n v="5"/>
    <n v="0"/>
    <s v="Wallet"/>
    <x v="1"/>
    <x v="0"/>
    <n v="4"/>
    <n v="1"/>
    <n v="0"/>
    <s v="Repeat"/>
    <x v="4"/>
    <n v="46"/>
    <n v="0"/>
  </r>
  <r>
    <n v="1937"/>
    <x v="120"/>
    <n v="1815"/>
    <x v="2"/>
    <x v="0"/>
    <x v="1"/>
    <n v="1"/>
    <n v="3179"/>
    <s v="COD"/>
    <x v="0"/>
    <x v="2"/>
    <n v="7"/>
    <n v="1"/>
    <n v="0"/>
    <s v="Repeat"/>
    <x v="6"/>
    <n v="1"/>
    <n v="1"/>
  </r>
  <r>
    <n v="1938"/>
    <x v="146"/>
    <n v="1704"/>
    <x v="2"/>
    <x v="1"/>
    <x v="1"/>
    <n v="2"/>
    <n v="1100"/>
    <s v="COD"/>
    <x v="0"/>
    <x v="3"/>
    <n v="6"/>
    <n v="0"/>
    <n v="1"/>
    <s v="Repeat"/>
    <x v="2"/>
    <n v="40"/>
    <n v="1"/>
  </r>
  <r>
    <n v="1939"/>
    <x v="144"/>
    <n v="1889"/>
    <x v="0"/>
    <x v="4"/>
    <x v="1"/>
    <n v="3"/>
    <n v="0"/>
    <s v="UPI"/>
    <x v="2"/>
    <x v="2"/>
    <n v="6"/>
    <n v="1"/>
    <n v="1"/>
    <s v="Repeat"/>
    <x v="3"/>
    <n v="52"/>
    <n v="0"/>
  </r>
  <r>
    <n v="1940"/>
    <x v="105"/>
    <n v="1008"/>
    <x v="0"/>
    <x v="2"/>
    <x v="1"/>
    <n v="2"/>
    <n v="0"/>
    <s v="Wallet"/>
    <x v="2"/>
    <x v="3"/>
    <n v="6"/>
    <n v="0"/>
    <n v="1"/>
    <s v="Repeat"/>
    <x v="3"/>
    <n v="52"/>
    <n v="0"/>
  </r>
  <r>
    <n v="1941"/>
    <x v="39"/>
    <n v="1282"/>
    <x v="1"/>
    <x v="4"/>
    <x v="0"/>
    <n v="3"/>
    <n v="0"/>
    <s v="Card"/>
    <x v="1"/>
    <x v="0"/>
    <n v="4"/>
    <n v="1"/>
    <n v="1"/>
    <s v="Repeat"/>
    <x v="0"/>
    <n v="34"/>
    <n v="0"/>
  </r>
  <r>
    <n v="1942"/>
    <x v="148"/>
    <n v="1268"/>
    <x v="2"/>
    <x v="1"/>
    <x v="1"/>
    <n v="5"/>
    <n v="0"/>
    <s v="Card"/>
    <x v="1"/>
    <x v="1"/>
    <n v="8"/>
    <n v="0"/>
    <n v="1"/>
    <s v="Repeat"/>
    <x v="5"/>
    <n v="30"/>
    <n v="0"/>
  </r>
  <r>
    <n v="1943"/>
    <x v="82"/>
    <n v="1350"/>
    <x v="0"/>
    <x v="4"/>
    <x v="3"/>
    <n v="3"/>
    <n v="12300"/>
    <s v="Card"/>
    <x v="0"/>
    <x v="2"/>
    <n v="1"/>
    <n v="0"/>
    <n v="0"/>
    <s v="Repeat"/>
    <x v="0"/>
    <n v="33"/>
    <n v="1"/>
  </r>
  <r>
    <n v="1944"/>
    <x v="180"/>
    <n v="1480"/>
    <x v="0"/>
    <x v="2"/>
    <x v="3"/>
    <n v="1"/>
    <n v="0"/>
    <s v="COD"/>
    <x v="1"/>
    <x v="2"/>
    <n v="1"/>
    <n v="1"/>
    <n v="1"/>
    <s v="Repeat"/>
    <x v="4"/>
    <n v="46"/>
    <n v="0"/>
  </r>
  <r>
    <n v="1945"/>
    <x v="139"/>
    <n v="1793"/>
    <x v="4"/>
    <x v="4"/>
    <x v="2"/>
    <n v="5"/>
    <n v="0"/>
    <s v="COD"/>
    <x v="1"/>
    <x v="1"/>
    <n v="7"/>
    <n v="0"/>
    <n v="0"/>
    <s v="New"/>
    <x v="4"/>
    <n v="45"/>
    <n v="0"/>
  </r>
  <r>
    <n v="1946"/>
    <x v="130"/>
    <n v="1747"/>
    <x v="2"/>
    <x v="0"/>
    <x v="3"/>
    <n v="4"/>
    <n v="4424"/>
    <s v="Card"/>
    <x v="0"/>
    <x v="2"/>
    <n v="10"/>
    <n v="1"/>
    <n v="1"/>
    <s v="New"/>
    <x v="3"/>
    <n v="51"/>
    <n v="1"/>
  </r>
  <r>
    <n v="1947"/>
    <x v="30"/>
    <n v="1809"/>
    <x v="3"/>
    <x v="3"/>
    <x v="0"/>
    <n v="3"/>
    <n v="0"/>
    <s v="UPI"/>
    <x v="1"/>
    <x v="3"/>
    <n v="3"/>
    <n v="1"/>
    <n v="1"/>
    <s v="New"/>
    <x v="3"/>
    <n v="51"/>
    <n v="0"/>
  </r>
  <r>
    <n v="1948"/>
    <x v="107"/>
    <n v="1187"/>
    <x v="0"/>
    <x v="4"/>
    <x v="1"/>
    <n v="5"/>
    <n v="13380"/>
    <s v="COD"/>
    <x v="0"/>
    <x v="0"/>
    <n v="2"/>
    <n v="0"/>
    <n v="0"/>
    <s v="New"/>
    <x v="4"/>
    <n v="45"/>
    <n v="1"/>
  </r>
  <r>
    <n v="1949"/>
    <x v="27"/>
    <n v="1168"/>
    <x v="3"/>
    <x v="2"/>
    <x v="1"/>
    <n v="1"/>
    <n v="0"/>
    <s v="Wallet"/>
    <x v="2"/>
    <x v="2"/>
    <n v="4"/>
    <n v="0"/>
    <n v="0"/>
    <s v="New"/>
    <x v="1"/>
    <n v="37"/>
    <n v="0"/>
  </r>
  <r>
    <n v="1950"/>
    <x v="57"/>
    <n v="1323"/>
    <x v="1"/>
    <x v="2"/>
    <x v="2"/>
    <n v="1"/>
    <n v="0"/>
    <s v="Card"/>
    <x v="2"/>
    <x v="2"/>
    <n v="9"/>
    <n v="1"/>
    <n v="0"/>
    <s v="Repeat"/>
    <x v="4"/>
    <n v="48"/>
    <n v="0"/>
  </r>
  <r>
    <n v="1951"/>
    <x v="50"/>
    <n v="1834"/>
    <x v="3"/>
    <x v="4"/>
    <x v="0"/>
    <n v="1"/>
    <n v="0"/>
    <s v="Wallet"/>
    <x v="2"/>
    <x v="0"/>
    <n v="4"/>
    <n v="0"/>
    <n v="1"/>
    <s v="New"/>
    <x v="3"/>
    <n v="53"/>
    <n v="0"/>
  </r>
  <r>
    <n v="1952"/>
    <x v="98"/>
    <n v="1578"/>
    <x v="4"/>
    <x v="4"/>
    <x v="0"/>
    <n v="3"/>
    <n v="0"/>
    <s v="COD"/>
    <x v="2"/>
    <x v="3"/>
    <n v="4"/>
    <n v="1"/>
    <n v="1"/>
    <s v="New"/>
    <x v="3"/>
    <n v="51"/>
    <n v="0"/>
  </r>
  <r>
    <n v="1953"/>
    <x v="113"/>
    <n v="1304"/>
    <x v="2"/>
    <x v="3"/>
    <x v="1"/>
    <n v="1"/>
    <n v="0"/>
    <s v="UPI"/>
    <x v="2"/>
    <x v="0"/>
    <n v="2"/>
    <n v="0"/>
    <n v="1"/>
    <s v="New"/>
    <x v="0"/>
    <n v="33"/>
    <n v="0"/>
  </r>
  <r>
    <n v="1954"/>
    <x v="156"/>
    <n v="1579"/>
    <x v="2"/>
    <x v="0"/>
    <x v="1"/>
    <n v="2"/>
    <n v="0"/>
    <s v="COD"/>
    <x v="1"/>
    <x v="0"/>
    <n v="3"/>
    <n v="0"/>
    <n v="1"/>
    <s v="Repeat"/>
    <x v="6"/>
    <n v="2"/>
    <n v="0"/>
  </r>
  <r>
    <n v="1955"/>
    <x v="39"/>
    <n v="1832"/>
    <x v="2"/>
    <x v="0"/>
    <x v="0"/>
    <n v="2"/>
    <n v="5402"/>
    <s v="COD"/>
    <x v="0"/>
    <x v="0"/>
    <n v="9"/>
    <n v="1"/>
    <n v="1"/>
    <s v="New"/>
    <x v="0"/>
    <n v="34"/>
    <n v="1"/>
  </r>
  <r>
    <n v="1956"/>
    <x v="173"/>
    <n v="1417"/>
    <x v="2"/>
    <x v="0"/>
    <x v="2"/>
    <n v="5"/>
    <n v="21245"/>
    <s v="COD"/>
    <x v="0"/>
    <x v="0"/>
    <n v="9"/>
    <n v="1"/>
    <n v="1"/>
    <s v="New"/>
    <x v="5"/>
    <n v="30"/>
    <n v="1"/>
  </r>
  <r>
    <n v="1957"/>
    <x v="6"/>
    <n v="1139"/>
    <x v="2"/>
    <x v="2"/>
    <x v="0"/>
    <n v="5"/>
    <n v="0"/>
    <s v="Wallet"/>
    <x v="2"/>
    <x v="0"/>
    <n v="3"/>
    <n v="0"/>
    <n v="1"/>
    <s v="Repeat"/>
    <x v="4"/>
    <n v="47"/>
    <n v="0"/>
  </r>
  <r>
    <n v="1958"/>
    <x v="142"/>
    <n v="1934"/>
    <x v="1"/>
    <x v="2"/>
    <x v="1"/>
    <n v="2"/>
    <n v="2524"/>
    <s v="Card"/>
    <x v="0"/>
    <x v="2"/>
    <n v="4"/>
    <n v="1"/>
    <n v="1"/>
    <s v="Repeat"/>
    <x v="2"/>
    <n v="42"/>
    <n v="1"/>
  </r>
  <r>
    <n v="1959"/>
    <x v="94"/>
    <n v="1174"/>
    <x v="1"/>
    <x v="1"/>
    <x v="0"/>
    <n v="4"/>
    <n v="4324"/>
    <s v="COD"/>
    <x v="0"/>
    <x v="2"/>
    <n v="10"/>
    <n v="0"/>
    <n v="0"/>
    <s v="New"/>
    <x v="1"/>
    <n v="40"/>
    <n v="1"/>
  </r>
  <r>
    <n v="1960"/>
    <x v="17"/>
    <n v="1259"/>
    <x v="4"/>
    <x v="2"/>
    <x v="0"/>
    <n v="5"/>
    <n v="0"/>
    <s v="Wallet"/>
    <x v="2"/>
    <x v="3"/>
    <n v="8"/>
    <n v="1"/>
    <n v="1"/>
    <s v="Repeat"/>
    <x v="1"/>
    <n v="38"/>
    <n v="0"/>
  </r>
  <r>
    <n v="1961"/>
    <x v="42"/>
    <n v="1134"/>
    <x v="3"/>
    <x v="0"/>
    <x v="0"/>
    <n v="5"/>
    <n v="0"/>
    <s v="UPI"/>
    <x v="1"/>
    <x v="3"/>
    <n v="9"/>
    <n v="1"/>
    <n v="0"/>
    <s v="New"/>
    <x v="2"/>
    <n v="44"/>
    <n v="0"/>
  </r>
  <r>
    <n v="1962"/>
    <x v="138"/>
    <n v="1776"/>
    <x v="2"/>
    <x v="4"/>
    <x v="1"/>
    <n v="1"/>
    <n v="4306"/>
    <s v="Wallet"/>
    <x v="0"/>
    <x v="3"/>
    <n v="6"/>
    <n v="1"/>
    <n v="1"/>
    <s v="New"/>
    <x v="2"/>
    <n v="44"/>
    <n v="1"/>
  </r>
  <r>
    <n v="1963"/>
    <x v="140"/>
    <n v="1836"/>
    <x v="0"/>
    <x v="3"/>
    <x v="3"/>
    <n v="2"/>
    <n v="0"/>
    <s v="COD"/>
    <x v="1"/>
    <x v="1"/>
    <n v="7"/>
    <n v="1"/>
    <n v="1"/>
    <s v="Repeat"/>
    <x v="4"/>
    <n v="48"/>
    <n v="0"/>
  </r>
  <r>
    <n v="1964"/>
    <x v="107"/>
    <n v="1850"/>
    <x v="1"/>
    <x v="3"/>
    <x v="3"/>
    <n v="1"/>
    <n v="0"/>
    <s v="UPI"/>
    <x v="1"/>
    <x v="0"/>
    <n v="6"/>
    <n v="0"/>
    <n v="1"/>
    <s v="New"/>
    <x v="4"/>
    <n v="45"/>
    <n v="0"/>
  </r>
  <r>
    <n v="1965"/>
    <x v="54"/>
    <n v="1943"/>
    <x v="1"/>
    <x v="1"/>
    <x v="2"/>
    <n v="5"/>
    <n v="0"/>
    <s v="Wallet"/>
    <x v="1"/>
    <x v="1"/>
    <n v="5"/>
    <n v="1"/>
    <n v="1"/>
    <s v="New"/>
    <x v="0"/>
    <n v="34"/>
    <n v="0"/>
  </r>
  <r>
    <n v="1966"/>
    <x v="2"/>
    <n v="1945"/>
    <x v="2"/>
    <x v="3"/>
    <x v="1"/>
    <n v="1"/>
    <n v="3983"/>
    <s v="Wallet"/>
    <x v="0"/>
    <x v="1"/>
    <n v="6"/>
    <n v="0"/>
    <n v="1"/>
    <s v="New"/>
    <x v="2"/>
    <n v="41"/>
    <n v="1"/>
  </r>
  <r>
    <n v="1967"/>
    <x v="77"/>
    <n v="1217"/>
    <x v="2"/>
    <x v="0"/>
    <x v="3"/>
    <n v="2"/>
    <n v="0"/>
    <s v="UPI"/>
    <x v="1"/>
    <x v="2"/>
    <n v="2"/>
    <n v="1"/>
    <n v="1"/>
    <s v="Repeat"/>
    <x v="1"/>
    <n v="38"/>
    <n v="0"/>
  </r>
  <r>
    <n v="1968"/>
    <x v="44"/>
    <n v="1530"/>
    <x v="4"/>
    <x v="4"/>
    <x v="1"/>
    <n v="3"/>
    <n v="0"/>
    <s v="Card"/>
    <x v="2"/>
    <x v="2"/>
    <n v="1"/>
    <n v="1"/>
    <n v="0"/>
    <s v="Repeat"/>
    <x v="4"/>
    <n v="47"/>
    <n v="0"/>
  </r>
  <r>
    <n v="1969"/>
    <x v="133"/>
    <n v="1492"/>
    <x v="3"/>
    <x v="4"/>
    <x v="1"/>
    <n v="4"/>
    <n v="0"/>
    <s v="UPI"/>
    <x v="2"/>
    <x v="1"/>
    <n v="10"/>
    <n v="1"/>
    <n v="1"/>
    <s v="Repeat"/>
    <x v="0"/>
    <n v="35"/>
    <n v="0"/>
  </r>
  <r>
    <n v="1970"/>
    <x v="150"/>
    <n v="1926"/>
    <x v="1"/>
    <x v="1"/>
    <x v="0"/>
    <n v="2"/>
    <n v="0"/>
    <s v="Card"/>
    <x v="1"/>
    <x v="2"/>
    <n v="5"/>
    <n v="0"/>
    <n v="0"/>
    <s v="New"/>
    <x v="0"/>
    <n v="35"/>
    <n v="0"/>
  </r>
  <r>
    <n v="1971"/>
    <x v="2"/>
    <n v="1738"/>
    <x v="4"/>
    <x v="0"/>
    <x v="0"/>
    <n v="5"/>
    <n v="0"/>
    <s v="UPI"/>
    <x v="2"/>
    <x v="1"/>
    <n v="1"/>
    <n v="0"/>
    <n v="1"/>
    <s v="Repeat"/>
    <x v="2"/>
    <n v="41"/>
    <n v="0"/>
  </r>
  <r>
    <n v="1972"/>
    <x v="49"/>
    <n v="1401"/>
    <x v="1"/>
    <x v="0"/>
    <x v="0"/>
    <n v="1"/>
    <n v="0"/>
    <s v="Card"/>
    <x v="2"/>
    <x v="0"/>
    <n v="10"/>
    <n v="0"/>
    <n v="1"/>
    <s v="Repeat"/>
    <x v="0"/>
    <n v="36"/>
    <n v="0"/>
  </r>
  <r>
    <n v="1973"/>
    <x v="130"/>
    <n v="1559"/>
    <x v="4"/>
    <x v="1"/>
    <x v="0"/>
    <n v="5"/>
    <n v="15125"/>
    <s v="UPI"/>
    <x v="0"/>
    <x v="1"/>
    <n v="3"/>
    <n v="1"/>
    <n v="1"/>
    <s v="New"/>
    <x v="3"/>
    <n v="51"/>
    <n v="1"/>
  </r>
  <r>
    <n v="1974"/>
    <x v="2"/>
    <n v="1102"/>
    <x v="0"/>
    <x v="3"/>
    <x v="1"/>
    <n v="1"/>
    <n v="3293"/>
    <s v="Card"/>
    <x v="0"/>
    <x v="3"/>
    <n v="9"/>
    <n v="0"/>
    <n v="0"/>
    <s v="Repeat"/>
    <x v="2"/>
    <n v="41"/>
    <n v="1"/>
  </r>
  <r>
    <n v="1975"/>
    <x v="19"/>
    <n v="1128"/>
    <x v="2"/>
    <x v="2"/>
    <x v="3"/>
    <n v="4"/>
    <n v="6276"/>
    <s v="Card"/>
    <x v="0"/>
    <x v="1"/>
    <n v="4"/>
    <n v="1"/>
    <n v="0"/>
    <s v="New"/>
    <x v="0"/>
    <n v="33"/>
    <n v="1"/>
  </r>
  <r>
    <n v="1976"/>
    <x v="174"/>
    <n v="1992"/>
    <x v="0"/>
    <x v="2"/>
    <x v="1"/>
    <n v="3"/>
    <n v="0"/>
    <s v="Wallet"/>
    <x v="2"/>
    <x v="3"/>
    <n v="8"/>
    <n v="1"/>
    <n v="0"/>
    <s v="New"/>
    <x v="5"/>
    <n v="29"/>
    <n v="0"/>
  </r>
  <r>
    <n v="1977"/>
    <x v="100"/>
    <n v="1837"/>
    <x v="0"/>
    <x v="3"/>
    <x v="2"/>
    <n v="1"/>
    <n v="0"/>
    <s v="Wallet"/>
    <x v="1"/>
    <x v="3"/>
    <n v="4"/>
    <n v="0"/>
    <n v="0"/>
    <s v="Repeat"/>
    <x v="1"/>
    <n v="37"/>
    <n v="0"/>
  </r>
  <r>
    <n v="1978"/>
    <x v="6"/>
    <n v="1678"/>
    <x v="0"/>
    <x v="3"/>
    <x v="2"/>
    <n v="3"/>
    <n v="7215"/>
    <s v="COD"/>
    <x v="0"/>
    <x v="2"/>
    <n v="8"/>
    <n v="1"/>
    <n v="1"/>
    <s v="New"/>
    <x v="4"/>
    <n v="47"/>
    <n v="1"/>
  </r>
  <r>
    <n v="1979"/>
    <x v="94"/>
    <n v="1746"/>
    <x v="0"/>
    <x v="2"/>
    <x v="2"/>
    <n v="4"/>
    <n v="0"/>
    <s v="Card"/>
    <x v="2"/>
    <x v="1"/>
    <n v="7"/>
    <n v="1"/>
    <n v="0"/>
    <s v="New"/>
    <x v="1"/>
    <n v="40"/>
    <n v="0"/>
  </r>
  <r>
    <n v="1980"/>
    <x v="3"/>
    <n v="1993"/>
    <x v="3"/>
    <x v="1"/>
    <x v="3"/>
    <n v="1"/>
    <n v="0"/>
    <s v="UPI"/>
    <x v="2"/>
    <x v="1"/>
    <n v="4"/>
    <n v="0"/>
    <n v="0"/>
    <s v="New"/>
    <x v="0"/>
    <n v="32"/>
    <n v="0"/>
  </r>
  <r>
    <n v="1981"/>
    <x v="89"/>
    <n v="1412"/>
    <x v="3"/>
    <x v="4"/>
    <x v="3"/>
    <n v="1"/>
    <n v="0"/>
    <s v="UPI"/>
    <x v="2"/>
    <x v="3"/>
    <n v="1"/>
    <n v="0"/>
    <n v="1"/>
    <s v="New"/>
    <x v="0"/>
    <n v="35"/>
    <n v="0"/>
  </r>
  <r>
    <n v="1982"/>
    <x v="26"/>
    <n v="1089"/>
    <x v="4"/>
    <x v="3"/>
    <x v="2"/>
    <n v="1"/>
    <n v="521"/>
    <s v="Wallet"/>
    <x v="0"/>
    <x v="0"/>
    <n v="8"/>
    <n v="1"/>
    <n v="1"/>
    <s v="Repeat"/>
    <x v="2"/>
    <n v="42"/>
    <n v="1"/>
  </r>
  <r>
    <n v="1983"/>
    <x v="107"/>
    <n v="1665"/>
    <x v="2"/>
    <x v="0"/>
    <x v="3"/>
    <n v="5"/>
    <n v="0"/>
    <s v="UPI"/>
    <x v="2"/>
    <x v="2"/>
    <n v="9"/>
    <n v="1"/>
    <n v="1"/>
    <s v="Repeat"/>
    <x v="4"/>
    <n v="45"/>
    <n v="0"/>
  </r>
  <r>
    <n v="1984"/>
    <x v="54"/>
    <n v="1212"/>
    <x v="2"/>
    <x v="4"/>
    <x v="2"/>
    <n v="4"/>
    <n v="0"/>
    <s v="Wallet"/>
    <x v="2"/>
    <x v="0"/>
    <n v="4"/>
    <n v="1"/>
    <n v="0"/>
    <s v="New"/>
    <x v="0"/>
    <n v="34"/>
    <n v="0"/>
  </r>
  <r>
    <n v="1985"/>
    <x v="109"/>
    <n v="1236"/>
    <x v="4"/>
    <x v="1"/>
    <x v="0"/>
    <n v="4"/>
    <n v="0"/>
    <s v="COD"/>
    <x v="2"/>
    <x v="2"/>
    <n v="4"/>
    <n v="0"/>
    <n v="0"/>
    <s v="Repeat"/>
    <x v="4"/>
    <n v="46"/>
    <n v="0"/>
  </r>
  <r>
    <n v="1986"/>
    <x v="100"/>
    <n v="1902"/>
    <x v="3"/>
    <x v="0"/>
    <x v="1"/>
    <n v="5"/>
    <n v="0"/>
    <s v="UPI"/>
    <x v="1"/>
    <x v="0"/>
    <n v="10"/>
    <n v="1"/>
    <n v="1"/>
    <s v="New"/>
    <x v="1"/>
    <n v="37"/>
    <n v="0"/>
  </r>
  <r>
    <n v="1987"/>
    <x v="34"/>
    <n v="1487"/>
    <x v="2"/>
    <x v="0"/>
    <x v="0"/>
    <n v="5"/>
    <n v="9445"/>
    <s v="Wallet"/>
    <x v="0"/>
    <x v="1"/>
    <n v="8"/>
    <n v="1"/>
    <n v="1"/>
    <s v="New"/>
    <x v="3"/>
    <n v="51"/>
    <n v="1"/>
  </r>
  <r>
    <n v="1988"/>
    <x v="120"/>
    <n v="1312"/>
    <x v="0"/>
    <x v="3"/>
    <x v="3"/>
    <n v="2"/>
    <n v="0"/>
    <s v="Card"/>
    <x v="1"/>
    <x v="2"/>
    <n v="2"/>
    <n v="1"/>
    <n v="1"/>
    <s v="Repeat"/>
    <x v="6"/>
    <n v="1"/>
    <n v="0"/>
  </r>
  <r>
    <n v="1989"/>
    <x v="128"/>
    <n v="1632"/>
    <x v="0"/>
    <x v="2"/>
    <x v="2"/>
    <n v="1"/>
    <n v="3587"/>
    <s v="Wallet"/>
    <x v="0"/>
    <x v="3"/>
    <n v="1"/>
    <n v="0"/>
    <n v="1"/>
    <s v="New"/>
    <x v="1"/>
    <n v="39"/>
    <n v="1"/>
  </r>
  <r>
    <n v="1990"/>
    <x v="125"/>
    <n v="1321"/>
    <x v="2"/>
    <x v="0"/>
    <x v="2"/>
    <n v="1"/>
    <n v="2881"/>
    <s v="Card"/>
    <x v="0"/>
    <x v="2"/>
    <n v="2"/>
    <n v="0"/>
    <n v="1"/>
    <s v="Repeat"/>
    <x v="5"/>
    <n v="31"/>
    <n v="1"/>
  </r>
  <r>
    <n v="1991"/>
    <x v="40"/>
    <n v="1021"/>
    <x v="0"/>
    <x v="2"/>
    <x v="1"/>
    <n v="5"/>
    <n v="0"/>
    <s v="COD"/>
    <x v="1"/>
    <x v="3"/>
    <n v="5"/>
    <n v="0"/>
    <n v="1"/>
    <s v="New"/>
    <x v="0"/>
    <n v="32"/>
    <n v="0"/>
  </r>
  <r>
    <n v="1992"/>
    <x v="138"/>
    <n v="1047"/>
    <x v="4"/>
    <x v="0"/>
    <x v="2"/>
    <n v="2"/>
    <n v="0"/>
    <s v="COD"/>
    <x v="2"/>
    <x v="2"/>
    <n v="10"/>
    <n v="1"/>
    <n v="1"/>
    <s v="Repeat"/>
    <x v="2"/>
    <n v="44"/>
    <n v="0"/>
  </r>
  <r>
    <n v="1993"/>
    <x v="86"/>
    <n v="1017"/>
    <x v="4"/>
    <x v="0"/>
    <x v="3"/>
    <n v="3"/>
    <n v="0"/>
    <s v="Wallet"/>
    <x v="1"/>
    <x v="0"/>
    <n v="9"/>
    <n v="0"/>
    <n v="1"/>
    <s v="Repeat"/>
    <x v="6"/>
    <n v="1"/>
    <n v="0"/>
  </r>
  <r>
    <n v="1994"/>
    <x v="75"/>
    <n v="1513"/>
    <x v="0"/>
    <x v="0"/>
    <x v="2"/>
    <n v="1"/>
    <n v="0"/>
    <s v="COD"/>
    <x v="1"/>
    <x v="3"/>
    <n v="2"/>
    <n v="1"/>
    <n v="0"/>
    <s v="New"/>
    <x v="3"/>
    <n v="52"/>
    <n v="0"/>
  </r>
  <r>
    <n v="1995"/>
    <x v="18"/>
    <n v="1114"/>
    <x v="3"/>
    <x v="3"/>
    <x v="1"/>
    <n v="1"/>
    <n v="0"/>
    <s v="Wallet"/>
    <x v="1"/>
    <x v="2"/>
    <n v="8"/>
    <n v="1"/>
    <n v="0"/>
    <s v="New"/>
    <x v="1"/>
    <n v="36"/>
    <n v="0"/>
  </r>
  <r>
    <n v="1996"/>
    <x v="162"/>
    <n v="1908"/>
    <x v="3"/>
    <x v="1"/>
    <x v="0"/>
    <n v="2"/>
    <n v="0"/>
    <s v="Wallet"/>
    <x v="1"/>
    <x v="2"/>
    <n v="8"/>
    <n v="0"/>
    <n v="1"/>
    <s v="New"/>
    <x v="2"/>
    <n v="43"/>
    <n v="0"/>
  </r>
  <r>
    <n v="1997"/>
    <x v="40"/>
    <n v="1975"/>
    <x v="4"/>
    <x v="3"/>
    <x v="0"/>
    <n v="2"/>
    <n v="5740"/>
    <s v="Card"/>
    <x v="0"/>
    <x v="2"/>
    <n v="9"/>
    <n v="0"/>
    <n v="0"/>
    <s v="Repeat"/>
    <x v="0"/>
    <n v="32"/>
    <n v="1"/>
  </r>
  <r>
    <n v="1998"/>
    <x v="129"/>
    <n v="1977"/>
    <x v="0"/>
    <x v="2"/>
    <x v="3"/>
    <n v="5"/>
    <n v="0"/>
    <s v="COD"/>
    <x v="2"/>
    <x v="1"/>
    <n v="4"/>
    <n v="0"/>
    <n v="1"/>
    <s v="New"/>
    <x v="4"/>
    <n v="46"/>
    <n v="0"/>
  </r>
  <r>
    <n v="1999"/>
    <x v="144"/>
    <n v="1506"/>
    <x v="3"/>
    <x v="4"/>
    <x v="1"/>
    <n v="5"/>
    <n v="0"/>
    <s v="COD"/>
    <x v="1"/>
    <x v="1"/>
    <n v="7"/>
    <n v="1"/>
    <n v="1"/>
    <s v="New"/>
    <x v="3"/>
    <n v="52"/>
    <n v="0"/>
  </r>
  <r>
    <n v="2000"/>
    <x v="7"/>
    <n v="1375"/>
    <x v="2"/>
    <x v="3"/>
    <x v="0"/>
    <n v="5"/>
    <n v="0"/>
    <s v="Wallet"/>
    <x v="1"/>
    <x v="3"/>
    <n v="6"/>
    <n v="1"/>
    <n v="1"/>
    <s v="Repeat"/>
    <x v="3"/>
    <n v="49"/>
    <n v="0"/>
  </r>
  <r>
    <n v="2001"/>
    <x v="14"/>
    <n v="1007"/>
    <x v="3"/>
    <x v="3"/>
    <x v="0"/>
    <n v="1"/>
    <n v="0"/>
    <s v="Wallet"/>
    <x v="2"/>
    <x v="2"/>
    <n v="8"/>
    <n v="0"/>
    <n v="1"/>
    <s v="Repeat"/>
    <x v="0"/>
    <n v="34"/>
    <n v="0"/>
  </r>
  <r>
    <n v="2002"/>
    <x v="161"/>
    <n v="1768"/>
    <x v="0"/>
    <x v="3"/>
    <x v="0"/>
    <n v="2"/>
    <n v="0"/>
    <s v="Wallet"/>
    <x v="1"/>
    <x v="0"/>
    <n v="9"/>
    <n v="1"/>
    <n v="1"/>
    <s v="New"/>
    <x v="2"/>
    <n v="41"/>
    <n v="0"/>
  </r>
  <r>
    <n v="2003"/>
    <x v="163"/>
    <n v="1219"/>
    <x v="3"/>
    <x v="0"/>
    <x v="3"/>
    <n v="3"/>
    <n v="0"/>
    <s v="Wallet"/>
    <x v="2"/>
    <x v="2"/>
    <n v="3"/>
    <n v="1"/>
    <n v="0"/>
    <s v="Repeat"/>
    <x v="4"/>
    <n v="45"/>
    <n v="0"/>
  </r>
  <r>
    <n v="2004"/>
    <x v="42"/>
    <n v="1733"/>
    <x v="0"/>
    <x v="2"/>
    <x v="3"/>
    <n v="5"/>
    <n v="7975"/>
    <s v="Wallet"/>
    <x v="0"/>
    <x v="2"/>
    <n v="3"/>
    <n v="1"/>
    <n v="1"/>
    <s v="New"/>
    <x v="2"/>
    <n v="44"/>
    <n v="1"/>
  </r>
  <r>
    <n v="2005"/>
    <x v="176"/>
    <n v="1409"/>
    <x v="3"/>
    <x v="2"/>
    <x v="2"/>
    <n v="5"/>
    <n v="0"/>
    <s v="COD"/>
    <x v="1"/>
    <x v="1"/>
    <n v="1"/>
    <n v="1"/>
    <n v="1"/>
    <s v="Repeat"/>
    <x v="3"/>
    <n v="51"/>
    <n v="0"/>
  </r>
  <r>
    <n v="2006"/>
    <x v="23"/>
    <n v="1865"/>
    <x v="0"/>
    <x v="1"/>
    <x v="3"/>
    <n v="5"/>
    <n v="0"/>
    <s v="Card"/>
    <x v="1"/>
    <x v="3"/>
    <n v="4"/>
    <n v="0"/>
    <n v="1"/>
    <s v="New"/>
    <x v="3"/>
    <n v="51"/>
    <n v="0"/>
  </r>
  <r>
    <n v="2007"/>
    <x v="50"/>
    <n v="1976"/>
    <x v="1"/>
    <x v="1"/>
    <x v="3"/>
    <n v="3"/>
    <n v="1548"/>
    <s v="Wallet"/>
    <x v="0"/>
    <x v="1"/>
    <n v="7"/>
    <n v="0"/>
    <n v="0"/>
    <s v="Repeat"/>
    <x v="3"/>
    <n v="53"/>
    <n v="1"/>
  </r>
  <r>
    <n v="2008"/>
    <x v="27"/>
    <n v="1417"/>
    <x v="0"/>
    <x v="3"/>
    <x v="1"/>
    <n v="5"/>
    <n v="21920"/>
    <s v="COD"/>
    <x v="0"/>
    <x v="1"/>
    <n v="9"/>
    <n v="1"/>
    <n v="0"/>
    <s v="Repeat"/>
    <x v="1"/>
    <n v="37"/>
    <n v="1"/>
  </r>
  <r>
    <n v="2009"/>
    <x v="62"/>
    <n v="1738"/>
    <x v="2"/>
    <x v="1"/>
    <x v="1"/>
    <n v="5"/>
    <n v="0"/>
    <s v="UPI"/>
    <x v="1"/>
    <x v="3"/>
    <n v="7"/>
    <n v="0"/>
    <n v="0"/>
    <s v="New"/>
    <x v="2"/>
    <n v="43"/>
    <n v="0"/>
  </r>
  <r>
    <n v="2010"/>
    <x v="33"/>
    <n v="1329"/>
    <x v="2"/>
    <x v="0"/>
    <x v="3"/>
    <n v="1"/>
    <n v="0"/>
    <s v="UPI"/>
    <x v="2"/>
    <x v="3"/>
    <n v="8"/>
    <n v="1"/>
    <n v="1"/>
    <s v="New"/>
    <x v="5"/>
    <n v="31"/>
    <n v="0"/>
  </r>
  <r>
    <n v="2011"/>
    <x v="52"/>
    <n v="1891"/>
    <x v="1"/>
    <x v="1"/>
    <x v="3"/>
    <n v="1"/>
    <n v="1427"/>
    <s v="UPI"/>
    <x v="0"/>
    <x v="3"/>
    <n v="5"/>
    <n v="1"/>
    <n v="0"/>
    <s v="Repeat"/>
    <x v="4"/>
    <n v="44"/>
    <n v="1"/>
  </r>
  <r>
    <n v="2012"/>
    <x v="29"/>
    <n v="1590"/>
    <x v="2"/>
    <x v="4"/>
    <x v="2"/>
    <n v="4"/>
    <n v="17368"/>
    <s v="Card"/>
    <x v="0"/>
    <x v="3"/>
    <n v="7"/>
    <n v="1"/>
    <n v="0"/>
    <s v="New"/>
    <x v="1"/>
    <n v="39"/>
    <n v="1"/>
  </r>
  <r>
    <n v="2013"/>
    <x v="54"/>
    <n v="1580"/>
    <x v="1"/>
    <x v="4"/>
    <x v="1"/>
    <n v="5"/>
    <n v="0"/>
    <s v="Card"/>
    <x v="2"/>
    <x v="2"/>
    <n v="2"/>
    <n v="1"/>
    <n v="0"/>
    <s v="Repeat"/>
    <x v="0"/>
    <n v="34"/>
    <n v="0"/>
  </r>
  <r>
    <n v="2014"/>
    <x v="15"/>
    <n v="1832"/>
    <x v="3"/>
    <x v="2"/>
    <x v="0"/>
    <n v="5"/>
    <n v="0"/>
    <s v="COD"/>
    <x v="1"/>
    <x v="1"/>
    <n v="6"/>
    <n v="0"/>
    <n v="0"/>
    <s v="New"/>
    <x v="4"/>
    <n v="47"/>
    <n v="0"/>
  </r>
  <r>
    <n v="2015"/>
    <x v="27"/>
    <n v="1065"/>
    <x v="0"/>
    <x v="1"/>
    <x v="3"/>
    <n v="3"/>
    <n v="0"/>
    <s v="UPI"/>
    <x v="2"/>
    <x v="2"/>
    <n v="6"/>
    <n v="0"/>
    <n v="0"/>
    <s v="New"/>
    <x v="1"/>
    <n v="37"/>
    <n v="0"/>
  </r>
  <r>
    <n v="2016"/>
    <x v="58"/>
    <n v="1431"/>
    <x v="2"/>
    <x v="1"/>
    <x v="3"/>
    <n v="3"/>
    <n v="11274"/>
    <s v="COD"/>
    <x v="0"/>
    <x v="0"/>
    <n v="9"/>
    <n v="0"/>
    <n v="0"/>
    <s v="Repeat"/>
    <x v="5"/>
    <n v="31"/>
    <n v="1"/>
  </r>
  <r>
    <n v="2017"/>
    <x v="15"/>
    <n v="1796"/>
    <x v="1"/>
    <x v="2"/>
    <x v="2"/>
    <n v="5"/>
    <n v="0"/>
    <s v="COD"/>
    <x v="2"/>
    <x v="1"/>
    <n v="9"/>
    <n v="1"/>
    <n v="1"/>
    <s v="Repeat"/>
    <x v="4"/>
    <n v="47"/>
    <n v="0"/>
  </r>
  <r>
    <n v="2018"/>
    <x v="19"/>
    <n v="1132"/>
    <x v="1"/>
    <x v="3"/>
    <x v="2"/>
    <n v="2"/>
    <n v="0"/>
    <s v="Card"/>
    <x v="2"/>
    <x v="1"/>
    <n v="9"/>
    <n v="0"/>
    <n v="0"/>
    <s v="Repeat"/>
    <x v="0"/>
    <n v="33"/>
    <n v="0"/>
  </r>
  <r>
    <n v="2019"/>
    <x v="16"/>
    <n v="1600"/>
    <x v="3"/>
    <x v="0"/>
    <x v="3"/>
    <n v="3"/>
    <n v="12750"/>
    <s v="Card"/>
    <x v="0"/>
    <x v="3"/>
    <n v="9"/>
    <n v="1"/>
    <n v="0"/>
    <s v="New"/>
    <x v="0"/>
    <n v="32"/>
    <n v="1"/>
  </r>
  <r>
    <n v="2020"/>
    <x v="117"/>
    <n v="1048"/>
    <x v="3"/>
    <x v="0"/>
    <x v="0"/>
    <n v="4"/>
    <n v="10752"/>
    <s v="COD"/>
    <x v="0"/>
    <x v="2"/>
    <n v="6"/>
    <n v="0"/>
    <n v="1"/>
    <s v="Repeat"/>
    <x v="5"/>
    <n v="31"/>
    <n v="1"/>
  </r>
  <r>
    <n v="2021"/>
    <x v="96"/>
    <n v="1135"/>
    <x v="0"/>
    <x v="0"/>
    <x v="1"/>
    <n v="2"/>
    <n v="0"/>
    <s v="COD"/>
    <x v="1"/>
    <x v="1"/>
    <n v="10"/>
    <n v="1"/>
    <n v="1"/>
    <s v="New"/>
    <x v="4"/>
    <n v="45"/>
    <n v="0"/>
  </r>
  <r>
    <n v="2022"/>
    <x v="139"/>
    <n v="1931"/>
    <x v="2"/>
    <x v="4"/>
    <x v="2"/>
    <n v="5"/>
    <n v="12815"/>
    <s v="Wallet"/>
    <x v="0"/>
    <x v="0"/>
    <n v="5"/>
    <n v="1"/>
    <n v="1"/>
    <s v="Repeat"/>
    <x v="4"/>
    <n v="45"/>
    <n v="1"/>
  </r>
  <r>
    <n v="2023"/>
    <x v="138"/>
    <n v="1918"/>
    <x v="0"/>
    <x v="1"/>
    <x v="0"/>
    <n v="4"/>
    <n v="3500"/>
    <s v="Wallet"/>
    <x v="0"/>
    <x v="0"/>
    <n v="4"/>
    <n v="0"/>
    <n v="0"/>
    <s v="New"/>
    <x v="2"/>
    <n v="44"/>
    <n v="1"/>
  </r>
  <r>
    <n v="2024"/>
    <x v="79"/>
    <n v="1184"/>
    <x v="1"/>
    <x v="0"/>
    <x v="3"/>
    <n v="2"/>
    <n v="1054"/>
    <s v="UPI"/>
    <x v="0"/>
    <x v="3"/>
    <n v="5"/>
    <n v="1"/>
    <n v="0"/>
    <s v="New"/>
    <x v="1"/>
    <n v="36"/>
    <n v="1"/>
  </r>
  <r>
    <n v="2025"/>
    <x v="145"/>
    <n v="1937"/>
    <x v="1"/>
    <x v="1"/>
    <x v="2"/>
    <n v="2"/>
    <n v="3018"/>
    <s v="Wallet"/>
    <x v="0"/>
    <x v="1"/>
    <n v="2"/>
    <n v="0"/>
    <n v="0"/>
    <s v="New"/>
    <x v="4"/>
    <n v="48"/>
    <n v="1"/>
  </r>
  <r>
    <n v="2026"/>
    <x v="30"/>
    <n v="1040"/>
    <x v="2"/>
    <x v="3"/>
    <x v="2"/>
    <n v="5"/>
    <n v="0"/>
    <s v="Card"/>
    <x v="1"/>
    <x v="3"/>
    <n v="7"/>
    <n v="1"/>
    <n v="1"/>
    <s v="Repeat"/>
    <x v="3"/>
    <n v="51"/>
    <n v="0"/>
  </r>
  <r>
    <n v="2027"/>
    <x v="97"/>
    <n v="1080"/>
    <x v="4"/>
    <x v="4"/>
    <x v="3"/>
    <n v="2"/>
    <n v="4670"/>
    <s v="UPI"/>
    <x v="0"/>
    <x v="0"/>
    <n v="1"/>
    <n v="0"/>
    <n v="1"/>
    <s v="New"/>
    <x v="1"/>
    <n v="40"/>
    <n v="1"/>
  </r>
  <r>
    <n v="2028"/>
    <x v="49"/>
    <n v="1785"/>
    <x v="4"/>
    <x v="4"/>
    <x v="0"/>
    <n v="1"/>
    <n v="0"/>
    <s v="UPI"/>
    <x v="1"/>
    <x v="0"/>
    <n v="8"/>
    <n v="0"/>
    <n v="1"/>
    <s v="New"/>
    <x v="0"/>
    <n v="36"/>
    <n v="0"/>
  </r>
  <r>
    <n v="2029"/>
    <x v="126"/>
    <n v="1404"/>
    <x v="2"/>
    <x v="0"/>
    <x v="2"/>
    <n v="1"/>
    <n v="0"/>
    <s v="COD"/>
    <x v="2"/>
    <x v="0"/>
    <n v="8"/>
    <n v="0"/>
    <n v="1"/>
    <s v="Repeat"/>
    <x v="4"/>
    <n v="46"/>
    <n v="0"/>
  </r>
  <r>
    <n v="2030"/>
    <x v="83"/>
    <n v="1108"/>
    <x v="2"/>
    <x v="1"/>
    <x v="2"/>
    <n v="5"/>
    <n v="8910"/>
    <s v="COD"/>
    <x v="0"/>
    <x v="2"/>
    <n v="5"/>
    <n v="1"/>
    <n v="1"/>
    <s v="Repeat"/>
    <x v="1"/>
    <n v="36"/>
    <n v="1"/>
  </r>
  <r>
    <n v="2031"/>
    <x v="52"/>
    <n v="1541"/>
    <x v="4"/>
    <x v="4"/>
    <x v="2"/>
    <n v="2"/>
    <n v="0"/>
    <s v="COD"/>
    <x v="2"/>
    <x v="2"/>
    <n v="8"/>
    <n v="1"/>
    <n v="0"/>
    <s v="New"/>
    <x v="4"/>
    <n v="44"/>
    <n v="0"/>
  </r>
  <r>
    <n v="2032"/>
    <x v="83"/>
    <n v="1295"/>
    <x v="3"/>
    <x v="3"/>
    <x v="3"/>
    <n v="1"/>
    <n v="1604"/>
    <s v="UPI"/>
    <x v="0"/>
    <x v="2"/>
    <n v="1"/>
    <n v="1"/>
    <n v="1"/>
    <s v="Repeat"/>
    <x v="1"/>
    <n v="36"/>
    <n v="1"/>
  </r>
  <r>
    <n v="2033"/>
    <x v="144"/>
    <n v="1141"/>
    <x v="3"/>
    <x v="2"/>
    <x v="1"/>
    <n v="2"/>
    <n v="0"/>
    <s v="Wallet"/>
    <x v="1"/>
    <x v="2"/>
    <n v="10"/>
    <n v="0"/>
    <n v="1"/>
    <s v="New"/>
    <x v="3"/>
    <n v="52"/>
    <n v="0"/>
  </r>
  <r>
    <n v="2034"/>
    <x v="37"/>
    <n v="1199"/>
    <x v="4"/>
    <x v="2"/>
    <x v="1"/>
    <n v="3"/>
    <n v="1881"/>
    <s v="COD"/>
    <x v="0"/>
    <x v="3"/>
    <n v="7"/>
    <n v="0"/>
    <n v="1"/>
    <s v="New"/>
    <x v="4"/>
    <n v="46"/>
    <n v="1"/>
  </r>
  <r>
    <n v="2035"/>
    <x v="10"/>
    <n v="1127"/>
    <x v="1"/>
    <x v="0"/>
    <x v="2"/>
    <n v="5"/>
    <n v="13520"/>
    <s v="Wallet"/>
    <x v="0"/>
    <x v="3"/>
    <n v="10"/>
    <n v="0"/>
    <n v="1"/>
    <s v="Repeat"/>
    <x v="3"/>
    <n v="49"/>
    <n v="1"/>
  </r>
  <r>
    <n v="2036"/>
    <x v="143"/>
    <n v="1173"/>
    <x v="1"/>
    <x v="3"/>
    <x v="3"/>
    <n v="2"/>
    <n v="0"/>
    <s v="UPI"/>
    <x v="2"/>
    <x v="3"/>
    <n v="1"/>
    <n v="0"/>
    <n v="0"/>
    <s v="New"/>
    <x v="2"/>
    <n v="43"/>
    <n v="0"/>
  </r>
  <r>
    <n v="2037"/>
    <x v="15"/>
    <n v="1363"/>
    <x v="1"/>
    <x v="4"/>
    <x v="2"/>
    <n v="2"/>
    <n v="0"/>
    <s v="COD"/>
    <x v="2"/>
    <x v="1"/>
    <n v="3"/>
    <n v="0"/>
    <n v="0"/>
    <s v="New"/>
    <x v="4"/>
    <n v="47"/>
    <n v="0"/>
  </r>
  <r>
    <n v="2038"/>
    <x v="128"/>
    <n v="1901"/>
    <x v="2"/>
    <x v="0"/>
    <x v="3"/>
    <n v="3"/>
    <n v="4113"/>
    <s v="COD"/>
    <x v="0"/>
    <x v="3"/>
    <n v="10"/>
    <n v="0"/>
    <n v="1"/>
    <s v="Repeat"/>
    <x v="1"/>
    <n v="39"/>
    <n v="1"/>
  </r>
  <r>
    <n v="2039"/>
    <x v="113"/>
    <n v="1964"/>
    <x v="4"/>
    <x v="3"/>
    <x v="0"/>
    <n v="5"/>
    <n v="0"/>
    <s v="UPI"/>
    <x v="2"/>
    <x v="0"/>
    <n v="9"/>
    <n v="0"/>
    <n v="1"/>
    <s v="Repeat"/>
    <x v="0"/>
    <n v="33"/>
    <n v="0"/>
  </r>
  <r>
    <n v="2040"/>
    <x v="55"/>
    <n v="1443"/>
    <x v="3"/>
    <x v="3"/>
    <x v="3"/>
    <n v="2"/>
    <n v="5976"/>
    <s v="COD"/>
    <x v="0"/>
    <x v="1"/>
    <n v="6"/>
    <n v="1"/>
    <n v="1"/>
    <s v="Repeat"/>
    <x v="1"/>
    <n v="37"/>
    <n v="1"/>
  </r>
  <r>
    <n v="2041"/>
    <x v="121"/>
    <n v="1090"/>
    <x v="4"/>
    <x v="4"/>
    <x v="0"/>
    <n v="3"/>
    <n v="0"/>
    <s v="UPI"/>
    <x v="2"/>
    <x v="1"/>
    <n v="3"/>
    <n v="0"/>
    <n v="1"/>
    <s v="Repeat"/>
    <x v="1"/>
    <n v="37"/>
    <n v="0"/>
  </r>
  <r>
    <n v="2042"/>
    <x v="27"/>
    <n v="1254"/>
    <x v="3"/>
    <x v="2"/>
    <x v="0"/>
    <n v="2"/>
    <n v="0"/>
    <s v="UPI"/>
    <x v="2"/>
    <x v="1"/>
    <n v="2"/>
    <n v="1"/>
    <n v="0"/>
    <s v="Repeat"/>
    <x v="1"/>
    <n v="37"/>
    <n v="0"/>
  </r>
  <r>
    <n v="2043"/>
    <x v="169"/>
    <n v="1829"/>
    <x v="2"/>
    <x v="2"/>
    <x v="1"/>
    <n v="2"/>
    <n v="0"/>
    <s v="COD"/>
    <x v="2"/>
    <x v="2"/>
    <n v="5"/>
    <n v="0"/>
    <n v="1"/>
    <s v="New"/>
    <x v="2"/>
    <n v="43"/>
    <n v="0"/>
  </r>
  <r>
    <n v="2044"/>
    <x v="123"/>
    <n v="1925"/>
    <x v="0"/>
    <x v="0"/>
    <x v="3"/>
    <n v="5"/>
    <n v="0"/>
    <s v="Card"/>
    <x v="1"/>
    <x v="1"/>
    <n v="7"/>
    <n v="0"/>
    <n v="0"/>
    <s v="New"/>
    <x v="0"/>
    <n v="34"/>
    <n v="0"/>
  </r>
  <r>
    <n v="2045"/>
    <x v="94"/>
    <n v="1628"/>
    <x v="1"/>
    <x v="4"/>
    <x v="0"/>
    <n v="4"/>
    <n v="0"/>
    <s v="Wallet"/>
    <x v="1"/>
    <x v="1"/>
    <n v="5"/>
    <n v="1"/>
    <n v="0"/>
    <s v="New"/>
    <x v="1"/>
    <n v="40"/>
    <n v="0"/>
  </r>
  <r>
    <n v="2046"/>
    <x v="157"/>
    <n v="1222"/>
    <x v="4"/>
    <x v="2"/>
    <x v="0"/>
    <n v="5"/>
    <n v="0"/>
    <s v="Wallet"/>
    <x v="1"/>
    <x v="0"/>
    <n v="5"/>
    <n v="0"/>
    <n v="1"/>
    <s v="Repeat"/>
    <x v="2"/>
    <n v="41"/>
    <n v="0"/>
  </r>
  <r>
    <n v="2047"/>
    <x v="139"/>
    <n v="1789"/>
    <x v="4"/>
    <x v="3"/>
    <x v="1"/>
    <n v="1"/>
    <n v="0"/>
    <s v="Card"/>
    <x v="1"/>
    <x v="2"/>
    <n v="3"/>
    <n v="1"/>
    <n v="1"/>
    <s v="New"/>
    <x v="4"/>
    <n v="45"/>
    <n v="0"/>
  </r>
  <r>
    <n v="2048"/>
    <x v="63"/>
    <n v="1349"/>
    <x v="3"/>
    <x v="0"/>
    <x v="0"/>
    <n v="3"/>
    <n v="0"/>
    <s v="Wallet"/>
    <x v="1"/>
    <x v="2"/>
    <n v="6"/>
    <n v="0"/>
    <n v="0"/>
    <s v="Repeat"/>
    <x v="5"/>
    <n v="29"/>
    <n v="0"/>
  </r>
  <r>
    <n v="2049"/>
    <x v="149"/>
    <n v="1309"/>
    <x v="1"/>
    <x v="2"/>
    <x v="2"/>
    <n v="1"/>
    <n v="343"/>
    <s v="UPI"/>
    <x v="0"/>
    <x v="2"/>
    <n v="10"/>
    <n v="0"/>
    <n v="1"/>
    <s v="Repeat"/>
    <x v="3"/>
    <n v="49"/>
    <n v="1"/>
  </r>
  <r>
    <n v="2050"/>
    <x v="14"/>
    <n v="1982"/>
    <x v="3"/>
    <x v="0"/>
    <x v="0"/>
    <n v="2"/>
    <n v="6918"/>
    <s v="Wallet"/>
    <x v="0"/>
    <x v="0"/>
    <n v="9"/>
    <n v="0"/>
    <n v="0"/>
    <s v="Repeat"/>
    <x v="0"/>
    <n v="34"/>
    <n v="1"/>
  </r>
  <r>
    <n v="2051"/>
    <x v="50"/>
    <n v="1513"/>
    <x v="0"/>
    <x v="4"/>
    <x v="3"/>
    <n v="5"/>
    <n v="0"/>
    <s v="Card"/>
    <x v="2"/>
    <x v="0"/>
    <n v="7"/>
    <n v="1"/>
    <n v="0"/>
    <s v="New"/>
    <x v="3"/>
    <n v="53"/>
    <n v="0"/>
  </r>
  <r>
    <n v="2052"/>
    <x v="88"/>
    <n v="1757"/>
    <x v="1"/>
    <x v="4"/>
    <x v="0"/>
    <n v="4"/>
    <n v="0"/>
    <s v="UPI"/>
    <x v="1"/>
    <x v="3"/>
    <n v="7"/>
    <n v="0"/>
    <n v="0"/>
    <s v="Repeat"/>
    <x v="1"/>
    <n v="37"/>
    <n v="0"/>
  </r>
  <r>
    <n v="2053"/>
    <x v="162"/>
    <n v="1772"/>
    <x v="4"/>
    <x v="0"/>
    <x v="1"/>
    <n v="5"/>
    <n v="9240"/>
    <s v="COD"/>
    <x v="0"/>
    <x v="3"/>
    <n v="4"/>
    <n v="0"/>
    <n v="0"/>
    <s v="New"/>
    <x v="2"/>
    <n v="43"/>
    <n v="1"/>
  </r>
  <r>
    <n v="2054"/>
    <x v="92"/>
    <n v="1078"/>
    <x v="1"/>
    <x v="2"/>
    <x v="1"/>
    <n v="4"/>
    <n v="1356"/>
    <s v="Wallet"/>
    <x v="0"/>
    <x v="1"/>
    <n v="6"/>
    <n v="1"/>
    <n v="0"/>
    <s v="New"/>
    <x v="3"/>
    <n v="53"/>
    <n v="1"/>
  </r>
  <r>
    <n v="2055"/>
    <x v="100"/>
    <n v="1980"/>
    <x v="2"/>
    <x v="3"/>
    <x v="0"/>
    <n v="5"/>
    <n v="0"/>
    <s v="COD"/>
    <x v="1"/>
    <x v="1"/>
    <n v="2"/>
    <n v="1"/>
    <n v="0"/>
    <s v="Repeat"/>
    <x v="1"/>
    <n v="37"/>
    <n v="0"/>
  </r>
  <r>
    <n v="2056"/>
    <x v="110"/>
    <n v="1096"/>
    <x v="0"/>
    <x v="3"/>
    <x v="2"/>
    <n v="1"/>
    <n v="0"/>
    <s v="UPI"/>
    <x v="2"/>
    <x v="2"/>
    <n v="7"/>
    <n v="0"/>
    <n v="1"/>
    <s v="New"/>
    <x v="3"/>
    <n v="52"/>
    <n v="0"/>
  </r>
  <r>
    <n v="2057"/>
    <x v="149"/>
    <n v="1111"/>
    <x v="4"/>
    <x v="0"/>
    <x v="2"/>
    <n v="5"/>
    <n v="4955"/>
    <s v="COD"/>
    <x v="0"/>
    <x v="2"/>
    <n v="1"/>
    <n v="1"/>
    <n v="1"/>
    <s v="New"/>
    <x v="3"/>
    <n v="49"/>
    <n v="1"/>
  </r>
  <r>
    <n v="2058"/>
    <x v="95"/>
    <n v="1228"/>
    <x v="2"/>
    <x v="4"/>
    <x v="1"/>
    <n v="3"/>
    <n v="0"/>
    <s v="Wallet"/>
    <x v="1"/>
    <x v="1"/>
    <n v="1"/>
    <n v="0"/>
    <n v="0"/>
    <s v="Repeat"/>
    <x v="4"/>
    <n v="47"/>
    <n v="0"/>
  </r>
  <r>
    <n v="2059"/>
    <x v="4"/>
    <n v="1986"/>
    <x v="4"/>
    <x v="0"/>
    <x v="1"/>
    <n v="3"/>
    <n v="0"/>
    <s v="UPI"/>
    <x v="1"/>
    <x v="2"/>
    <n v="10"/>
    <n v="0"/>
    <n v="0"/>
    <s v="New"/>
    <x v="3"/>
    <n v="50"/>
    <n v="0"/>
  </r>
  <r>
    <n v="2060"/>
    <x v="40"/>
    <n v="1986"/>
    <x v="1"/>
    <x v="4"/>
    <x v="3"/>
    <n v="5"/>
    <n v="16565"/>
    <s v="UPI"/>
    <x v="0"/>
    <x v="0"/>
    <n v="9"/>
    <n v="1"/>
    <n v="1"/>
    <s v="New"/>
    <x v="0"/>
    <n v="32"/>
    <n v="1"/>
  </r>
  <r>
    <n v="2061"/>
    <x v="168"/>
    <n v="1971"/>
    <x v="0"/>
    <x v="0"/>
    <x v="3"/>
    <n v="4"/>
    <n v="0"/>
    <s v="UPI"/>
    <x v="1"/>
    <x v="3"/>
    <n v="1"/>
    <n v="0"/>
    <n v="1"/>
    <s v="Repeat"/>
    <x v="6"/>
    <n v="1"/>
    <n v="0"/>
  </r>
  <r>
    <n v="2062"/>
    <x v="156"/>
    <n v="1436"/>
    <x v="1"/>
    <x v="3"/>
    <x v="1"/>
    <n v="2"/>
    <n v="0"/>
    <s v="UPI"/>
    <x v="2"/>
    <x v="2"/>
    <n v="4"/>
    <n v="0"/>
    <n v="1"/>
    <s v="New"/>
    <x v="6"/>
    <n v="2"/>
    <n v="0"/>
  </r>
  <r>
    <n v="2063"/>
    <x v="115"/>
    <n v="1971"/>
    <x v="1"/>
    <x v="3"/>
    <x v="0"/>
    <n v="3"/>
    <n v="7041"/>
    <s v="UPI"/>
    <x v="0"/>
    <x v="1"/>
    <n v="4"/>
    <n v="0"/>
    <n v="0"/>
    <s v="Repeat"/>
    <x v="4"/>
    <n v="48"/>
    <n v="1"/>
  </r>
  <r>
    <n v="2064"/>
    <x v="94"/>
    <n v="1252"/>
    <x v="4"/>
    <x v="3"/>
    <x v="0"/>
    <n v="5"/>
    <n v="0"/>
    <s v="UPI"/>
    <x v="2"/>
    <x v="3"/>
    <n v="7"/>
    <n v="0"/>
    <n v="0"/>
    <s v="New"/>
    <x v="1"/>
    <n v="40"/>
    <n v="0"/>
  </r>
  <r>
    <n v="2065"/>
    <x v="52"/>
    <n v="1914"/>
    <x v="1"/>
    <x v="2"/>
    <x v="3"/>
    <n v="3"/>
    <n v="0"/>
    <s v="UPI"/>
    <x v="1"/>
    <x v="0"/>
    <n v="9"/>
    <n v="0"/>
    <n v="0"/>
    <s v="Repeat"/>
    <x v="4"/>
    <n v="44"/>
    <n v="0"/>
  </r>
  <r>
    <n v="2066"/>
    <x v="131"/>
    <n v="1913"/>
    <x v="3"/>
    <x v="2"/>
    <x v="2"/>
    <n v="4"/>
    <n v="9696"/>
    <s v="COD"/>
    <x v="0"/>
    <x v="0"/>
    <n v="1"/>
    <n v="1"/>
    <n v="0"/>
    <s v="New"/>
    <x v="4"/>
    <n v="47"/>
    <n v="1"/>
  </r>
  <r>
    <n v="2067"/>
    <x v="112"/>
    <n v="1504"/>
    <x v="0"/>
    <x v="4"/>
    <x v="2"/>
    <n v="4"/>
    <n v="0"/>
    <s v="COD"/>
    <x v="1"/>
    <x v="3"/>
    <n v="7"/>
    <n v="1"/>
    <n v="0"/>
    <s v="New"/>
    <x v="5"/>
    <n v="30"/>
    <n v="0"/>
  </r>
  <r>
    <n v="2068"/>
    <x v="85"/>
    <n v="1743"/>
    <x v="0"/>
    <x v="3"/>
    <x v="1"/>
    <n v="1"/>
    <n v="3526"/>
    <s v="UPI"/>
    <x v="0"/>
    <x v="2"/>
    <n v="9"/>
    <n v="0"/>
    <n v="0"/>
    <s v="Repeat"/>
    <x v="3"/>
    <n v="50"/>
    <n v="1"/>
  </r>
  <r>
    <n v="2069"/>
    <x v="48"/>
    <n v="1296"/>
    <x v="1"/>
    <x v="3"/>
    <x v="1"/>
    <n v="4"/>
    <n v="15696"/>
    <s v="Card"/>
    <x v="0"/>
    <x v="0"/>
    <n v="3"/>
    <n v="0"/>
    <n v="0"/>
    <s v="New"/>
    <x v="3"/>
    <n v="50"/>
    <n v="1"/>
  </r>
  <r>
    <n v="2070"/>
    <x v="134"/>
    <n v="1422"/>
    <x v="0"/>
    <x v="2"/>
    <x v="3"/>
    <n v="5"/>
    <n v="16630"/>
    <s v="Card"/>
    <x v="0"/>
    <x v="2"/>
    <n v="6"/>
    <n v="0"/>
    <n v="0"/>
    <s v="New"/>
    <x v="3"/>
    <n v="51"/>
    <n v="1"/>
  </r>
  <r>
    <n v="2071"/>
    <x v="55"/>
    <n v="1533"/>
    <x v="0"/>
    <x v="4"/>
    <x v="3"/>
    <n v="1"/>
    <n v="2685"/>
    <s v="Wallet"/>
    <x v="0"/>
    <x v="2"/>
    <n v="1"/>
    <n v="0"/>
    <n v="1"/>
    <s v="New"/>
    <x v="1"/>
    <n v="37"/>
    <n v="1"/>
  </r>
  <r>
    <n v="2072"/>
    <x v="166"/>
    <n v="1642"/>
    <x v="4"/>
    <x v="0"/>
    <x v="0"/>
    <n v="2"/>
    <n v="5442"/>
    <s v="Wallet"/>
    <x v="0"/>
    <x v="2"/>
    <n v="4"/>
    <n v="1"/>
    <n v="0"/>
    <s v="Repeat"/>
    <x v="1"/>
    <n v="39"/>
    <n v="1"/>
  </r>
  <r>
    <n v="2073"/>
    <x v="42"/>
    <n v="1055"/>
    <x v="1"/>
    <x v="3"/>
    <x v="3"/>
    <n v="1"/>
    <n v="3394"/>
    <s v="COD"/>
    <x v="0"/>
    <x v="1"/>
    <n v="8"/>
    <n v="1"/>
    <n v="0"/>
    <s v="New"/>
    <x v="2"/>
    <n v="44"/>
    <n v="1"/>
  </r>
  <r>
    <n v="2074"/>
    <x v="99"/>
    <n v="1983"/>
    <x v="3"/>
    <x v="1"/>
    <x v="2"/>
    <n v="2"/>
    <n v="0"/>
    <s v="UPI"/>
    <x v="1"/>
    <x v="2"/>
    <n v="6"/>
    <n v="0"/>
    <n v="0"/>
    <s v="Repeat"/>
    <x v="4"/>
    <n v="48"/>
    <n v="0"/>
  </r>
  <r>
    <n v="2075"/>
    <x v="78"/>
    <n v="1809"/>
    <x v="1"/>
    <x v="4"/>
    <x v="2"/>
    <n v="2"/>
    <n v="0"/>
    <s v="UPI"/>
    <x v="1"/>
    <x v="2"/>
    <n v="3"/>
    <n v="1"/>
    <n v="1"/>
    <s v="Repeat"/>
    <x v="3"/>
    <n v="52"/>
    <n v="0"/>
  </r>
  <r>
    <n v="2076"/>
    <x v="36"/>
    <n v="1766"/>
    <x v="0"/>
    <x v="4"/>
    <x v="0"/>
    <n v="2"/>
    <n v="2502"/>
    <s v="UPI"/>
    <x v="0"/>
    <x v="2"/>
    <n v="9"/>
    <n v="1"/>
    <n v="0"/>
    <s v="Repeat"/>
    <x v="2"/>
    <n v="44"/>
    <n v="1"/>
  </r>
  <r>
    <n v="2077"/>
    <x v="164"/>
    <n v="1919"/>
    <x v="4"/>
    <x v="1"/>
    <x v="2"/>
    <n v="3"/>
    <n v="3444"/>
    <s v="Card"/>
    <x v="0"/>
    <x v="0"/>
    <n v="7"/>
    <n v="1"/>
    <n v="1"/>
    <s v="New"/>
    <x v="0"/>
    <n v="34"/>
    <n v="1"/>
  </r>
  <r>
    <n v="2078"/>
    <x v="136"/>
    <n v="1653"/>
    <x v="2"/>
    <x v="4"/>
    <x v="0"/>
    <n v="4"/>
    <n v="0"/>
    <s v="Card"/>
    <x v="1"/>
    <x v="3"/>
    <n v="2"/>
    <n v="0"/>
    <n v="1"/>
    <s v="New"/>
    <x v="2"/>
    <n v="40"/>
    <n v="0"/>
  </r>
  <r>
    <n v="2079"/>
    <x v="141"/>
    <n v="1831"/>
    <x v="0"/>
    <x v="2"/>
    <x v="2"/>
    <n v="1"/>
    <n v="0"/>
    <s v="UPI"/>
    <x v="2"/>
    <x v="3"/>
    <n v="8"/>
    <n v="1"/>
    <n v="0"/>
    <s v="Repeat"/>
    <x v="1"/>
    <n v="39"/>
    <n v="0"/>
  </r>
  <r>
    <n v="2080"/>
    <x v="154"/>
    <n v="1907"/>
    <x v="3"/>
    <x v="0"/>
    <x v="2"/>
    <n v="2"/>
    <n v="0"/>
    <s v="COD"/>
    <x v="2"/>
    <x v="2"/>
    <n v="4"/>
    <n v="1"/>
    <n v="1"/>
    <s v="New"/>
    <x v="2"/>
    <n v="42"/>
    <n v="0"/>
  </r>
  <r>
    <n v="2081"/>
    <x v="107"/>
    <n v="1505"/>
    <x v="4"/>
    <x v="1"/>
    <x v="3"/>
    <n v="2"/>
    <n v="0"/>
    <s v="Wallet"/>
    <x v="1"/>
    <x v="3"/>
    <n v="7"/>
    <n v="0"/>
    <n v="0"/>
    <s v="New"/>
    <x v="4"/>
    <n v="45"/>
    <n v="0"/>
  </r>
  <r>
    <n v="2082"/>
    <x v="70"/>
    <n v="1516"/>
    <x v="0"/>
    <x v="2"/>
    <x v="2"/>
    <n v="5"/>
    <n v="0"/>
    <s v="UPI"/>
    <x v="1"/>
    <x v="0"/>
    <n v="8"/>
    <n v="1"/>
    <n v="0"/>
    <s v="Repeat"/>
    <x v="2"/>
    <n v="40"/>
    <n v="0"/>
  </r>
  <r>
    <n v="2083"/>
    <x v="99"/>
    <n v="1149"/>
    <x v="1"/>
    <x v="2"/>
    <x v="3"/>
    <n v="1"/>
    <n v="0"/>
    <s v="COD"/>
    <x v="2"/>
    <x v="0"/>
    <n v="10"/>
    <n v="0"/>
    <n v="1"/>
    <s v="Repeat"/>
    <x v="4"/>
    <n v="48"/>
    <n v="0"/>
  </r>
  <r>
    <n v="2084"/>
    <x v="34"/>
    <n v="1713"/>
    <x v="3"/>
    <x v="0"/>
    <x v="0"/>
    <n v="1"/>
    <n v="0"/>
    <s v="UPI"/>
    <x v="2"/>
    <x v="3"/>
    <n v="6"/>
    <n v="0"/>
    <n v="0"/>
    <s v="Repeat"/>
    <x v="3"/>
    <n v="51"/>
    <n v="0"/>
  </r>
  <r>
    <n v="2085"/>
    <x v="110"/>
    <n v="1903"/>
    <x v="0"/>
    <x v="4"/>
    <x v="0"/>
    <n v="1"/>
    <n v="2833"/>
    <s v="Wallet"/>
    <x v="0"/>
    <x v="0"/>
    <n v="3"/>
    <n v="0"/>
    <n v="0"/>
    <s v="New"/>
    <x v="3"/>
    <n v="52"/>
    <n v="1"/>
  </r>
  <r>
    <n v="2086"/>
    <x v="105"/>
    <n v="1089"/>
    <x v="2"/>
    <x v="2"/>
    <x v="2"/>
    <n v="3"/>
    <n v="0"/>
    <s v="COD"/>
    <x v="2"/>
    <x v="3"/>
    <n v="9"/>
    <n v="0"/>
    <n v="1"/>
    <s v="Repeat"/>
    <x v="3"/>
    <n v="52"/>
    <n v="0"/>
  </r>
  <r>
    <n v="2087"/>
    <x v="177"/>
    <n v="1463"/>
    <x v="1"/>
    <x v="1"/>
    <x v="2"/>
    <n v="3"/>
    <n v="0"/>
    <s v="Card"/>
    <x v="1"/>
    <x v="1"/>
    <n v="8"/>
    <n v="1"/>
    <n v="0"/>
    <s v="New"/>
    <x v="4"/>
    <n v="45"/>
    <n v="0"/>
  </r>
  <r>
    <n v="2088"/>
    <x v="167"/>
    <n v="1061"/>
    <x v="2"/>
    <x v="1"/>
    <x v="3"/>
    <n v="1"/>
    <n v="0"/>
    <s v="Card"/>
    <x v="2"/>
    <x v="3"/>
    <n v="9"/>
    <n v="1"/>
    <n v="0"/>
    <s v="Repeat"/>
    <x v="0"/>
    <n v="35"/>
    <n v="0"/>
  </r>
  <r>
    <n v="2089"/>
    <x v="76"/>
    <n v="1653"/>
    <x v="2"/>
    <x v="3"/>
    <x v="1"/>
    <n v="5"/>
    <n v="12765"/>
    <s v="Wallet"/>
    <x v="0"/>
    <x v="3"/>
    <n v="4"/>
    <n v="0"/>
    <n v="1"/>
    <s v="Repeat"/>
    <x v="3"/>
    <n v="50"/>
    <n v="1"/>
  </r>
  <r>
    <n v="2090"/>
    <x v="72"/>
    <n v="1714"/>
    <x v="1"/>
    <x v="2"/>
    <x v="3"/>
    <n v="4"/>
    <n v="0"/>
    <s v="Wallet"/>
    <x v="2"/>
    <x v="1"/>
    <n v="6"/>
    <n v="1"/>
    <n v="0"/>
    <s v="Repeat"/>
    <x v="2"/>
    <n v="41"/>
    <n v="0"/>
  </r>
  <r>
    <n v="2091"/>
    <x v="180"/>
    <n v="1526"/>
    <x v="1"/>
    <x v="0"/>
    <x v="1"/>
    <n v="1"/>
    <n v="0"/>
    <s v="COD"/>
    <x v="1"/>
    <x v="2"/>
    <n v="1"/>
    <n v="0"/>
    <n v="0"/>
    <s v="Repeat"/>
    <x v="4"/>
    <n v="46"/>
    <n v="0"/>
  </r>
  <r>
    <n v="2092"/>
    <x v="38"/>
    <n v="1554"/>
    <x v="4"/>
    <x v="4"/>
    <x v="1"/>
    <n v="4"/>
    <n v="0"/>
    <s v="Card"/>
    <x v="1"/>
    <x v="0"/>
    <n v="2"/>
    <n v="0"/>
    <n v="0"/>
    <s v="New"/>
    <x v="1"/>
    <n v="39"/>
    <n v="0"/>
  </r>
  <r>
    <n v="2093"/>
    <x v="131"/>
    <n v="1738"/>
    <x v="1"/>
    <x v="3"/>
    <x v="3"/>
    <n v="2"/>
    <n v="0"/>
    <s v="UPI"/>
    <x v="2"/>
    <x v="2"/>
    <n v="4"/>
    <n v="0"/>
    <n v="1"/>
    <s v="New"/>
    <x v="4"/>
    <n v="47"/>
    <n v="0"/>
  </r>
  <r>
    <n v="2094"/>
    <x v="30"/>
    <n v="1252"/>
    <x v="3"/>
    <x v="0"/>
    <x v="2"/>
    <n v="5"/>
    <n v="0"/>
    <s v="COD"/>
    <x v="1"/>
    <x v="0"/>
    <n v="10"/>
    <n v="1"/>
    <n v="1"/>
    <s v="Repeat"/>
    <x v="3"/>
    <n v="51"/>
    <n v="0"/>
  </r>
  <r>
    <n v="2095"/>
    <x v="69"/>
    <n v="1246"/>
    <x v="3"/>
    <x v="4"/>
    <x v="3"/>
    <n v="4"/>
    <n v="0"/>
    <s v="Wallet"/>
    <x v="1"/>
    <x v="3"/>
    <n v="7"/>
    <n v="0"/>
    <n v="1"/>
    <s v="New"/>
    <x v="2"/>
    <n v="40"/>
    <n v="0"/>
  </r>
  <r>
    <n v="2096"/>
    <x v="19"/>
    <n v="1525"/>
    <x v="1"/>
    <x v="3"/>
    <x v="3"/>
    <n v="5"/>
    <n v="0"/>
    <s v="UPI"/>
    <x v="2"/>
    <x v="0"/>
    <n v="4"/>
    <n v="1"/>
    <n v="0"/>
    <s v="Repeat"/>
    <x v="0"/>
    <n v="33"/>
    <n v="0"/>
  </r>
  <r>
    <n v="2097"/>
    <x v="154"/>
    <n v="1198"/>
    <x v="3"/>
    <x v="4"/>
    <x v="1"/>
    <n v="5"/>
    <n v="0"/>
    <s v="COD"/>
    <x v="1"/>
    <x v="0"/>
    <n v="9"/>
    <n v="0"/>
    <n v="1"/>
    <s v="New"/>
    <x v="2"/>
    <n v="42"/>
    <n v="0"/>
  </r>
  <r>
    <n v="2098"/>
    <x v="180"/>
    <n v="1195"/>
    <x v="0"/>
    <x v="3"/>
    <x v="3"/>
    <n v="1"/>
    <n v="2310"/>
    <s v="Card"/>
    <x v="0"/>
    <x v="3"/>
    <n v="10"/>
    <n v="0"/>
    <n v="0"/>
    <s v="New"/>
    <x v="4"/>
    <n v="46"/>
    <n v="1"/>
  </r>
  <r>
    <n v="2099"/>
    <x v="163"/>
    <n v="1439"/>
    <x v="3"/>
    <x v="3"/>
    <x v="3"/>
    <n v="1"/>
    <n v="3225"/>
    <s v="Card"/>
    <x v="0"/>
    <x v="2"/>
    <n v="5"/>
    <n v="0"/>
    <n v="0"/>
    <s v="New"/>
    <x v="4"/>
    <n v="45"/>
    <n v="1"/>
  </r>
  <r>
    <n v="2100"/>
    <x v="27"/>
    <n v="1039"/>
    <x v="0"/>
    <x v="3"/>
    <x v="1"/>
    <n v="2"/>
    <n v="0"/>
    <s v="COD"/>
    <x v="1"/>
    <x v="1"/>
    <n v="4"/>
    <n v="0"/>
    <n v="1"/>
    <s v="Repeat"/>
    <x v="1"/>
    <n v="37"/>
    <n v="0"/>
  </r>
  <r>
    <n v="2101"/>
    <x v="86"/>
    <n v="1037"/>
    <x v="2"/>
    <x v="2"/>
    <x v="1"/>
    <n v="3"/>
    <n v="0"/>
    <s v="Wallet"/>
    <x v="1"/>
    <x v="3"/>
    <n v="2"/>
    <n v="1"/>
    <n v="1"/>
    <s v="Repeat"/>
    <x v="6"/>
    <n v="1"/>
    <n v="0"/>
  </r>
  <r>
    <n v="2102"/>
    <x v="25"/>
    <n v="1477"/>
    <x v="1"/>
    <x v="2"/>
    <x v="0"/>
    <n v="5"/>
    <n v="0"/>
    <s v="Wallet"/>
    <x v="1"/>
    <x v="3"/>
    <n v="4"/>
    <n v="1"/>
    <n v="1"/>
    <s v="Repeat"/>
    <x v="4"/>
    <n v="49"/>
    <n v="0"/>
  </r>
  <r>
    <n v="2103"/>
    <x v="147"/>
    <n v="1191"/>
    <x v="1"/>
    <x v="2"/>
    <x v="3"/>
    <n v="4"/>
    <n v="19980"/>
    <s v="UPI"/>
    <x v="0"/>
    <x v="0"/>
    <n v="1"/>
    <n v="0"/>
    <n v="0"/>
    <s v="New"/>
    <x v="4"/>
    <n v="47"/>
    <n v="1"/>
  </r>
  <r>
    <n v="2104"/>
    <x v="142"/>
    <n v="1947"/>
    <x v="2"/>
    <x v="1"/>
    <x v="3"/>
    <n v="4"/>
    <n v="3304"/>
    <s v="COD"/>
    <x v="0"/>
    <x v="3"/>
    <n v="10"/>
    <n v="0"/>
    <n v="1"/>
    <s v="Repeat"/>
    <x v="2"/>
    <n v="42"/>
    <n v="1"/>
  </r>
  <r>
    <n v="2105"/>
    <x v="57"/>
    <n v="1904"/>
    <x v="1"/>
    <x v="3"/>
    <x v="3"/>
    <n v="1"/>
    <n v="1522"/>
    <s v="Wallet"/>
    <x v="0"/>
    <x v="0"/>
    <n v="5"/>
    <n v="1"/>
    <n v="0"/>
    <s v="Repeat"/>
    <x v="4"/>
    <n v="48"/>
    <n v="1"/>
  </r>
  <r>
    <n v="2106"/>
    <x v="34"/>
    <n v="1800"/>
    <x v="1"/>
    <x v="3"/>
    <x v="2"/>
    <n v="4"/>
    <n v="0"/>
    <s v="Wallet"/>
    <x v="2"/>
    <x v="2"/>
    <n v="2"/>
    <n v="0"/>
    <n v="1"/>
    <s v="New"/>
    <x v="3"/>
    <n v="51"/>
    <n v="0"/>
  </r>
  <r>
    <n v="2107"/>
    <x v="103"/>
    <n v="1279"/>
    <x v="1"/>
    <x v="4"/>
    <x v="0"/>
    <n v="4"/>
    <n v="0"/>
    <s v="UPI"/>
    <x v="2"/>
    <x v="2"/>
    <n v="1"/>
    <n v="0"/>
    <n v="0"/>
    <s v="Repeat"/>
    <x v="1"/>
    <n v="38"/>
    <n v="0"/>
  </r>
  <r>
    <n v="2108"/>
    <x v="93"/>
    <n v="1363"/>
    <x v="0"/>
    <x v="2"/>
    <x v="1"/>
    <n v="4"/>
    <n v="0"/>
    <s v="Card"/>
    <x v="2"/>
    <x v="3"/>
    <n v="6"/>
    <n v="1"/>
    <n v="1"/>
    <s v="Repeat"/>
    <x v="3"/>
    <n v="53"/>
    <n v="0"/>
  </r>
  <r>
    <n v="2109"/>
    <x v="145"/>
    <n v="1154"/>
    <x v="2"/>
    <x v="0"/>
    <x v="3"/>
    <n v="5"/>
    <n v="0"/>
    <s v="UPI"/>
    <x v="2"/>
    <x v="2"/>
    <n v="2"/>
    <n v="1"/>
    <n v="1"/>
    <s v="New"/>
    <x v="4"/>
    <n v="48"/>
    <n v="0"/>
  </r>
  <r>
    <n v="2110"/>
    <x v="8"/>
    <n v="1251"/>
    <x v="2"/>
    <x v="4"/>
    <x v="3"/>
    <n v="5"/>
    <n v="0"/>
    <s v="COD"/>
    <x v="2"/>
    <x v="3"/>
    <n v="2"/>
    <n v="0"/>
    <n v="0"/>
    <s v="New"/>
    <x v="0"/>
    <n v="32"/>
    <n v="0"/>
  </r>
  <r>
    <n v="2111"/>
    <x v="93"/>
    <n v="1362"/>
    <x v="1"/>
    <x v="0"/>
    <x v="2"/>
    <n v="1"/>
    <n v="0"/>
    <s v="Wallet"/>
    <x v="1"/>
    <x v="1"/>
    <n v="6"/>
    <n v="0"/>
    <n v="0"/>
    <s v="New"/>
    <x v="3"/>
    <n v="53"/>
    <n v="0"/>
  </r>
  <r>
    <n v="2112"/>
    <x v="166"/>
    <n v="1188"/>
    <x v="3"/>
    <x v="3"/>
    <x v="2"/>
    <n v="1"/>
    <n v="0"/>
    <s v="Wallet"/>
    <x v="1"/>
    <x v="3"/>
    <n v="6"/>
    <n v="0"/>
    <n v="0"/>
    <s v="New"/>
    <x v="1"/>
    <n v="39"/>
    <n v="0"/>
  </r>
  <r>
    <n v="2113"/>
    <x v="104"/>
    <n v="1086"/>
    <x v="2"/>
    <x v="3"/>
    <x v="1"/>
    <n v="4"/>
    <n v="0"/>
    <s v="Card"/>
    <x v="2"/>
    <x v="2"/>
    <n v="3"/>
    <n v="0"/>
    <n v="0"/>
    <s v="Repeat"/>
    <x v="5"/>
    <n v="29"/>
    <n v="0"/>
  </r>
  <r>
    <n v="2114"/>
    <x v="177"/>
    <n v="1361"/>
    <x v="3"/>
    <x v="4"/>
    <x v="1"/>
    <n v="5"/>
    <n v="22305"/>
    <s v="COD"/>
    <x v="0"/>
    <x v="3"/>
    <n v="8"/>
    <n v="0"/>
    <n v="0"/>
    <s v="Repeat"/>
    <x v="4"/>
    <n v="45"/>
    <n v="1"/>
  </r>
  <r>
    <n v="2115"/>
    <x v="164"/>
    <n v="1882"/>
    <x v="1"/>
    <x v="4"/>
    <x v="0"/>
    <n v="2"/>
    <n v="922"/>
    <s v="Wallet"/>
    <x v="0"/>
    <x v="3"/>
    <n v="2"/>
    <n v="1"/>
    <n v="0"/>
    <s v="New"/>
    <x v="0"/>
    <n v="34"/>
    <n v="1"/>
  </r>
  <r>
    <n v="2116"/>
    <x v="52"/>
    <n v="1788"/>
    <x v="4"/>
    <x v="1"/>
    <x v="2"/>
    <n v="1"/>
    <n v="0"/>
    <s v="Wallet"/>
    <x v="1"/>
    <x v="0"/>
    <n v="10"/>
    <n v="1"/>
    <n v="0"/>
    <s v="Repeat"/>
    <x v="4"/>
    <n v="44"/>
    <n v="0"/>
  </r>
  <r>
    <n v="2117"/>
    <x v="145"/>
    <n v="1525"/>
    <x v="1"/>
    <x v="2"/>
    <x v="2"/>
    <n v="2"/>
    <n v="0"/>
    <s v="UPI"/>
    <x v="1"/>
    <x v="3"/>
    <n v="2"/>
    <n v="1"/>
    <n v="0"/>
    <s v="New"/>
    <x v="4"/>
    <n v="48"/>
    <n v="0"/>
  </r>
  <r>
    <n v="2118"/>
    <x v="83"/>
    <n v="1380"/>
    <x v="4"/>
    <x v="0"/>
    <x v="1"/>
    <n v="4"/>
    <n v="0"/>
    <s v="Card"/>
    <x v="2"/>
    <x v="1"/>
    <n v="5"/>
    <n v="1"/>
    <n v="0"/>
    <s v="Repeat"/>
    <x v="1"/>
    <n v="36"/>
    <n v="0"/>
  </r>
  <r>
    <n v="2119"/>
    <x v="143"/>
    <n v="1538"/>
    <x v="2"/>
    <x v="4"/>
    <x v="2"/>
    <n v="2"/>
    <n v="0"/>
    <s v="Card"/>
    <x v="2"/>
    <x v="2"/>
    <n v="8"/>
    <n v="0"/>
    <n v="1"/>
    <s v="New"/>
    <x v="2"/>
    <n v="43"/>
    <n v="0"/>
  </r>
  <r>
    <n v="2120"/>
    <x v="59"/>
    <n v="1039"/>
    <x v="4"/>
    <x v="4"/>
    <x v="1"/>
    <n v="5"/>
    <n v="0"/>
    <s v="Card"/>
    <x v="1"/>
    <x v="3"/>
    <n v="6"/>
    <n v="0"/>
    <n v="0"/>
    <s v="Repeat"/>
    <x v="0"/>
    <n v="34"/>
    <n v="0"/>
  </r>
  <r>
    <n v="2121"/>
    <x v="130"/>
    <n v="1751"/>
    <x v="4"/>
    <x v="3"/>
    <x v="0"/>
    <n v="1"/>
    <n v="0"/>
    <s v="UPI"/>
    <x v="1"/>
    <x v="1"/>
    <n v="9"/>
    <n v="0"/>
    <n v="0"/>
    <s v="Repeat"/>
    <x v="3"/>
    <n v="51"/>
    <n v="0"/>
  </r>
  <r>
    <n v="2122"/>
    <x v="114"/>
    <n v="1028"/>
    <x v="1"/>
    <x v="4"/>
    <x v="0"/>
    <n v="3"/>
    <n v="6651"/>
    <s v="Card"/>
    <x v="0"/>
    <x v="3"/>
    <n v="8"/>
    <n v="1"/>
    <n v="1"/>
    <s v="New"/>
    <x v="3"/>
    <n v="50"/>
    <n v="1"/>
  </r>
  <r>
    <n v="2123"/>
    <x v="108"/>
    <n v="1240"/>
    <x v="0"/>
    <x v="2"/>
    <x v="2"/>
    <n v="2"/>
    <n v="0"/>
    <s v="Card"/>
    <x v="2"/>
    <x v="0"/>
    <n v="6"/>
    <n v="1"/>
    <n v="0"/>
    <s v="Repeat"/>
    <x v="2"/>
    <n v="44"/>
    <n v="0"/>
  </r>
  <r>
    <n v="2124"/>
    <x v="32"/>
    <n v="1834"/>
    <x v="3"/>
    <x v="1"/>
    <x v="0"/>
    <n v="3"/>
    <n v="3981"/>
    <s v="UPI"/>
    <x v="0"/>
    <x v="1"/>
    <n v="4"/>
    <n v="1"/>
    <n v="1"/>
    <s v="Repeat"/>
    <x v="1"/>
    <n v="38"/>
    <n v="1"/>
  </r>
  <r>
    <n v="2125"/>
    <x v="139"/>
    <n v="1344"/>
    <x v="3"/>
    <x v="3"/>
    <x v="2"/>
    <n v="5"/>
    <n v="0"/>
    <s v="COD"/>
    <x v="1"/>
    <x v="0"/>
    <n v="3"/>
    <n v="0"/>
    <n v="1"/>
    <s v="New"/>
    <x v="4"/>
    <n v="45"/>
    <n v="0"/>
  </r>
  <r>
    <n v="2126"/>
    <x v="170"/>
    <n v="1786"/>
    <x v="1"/>
    <x v="1"/>
    <x v="0"/>
    <n v="5"/>
    <n v="0"/>
    <s v="UPI"/>
    <x v="2"/>
    <x v="1"/>
    <n v="5"/>
    <n v="0"/>
    <n v="1"/>
    <s v="New"/>
    <x v="4"/>
    <n v="48"/>
    <n v="0"/>
  </r>
  <r>
    <n v="2127"/>
    <x v="151"/>
    <n v="1755"/>
    <x v="1"/>
    <x v="2"/>
    <x v="1"/>
    <n v="4"/>
    <n v="0"/>
    <s v="Card"/>
    <x v="1"/>
    <x v="0"/>
    <n v="9"/>
    <n v="0"/>
    <n v="1"/>
    <s v="New"/>
    <x v="3"/>
    <n v="52"/>
    <n v="0"/>
  </r>
  <r>
    <n v="2128"/>
    <x v="96"/>
    <n v="1848"/>
    <x v="0"/>
    <x v="1"/>
    <x v="1"/>
    <n v="5"/>
    <n v="0"/>
    <s v="COD"/>
    <x v="1"/>
    <x v="1"/>
    <n v="2"/>
    <n v="1"/>
    <n v="1"/>
    <s v="New"/>
    <x v="4"/>
    <n v="45"/>
    <n v="0"/>
  </r>
  <r>
    <n v="2129"/>
    <x v="151"/>
    <n v="1953"/>
    <x v="3"/>
    <x v="2"/>
    <x v="1"/>
    <n v="5"/>
    <n v="0"/>
    <s v="Card"/>
    <x v="2"/>
    <x v="1"/>
    <n v="10"/>
    <n v="1"/>
    <n v="1"/>
    <s v="Repeat"/>
    <x v="3"/>
    <n v="52"/>
    <n v="0"/>
  </r>
  <r>
    <n v="2130"/>
    <x v="89"/>
    <n v="1043"/>
    <x v="1"/>
    <x v="1"/>
    <x v="3"/>
    <n v="2"/>
    <n v="0"/>
    <s v="Card"/>
    <x v="2"/>
    <x v="0"/>
    <n v="7"/>
    <n v="0"/>
    <n v="0"/>
    <s v="Repeat"/>
    <x v="0"/>
    <n v="35"/>
    <n v="0"/>
  </r>
  <r>
    <n v="2131"/>
    <x v="165"/>
    <n v="1276"/>
    <x v="1"/>
    <x v="4"/>
    <x v="2"/>
    <n v="4"/>
    <n v="0"/>
    <s v="COD"/>
    <x v="1"/>
    <x v="1"/>
    <n v="6"/>
    <n v="0"/>
    <n v="1"/>
    <s v="Repeat"/>
    <x v="2"/>
    <n v="41"/>
    <n v="0"/>
  </r>
  <r>
    <n v="2132"/>
    <x v="26"/>
    <n v="1664"/>
    <x v="3"/>
    <x v="0"/>
    <x v="3"/>
    <n v="2"/>
    <n v="0"/>
    <s v="Card"/>
    <x v="2"/>
    <x v="2"/>
    <n v="1"/>
    <n v="0"/>
    <n v="0"/>
    <s v="New"/>
    <x v="2"/>
    <n v="42"/>
    <n v="0"/>
  </r>
  <r>
    <n v="2133"/>
    <x v="122"/>
    <n v="1582"/>
    <x v="2"/>
    <x v="2"/>
    <x v="2"/>
    <n v="3"/>
    <n v="0"/>
    <s v="UPI"/>
    <x v="1"/>
    <x v="3"/>
    <n v="3"/>
    <n v="0"/>
    <n v="0"/>
    <s v="New"/>
    <x v="3"/>
    <n v="53"/>
    <n v="0"/>
  </r>
  <r>
    <n v="2134"/>
    <x v="143"/>
    <n v="1282"/>
    <x v="3"/>
    <x v="0"/>
    <x v="2"/>
    <n v="1"/>
    <n v="0"/>
    <s v="UPI"/>
    <x v="2"/>
    <x v="1"/>
    <n v="2"/>
    <n v="1"/>
    <n v="1"/>
    <s v="New"/>
    <x v="2"/>
    <n v="43"/>
    <n v="0"/>
  </r>
  <r>
    <n v="2135"/>
    <x v="46"/>
    <n v="1103"/>
    <x v="2"/>
    <x v="2"/>
    <x v="3"/>
    <n v="2"/>
    <n v="0"/>
    <s v="Wallet"/>
    <x v="2"/>
    <x v="0"/>
    <n v="8"/>
    <n v="0"/>
    <n v="0"/>
    <s v="New"/>
    <x v="5"/>
    <n v="30"/>
    <n v="0"/>
  </r>
  <r>
    <n v="2136"/>
    <x v="97"/>
    <n v="1736"/>
    <x v="2"/>
    <x v="4"/>
    <x v="2"/>
    <n v="1"/>
    <n v="0"/>
    <s v="Card"/>
    <x v="1"/>
    <x v="1"/>
    <n v="2"/>
    <n v="1"/>
    <n v="1"/>
    <s v="New"/>
    <x v="1"/>
    <n v="40"/>
    <n v="0"/>
  </r>
  <r>
    <n v="2137"/>
    <x v="16"/>
    <n v="1274"/>
    <x v="0"/>
    <x v="1"/>
    <x v="2"/>
    <n v="2"/>
    <n v="6256"/>
    <s v="UPI"/>
    <x v="0"/>
    <x v="2"/>
    <n v="9"/>
    <n v="1"/>
    <n v="0"/>
    <s v="Repeat"/>
    <x v="0"/>
    <n v="32"/>
    <n v="1"/>
  </r>
  <r>
    <n v="2138"/>
    <x v="129"/>
    <n v="1970"/>
    <x v="4"/>
    <x v="1"/>
    <x v="1"/>
    <n v="5"/>
    <n v="3040"/>
    <s v="Card"/>
    <x v="0"/>
    <x v="0"/>
    <n v="6"/>
    <n v="1"/>
    <n v="1"/>
    <s v="Repeat"/>
    <x v="4"/>
    <n v="46"/>
    <n v="1"/>
  </r>
  <r>
    <n v="2139"/>
    <x v="92"/>
    <n v="1592"/>
    <x v="1"/>
    <x v="0"/>
    <x v="2"/>
    <n v="3"/>
    <n v="0"/>
    <s v="COD"/>
    <x v="2"/>
    <x v="1"/>
    <n v="2"/>
    <n v="0"/>
    <n v="0"/>
    <s v="Repeat"/>
    <x v="3"/>
    <n v="53"/>
    <n v="0"/>
  </r>
  <r>
    <n v="2140"/>
    <x v="81"/>
    <n v="1269"/>
    <x v="3"/>
    <x v="0"/>
    <x v="0"/>
    <n v="5"/>
    <n v="0"/>
    <s v="UPI"/>
    <x v="2"/>
    <x v="2"/>
    <n v="10"/>
    <n v="0"/>
    <n v="1"/>
    <s v="Repeat"/>
    <x v="0"/>
    <n v="33"/>
    <n v="0"/>
  </r>
  <r>
    <n v="2141"/>
    <x v="32"/>
    <n v="1309"/>
    <x v="0"/>
    <x v="2"/>
    <x v="1"/>
    <n v="1"/>
    <n v="0"/>
    <s v="Card"/>
    <x v="2"/>
    <x v="3"/>
    <n v="7"/>
    <n v="1"/>
    <n v="0"/>
    <s v="New"/>
    <x v="1"/>
    <n v="38"/>
    <n v="0"/>
  </r>
  <r>
    <n v="2142"/>
    <x v="166"/>
    <n v="1042"/>
    <x v="2"/>
    <x v="0"/>
    <x v="3"/>
    <n v="5"/>
    <n v="17295"/>
    <s v="COD"/>
    <x v="0"/>
    <x v="1"/>
    <n v="7"/>
    <n v="0"/>
    <n v="0"/>
    <s v="Repeat"/>
    <x v="1"/>
    <n v="39"/>
    <n v="1"/>
  </r>
  <r>
    <n v="2143"/>
    <x v="58"/>
    <n v="1153"/>
    <x v="3"/>
    <x v="3"/>
    <x v="0"/>
    <n v="2"/>
    <n v="1604"/>
    <s v="Wallet"/>
    <x v="0"/>
    <x v="3"/>
    <n v="2"/>
    <n v="0"/>
    <n v="1"/>
    <s v="New"/>
    <x v="5"/>
    <n v="31"/>
    <n v="1"/>
  </r>
  <r>
    <n v="2144"/>
    <x v="102"/>
    <n v="1964"/>
    <x v="4"/>
    <x v="4"/>
    <x v="0"/>
    <n v="3"/>
    <n v="855"/>
    <s v="Wallet"/>
    <x v="0"/>
    <x v="3"/>
    <n v="3"/>
    <n v="1"/>
    <n v="0"/>
    <s v="New"/>
    <x v="3"/>
    <n v="50"/>
    <n v="1"/>
  </r>
  <r>
    <n v="2145"/>
    <x v="58"/>
    <n v="1442"/>
    <x v="0"/>
    <x v="4"/>
    <x v="1"/>
    <n v="1"/>
    <n v="0"/>
    <s v="Card"/>
    <x v="1"/>
    <x v="2"/>
    <n v="3"/>
    <n v="0"/>
    <n v="0"/>
    <s v="Repeat"/>
    <x v="5"/>
    <n v="31"/>
    <n v="0"/>
  </r>
  <r>
    <n v="2146"/>
    <x v="69"/>
    <n v="1090"/>
    <x v="4"/>
    <x v="4"/>
    <x v="3"/>
    <n v="1"/>
    <n v="0"/>
    <s v="COD"/>
    <x v="2"/>
    <x v="1"/>
    <n v="9"/>
    <n v="1"/>
    <n v="1"/>
    <s v="Repeat"/>
    <x v="2"/>
    <n v="40"/>
    <n v="0"/>
  </r>
  <r>
    <n v="2147"/>
    <x v="44"/>
    <n v="1981"/>
    <x v="3"/>
    <x v="4"/>
    <x v="0"/>
    <n v="3"/>
    <n v="0"/>
    <s v="UPI"/>
    <x v="1"/>
    <x v="0"/>
    <n v="8"/>
    <n v="1"/>
    <n v="1"/>
    <s v="Repeat"/>
    <x v="4"/>
    <n v="47"/>
    <n v="0"/>
  </r>
  <r>
    <n v="2148"/>
    <x v="137"/>
    <n v="1444"/>
    <x v="4"/>
    <x v="1"/>
    <x v="0"/>
    <n v="4"/>
    <n v="5320"/>
    <s v="UPI"/>
    <x v="0"/>
    <x v="2"/>
    <n v="8"/>
    <n v="1"/>
    <n v="0"/>
    <s v="Repeat"/>
    <x v="1"/>
    <n v="40"/>
    <n v="1"/>
  </r>
  <r>
    <n v="2149"/>
    <x v="120"/>
    <n v="1020"/>
    <x v="2"/>
    <x v="1"/>
    <x v="0"/>
    <n v="5"/>
    <n v="8065"/>
    <s v="COD"/>
    <x v="0"/>
    <x v="3"/>
    <n v="9"/>
    <n v="1"/>
    <n v="0"/>
    <s v="Repeat"/>
    <x v="6"/>
    <n v="1"/>
    <n v="1"/>
  </r>
  <r>
    <n v="2150"/>
    <x v="14"/>
    <n v="1905"/>
    <x v="0"/>
    <x v="1"/>
    <x v="1"/>
    <n v="4"/>
    <n v="0"/>
    <s v="COD"/>
    <x v="1"/>
    <x v="1"/>
    <n v="5"/>
    <n v="0"/>
    <n v="1"/>
    <s v="New"/>
    <x v="0"/>
    <n v="34"/>
    <n v="0"/>
  </r>
  <r>
    <n v="2151"/>
    <x v="73"/>
    <n v="1651"/>
    <x v="3"/>
    <x v="4"/>
    <x v="2"/>
    <n v="2"/>
    <n v="0"/>
    <s v="Wallet"/>
    <x v="1"/>
    <x v="2"/>
    <n v="1"/>
    <n v="1"/>
    <n v="1"/>
    <s v="Repeat"/>
    <x v="4"/>
    <n v="45"/>
    <n v="0"/>
  </r>
  <r>
    <n v="2152"/>
    <x v="23"/>
    <n v="1352"/>
    <x v="0"/>
    <x v="1"/>
    <x v="0"/>
    <n v="5"/>
    <n v="0"/>
    <s v="Card"/>
    <x v="1"/>
    <x v="1"/>
    <n v="2"/>
    <n v="0"/>
    <n v="1"/>
    <s v="Repeat"/>
    <x v="3"/>
    <n v="51"/>
    <n v="0"/>
  </r>
  <r>
    <n v="2153"/>
    <x v="169"/>
    <n v="1525"/>
    <x v="1"/>
    <x v="3"/>
    <x v="2"/>
    <n v="3"/>
    <n v="0"/>
    <s v="Card"/>
    <x v="1"/>
    <x v="0"/>
    <n v="9"/>
    <n v="0"/>
    <n v="1"/>
    <s v="New"/>
    <x v="2"/>
    <n v="43"/>
    <n v="0"/>
  </r>
  <r>
    <n v="2154"/>
    <x v="139"/>
    <n v="1800"/>
    <x v="3"/>
    <x v="0"/>
    <x v="3"/>
    <n v="1"/>
    <n v="0"/>
    <s v="COD"/>
    <x v="2"/>
    <x v="3"/>
    <n v="8"/>
    <n v="1"/>
    <n v="1"/>
    <s v="Repeat"/>
    <x v="4"/>
    <n v="45"/>
    <n v="0"/>
  </r>
  <r>
    <n v="2155"/>
    <x v="177"/>
    <n v="1904"/>
    <x v="4"/>
    <x v="2"/>
    <x v="3"/>
    <n v="2"/>
    <n v="7512"/>
    <s v="UPI"/>
    <x v="0"/>
    <x v="1"/>
    <n v="3"/>
    <n v="1"/>
    <n v="1"/>
    <s v="Repeat"/>
    <x v="4"/>
    <n v="45"/>
    <n v="1"/>
  </r>
  <r>
    <n v="2156"/>
    <x v="174"/>
    <n v="1756"/>
    <x v="0"/>
    <x v="3"/>
    <x v="2"/>
    <n v="2"/>
    <n v="0"/>
    <s v="COD"/>
    <x v="2"/>
    <x v="1"/>
    <n v="1"/>
    <n v="1"/>
    <n v="0"/>
    <s v="New"/>
    <x v="5"/>
    <n v="29"/>
    <n v="0"/>
  </r>
  <r>
    <n v="2157"/>
    <x v="92"/>
    <n v="1086"/>
    <x v="1"/>
    <x v="4"/>
    <x v="3"/>
    <n v="1"/>
    <n v="4166"/>
    <s v="UPI"/>
    <x v="0"/>
    <x v="3"/>
    <n v="6"/>
    <n v="0"/>
    <n v="1"/>
    <s v="New"/>
    <x v="3"/>
    <n v="53"/>
    <n v="1"/>
  </r>
  <r>
    <n v="2158"/>
    <x v="94"/>
    <n v="1740"/>
    <x v="4"/>
    <x v="1"/>
    <x v="3"/>
    <n v="2"/>
    <n v="0"/>
    <s v="COD"/>
    <x v="1"/>
    <x v="1"/>
    <n v="8"/>
    <n v="1"/>
    <n v="1"/>
    <s v="New"/>
    <x v="1"/>
    <n v="40"/>
    <n v="0"/>
  </r>
  <r>
    <n v="2159"/>
    <x v="173"/>
    <n v="1529"/>
    <x v="2"/>
    <x v="3"/>
    <x v="3"/>
    <n v="5"/>
    <n v="0"/>
    <s v="Card"/>
    <x v="2"/>
    <x v="2"/>
    <n v="2"/>
    <n v="0"/>
    <n v="0"/>
    <s v="Repeat"/>
    <x v="5"/>
    <n v="30"/>
    <n v="0"/>
  </r>
  <r>
    <n v="2160"/>
    <x v="151"/>
    <n v="1924"/>
    <x v="3"/>
    <x v="0"/>
    <x v="0"/>
    <n v="3"/>
    <n v="882"/>
    <s v="COD"/>
    <x v="0"/>
    <x v="0"/>
    <n v="9"/>
    <n v="1"/>
    <n v="1"/>
    <s v="New"/>
    <x v="3"/>
    <n v="52"/>
    <n v="1"/>
  </r>
  <r>
    <n v="2161"/>
    <x v="10"/>
    <n v="1689"/>
    <x v="0"/>
    <x v="1"/>
    <x v="2"/>
    <n v="4"/>
    <n v="0"/>
    <s v="UPI"/>
    <x v="1"/>
    <x v="3"/>
    <n v="1"/>
    <n v="0"/>
    <n v="0"/>
    <s v="New"/>
    <x v="3"/>
    <n v="49"/>
    <n v="0"/>
  </r>
  <r>
    <n v="2162"/>
    <x v="72"/>
    <n v="1204"/>
    <x v="3"/>
    <x v="0"/>
    <x v="1"/>
    <n v="3"/>
    <n v="8421"/>
    <s v="Card"/>
    <x v="0"/>
    <x v="3"/>
    <n v="2"/>
    <n v="1"/>
    <n v="1"/>
    <s v="New"/>
    <x v="2"/>
    <n v="41"/>
    <n v="1"/>
  </r>
  <r>
    <n v="2163"/>
    <x v="83"/>
    <n v="1711"/>
    <x v="4"/>
    <x v="3"/>
    <x v="3"/>
    <n v="2"/>
    <n v="6954"/>
    <s v="Card"/>
    <x v="0"/>
    <x v="3"/>
    <n v="7"/>
    <n v="1"/>
    <n v="0"/>
    <s v="Repeat"/>
    <x v="1"/>
    <n v="36"/>
    <n v="1"/>
  </r>
  <r>
    <n v="2164"/>
    <x v="53"/>
    <n v="1505"/>
    <x v="2"/>
    <x v="3"/>
    <x v="1"/>
    <n v="1"/>
    <n v="0"/>
    <s v="COD"/>
    <x v="1"/>
    <x v="3"/>
    <n v="6"/>
    <n v="1"/>
    <n v="0"/>
    <s v="Repeat"/>
    <x v="2"/>
    <n v="42"/>
    <n v="0"/>
  </r>
  <r>
    <n v="2165"/>
    <x v="125"/>
    <n v="1655"/>
    <x v="3"/>
    <x v="0"/>
    <x v="0"/>
    <n v="3"/>
    <n v="11925"/>
    <s v="Card"/>
    <x v="0"/>
    <x v="2"/>
    <n v="8"/>
    <n v="1"/>
    <n v="0"/>
    <s v="New"/>
    <x v="5"/>
    <n v="31"/>
    <n v="1"/>
  </r>
  <r>
    <n v="2166"/>
    <x v="56"/>
    <n v="1200"/>
    <x v="3"/>
    <x v="3"/>
    <x v="1"/>
    <n v="2"/>
    <n v="8700"/>
    <s v="UPI"/>
    <x v="0"/>
    <x v="3"/>
    <n v="8"/>
    <n v="1"/>
    <n v="0"/>
    <s v="Repeat"/>
    <x v="6"/>
    <n v="2"/>
    <n v="1"/>
  </r>
  <r>
    <n v="2167"/>
    <x v="11"/>
    <n v="1702"/>
    <x v="3"/>
    <x v="0"/>
    <x v="1"/>
    <n v="1"/>
    <n v="0"/>
    <s v="COD"/>
    <x v="2"/>
    <x v="2"/>
    <n v="8"/>
    <n v="1"/>
    <n v="1"/>
    <s v="New"/>
    <x v="0"/>
    <n v="35"/>
    <n v="0"/>
  </r>
  <r>
    <n v="2168"/>
    <x v="150"/>
    <n v="1321"/>
    <x v="3"/>
    <x v="2"/>
    <x v="1"/>
    <n v="5"/>
    <n v="6495"/>
    <s v="COD"/>
    <x v="0"/>
    <x v="3"/>
    <n v="3"/>
    <n v="1"/>
    <n v="0"/>
    <s v="New"/>
    <x v="0"/>
    <n v="35"/>
    <n v="1"/>
  </r>
  <r>
    <n v="2169"/>
    <x v="122"/>
    <n v="1087"/>
    <x v="3"/>
    <x v="0"/>
    <x v="2"/>
    <n v="4"/>
    <n v="13036"/>
    <s v="Card"/>
    <x v="0"/>
    <x v="3"/>
    <n v="10"/>
    <n v="0"/>
    <n v="0"/>
    <s v="Repeat"/>
    <x v="3"/>
    <n v="53"/>
    <n v="1"/>
  </r>
  <r>
    <n v="2170"/>
    <x v="92"/>
    <n v="1534"/>
    <x v="4"/>
    <x v="2"/>
    <x v="3"/>
    <n v="5"/>
    <n v="0"/>
    <s v="Card"/>
    <x v="2"/>
    <x v="0"/>
    <n v="3"/>
    <n v="0"/>
    <n v="0"/>
    <s v="Repeat"/>
    <x v="3"/>
    <n v="53"/>
    <n v="0"/>
  </r>
  <r>
    <n v="2171"/>
    <x v="53"/>
    <n v="1515"/>
    <x v="0"/>
    <x v="4"/>
    <x v="1"/>
    <n v="5"/>
    <n v="0"/>
    <s v="Card"/>
    <x v="1"/>
    <x v="1"/>
    <n v="8"/>
    <n v="0"/>
    <n v="1"/>
    <s v="Repeat"/>
    <x v="2"/>
    <n v="42"/>
    <n v="0"/>
  </r>
  <r>
    <n v="2172"/>
    <x v="26"/>
    <n v="1187"/>
    <x v="1"/>
    <x v="1"/>
    <x v="1"/>
    <n v="2"/>
    <n v="0"/>
    <s v="UPI"/>
    <x v="1"/>
    <x v="2"/>
    <n v="10"/>
    <n v="0"/>
    <n v="0"/>
    <s v="New"/>
    <x v="2"/>
    <n v="42"/>
    <n v="0"/>
  </r>
  <r>
    <n v="2173"/>
    <x v="155"/>
    <n v="1357"/>
    <x v="3"/>
    <x v="1"/>
    <x v="1"/>
    <n v="2"/>
    <n v="6002"/>
    <s v="Wallet"/>
    <x v="0"/>
    <x v="2"/>
    <n v="9"/>
    <n v="0"/>
    <n v="0"/>
    <s v="Repeat"/>
    <x v="0"/>
    <n v="33"/>
    <n v="1"/>
  </r>
  <r>
    <n v="2174"/>
    <x v="146"/>
    <n v="1482"/>
    <x v="1"/>
    <x v="3"/>
    <x v="3"/>
    <n v="3"/>
    <n v="0"/>
    <s v="Wallet"/>
    <x v="1"/>
    <x v="3"/>
    <n v="9"/>
    <n v="0"/>
    <n v="1"/>
    <s v="New"/>
    <x v="2"/>
    <n v="40"/>
    <n v="0"/>
  </r>
  <r>
    <n v="2175"/>
    <x v="130"/>
    <n v="1128"/>
    <x v="4"/>
    <x v="3"/>
    <x v="2"/>
    <n v="1"/>
    <n v="0"/>
    <s v="Wallet"/>
    <x v="1"/>
    <x v="2"/>
    <n v="5"/>
    <n v="0"/>
    <n v="1"/>
    <s v="New"/>
    <x v="3"/>
    <n v="51"/>
    <n v="0"/>
  </r>
  <r>
    <n v="2176"/>
    <x v="164"/>
    <n v="1743"/>
    <x v="1"/>
    <x v="0"/>
    <x v="3"/>
    <n v="5"/>
    <n v="0"/>
    <s v="Card"/>
    <x v="2"/>
    <x v="1"/>
    <n v="2"/>
    <n v="1"/>
    <n v="0"/>
    <s v="Repeat"/>
    <x v="0"/>
    <n v="34"/>
    <n v="0"/>
  </r>
  <r>
    <n v="2177"/>
    <x v="124"/>
    <n v="1881"/>
    <x v="3"/>
    <x v="0"/>
    <x v="2"/>
    <n v="5"/>
    <n v="0"/>
    <s v="UPI"/>
    <x v="2"/>
    <x v="1"/>
    <n v="4"/>
    <n v="1"/>
    <n v="1"/>
    <s v="Repeat"/>
    <x v="1"/>
    <n v="37"/>
    <n v="0"/>
  </r>
  <r>
    <n v="2178"/>
    <x v="104"/>
    <n v="1996"/>
    <x v="0"/>
    <x v="3"/>
    <x v="2"/>
    <n v="1"/>
    <n v="1837"/>
    <s v="Wallet"/>
    <x v="0"/>
    <x v="3"/>
    <n v="2"/>
    <n v="1"/>
    <n v="1"/>
    <s v="New"/>
    <x v="5"/>
    <n v="29"/>
    <n v="1"/>
  </r>
  <r>
    <n v="2179"/>
    <x v="88"/>
    <n v="1086"/>
    <x v="2"/>
    <x v="2"/>
    <x v="0"/>
    <n v="5"/>
    <n v="2555"/>
    <s v="Wallet"/>
    <x v="0"/>
    <x v="3"/>
    <n v="10"/>
    <n v="0"/>
    <n v="0"/>
    <s v="New"/>
    <x v="1"/>
    <n v="37"/>
    <n v="1"/>
  </r>
  <r>
    <n v="2180"/>
    <x v="12"/>
    <n v="1084"/>
    <x v="4"/>
    <x v="3"/>
    <x v="3"/>
    <n v="3"/>
    <n v="0"/>
    <s v="Wallet"/>
    <x v="1"/>
    <x v="0"/>
    <n v="2"/>
    <n v="1"/>
    <n v="0"/>
    <s v="Repeat"/>
    <x v="1"/>
    <n v="38"/>
    <n v="0"/>
  </r>
  <r>
    <n v="2181"/>
    <x v="165"/>
    <n v="1095"/>
    <x v="4"/>
    <x v="1"/>
    <x v="3"/>
    <n v="1"/>
    <n v="0"/>
    <s v="Card"/>
    <x v="1"/>
    <x v="3"/>
    <n v="7"/>
    <n v="0"/>
    <n v="0"/>
    <s v="New"/>
    <x v="2"/>
    <n v="41"/>
    <n v="0"/>
  </r>
  <r>
    <n v="2182"/>
    <x v="18"/>
    <n v="1115"/>
    <x v="4"/>
    <x v="2"/>
    <x v="1"/>
    <n v="2"/>
    <n v="0"/>
    <s v="UPI"/>
    <x v="1"/>
    <x v="1"/>
    <n v="2"/>
    <n v="1"/>
    <n v="1"/>
    <s v="New"/>
    <x v="1"/>
    <n v="36"/>
    <n v="0"/>
  </r>
  <r>
    <n v="2183"/>
    <x v="149"/>
    <n v="1269"/>
    <x v="0"/>
    <x v="2"/>
    <x v="0"/>
    <n v="2"/>
    <n v="0"/>
    <s v="Wallet"/>
    <x v="1"/>
    <x v="0"/>
    <n v="8"/>
    <n v="0"/>
    <n v="1"/>
    <s v="New"/>
    <x v="3"/>
    <n v="49"/>
    <n v="0"/>
  </r>
  <r>
    <n v="2184"/>
    <x v="105"/>
    <n v="1840"/>
    <x v="4"/>
    <x v="3"/>
    <x v="1"/>
    <n v="4"/>
    <n v="0"/>
    <s v="Card"/>
    <x v="1"/>
    <x v="3"/>
    <n v="5"/>
    <n v="1"/>
    <n v="0"/>
    <s v="New"/>
    <x v="3"/>
    <n v="52"/>
    <n v="0"/>
  </r>
  <r>
    <n v="2185"/>
    <x v="60"/>
    <n v="1450"/>
    <x v="2"/>
    <x v="4"/>
    <x v="2"/>
    <n v="3"/>
    <n v="0"/>
    <s v="Wallet"/>
    <x v="2"/>
    <x v="1"/>
    <n v="5"/>
    <n v="0"/>
    <n v="1"/>
    <s v="New"/>
    <x v="1"/>
    <n v="36"/>
    <n v="0"/>
  </r>
  <r>
    <n v="2186"/>
    <x v="45"/>
    <n v="1589"/>
    <x v="4"/>
    <x v="4"/>
    <x v="2"/>
    <n v="3"/>
    <n v="0"/>
    <s v="UPI"/>
    <x v="1"/>
    <x v="2"/>
    <n v="10"/>
    <n v="0"/>
    <n v="1"/>
    <s v="New"/>
    <x v="6"/>
    <n v="2"/>
    <n v="0"/>
  </r>
  <r>
    <n v="2187"/>
    <x v="98"/>
    <n v="1945"/>
    <x v="4"/>
    <x v="4"/>
    <x v="2"/>
    <n v="2"/>
    <n v="0"/>
    <s v="Card"/>
    <x v="1"/>
    <x v="2"/>
    <n v="7"/>
    <n v="1"/>
    <n v="1"/>
    <s v="New"/>
    <x v="3"/>
    <n v="51"/>
    <n v="0"/>
  </r>
  <r>
    <n v="2188"/>
    <x v="124"/>
    <n v="1272"/>
    <x v="0"/>
    <x v="4"/>
    <x v="2"/>
    <n v="2"/>
    <n v="0"/>
    <s v="Wallet"/>
    <x v="2"/>
    <x v="1"/>
    <n v="7"/>
    <n v="1"/>
    <n v="1"/>
    <s v="Repeat"/>
    <x v="1"/>
    <n v="37"/>
    <n v="0"/>
  </r>
  <r>
    <n v="2189"/>
    <x v="115"/>
    <n v="1460"/>
    <x v="1"/>
    <x v="4"/>
    <x v="2"/>
    <n v="2"/>
    <n v="3122"/>
    <s v="UPI"/>
    <x v="0"/>
    <x v="2"/>
    <n v="8"/>
    <n v="0"/>
    <n v="0"/>
    <s v="New"/>
    <x v="4"/>
    <n v="48"/>
    <n v="1"/>
  </r>
  <r>
    <n v="2190"/>
    <x v="97"/>
    <n v="1239"/>
    <x v="3"/>
    <x v="0"/>
    <x v="0"/>
    <n v="2"/>
    <n v="0"/>
    <s v="Wallet"/>
    <x v="2"/>
    <x v="1"/>
    <n v="7"/>
    <n v="0"/>
    <n v="0"/>
    <s v="Repeat"/>
    <x v="1"/>
    <n v="40"/>
    <n v="0"/>
  </r>
  <r>
    <n v="2191"/>
    <x v="10"/>
    <n v="1076"/>
    <x v="1"/>
    <x v="4"/>
    <x v="2"/>
    <n v="1"/>
    <n v="3774"/>
    <s v="Wallet"/>
    <x v="0"/>
    <x v="1"/>
    <n v="1"/>
    <n v="0"/>
    <n v="1"/>
    <s v="New"/>
    <x v="3"/>
    <n v="49"/>
    <n v="1"/>
  </r>
  <r>
    <n v="2192"/>
    <x v="48"/>
    <n v="1034"/>
    <x v="1"/>
    <x v="1"/>
    <x v="1"/>
    <n v="2"/>
    <n v="0"/>
    <s v="COD"/>
    <x v="1"/>
    <x v="1"/>
    <n v="10"/>
    <n v="0"/>
    <n v="1"/>
    <s v="Repeat"/>
    <x v="3"/>
    <n v="50"/>
    <n v="0"/>
  </r>
  <r>
    <n v="2193"/>
    <x v="84"/>
    <n v="1713"/>
    <x v="3"/>
    <x v="0"/>
    <x v="1"/>
    <n v="3"/>
    <n v="10005"/>
    <s v="Wallet"/>
    <x v="0"/>
    <x v="3"/>
    <n v="10"/>
    <n v="0"/>
    <n v="1"/>
    <s v="Repeat"/>
    <x v="2"/>
    <n v="41"/>
    <n v="1"/>
  </r>
  <r>
    <n v="2194"/>
    <x v="146"/>
    <n v="1772"/>
    <x v="3"/>
    <x v="1"/>
    <x v="0"/>
    <n v="5"/>
    <n v="0"/>
    <s v="Wallet"/>
    <x v="2"/>
    <x v="2"/>
    <n v="8"/>
    <n v="0"/>
    <n v="0"/>
    <s v="Repeat"/>
    <x v="2"/>
    <n v="40"/>
    <n v="0"/>
  </r>
  <r>
    <n v="2195"/>
    <x v="132"/>
    <n v="1115"/>
    <x v="4"/>
    <x v="1"/>
    <x v="1"/>
    <n v="3"/>
    <n v="0"/>
    <s v="Card"/>
    <x v="2"/>
    <x v="2"/>
    <n v="6"/>
    <n v="1"/>
    <n v="0"/>
    <s v="Repeat"/>
    <x v="2"/>
    <n v="42"/>
    <n v="0"/>
  </r>
  <r>
    <n v="2196"/>
    <x v="38"/>
    <n v="1941"/>
    <x v="3"/>
    <x v="4"/>
    <x v="0"/>
    <n v="2"/>
    <n v="0"/>
    <s v="Wallet"/>
    <x v="1"/>
    <x v="1"/>
    <n v="2"/>
    <n v="0"/>
    <n v="1"/>
    <s v="Repeat"/>
    <x v="1"/>
    <n v="39"/>
    <n v="0"/>
  </r>
  <r>
    <n v="2197"/>
    <x v="148"/>
    <n v="1030"/>
    <x v="3"/>
    <x v="0"/>
    <x v="3"/>
    <n v="5"/>
    <n v="21495"/>
    <s v="COD"/>
    <x v="0"/>
    <x v="3"/>
    <n v="7"/>
    <n v="0"/>
    <n v="1"/>
    <s v="Repeat"/>
    <x v="5"/>
    <n v="30"/>
    <n v="1"/>
  </r>
  <r>
    <n v="2198"/>
    <x v="25"/>
    <n v="1101"/>
    <x v="3"/>
    <x v="0"/>
    <x v="1"/>
    <n v="1"/>
    <n v="0"/>
    <s v="Wallet"/>
    <x v="2"/>
    <x v="0"/>
    <n v="8"/>
    <n v="1"/>
    <n v="0"/>
    <s v="Repeat"/>
    <x v="4"/>
    <n v="49"/>
    <n v="0"/>
  </r>
  <r>
    <n v="2199"/>
    <x v="140"/>
    <n v="1904"/>
    <x v="2"/>
    <x v="1"/>
    <x v="2"/>
    <n v="2"/>
    <n v="0"/>
    <s v="COD"/>
    <x v="2"/>
    <x v="1"/>
    <n v="6"/>
    <n v="0"/>
    <n v="1"/>
    <s v="Repeat"/>
    <x v="4"/>
    <n v="48"/>
    <n v="0"/>
  </r>
  <r>
    <n v="2200"/>
    <x v="69"/>
    <n v="1654"/>
    <x v="4"/>
    <x v="4"/>
    <x v="3"/>
    <n v="5"/>
    <n v="0"/>
    <s v="UPI"/>
    <x v="1"/>
    <x v="3"/>
    <n v="8"/>
    <n v="1"/>
    <n v="1"/>
    <s v="New"/>
    <x v="2"/>
    <n v="40"/>
    <n v="0"/>
  </r>
  <r>
    <n v="2201"/>
    <x v="38"/>
    <n v="1387"/>
    <x v="3"/>
    <x v="0"/>
    <x v="0"/>
    <n v="1"/>
    <n v="0"/>
    <s v="UPI"/>
    <x v="1"/>
    <x v="1"/>
    <n v="8"/>
    <n v="0"/>
    <n v="0"/>
    <s v="Repeat"/>
    <x v="1"/>
    <n v="39"/>
    <n v="0"/>
  </r>
  <r>
    <n v="2202"/>
    <x v="58"/>
    <n v="1047"/>
    <x v="0"/>
    <x v="0"/>
    <x v="0"/>
    <n v="5"/>
    <n v="0"/>
    <s v="Wallet"/>
    <x v="2"/>
    <x v="1"/>
    <n v="9"/>
    <n v="1"/>
    <n v="0"/>
    <s v="Repeat"/>
    <x v="5"/>
    <n v="31"/>
    <n v="0"/>
  </r>
  <r>
    <n v="2203"/>
    <x v="127"/>
    <n v="1045"/>
    <x v="1"/>
    <x v="3"/>
    <x v="2"/>
    <n v="4"/>
    <n v="0"/>
    <s v="UPI"/>
    <x v="2"/>
    <x v="0"/>
    <n v="6"/>
    <n v="0"/>
    <n v="1"/>
    <s v="New"/>
    <x v="5"/>
    <n v="29"/>
    <n v="0"/>
  </r>
  <r>
    <n v="2204"/>
    <x v="24"/>
    <n v="1663"/>
    <x v="3"/>
    <x v="0"/>
    <x v="1"/>
    <n v="3"/>
    <n v="0"/>
    <s v="UPI"/>
    <x v="2"/>
    <x v="0"/>
    <n v="1"/>
    <n v="0"/>
    <n v="0"/>
    <s v="New"/>
    <x v="5"/>
    <n v="30"/>
    <n v="0"/>
  </r>
  <r>
    <n v="2205"/>
    <x v="41"/>
    <n v="1566"/>
    <x v="4"/>
    <x v="1"/>
    <x v="3"/>
    <n v="1"/>
    <n v="0"/>
    <s v="COD"/>
    <x v="2"/>
    <x v="2"/>
    <n v="10"/>
    <n v="0"/>
    <n v="0"/>
    <s v="New"/>
    <x v="1"/>
    <n v="37"/>
    <n v="0"/>
  </r>
  <r>
    <n v="2206"/>
    <x v="73"/>
    <n v="1846"/>
    <x v="2"/>
    <x v="0"/>
    <x v="1"/>
    <n v="4"/>
    <n v="0"/>
    <s v="UPI"/>
    <x v="1"/>
    <x v="2"/>
    <n v="4"/>
    <n v="1"/>
    <n v="0"/>
    <s v="New"/>
    <x v="4"/>
    <n v="45"/>
    <n v="0"/>
  </r>
  <r>
    <n v="2207"/>
    <x v="35"/>
    <n v="1242"/>
    <x v="1"/>
    <x v="2"/>
    <x v="0"/>
    <n v="5"/>
    <n v="9355"/>
    <s v="UPI"/>
    <x v="0"/>
    <x v="1"/>
    <n v="10"/>
    <n v="1"/>
    <n v="1"/>
    <s v="New"/>
    <x v="0"/>
    <n v="35"/>
    <n v="1"/>
  </r>
  <r>
    <n v="2208"/>
    <x v="1"/>
    <n v="1236"/>
    <x v="1"/>
    <x v="3"/>
    <x v="0"/>
    <n v="1"/>
    <n v="3209"/>
    <s v="Card"/>
    <x v="0"/>
    <x v="0"/>
    <n v="8"/>
    <n v="1"/>
    <n v="0"/>
    <s v="New"/>
    <x v="1"/>
    <n v="39"/>
    <n v="1"/>
  </r>
  <r>
    <n v="2209"/>
    <x v="163"/>
    <n v="1688"/>
    <x v="4"/>
    <x v="2"/>
    <x v="3"/>
    <n v="5"/>
    <n v="0"/>
    <s v="COD"/>
    <x v="2"/>
    <x v="2"/>
    <n v="1"/>
    <n v="0"/>
    <n v="1"/>
    <s v="Repeat"/>
    <x v="4"/>
    <n v="45"/>
    <n v="0"/>
  </r>
  <r>
    <n v="2210"/>
    <x v="19"/>
    <n v="1315"/>
    <x v="1"/>
    <x v="1"/>
    <x v="3"/>
    <n v="4"/>
    <n v="0"/>
    <s v="Card"/>
    <x v="2"/>
    <x v="0"/>
    <n v="8"/>
    <n v="0"/>
    <n v="1"/>
    <s v="New"/>
    <x v="0"/>
    <n v="33"/>
    <n v="0"/>
  </r>
  <r>
    <n v="2211"/>
    <x v="120"/>
    <n v="1782"/>
    <x v="3"/>
    <x v="0"/>
    <x v="0"/>
    <n v="5"/>
    <n v="0"/>
    <s v="Card"/>
    <x v="1"/>
    <x v="2"/>
    <n v="10"/>
    <n v="0"/>
    <n v="1"/>
    <s v="Repeat"/>
    <x v="6"/>
    <n v="1"/>
    <n v="0"/>
  </r>
  <r>
    <n v="2212"/>
    <x v="7"/>
    <n v="1466"/>
    <x v="0"/>
    <x v="4"/>
    <x v="1"/>
    <n v="1"/>
    <n v="1160"/>
    <s v="UPI"/>
    <x v="0"/>
    <x v="3"/>
    <n v="8"/>
    <n v="0"/>
    <n v="0"/>
    <s v="New"/>
    <x v="3"/>
    <n v="49"/>
    <n v="1"/>
  </r>
  <r>
    <n v="2213"/>
    <x v="172"/>
    <n v="1421"/>
    <x v="0"/>
    <x v="2"/>
    <x v="1"/>
    <n v="3"/>
    <n v="0"/>
    <s v="COD"/>
    <x v="2"/>
    <x v="0"/>
    <n v="9"/>
    <n v="1"/>
    <n v="1"/>
    <s v="New"/>
    <x v="2"/>
    <n v="44"/>
    <n v="0"/>
  </r>
  <r>
    <n v="2214"/>
    <x v="20"/>
    <n v="1183"/>
    <x v="4"/>
    <x v="2"/>
    <x v="2"/>
    <n v="2"/>
    <n v="0"/>
    <s v="UPI"/>
    <x v="1"/>
    <x v="0"/>
    <n v="7"/>
    <n v="1"/>
    <n v="1"/>
    <s v="Repeat"/>
    <x v="0"/>
    <n v="32"/>
    <n v="0"/>
  </r>
  <r>
    <n v="2215"/>
    <x v="156"/>
    <n v="1024"/>
    <x v="1"/>
    <x v="4"/>
    <x v="3"/>
    <n v="1"/>
    <n v="0"/>
    <s v="UPI"/>
    <x v="1"/>
    <x v="2"/>
    <n v="9"/>
    <n v="0"/>
    <n v="0"/>
    <s v="New"/>
    <x v="6"/>
    <n v="2"/>
    <n v="0"/>
  </r>
  <r>
    <n v="2216"/>
    <x v="144"/>
    <n v="1700"/>
    <x v="3"/>
    <x v="0"/>
    <x v="3"/>
    <n v="5"/>
    <n v="0"/>
    <s v="COD"/>
    <x v="1"/>
    <x v="3"/>
    <n v="10"/>
    <n v="1"/>
    <n v="1"/>
    <s v="New"/>
    <x v="3"/>
    <n v="52"/>
    <n v="0"/>
  </r>
  <r>
    <n v="2217"/>
    <x v="56"/>
    <n v="1054"/>
    <x v="3"/>
    <x v="3"/>
    <x v="2"/>
    <n v="5"/>
    <n v="0"/>
    <s v="Wallet"/>
    <x v="2"/>
    <x v="3"/>
    <n v="8"/>
    <n v="1"/>
    <n v="1"/>
    <s v="New"/>
    <x v="6"/>
    <n v="2"/>
    <n v="0"/>
  </r>
  <r>
    <n v="2218"/>
    <x v="92"/>
    <n v="1769"/>
    <x v="1"/>
    <x v="1"/>
    <x v="1"/>
    <n v="2"/>
    <n v="1578"/>
    <s v="Card"/>
    <x v="0"/>
    <x v="2"/>
    <n v="5"/>
    <n v="0"/>
    <n v="1"/>
    <s v="New"/>
    <x v="3"/>
    <n v="53"/>
    <n v="1"/>
  </r>
  <r>
    <n v="2219"/>
    <x v="160"/>
    <n v="1719"/>
    <x v="0"/>
    <x v="1"/>
    <x v="3"/>
    <n v="5"/>
    <n v="1805"/>
    <s v="UPI"/>
    <x v="0"/>
    <x v="1"/>
    <n v="2"/>
    <n v="1"/>
    <n v="1"/>
    <s v="New"/>
    <x v="4"/>
    <n v="47"/>
    <n v="1"/>
  </r>
  <r>
    <n v="2220"/>
    <x v="44"/>
    <n v="1593"/>
    <x v="3"/>
    <x v="4"/>
    <x v="0"/>
    <n v="5"/>
    <n v="18475"/>
    <s v="Card"/>
    <x v="0"/>
    <x v="2"/>
    <n v="6"/>
    <n v="1"/>
    <n v="0"/>
    <s v="New"/>
    <x v="4"/>
    <n v="47"/>
    <n v="1"/>
  </r>
  <r>
    <n v="2221"/>
    <x v="35"/>
    <n v="1000"/>
    <x v="2"/>
    <x v="2"/>
    <x v="1"/>
    <n v="5"/>
    <n v="0"/>
    <s v="COD"/>
    <x v="1"/>
    <x v="3"/>
    <n v="4"/>
    <n v="1"/>
    <n v="0"/>
    <s v="Repeat"/>
    <x v="0"/>
    <n v="35"/>
    <n v="0"/>
  </r>
  <r>
    <n v="2222"/>
    <x v="46"/>
    <n v="1043"/>
    <x v="2"/>
    <x v="4"/>
    <x v="1"/>
    <n v="1"/>
    <n v="0"/>
    <s v="COD"/>
    <x v="2"/>
    <x v="0"/>
    <n v="9"/>
    <n v="0"/>
    <n v="1"/>
    <s v="New"/>
    <x v="5"/>
    <n v="30"/>
    <n v="0"/>
  </r>
  <r>
    <n v="2223"/>
    <x v="61"/>
    <n v="1937"/>
    <x v="1"/>
    <x v="2"/>
    <x v="3"/>
    <n v="1"/>
    <n v="0"/>
    <s v="Wallet"/>
    <x v="1"/>
    <x v="1"/>
    <n v="3"/>
    <n v="0"/>
    <n v="1"/>
    <s v="Repeat"/>
    <x v="4"/>
    <n v="46"/>
    <n v="0"/>
  </r>
  <r>
    <n v="2224"/>
    <x v="116"/>
    <n v="1245"/>
    <x v="0"/>
    <x v="2"/>
    <x v="3"/>
    <n v="5"/>
    <n v="12670"/>
    <s v="UPI"/>
    <x v="0"/>
    <x v="2"/>
    <n v="10"/>
    <n v="0"/>
    <n v="1"/>
    <s v="Repeat"/>
    <x v="3"/>
    <n v="50"/>
    <n v="1"/>
  </r>
  <r>
    <n v="2225"/>
    <x v="131"/>
    <n v="1799"/>
    <x v="3"/>
    <x v="4"/>
    <x v="0"/>
    <n v="3"/>
    <n v="0"/>
    <s v="Wallet"/>
    <x v="2"/>
    <x v="2"/>
    <n v="5"/>
    <n v="0"/>
    <n v="0"/>
    <s v="New"/>
    <x v="4"/>
    <n v="47"/>
    <n v="0"/>
  </r>
  <r>
    <n v="2226"/>
    <x v="96"/>
    <n v="1411"/>
    <x v="0"/>
    <x v="1"/>
    <x v="2"/>
    <n v="4"/>
    <n v="0"/>
    <s v="Wallet"/>
    <x v="2"/>
    <x v="0"/>
    <n v="9"/>
    <n v="1"/>
    <n v="1"/>
    <s v="Repeat"/>
    <x v="4"/>
    <n v="45"/>
    <n v="0"/>
  </r>
  <r>
    <n v="2227"/>
    <x v="169"/>
    <n v="1701"/>
    <x v="2"/>
    <x v="0"/>
    <x v="2"/>
    <n v="4"/>
    <n v="0"/>
    <s v="Wallet"/>
    <x v="1"/>
    <x v="2"/>
    <n v="2"/>
    <n v="0"/>
    <n v="0"/>
    <s v="Repeat"/>
    <x v="2"/>
    <n v="43"/>
    <n v="0"/>
  </r>
  <r>
    <n v="2228"/>
    <x v="112"/>
    <n v="1647"/>
    <x v="0"/>
    <x v="1"/>
    <x v="3"/>
    <n v="1"/>
    <n v="0"/>
    <s v="Card"/>
    <x v="1"/>
    <x v="3"/>
    <n v="6"/>
    <n v="1"/>
    <n v="0"/>
    <s v="New"/>
    <x v="5"/>
    <n v="30"/>
    <n v="0"/>
  </r>
  <r>
    <n v="2229"/>
    <x v="26"/>
    <n v="1074"/>
    <x v="2"/>
    <x v="3"/>
    <x v="0"/>
    <n v="1"/>
    <n v="0"/>
    <s v="Card"/>
    <x v="1"/>
    <x v="3"/>
    <n v="3"/>
    <n v="0"/>
    <n v="0"/>
    <s v="New"/>
    <x v="2"/>
    <n v="42"/>
    <n v="0"/>
  </r>
  <r>
    <n v="2230"/>
    <x v="141"/>
    <n v="1401"/>
    <x v="1"/>
    <x v="3"/>
    <x v="2"/>
    <n v="4"/>
    <n v="19988"/>
    <s v="UPI"/>
    <x v="0"/>
    <x v="0"/>
    <n v="8"/>
    <n v="0"/>
    <n v="1"/>
    <s v="Repeat"/>
    <x v="1"/>
    <n v="39"/>
    <n v="1"/>
  </r>
  <r>
    <n v="2231"/>
    <x v="3"/>
    <n v="1044"/>
    <x v="0"/>
    <x v="2"/>
    <x v="2"/>
    <n v="5"/>
    <n v="7965"/>
    <s v="UPI"/>
    <x v="0"/>
    <x v="2"/>
    <n v="6"/>
    <n v="1"/>
    <n v="0"/>
    <s v="New"/>
    <x v="0"/>
    <n v="32"/>
    <n v="1"/>
  </r>
  <r>
    <n v="2232"/>
    <x v="75"/>
    <n v="1957"/>
    <x v="1"/>
    <x v="1"/>
    <x v="2"/>
    <n v="5"/>
    <n v="0"/>
    <s v="Card"/>
    <x v="2"/>
    <x v="0"/>
    <n v="5"/>
    <n v="0"/>
    <n v="0"/>
    <s v="New"/>
    <x v="3"/>
    <n v="52"/>
    <n v="0"/>
  </r>
  <r>
    <n v="2233"/>
    <x v="15"/>
    <n v="1729"/>
    <x v="3"/>
    <x v="2"/>
    <x v="3"/>
    <n v="2"/>
    <n v="0"/>
    <s v="COD"/>
    <x v="2"/>
    <x v="1"/>
    <n v="3"/>
    <n v="0"/>
    <n v="1"/>
    <s v="Repeat"/>
    <x v="4"/>
    <n v="47"/>
    <n v="0"/>
  </r>
  <r>
    <n v="2234"/>
    <x v="9"/>
    <n v="1972"/>
    <x v="1"/>
    <x v="0"/>
    <x v="1"/>
    <n v="4"/>
    <n v="8064"/>
    <s v="COD"/>
    <x v="0"/>
    <x v="3"/>
    <n v="5"/>
    <n v="1"/>
    <n v="1"/>
    <s v="New"/>
    <x v="5"/>
    <n v="30"/>
    <n v="1"/>
  </r>
  <r>
    <n v="2235"/>
    <x v="14"/>
    <n v="1734"/>
    <x v="0"/>
    <x v="2"/>
    <x v="2"/>
    <n v="5"/>
    <n v="0"/>
    <s v="UPI"/>
    <x v="1"/>
    <x v="2"/>
    <n v="3"/>
    <n v="0"/>
    <n v="1"/>
    <s v="Repeat"/>
    <x v="0"/>
    <n v="34"/>
    <n v="0"/>
  </r>
  <r>
    <n v="2236"/>
    <x v="48"/>
    <n v="1704"/>
    <x v="2"/>
    <x v="1"/>
    <x v="2"/>
    <n v="2"/>
    <n v="0"/>
    <s v="Wallet"/>
    <x v="1"/>
    <x v="3"/>
    <n v="2"/>
    <n v="1"/>
    <n v="0"/>
    <s v="Repeat"/>
    <x v="3"/>
    <n v="50"/>
    <n v="0"/>
  </r>
  <r>
    <n v="2237"/>
    <x v="111"/>
    <n v="1806"/>
    <x v="1"/>
    <x v="0"/>
    <x v="0"/>
    <n v="3"/>
    <n v="0"/>
    <s v="UPI"/>
    <x v="1"/>
    <x v="3"/>
    <n v="8"/>
    <n v="0"/>
    <n v="1"/>
    <s v="Repeat"/>
    <x v="4"/>
    <n v="48"/>
    <n v="0"/>
  </r>
  <r>
    <n v="2238"/>
    <x v="56"/>
    <n v="1168"/>
    <x v="0"/>
    <x v="2"/>
    <x v="3"/>
    <n v="4"/>
    <n v="0"/>
    <s v="Card"/>
    <x v="1"/>
    <x v="2"/>
    <n v="9"/>
    <n v="1"/>
    <n v="1"/>
    <s v="Repeat"/>
    <x v="6"/>
    <n v="2"/>
    <n v="0"/>
  </r>
  <r>
    <n v="2239"/>
    <x v="39"/>
    <n v="1380"/>
    <x v="4"/>
    <x v="4"/>
    <x v="2"/>
    <n v="5"/>
    <n v="17185"/>
    <s v="Card"/>
    <x v="0"/>
    <x v="3"/>
    <n v="7"/>
    <n v="1"/>
    <n v="0"/>
    <s v="Repeat"/>
    <x v="0"/>
    <n v="34"/>
    <n v="1"/>
  </r>
  <r>
    <n v="2240"/>
    <x v="170"/>
    <n v="1734"/>
    <x v="0"/>
    <x v="3"/>
    <x v="0"/>
    <n v="1"/>
    <n v="0"/>
    <s v="COD"/>
    <x v="1"/>
    <x v="3"/>
    <n v="10"/>
    <n v="1"/>
    <n v="1"/>
    <s v="Repeat"/>
    <x v="4"/>
    <n v="48"/>
    <n v="0"/>
  </r>
  <r>
    <n v="2241"/>
    <x v="117"/>
    <n v="1179"/>
    <x v="0"/>
    <x v="3"/>
    <x v="0"/>
    <n v="4"/>
    <n v="0"/>
    <s v="COD"/>
    <x v="1"/>
    <x v="3"/>
    <n v="3"/>
    <n v="0"/>
    <n v="0"/>
    <s v="New"/>
    <x v="5"/>
    <n v="31"/>
    <n v="0"/>
  </r>
  <r>
    <n v="2242"/>
    <x v="28"/>
    <n v="1542"/>
    <x v="4"/>
    <x v="0"/>
    <x v="2"/>
    <n v="5"/>
    <n v="0"/>
    <s v="Wallet"/>
    <x v="1"/>
    <x v="2"/>
    <n v="8"/>
    <n v="1"/>
    <n v="0"/>
    <s v="Repeat"/>
    <x v="0"/>
    <n v="33"/>
    <n v="0"/>
  </r>
  <r>
    <n v="2243"/>
    <x v="125"/>
    <n v="1628"/>
    <x v="2"/>
    <x v="0"/>
    <x v="2"/>
    <n v="4"/>
    <n v="0"/>
    <s v="Card"/>
    <x v="2"/>
    <x v="2"/>
    <n v="5"/>
    <n v="1"/>
    <n v="0"/>
    <s v="Repeat"/>
    <x v="5"/>
    <n v="31"/>
    <n v="0"/>
  </r>
  <r>
    <n v="2244"/>
    <x v="163"/>
    <n v="1294"/>
    <x v="4"/>
    <x v="0"/>
    <x v="2"/>
    <n v="5"/>
    <n v="21230"/>
    <s v="UPI"/>
    <x v="0"/>
    <x v="1"/>
    <n v="2"/>
    <n v="1"/>
    <n v="1"/>
    <s v="New"/>
    <x v="4"/>
    <n v="45"/>
    <n v="1"/>
  </r>
  <r>
    <n v="2245"/>
    <x v="6"/>
    <n v="1743"/>
    <x v="4"/>
    <x v="4"/>
    <x v="1"/>
    <n v="4"/>
    <n v="13692"/>
    <s v="Wallet"/>
    <x v="0"/>
    <x v="2"/>
    <n v="10"/>
    <n v="1"/>
    <n v="0"/>
    <s v="New"/>
    <x v="4"/>
    <n v="47"/>
    <n v="1"/>
  </r>
  <r>
    <n v="2246"/>
    <x v="83"/>
    <n v="1774"/>
    <x v="3"/>
    <x v="1"/>
    <x v="1"/>
    <n v="1"/>
    <n v="0"/>
    <s v="Card"/>
    <x v="2"/>
    <x v="1"/>
    <n v="9"/>
    <n v="0"/>
    <n v="0"/>
    <s v="Repeat"/>
    <x v="1"/>
    <n v="36"/>
    <n v="0"/>
  </r>
  <r>
    <n v="2247"/>
    <x v="22"/>
    <n v="1781"/>
    <x v="3"/>
    <x v="4"/>
    <x v="1"/>
    <n v="3"/>
    <n v="0"/>
    <s v="Card"/>
    <x v="1"/>
    <x v="0"/>
    <n v="6"/>
    <n v="1"/>
    <n v="1"/>
    <s v="Repeat"/>
    <x v="6"/>
    <n v="2"/>
    <n v="0"/>
  </r>
  <r>
    <n v="2248"/>
    <x v="127"/>
    <n v="1048"/>
    <x v="4"/>
    <x v="1"/>
    <x v="0"/>
    <n v="3"/>
    <n v="0"/>
    <s v="COD"/>
    <x v="1"/>
    <x v="1"/>
    <n v="10"/>
    <n v="1"/>
    <n v="0"/>
    <s v="New"/>
    <x v="5"/>
    <n v="29"/>
    <n v="0"/>
  </r>
  <r>
    <n v="2249"/>
    <x v="13"/>
    <n v="1441"/>
    <x v="3"/>
    <x v="3"/>
    <x v="0"/>
    <n v="2"/>
    <n v="0"/>
    <s v="UPI"/>
    <x v="1"/>
    <x v="2"/>
    <n v="2"/>
    <n v="0"/>
    <n v="0"/>
    <s v="Repeat"/>
    <x v="2"/>
    <n v="41"/>
    <n v="0"/>
  </r>
  <r>
    <n v="2250"/>
    <x v="3"/>
    <n v="1091"/>
    <x v="1"/>
    <x v="1"/>
    <x v="3"/>
    <n v="5"/>
    <n v="0"/>
    <s v="Wallet"/>
    <x v="1"/>
    <x v="3"/>
    <n v="2"/>
    <n v="0"/>
    <n v="0"/>
    <s v="New"/>
    <x v="0"/>
    <n v="32"/>
    <n v="0"/>
  </r>
  <r>
    <n v="2251"/>
    <x v="19"/>
    <n v="1579"/>
    <x v="4"/>
    <x v="1"/>
    <x v="2"/>
    <n v="3"/>
    <n v="0"/>
    <s v="UPI"/>
    <x v="1"/>
    <x v="1"/>
    <n v="9"/>
    <n v="0"/>
    <n v="1"/>
    <s v="Repeat"/>
    <x v="0"/>
    <n v="33"/>
    <n v="0"/>
  </r>
  <r>
    <n v="2252"/>
    <x v="135"/>
    <n v="1767"/>
    <x v="4"/>
    <x v="4"/>
    <x v="1"/>
    <n v="3"/>
    <n v="14622"/>
    <s v="Card"/>
    <x v="0"/>
    <x v="0"/>
    <n v="10"/>
    <n v="0"/>
    <n v="0"/>
    <s v="Repeat"/>
    <x v="2"/>
    <n v="43"/>
    <n v="1"/>
  </r>
  <r>
    <n v="2253"/>
    <x v="31"/>
    <n v="1765"/>
    <x v="0"/>
    <x v="2"/>
    <x v="0"/>
    <n v="5"/>
    <n v="0"/>
    <s v="COD"/>
    <x v="2"/>
    <x v="3"/>
    <n v="1"/>
    <n v="1"/>
    <n v="1"/>
    <s v="New"/>
    <x v="2"/>
    <n v="44"/>
    <n v="0"/>
  </r>
  <r>
    <n v="2254"/>
    <x v="21"/>
    <n v="1183"/>
    <x v="3"/>
    <x v="0"/>
    <x v="1"/>
    <n v="3"/>
    <n v="0"/>
    <s v="UPI"/>
    <x v="2"/>
    <x v="0"/>
    <n v="1"/>
    <n v="0"/>
    <n v="1"/>
    <s v="New"/>
    <x v="2"/>
    <n v="43"/>
    <n v="0"/>
  </r>
  <r>
    <n v="2255"/>
    <x v="173"/>
    <n v="1302"/>
    <x v="1"/>
    <x v="2"/>
    <x v="3"/>
    <n v="5"/>
    <n v="6205"/>
    <s v="COD"/>
    <x v="0"/>
    <x v="1"/>
    <n v="1"/>
    <n v="0"/>
    <n v="1"/>
    <s v="New"/>
    <x v="5"/>
    <n v="30"/>
    <n v="1"/>
  </r>
  <r>
    <n v="2256"/>
    <x v="171"/>
    <n v="1987"/>
    <x v="3"/>
    <x v="4"/>
    <x v="0"/>
    <n v="2"/>
    <n v="8978"/>
    <s v="Card"/>
    <x v="0"/>
    <x v="1"/>
    <n v="8"/>
    <n v="0"/>
    <n v="1"/>
    <s v="Repeat"/>
    <x v="1"/>
    <n v="36"/>
    <n v="1"/>
  </r>
  <r>
    <n v="2257"/>
    <x v="85"/>
    <n v="1803"/>
    <x v="4"/>
    <x v="4"/>
    <x v="2"/>
    <n v="2"/>
    <n v="0"/>
    <s v="UPI"/>
    <x v="1"/>
    <x v="3"/>
    <n v="9"/>
    <n v="0"/>
    <n v="0"/>
    <s v="New"/>
    <x v="3"/>
    <n v="50"/>
    <n v="0"/>
  </r>
  <r>
    <n v="2258"/>
    <x v="30"/>
    <n v="1845"/>
    <x v="3"/>
    <x v="3"/>
    <x v="2"/>
    <n v="2"/>
    <n v="0"/>
    <s v="COD"/>
    <x v="2"/>
    <x v="0"/>
    <n v="9"/>
    <n v="0"/>
    <n v="1"/>
    <s v="New"/>
    <x v="3"/>
    <n v="51"/>
    <n v="0"/>
  </r>
  <r>
    <n v="2259"/>
    <x v="24"/>
    <n v="1922"/>
    <x v="1"/>
    <x v="3"/>
    <x v="0"/>
    <n v="5"/>
    <n v="0"/>
    <s v="UPI"/>
    <x v="1"/>
    <x v="3"/>
    <n v="2"/>
    <n v="1"/>
    <n v="1"/>
    <s v="New"/>
    <x v="5"/>
    <n v="30"/>
    <n v="0"/>
  </r>
  <r>
    <n v="2260"/>
    <x v="98"/>
    <n v="1590"/>
    <x v="4"/>
    <x v="3"/>
    <x v="2"/>
    <n v="5"/>
    <n v="0"/>
    <s v="COD"/>
    <x v="2"/>
    <x v="3"/>
    <n v="6"/>
    <n v="1"/>
    <n v="1"/>
    <s v="Repeat"/>
    <x v="3"/>
    <n v="51"/>
    <n v="0"/>
  </r>
  <r>
    <n v="2261"/>
    <x v="174"/>
    <n v="1745"/>
    <x v="4"/>
    <x v="1"/>
    <x v="2"/>
    <n v="5"/>
    <n v="5955"/>
    <s v="Wallet"/>
    <x v="0"/>
    <x v="2"/>
    <n v="8"/>
    <n v="0"/>
    <n v="1"/>
    <s v="Repeat"/>
    <x v="5"/>
    <n v="29"/>
    <n v="1"/>
  </r>
  <r>
    <n v="2262"/>
    <x v="20"/>
    <n v="1723"/>
    <x v="0"/>
    <x v="0"/>
    <x v="3"/>
    <n v="3"/>
    <n v="0"/>
    <s v="Card"/>
    <x v="2"/>
    <x v="2"/>
    <n v="10"/>
    <n v="0"/>
    <n v="1"/>
    <s v="New"/>
    <x v="0"/>
    <n v="32"/>
    <n v="0"/>
  </r>
  <r>
    <n v="2263"/>
    <x v="108"/>
    <n v="1369"/>
    <x v="2"/>
    <x v="4"/>
    <x v="1"/>
    <n v="3"/>
    <n v="3045"/>
    <s v="Card"/>
    <x v="0"/>
    <x v="2"/>
    <n v="8"/>
    <n v="1"/>
    <n v="0"/>
    <s v="Repeat"/>
    <x v="2"/>
    <n v="44"/>
    <n v="1"/>
  </r>
  <r>
    <n v="2264"/>
    <x v="36"/>
    <n v="1496"/>
    <x v="0"/>
    <x v="2"/>
    <x v="0"/>
    <n v="1"/>
    <n v="3275"/>
    <s v="UPI"/>
    <x v="0"/>
    <x v="3"/>
    <n v="8"/>
    <n v="1"/>
    <n v="1"/>
    <s v="Repeat"/>
    <x v="2"/>
    <n v="44"/>
    <n v="1"/>
  </r>
  <r>
    <n v="2265"/>
    <x v="46"/>
    <n v="1813"/>
    <x v="2"/>
    <x v="2"/>
    <x v="2"/>
    <n v="4"/>
    <n v="0"/>
    <s v="UPI"/>
    <x v="1"/>
    <x v="3"/>
    <n v="8"/>
    <n v="1"/>
    <n v="0"/>
    <s v="Repeat"/>
    <x v="5"/>
    <n v="30"/>
    <n v="0"/>
  </r>
  <r>
    <n v="2266"/>
    <x v="108"/>
    <n v="1921"/>
    <x v="3"/>
    <x v="3"/>
    <x v="2"/>
    <n v="3"/>
    <n v="0"/>
    <s v="Card"/>
    <x v="2"/>
    <x v="2"/>
    <n v="7"/>
    <n v="1"/>
    <n v="0"/>
    <s v="New"/>
    <x v="2"/>
    <n v="44"/>
    <n v="0"/>
  </r>
  <r>
    <n v="2267"/>
    <x v="177"/>
    <n v="1469"/>
    <x v="1"/>
    <x v="3"/>
    <x v="2"/>
    <n v="5"/>
    <n v="0"/>
    <s v="Card"/>
    <x v="2"/>
    <x v="2"/>
    <n v="10"/>
    <n v="1"/>
    <n v="0"/>
    <s v="New"/>
    <x v="4"/>
    <n v="45"/>
    <n v="0"/>
  </r>
  <r>
    <n v="2268"/>
    <x v="98"/>
    <n v="1459"/>
    <x v="2"/>
    <x v="0"/>
    <x v="3"/>
    <n v="1"/>
    <n v="0"/>
    <s v="COD"/>
    <x v="2"/>
    <x v="0"/>
    <n v="4"/>
    <n v="1"/>
    <n v="0"/>
    <s v="Repeat"/>
    <x v="3"/>
    <n v="51"/>
    <n v="0"/>
  </r>
  <r>
    <n v="2269"/>
    <x v="150"/>
    <n v="1382"/>
    <x v="0"/>
    <x v="4"/>
    <x v="2"/>
    <n v="5"/>
    <n v="18895"/>
    <s v="COD"/>
    <x v="0"/>
    <x v="1"/>
    <n v="9"/>
    <n v="1"/>
    <n v="0"/>
    <s v="New"/>
    <x v="0"/>
    <n v="35"/>
    <n v="1"/>
  </r>
  <r>
    <n v="2270"/>
    <x v="31"/>
    <n v="1984"/>
    <x v="3"/>
    <x v="4"/>
    <x v="2"/>
    <n v="3"/>
    <n v="10839"/>
    <s v="UPI"/>
    <x v="0"/>
    <x v="0"/>
    <n v="3"/>
    <n v="0"/>
    <n v="0"/>
    <s v="New"/>
    <x v="2"/>
    <n v="44"/>
    <n v="1"/>
  </r>
  <r>
    <n v="2271"/>
    <x v="152"/>
    <n v="1320"/>
    <x v="2"/>
    <x v="3"/>
    <x v="3"/>
    <n v="5"/>
    <n v="0"/>
    <s v="UPI"/>
    <x v="1"/>
    <x v="0"/>
    <n v="5"/>
    <n v="1"/>
    <n v="0"/>
    <s v="Repeat"/>
    <x v="2"/>
    <n v="42"/>
    <n v="0"/>
  </r>
  <r>
    <n v="2272"/>
    <x v="141"/>
    <n v="1601"/>
    <x v="2"/>
    <x v="1"/>
    <x v="1"/>
    <n v="1"/>
    <n v="0"/>
    <s v="Card"/>
    <x v="1"/>
    <x v="0"/>
    <n v="6"/>
    <n v="1"/>
    <n v="1"/>
    <s v="New"/>
    <x v="1"/>
    <n v="39"/>
    <n v="0"/>
  </r>
  <r>
    <n v="2273"/>
    <x v="5"/>
    <n v="1371"/>
    <x v="0"/>
    <x v="2"/>
    <x v="3"/>
    <n v="1"/>
    <n v="0"/>
    <s v="UPI"/>
    <x v="2"/>
    <x v="3"/>
    <n v="2"/>
    <n v="1"/>
    <n v="0"/>
    <s v="Repeat"/>
    <x v="0"/>
    <n v="33"/>
    <n v="0"/>
  </r>
  <r>
    <n v="2274"/>
    <x v="115"/>
    <n v="1672"/>
    <x v="2"/>
    <x v="0"/>
    <x v="2"/>
    <n v="3"/>
    <n v="0"/>
    <s v="Card"/>
    <x v="1"/>
    <x v="3"/>
    <n v="8"/>
    <n v="0"/>
    <n v="0"/>
    <s v="Repeat"/>
    <x v="4"/>
    <n v="48"/>
    <n v="0"/>
  </r>
  <r>
    <n v="2275"/>
    <x v="120"/>
    <n v="1957"/>
    <x v="3"/>
    <x v="4"/>
    <x v="1"/>
    <n v="4"/>
    <n v="0"/>
    <s v="Wallet"/>
    <x v="2"/>
    <x v="3"/>
    <n v="5"/>
    <n v="0"/>
    <n v="0"/>
    <s v="Repeat"/>
    <x v="6"/>
    <n v="1"/>
    <n v="0"/>
  </r>
  <r>
    <n v="2276"/>
    <x v="59"/>
    <n v="1533"/>
    <x v="2"/>
    <x v="2"/>
    <x v="0"/>
    <n v="5"/>
    <n v="2070"/>
    <s v="COD"/>
    <x v="0"/>
    <x v="3"/>
    <n v="7"/>
    <n v="0"/>
    <n v="0"/>
    <s v="Repeat"/>
    <x v="0"/>
    <n v="34"/>
    <n v="1"/>
  </r>
  <r>
    <n v="2277"/>
    <x v="20"/>
    <n v="1491"/>
    <x v="0"/>
    <x v="3"/>
    <x v="2"/>
    <n v="4"/>
    <n v="0"/>
    <s v="Wallet"/>
    <x v="2"/>
    <x v="1"/>
    <n v="8"/>
    <n v="1"/>
    <n v="0"/>
    <s v="Repeat"/>
    <x v="0"/>
    <n v="32"/>
    <n v="0"/>
  </r>
  <r>
    <n v="2278"/>
    <x v="95"/>
    <n v="1259"/>
    <x v="3"/>
    <x v="3"/>
    <x v="0"/>
    <n v="2"/>
    <n v="0"/>
    <s v="Card"/>
    <x v="1"/>
    <x v="2"/>
    <n v="1"/>
    <n v="0"/>
    <n v="0"/>
    <s v="New"/>
    <x v="4"/>
    <n v="47"/>
    <n v="0"/>
  </r>
  <r>
    <n v="2279"/>
    <x v="18"/>
    <n v="1933"/>
    <x v="3"/>
    <x v="2"/>
    <x v="1"/>
    <n v="4"/>
    <n v="14868"/>
    <s v="UPI"/>
    <x v="0"/>
    <x v="2"/>
    <n v="6"/>
    <n v="1"/>
    <n v="1"/>
    <s v="New"/>
    <x v="1"/>
    <n v="36"/>
    <n v="1"/>
  </r>
  <r>
    <n v="2280"/>
    <x v="13"/>
    <n v="1478"/>
    <x v="2"/>
    <x v="0"/>
    <x v="2"/>
    <n v="4"/>
    <n v="0"/>
    <s v="Wallet"/>
    <x v="1"/>
    <x v="3"/>
    <n v="8"/>
    <n v="1"/>
    <n v="1"/>
    <s v="Repeat"/>
    <x v="2"/>
    <n v="41"/>
    <n v="0"/>
  </r>
  <r>
    <n v="2281"/>
    <x v="139"/>
    <n v="1426"/>
    <x v="0"/>
    <x v="0"/>
    <x v="3"/>
    <n v="4"/>
    <n v="2792"/>
    <s v="UPI"/>
    <x v="0"/>
    <x v="3"/>
    <n v="8"/>
    <n v="1"/>
    <n v="1"/>
    <s v="New"/>
    <x v="4"/>
    <n v="45"/>
    <n v="1"/>
  </r>
  <r>
    <n v="2282"/>
    <x v="118"/>
    <n v="1079"/>
    <x v="4"/>
    <x v="0"/>
    <x v="0"/>
    <n v="2"/>
    <n v="9182"/>
    <s v="Wallet"/>
    <x v="0"/>
    <x v="1"/>
    <n v="5"/>
    <n v="0"/>
    <n v="0"/>
    <s v="New"/>
    <x v="0"/>
    <n v="35"/>
    <n v="1"/>
  </r>
  <r>
    <n v="2283"/>
    <x v="178"/>
    <n v="1421"/>
    <x v="0"/>
    <x v="0"/>
    <x v="3"/>
    <n v="3"/>
    <n v="0"/>
    <s v="Card"/>
    <x v="1"/>
    <x v="1"/>
    <n v="8"/>
    <n v="0"/>
    <n v="1"/>
    <s v="Repeat"/>
    <x v="4"/>
    <n v="45"/>
    <n v="0"/>
  </r>
  <r>
    <n v="2284"/>
    <x v="78"/>
    <n v="1553"/>
    <x v="4"/>
    <x v="0"/>
    <x v="0"/>
    <n v="2"/>
    <n v="0"/>
    <s v="COD"/>
    <x v="2"/>
    <x v="1"/>
    <n v="5"/>
    <n v="0"/>
    <n v="1"/>
    <s v="New"/>
    <x v="3"/>
    <n v="52"/>
    <n v="0"/>
  </r>
  <r>
    <n v="2285"/>
    <x v="172"/>
    <n v="1852"/>
    <x v="0"/>
    <x v="1"/>
    <x v="0"/>
    <n v="2"/>
    <n v="3360"/>
    <s v="UPI"/>
    <x v="0"/>
    <x v="2"/>
    <n v="8"/>
    <n v="1"/>
    <n v="0"/>
    <s v="Repeat"/>
    <x v="2"/>
    <n v="44"/>
    <n v="1"/>
  </r>
  <r>
    <n v="2286"/>
    <x v="24"/>
    <n v="1843"/>
    <x v="3"/>
    <x v="4"/>
    <x v="0"/>
    <n v="1"/>
    <n v="2520"/>
    <s v="COD"/>
    <x v="0"/>
    <x v="2"/>
    <n v="6"/>
    <n v="1"/>
    <n v="1"/>
    <s v="Repeat"/>
    <x v="5"/>
    <n v="30"/>
    <n v="1"/>
  </r>
  <r>
    <n v="2287"/>
    <x v="134"/>
    <n v="1754"/>
    <x v="4"/>
    <x v="2"/>
    <x v="2"/>
    <n v="4"/>
    <n v="0"/>
    <s v="UPI"/>
    <x v="1"/>
    <x v="1"/>
    <n v="10"/>
    <n v="1"/>
    <n v="1"/>
    <s v="New"/>
    <x v="3"/>
    <n v="51"/>
    <n v="0"/>
  </r>
  <r>
    <n v="2288"/>
    <x v="107"/>
    <n v="1532"/>
    <x v="0"/>
    <x v="1"/>
    <x v="2"/>
    <n v="5"/>
    <n v="0"/>
    <s v="COD"/>
    <x v="2"/>
    <x v="3"/>
    <n v="9"/>
    <n v="0"/>
    <n v="1"/>
    <s v="New"/>
    <x v="4"/>
    <n v="45"/>
    <n v="0"/>
  </r>
  <r>
    <n v="2289"/>
    <x v="150"/>
    <n v="1473"/>
    <x v="3"/>
    <x v="2"/>
    <x v="1"/>
    <n v="4"/>
    <n v="11732"/>
    <s v="COD"/>
    <x v="0"/>
    <x v="1"/>
    <n v="1"/>
    <n v="1"/>
    <n v="1"/>
    <s v="New"/>
    <x v="0"/>
    <n v="35"/>
    <n v="1"/>
  </r>
  <r>
    <n v="2290"/>
    <x v="24"/>
    <n v="1236"/>
    <x v="0"/>
    <x v="1"/>
    <x v="1"/>
    <n v="3"/>
    <n v="9546"/>
    <s v="UPI"/>
    <x v="0"/>
    <x v="3"/>
    <n v="10"/>
    <n v="0"/>
    <n v="1"/>
    <s v="Repeat"/>
    <x v="5"/>
    <n v="30"/>
    <n v="1"/>
  </r>
  <r>
    <n v="2291"/>
    <x v="51"/>
    <n v="1627"/>
    <x v="0"/>
    <x v="3"/>
    <x v="2"/>
    <n v="1"/>
    <n v="4404"/>
    <s v="COD"/>
    <x v="0"/>
    <x v="1"/>
    <n v="6"/>
    <n v="0"/>
    <n v="0"/>
    <s v="New"/>
    <x v="5"/>
    <n v="29"/>
    <n v="1"/>
  </r>
  <r>
    <n v="2292"/>
    <x v="160"/>
    <n v="1817"/>
    <x v="4"/>
    <x v="3"/>
    <x v="2"/>
    <n v="5"/>
    <n v="0"/>
    <s v="Wallet"/>
    <x v="1"/>
    <x v="2"/>
    <n v="2"/>
    <n v="1"/>
    <n v="1"/>
    <s v="Repeat"/>
    <x v="4"/>
    <n v="47"/>
    <n v="0"/>
  </r>
  <r>
    <n v="2293"/>
    <x v="115"/>
    <n v="1914"/>
    <x v="4"/>
    <x v="0"/>
    <x v="0"/>
    <n v="5"/>
    <n v="0"/>
    <s v="UPI"/>
    <x v="2"/>
    <x v="2"/>
    <n v="6"/>
    <n v="0"/>
    <n v="1"/>
    <s v="New"/>
    <x v="4"/>
    <n v="48"/>
    <n v="0"/>
  </r>
  <r>
    <n v="2294"/>
    <x v="151"/>
    <n v="1592"/>
    <x v="1"/>
    <x v="3"/>
    <x v="3"/>
    <n v="3"/>
    <n v="0"/>
    <s v="COD"/>
    <x v="1"/>
    <x v="3"/>
    <n v="4"/>
    <n v="0"/>
    <n v="0"/>
    <s v="Repeat"/>
    <x v="3"/>
    <n v="52"/>
    <n v="0"/>
  </r>
  <r>
    <n v="2295"/>
    <x v="28"/>
    <n v="1560"/>
    <x v="4"/>
    <x v="3"/>
    <x v="0"/>
    <n v="2"/>
    <n v="0"/>
    <s v="UPI"/>
    <x v="1"/>
    <x v="2"/>
    <n v="10"/>
    <n v="0"/>
    <n v="1"/>
    <s v="Repeat"/>
    <x v="0"/>
    <n v="33"/>
    <n v="0"/>
  </r>
  <r>
    <n v="2296"/>
    <x v="141"/>
    <n v="1264"/>
    <x v="4"/>
    <x v="2"/>
    <x v="1"/>
    <n v="3"/>
    <n v="14148"/>
    <s v="Card"/>
    <x v="0"/>
    <x v="3"/>
    <n v="8"/>
    <n v="1"/>
    <n v="1"/>
    <s v="New"/>
    <x v="1"/>
    <n v="39"/>
    <n v="1"/>
  </r>
  <r>
    <n v="2297"/>
    <x v="104"/>
    <n v="1894"/>
    <x v="2"/>
    <x v="2"/>
    <x v="2"/>
    <n v="3"/>
    <n v="13689"/>
    <s v="Card"/>
    <x v="0"/>
    <x v="2"/>
    <n v="6"/>
    <n v="0"/>
    <n v="0"/>
    <s v="New"/>
    <x v="5"/>
    <n v="29"/>
    <n v="1"/>
  </r>
  <r>
    <n v="2298"/>
    <x v="140"/>
    <n v="1056"/>
    <x v="3"/>
    <x v="0"/>
    <x v="3"/>
    <n v="3"/>
    <n v="0"/>
    <s v="Wallet"/>
    <x v="2"/>
    <x v="0"/>
    <n v="4"/>
    <n v="0"/>
    <n v="1"/>
    <s v="Repeat"/>
    <x v="4"/>
    <n v="48"/>
    <n v="0"/>
  </r>
  <r>
    <n v="2299"/>
    <x v="82"/>
    <n v="1833"/>
    <x v="1"/>
    <x v="4"/>
    <x v="0"/>
    <n v="4"/>
    <n v="0"/>
    <s v="Wallet"/>
    <x v="2"/>
    <x v="3"/>
    <n v="5"/>
    <n v="0"/>
    <n v="1"/>
    <s v="Repeat"/>
    <x v="0"/>
    <n v="33"/>
    <n v="0"/>
  </r>
  <r>
    <n v="2300"/>
    <x v="145"/>
    <n v="1242"/>
    <x v="2"/>
    <x v="4"/>
    <x v="2"/>
    <n v="4"/>
    <n v="6752"/>
    <s v="UPI"/>
    <x v="0"/>
    <x v="2"/>
    <n v="5"/>
    <n v="1"/>
    <n v="1"/>
    <s v="Repeat"/>
    <x v="4"/>
    <n v="48"/>
    <n v="1"/>
  </r>
  <r>
    <n v="2301"/>
    <x v="114"/>
    <n v="1034"/>
    <x v="3"/>
    <x v="3"/>
    <x v="1"/>
    <n v="3"/>
    <n v="0"/>
    <s v="UPI"/>
    <x v="1"/>
    <x v="1"/>
    <n v="8"/>
    <n v="0"/>
    <n v="1"/>
    <s v="New"/>
    <x v="3"/>
    <n v="50"/>
    <n v="0"/>
  </r>
  <r>
    <n v="2302"/>
    <x v="11"/>
    <n v="1425"/>
    <x v="3"/>
    <x v="1"/>
    <x v="1"/>
    <n v="4"/>
    <n v="9788"/>
    <s v="Wallet"/>
    <x v="0"/>
    <x v="3"/>
    <n v="4"/>
    <n v="0"/>
    <n v="0"/>
    <s v="Repeat"/>
    <x v="0"/>
    <n v="35"/>
    <n v="1"/>
  </r>
  <r>
    <n v="2303"/>
    <x v="28"/>
    <n v="1078"/>
    <x v="3"/>
    <x v="0"/>
    <x v="1"/>
    <n v="3"/>
    <n v="10026"/>
    <s v="COD"/>
    <x v="0"/>
    <x v="1"/>
    <n v="7"/>
    <n v="1"/>
    <n v="0"/>
    <s v="New"/>
    <x v="0"/>
    <n v="33"/>
    <n v="1"/>
  </r>
  <r>
    <n v="2304"/>
    <x v="98"/>
    <n v="1128"/>
    <x v="1"/>
    <x v="4"/>
    <x v="2"/>
    <n v="3"/>
    <n v="3744"/>
    <s v="Wallet"/>
    <x v="0"/>
    <x v="3"/>
    <n v="6"/>
    <n v="0"/>
    <n v="1"/>
    <s v="New"/>
    <x v="3"/>
    <n v="51"/>
    <n v="1"/>
  </r>
  <r>
    <n v="2305"/>
    <x v="165"/>
    <n v="1449"/>
    <x v="1"/>
    <x v="3"/>
    <x v="3"/>
    <n v="4"/>
    <n v="0"/>
    <s v="Card"/>
    <x v="2"/>
    <x v="0"/>
    <n v="6"/>
    <n v="1"/>
    <n v="1"/>
    <s v="Repeat"/>
    <x v="2"/>
    <n v="41"/>
    <n v="0"/>
  </r>
  <r>
    <n v="2306"/>
    <x v="174"/>
    <n v="1466"/>
    <x v="2"/>
    <x v="2"/>
    <x v="2"/>
    <n v="2"/>
    <n v="0"/>
    <s v="Wallet"/>
    <x v="2"/>
    <x v="1"/>
    <n v="10"/>
    <n v="1"/>
    <n v="1"/>
    <s v="New"/>
    <x v="5"/>
    <n v="29"/>
    <n v="0"/>
  </r>
  <r>
    <n v="2307"/>
    <x v="9"/>
    <n v="1899"/>
    <x v="1"/>
    <x v="1"/>
    <x v="2"/>
    <n v="1"/>
    <n v="0"/>
    <s v="Wallet"/>
    <x v="1"/>
    <x v="2"/>
    <n v="10"/>
    <n v="1"/>
    <n v="0"/>
    <s v="Repeat"/>
    <x v="5"/>
    <n v="30"/>
    <n v="0"/>
  </r>
  <r>
    <n v="2308"/>
    <x v="58"/>
    <n v="1478"/>
    <x v="1"/>
    <x v="3"/>
    <x v="2"/>
    <n v="5"/>
    <n v="13815"/>
    <s v="COD"/>
    <x v="0"/>
    <x v="1"/>
    <n v="8"/>
    <n v="0"/>
    <n v="0"/>
    <s v="New"/>
    <x v="5"/>
    <n v="31"/>
    <n v="1"/>
  </r>
  <r>
    <n v="2309"/>
    <x v="20"/>
    <n v="1760"/>
    <x v="0"/>
    <x v="0"/>
    <x v="0"/>
    <n v="1"/>
    <n v="0"/>
    <s v="UPI"/>
    <x v="1"/>
    <x v="2"/>
    <n v="2"/>
    <n v="1"/>
    <n v="0"/>
    <s v="New"/>
    <x v="0"/>
    <n v="32"/>
    <n v="0"/>
  </r>
  <r>
    <n v="2310"/>
    <x v="38"/>
    <n v="1913"/>
    <x v="4"/>
    <x v="4"/>
    <x v="3"/>
    <n v="4"/>
    <n v="0"/>
    <s v="Wallet"/>
    <x v="1"/>
    <x v="1"/>
    <n v="2"/>
    <n v="0"/>
    <n v="0"/>
    <s v="New"/>
    <x v="1"/>
    <n v="39"/>
    <n v="0"/>
  </r>
  <r>
    <n v="2311"/>
    <x v="99"/>
    <n v="1175"/>
    <x v="3"/>
    <x v="2"/>
    <x v="3"/>
    <n v="1"/>
    <n v="213"/>
    <s v="Card"/>
    <x v="0"/>
    <x v="1"/>
    <n v="3"/>
    <n v="1"/>
    <n v="1"/>
    <s v="Repeat"/>
    <x v="4"/>
    <n v="48"/>
    <n v="1"/>
  </r>
  <r>
    <n v="2312"/>
    <x v="76"/>
    <n v="1208"/>
    <x v="3"/>
    <x v="4"/>
    <x v="2"/>
    <n v="1"/>
    <n v="0"/>
    <s v="UPI"/>
    <x v="1"/>
    <x v="2"/>
    <n v="8"/>
    <n v="0"/>
    <n v="1"/>
    <s v="New"/>
    <x v="3"/>
    <n v="50"/>
    <n v="0"/>
  </r>
  <r>
    <n v="2313"/>
    <x v="164"/>
    <n v="1606"/>
    <x v="3"/>
    <x v="1"/>
    <x v="1"/>
    <n v="1"/>
    <n v="0"/>
    <s v="COD"/>
    <x v="2"/>
    <x v="2"/>
    <n v="1"/>
    <n v="0"/>
    <n v="1"/>
    <s v="New"/>
    <x v="0"/>
    <n v="34"/>
    <n v="0"/>
  </r>
  <r>
    <n v="2314"/>
    <x v="108"/>
    <n v="1808"/>
    <x v="0"/>
    <x v="1"/>
    <x v="3"/>
    <n v="1"/>
    <n v="2375"/>
    <s v="Wallet"/>
    <x v="0"/>
    <x v="1"/>
    <n v="4"/>
    <n v="0"/>
    <n v="1"/>
    <s v="New"/>
    <x v="2"/>
    <n v="44"/>
    <n v="1"/>
  </r>
  <r>
    <n v="2315"/>
    <x v="65"/>
    <n v="1920"/>
    <x v="1"/>
    <x v="3"/>
    <x v="2"/>
    <n v="4"/>
    <n v="0"/>
    <s v="UPI"/>
    <x v="2"/>
    <x v="0"/>
    <n v="7"/>
    <n v="1"/>
    <n v="1"/>
    <s v="Repeat"/>
    <x v="1"/>
    <n v="38"/>
    <n v="0"/>
  </r>
  <r>
    <n v="2316"/>
    <x v="6"/>
    <n v="1822"/>
    <x v="3"/>
    <x v="0"/>
    <x v="0"/>
    <n v="5"/>
    <n v="0"/>
    <s v="Wallet"/>
    <x v="2"/>
    <x v="2"/>
    <n v="4"/>
    <n v="0"/>
    <n v="0"/>
    <s v="Repeat"/>
    <x v="4"/>
    <n v="47"/>
    <n v="0"/>
  </r>
  <r>
    <n v="2317"/>
    <x v="60"/>
    <n v="1830"/>
    <x v="3"/>
    <x v="1"/>
    <x v="2"/>
    <n v="5"/>
    <n v="0"/>
    <s v="COD"/>
    <x v="2"/>
    <x v="3"/>
    <n v="4"/>
    <n v="1"/>
    <n v="0"/>
    <s v="Repeat"/>
    <x v="1"/>
    <n v="36"/>
    <n v="0"/>
  </r>
  <r>
    <n v="2318"/>
    <x v="76"/>
    <n v="1082"/>
    <x v="0"/>
    <x v="0"/>
    <x v="2"/>
    <n v="5"/>
    <n v="0"/>
    <s v="COD"/>
    <x v="1"/>
    <x v="0"/>
    <n v="3"/>
    <n v="1"/>
    <n v="1"/>
    <s v="New"/>
    <x v="3"/>
    <n v="50"/>
    <n v="0"/>
  </r>
  <r>
    <n v="2319"/>
    <x v="137"/>
    <n v="1231"/>
    <x v="0"/>
    <x v="3"/>
    <x v="1"/>
    <n v="2"/>
    <n v="4500"/>
    <s v="Card"/>
    <x v="0"/>
    <x v="1"/>
    <n v="1"/>
    <n v="0"/>
    <n v="0"/>
    <s v="Repeat"/>
    <x v="1"/>
    <n v="40"/>
    <n v="1"/>
  </r>
  <r>
    <n v="2320"/>
    <x v="77"/>
    <n v="1693"/>
    <x v="2"/>
    <x v="2"/>
    <x v="3"/>
    <n v="4"/>
    <n v="0"/>
    <s v="Card"/>
    <x v="1"/>
    <x v="1"/>
    <n v="10"/>
    <n v="0"/>
    <n v="0"/>
    <s v="Repeat"/>
    <x v="1"/>
    <n v="38"/>
    <n v="0"/>
  </r>
  <r>
    <n v="2321"/>
    <x v="58"/>
    <n v="1803"/>
    <x v="4"/>
    <x v="0"/>
    <x v="2"/>
    <n v="3"/>
    <n v="0"/>
    <s v="Wallet"/>
    <x v="1"/>
    <x v="1"/>
    <n v="4"/>
    <n v="0"/>
    <n v="0"/>
    <s v="Repeat"/>
    <x v="5"/>
    <n v="31"/>
    <n v="0"/>
  </r>
  <r>
    <n v="2322"/>
    <x v="136"/>
    <n v="1651"/>
    <x v="1"/>
    <x v="0"/>
    <x v="2"/>
    <n v="2"/>
    <n v="0"/>
    <s v="Card"/>
    <x v="1"/>
    <x v="1"/>
    <n v="2"/>
    <n v="0"/>
    <n v="0"/>
    <s v="Repeat"/>
    <x v="2"/>
    <n v="40"/>
    <n v="0"/>
  </r>
  <r>
    <n v="2323"/>
    <x v="152"/>
    <n v="1969"/>
    <x v="4"/>
    <x v="4"/>
    <x v="1"/>
    <n v="3"/>
    <n v="0"/>
    <s v="UPI"/>
    <x v="2"/>
    <x v="3"/>
    <n v="8"/>
    <n v="1"/>
    <n v="1"/>
    <s v="Repeat"/>
    <x v="2"/>
    <n v="42"/>
    <n v="0"/>
  </r>
  <r>
    <n v="2324"/>
    <x v="112"/>
    <n v="1621"/>
    <x v="4"/>
    <x v="3"/>
    <x v="1"/>
    <n v="3"/>
    <n v="0"/>
    <s v="Wallet"/>
    <x v="2"/>
    <x v="0"/>
    <n v="8"/>
    <n v="1"/>
    <n v="0"/>
    <s v="New"/>
    <x v="5"/>
    <n v="30"/>
    <n v="0"/>
  </r>
  <r>
    <n v="2325"/>
    <x v="92"/>
    <n v="1508"/>
    <x v="0"/>
    <x v="0"/>
    <x v="0"/>
    <n v="1"/>
    <n v="3462"/>
    <s v="Card"/>
    <x v="0"/>
    <x v="2"/>
    <n v="2"/>
    <n v="0"/>
    <n v="0"/>
    <s v="New"/>
    <x v="3"/>
    <n v="53"/>
    <n v="1"/>
  </r>
  <r>
    <n v="2326"/>
    <x v="7"/>
    <n v="1518"/>
    <x v="0"/>
    <x v="3"/>
    <x v="0"/>
    <n v="1"/>
    <n v="0"/>
    <s v="COD"/>
    <x v="2"/>
    <x v="2"/>
    <n v="7"/>
    <n v="0"/>
    <n v="0"/>
    <s v="New"/>
    <x v="3"/>
    <n v="49"/>
    <n v="0"/>
  </r>
  <r>
    <n v="2327"/>
    <x v="108"/>
    <n v="1981"/>
    <x v="3"/>
    <x v="3"/>
    <x v="1"/>
    <n v="3"/>
    <n v="0"/>
    <s v="UPI"/>
    <x v="1"/>
    <x v="3"/>
    <n v="9"/>
    <n v="1"/>
    <n v="1"/>
    <s v="Repeat"/>
    <x v="2"/>
    <n v="44"/>
    <n v="0"/>
  </r>
  <r>
    <n v="2328"/>
    <x v="100"/>
    <n v="1430"/>
    <x v="4"/>
    <x v="1"/>
    <x v="3"/>
    <n v="2"/>
    <n v="0"/>
    <s v="UPI"/>
    <x v="2"/>
    <x v="2"/>
    <n v="8"/>
    <n v="1"/>
    <n v="0"/>
    <s v="New"/>
    <x v="1"/>
    <n v="37"/>
    <n v="0"/>
  </r>
  <r>
    <n v="2329"/>
    <x v="118"/>
    <n v="1660"/>
    <x v="3"/>
    <x v="1"/>
    <x v="0"/>
    <n v="3"/>
    <n v="13302"/>
    <s v="COD"/>
    <x v="0"/>
    <x v="3"/>
    <n v="7"/>
    <n v="1"/>
    <n v="0"/>
    <s v="New"/>
    <x v="0"/>
    <n v="35"/>
    <n v="1"/>
  </r>
  <r>
    <n v="2330"/>
    <x v="22"/>
    <n v="1358"/>
    <x v="3"/>
    <x v="0"/>
    <x v="1"/>
    <n v="3"/>
    <n v="0"/>
    <s v="COD"/>
    <x v="2"/>
    <x v="0"/>
    <n v="10"/>
    <n v="1"/>
    <n v="0"/>
    <s v="New"/>
    <x v="6"/>
    <n v="2"/>
    <n v="0"/>
  </r>
  <r>
    <n v="2331"/>
    <x v="11"/>
    <n v="1774"/>
    <x v="2"/>
    <x v="0"/>
    <x v="3"/>
    <n v="1"/>
    <n v="0"/>
    <s v="Wallet"/>
    <x v="1"/>
    <x v="0"/>
    <n v="2"/>
    <n v="0"/>
    <n v="0"/>
    <s v="Repeat"/>
    <x v="0"/>
    <n v="35"/>
    <n v="0"/>
  </r>
  <r>
    <n v="2332"/>
    <x v="100"/>
    <n v="1317"/>
    <x v="1"/>
    <x v="3"/>
    <x v="3"/>
    <n v="4"/>
    <n v="16460"/>
    <s v="Card"/>
    <x v="0"/>
    <x v="1"/>
    <n v="7"/>
    <n v="1"/>
    <n v="0"/>
    <s v="Repeat"/>
    <x v="1"/>
    <n v="37"/>
    <n v="1"/>
  </r>
  <r>
    <n v="2333"/>
    <x v="69"/>
    <n v="1259"/>
    <x v="2"/>
    <x v="4"/>
    <x v="0"/>
    <n v="5"/>
    <n v="2115"/>
    <s v="Card"/>
    <x v="0"/>
    <x v="3"/>
    <n v="6"/>
    <n v="1"/>
    <n v="1"/>
    <s v="New"/>
    <x v="2"/>
    <n v="40"/>
    <n v="1"/>
  </r>
  <r>
    <n v="2334"/>
    <x v="146"/>
    <n v="1241"/>
    <x v="1"/>
    <x v="3"/>
    <x v="3"/>
    <n v="2"/>
    <n v="0"/>
    <s v="UPI"/>
    <x v="1"/>
    <x v="0"/>
    <n v="5"/>
    <n v="1"/>
    <n v="0"/>
    <s v="New"/>
    <x v="2"/>
    <n v="40"/>
    <n v="0"/>
  </r>
  <r>
    <n v="2335"/>
    <x v="67"/>
    <n v="1992"/>
    <x v="4"/>
    <x v="4"/>
    <x v="2"/>
    <n v="3"/>
    <n v="0"/>
    <s v="COD"/>
    <x v="1"/>
    <x v="0"/>
    <n v="3"/>
    <n v="0"/>
    <n v="0"/>
    <s v="Repeat"/>
    <x v="1"/>
    <n v="36"/>
    <n v="0"/>
  </r>
  <r>
    <n v="2336"/>
    <x v="143"/>
    <n v="1802"/>
    <x v="0"/>
    <x v="4"/>
    <x v="2"/>
    <n v="5"/>
    <n v="12850"/>
    <s v="Card"/>
    <x v="0"/>
    <x v="2"/>
    <n v="2"/>
    <n v="1"/>
    <n v="0"/>
    <s v="New"/>
    <x v="2"/>
    <n v="43"/>
    <n v="1"/>
  </r>
  <r>
    <n v="2337"/>
    <x v="120"/>
    <n v="1230"/>
    <x v="1"/>
    <x v="3"/>
    <x v="0"/>
    <n v="1"/>
    <n v="0"/>
    <s v="Card"/>
    <x v="1"/>
    <x v="1"/>
    <n v="7"/>
    <n v="0"/>
    <n v="0"/>
    <s v="Repeat"/>
    <x v="6"/>
    <n v="1"/>
    <n v="0"/>
  </r>
  <r>
    <n v="2338"/>
    <x v="35"/>
    <n v="1542"/>
    <x v="1"/>
    <x v="1"/>
    <x v="1"/>
    <n v="4"/>
    <n v="0"/>
    <s v="Wallet"/>
    <x v="2"/>
    <x v="0"/>
    <n v="5"/>
    <n v="1"/>
    <n v="1"/>
    <s v="New"/>
    <x v="0"/>
    <n v="35"/>
    <n v="0"/>
  </r>
  <r>
    <n v="2339"/>
    <x v="142"/>
    <n v="1320"/>
    <x v="1"/>
    <x v="2"/>
    <x v="0"/>
    <n v="1"/>
    <n v="0"/>
    <s v="Card"/>
    <x v="2"/>
    <x v="1"/>
    <n v="8"/>
    <n v="1"/>
    <n v="0"/>
    <s v="Repeat"/>
    <x v="2"/>
    <n v="42"/>
    <n v="0"/>
  </r>
  <r>
    <n v="2340"/>
    <x v="154"/>
    <n v="1240"/>
    <x v="3"/>
    <x v="1"/>
    <x v="0"/>
    <n v="3"/>
    <n v="0"/>
    <s v="UPI"/>
    <x v="2"/>
    <x v="2"/>
    <n v="10"/>
    <n v="0"/>
    <n v="0"/>
    <s v="New"/>
    <x v="2"/>
    <n v="42"/>
    <n v="0"/>
  </r>
  <r>
    <n v="2341"/>
    <x v="3"/>
    <n v="1328"/>
    <x v="4"/>
    <x v="4"/>
    <x v="1"/>
    <n v="2"/>
    <n v="0"/>
    <s v="UPI"/>
    <x v="2"/>
    <x v="1"/>
    <n v="10"/>
    <n v="0"/>
    <n v="1"/>
    <s v="Repeat"/>
    <x v="0"/>
    <n v="32"/>
    <n v="0"/>
  </r>
  <r>
    <n v="2342"/>
    <x v="165"/>
    <n v="1802"/>
    <x v="2"/>
    <x v="4"/>
    <x v="1"/>
    <n v="1"/>
    <n v="0"/>
    <s v="Card"/>
    <x v="1"/>
    <x v="3"/>
    <n v="6"/>
    <n v="0"/>
    <n v="0"/>
    <s v="New"/>
    <x v="2"/>
    <n v="41"/>
    <n v="0"/>
  </r>
  <r>
    <n v="2343"/>
    <x v="159"/>
    <n v="1789"/>
    <x v="1"/>
    <x v="3"/>
    <x v="2"/>
    <n v="5"/>
    <n v="0"/>
    <s v="Card"/>
    <x v="2"/>
    <x v="3"/>
    <n v="10"/>
    <n v="1"/>
    <n v="1"/>
    <s v="Repeat"/>
    <x v="3"/>
    <n v="49"/>
    <n v="0"/>
  </r>
  <r>
    <n v="2344"/>
    <x v="8"/>
    <n v="1011"/>
    <x v="3"/>
    <x v="1"/>
    <x v="1"/>
    <n v="1"/>
    <n v="0"/>
    <s v="Wallet"/>
    <x v="1"/>
    <x v="1"/>
    <n v="7"/>
    <n v="0"/>
    <n v="0"/>
    <s v="New"/>
    <x v="0"/>
    <n v="32"/>
    <n v="0"/>
  </r>
  <r>
    <n v="2345"/>
    <x v="103"/>
    <n v="1771"/>
    <x v="0"/>
    <x v="4"/>
    <x v="1"/>
    <n v="5"/>
    <n v="0"/>
    <s v="Card"/>
    <x v="2"/>
    <x v="3"/>
    <n v="8"/>
    <n v="1"/>
    <n v="1"/>
    <s v="New"/>
    <x v="1"/>
    <n v="38"/>
    <n v="0"/>
  </r>
  <r>
    <n v="2346"/>
    <x v="162"/>
    <n v="1898"/>
    <x v="4"/>
    <x v="3"/>
    <x v="2"/>
    <n v="1"/>
    <n v="0"/>
    <s v="Wallet"/>
    <x v="1"/>
    <x v="0"/>
    <n v="7"/>
    <n v="0"/>
    <n v="1"/>
    <s v="New"/>
    <x v="2"/>
    <n v="43"/>
    <n v="0"/>
  </r>
  <r>
    <n v="2347"/>
    <x v="160"/>
    <n v="1989"/>
    <x v="2"/>
    <x v="1"/>
    <x v="1"/>
    <n v="2"/>
    <n v="0"/>
    <s v="UPI"/>
    <x v="2"/>
    <x v="1"/>
    <n v="7"/>
    <n v="1"/>
    <n v="1"/>
    <s v="New"/>
    <x v="4"/>
    <n v="47"/>
    <n v="0"/>
  </r>
  <r>
    <n v="2348"/>
    <x v="160"/>
    <n v="1708"/>
    <x v="3"/>
    <x v="2"/>
    <x v="3"/>
    <n v="2"/>
    <n v="0"/>
    <s v="Wallet"/>
    <x v="1"/>
    <x v="1"/>
    <n v="7"/>
    <n v="1"/>
    <n v="1"/>
    <s v="New"/>
    <x v="4"/>
    <n v="47"/>
    <n v="0"/>
  </r>
  <r>
    <n v="2349"/>
    <x v="122"/>
    <n v="1287"/>
    <x v="4"/>
    <x v="4"/>
    <x v="3"/>
    <n v="5"/>
    <n v="0"/>
    <s v="COD"/>
    <x v="2"/>
    <x v="2"/>
    <n v="5"/>
    <n v="0"/>
    <n v="1"/>
    <s v="New"/>
    <x v="3"/>
    <n v="53"/>
    <n v="0"/>
  </r>
  <r>
    <n v="2350"/>
    <x v="27"/>
    <n v="1220"/>
    <x v="4"/>
    <x v="3"/>
    <x v="3"/>
    <n v="4"/>
    <n v="0"/>
    <s v="UPI"/>
    <x v="1"/>
    <x v="2"/>
    <n v="10"/>
    <n v="0"/>
    <n v="0"/>
    <s v="Repeat"/>
    <x v="1"/>
    <n v="37"/>
    <n v="0"/>
  </r>
  <r>
    <n v="2351"/>
    <x v="44"/>
    <n v="1530"/>
    <x v="1"/>
    <x v="0"/>
    <x v="2"/>
    <n v="1"/>
    <n v="0"/>
    <s v="Card"/>
    <x v="2"/>
    <x v="0"/>
    <n v="4"/>
    <n v="0"/>
    <n v="0"/>
    <s v="Repeat"/>
    <x v="4"/>
    <n v="47"/>
    <n v="0"/>
  </r>
  <r>
    <n v="2352"/>
    <x v="58"/>
    <n v="1652"/>
    <x v="3"/>
    <x v="4"/>
    <x v="2"/>
    <n v="3"/>
    <n v="12159"/>
    <s v="UPI"/>
    <x v="0"/>
    <x v="0"/>
    <n v="3"/>
    <n v="0"/>
    <n v="0"/>
    <s v="Repeat"/>
    <x v="5"/>
    <n v="31"/>
    <n v="1"/>
  </r>
  <r>
    <n v="2353"/>
    <x v="73"/>
    <n v="1305"/>
    <x v="4"/>
    <x v="1"/>
    <x v="0"/>
    <n v="1"/>
    <n v="1119"/>
    <s v="Wallet"/>
    <x v="0"/>
    <x v="0"/>
    <n v="7"/>
    <n v="1"/>
    <n v="0"/>
    <s v="Repeat"/>
    <x v="4"/>
    <n v="45"/>
    <n v="1"/>
  </r>
  <r>
    <n v="2354"/>
    <x v="62"/>
    <n v="1384"/>
    <x v="1"/>
    <x v="1"/>
    <x v="2"/>
    <n v="3"/>
    <n v="14865"/>
    <s v="UPI"/>
    <x v="0"/>
    <x v="1"/>
    <n v="4"/>
    <n v="1"/>
    <n v="0"/>
    <s v="Repeat"/>
    <x v="2"/>
    <n v="43"/>
    <n v="1"/>
  </r>
  <r>
    <n v="2355"/>
    <x v="58"/>
    <n v="1856"/>
    <x v="4"/>
    <x v="2"/>
    <x v="1"/>
    <n v="5"/>
    <n v="0"/>
    <s v="Card"/>
    <x v="1"/>
    <x v="3"/>
    <n v="9"/>
    <n v="1"/>
    <n v="1"/>
    <s v="New"/>
    <x v="5"/>
    <n v="31"/>
    <n v="0"/>
  </r>
  <r>
    <n v="2356"/>
    <x v="109"/>
    <n v="1728"/>
    <x v="3"/>
    <x v="3"/>
    <x v="1"/>
    <n v="4"/>
    <n v="0"/>
    <s v="UPI"/>
    <x v="1"/>
    <x v="3"/>
    <n v="3"/>
    <n v="1"/>
    <n v="1"/>
    <s v="Repeat"/>
    <x v="4"/>
    <n v="46"/>
    <n v="0"/>
  </r>
  <r>
    <n v="2357"/>
    <x v="56"/>
    <n v="1598"/>
    <x v="2"/>
    <x v="0"/>
    <x v="2"/>
    <n v="5"/>
    <n v="0"/>
    <s v="Wallet"/>
    <x v="1"/>
    <x v="1"/>
    <n v="8"/>
    <n v="0"/>
    <n v="1"/>
    <s v="Repeat"/>
    <x v="6"/>
    <n v="2"/>
    <n v="0"/>
  </r>
  <r>
    <n v="2358"/>
    <x v="1"/>
    <n v="1331"/>
    <x v="3"/>
    <x v="3"/>
    <x v="3"/>
    <n v="3"/>
    <n v="0"/>
    <s v="Card"/>
    <x v="2"/>
    <x v="2"/>
    <n v="3"/>
    <n v="1"/>
    <n v="1"/>
    <s v="New"/>
    <x v="1"/>
    <n v="39"/>
    <n v="0"/>
  </r>
  <r>
    <n v="2359"/>
    <x v="120"/>
    <n v="1377"/>
    <x v="2"/>
    <x v="1"/>
    <x v="3"/>
    <n v="3"/>
    <n v="0"/>
    <s v="Wallet"/>
    <x v="1"/>
    <x v="1"/>
    <n v="2"/>
    <n v="1"/>
    <n v="1"/>
    <s v="Repeat"/>
    <x v="6"/>
    <n v="1"/>
    <n v="0"/>
  </r>
  <r>
    <n v="2360"/>
    <x v="15"/>
    <n v="1622"/>
    <x v="0"/>
    <x v="4"/>
    <x v="2"/>
    <n v="4"/>
    <n v="9492"/>
    <s v="COD"/>
    <x v="0"/>
    <x v="0"/>
    <n v="8"/>
    <n v="0"/>
    <n v="0"/>
    <s v="New"/>
    <x v="4"/>
    <n v="47"/>
    <n v="1"/>
  </r>
  <r>
    <n v="2361"/>
    <x v="44"/>
    <n v="1261"/>
    <x v="4"/>
    <x v="1"/>
    <x v="0"/>
    <n v="4"/>
    <n v="0"/>
    <s v="Wallet"/>
    <x v="2"/>
    <x v="3"/>
    <n v="4"/>
    <n v="0"/>
    <n v="1"/>
    <s v="New"/>
    <x v="4"/>
    <n v="47"/>
    <n v="0"/>
  </r>
  <r>
    <n v="2362"/>
    <x v="62"/>
    <n v="1736"/>
    <x v="1"/>
    <x v="4"/>
    <x v="2"/>
    <n v="2"/>
    <n v="0"/>
    <s v="Card"/>
    <x v="2"/>
    <x v="0"/>
    <n v="4"/>
    <n v="0"/>
    <n v="1"/>
    <s v="Repeat"/>
    <x v="2"/>
    <n v="43"/>
    <n v="0"/>
  </r>
  <r>
    <n v="2363"/>
    <x v="112"/>
    <n v="1924"/>
    <x v="3"/>
    <x v="2"/>
    <x v="0"/>
    <n v="4"/>
    <n v="7020"/>
    <s v="UPI"/>
    <x v="0"/>
    <x v="0"/>
    <n v="2"/>
    <n v="0"/>
    <n v="0"/>
    <s v="New"/>
    <x v="5"/>
    <n v="30"/>
    <n v="1"/>
  </r>
  <r>
    <n v="2364"/>
    <x v="128"/>
    <n v="1673"/>
    <x v="2"/>
    <x v="2"/>
    <x v="2"/>
    <n v="2"/>
    <n v="0"/>
    <s v="COD"/>
    <x v="1"/>
    <x v="1"/>
    <n v="3"/>
    <n v="0"/>
    <n v="1"/>
    <s v="Repeat"/>
    <x v="1"/>
    <n v="39"/>
    <n v="0"/>
  </r>
  <r>
    <n v="2365"/>
    <x v="91"/>
    <n v="1193"/>
    <x v="1"/>
    <x v="2"/>
    <x v="2"/>
    <n v="2"/>
    <n v="3808"/>
    <s v="UPI"/>
    <x v="0"/>
    <x v="1"/>
    <n v="1"/>
    <n v="1"/>
    <n v="0"/>
    <s v="New"/>
    <x v="3"/>
    <n v="52"/>
    <n v="1"/>
  </r>
  <r>
    <n v="2366"/>
    <x v="65"/>
    <n v="1388"/>
    <x v="1"/>
    <x v="1"/>
    <x v="0"/>
    <n v="4"/>
    <n v="0"/>
    <s v="UPI"/>
    <x v="1"/>
    <x v="2"/>
    <n v="4"/>
    <n v="1"/>
    <n v="1"/>
    <s v="New"/>
    <x v="1"/>
    <n v="38"/>
    <n v="0"/>
  </r>
  <r>
    <n v="2367"/>
    <x v="98"/>
    <n v="1516"/>
    <x v="0"/>
    <x v="4"/>
    <x v="2"/>
    <n v="3"/>
    <n v="6150"/>
    <s v="COD"/>
    <x v="0"/>
    <x v="3"/>
    <n v="5"/>
    <n v="0"/>
    <n v="0"/>
    <s v="Repeat"/>
    <x v="3"/>
    <n v="51"/>
    <n v="1"/>
  </r>
  <r>
    <n v="2368"/>
    <x v="151"/>
    <n v="1291"/>
    <x v="4"/>
    <x v="4"/>
    <x v="0"/>
    <n v="3"/>
    <n v="3492"/>
    <s v="UPI"/>
    <x v="0"/>
    <x v="3"/>
    <n v="6"/>
    <n v="0"/>
    <n v="1"/>
    <s v="Repeat"/>
    <x v="3"/>
    <n v="52"/>
    <n v="1"/>
  </r>
  <r>
    <n v="2369"/>
    <x v="68"/>
    <n v="1437"/>
    <x v="4"/>
    <x v="2"/>
    <x v="1"/>
    <n v="2"/>
    <n v="5392"/>
    <s v="Card"/>
    <x v="0"/>
    <x v="3"/>
    <n v="9"/>
    <n v="1"/>
    <n v="1"/>
    <s v="New"/>
    <x v="0"/>
    <n v="32"/>
    <n v="1"/>
  </r>
  <r>
    <n v="2370"/>
    <x v="169"/>
    <n v="1884"/>
    <x v="1"/>
    <x v="3"/>
    <x v="3"/>
    <n v="5"/>
    <n v="0"/>
    <s v="Card"/>
    <x v="2"/>
    <x v="2"/>
    <n v="5"/>
    <n v="1"/>
    <n v="0"/>
    <s v="New"/>
    <x v="2"/>
    <n v="43"/>
    <n v="0"/>
  </r>
  <r>
    <n v="2371"/>
    <x v="22"/>
    <n v="1103"/>
    <x v="0"/>
    <x v="2"/>
    <x v="3"/>
    <n v="2"/>
    <n v="3376"/>
    <s v="UPI"/>
    <x v="0"/>
    <x v="3"/>
    <n v="5"/>
    <n v="0"/>
    <n v="0"/>
    <s v="Repeat"/>
    <x v="6"/>
    <n v="2"/>
    <n v="1"/>
  </r>
  <r>
    <n v="2372"/>
    <x v="113"/>
    <n v="1329"/>
    <x v="2"/>
    <x v="1"/>
    <x v="3"/>
    <n v="2"/>
    <n v="1318"/>
    <s v="UPI"/>
    <x v="0"/>
    <x v="0"/>
    <n v="9"/>
    <n v="0"/>
    <n v="1"/>
    <s v="New"/>
    <x v="0"/>
    <n v="33"/>
    <n v="1"/>
  </r>
  <r>
    <n v="2373"/>
    <x v="18"/>
    <n v="1922"/>
    <x v="1"/>
    <x v="1"/>
    <x v="2"/>
    <n v="1"/>
    <n v="1025"/>
    <s v="COD"/>
    <x v="0"/>
    <x v="1"/>
    <n v="9"/>
    <n v="1"/>
    <n v="1"/>
    <s v="Repeat"/>
    <x v="1"/>
    <n v="36"/>
    <n v="1"/>
  </r>
  <r>
    <n v="2374"/>
    <x v="157"/>
    <n v="1592"/>
    <x v="4"/>
    <x v="4"/>
    <x v="1"/>
    <n v="3"/>
    <n v="0"/>
    <s v="COD"/>
    <x v="2"/>
    <x v="2"/>
    <n v="7"/>
    <n v="0"/>
    <n v="1"/>
    <s v="Repeat"/>
    <x v="2"/>
    <n v="41"/>
    <n v="0"/>
  </r>
  <r>
    <n v="2375"/>
    <x v="5"/>
    <n v="1917"/>
    <x v="1"/>
    <x v="3"/>
    <x v="2"/>
    <n v="4"/>
    <n v="7660"/>
    <s v="UPI"/>
    <x v="0"/>
    <x v="3"/>
    <n v="5"/>
    <n v="0"/>
    <n v="0"/>
    <s v="Repeat"/>
    <x v="0"/>
    <n v="33"/>
    <n v="1"/>
  </r>
  <r>
    <n v="2376"/>
    <x v="72"/>
    <n v="1818"/>
    <x v="0"/>
    <x v="3"/>
    <x v="2"/>
    <n v="2"/>
    <n v="0"/>
    <s v="Wallet"/>
    <x v="1"/>
    <x v="1"/>
    <n v="1"/>
    <n v="0"/>
    <n v="0"/>
    <s v="New"/>
    <x v="2"/>
    <n v="41"/>
    <n v="0"/>
  </r>
  <r>
    <n v="2377"/>
    <x v="96"/>
    <n v="1990"/>
    <x v="1"/>
    <x v="1"/>
    <x v="2"/>
    <n v="5"/>
    <n v="0"/>
    <s v="Card"/>
    <x v="2"/>
    <x v="3"/>
    <n v="7"/>
    <n v="0"/>
    <n v="1"/>
    <s v="Repeat"/>
    <x v="4"/>
    <n v="45"/>
    <n v="0"/>
  </r>
  <r>
    <n v="2378"/>
    <x v="173"/>
    <n v="1844"/>
    <x v="1"/>
    <x v="1"/>
    <x v="1"/>
    <n v="2"/>
    <n v="0"/>
    <s v="Card"/>
    <x v="1"/>
    <x v="2"/>
    <n v="2"/>
    <n v="0"/>
    <n v="0"/>
    <s v="Repeat"/>
    <x v="5"/>
    <n v="30"/>
    <n v="0"/>
  </r>
  <r>
    <n v="2379"/>
    <x v="173"/>
    <n v="1656"/>
    <x v="0"/>
    <x v="3"/>
    <x v="2"/>
    <n v="4"/>
    <n v="0"/>
    <s v="UPI"/>
    <x v="2"/>
    <x v="1"/>
    <n v="1"/>
    <n v="0"/>
    <n v="0"/>
    <s v="New"/>
    <x v="5"/>
    <n v="30"/>
    <n v="0"/>
  </r>
  <r>
    <n v="2380"/>
    <x v="154"/>
    <n v="1491"/>
    <x v="0"/>
    <x v="2"/>
    <x v="2"/>
    <n v="3"/>
    <n v="0"/>
    <s v="COD"/>
    <x v="1"/>
    <x v="0"/>
    <n v="6"/>
    <n v="0"/>
    <n v="1"/>
    <s v="New"/>
    <x v="2"/>
    <n v="42"/>
    <n v="0"/>
  </r>
  <r>
    <n v="2381"/>
    <x v="94"/>
    <n v="1139"/>
    <x v="2"/>
    <x v="3"/>
    <x v="3"/>
    <n v="4"/>
    <n v="0"/>
    <s v="Card"/>
    <x v="1"/>
    <x v="3"/>
    <n v="8"/>
    <n v="0"/>
    <n v="1"/>
    <s v="New"/>
    <x v="1"/>
    <n v="40"/>
    <n v="0"/>
  </r>
  <r>
    <n v="2382"/>
    <x v="71"/>
    <n v="1274"/>
    <x v="0"/>
    <x v="1"/>
    <x v="1"/>
    <n v="5"/>
    <n v="0"/>
    <s v="COD"/>
    <x v="1"/>
    <x v="3"/>
    <n v="9"/>
    <n v="0"/>
    <n v="0"/>
    <s v="Repeat"/>
    <x v="3"/>
    <n v="49"/>
    <n v="0"/>
  </r>
  <r>
    <n v="2383"/>
    <x v="0"/>
    <n v="1191"/>
    <x v="2"/>
    <x v="1"/>
    <x v="0"/>
    <n v="1"/>
    <n v="0"/>
    <s v="UPI"/>
    <x v="2"/>
    <x v="1"/>
    <n v="6"/>
    <n v="0"/>
    <n v="1"/>
    <s v="Repeat"/>
    <x v="0"/>
    <n v="32"/>
    <n v="0"/>
  </r>
  <r>
    <n v="2384"/>
    <x v="27"/>
    <n v="1470"/>
    <x v="1"/>
    <x v="4"/>
    <x v="0"/>
    <n v="5"/>
    <n v="0"/>
    <s v="UPI"/>
    <x v="1"/>
    <x v="2"/>
    <n v="4"/>
    <n v="0"/>
    <n v="1"/>
    <s v="New"/>
    <x v="1"/>
    <n v="37"/>
    <n v="0"/>
  </r>
  <r>
    <n v="2385"/>
    <x v="123"/>
    <n v="1656"/>
    <x v="0"/>
    <x v="2"/>
    <x v="3"/>
    <n v="2"/>
    <n v="2254"/>
    <s v="Card"/>
    <x v="0"/>
    <x v="1"/>
    <n v="8"/>
    <n v="0"/>
    <n v="0"/>
    <s v="New"/>
    <x v="0"/>
    <n v="34"/>
    <n v="1"/>
  </r>
  <r>
    <n v="2386"/>
    <x v="158"/>
    <n v="1144"/>
    <x v="4"/>
    <x v="4"/>
    <x v="3"/>
    <n v="5"/>
    <n v="10370"/>
    <s v="Wallet"/>
    <x v="0"/>
    <x v="3"/>
    <n v="3"/>
    <n v="0"/>
    <n v="1"/>
    <s v="Repeat"/>
    <x v="1"/>
    <n v="38"/>
    <n v="1"/>
  </r>
  <r>
    <n v="2387"/>
    <x v="131"/>
    <n v="1799"/>
    <x v="2"/>
    <x v="4"/>
    <x v="1"/>
    <n v="2"/>
    <n v="0"/>
    <s v="COD"/>
    <x v="1"/>
    <x v="3"/>
    <n v="3"/>
    <n v="0"/>
    <n v="0"/>
    <s v="Repeat"/>
    <x v="4"/>
    <n v="47"/>
    <n v="0"/>
  </r>
  <r>
    <n v="2388"/>
    <x v="34"/>
    <n v="1760"/>
    <x v="3"/>
    <x v="1"/>
    <x v="3"/>
    <n v="2"/>
    <n v="7788"/>
    <s v="Wallet"/>
    <x v="0"/>
    <x v="3"/>
    <n v="2"/>
    <n v="1"/>
    <n v="0"/>
    <s v="New"/>
    <x v="3"/>
    <n v="51"/>
    <n v="1"/>
  </r>
  <r>
    <n v="2389"/>
    <x v="148"/>
    <n v="1263"/>
    <x v="3"/>
    <x v="1"/>
    <x v="0"/>
    <n v="5"/>
    <n v="0"/>
    <s v="Wallet"/>
    <x v="1"/>
    <x v="0"/>
    <n v="8"/>
    <n v="0"/>
    <n v="0"/>
    <s v="Repeat"/>
    <x v="5"/>
    <n v="30"/>
    <n v="0"/>
  </r>
  <r>
    <n v="2390"/>
    <x v="155"/>
    <n v="1421"/>
    <x v="4"/>
    <x v="4"/>
    <x v="0"/>
    <n v="3"/>
    <n v="0"/>
    <s v="Card"/>
    <x v="1"/>
    <x v="0"/>
    <n v="3"/>
    <n v="0"/>
    <n v="0"/>
    <s v="New"/>
    <x v="0"/>
    <n v="33"/>
    <n v="0"/>
  </r>
  <r>
    <n v="2391"/>
    <x v="107"/>
    <n v="1644"/>
    <x v="1"/>
    <x v="2"/>
    <x v="1"/>
    <n v="5"/>
    <n v="0"/>
    <s v="Wallet"/>
    <x v="1"/>
    <x v="3"/>
    <n v="6"/>
    <n v="1"/>
    <n v="0"/>
    <s v="New"/>
    <x v="4"/>
    <n v="45"/>
    <n v="0"/>
  </r>
  <r>
    <n v="2392"/>
    <x v="162"/>
    <n v="1501"/>
    <x v="4"/>
    <x v="3"/>
    <x v="2"/>
    <n v="2"/>
    <n v="0"/>
    <s v="Wallet"/>
    <x v="1"/>
    <x v="0"/>
    <n v="7"/>
    <n v="0"/>
    <n v="1"/>
    <s v="Repeat"/>
    <x v="2"/>
    <n v="43"/>
    <n v="0"/>
  </r>
  <r>
    <n v="2393"/>
    <x v="126"/>
    <n v="1145"/>
    <x v="1"/>
    <x v="1"/>
    <x v="2"/>
    <n v="1"/>
    <n v="0"/>
    <s v="COD"/>
    <x v="1"/>
    <x v="3"/>
    <n v="6"/>
    <n v="1"/>
    <n v="0"/>
    <s v="New"/>
    <x v="4"/>
    <n v="46"/>
    <n v="0"/>
  </r>
  <r>
    <n v="2394"/>
    <x v="58"/>
    <n v="1124"/>
    <x v="1"/>
    <x v="3"/>
    <x v="3"/>
    <n v="4"/>
    <n v="14572"/>
    <s v="COD"/>
    <x v="0"/>
    <x v="3"/>
    <n v="10"/>
    <n v="1"/>
    <n v="0"/>
    <s v="Repeat"/>
    <x v="5"/>
    <n v="31"/>
    <n v="1"/>
  </r>
  <r>
    <n v="2395"/>
    <x v="156"/>
    <n v="1000"/>
    <x v="4"/>
    <x v="4"/>
    <x v="0"/>
    <n v="3"/>
    <n v="0"/>
    <s v="Card"/>
    <x v="2"/>
    <x v="3"/>
    <n v="4"/>
    <n v="1"/>
    <n v="1"/>
    <s v="Repeat"/>
    <x v="6"/>
    <n v="2"/>
    <n v="0"/>
  </r>
  <r>
    <n v="2396"/>
    <x v="174"/>
    <n v="1093"/>
    <x v="0"/>
    <x v="2"/>
    <x v="3"/>
    <n v="1"/>
    <n v="0"/>
    <s v="COD"/>
    <x v="2"/>
    <x v="2"/>
    <n v="10"/>
    <n v="1"/>
    <n v="0"/>
    <s v="New"/>
    <x v="5"/>
    <n v="29"/>
    <n v="0"/>
  </r>
  <r>
    <n v="2397"/>
    <x v="59"/>
    <n v="1831"/>
    <x v="3"/>
    <x v="2"/>
    <x v="2"/>
    <n v="3"/>
    <n v="8586"/>
    <s v="Wallet"/>
    <x v="0"/>
    <x v="1"/>
    <n v="8"/>
    <n v="0"/>
    <n v="1"/>
    <s v="Repeat"/>
    <x v="0"/>
    <n v="34"/>
    <n v="1"/>
  </r>
  <r>
    <n v="2398"/>
    <x v="165"/>
    <n v="1263"/>
    <x v="0"/>
    <x v="3"/>
    <x v="2"/>
    <n v="1"/>
    <n v="0"/>
    <s v="Card"/>
    <x v="2"/>
    <x v="3"/>
    <n v="2"/>
    <n v="0"/>
    <n v="0"/>
    <s v="Repeat"/>
    <x v="2"/>
    <n v="41"/>
    <n v="0"/>
  </r>
  <r>
    <n v="2399"/>
    <x v="4"/>
    <n v="1802"/>
    <x v="4"/>
    <x v="3"/>
    <x v="2"/>
    <n v="2"/>
    <n v="0"/>
    <s v="COD"/>
    <x v="2"/>
    <x v="2"/>
    <n v="10"/>
    <n v="1"/>
    <n v="1"/>
    <s v="New"/>
    <x v="3"/>
    <n v="50"/>
    <n v="0"/>
  </r>
  <r>
    <n v="2400"/>
    <x v="168"/>
    <n v="1509"/>
    <x v="2"/>
    <x v="0"/>
    <x v="1"/>
    <n v="4"/>
    <n v="812"/>
    <s v="COD"/>
    <x v="0"/>
    <x v="1"/>
    <n v="8"/>
    <n v="0"/>
    <n v="1"/>
    <s v="Repeat"/>
    <x v="6"/>
    <n v="1"/>
    <n v="1"/>
  </r>
  <r>
    <n v="2401"/>
    <x v="19"/>
    <n v="1420"/>
    <x v="3"/>
    <x v="3"/>
    <x v="1"/>
    <n v="4"/>
    <n v="0"/>
    <s v="Wallet"/>
    <x v="1"/>
    <x v="3"/>
    <n v="3"/>
    <n v="1"/>
    <n v="1"/>
    <s v="Repeat"/>
    <x v="0"/>
    <n v="33"/>
    <n v="0"/>
  </r>
  <r>
    <n v="2402"/>
    <x v="44"/>
    <n v="1844"/>
    <x v="2"/>
    <x v="4"/>
    <x v="1"/>
    <n v="4"/>
    <n v="0"/>
    <s v="Card"/>
    <x v="2"/>
    <x v="3"/>
    <n v="7"/>
    <n v="1"/>
    <n v="0"/>
    <s v="New"/>
    <x v="4"/>
    <n v="47"/>
    <n v="0"/>
  </r>
  <r>
    <n v="2403"/>
    <x v="112"/>
    <n v="1167"/>
    <x v="2"/>
    <x v="1"/>
    <x v="2"/>
    <n v="2"/>
    <n v="0"/>
    <s v="COD"/>
    <x v="1"/>
    <x v="1"/>
    <n v="3"/>
    <n v="0"/>
    <n v="1"/>
    <s v="New"/>
    <x v="5"/>
    <n v="30"/>
    <n v="0"/>
  </r>
  <r>
    <n v="2404"/>
    <x v="14"/>
    <n v="1641"/>
    <x v="3"/>
    <x v="0"/>
    <x v="3"/>
    <n v="5"/>
    <n v="4455"/>
    <s v="UPI"/>
    <x v="0"/>
    <x v="3"/>
    <n v="3"/>
    <n v="1"/>
    <n v="0"/>
    <s v="New"/>
    <x v="0"/>
    <n v="34"/>
    <n v="1"/>
  </r>
  <r>
    <n v="2405"/>
    <x v="86"/>
    <n v="1589"/>
    <x v="4"/>
    <x v="1"/>
    <x v="3"/>
    <n v="2"/>
    <n v="0"/>
    <s v="Card"/>
    <x v="2"/>
    <x v="2"/>
    <n v="1"/>
    <n v="0"/>
    <n v="0"/>
    <s v="Repeat"/>
    <x v="6"/>
    <n v="1"/>
    <n v="0"/>
  </r>
  <r>
    <n v="2406"/>
    <x v="9"/>
    <n v="1215"/>
    <x v="4"/>
    <x v="4"/>
    <x v="1"/>
    <n v="2"/>
    <n v="0"/>
    <s v="UPI"/>
    <x v="2"/>
    <x v="0"/>
    <n v="10"/>
    <n v="1"/>
    <n v="0"/>
    <s v="Repeat"/>
    <x v="5"/>
    <n v="30"/>
    <n v="0"/>
  </r>
  <r>
    <n v="2407"/>
    <x v="39"/>
    <n v="1473"/>
    <x v="0"/>
    <x v="3"/>
    <x v="1"/>
    <n v="3"/>
    <n v="0"/>
    <s v="Card"/>
    <x v="2"/>
    <x v="0"/>
    <n v="1"/>
    <n v="0"/>
    <n v="1"/>
    <s v="New"/>
    <x v="0"/>
    <n v="34"/>
    <n v="0"/>
  </r>
  <r>
    <n v="2408"/>
    <x v="37"/>
    <n v="1423"/>
    <x v="2"/>
    <x v="0"/>
    <x v="2"/>
    <n v="2"/>
    <n v="0"/>
    <s v="UPI"/>
    <x v="1"/>
    <x v="3"/>
    <n v="2"/>
    <n v="0"/>
    <n v="0"/>
    <s v="Repeat"/>
    <x v="4"/>
    <n v="46"/>
    <n v="0"/>
  </r>
  <r>
    <n v="2409"/>
    <x v="87"/>
    <n v="1415"/>
    <x v="4"/>
    <x v="2"/>
    <x v="0"/>
    <n v="3"/>
    <n v="0"/>
    <s v="COD"/>
    <x v="1"/>
    <x v="0"/>
    <n v="9"/>
    <n v="1"/>
    <n v="0"/>
    <s v="Repeat"/>
    <x v="2"/>
    <n v="42"/>
    <n v="0"/>
  </r>
  <r>
    <n v="2410"/>
    <x v="39"/>
    <n v="1536"/>
    <x v="3"/>
    <x v="3"/>
    <x v="1"/>
    <n v="5"/>
    <n v="23250"/>
    <s v="UPI"/>
    <x v="0"/>
    <x v="0"/>
    <n v="9"/>
    <n v="1"/>
    <n v="1"/>
    <s v="New"/>
    <x v="0"/>
    <n v="34"/>
    <n v="1"/>
  </r>
  <r>
    <n v="2411"/>
    <x v="152"/>
    <n v="1409"/>
    <x v="4"/>
    <x v="2"/>
    <x v="0"/>
    <n v="3"/>
    <n v="6051"/>
    <s v="Card"/>
    <x v="0"/>
    <x v="1"/>
    <n v="2"/>
    <n v="0"/>
    <n v="0"/>
    <s v="Repeat"/>
    <x v="2"/>
    <n v="42"/>
    <n v="1"/>
  </r>
  <r>
    <n v="2412"/>
    <x v="39"/>
    <n v="1058"/>
    <x v="0"/>
    <x v="2"/>
    <x v="0"/>
    <n v="3"/>
    <n v="0"/>
    <s v="UPI"/>
    <x v="1"/>
    <x v="1"/>
    <n v="3"/>
    <n v="1"/>
    <n v="1"/>
    <s v="Repeat"/>
    <x v="0"/>
    <n v="34"/>
    <n v="0"/>
  </r>
  <r>
    <n v="2413"/>
    <x v="108"/>
    <n v="1352"/>
    <x v="3"/>
    <x v="3"/>
    <x v="0"/>
    <n v="3"/>
    <n v="0"/>
    <s v="Card"/>
    <x v="1"/>
    <x v="2"/>
    <n v="2"/>
    <n v="0"/>
    <n v="0"/>
    <s v="New"/>
    <x v="2"/>
    <n v="44"/>
    <n v="0"/>
  </r>
  <r>
    <n v="2414"/>
    <x v="67"/>
    <n v="1313"/>
    <x v="4"/>
    <x v="3"/>
    <x v="0"/>
    <n v="4"/>
    <n v="18120"/>
    <s v="Card"/>
    <x v="0"/>
    <x v="3"/>
    <n v="7"/>
    <n v="1"/>
    <n v="1"/>
    <s v="Repeat"/>
    <x v="1"/>
    <n v="36"/>
    <n v="1"/>
  </r>
  <r>
    <n v="2415"/>
    <x v="51"/>
    <n v="1260"/>
    <x v="4"/>
    <x v="4"/>
    <x v="2"/>
    <n v="3"/>
    <n v="0"/>
    <s v="Card"/>
    <x v="1"/>
    <x v="0"/>
    <n v="10"/>
    <n v="1"/>
    <n v="1"/>
    <s v="Repeat"/>
    <x v="5"/>
    <n v="29"/>
    <n v="0"/>
  </r>
  <r>
    <n v="2416"/>
    <x v="12"/>
    <n v="1707"/>
    <x v="2"/>
    <x v="4"/>
    <x v="0"/>
    <n v="2"/>
    <n v="0"/>
    <s v="Wallet"/>
    <x v="2"/>
    <x v="0"/>
    <n v="3"/>
    <n v="0"/>
    <n v="0"/>
    <s v="New"/>
    <x v="1"/>
    <n v="38"/>
    <n v="0"/>
  </r>
  <r>
    <n v="2417"/>
    <x v="45"/>
    <n v="1198"/>
    <x v="0"/>
    <x v="4"/>
    <x v="2"/>
    <n v="5"/>
    <n v="1015"/>
    <s v="Card"/>
    <x v="0"/>
    <x v="0"/>
    <n v="6"/>
    <n v="1"/>
    <n v="0"/>
    <s v="Repeat"/>
    <x v="6"/>
    <n v="2"/>
    <n v="1"/>
  </r>
  <r>
    <n v="2418"/>
    <x v="124"/>
    <n v="1787"/>
    <x v="4"/>
    <x v="1"/>
    <x v="1"/>
    <n v="5"/>
    <n v="5405"/>
    <s v="COD"/>
    <x v="0"/>
    <x v="1"/>
    <n v="6"/>
    <n v="1"/>
    <n v="0"/>
    <s v="Repeat"/>
    <x v="1"/>
    <n v="37"/>
    <n v="1"/>
  </r>
  <r>
    <n v="2419"/>
    <x v="130"/>
    <n v="1119"/>
    <x v="3"/>
    <x v="2"/>
    <x v="1"/>
    <n v="1"/>
    <n v="0"/>
    <s v="Wallet"/>
    <x v="1"/>
    <x v="2"/>
    <n v="10"/>
    <n v="1"/>
    <n v="0"/>
    <s v="New"/>
    <x v="3"/>
    <n v="51"/>
    <n v="0"/>
  </r>
  <r>
    <n v="2420"/>
    <x v="17"/>
    <n v="1408"/>
    <x v="1"/>
    <x v="3"/>
    <x v="3"/>
    <n v="4"/>
    <n v="0"/>
    <s v="Card"/>
    <x v="1"/>
    <x v="3"/>
    <n v="5"/>
    <n v="0"/>
    <n v="0"/>
    <s v="New"/>
    <x v="1"/>
    <n v="38"/>
    <n v="0"/>
  </r>
  <r>
    <n v="2421"/>
    <x v="69"/>
    <n v="1196"/>
    <x v="3"/>
    <x v="1"/>
    <x v="2"/>
    <n v="5"/>
    <n v="10980"/>
    <s v="UPI"/>
    <x v="0"/>
    <x v="1"/>
    <n v="9"/>
    <n v="0"/>
    <n v="1"/>
    <s v="Repeat"/>
    <x v="2"/>
    <n v="40"/>
    <n v="1"/>
  </r>
  <r>
    <n v="2422"/>
    <x v="53"/>
    <n v="1280"/>
    <x v="0"/>
    <x v="0"/>
    <x v="0"/>
    <n v="5"/>
    <n v="15845"/>
    <s v="Wallet"/>
    <x v="0"/>
    <x v="1"/>
    <n v="9"/>
    <n v="1"/>
    <n v="1"/>
    <s v="New"/>
    <x v="2"/>
    <n v="42"/>
    <n v="1"/>
  </r>
  <r>
    <n v="2423"/>
    <x v="146"/>
    <n v="1219"/>
    <x v="2"/>
    <x v="1"/>
    <x v="1"/>
    <n v="1"/>
    <n v="0"/>
    <s v="Card"/>
    <x v="1"/>
    <x v="1"/>
    <n v="1"/>
    <n v="0"/>
    <n v="1"/>
    <s v="Repeat"/>
    <x v="2"/>
    <n v="40"/>
    <n v="0"/>
  </r>
  <r>
    <n v="2424"/>
    <x v="73"/>
    <n v="1306"/>
    <x v="0"/>
    <x v="1"/>
    <x v="3"/>
    <n v="5"/>
    <n v="0"/>
    <s v="Card"/>
    <x v="2"/>
    <x v="2"/>
    <n v="4"/>
    <n v="0"/>
    <n v="1"/>
    <s v="New"/>
    <x v="4"/>
    <n v="45"/>
    <n v="0"/>
  </r>
  <r>
    <n v="2425"/>
    <x v="77"/>
    <n v="1632"/>
    <x v="3"/>
    <x v="0"/>
    <x v="3"/>
    <n v="4"/>
    <n v="0"/>
    <s v="COD"/>
    <x v="1"/>
    <x v="0"/>
    <n v="3"/>
    <n v="0"/>
    <n v="0"/>
    <s v="Repeat"/>
    <x v="1"/>
    <n v="38"/>
    <n v="0"/>
  </r>
  <r>
    <n v="2426"/>
    <x v="148"/>
    <n v="1832"/>
    <x v="1"/>
    <x v="1"/>
    <x v="0"/>
    <n v="1"/>
    <n v="0"/>
    <s v="Wallet"/>
    <x v="2"/>
    <x v="1"/>
    <n v="9"/>
    <n v="0"/>
    <n v="0"/>
    <s v="Repeat"/>
    <x v="5"/>
    <n v="30"/>
    <n v="0"/>
  </r>
  <r>
    <n v="2427"/>
    <x v="125"/>
    <n v="1973"/>
    <x v="4"/>
    <x v="2"/>
    <x v="1"/>
    <n v="1"/>
    <n v="3277"/>
    <s v="Wallet"/>
    <x v="0"/>
    <x v="3"/>
    <n v="6"/>
    <n v="1"/>
    <n v="0"/>
    <s v="New"/>
    <x v="5"/>
    <n v="31"/>
    <n v="1"/>
  </r>
  <r>
    <n v="2428"/>
    <x v="104"/>
    <n v="1476"/>
    <x v="3"/>
    <x v="1"/>
    <x v="2"/>
    <n v="1"/>
    <n v="0"/>
    <s v="Wallet"/>
    <x v="2"/>
    <x v="3"/>
    <n v="1"/>
    <n v="0"/>
    <n v="1"/>
    <s v="New"/>
    <x v="5"/>
    <n v="29"/>
    <n v="0"/>
  </r>
  <r>
    <n v="2429"/>
    <x v="134"/>
    <n v="1286"/>
    <x v="0"/>
    <x v="1"/>
    <x v="2"/>
    <n v="3"/>
    <n v="0"/>
    <s v="UPI"/>
    <x v="1"/>
    <x v="1"/>
    <n v="4"/>
    <n v="0"/>
    <n v="0"/>
    <s v="Repeat"/>
    <x v="3"/>
    <n v="51"/>
    <n v="0"/>
  </r>
  <r>
    <n v="2430"/>
    <x v="35"/>
    <n v="1859"/>
    <x v="4"/>
    <x v="0"/>
    <x v="3"/>
    <n v="1"/>
    <n v="0"/>
    <s v="COD"/>
    <x v="1"/>
    <x v="1"/>
    <n v="4"/>
    <n v="0"/>
    <n v="1"/>
    <s v="Repeat"/>
    <x v="0"/>
    <n v="35"/>
    <n v="0"/>
  </r>
  <r>
    <n v="2431"/>
    <x v="43"/>
    <n v="1626"/>
    <x v="1"/>
    <x v="3"/>
    <x v="2"/>
    <n v="1"/>
    <n v="0"/>
    <s v="COD"/>
    <x v="1"/>
    <x v="1"/>
    <n v="9"/>
    <n v="1"/>
    <n v="1"/>
    <s v="New"/>
    <x v="4"/>
    <n v="46"/>
    <n v="0"/>
  </r>
  <r>
    <n v="2432"/>
    <x v="57"/>
    <n v="1187"/>
    <x v="1"/>
    <x v="0"/>
    <x v="1"/>
    <n v="4"/>
    <n v="0"/>
    <s v="Card"/>
    <x v="2"/>
    <x v="3"/>
    <n v="9"/>
    <n v="1"/>
    <n v="0"/>
    <s v="New"/>
    <x v="4"/>
    <n v="48"/>
    <n v="0"/>
  </r>
  <r>
    <n v="2433"/>
    <x v="67"/>
    <n v="1419"/>
    <x v="2"/>
    <x v="1"/>
    <x v="0"/>
    <n v="2"/>
    <n v="5664"/>
    <s v="Wallet"/>
    <x v="0"/>
    <x v="3"/>
    <n v="10"/>
    <n v="0"/>
    <n v="0"/>
    <s v="New"/>
    <x v="1"/>
    <n v="36"/>
    <n v="1"/>
  </r>
  <r>
    <n v="2434"/>
    <x v="3"/>
    <n v="1601"/>
    <x v="3"/>
    <x v="2"/>
    <x v="2"/>
    <n v="4"/>
    <n v="0"/>
    <s v="Wallet"/>
    <x v="2"/>
    <x v="3"/>
    <n v="1"/>
    <n v="0"/>
    <n v="1"/>
    <s v="New"/>
    <x v="0"/>
    <n v="32"/>
    <n v="0"/>
  </r>
  <r>
    <n v="2435"/>
    <x v="89"/>
    <n v="1019"/>
    <x v="2"/>
    <x v="0"/>
    <x v="0"/>
    <n v="2"/>
    <n v="0"/>
    <s v="Card"/>
    <x v="2"/>
    <x v="3"/>
    <n v="5"/>
    <n v="1"/>
    <n v="1"/>
    <s v="Repeat"/>
    <x v="0"/>
    <n v="35"/>
    <n v="0"/>
  </r>
  <r>
    <n v="2436"/>
    <x v="44"/>
    <n v="1296"/>
    <x v="0"/>
    <x v="0"/>
    <x v="2"/>
    <n v="2"/>
    <n v="8732"/>
    <s v="COD"/>
    <x v="0"/>
    <x v="2"/>
    <n v="4"/>
    <n v="0"/>
    <n v="0"/>
    <s v="New"/>
    <x v="4"/>
    <n v="47"/>
    <n v="1"/>
  </r>
  <r>
    <n v="2437"/>
    <x v="130"/>
    <n v="1860"/>
    <x v="4"/>
    <x v="3"/>
    <x v="3"/>
    <n v="3"/>
    <n v="0"/>
    <s v="Card"/>
    <x v="1"/>
    <x v="1"/>
    <n v="10"/>
    <n v="0"/>
    <n v="1"/>
    <s v="New"/>
    <x v="3"/>
    <n v="51"/>
    <n v="0"/>
  </r>
  <r>
    <n v="2438"/>
    <x v="7"/>
    <n v="1390"/>
    <x v="1"/>
    <x v="1"/>
    <x v="2"/>
    <n v="3"/>
    <n v="0"/>
    <s v="Card"/>
    <x v="1"/>
    <x v="3"/>
    <n v="8"/>
    <n v="1"/>
    <n v="1"/>
    <s v="Repeat"/>
    <x v="3"/>
    <n v="49"/>
    <n v="0"/>
  </r>
  <r>
    <n v="2439"/>
    <x v="131"/>
    <n v="1119"/>
    <x v="0"/>
    <x v="4"/>
    <x v="2"/>
    <n v="5"/>
    <n v="0"/>
    <s v="UPI"/>
    <x v="2"/>
    <x v="2"/>
    <n v="6"/>
    <n v="1"/>
    <n v="1"/>
    <s v="New"/>
    <x v="4"/>
    <n v="47"/>
    <n v="0"/>
  </r>
  <r>
    <n v="2440"/>
    <x v="106"/>
    <n v="1268"/>
    <x v="2"/>
    <x v="2"/>
    <x v="2"/>
    <n v="2"/>
    <n v="0"/>
    <s v="UPI"/>
    <x v="2"/>
    <x v="1"/>
    <n v="7"/>
    <n v="1"/>
    <n v="1"/>
    <s v="Repeat"/>
    <x v="5"/>
    <n v="30"/>
    <n v="0"/>
  </r>
  <r>
    <n v="2441"/>
    <x v="39"/>
    <n v="1235"/>
    <x v="4"/>
    <x v="2"/>
    <x v="0"/>
    <n v="4"/>
    <n v="0"/>
    <s v="UPI"/>
    <x v="2"/>
    <x v="1"/>
    <n v="2"/>
    <n v="0"/>
    <n v="0"/>
    <s v="Repeat"/>
    <x v="0"/>
    <n v="34"/>
    <n v="0"/>
  </r>
  <r>
    <n v="2442"/>
    <x v="167"/>
    <n v="1376"/>
    <x v="1"/>
    <x v="1"/>
    <x v="3"/>
    <n v="5"/>
    <n v="0"/>
    <s v="Card"/>
    <x v="2"/>
    <x v="0"/>
    <n v="8"/>
    <n v="1"/>
    <n v="1"/>
    <s v="Repeat"/>
    <x v="0"/>
    <n v="35"/>
    <n v="0"/>
  </r>
  <r>
    <n v="2443"/>
    <x v="132"/>
    <n v="1485"/>
    <x v="3"/>
    <x v="3"/>
    <x v="0"/>
    <n v="5"/>
    <n v="0"/>
    <s v="UPI"/>
    <x v="1"/>
    <x v="0"/>
    <n v="10"/>
    <n v="0"/>
    <n v="1"/>
    <s v="Repeat"/>
    <x v="2"/>
    <n v="42"/>
    <n v="0"/>
  </r>
  <r>
    <n v="2444"/>
    <x v="35"/>
    <n v="1942"/>
    <x v="2"/>
    <x v="3"/>
    <x v="2"/>
    <n v="1"/>
    <n v="1926"/>
    <s v="Wallet"/>
    <x v="0"/>
    <x v="2"/>
    <n v="4"/>
    <n v="1"/>
    <n v="0"/>
    <s v="Repeat"/>
    <x v="0"/>
    <n v="35"/>
    <n v="1"/>
  </r>
  <r>
    <n v="2445"/>
    <x v="141"/>
    <n v="1017"/>
    <x v="0"/>
    <x v="2"/>
    <x v="2"/>
    <n v="3"/>
    <n v="0"/>
    <s v="COD"/>
    <x v="1"/>
    <x v="2"/>
    <n v="5"/>
    <n v="0"/>
    <n v="1"/>
    <s v="New"/>
    <x v="1"/>
    <n v="39"/>
    <n v="0"/>
  </r>
  <r>
    <n v="2446"/>
    <x v="143"/>
    <n v="1389"/>
    <x v="1"/>
    <x v="2"/>
    <x v="0"/>
    <n v="2"/>
    <n v="0"/>
    <s v="Wallet"/>
    <x v="2"/>
    <x v="1"/>
    <n v="7"/>
    <n v="1"/>
    <n v="1"/>
    <s v="New"/>
    <x v="2"/>
    <n v="43"/>
    <n v="0"/>
  </r>
  <r>
    <n v="2447"/>
    <x v="120"/>
    <n v="1324"/>
    <x v="4"/>
    <x v="2"/>
    <x v="2"/>
    <n v="5"/>
    <n v="0"/>
    <s v="Wallet"/>
    <x v="2"/>
    <x v="0"/>
    <n v="1"/>
    <n v="0"/>
    <n v="0"/>
    <s v="New"/>
    <x v="6"/>
    <n v="1"/>
    <n v="0"/>
  </r>
  <r>
    <n v="2448"/>
    <x v="166"/>
    <n v="1897"/>
    <x v="4"/>
    <x v="3"/>
    <x v="2"/>
    <n v="5"/>
    <n v="12825"/>
    <s v="Card"/>
    <x v="0"/>
    <x v="1"/>
    <n v="7"/>
    <n v="0"/>
    <n v="0"/>
    <s v="Repeat"/>
    <x v="1"/>
    <n v="39"/>
    <n v="1"/>
  </r>
  <r>
    <n v="2449"/>
    <x v="172"/>
    <n v="1562"/>
    <x v="2"/>
    <x v="4"/>
    <x v="3"/>
    <n v="1"/>
    <n v="4923"/>
    <s v="UPI"/>
    <x v="0"/>
    <x v="0"/>
    <n v="3"/>
    <n v="0"/>
    <n v="0"/>
    <s v="New"/>
    <x v="2"/>
    <n v="44"/>
    <n v="1"/>
  </r>
  <r>
    <n v="2450"/>
    <x v="21"/>
    <n v="1508"/>
    <x v="1"/>
    <x v="4"/>
    <x v="0"/>
    <n v="1"/>
    <n v="0"/>
    <s v="Card"/>
    <x v="2"/>
    <x v="1"/>
    <n v="10"/>
    <n v="1"/>
    <n v="0"/>
    <s v="New"/>
    <x v="2"/>
    <n v="43"/>
    <n v="0"/>
  </r>
  <r>
    <n v="2451"/>
    <x v="62"/>
    <n v="1174"/>
    <x v="3"/>
    <x v="4"/>
    <x v="0"/>
    <n v="2"/>
    <n v="7254"/>
    <s v="Wallet"/>
    <x v="0"/>
    <x v="2"/>
    <n v="9"/>
    <n v="0"/>
    <n v="0"/>
    <s v="Repeat"/>
    <x v="2"/>
    <n v="43"/>
    <n v="1"/>
  </r>
  <r>
    <n v="2452"/>
    <x v="31"/>
    <n v="1902"/>
    <x v="1"/>
    <x v="0"/>
    <x v="2"/>
    <n v="3"/>
    <n v="0"/>
    <s v="Card"/>
    <x v="1"/>
    <x v="2"/>
    <n v="6"/>
    <n v="1"/>
    <n v="0"/>
    <s v="Repeat"/>
    <x v="2"/>
    <n v="44"/>
    <n v="0"/>
  </r>
  <r>
    <n v="2453"/>
    <x v="35"/>
    <n v="1147"/>
    <x v="4"/>
    <x v="1"/>
    <x v="2"/>
    <n v="4"/>
    <n v="0"/>
    <s v="UPI"/>
    <x v="1"/>
    <x v="0"/>
    <n v="4"/>
    <n v="0"/>
    <n v="1"/>
    <s v="Repeat"/>
    <x v="0"/>
    <n v="35"/>
    <n v="0"/>
  </r>
  <r>
    <n v="2454"/>
    <x v="160"/>
    <n v="1419"/>
    <x v="0"/>
    <x v="4"/>
    <x v="3"/>
    <n v="4"/>
    <n v="8252"/>
    <s v="Card"/>
    <x v="0"/>
    <x v="0"/>
    <n v="7"/>
    <n v="1"/>
    <n v="0"/>
    <s v="New"/>
    <x v="4"/>
    <n v="47"/>
    <n v="1"/>
  </r>
  <r>
    <n v="2455"/>
    <x v="138"/>
    <n v="1075"/>
    <x v="2"/>
    <x v="3"/>
    <x v="3"/>
    <n v="1"/>
    <n v="4001"/>
    <s v="Wallet"/>
    <x v="0"/>
    <x v="1"/>
    <n v="7"/>
    <n v="1"/>
    <n v="1"/>
    <s v="New"/>
    <x v="2"/>
    <n v="44"/>
    <n v="1"/>
  </r>
  <r>
    <n v="2456"/>
    <x v="101"/>
    <n v="1913"/>
    <x v="4"/>
    <x v="3"/>
    <x v="3"/>
    <n v="2"/>
    <n v="3476"/>
    <s v="UPI"/>
    <x v="0"/>
    <x v="3"/>
    <n v="6"/>
    <n v="0"/>
    <n v="1"/>
    <s v="Repeat"/>
    <x v="3"/>
    <n v="49"/>
    <n v="1"/>
  </r>
  <r>
    <n v="2457"/>
    <x v="172"/>
    <n v="1439"/>
    <x v="1"/>
    <x v="0"/>
    <x v="0"/>
    <n v="2"/>
    <n v="0"/>
    <s v="UPI"/>
    <x v="1"/>
    <x v="1"/>
    <n v="4"/>
    <n v="0"/>
    <n v="1"/>
    <s v="New"/>
    <x v="2"/>
    <n v="44"/>
    <n v="0"/>
  </r>
  <r>
    <n v="2458"/>
    <x v="77"/>
    <n v="1862"/>
    <x v="4"/>
    <x v="2"/>
    <x v="3"/>
    <n v="2"/>
    <n v="3336"/>
    <s v="Wallet"/>
    <x v="0"/>
    <x v="2"/>
    <n v="10"/>
    <n v="1"/>
    <n v="0"/>
    <s v="Repeat"/>
    <x v="1"/>
    <n v="38"/>
    <n v="1"/>
  </r>
  <r>
    <n v="2459"/>
    <x v="133"/>
    <n v="1505"/>
    <x v="1"/>
    <x v="2"/>
    <x v="0"/>
    <n v="5"/>
    <n v="0"/>
    <s v="Wallet"/>
    <x v="2"/>
    <x v="3"/>
    <n v="9"/>
    <n v="0"/>
    <n v="0"/>
    <s v="Repeat"/>
    <x v="0"/>
    <n v="35"/>
    <n v="0"/>
  </r>
  <r>
    <n v="2460"/>
    <x v="6"/>
    <n v="1376"/>
    <x v="3"/>
    <x v="4"/>
    <x v="1"/>
    <n v="5"/>
    <n v="2435"/>
    <s v="UPI"/>
    <x v="0"/>
    <x v="3"/>
    <n v="5"/>
    <n v="0"/>
    <n v="1"/>
    <s v="New"/>
    <x v="4"/>
    <n v="47"/>
    <n v="1"/>
  </r>
  <r>
    <n v="2461"/>
    <x v="144"/>
    <n v="1074"/>
    <x v="4"/>
    <x v="0"/>
    <x v="0"/>
    <n v="3"/>
    <n v="0"/>
    <s v="Card"/>
    <x v="1"/>
    <x v="1"/>
    <n v="5"/>
    <n v="1"/>
    <n v="1"/>
    <s v="New"/>
    <x v="3"/>
    <n v="52"/>
    <n v="0"/>
  </r>
  <r>
    <n v="2462"/>
    <x v="13"/>
    <n v="1174"/>
    <x v="2"/>
    <x v="2"/>
    <x v="2"/>
    <n v="3"/>
    <n v="0"/>
    <s v="Card"/>
    <x v="2"/>
    <x v="1"/>
    <n v="5"/>
    <n v="0"/>
    <n v="1"/>
    <s v="New"/>
    <x v="2"/>
    <n v="41"/>
    <n v="0"/>
  </r>
  <r>
    <n v="2463"/>
    <x v="19"/>
    <n v="1271"/>
    <x v="3"/>
    <x v="0"/>
    <x v="3"/>
    <n v="4"/>
    <n v="11104"/>
    <s v="UPI"/>
    <x v="0"/>
    <x v="1"/>
    <n v="5"/>
    <n v="0"/>
    <n v="1"/>
    <s v="New"/>
    <x v="0"/>
    <n v="33"/>
    <n v="1"/>
  </r>
  <r>
    <n v="2464"/>
    <x v="109"/>
    <n v="1525"/>
    <x v="1"/>
    <x v="2"/>
    <x v="0"/>
    <n v="5"/>
    <n v="4885"/>
    <s v="Wallet"/>
    <x v="0"/>
    <x v="0"/>
    <n v="7"/>
    <n v="0"/>
    <n v="0"/>
    <s v="Repeat"/>
    <x v="4"/>
    <n v="46"/>
    <n v="1"/>
  </r>
  <r>
    <n v="2465"/>
    <x v="119"/>
    <n v="1716"/>
    <x v="4"/>
    <x v="1"/>
    <x v="2"/>
    <n v="3"/>
    <n v="4848"/>
    <s v="COD"/>
    <x v="0"/>
    <x v="0"/>
    <n v="9"/>
    <n v="1"/>
    <n v="0"/>
    <s v="Repeat"/>
    <x v="0"/>
    <n v="34"/>
    <n v="1"/>
  </r>
  <r>
    <n v="2466"/>
    <x v="25"/>
    <n v="1605"/>
    <x v="1"/>
    <x v="0"/>
    <x v="1"/>
    <n v="4"/>
    <n v="0"/>
    <s v="COD"/>
    <x v="1"/>
    <x v="0"/>
    <n v="10"/>
    <n v="0"/>
    <n v="1"/>
    <s v="Repeat"/>
    <x v="4"/>
    <n v="49"/>
    <n v="0"/>
  </r>
  <r>
    <n v="2467"/>
    <x v="169"/>
    <n v="1038"/>
    <x v="2"/>
    <x v="1"/>
    <x v="2"/>
    <n v="3"/>
    <n v="0"/>
    <s v="Card"/>
    <x v="1"/>
    <x v="1"/>
    <n v="8"/>
    <n v="0"/>
    <n v="0"/>
    <s v="Repeat"/>
    <x v="2"/>
    <n v="43"/>
    <n v="0"/>
  </r>
  <r>
    <n v="2468"/>
    <x v="42"/>
    <n v="1887"/>
    <x v="3"/>
    <x v="3"/>
    <x v="2"/>
    <n v="2"/>
    <n v="0"/>
    <s v="Card"/>
    <x v="1"/>
    <x v="2"/>
    <n v="1"/>
    <n v="0"/>
    <n v="1"/>
    <s v="Repeat"/>
    <x v="2"/>
    <n v="44"/>
    <n v="0"/>
  </r>
  <r>
    <n v="2469"/>
    <x v="69"/>
    <n v="1961"/>
    <x v="2"/>
    <x v="2"/>
    <x v="2"/>
    <n v="5"/>
    <n v="0"/>
    <s v="Wallet"/>
    <x v="2"/>
    <x v="3"/>
    <n v="4"/>
    <n v="0"/>
    <n v="1"/>
    <s v="New"/>
    <x v="2"/>
    <n v="40"/>
    <n v="0"/>
  </r>
  <r>
    <n v="2470"/>
    <x v="121"/>
    <n v="1858"/>
    <x v="1"/>
    <x v="3"/>
    <x v="2"/>
    <n v="5"/>
    <n v="0"/>
    <s v="COD"/>
    <x v="2"/>
    <x v="1"/>
    <n v="9"/>
    <n v="1"/>
    <n v="1"/>
    <s v="New"/>
    <x v="1"/>
    <n v="37"/>
    <n v="0"/>
  </r>
  <r>
    <n v="2471"/>
    <x v="105"/>
    <n v="1089"/>
    <x v="2"/>
    <x v="0"/>
    <x v="2"/>
    <n v="4"/>
    <n v="3448"/>
    <s v="UPI"/>
    <x v="0"/>
    <x v="2"/>
    <n v="5"/>
    <n v="1"/>
    <n v="1"/>
    <s v="Repeat"/>
    <x v="3"/>
    <n v="52"/>
    <n v="1"/>
  </r>
  <r>
    <n v="2472"/>
    <x v="32"/>
    <n v="1007"/>
    <x v="2"/>
    <x v="3"/>
    <x v="3"/>
    <n v="3"/>
    <n v="0"/>
    <s v="COD"/>
    <x v="2"/>
    <x v="0"/>
    <n v="5"/>
    <n v="0"/>
    <n v="1"/>
    <s v="New"/>
    <x v="1"/>
    <n v="38"/>
    <n v="0"/>
  </r>
  <r>
    <n v="2473"/>
    <x v="150"/>
    <n v="1403"/>
    <x v="1"/>
    <x v="2"/>
    <x v="0"/>
    <n v="4"/>
    <n v="0"/>
    <s v="Wallet"/>
    <x v="1"/>
    <x v="3"/>
    <n v="6"/>
    <n v="1"/>
    <n v="1"/>
    <s v="New"/>
    <x v="0"/>
    <n v="35"/>
    <n v="0"/>
  </r>
  <r>
    <n v="2474"/>
    <x v="130"/>
    <n v="1053"/>
    <x v="0"/>
    <x v="3"/>
    <x v="0"/>
    <n v="5"/>
    <n v="0"/>
    <s v="Wallet"/>
    <x v="1"/>
    <x v="3"/>
    <n v="5"/>
    <n v="1"/>
    <n v="1"/>
    <s v="New"/>
    <x v="3"/>
    <n v="51"/>
    <n v="0"/>
  </r>
  <r>
    <n v="2475"/>
    <x v="143"/>
    <n v="1277"/>
    <x v="3"/>
    <x v="2"/>
    <x v="3"/>
    <n v="3"/>
    <n v="0"/>
    <s v="COD"/>
    <x v="2"/>
    <x v="1"/>
    <n v="4"/>
    <n v="0"/>
    <n v="0"/>
    <s v="Repeat"/>
    <x v="2"/>
    <n v="43"/>
    <n v="0"/>
  </r>
  <r>
    <n v="2476"/>
    <x v="163"/>
    <n v="1422"/>
    <x v="3"/>
    <x v="1"/>
    <x v="0"/>
    <n v="4"/>
    <n v="9032"/>
    <s v="Card"/>
    <x v="0"/>
    <x v="0"/>
    <n v="6"/>
    <n v="1"/>
    <n v="1"/>
    <s v="New"/>
    <x v="4"/>
    <n v="45"/>
    <n v="1"/>
  </r>
  <r>
    <n v="2477"/>
    <x v="38"/>
    <n v="1632"/>
    <x v="2"/>
    <x v="3"/>
    <x v="2"/>
    <n v="5"/>
    <n v="24890"/>
    <s v="UPI"/>
    <x v="0"/>
    <x v="0"/>
    <n v="3"/>
    <n v="0"/>
    <n v="0"/>
    <s v="New"/>
    <x v="1"/>
    <n v="39"/>
    <n v="1"/>
  </r>
  <r>
    <n v="2478"/>
    <x v="155"/>
    <n v="1368"/>
    <x v="2"/>
    <x v="3"/>
    <x v="2"/>
    <n v="5"/>
    <n v="0"/>
    <s v="Wallet"/>
    <x v="2"/>
    <x v="1"/>
    <n v="4"/>
    <n v="1"/>
    <n v="0"/>
    <s v="Repeat"/>
    <x v="0"/>
    <n v="33"/>
    <n v="0"/>
  </r>
  <r>
    <n v="2479"/>
    <x v="170"/>
    <n v="1768"/>
    <x v="3"/>
    <x v="1"/>
    <x v="3"/>
    <n v="3"/>
    <n v="0"/>
    <s v="UPI"/>
    <x v="1"/>
    <x v="1"/>
    <n v="10"/>
    <n v="0"/>
    <n v="0"/>
    <s v="Repeat"/>
    <x v="4"/>
    <n v="48"/>
    <n v="0"/>
  </r>
  <r>
    <n v="2480"/>
    <x v="118"/>
    <n v="1765"/>
    <x v="0"/>
    <x v="3"/>
    <x v="3"/>
    <n v="5"/>
    <n v="0"/>
    <s v="UPI"/>
    <x v="2"/>
    <x v="2"/>
    <n v="6"/>
    <n v="0"/>
    <n v="1"/>
    <s v="Repeat"/>
    <x v="0"/>
    <n v="35"/>
    <n v="0"/>
  </r>
  <r>
    <n v="2481"/>
    <x v="35"/>
    <n v="1980"/>
    <x v="4"/>
    <x v="2"/>
    <x v="3"/>
    <n v="4"/>
    <n v="0"/>
    <s v="UPI"/>
    <x v="1"/>
    <x v="2"/>
    <n v="4"/>
    <n v="1"/>
    <n v="0"/>
    <s v="New"/>
    <x v="0"/>
    <n v="35"/>
    <n v="0"/>
  </r>
  <r>
    <n v="2482"/>
    <x v="22"/>
    <n v="1673"/>
    <x v="3"/>
    <x v="4"/>
    <x v="3"/>
    <n v="5"/>
    <n v="0"/>
    <s v="UPI"/>
    <x v="1"/>
    <x v="2"/>
    <n v="10"/>
    <n v="1"/>
    <n v="1"/>
    <s v="New"/>
    <x v="6"/>
    <n v="2"/>
    <n v="0"/>
  </r>
  <r>
    <n v="2483"/>
    <x v="69"/>
    <n v="1290"/>
    <x v="2"/>
    <x v="0"/>
    <x v="2"/>
    <n v="2"/>
    <n v="0"/>
    <s v="Wallet"/>
    <x v="2"/>
    <x v="1"/>
    <n v="3"/>
    <n v="0"/>
    <n v="0"/>
    <s v="New"/>
    <x v="2"/>
    <n v="40"/>
    <n v="0"/>
  </r>
  <r>
    <n v="2484"/>
    <x v="45"/>
    <n v="1936"/>
    <x v="2"/>
    <x v="0"/>
    <x v="1"/>
    <n v="1"/>
    <n v="3205"/>
    <s v="Wallet"/>
    <x v="0"/>
    <x v="1"/>
    <n v="3"/>
    <n v="1"/>
    <n v="0"/>
    <s v="Repeat"/>
    <x v="6"/>
    <n v="2"/>
    <n v="1"/>
  </r>
  <r>
    <n v="2485"/>
    <x v="5"/>
    <n v="1670"/>
    <x v="4"/>
    <x v="4"/>
    <x v="0"/>
    <n v="3"/>
    <n v="0"/>
    <s v="COD"/>
    <x v="1"/>
    <x v="0"/>
    <n v="8"/>
    <n v="0"/>
    <n v="1"/>
    <s v="New"/>
    <x v="0"/>
    <n v="33"/>
    <n v="0"/>
  </r>
  <r>
    <n v="2486"/>
    <x v="98"/>
    <n v="1942"/>
    <x v="2"/>
    <x v="0"/>
    <x v="2"/>
    <n v="4"/>
    <n v="0"/>
    <s v="COD"/>
    <x v="2"/>
    <x v="1"/>
    <n v="2"/>
    <n v="0"/>
    <n v="0"/>
    <s v="New"/>
    <x v="3"/>
    <n v="51"/>
    <n v="0"/>
  </r>
  <r>
    <n v="2487"/>
    <x v="57"/>
    <n v="1165"/>
    <x v="3"/>
    <x v="0"/>
    <x v="0"/>
    <n v="2"/>
    <n v="0"/>
    <s v="UPI"/>
    <x v="1"/>
    <x v="0"/>
    <n v="10"/>
    <n v="1"/>
    <n v="1"/>
    <s v="New"/>
    <x v="4"/>
    <n v="48"/>
    <n v="0"/>
  </r>
  <r>
    <n v="2488"/>
    <x v="175"/>
    <n v="1908"/>
    <x v="3"/>
    <x v="1"/>
    <x v="0"/>
    <n v="2"/>
    <n v="1874"/>
    <s v="Wallet"/>
    <x v="0"/>
    <x v="1"/>
    <n v="4"/>
    <n v="0"/>
    <n v="1"/>
    <s v="Repeat"/>
    <x v="5"/>
    <n v="31"/>
    <n v="1"/>
  </r>
  <r>
    <n v="2489"/>
    <x v="105"/>
    <n v="1855"/>
    <x v="3"/>
    <x v="0"/>
    <x v="1"/>
    <n v="3"/>
    <n v="0"/>
    <s v="Wallet"/>
    <x v="2"/>
    <x v="0"/>
    <n v="4"/>
    <n v="1"/>
    <n v="0"/>
    <s v="Repeat"/>
    <x v="3"/>
    <n v="52"/>
    <n v="0"/>
  </r>
  <r>
    <n v="2490"/>
    <x v="149"/>
    <n v="1118"/>
    <x v="1"/>
    <x v="4"/>
    <x v="2"/>
    <n v="3"/>
    <n v="2352"/>
    <s v="COD"/>
    <x v="0"/>
    <x v="1"/>
    <n v="2"/>
    <n v="0"/>
    <n v="0"/>
    <s v="Repeat"/>
    <x v="3"/>
    <n v="49"/>
    <n v="1"/>
  </r>
  <r>
    <n v="2491"/>
    <x v="93"/>
    <n v="1120"/>
    <x v="4"/>
    <x v="2"/>
    <x v="2"/>
    <n v="4"/>
    <n v="0"/>
    <s v="UPI"/>
    <x v="1"/>
    <x v="1"/>
    <n v="6"/>
    <n v="0"/>
    <n v="1"/>
    <s v="New"/>
    <x v="3"/>
    <n v="53"/>
    <n v="0"/>
  </r>
  <r>
    <n v="2492"/>
    <x v="43"/>
    <n v="1732"/>
    <x v="4"/>
    <x v="1"/>
    <x v="2"/>
    <n v="3"/>
    <n v="1209"/>
    <s v="Card"/>
    <x v="0"/>
    <x v="3"/>
    <n v="10"/>
    <n v="0"/>
    <n v="1"/>
    <s v="Repeat"/>
    <x v="4"/>
    <n v="46"/>
    <n v="1"/>
  </r>
  <r>
    <n v="2493"/>
    <x v="159"/>
    <n v="1951"/>
    <x v="4"/>
    <x v="0"/>
    <x v="1"/>
    <n v="3"/>
    <n v="0"/>
    <s v="COD"/>
    <x v="2"/>
    <x v="1"/>
    <n v="9"/>
    <n v="0"/>
    <n v="0"/>
    <s v="Repeat"/>
    <x v="3"/>
    <n v="49"/>
    <n v="0"/>
  </r>
  <r>
    <n v="2494"/>
    <x v="131"/>
    <n v="1619"/>
    <x v="4"/>
    <x v="1"/>
    <x v="3"/>
    <n v="5"/>
    <n v="0"/>
    <s v="COD"/>
    <x v="1"/>
    <x v="1"/>
    <n v="5"/>
    <n v="0"/>
    <n v="1"/>
    <s v="Repeat"/>
    <x v="4"/>
    <n v="47"/>
    <n v="0"/>
  </r>
  <r>
    <n v="2495"/>
    <x v="105"/>
    <n v="1176"/>
    <x v="3"/>
    <x v="2"/>
    <x v="1"/>
    <n v="4"/>
    <n v="10104"/>
    <s v="UPI"/>
    <x v="0"/>
    <x v="2"/>
    <n v="6"/>
    <n v="1"/>
    <n v="1"/>
    <s v="New"/>
    <x v="3"/>
    <n v="52"/>
    <n v="1"/>
  </r>
  <r>
    <n v="2496"/>
    <x v="151"/>
    <n v="1107"/>
    <x v="3"/>
    <x v="4"/>
    <x v="3"/>
    <n v="5"/>
    <n v="0"/>
    <s v="Wallet"/>
    <x v="1"/>
    <x v="2"/>
    <n v="10"/>
    <n v="1"/>
    <n v="1"/>
    <s v="Repeat"/>
    <x v="3"/>
    <n v="52"/>
    <n v="0"/>
  </r>
  <r>
    <n v="2497"/>
    <x v="13"/>
    <n v="1681"/>
    <x v="3"/>
    <x v="0"/>
    <x v="3"/>
    <n v="5"/>
    <n v="0"/>
    <s v="Wallet"/>
    <x v="1"/>
    <x v="0"/>
    <n v="9"/>
    <n v="1"/>
    <n v="0"/>
    <s v="New"/>
    <x v="2"/>
    <n v="41"/>
    <n v="0"/>
  </r>
  <r>
    <n v="2498"/>
    <x v="133"/>
    <n v="1623"/>
    <x v="0"/>
    <x v="0"/>
    <x v="1"/>
    <n v="1"/>
    <n v="0"/>
    <s v="UPI"/>
    <x v="1"/>
    <x v="3"/>
    <n v="2"/>
    <n v="1"/>
    <n v="0"/>
    <s v="Repeat"/>
    <x v="0"/>
    <n v="35"/>
    <n v="0"/>
  </r>
  <r>
    <n v="2499"/>
    <x v="110"/>
    <n v="1491"/>
    <x v="2"/>
    <x v="4"/>
    <x v="2"/>
    <n v="3"/>
    <n v="0"/>
    <s v="UPI"/>
    <x v="1"/>
    <x v="0"/>
    <n v="6"/>
    <n v="0"/>
    <n v="1"/>
    <s v="Repeat"/>
    <x v="3"/>
    <n v="52"/>
    <n v="0"/>
  </r>
  <r>
    <n v="2500"/>
    <x v="115"/>
    <n v="1127"/>
    <x v="2"/>
    <x v="1"/>
    <x v="3"/>
    <n v="4"/>
    <n v="18552"/>
    <s v="COD"/>
    <x v="0"/>
    <x v="0"/>
    <n v="1"/>
    <n v="0"/>
    <n v="0"/>
    <s v="Repeat"/>
    <x v="4"/>
    <n v="48"/>
    <n v="1"/>
  </r>
  <r>
    <n v="2501"/>
    <x v="173"/>
    <n v="1603"/>
    <x v="4"/>
    <x v="4"/>
    <x v="0"/>
    <n v="4"/>
    <n v="11620"/>
    <s v="COD"/>
    <x v="0"/>
    <x v="0"/>
    <n v="1"/>
    <n v="0"/>
    <n v="1"/>
    <s v="New"/>
    <x v="5"/>
    <n v="30"/>
    <n v="1"/>
  </r>
  <r>
    <n v="2502"/>
    <x v="40"/>
    <n v="1627"/>
    <x v="0"/>
    <x v="4"/>
    <x v="3"/>
    <n v="3"/>
    <n v="0"/>
    <s v="Card"/>
    <x v="2"/>
    <x v="0"/>
    <n v="9"/>
    <n v="0"/>
    <n v="0"/>
    <s v="Repeat"/>
    <x v="0"/>
    <n v="32"/>
    <n v="0"/>
  </r>
  <r>
    <n v="2503"/>
    <x v="139"/>
    <n v="1151"/>
    <x v="4"/>
    <x v="0"/>
    <x v="0"/>
    <n v="4"/>
    <n v="0"/>
    <s v="Wallet"/>
    <x v="2"/>
    <x v="1"/>
    <n v="1"/>
    <n v="0"/>
    <n v="0"/>
    <s v="Repeat"/>
    <x v="4"/>
    <n v="45"/>
    <n v="0"/>
  </r>
  <r>
    <n v="2504"/>
    <x v="110"/>
    <n v="1614"/>
    <x v="0"/>
    <x v="3"/>
    <x v="2"/>
    <n v="5"/>
    <n v="0"/>
    <s v="UPI"/>
    <x v="1"/>
    <x v="1"/>
    <n v="6"/>
    <n v="0"/>
    <n v="0"/>
    <s v="Repeat"/>
    <x v="3"/>
    <n v="52"/>
    <n v="0"/>
  </r>
  <r>
    <n v="2505"/>
    <x v="178"/>
    <n v="1048"/>
    <x v="1"/>
    <x v="4"/>
    <x v="2"/>
    <n v="2"/>
    <n v="0"/>
    <s v="Wallet"/>
    <x v="1"/>
    <x v="1"/>
    <n v="7"/>
    <n v="0"/>
    <n v="1"/>
    <s v="Repeat"/>
    <x v="4"/>
    <n v="45"/>
    <n v="0"/>
  </r>
  <r>
    <n v="2506"/>
    <x v="123"/>
    <n v="1861"/>
    <x v="3"/>
    <x v="3"/>
    <x v="2"/>
    <n v="4"/>
    <n v="0"/>
    <s v="COD"/>
    <x v="1"/>
    <x v="2"/>
    <n v="7"/>
    <n v="1"/>
    <n v="0"/>
    <s v="Repeat"/>
    <x v="0"/>
    <n v="34"/>
    <n v="0"/>
  </r>
  <r>
    <n v="2507"/>
    <x v="178"/>
    <n v="1282"/>
    <x v="3"/>
    <x v="4"/>
    <x v="1"/>
    <n v="1"/>
    <n v="0"/>
    <s v="Wallet"/>
    <x v="1"/>
    <x v="2"/>
    <n v="7"/>
    <n v="0"/>
    <n v="0"/>
    <s v="Repeat"/>
    <x v="4"/>
    <n v="45"/>
    <n v="0"/>
  </r>
  <r>
    <n v="2508"/>
    <x v="38"/>
    <n v="1793"/>
    <x v="1"/>
    <x v="4"/>
    <x v="0"/>
    <n v="3"/>
    <n v="8625"/>
    <s v="Wallet"/>
    <x v="0"/>
    <x v="0"/>
    <n v="10"/>
    <n v="1"/>
    <n v="1"/>
    <s v="New"/>
    <x v="1"/>
    <n v="39"/>
    <n v="1"/>
  </r>
  <r>
    <n v="2509"/>
    <x v="52"/>
    <n v="1592"/>
    <x v="0"/>
    <x v="0"/>
    <x v="0"/>
    <n v="1"/>
    <n v="0"/>
    <s v="Wallet"/>
    <x v="1"/>
    <x v="2"/>
    <n v="7"/>
    <n v="0"/>
    <n v="0"/>
    <s v="Repeat"/>
    <x v="4"/>
    <n v="44"/>
    <n v="0"/>
  </r>
  <r>
    <n v="2510"/>
    <x v="28"/>
    <n v="1869"/>
    <x v="0"/>
    <x v="2"/>
    <x v="0"/>
    <n v="3"/>
    <n v="0"/>
    <s v="Wallet"/>
    <x v="2"/>
    <x v="2"/>
    <n v="4"/>
    <n v="0"/>
    <n v="0"/>
    <s v="New"/>
    <x v="0"/>
    <n v="33"/>
    <n v="0"/>
  </r>
  <r>
    <n v="2511"/>
    <x v="4"/>
    <n v="1209"/>
    <x v="1"/>
    <x v="2"/>
    <x v="2"/>
    <n v="4"/>
    <n v="0"/>
    <s v="UPI"/>
    <x v="2"/>
    <x v="3"/>
    <n v="6"/>
    <n v="1"/>
    <n v="1"/>
    <s v="Repeat"/>
    <x v="3"/>
    <n v="50"/>
    <n v="0"/>
  </r>
  <r>
    <n v="2512"/>
    <x v="10"/>
    <n v="1144"/>
    <x v="0"/>
    <x v="4"/>
    <x v="2"/>
    <n v="2"/>
    <n v="0"/>
    <s v="UPI"/>
    <x v="2"/>
    <x v="1"/>
    <n v="4"/>
    <n v="0"/>
    <n v="1"/>
    <s v="Repeat"/>
    <x v="3"/>
    <n v="49"/>
    <n v="0"/>
  </r>
  <r>
    <n v="2513"/>
    <x v="124"/>
    <n v="1723"/>
    <x v="0"/>
    <x v="4"/>
    <x v="1"/>
    <n v="3"/>
    <n v="3177"/>
    <s v="Wallet"/>
    <x v="0"/>
    <x v="2"/>
    <n v="3"/>
    <n v="1"/>
    <n v="0"/>
    <s v="New"/>
    <x v="1"/>
    <n v="37"/>
    <n v="1"/>
  </r>
  <r>
    <n v="2514"/>
    <x v="180"/>
    <n v="1898"/>
    <x v="0"/>
    <x v="3"/>
    <x v="2"/>
    <n v="1"/>
    <n v="1324"/>
    <s v="Wallet"/>
    <x v="0"/>
    <x v="3"/>
    <n v="4"/>
    <n v="0"/>
    <n v="1"/>
    <s v="New"/>
    <x v="4"/>
    <n v="46"/>
    <n v="1"/>
  </r>
  <r>
    <n v="2515"/>
    <x v="140"/>
    <n v="1327"/>
    <x v="0"/>
    <x v="2"/>
    <x v="2"/>
    <n v="2"/>
    <n v="0"/>
    <s v="Card"/>
    <x v="2"/>
    <x v="2"/>
    <n v="5"/>
    <n v="1"/>
    <n v="1"/>
    <s v="Repeat"/>
    <x v="4"/>
    <n v="48"/>
    <n v="0"/>
  </r>
  <r>
    <n v="2516"/>
    <x v="49"/>
    <n v="1940"/>
    <x v="1"/>
    <x v="0"/>
    <x v="1"/>
    <n v="5"/>
    <n v="22900"/>
    <s v="Wallet"/>
    <x v="0"/>
    <x v="2"/>
    <n v="6"/>
    <n v="1"/>
    <n v="0"/>
    <s v="Repeat"/>
    <x v="0"/>
    <n v="36"/>
    <n v="1"/>
  </r>
  <r>
    <n v="2517"/>
    <x v="164"/>
    <n v="1080"/>
    <x v="3"/>
    <x v="1"/>
    <x v="0"/>
    <n v="5"/>
    <n v="20895"/>
    <s v="Card"/>
    <x v="0"/>
    <x v="2"/>
    <n v="2"/>
    <n v="0"/>
    <n v="0"/>
    <s v="New"/>
    <x v="0"/>
    <n v="34"/>
    <n v="1"/>
  </r>
  <r>
    <n v="2518"/>
    <x v="82"/>
    <n v="1766"/>
    <x v="0"/>
    <x v="1"/>
    <x v="0"/>
    <n v="1"/>
    <n v="265"/>
    <s v="UPI"/>
    <x v="0"/>
    <x v="1"/>
    <n v="3"/>
    <n v="0"/>
    <n v="1"/>
    <s v="Repeat"/>
    <x v="0"/>
    <n v="33"/>
    <n v="1"/>
  </r>
  <r>
    <n v="2519"/>
    <x v="129"/>
    <n v="1264"/>
    <x v="1"/>
    <x v="0"/>
    <x v="1"/>
    <n v="3"/>
    <n v="0"/>
    <s v="COD"/>
    <x v="1"/>
    <x v="0"/>
    <n v="7"/>
    <n v="1"/>
    <n v="0"/>
    <s v="Repeat"/>
    <x v="4"/>
    <n v="46"/>
    <n v="0"/>
  </r>
  <r>
    <n v="2520"/>
    <x v="40"/>
    <n v="1108"/>
    <x v="3"/>
    <x v="0"/>
    <x v="3"/>
    <n v="1"/>
    <n v="0"/>
    <s v="COD"/>
    <x v="2"/>
    <x v="2"/>
    <n v="6"/>
    <n v="0"/>
    <n v="0"/>
    <s v="Repeat"/>
    <x v="0"/>
    <n v="32"/>
    <n v="0"/>
  </r>
  <r>
    <n v="2521"/>
    <x v="101"/>
    <n v="1348"/>
    <x v="2"/>
    <x v="4"/>
    <x v="0"/>
    <n v="3"/>
    <n v="0"/>
    <s v="Wallet"/>
    <x v="1"/>
    <x v="1"/>
    <n v="2"/>
    <n v="1"/>
    <n v="1"/>
    <s v="New"/>
    <x v="3"/>
    <n v="49"/>
    <n v="0"/>
  </r>
  <r>
    <n v="2522"/>
    <x v="13"/>
    <n v="1803"/>
    <x v="4"/>
    <x v="1"/>
    <x v="0"/>
    <n v="1"/>
    <n v="0"/>
    <s v="COD"/>
    <x v="1"/>
    <x v="2"/>
    <n v="6"/>
    <n v="0"/>
    <n v="1"/>
    <s v="New"/>
    <x v="2"/>
    <n v="41"/>
    <n v="0"/>
  </r>
  <r>
    <n v="2523"/>
    <x v="45"/>
    <n v="1283"/>
    <x v="4"/>
    <x v="4"/>
    <x v="3"/>
    <n v="3"/>
    <n v="0"/>
    <s v="COD"/>
    <x v="2"/>
    <x v="1"/>
    <n v="4"/>
    <n v="0"/>
    <n v="0"/>
    <s v="Repeat"/>
    <x v="6"/>
    <n v="2"/>
    <n v="0"/>
  </r>
  <r>
    <n v="2524"/>
    <x v="73"/>
    <n v="1214"/>
    <x v="2"/>
    <x v="4"/>
    <x v="3"/>
    <n v="2"/>
    <n v="2068"/>
    <s v="Card"/>
    <x v="0"/>
    <x v="2"/>
    <n v="5"/>
    <n v="1"/>
    <n v="0"/>
    <s v="Repeat"/>
    <x v="4"/>
    <n v="45"/>
    <n v="1"/>
  </r>
  <r>
    <n v="2525"/>
    <x v="118"/>
    <n v="1052"/>
    <x v="3"/>
    <x v="1"/>
    <x v="1"/>
    <n v="3"/>
    <n v="0"/>
    <s v="Card"/>
    <x v="1"/>
    <x v="0"/>
    <n v="2"/>
    <n v="0"/>
    <n v="1"/>
    <s v="Repeat"/>
    <x v="0"/>
    <n v="35"/>
    <n v="0"/>
  </r>
  <r>
    <n v="2526"/>
    <x v="122"/>
    <n v="1659"/>
    <x v="0"/>
    <x v="4"/>
    <x v="1"/>
    <n v="1"/>
    <n v="0"/>
    <s v="Card"/>
    <x v="2"/>
    <x v="3"/>
    <n v="8"/>
    <n v="1"/>
    <n v="0"/>
    <s v="Repeat"/>
    <x v="3"/>
    <n v="53"/>
    <n v="0"/>
  </r>
  <r>
    <n v="2527"/>
    <x v="139"/>
    <n v="1638"/>
    <x v="1"/>
    <x v="1"/>
    <x v="0"/>
    <n v="2"/>
    <n v="0"/>
    <s v="Card"/>
    <x v="1"/>
    <x v="1"/>
    <n v="2"/>
    <n v="0"/>
    <n v="1"/>
    <s v="New"/>
    <x v="4"/>
    <n v="45"/>
    <n v="0"/>
  </r>
  <r>
    <n v="2528"/>
    <x v="74"/>
    <n v="1224"/>
    <x v="2"/>
    <x v="0"/>
    <x v="0"/>
    <n v="1"/>
    <n v="4196"/>
    <s v="COD"/>
    <x v="0"/>
    <x v="1"/>
    <n v="8"/>
    <n v="1"/>
    <n v="0"/>
    <s v="New"/>
    <x v="5"/>
    <n v="29"/>
    <n v="1"/>
  </r>
  <r>
    <n v="2529"/>
    <x v="30"/>
    <n v="1270"/>
    <x v="2"/>
    <x v="0"/>
    <x v="0"/>
    <n v="1"/>
    <n v="2073"/>
    <s v="COD"/>
    <x v="0"/>
    <x v="0"/>
    <n v="4"/>
    <n v="0"/>
    <n v="1"/>
    <s v="New"/>
    <x v="3"/>
    <n v="51"/>
    <n v="1"/>
  </r>
  <r>
    <n v="2530"/>
    <x v="43"/>
    <n v="1517"/>
    <x v="1"/>
    <x v="1"/>
    <x v="0"/>
    <n v="5"/>
    <n v="0"/>
    <s v="Card"/>
    <x v="2"/>
    <x v="1"/>
    <n v="8"/>
    <n v="0"/>
    <n v="1"/>
    <s v="Repeat"/>
    <x v="4"/>
    <n v="46"/>
    <n v="0"/>
  </r>
  <r>
    <n v="2531"/>
    <x v="41"/>
    <n v="1905"/>
    <x v="1"/>
    <x v="2"/>
    <x v="1"/>
    <n v="4"/>
    <n v="8600"/>
    <s v="COD"/>
    <x v="0"/>
    <x v="2"/>
    <n v="10"/>
    <n v="0"/>
    <n v="1"/>
    <s v="Repeat"/>
    <x v="1"/>
    <n v="37"/>
    <n v="1"/>
  </r>
  <r>
    <n v="2532"/>
    <x v="88"/>
    <n v="1920"/>
    <x v="2"/>
    <x v="0"/>
    <x v="1"/>
    <n v="5"/>
    <n v="0"/>
    <s v="UPI"/>
    <x v="1"/>
    <x v="2"/>
    <n v="5"/>
    <n v="0"/>
    <n v="0"/>
    <s v="Repeat"/>
    <x v="1"/>
    <n v="37"/>
    <n v="0"/>
  </r>
  <r>
    <n v="2533"/>
    <x v="75"/>
    <n v="1741"/>
    <x v="4"/>
    <x v="3"/>
    <x v="0"/>
    <n v="5"/>
    <n v="0"/>
    <s v="UPI"/>
    <x v="1"/>
    <x v="1"/>
    <n v="7"/>
    <n v="0"/>
    <n v="1"/>
    <s v="Repeat"/>
    <x v="3"/>
    <n v="52"/>
    <n v="0"/>
  </r>
  <r>
    <n v="2534"/>
    <x v="144"/>
    <n v="1945"/>
    <x v="0"/>
    <x v="4"/>
    <x v="3"/>
    <n v="5"/>
    <n v="2490"/>
    <s v="COD"/>
    <x v="0"/>
    <x v="2"/>
    <n v="2"/>
    <n v="1"/>
    <n v="0"/>
    <s v="New"/>
    <x v="3"/>
    <n v="52"/>
    <n v="1"/>
  </r>
  <r>
    <n v="2535"/>
    <x v="34"/>
    <n v="1103"/>
    <x v="0"/>
    <x v="1"/>
    <x v="2"/>
    <n v="2"/>
    <n v="0"/>
    <s v="COD"/>
    <x v="2"/>
    <x v="0"/>
    <n v="3"/>
    <n v="1"/>
    <n v="0"/>
    <s v="New"/>
    <x v="3"/>
    <n v="51"/>
    <n v="0"/>
  </r>
  <r>
    <n v="2536"/>
    <x v="29"/>
    <n v="1453"/>
    <x v="0"/>
    <x v="4"/>
    <x v="1"/>
    <n v="1"/>
    <n v="1643"/>
    <s v="COD"/>
    <x v="0"/>
    <x v="0"/>
    <n v="5"/>
    <n v="1"/>
    <n v="0"/>
    <s v="Repeat"/>
    <x v="1"/>
    <n v="39"/>
    <n v="1"/>
  </r>
  <r>
    <n v="2537"/>
    <x v="75"/>
    <n v="1888"/>
    <x v="4"/>
    <x v="3"/>
    <x v="0"/>
    <n v="3"/>
    <n v="0"/>
    <s v="Wallet"/>
    <x v="2"/>
    <x v="3"/>
    <n v="3"/>
    <n v="0"/>
    <n v="0"/>
    <s v="New"/>
    <x v="3"/>
    <n v="52"/>
    <n v="0"/>
  </r>
  <r>
    <n v="2538"/>
    <x v="151"/>
    <n v="1025"/>
    <x v="0"/>
    <x v="3"/>
    <x v="3"/>
    <n v="5"/>
    <n v="17985"/>
    <s v="UPI"/>
    <x v="0"/>
    <x v="3"/>
    <n v="6"/>
    <n v="1"/>
    <n v="1"/>
    <s v="Repeat"/>
    <x v="3"/>
    <n v="52"/>
    <n v="1"/>
  </r>
  <r>
    <n v="2539"/>
    <x v="57"/>
    <n v="1298"/>
    <x v="2"/>
    <x v="2"/>
    <x v="3"/>
    <n v="5"/>
    <n v="23925"/>
    <s v="UPI"/>
    <x v="0"/>
    <x v="2"/>
    <n v="8"/>
    <n v="1"/>
    <n v="1"/>
    <s v="New"/>
    <x v="4"/>
    <n v="48"/>
    <n v="1"/>
  </r>
  <r>
    <n v="2540"/>
    <x v="138"/>
    <n v="1187"/>
    <x v="3"/>
    <x v="1"/>
    <x v="0"/>
    <n v="3"/>
    <n v="0"/>
    <s v="Card"/>
    <x v="1"/>
    <x v="3"/>
    <n v="1"/>
    <n v="1"/>
    <n v="0"/>
    <s v="New"/>
    <x v="2"/>
    <n v="44"/>
    <n v="0"/>
  </r>
  <r>
    <n v="2541"/>
    <x v="125"/>
    <n v="1638"/>
    <x v="1"/>
    <x v="4"/>
    <x v="1"/>
    <n v="5"/>
    <n v="15930"/>
    <s v="Card"/>
    <x v="0"/>
    <x v="1"/>
    <n v="9"/>
    <n v="0"/>
    <n v="1"/>
    <s v="Repeat"/>
    <x v="5"/>
    <n v="31"/>
    <n v="1"/>
  </r>
  <r>
    <n v="2542"/>
    <x v="9"/>
    <n v="1785"/>
    <x v="2"/>
    <x v="2"/>
    <x v="1"/>
    <n v="1"/>
    <n v="0"/>
    <s v="COD"/>
    <x v="1"/>
    <x v="0"/>
    <n v="9"/>
    <n v="1"/>
    <n v="1"/>
    <s v="Repeat"/>
    <x v="5"/>
    <n v="30"/>
    <n v="0"/>
  </r>
  <r>
    <n v="2543"/>
    <x v="3"/>
    <n v="1278"/>
    <x v="0"/>
    <x v="2"/>
    <x v="1"/>
    <n v="2"/>
    <n v="0"/>
    <s v="Card"/>
    <x v="1"/>
    <x v="2"/>
    <n v="5"/>
    <n v="0"/>
    <n v="0"/>
    <s v="New"/>
    <x v="0"/>
    <n v="32"/>
    <n v="0"/>
  </r>
  <r>
    <n v="2544"/>
    <x v="110"/>
    <n v="1741"/>
    <x v="0"/>
    <x v="1"/>
    <x v="0"/>
    <n v="4"/>
    <n v="0"/>
    <s v="UPI"/>
    <x v="2"/>
    <x v="0"/>
    <n v="9"/>
    <n v="1"/>
    <n v="1"/>
    <s v="New"/>
    <x v="3"/>
    <n v="52"/>
    <n v="0"/>
  </r>
  <r>
    <n v="2545"/>
    <x v="98"/>
    <n v="1578"/>
    <x v="4"/>
    <x v="2"/>
    <x v="1"/>
    <n v="3"/>
    <n v="0"/>
    <s v="UPI"/>
    <x v="1"/>
    <x v="3"/>
    <n v="9"/>
    <n v="0"/>
    <n v="1"/>
    <s v="New"/>
    <x v="3"/>
    <n v="51"/>
    <n v="0"/>
  </r>
  <r>
    <n v="2546"/>
    <x v="118"/>
    <n v="1882"/>
    <x v="3"/>
    <x v="3"/>
    <x v="1"/>
    <n v="3"/>
    <n v="0"/>
    <s v="Card"/>
    <x v="1"/>
    <x v="1"/>
    <n v="4"/>
    <n v="0"/>
    <n v="1"/>
    <s v="Repeat"/>
    <x v="0"/>
    <n v="35"/>
    <n v="0"/>
  </r>
  <r>
    <n v="2547"/>
    <x v="122"/>
    <n v="1050"/>
    <x v="4"/>
    <x v="4"/>
    <x v="0"/>
    <n v="4"/>
    <n v="0"/>
    <s v="UPI"/>
    <x v="2"/>
    <x v="3"/>
    <n v="4"/>
    <n v="1"/>
    <n v="0"/>
    <s v="New"/>
    <x v="3"/>
    <n v="53"/>
    <n v="0"/>
  </r>
  <r>
    <n v="2548"/>
    <x v="166"/>
    <n v="1888"/>
    <x v="3"/>
    <x v="4"/>
    <x v="0"/>
    <n v="4"/>
    <n v="1912"/>
    <s v="COD"/>
    <x v="0"/>
    <x v="3"/>
    <n v="4"/>
    <n v="0"/>
    <n v="0"/>
    <s v="New"/>
    <x v="1"/>
    <n v="39"/>
    <n v="1"/>
  </r>
  <r>
    <n v="2549"/>
    <x v="30"/>
    <n v="1411"/>
    <x v="1"/>
    <x v="3"/>
    <x v="2"/>
    <n v="2"/>
    <n v="0"/>
    <s v="Card"/>
    <x v="2"/>
    <x v="2"/>
    <n v="2"/>
    <n v="1"/>
    <n v="0"/>
    <s v="Repeat"/>
    <x v="3"/>
    <n v="51"/>
    <n v="0"/>
  </r>
  <r>
    <n v="2550"/>
    <x v="73"/>
    <n v="1328"/>
    <x v="0"/>
    <x v="2"/>
    <x v="2"/>
    <n v="4"/>
    <n v="0"/>
    <s v="Card"/>
    <x v="1"/>
    <x v="2"/>
    <n v="6"/>
    <n v="0"/>
    <n v="1"/>
    <s v="New"/>
    <x v="4"/>
    <n v="45"/>
    <n v="0"/>
  </r>
  <r>
    <n v="2551"/>
    <x v="67"/>
    <n v="1588"/>
    <x v="0"/>
    <x v="4"/>
    <x v="1"/>
    <n v="3"/>
    <n v="0"/>
    <s v="UPI"/>
    <x v="1"/>
    <x v="3"/>
    <n v="8"/>
    <n v="0"/>
    <n v="0"/>
    <s v="Repeat"/>
    <x v="1"/>
    <n v="36"/>
    <n v="0"/>
  </r>
  <r>
    <n v="2552"/>
    <x v="149"/>
    <n v="1309"/>
    <x v="1"/>
    <x v="3"/>
    <x v="0"/>
    <n v="4"/>
    <n v="17136"/>
    <s v="UPI"/>
    <x v="0"/>
    <x v="0"/>
    <n v="8"/>
    <n v="0"/>
    <n v="1"/>
    <s v="Repeat"/>
    <x v="3"/>
    <n v="49"/>
    <n v="1"/>
  </r>
  <r>
    <n v="2553"/>
    <x v="31"/>
    <n v="1391"/>
    <x v="0"/>
    <x v="2"/>
    <x v="2"/>
    <n v="2"/>
    <n v="0"/>
    <s v="UPI"/>
    <x v="1"/>
    <x v="3"/>
    <n v="10"/>
    <n v="1"/>
    <n v="0"/>
    <s v="New"/>
    <x v="2"/>
    <n v="44"/>
    <n v="0"/>
  </r>
  <r>
    <n v="2554"/>
    <x v="123"/>
    <n v="1066"/>
    <x v="4"/>
    <x v="0"/>
    <x v="0"/>
    <n v="4"/>
    <n v="0"/>
    <s v="Card"/>
    <x v="1"/>
    <x v="2"/>
    <n v="8"/>
    <n v="0"/>
    <n v="0"/>
    <s v="New"/>
    <x v="0"/>
    <n v="34"/>
    <n v="0"/>
  </r>
  <r>
    <n v="2555"/>
    <x v="176"/>
    <n v="1691"/>
    <x v="1"/>
    <x v="2"/>
    <x v="1"/>
    <n v="4"/>
    <n v="1928"/>
    <s v="Card"/>
    <x v="0"/>
    <x v="0"/>
    <n v="7"/>
    <n v="0"/>
    <n v="1"/>
    <s v="New"/>
    <x v="3"/>
    <n v="51"/>
    <n v="1"/>
  </r>
  <r>
    <n v="2556"/>
    <x v="118"/>
    <n v="1449"/>
    <x v="1"/>
    <x v="0"/>
    <x v="3"/>
    <n v="1"/>
    <n v="0"/>
    <s v="COD"/>
    <x v="2"/>
    <x v="2"/>
    <n v="5"/>
    <n v="1"/>
    <n v="1"/>
    <s v="New"/>
    <x v="0"/>
    <n v="35"/>
    <n v="0"/>
  </r>
  <r>
    <n v="2557"/>
    <x v="163"/>
    <n v="1289"/>
    <x v="1"/>
    <x v="1"/>
    <x v="1"/>
    <n v="4"/>
    <n v="4900"/>
    <s v="Card"/>
    <x v="0"/>
    <x v="3"/>
    <n v="10"/>
    <n v="0"/>
    <n v="0"/>
    <s v="New"/>
    <x v="4"/>
    <n v="45"/>
    <n v="1"/>
  </r>
  <r>
    <n v="2558"/>
    <x v="95"/>
    <n v="1526"/>
    <x v="0"/>
    <x v="2"/>
    <x v="1"/>
    <n v="4"/>
    <n v="0"/>
    <s v="COD"/>
    <x v="1"/>
    <x v="2"/>
    <n v="8"/>
    <n v="1"/>
    <n v="0"/>
    <s v="Repeat"/>
    <x v="4"/>
    <n v="47"/>
    <n v="0"/>
  </r>
  <r>
    <n v="2559"/>
    <x v="10"/>
    <n v="1417"/>
    <x v="2"/>
    <x v="1"/>
    <x v="1"/>
    <n v="1"/>
    <n v="0"/>
    <s v="Card"/>
    <x v="1"/>
    <x v="3"/>
    <n v="4"/>
    <n v="1"/>
    <n v="0"/>
    <s v="New"/>
    <x v="3"/>
    <n v="49"/>
    <n v="0"/>
  </r>
  <r>
    <n v="2560"/>
    <x v="23"/>
    <n v="1290"/>
    <x v="4"/>
    <x v="1"/>
    <x v="0"/>
    <n v="4"/>
    <n v="0"/>
    <s v="Card"/>
    <x v="1"/>
    <x v="2"/>
    <n v="4"/>
    <n v="1"/>
    <n v="1"/>
    <s v="New"/>
    <x v="3"/>
    <n v="51"/>
    <n v="0"/>
  </r>
  <r>
    <n v="2561"/>
    <x v="83"/>
    <n v="1415"/>
    <x v="2"/>
    <x v="3"/>
    <x v="1"/>
    <n v="4"/>
    <n v="3468"/>
    <s v="UPI"/>
    <x v="0"/>
    <x v="3"/>
    <n v="10"/>
    <n v="1"/>
    <n v="1"/>
    <s v="New"/>
    <x v="1"/>
    <n v="36"/>
    <n v="1"/>
  </r>
  <r>
    <n v="2562"/>
    <x v="111"/>
    <n v="1204"/>
    <x v="0"/>
    <x v="2"/>
    <x v="1"/>
    <n v="4"/>
    <n v="0"/>
    <s v="COD"/>
    <x v="2"/>
    <x v="0"/>
    <n v="7"/>
    <n v="0"/>
    <n v="1"/>
    <s v="Repeat"/>
    <x v="4"/>
    <n v="48"/>
    <n v="0"/>
  </r>
  <r>
    <n v="2563"/>
    <x v="38"/>
    <n v="1921"/>
    <x v="3"/>
    <x v="1"/>
    <x v="2"/>
    <n v="4"/>
    <n v="0"/>
    <s v="Card"/>
    <x v="1"/>
    <x v="3"/>
    <n v="10"/>
    <n v="1"/>
    <n v="0"/>
    <s v="Repeat"/>
    <x v="1"/>
    <n v="39"/>
    <n v="0"/>
  </r>
  <r>
    <n v="2564"/>
    <x v="72"/>
    <n v="1181"/>
    <x v="0"/>
    <x v="2"/>
    <x v="1"/>
    <n v="5"/>
    <n v="11130"/>
    <s v="Wallet"/>
    <x v="0"/>
    <x v="3"/>
    <n v="10"/>
    <n v="0"/>
    <n v="1"/>
    <s v="Repeat"/>
    <x v="2"/>
    <n v="41"/>
    <n v="1"/>
  </r>
  <r>
    <n v="2565"/>
    <x v="8"/>
    <n v="1824"/>
    <x v="1"/>
    <x v="1"/>
    <x v="0"/>
    <n v="5"/>
    <n v="23025"/>
    <s v="UPI"/>
    <x v="0"/>
    <x v="3"/>
    <n v="1"/>
    <n v="1"/>
    <n v="1"/>
    <s v="New"/>
    <x v="0"/>
    <n v="32"/>
    <n v="1"/>
  </r>
  <r>
    <n v="2566"/>
    <x v="99"/>
    <n v="1399"/>
    <x v="1"/>
    <x v="0"/>
    <x v="3"/>
    <n v="1"/>
    <n v="0"/>
    <s v="Card"/>
    <x v="2"/>
    <x v="0"/>
    <n v="7"/>
    <n v="1"/>
    <n v="0"/>
    <s v="New"/>
    <x v="4"/>
    <n v="48"/>
    <n v="0"/>
  </r>
  <r>
    <n v="2567"/>
    <x v="157"/>
    <n v="1396"/>
    <x v="2"/>
    <x v="4"/>
    <x v="2"/>
    <n v="1"/>
    <n v="4118"/>
    <s v="Card"/>
    <x v="0"/>
    <x v="3"/>
    <n v="9"/>
    <n v="0"/>
    <n v="1"/>
    <s v="New"/>
    <x v="2"/>
    <n v="41"/>
    <n v="1"/>
  </r>
  <r>
    <n v="2568"/>
    <x v="110"/>
    <n v="1341"/>
    <x v="3"/>
    <x v="1"/>
    <x v="1"/>
    <n v="4"/>
    <n v="0"/>
    <s v="COD"/>
    <x v="2"/>
    <x v="3"/>
    <n v="9"/>
    <n v="1"/>
    <n v="1"/>
    <s v="Repeat"/>
    <x v="3"/>
    <n v="52"/>
    <n v="0"/>
  </r>
  <r>
    <n v="2569"/>
    <x v="51"/>
    <n v="1034"/>
    <x v="0"/>
    <x v="1"/>
    <x v="1"/>
    <n v="3"/>
    <n v="6999"/>
    <s v="UPI"/>
    <x v="0"/>
    <x v="3"/>
    <n v="3"/>
    <n v="0"/>
    <n v="0"/>
    <s v="Repeat"/>
    <x v="5"/>
    <n v="29"/>
    <n v="1"/>
  </r>
  <r>
    <n v="2570"/>
    <x v="135"/>
    <n v="1612"/>
    <x v="1"/>
    <x v="1"/>
    <x v="0"/>
    <n v="1"/>
    <n v="3895"/>
    <s v="Wallet"/>
    <x v="0"/>
    <x v="1"/>
    <n v="2"/>
    <n v="0"/>
    <n v="0"/>
    <s v="New"/>
    <x v="2"/>
    <n v="43"/>
    <n v="1"/>
  </r>
  <r>
    <n v="2571"/>
    <x v="72"/>
    <n v="1206"/>
    <x v="1"/>
    <x v="2"/>
    <x v="3"/>
    <n v="5"/>
    <n v="0"/>
    <s v="Wallet"/>
    <x v="2"/>
    <x v="0"/>
    <n v="8"/>
    <n v="0"/>
    <n v="0"/>
    <s v="Repeat"/>
    <x v="2"/>
    <n v="41"/>
    <n v="0"/>
  </r>
  <r>
    <n v="2572"/>
    <x v="91"/>
    <n v="1389"/>
    <x v="1"/>
    <x v="1"/>
    <x v="2"/>
    <n v="1"/>
    <n v="0"/>
    <s v="UPI"/>
    <x v="1"/>
    <x v="0"/>
    <n v="2"/>
    <n v="1"/>
    <n v="0"/>
    <s v="New"/>
    <x v="3"/>
    <n v="52"/>
    <n v="0"/>
  </r>
  <r>
    <n v="2573"/>
    <x v="46"/>
    <n v="1397"/>
    <x v="3"/>
    <x v="2"/>
    <x v="0"/>
    <n v="3"/>
    <n v="0"/>
    <s v="Wallet"/>
    <x v="1"/>
    <x v="3"/>
    <n v="9"/>
    <n v="0"/>
    <n v="1"/>
    <s v="New"/>
    <x v="5"/>
    <n v="30"/>
    <n v="0"/>
  </r>
  <r>
    <n v="2574"/>
    <x v="160"/>
    <n v="1080"/>
    <x v="3"/>
    <x v="3"/>
    <x v="0"/>
    <n v="2"/>
    <n v="810"/>
    <s v="Card"/>
    <x v="0"/>
    <x v="3"/>
    <n v="9"/>
    <n v="1"/>
    <n v="0"/>
    <s v="Repeat"/>
    <x v="4"/>
    <n v="47"/>
    <n v="1"/>
  </r>
  <r>
    <n v="2575"/>
    <x v="145"/>
    <n v="1129"/>
    <x v="1"/>
    <x v="1"/>
    <x v="1"/>
    <n v="4"/>
    <n v="0"/>
    <s v="Card"/>
    <x v="1"/>
    <x v="1"/>
    <n v="5"/>
    <n v="0"/>
    <n v="1"/>
    <s v="Repeat"/>
    <x v="4"/>
    <n v="48"/>
    <n v="0"/>
  </r>
  <r>
    <n v="2576"/>
    <x v="158"/>
    <n v="1808"/>
    <x v="1"/>
    <x v="3"/>
    <x v="0"/>
    <n v="4"/>
    <n v="0"/>
    <s v="UPI"/>
    <x v="1"/>
    <x v="3"/>
    <n v="3"/>
    <n v="1"/>
    <n v="0"/>
    <s v="New"/>
    <x v="1"/>
    <n v="38"/>
    <n v="0"/>
  </r>
  <r>
    <n v="2577"/>
    <x v="51"/>
    <n v="1189"/>
    <x v="2"/>
    <x v="0"/>
    <x v="3"/>
    <n v="4"/>
    <n v="0"/>
    <s v="UPI"/>
    <x v="1"/>
    <x v="3"/>
    <n v="4"/>
    <n v="0"/>
    <n v="0"/>
    <s v="New"/>
    <x v="5"/>
    <n v="29"/>
    <n v="0"/>
  </r>
  <r>
    <n v="2578"/>
    <x v="173"/>
    <n v="1380"/>
    <x v="3"/>
    <x v="1"/>
    <x v="3"/>
    <n v="5"/>
    <n v="0"/>
    <s v="Card"/>
    <x v="2"/>
    <x v="0"/>
    <n v="9"/>
    <n v="1"/>
    <n v="0"/>
    <s v="Repeat"/>
    <x v="5"/>
    <n v="30"/>
    <n v="0"/>
  </r>
  <r>
    <n v="2579"/>
    <x v="75"/>
    <n v="1625"/>
    <x v="4"/>
    <x v="2"/>
    <x v="2"/>
    <n v="2"/>
    <n v="0"/>
    <s v="COD"/>
    <x v="1"/>
    <x v="1"/>
    <n v="8"/>
    <n v="1"/>
    <n v="0"/>
    <s v="New"/>
    <x v="3"/>
    <n v="52"/>
    <n v="0"/>
  </r>
  <r>
    <n v="2580"/>
    <x v="21"/>
    <n v="1213"/>
    <x v="2"/>
    <x v="2"/>
    <x v="0"/>
    <n v="3"/>
    <n v="4383"/>
    <s v="UPI"/>
    <x v="0"/>
    <x v="2"/>
    <n v="3"/>
    <n v="1"/>
    <n v="1"/>
    <s v="Repeat"/>
    <x v="2"/>
    <n v="43"/>
    <n v="1"/>
  </r>
  <r>
    <n v="2581"/>
    <x v="116"/>
    <n v="1650"/>
    <x v="4"/>
    <x v="0"/>
    <x v="0"/>
    <n v="2"/>
    <n v="6492"/>
    <s v="COD"/>
    <x v="0"/>
    <x v="2"/>
    <n v="4"/>
    <n v="0"/>
    <n v="0"/>
    <s v="Repeat"/>
    <x v="3"/>
    <n v="50"/>
    <n v="1"/>
  </r>
  <r>
    <n v="2582"/>
    <x v="60"/>
    <n v="1899"/>
    <x v="1"/>
    <x v="1"/>
    <x v="1"/>
    <n v="5"/>
    <n v="0"/>
    <s v="Wallet"/>
    <x v="2"/>
    <x v="1"/>
    <n v="7"/>
    <n v="1"/>
    <n v="0"/>
    <s v="Repeat"/>
    <x v="1"/>
    <n v="36"/>
    <n v="0"/>
  </r>
  <r>
    <n v="2583"/>
    <x v="166"/>
    <n v="1139"/>
    <x v="0"/>
    <x v="4"/>
    <x v="1"/>
    <n v="1"/>
    <n v="0"/>
    <s v="COD"/>
    <x v="2"/>
    <x v="0"/>
    <n v="5"/>
    <n v="0"/>
    <n v="1"/>
    <s v="Repeat"/>
    <x v="1"/>
    <n v="39"/>
    <n v="0"/>
  </r>
  <r>
    <n v="2584"/>
    <x v="22"/>
    <n v="1664"/>
    <x v="4"/>
    <x v="2"/>
    <x v="2"/>
    <n v="3"/>
    <n v="0"/>
    <s v="Card"/>
    <x v="1"/>
    <x v="0"/>
    <n v="7"/>
    <n v="1"/>
    <n v="1"/>
    <s v="New"/>
    <x v="6"/>
    <n v="2"/>
    <n v="0"/>
  </r>
  <r>
    <n v="2585"/>
    <x v="42"/>
    <n v="1482"/>
    <x v="4"/>
    <x v="3"/>
    <x v="1"/>
    <n v="3"/>
    <n v="11697"/>
    <s v="Wallet"/>
    <x v="0"/>
    <x v="2"/>
    <n v="6"/>
    <n v="0"/>
    <n v="1"/>
    <s v="Repeat"/>
    <x v="2"/>
    <n v="44"/>
    <n v="1"/>
  </r>
  <r>
    <n v="2586"/>
    <x v="106"/>
    <n v="1835"/>
    <x v="3"/>
    <x v="4"/>
    <x v="0"/>
    <n v="3"/>
    <n v="0"/>
    <s v="Card"/>
    <x v="2"/>
    <x v="1"/>
    <n v="6"/>
    <n v="0"/>
    <n v="1"/>
    <s v="New"/>
    <x v="5"/>
    <n v="30"/>
    <n v="0"/>
  </r>
  <r>
    <n v="2587"/>
    <x v="118"/>
    <n v="1295"/>
    <x v="1"/>
    <x v="4"/>
    <x v="3"/>
    <n v="2"/>
    <n v="0"/>
    <s v="Card"/>
    <x v="2"/>
    <x v="0"/>
    <n v="8"/>
    <n v="1"/>
    <n v="1"/>
    <s v="Repeat"/>
    <x v="0"/>
    <n v="35"/>
    <n v="0"/>
  </r>
  <r>
    <n v="2588"/>
    <x v="160"/>
    <n v="1280"/>
    <x v="3"/>
    <x v="1"/>
    <x v="3"/>
    <n v="4"/>
    <n v="0"/>
    <s v="COD"/>
    <x v="1"/>
    <x v="2"/>
    <n v="7"/>
    <n v="0"/>
    <n v="0"/>
    <s v="New"/>
    <x v="4"/>
    <n v="47"/>
    <n v="0"/>
  </r>
  <r>
    <n v="2589"/>
    <x v="91"/>
    <n v="1939"/>
    <x v="4"/>
    <x v="1"/>
    <x v="3"/>
    <n v="3"/>
    <n v="5247"/>
    <s v="Card"/>
    <x v="0"/>
    <x v="3"/>
    <n v="6"/>
    <n v="1"/>
    <n v="1"/>
    <s v="New"/>
    <x v="3"/>
    <n v="52"/>
    <n v="1"/>
  </r>
  <r>
    <n v="2590"/>
    <x v="139"/>
    <n v="1695"/>
    <x v="0"/>
    <x v="2"/>
    <x v="2"/>
    <n v="4"/>
    <n v="0"/>
    <s v="Card"/>
    <x v="1"/>
    <x v="2"/>
    <n v="6"/>
    <n v="0"/>
    <n v="0"/>
    <s v="New"/>
    <x v="4"/>
    <n v="45"/>
    <n v="0"/>
  </r>
  <r>
    <n v="2591"/>
    <x v="31"/>
    <n v="1371"/>
    <x v="1"/>
    <x v="3"/>
    <x v="2"/>
    <n v="4"/>
    <n v="0"/>
    <s v="Wallet"/>
    <x v="2"/>
    <x v="1"/>
    <n v="5"/>
    <n v="0"/>
    <n v="0"/>
    <s v="New"/>
    <x v="2"/>
    <n v="44"/>
    <n v="0"/>
  </r>
  <r>
    <n v="2592"/>
    <x v="159"/>
    <n v="1054"/>
    <x v="0"/>
    <x v="3"/>
    <x v="3"/>
    <n v="5"/>
    <n v="0"/>
    <s v="Wallet"/>
    <x v="2"/>
    <x v="3"/>
    <n v="8"/>
    <n v="1"/>
    <n v="0"/>
    <s v="New"/>
    <x v="3"/>
    <n v="49"/>
    <n v="0"/>
  </r>
  <r>
    <n v="2593"/>
    <x v="15"/>
    <n v="1150"/>
    <x v="0"/>
    <x v="1"/>
    <x v="2"/>
    <n v="3"/>
    <n v="0"/>
    <s v="COD"/>
    <x v="1"/>
    <x v="2"/>
    <n v="2"/>
    <n v="1"/>
    <n v="0"/>
    <s v="Repeat"/>
    <x v="4"/>
    <n v="47"/>
    <n v="0"/>
  </r>
  <r>
    <n v="2594"/>
    <x v="128"/>
    <n v="1469"/>
    <x v="3"/>
    <x v="0"/>
    <x v="2"/>
    <n v="1"/>
    <n v="2905"/>
    <s v="Card"/>
    <x v="0"/>
    <x v="3"/>
    <n v="10"/>
    <n v="1"/>
    <n v="1"/>
    <s v="New"/>
    <x v="1"/>
    <n v="39"/>
    <n v="1"/>
  </r>
  <r>
    <n v="2595"/>
    <x v="82"/>
    <n v="1018"/>
    <x v="4"/>
    <x v="2"/>
    <x v="3"/>
    <n v="1"/>
    <n v="0"/>
    <s v="Card"/>
    <x v="1"/>
    <x v="1"/>
    <n v="9"/>
    <n v="0"/>
    <n v="1"/>
    <s v="New"/>
    <x v="0"/>
    <n v="33"/>
    <n v="0"/>
  </r>
  <r>
    <n v="2596"/>
    <x v="156"/>
    <n v="1871"/>
    <x v="0"/>
    <x v="4"/>
    <x v="2"/>
    <n v="3"/>
    <n v="4098"/>
    <s v="UPI"/>
    <x v="0"/>
    <x v="2"/>
    <n v="6"/>
    <n v="1"/>
    <n v="0"/>
    <s v="Repeat"/>
    <x v="6"/>
    <n v="2"/>
    <n v="1"/>
  </r>
  <r>
    <n v="2597"/>
    <x v="63"/>
    <n v="1164"/>
    <x v="1"/>
    <x v="3"/>
    <x v="0"/>
    <n v="1"/>
    <n v="0"/>
    <s v="Card"/>
    <x v="2"/>
    <x v="2"/>
    <n v="7"/>
    <n v="0"/>
    <n v="0"/>
    <s v="New"/>
    <x v="5"/>
    <n v="29"/>
    <n v="0"/>
  </r>
  <r>
    <n v="2598"/>
    <x v="137"/>
    <n v="1711"/>
    <x v="0"/>
    <x v="2"/>
    <x v="1"/>
    <n v="1"/>
    <n v="0"/>
    <s v="Wallet"/>
    <x v="1"/>
    <x v="0"/>
    <n v="7"/>
    <n v="0"/>
    <n v="0"/>
    <s v="New"/>
    <x v="1"/>
    <n v="40"/>
    <n v="0"/>
  </r>
  <r>
    <n v="2599"/>
    <x v="151"/>
    <n v="1113"/>
    <x v="4"/>
    <x v="2"/>
    <x v="0"/>
    <n v="2"/>
    <n v="0"/>
    <s v="UPI"/>
    <x v="1"/>
    <x v="0"/>
    <n v="1"/>
    <n v="0"/>
    <n v="1"/>
    <s v="New"/>
    <x v="3"/>
    <n v="52"/>
    <n v="0"/>
  </r>
  <r>
    <n v="2600"/>
    <x v="111"/>
    <n v="1563"/>
    <x v="3"/>
    <x v="0"/>
    <x v="1"/>
    <n v="2"/>
    <n v="0"/>
    <s v="UPI"/>
    <x v="1"/>
    <x v="0"/>
    <n v="9"/>
    <n v="1"/>
    <n v="1"/>
    <s v="New"/>
    <x v="4"/>
    <n v="48"/>
    <n v="0"/>
  </r>
  <r>
    <n v="2601"/>
    <x v="54"/>
    <n v="1366"/>
    <x v="4"/>
    <x v="1"/>
    <x v="0"/>
    <n v="2"/>
    <n v="0"/>
    <s v="UPI"/>
    <x v="1"/>
    <x v="1"/>
    <n v="1"/>
    <n v="1"/>
    <n v="1"/>
    <s v="New"/>
    <x v="0"/>
    <n v="34"/>
    <n v="0"/>
  </r>
  <r>
    <n v="2602"/>
    <x v="24"/>
    <n v="1579"/>
    <x v="4"/>
    <x v="1"/>
    <x v="1"/>
    <n v="2"/>
    <n v="7426"/>
    <s v="COD"/>
    <x v="0"/>
    <x v="0"/>
    <n v="7"/>
    <n v="0"/>
    <n v="0"/>
    <s v="Repeat"/>
    <x v="5"/>
    <n v="30"/>
    <n v="1"/>
  </r>
  <r>
    <n v="2603"/>
    <x v="12"/>
    <n v="1477"/>
    <x v="2"/>
    <x v="0"/>
    <x v="0"/>
    <n v="2"/>
    <n v="0"/>
    <s v="COD"/>
    <x v="1"/>
    <x v="0"/>
    <n v="4"/>
    <n v="1"/>
    <n v="0"/>
    <s v="New"/>
    <x v="1"/>
    <n v="38"/>
    <n v="0"/>
  </r>
  <r>
    <n v="2604"/>
    <x v="129"/>
    <n v="1218"/>
    <x v="2"/>
    <x v="1"/>
    <x v="0"/>
    <n v="1"/>
    <n v="0"/>
    <s v="UPI"/>
    <x v="1"/>
    <x v="0"/>
    <n v="2"/>
    <n v="0"/>
    <n v="1"/>
    <s v="Repeat"/>
    <x v="4"/>
    <n v="46"/>
    <n v="0"/>
  </r>
  <r>
    <n v="2605"/>
    <x v="118"/>
    <n v="1954"/>
    <x v="3"/>
    <x v="0"/>
    <x v="1"/>
    <n v="1"/>
    <n v="4198"/>
    <s v="UPI"/>
    <x v="0"/>
    <x v="1"/>
    <n v="8"/>
    <n v="0"/>
    <n v="0"/>
    <s v="Repeat"/>
    <x v="0"/>
    <n v="35"/>
    <n v="1"/>
  </r>
  <r>
    <n v="2606"/>
    <x v="169"/>
    <n v="1567"/>
    <x v="0"/>
    <x v="3"/>
    <x v="3"/>
    <n v="4"/>
    <n v="0"/>
    <s v="Wallet"/>
    <x v="1"/>
    <x v="0"/>
    <n v="7"/>
    <n v="0"/>
    <n v="0"/>
    <s v="New"/>
    <x v="2"/>
    <n v="43"/>
    <n v="0"/>
  </r>
  <r>
    <n v="2607"/>
    <x v="53"/>
    <n v="1361"/>
    <x v="0"/>
    <x v="2"/>
    <x v="1"/>
    <n v="3"/>
    <n v="0"/>
    <s v="Card"/>
    <x v="2"/>
    <x v="3"/>
    <n v="10"/>
    <n v="0"/>
    <n v="1"/>
    <s v="Repeat"/>
    <x v="2"/>
    <n v="42"/>
    <n v="0"/>
  </r>
  <r>
    <n v="2608"/>
    <x v="80"/>
    <n v="1455"/>
    <x v="2"/>
    <x v="3"/>
    <x v="3"/>
    <n v="1"/>
    <n v="4423"/>
    <s v="Wallet"/>
    <x v="0"/>
    <x v="3"/>
    <n v="8"/>
    <n v="0"/>
    <n v="1"/>
    <s v="Repeat"/>
    <x v="6"/>
    <n v="2"/>
    <n v="1"/>
  </r>
  <r>
    <n v="2609"/>
    <x v="8"/>
    <n v="1173"/>
    <x v="4"/>
    <x v="0"/>
    <x v="3"/>
    <n v="5"/>
    <n v="0"/>
    <s v="Wallet"/>
    <x v="2"/>
    <x v="0"/>
    <n v="1"/>
    <n v="1"/>
    <n v="0"/>
    <s v="Repeat"/>
    <x v="0"/>
    <n v="32"/>
    <n v="0"/>
  </r>
  <r>
    <n v="2610"/>
    <x v="151"/>
    <n v="1312"/>
    <x v="3"/>
    <x v="2"/>
    <x v="3"/>
    <n v="5"/>
    <n v="14650"/>
    <s v="Wallet"/>
    <x v="0"/>
    <x v="3"/>
    <n v="2"/>
    <n v="1"/>
    <n v="1"/>
    <s v="New"/>
    <x v="3"/>
    <n v="52"/>
    <n v="1"/>
  </r>
  <r>
    <n v="2611"/>
    <x v="15"/>
    <n v="1729"/>
    <x v="0"/>
    <x v="1"/>
    <x v="1"/>
    <n v="4"/>
    <n v="0"/>
    <s v="UPI"/>
    <x v="2"/>
    <x v="1"/>
    <n v="9"/>
    <n v="1"/>
    <n v="1"/>
    <s v="New"/>
    <x v="4"/>
    <n v="47"/>
    <n v="0"/>
  </r>
  <r>
    <n v="2612"/>
    <x v="166"/>
    <n v="1939"/>
    <x v="3"/>
    <x v="3"/>
    <x v="2"/>
    <n v="2"/>
    <n v="0"/>
    <s v="Card"/>
    <x v="2"/>
    <x v="2"/>
    <n v="7"/>
    <n v="1"/>
    <n v="0"/>
    <s v="Repeat"/>
    <x v="1"/>
    <n v="39"/>
    <n v="0"/>
  </r>
  <r>
    <n v="2613"/>
    <x v="166"/>
    <n v="1360"/>
    <x v="2"/>
    <x v="3"/>
    <x v="3"/>
    <n v="2"/>
    <n v="9370"/>
    <s v="UPI"/>
    <x v="0"/>
    <x v="2"/>
    <n v="1"/>
    <n v="1"/>
    <n v="1"/>
    <s v="New"/>
    <x v="1"/>
    <n v="39"/>
    <n v="1"/>
  </r>
  <r>
    <n v="2614"/>
    <x v="84"/>
    <n v="1762"/>
    <x v="0"/>
    <x v="0"/>
    <x v="3"/>
    <n v="5"/>
    <n v="0"/>
    <s v="Card"/>
    <x v="2"/>
    <x v="0"/>
    <n v="4"/>
    <n v="0"/>
    <n v="0"/>
    <s v="Repeat"/>
    <x v="2"/>
    <n v="41"/>
    <n v="0"/>
  </r>
  <r>
    <n v="2615"/>
    <x v="21"/>
    <n v="1892"/>
    <x v="1"/>
    <x v="1"/>
    <x v="3"/>
    <n v="3"/>
    <n v="0"/>
    <s v="Wallet"/>
    <x v="2"/>
    <x v="2"/>
    <n v="8"/>
    <n v="0"/>
    <n v="0"/>
    <s v="Repeat"/>
    <x v="2"/>
    <n v="43"/>
    <n v="0"/>
  </r>
  <r>
    <n v="2616"/>
    <x v="67"/>
    <n v="1642"/>
    <x v="3"/>
    <x v="3"/>
    <x v="1"/>
    <n v="5"/>
    <n v="16365"/>
    <s v="Card"/>
    <x v="0"/>
    <x v="1"/>
    <n v="2"/>
    <n v="0"/>
    <n v="1"/>
    <s v="New"/>
    <x v="1"/>
    <n v="36"/>
    <n v="1"/>
  </r>
  <r>
    <n v="2617"/>
    <x v="165"/>
    <n v="1069"/>
    <x v="4"/>
    <x v="1"/>
    <x v="3"/>
    <n v="5"/>
    <n v="0"/>
    <s v="Card"/>
    <x v="2"/>
    <x v="3"/>
    <n v="8"/>
    <n v="0"/>
    <n v="0"/>
    <s v="Repeat"/>
    <x v="2"/>
    <n v="41"/>
    <n v="0"/>
  </r>
  <r>
    <n v="2618"/>
    <x v="22"/>
    <n v="1863"/>
    <x v="0"/>
    <x v="2"/>
    <x v="2"/>
    <n v="3"/>
    <n v="0"/>
    <s v="Wallet"/>
    <x v="2"/>
    <x v="3"/>
    <n v="7"/>
    <n v="1"/>
    <n v="0"/>
    <s v="New"/>
    <x v="6"/>
    <n v="2"/>
    <n v="0"/>
  </r>
  <r>
    <n v="2619"/>
    <x v="80"/>
    <n v="1325"/>
    <x v="4"/>
    <x v="2"/>
    <x v="2"/>
    <n v="2"/>
    <n v="6694"/>
    <s v="COD"/>
    <x v="0"/>
    <x v="3"/>
    <n v="8"/>
    <n v="1"/>
    <n v="1"/>
    <s v="New"/>
    <x v="6"/>
    <n v="2"/>
    <n v="1"/>
  </r>
  <r>
    <n v="2620"/>
    <x v="88"/>
    <n v="1522"/>
    <x v="1"/>
    <x v="3"/>
    <x v="0"/>
    <n v="1"/>
    <n v="2640"/>
    <s v="Wallet"/>
    <x v="0"/>
    <x v="0"/>
    <n v="9"/>
    <n v="0"/>
    <n v="1"/>
    <s v="Repeat"/>
    <x v="1"/>
    <n v="37"/>
    <n v="1"/>
  </r>
  <r>
    <n v="2621"/>
    <x v="106"/>
    <n v="1499"/>
    <x v="3"/>
    <x v="0"/>
    <x v="3"/>
    <n v="1"/>
    <n v="2080"/>
    <s v="COD"/>
    <x v="0"/>
    <x v="0"/>
    <n v="6"/>
    <n v="1"/>
    <n v="1"/>
    <s v="Repeat"/>
    <x v="5"/>
    <n v="30"/>
    <n v="1"/>
  </r>
  <r>
    <n v="2622"/>
    <x v="40"/>
    <n v="1863"/>
    <x v="4"/>
    <x v="4"/>
    <x v="1"/>
    <n v="1"/>
    <n v="0"/>
    <s v="Card"/>
    <x v="1"/>
    <x v="0"/>
    <n v="5"/>
    <n v="1"/>
    <n v="1"/>
    <s v="New"/>
    <x v="0"/>
    <n v="32"/>
    <n v="0"/>
  </r>
  <r>
    <n v="2623"/>
    <x v="107"/>
    <n v="1389"/>
    <x v="1"/>
    <x v="0"/>
    <x v="2"/>
    <n v="5"/>
    <n v="0"/>
    <s v="COD"/>
    <x v="1"/>
    <x v="3"/>
    <n v="10"/>
    <n v="0"/>
    <n v="1"/>
    <s v="Repeat"/>
    <x v="4"/>
    <n v="45"/>
    <n v="0"/>
  </r>
  <r>
    <n v="2624"/>
    <x v="46"/>
    <n v="1759"/>
    <x v="4"/>
    <x v="3"/>
    <x v="2"/>
    <n v="2"/>
    <n v="0"/>
    <s v="UPI"/>
    <x v="1"/>
    <x v="1"/>
    <n v="7"/>
    <n v="0"/>
    <n v="0"/>
    <s v="New"/>
    <x v="5"/>
    <n v="30"/>
    <n v="0"/>
  </r>
  <r>
    <n v="2625"/>
    <x v="125"/>
    <n v="1758"/>
    <x v="1"/>
    <x v="1"/>
    <x v="3"/>
    <n v="4"/>
    <n v="4472"/>
    <s v="UPI"/>
    <x v="0"/>
    <x v="1"/>
    <n v="2"/>
    <n v="0"/>
    <n v="0"/>
    <s v="Repeat"/>
    <x v="5"/>
    <n v="31"/>
    <n v="1"/>
  </r>
  <r>
    <n v="2626"/>
    <x v="108"/>
    <n v="1079"/>
    <x v="1"/>
    <x v="3"/>
    <x v="3"/>
    <n v="2"/>
    <n v="0"/>
    <s v="UPI"/>
    <x v="1"/>
    <x v="0"/>
    <n v="2"/>
    <n v="0"/>
    <n v="0"/>
    <s v="New"/>
    <x v="2"/>
    <n v="44"/>
    <n v="0"/>
  </r>
  <r>
    <n v="2627"/>
    <x v="100"/>
    <n v="1707"/>
    <x v="2"/>
    <x v="0"/>
    <x v="2"/>
    <n v="5"/>
    <n v="0"/>
    <s v="Card"/>
    <x v="2"/>
    <x v="3"/>
    <n v="2"/>
    <n v="1"/>
    <n v="1"/>
    <s v="New"/>
    <x v="1"/>
    <n v="37"/>
    <n v="0"/>
  </r>
  <r>
    <n v="2628"/>
    <x v="98"/>
    <n v="1542"/>
    <x v="1"/>
    <x v="4"/>
    <x v="2"/>
    <n v="1"/>
    <n v="0"/>
    <s v="UPI"/>
    <x v="2"/>
    <x v="3"/>
    <n v="9"/>
    <n v="0"/>
    <n v="0"/>
    <s v="Repeat"/>
    <x v="3"/>
    <n v="51"/>
    <n v="0"/>
  </r>
  <r>
    <n v="2629"/>
    <x v="159"/>
    <n v="1229"/>
    <x v="3"/>
    <x v="3"/>
    <x v="3"/>
    <n v="5"/>
    <n v="14995"/>
    <s v="UPI"/>
    <x v="0"/>
    <x v="3"/>
    <n v="6"/>
    <n v="0"/>
    <n v="1"/>
    <s v="Repeat"/>
    <x v="3"/>
    <n v="49"/>
    <n v="1"/>
  </r>
  <r>
    <n v="2630"/>
    <x v="169"/>
    <n v="1390"/>
    <x v="2"/>
    <x v="0"/>
    <x v="3"/>
    <n v="2"/>
    <n v="4476"/>
    <s v="Wallet"/>
    <x v="0"/>
    <x v="3"/>
    <n v="8"/>
    <n v="0"/>
    <n v="1"/>
    <s v="Repeat"/>
    <x v="2"/>
    <n v="43"/>
    <n v="1"/>
  </r>
  <r>
    <n v="2631"/>
    <x v="163"/>
    <n v="1627"/>
    <x v="1"/>
    <x v="4"/>
    <x v="1"/>
    <n v="3"/>
    <n v="0"/>
    <s v="Wallet"/>
    <x v="2"/>
    <x v="2"/>
    <n v="6"/>
    <n v="0"/>
    <n v="0"/>
    <s v="Repeat"/>
    <x v="4"/>
    <n v="45"/>
    <n v="0"/>
  </r>
  <r>
    <n v="2632"/>
    <x v="124"/>
    <n v="1548"/>
    <x v="1"/>
    <x v="1"/>
    <x v="3"/>
    <n v="3"/>
    <n v="11763"/>
    <s v="UPI"/>
    <x v="0"/>
    <x v="3"/>
    <n v="9"/>
    <n v="0"/>
    <n v="1"/>
    <s v="Repeat"/>
    <x v="1"/>
    <n v="37"/>
    <n v="1"/>
  </r>
  <r>
    <n v="2633"/>
    <x v="89"/>
    <n v="1904"/>
    <x v="3"/>
    <x v="2"/>
    <x v="0"/>
    <n v="4"/>
    <n v="0"/>
    <s v="COD"/>
    <x v="1"/>
    <x v="0"/>
    <n v="1"/>
    <n v="1"/>
    <n v="1"/>
    <s v="New"/>
    <x v="0"/>
    <n v="35"/>
    <n v="0"/>
  </r>
  <r>
    <n v="2634"/>
    <x v="55"/>
    <n v="1872"/>
    <x v="3"/>
    <x v="1"/>
    <x v="3"/>
    <n v="2"/>
    <n v="0"/>
    <s v="COD"/>
    <x v="2"/>
    <x v="0"/>
    <n v="3"/>
    <n v="1"/>
    <n v="0"/>
    <s v="Repeat"/>
    <x v="1"/>
    <n v="37"/>
    <n v="0"/>
  </r>
  <r>
    <n v="2635"/>
    <x v="8"/>
    <n v="1273"/>
    <x v="3"/>
    <x v="4"/>
    <x v="0"/>
    <n v="3"/>
    <n v="882"/>
    <s v="Wallet"/>
    <x v="0"/>
    <x v="1"/>
    <n v="1"/>
    <n v="1"/>
    <n v="0"/>
    <s v="Repeat"/>
    <x v="0"/>
    <n v="32"/>
    <n v="1"/>
  </r>
  <r>
    <n v="2636"/>
    <x v="52"/>
    <n v="1151"/>
    <x v="2"/>
    <x v="2"/>
    <x v="2"/>
    <n v="1"/>
    <n v="0"/>
    <s v="COD"/>
    <x v="2"/>
    <x v="2"/>
    <n v="9"/>
    <n v="1"/>
    <n v="1"/>
    <s v="New"/>
    <x v="4"/>
    <n v="44"/>
    <n v="0"/>
  </r>
  <r>
    <n v="2637"/>
    <x v="172"/>
    <n v="1849"/>
    <x v="3"/>
    <x v="0"/>
    <x v="3"/>
    <n v="1"/>
    <n v="0"/>
    <s v="UPI"/>
    <x v="2"/>
    <x v="1"/>
    <n v="7"/>
    <n v="0"/>
    <n v="1"/>
    <s v="New"/>
    <x v="2"/>
    <n v="44"/>
    <n v="0"/>
  </r>
  <r>
    <n v="2638"/>
    <x v="123"/>
    <n v="1762"/>
    <x v="0"/>
    <x v="1"/>
    <x v="0"/>
    <n v="1"/>
    <n v="0"/>
    <s v="Wallet"/>
    <x v="2"/>
    <x v="0"/>
    <n v="4"/>
    <n v="1"/>
    <n v="0"/>
    <s v="Repeat"/>
    <x v="0"/>
    <n v="34"/>
    <n v="0"/>
  </r>
  <r>
    <n v="2639"/>
    <x v="4"/>
    <n v="1980"/>
    <x v="1"/>
    <x v="4"/>
    <x v="2"/>
    <n v="4"/>
    <n v="0"/>
    <s v="Card"/>
    <x v="1"/>
    <x v="3"/>
    <n v="5"/>
    <n v="1"/>
    <n v="1"/>
    <s v="Repeat"/>
    <x v="3"/>
    <n v="50"/>
    <n v="0"/>
  </r>
  <r>
    <n v="2640"/>
    <x v="143"/>
    <n v="1507"/>
    <x v="1"/>
    <x v="0"/>
    <x v="0"/>
    <n v="2"/>
    <n v="0"/>
    <s v="UPI"/>
    <x v="2"/>
    <x v="1"/>
    <n v="10"/>
    <n v="1"/>
    <n v="1"/>
    <s v="Repeat"/>
    <x v="2"/>
    <n v="43"/>
    <n v="0"/>
  </r>
  <r>
    <n v="2641"/>
    <x v="117"/>
    <n v="1148"/>
    <x v="2"/>
    <x v="4"/>
    <x v="1"/>
    <n v="5"/>
    <n v="0"/>
    <s v="Card"/>
    <x v="2"/>
    <x v="3"/>
    <n v="3"/>
    <n v="0"/>
    <n v="0"/>
    <s v="Repeat"/>
    <x v="5"/>
    <n v="31"/>
    <n v="0"/>
  </r>
  <r>
    <n v="2642"/>
    <x v="69"/>
    <n v="1274"/>
    <x v="3"/>
    <x v="2"/>
    <x v="1"/>
    <n v="4"/>
    <n v="0"/>
    <s v="UPI"/>
    <x v="1"/>
    <x v="2"/>
    <n v="1"/>
    <n v="1"/>
    <n v="0"/>
    <s v="Repeat"/>
    <x v="2"/>
    <n v="40"/>
    <n v="0"/>
  </r>
  <r>
    <n v="2643"/>
    <x v="26"/>
    <n v="1412"/>
    <x v="1"/>
    <x v="4"/>
    <x v="1"/>
    <n v="3"/>
    <n v="12846"/>
    <s v="Card"/>
    <x v="0"/>
    <x v="0"/>
    <n v="7"/>
    <n v="1"/>
    <n v="1"/>
    <s v="New"/>
    <x v="2"/>
    <n v="42"/>
    <n v="1"/>
  </r>
  <r>
    <n v="2644"/>
    <x v="55"/>
    <n v="1151"/>
    <x v="3"/>
    <x v="3"/>
    <x v="3"/>
    <n v="1"/>
    <n v="0"/>
    <s v="Card"/>
    <x v="2"/>
    <x v="3"/>
    <n v="1"/>
    <n v="1"/>
    <n v="1"/>
    <s v="Repeat"/>
    <x v="1"/>
    <n v="37"/>
    <n v="0"/>
  </r>
  <r>
    <n v="2645"/>
    <x v="172"/>
    <n v="1190"/>
    <x v="0"/>
    <x v="1"/>
    <x v="1"/>
    <n v="4"/>
    <n v="9756"/>
    <s v="UPI"/>
    <x v="0"/>
    <x v="2"/>
    <n v="6"/>
    <n v="0"/>
    <n v="1"/>
    <s v="Repeat"/>
    <x v="2"/>
    <n v="44"/>
    <n v="1"/>
  </r>
  <r>
    <n v="2646"/>
    <x v="85"/>
    <n v="1909"/>
    <x v="1"/>
    <x v="0"/>
    <x v="2"/>
    <n v="1"/>
    <n v="0"/>
    <s v="Wallet"/>
    <x v="1"/>
    <x v="0"/>
    <n v="6"/>
    <n v="1"/>
    <n v="1"/>
    <s v="New"/>
    <x v="3"/>
    <n v="50"/>
    <n v="0"/>
  </r>
  <r>
    <n v="2647"/>
    <x v="40"/>
    <n v="1142"/>
    <x v="4"/>
    <x v="3"/>
    <x v="3"/>
    <n v="1"/>
    <n v="4912"/>
    <s v="Card"/>
    <x v="0"/>
    <x v="0"/>
    <n v="9"/>
    <n v="1"/>
    <n v="1"/>
    <s v="Repeat"/>
    <x v="0"/>
    <n v="32"/>
    <n v="1"/>
  </r>
  <r>
    <n v="2648"/>
    <x v="141"/>
    <n v="1834"/>
    <x v="2"/>
    <x v="3"/>
    <x v="0"/>
    <n v="5"/>
    <n v="0"/>
    <s v="COD"/>
    <x v="2"/>
    <x v="0"/>
    <n v="6"/>
    <n v="0"/>
    <n v="1"/>
    <s v="New"/>
    <x v="1"/>
    <n v="39"/>
    <n v="0"/>
  </r>
  <r>
    <n v="2649"/>
    <x v="167"/>
    <n v="1118"/>
    <x v="0"/>
    <x v="1"/>
    <x v="0"/>
    <n v="3"/>
    <n v="0"/>
    <s v="UPI"/>
    <x v="1"/>
    <x v="0"/>
    <n v="6"/>
    <n v="0"/>
    <n v="0"/>
    <s v="Repeat"/>
    <x v="0"/>
    <n v="35"/>
    <n v="0"/>
  </r>
  <r>
    <n v="2650"/>
    <x v="46"/>
    <n v="1345"/>
    <x v="4"/>
    <x v="2"/>
    <x v="1"/>
    <n v="3"/>
    <n v="0"/>
    <s v="Card"/>
    <x v="2"/>
    <x v="1"/>
    <n v="2"/>
    <n v="0"/>
    <n v="1"/>
    <s v="New"/>
    <x v="5"/>
    <n v="30"/>
    <n v="0"/>
  </r>
  <r>
    <n v="2651"/>
    <x v="115"/>
    <n v="1800"/>
    <x v="2"/>
    <x v="4"/>
    <x v="3"/>
    <n v="1"/>
    <n v="0"/>
    <s v="Wallet"/>
    <x v="1"/>
    <x v="0"/>
    <n v="2"/>
    <n v="1"/>
    <n v="0"/>
    <s v="New"/>
    <x v="4"/>
    <n v="48"/>
    <n v="0"/>
  </r>
  <r>
    <n v="2652"/>
    <x v="144"/>
    <n v="1170"/>
    <x v="4"/>
    <x v="2"/>
    <x v="0"/>
    <n v="1"/>
    <n v="249"/>
    <s v="Wallet"/>
    <x v="0"/>
    <x v="3"/>
    <n v="5"/>
    <n v="1"/>
    <n v="0"/>
    <s v="New"/>
    <x v="3"/>
    <n v="52"/>
    <n v="1"/>
  </r>
  <r>
    <n v="2653"/>
    <x v="171"/>
    <n v="1692"/>
    <x v="4"/>
    <x v="4"/>
    <x v="1"/>
    <n v="5"/>
    <n v="0"/>
    <s v="UPI"/>
    <x v="1"/>
    <x v="1"/>
    <n v="5"/>
    <n v="1"/>
    <n v="1"/>
    <s v="Repeat"/>
    <x v="1"/>
    <n v="36"/>
    <n v="0"/>
  </r>
  <r>
    <n v="2654"/>
    <x v="82"/>
    <n v="1415"/>
    <x v="3"/>
    <x v="4"/>
    <x v="2"/>
    <n v="3"/>
    <n v="696"/>
    <s v="Wallet"/>
    <x v="0"/>
    <x v="0"/>
    <n v="8"/>
    <n v="0"/>
    <n v="1"/>
    <s v="Repeat"/>
    <x v="0"/>
    <n v="33"/>
    <n v="1"/>
  </r>
  <r>
    <n v="2655"/>
    <x v="110"/>
    <n v="1206"/>
    <x v="3"/>
    <x v="2"/>
    <x v="0"/>
    <n v="5"/>
    <n v="0"/>
    <s v="UPI"/>
    <x v="2"/>
    <x v="2"/>
    <n v="10"/>
    <n v="0"/>
    <n v="0"/>
    <s v="Repeat"/>
    <x v="3"/>
    <n v="52"/>
    <n v="0"/>
  </r>
  <r>
    <n v="2656"/>
    <x v="100"/>
    <n v="1412"/>
    <x v="2"/>
    <x v="0"/>
    <x v="0"/>
    <n v="1"/>
    <n v="0"/>
    <s v="UPI"/>
    <x v="2"/>
    <x v="1"/>
    <n v="2"/>
    <n v="0"/>
    <n v="1"/>
    <s v="Repeat"/>
    <x v="1"/>
    <n v="37"/>
    <n v="0"/>
  </r>
  <r>
    <n v="2657"/>
    <x v="10"/>
    <n v="1475"/>
    <x v="3"/>
    <x v="1"/>
    <x v="0"/>
    <n v="4"/>
    <n v="0"/>
    <s v="COD"/>
    <x v="1"/>
    <x v="0"/>
    <n v="5"/>
    <n v="1"/>
    <n v="0"/>
    <s v="New"/>
    <x v="3"/>
    <n v="49"/>
    <n v="0"/>
  </r>
  <r>
    <n v="2658"/>
    <x v="84"/>
    <n v="1447"/>
    <x v="4"/>
    <x v="0"/>
    <x v="0"/>
    <n v="4"/>
    <n v="0"/>
    <s v="UPI"/>
    <x v="2"/>
    <x v="2"/>
    <n v="6"/>
    <n v="1"/>
    <n v="0"/>
    <s v="Repeat"/>
    <x v="2"/>
    <n v="41"/>
    <n v="0"/>
  </r>
  <r>
    <n v="2659"/>
    <x v="60"/>
    <n v="1364"/>
    <x v="2"/>
    <x v="2"/>
    <x v="1"/>
    <n v="3"/>
    <n v="0"/>
    <s v="Wallet"/>
    <x v="2"/>
    <x v="1"/>
    <n v="7"/>
    <n v="0"/>
    <n v="1"/>
    <s v="Repeat"/>
    <x v="1"/>
    <n v="36"/>
    <n v="0"/>
  </r>
  <r>
    <n v="2660"/>
    <x v="32"/>
    <n v="1138"/>
    <x v="2"/>
    <x v="4"/>
    <x v="3"/>
    <n v="5"/>
    <n v="11635"/>
    <s v="COD"/>
    <x v="0"/>
    <x v="2"/>
    <n v="1"/>
    <n v="0"/>
    <n v="1"/>
    <s v="Repeat"/>
    <x v="1"/>
    <n v="38"/>
    <n v="1"/>
  </r>
  <r>
    <n v="2661"/>
    <x v="6"/>
    <n v="1883"/>
    <x v="4"/>
    <x v="1"/>
    <x v="3"/>
    <n v="1"/>
    <n v="4976"/>
    <s v="Wallet"/>
    <x v="0"/>
    <x v="2"/>
    <n v="3"/>
    <n v="0"/>
    <n v="1"/>
    <s v="New"/>
    <x v="4"/>
    <n v="47"/>
    <n v="1"/>
  </r>
  <r>
    <n v="2662"/>
    <x v="65"/>
    <n v="1783"/>
    <x v="0"/>
    <x v="2"/>
    <x v="1"/>
    <n v="4"/>
    <n v="0"/>
    <s v="COD"/>
    <x v="2"/>
    <x v="3"/>
    <n v="8"/>
    <n v="0"/>
    <n v="1"/>
    <s v="Repeat"/>
    <x v="1"/>
    <n v="38"/>
    <n v="0"/>
  </r>
  <r>
    <n v="2663"/>
    <x v="28"/>
    <n v="1618"/>
    <x v="1"/>
    <x v="4"/>
    <x v="2"/>
    <n v="2"/>
    <n v="0"/>
    <s v="UPI"/>
    <x v="1"/>
    <x v="3"/>
    <n v="8"/>
    <n v="1"/>
    <n v="0"/>
    <s v="Repeat"/>
    <x v="0"/>
    <n v="33"/>
    <n v="0"/>
  </r>
  <r>
    <n v="2664"/>
    <x v="30"/>
    <n v="1342"/>
    <x v="1"/>
    <x v="2"/>
    <x v="1"/>
    <n v="2"/>
    <n v="0"/>
    <s v="UPI"/>
    <x v="1"/>
    <x v="1"/>
    <n v="2"/>
    <n v="1"/>
    <n v="0"/>
    <s v="Repeat"/>
    <x v="3"/>
    <n v="51"/>
    <n v="0"/>
  </r>
  <r>
    <n v="2665"/>
    <x v="158"/>
    <n v="1022"/>
    <x v="2"/>
    <x v="1"/>
    <x v="0"/>
    <n v="3"/>
    <n v="0"/>
    <s v="Card"/>
    <x v="2"/>
    <x v="0"/>
    <n v="4"/>
    <n v="1"/>
    <n v="1"/>
    <s v="New"/>
    <x v="1"/>
    <n v="38"/>
    <n v="0"/>
  </r>
  <r>
    <n v="2666"/>
    <x v="48"/>
    <n v="1719"/>
    <x v="2"/>
    <x v="0"/>
    <x v="3"/>
    <n v="5"/>
    <n v="0"/>
    <s v="Card"/>
    <x v="2"/>
    <x v="3"/>
    <n v="9"/>
    <n v="0"/>
    <n v="0"/>
    <s v="New"/>
    <x v="3"/>
    <n v="50"/>
    <n v="0"/>
  </r>
  <r>
    <n v="2667"/>
    <x v="121"/>
    <n v="1019"/>
    <x v="3"/>
    <x v="1"/>
    <x v="1"/>
    <n v="5"/>
    <n v="0"/>
    <s v="Card"/>
    <x v="1"/>
    <x v="1"/>
    <n v="5"/>
    <n v="1"/>
    <n v="0"/>
    <s v="New"/>
    <x v="1"/>
    <n v="37"/>
    <n v="0"/>
  </r>
  <r>
    <n v="2668"/>
    <x v="25"/>
    <n v="1539"/>
    <x v="2"/>
    <x v="1"/>
    <x v="1"/>
    <n v="4"/>
    <n v="0"/>
    <s v="COD"/>
    <x v="1"/>
    <x v="0"/>
    <n v="2"/>
    <n v="1"/>
    <n v="0"/>
    <s v="Repeat"/>
    <x v="4"/>
    <n v="49"/>
    <n v="0"/>
  </r>
  <r>
    <n v="2669"/>
    <x v="152"/>
    <n v="1736"/>
    <x v="0"/>
    <x v="2"/>
    <x v="3"/>
    <n v="5"/>
    <n v="0"/>
    <s v="COD"/>
    <x v="1"/>
    <x v="1"/>
    <n v="7"/>
    <n v="1"/>
    <n v="0"/>
    <s v="New"/>
    <x v="2"/>
    <n v="42"/>
    <n v="0"/>
  </r>
  <r>
    <n v="2670"/>
    <x v="7"/>
    <n v="1296"/>
    <x v="3"/>
    <x v="2"/>
    <x v="1"/>
    <n v="5"/>
    <n v="8950"/>
    <s v="UPI"/>
    <x v="0"/>
    <x v="1"/>
    <n v="6"/>
    <n v="0"/>
    <n v="1"/>
    <s v="Repeat"/>
    <x v="3"/>
    <n v="49"/>
    <n v="1"/>
  </r>
  <r>
    <n v="2671"/>
    <x v="114"/>
    <n v="1448"/>
    <x v="4"/>
    <x v="2"/>
    <x v="2"/>
    <n v="2"/>
    <n v="0"/>
    <s v="Card"/>
    <x v="1"/>
    <x v="2"/>
    <n v="10"/>
    <n v="0"/>
    <n v="1"/>
    <s v="New"/>
    <x v="3"/>
    <n v="50"/>
    <n v="0"/>
  </r>
  <r>
    <n v="2672"/>
    <x v="127"/>
    <n v="1566"/>
    <x v="4"/>
    <x v="4"/>
    <x v="2"/>
    <n v="1"/>
    <n v="2706"/>
    <s v="Wallet"/>
    <x v="0"/>
    <x v="0"/>
    <n v="8"/>
    <n v="1"/>
    <n v="1"/>
    <s v="Repeat"/>
    <x v="5"/>
    <n v="29"/>
    <n v="1"/>
  </r>
  <r>
    <n v="2673"/>
    <x v="66"/>
    <n v="1739"/>
    <x v="3"/>
    <x v="4"/>
    <x v="0"/>
    <n v="3"/>
    <n v="0"/>
    <s v="Wallet"/>
    <x v="1"/>
    <x v="1"/>
    <n v="9"/>
    <n v="0"/>
    <n v="0"/>
    <s v="Repeat"/>
    <x v="1"/>
    <n v="39"/>
    <n v="0"/>
  </r>
  <r>
    <n v="2674"/>
    <x v="131"/>
    <n v="1474"/>
    <x v="2"/>
    <x v="3"/>
    <x v="3"/>
    <n v="1"/>
    <n v="0"/>
    <s v="Wallet"/>
    <x v="2"/>
    <x v="3"/>
    <n v="10"/>
    <n v="0"/>
    <n v="0"/>
    <s v="Repeat"/>
    <x v="4"/>
    <n v="47"/>
    <n v="0"/>
  </r>
  <r>
    <n v="2675"/>
    <x v="110"/>
    <n v="1386"/>
    <x v="4"/>
    <x v="2"/>
    <x v="3"/>
    <n v="3"/>
    <n v="13782"/>
    <s v="Wallet"/>
    <x v="0"/>
    <x v="2"/>
    <n v="4"/>
    <n v="0"/>
    <n v="1"/>
    <s v="New"/>
    <x v="3"/>
    <n v="52"/>
    <n v="1"/>
  </r>
  <r>
    <n v="2676"/>
    <x v="130"/>
    <n v="1407"/>
    <x v="2"/>
    <x v="1"/>
    <x v="2"/>
    <n v="4"/>
    <n v="0"/>
    <s v="UPI"/>
    <x v="1"/>
    <x v="2"/>
    <n v="5"/>
    <n v="1"/>
    <n v="0"/>
    <s v="Repeat"/>
    <x v="3"/>
    <n v="51"/>
    <n v="0"/>
  </r>
  <r>
    <n v="2677"/>
    <x v="131"/>
    <n v="1044"/>
    <x v="3"/>
    <x v="2"/>
    <x v="3"/>
    <n v="1"/>
    <n v="0"/>
    <s v="Card"/>
    <x v="2"/>
    <x v="1"/>
    <n v="10"/>
    <n v="1"/>
    <n v="0"/>
    <s v="Repeat"/>
    <x v="4"/>
    <n v="47"/>
    <n v="0"/>
  </r>
  <r>
    <n v="2678"/>
    <x v="128"/>
    <n v="1067"/>
    <x v="3"/>
    <x v="4"/>
    <x v="2"/>
    <n v="2"/>
    <n v="4704"/>
    <s v="UPI"/>
    <x v="0"/>
    <x v="0"/>
    <n v="2"/>
    <n v="0"/>
    <n v="0"/>
    <s v="New"/>
    <x v="1"/>
    <n v="39"/>
    <n v="1"/>
  </r>
  <r>
    <n v="2679"/>
    <x v="180"/>
    <n v="1212"/>
    <x v="2"/>
    <x v="1"/>
    <x v="2"/>
    <n v="4"/>
    <n v="7336"/>
    <s v="COD"/>
    <x v="0"/>
    <x v="3"/>
    <n v="8"/>
    <n v="1"/>
    <n v="1"/>
    <s v="New"/>
    <x v="4"/>
    <n v="46"/>
    <n v="1"/>
  </r>
  <r>
    <n v="2680"/>
    <x v="142"/>
    <n v="1389"/>
    <x v="3"/>
    <x v="4"/>
    <x v="0"/>
    <n v="2"/>
    <n v="3370"/>
    <s v="UPI"/>
    <x v="0"/>
    <x v="0"/>
    <n v="1"/>
    <n v="0"/>
    <n v="1"/>
    <s v="New"/>
    <x v="2"/>
    <n v="42"/>
    <n v="1"/>
  </r>
  <r>
    <n v="2681"/>
    <x v="92"/>
    <n v="1052"/>
    <x v="1"/>
    <x v="0"/>
    <x v="0"/>
    <n v="3"/>
    <n v="0"/>
    <s v="COD"/>
    <x v="1"/>
    <x v="1"/>
    <n v="9"/>
    <n v="0"/>
    <n v="0"/>
    <s v="Repeat"/>
    <x v="3"/>
    <n v="53"/>
    <n v="0"/>
  </r>
  <r>
    <n v="2682"/>
    <x v="129"/>
    <n v="1427"/>
    <x v="4"/>
    <x v="0"/>
    <x v="3"/>
    <n v="4"/>
    <n v="0"/>
    <s v="Wallet"/>
    <x v="1"/>
    <x v="3"/>
    <n v="3"/>
    <n v="0"/>
    <n v="1"/>
    <s v="New"/>
    <x v="4"/>
    <n v="46"/>
    <n v="0"/>
  </r>
  <r>
    <n v="2683"/>
    <x v="89"/>
    <n v="1035"/>
    <x v="3"/>
    <x v="4"/>
    <x v="3"/>
    <n v="5"/>
    <n v="0"/>
    <s v="Wallet"/>
    <x v="1"/>
    <x v="3"/>
    <n v="10"/>
    <n v="1"/>
    <n v="1"/>
    <s v="Repeat"/>
    <x v="0"/>
    <n v="35"/>
    <n v="0"/>
  </r>
  <r>
    <n v="2684"/>
    <x v="65"/>
    <n v="1578"/>
    <x v="0"/>
    <x v="1"/>
    <x v="3"/>
    <n v="5"/>
    <n v="13410"/>
    <s v="Wallet"/>
    <x v="0"/>
    <x v="3"/>
    <n v="6"/>
    <n v="1"/>
    <n v="1"/>
    <s v="New"/>
    <x v="1"/>
    <n v="38"/>
    <n v="1"/>
  </r>
  <r>
    <n v="2685"/>
    <x v="38"/>
    <n v="1247"/>
    <x v="2"/>
    <x v="3"/>
    <x v="1"/>
    <n v="5"/>
    <n v="0"/>
    <s v="Wallet"/>
    <x v="1"/>
    <x v="1"/>
    <n v="4"/>
    <n v="1"/>
    <n v="0"/>
    <s v="New"/>
    <x v="1"/>
    <n v="39"/>
    <n v="0"/>
  </r>
  <r>
    <n v="2686"/>
    <x v="136"/>
    <n v="1746"/>
    <x v="2"/>
    <x v="2"/>
    <x v="3"/>
    <n v="4"/>
    <n v="8348"/>
    <s v="Wallet"/>
    <x v="0"/>
    <x v="3"/>
    <n v="6"/>
    <n v="1"/>
    <n v="1"/>
    <s v="Repeat"/>
    <x v="2"/>
    <n v="40"/>
    <n v="1"/>
  </r>
  <r>
    <n v="2687"/>
    <x v="75"/>
    <n v="1223"/>
    <x v="0"/>
    <x v="4"/>
    <x v="0"/>
    <n v="4"/>
    <n v="4584"/>
    <s v="Card"/>
    <x v="0"/>
    <x v="0"/>
    <n v="8"/>
    <n v="1"/>
    <n v="0"/>
    <s v="Repeat"/>
    <x v="3"/>
    <n v="52"/>
    <n v="1"/>
  </r>
  <r>
    <n v="2688"/>
    <x v="47"/>
    <n v="1163"/>
    <x v="4"/>
    <x v="0"/>
    <x v="1"/>
    <n v="3"/>
    <n v="0"/>
    <s v="UPI"/>
    <x v="1"/>
    <x v="2"/>
    <n v="3"/>
    <n v="1"/>
    <n v="1"/>
    <s v="New"/>
    <x v="6"/>
    <n v="2"/>
    <n v="0"/>
  </r>
  <r>
    <n v="2689"/>
    <x v="162"/>
    <n v="1367"/>
    <x v="2"/>
    <x v="2"/>
    <x v="3"/>
    <n v="3"/>
    <n v="0"/>
    <s v="Card"/>
    <x v="2"/>
    <x v="2"/>
    <n v="1"/>
    <n v="1"/>
    <n v="0"/>
    <s v="New"/>
    <x v="2"/>
    <n v="43"/>
    <n v="0"/>
  </r>
  <r>
    <n v="2690"/>
    <x v="1"/>
    <n v="1859"/>
    <x v="3"/>
    <x v="2"/>
    <x v="3"/>
    <n v="3"/>
    <n v="0"/>
    <s v="Wallet"/>
    <x v="2"/>
    <x v="1"/>
    <n v="4"/>
    <n v="1"/>
    <n v="1"/>
    <s v="New"/>
    <x v="1"/>
    <n v="39"/>
    <n v="0"/>
  </r>
  <r>
    <n v="2691"/>
    <x v="3"/>
    <n v="1230"/>
    <x v="3"/>
    <x v="3"/>
    <x v="2"/>
    <n v="5"/>
    <n v="0"/>
    <s v="UPI"/>
    <x v="2"/>
    <x v="3"/>
    <n v="2"/>
    <n v="1"/>
    <n v="1"/>
    <s v="New"/>
    <x v="0"/>
    <n v="32"/>
    <n v="0"/>
  </r>
  <r>
    <n v="2692"/>
    <x v="55"/>
    <n v="1455"/>
    <x v="0"/>
    <x v="2"/>
    <x v="2"/>
    <n v="4"/>
    <n v="0"/>
    <s v="COD"/>
    <x v="2"/>
    <x v="1"/>
    <n v="6"/>
    <n v="1"/>
    <n v="0"/>
    <s v="New"/>
    <x v="1"/>
    <n v="37"/>
    <n v="0"/>
  </r>
  <r>
    <n v="2693"/>
    <x v="58"/>
    <n v="1736"/>
    <x v="4"/>
    <x v="2"/>
    <x v="1"/>
    <n v="4"/>
    <n v="4120"/>
    <s v="Wallet"/>
    <x v="0"/>
    <x v="0"/>
    <n v="5"/>
    <n v="1"/>
    <n v="0"/>
    <s v="New"/>
    <x v="5"/>
    <n v="31"/>
    <n v="1"/>
  </r>
  <r>
    <n v="2694"/>
    <x v="82"/>
    <n v="1683"/>
    <x v="1"/>
    <x v="3"/>
    <x v="0"/>
    <n v="3"/>
    <n v="2835"/>
    <s v="COD"/>
    <x v="0"/>
    <x v="3"/>
    <n v="5"/>
    <n v="1"/>
    <n v="1"/>
    <s v="Repeat"/>
    <x v="0"/>
    <n v="33"/>
    <n v="1"/>
  </r>
  <r>
    <n v="2695"/>
    <x v="143"/>
    <n v="1096"/>
    <x v="2"/>
    <x v="3"/>
    <x v="0"/>
    <n v="4"/>
    <n v="13304"/>
    <s v="COD"/>
    <x v="0"/>
    <x v="2"/>
    <n v="1"/>
    <n v="1"/>
    <n v="1"/>
    <s v="Repeat"/>
    <x v="2"/>
    <n v="43"/>
    <n v="1"/>
  </r>
  <r>
    <n v="2696"/>
    <x v="114"/>
    <n v="1595"/>
    <x v="4"/>
    <x v="1"/>
    <x v="1"/>
    <n v="4"/>
    <n v="1372"/>
    <s v="Wallet"/>
    <x v="0"/>
    <x v="3"/>
    <n v="7"/>
    <n v="1"/>
    <n v="1"/>
    <s v="New"/>
    <x v="3"/>
    <n v="50"/>
    <n v="1"/>
  </r>
  <r>
    <n v="2697"/>
    <x v="116"/>
    <n v="1672"/>
    <x v="2"/>
    <x v="2"/>
    <x v="2"/>
    <n v="3"/>
    <n v="4380"/>
    <s v="COD"/>
    <x v="0"/>
    <x v="0"/>
    <n v="4"/>
    <n v="0"/>
    <n v="1"/>
    <s v="Repeat"/>
    <x v="3"/>
    <n v="50"/>
    <n v="1"/>
  </r>
  <r>
    <n v="2698"/>
    <x v="128"/>
    <n v="1090"/>
    <x v="2"/>
    <x v="3"/>
    <x v="1"/>
    <n v="1"/>
    <n v="0"/>
    <s v="Card"/>
    <x v="1"/>
    <x v="1"/>
    <n v="10"/>
    <n v="0"/>
    <n v="1"/>
    <s v="Repeat"/>
    <x v="1"/>
    <n v="39"/>
    <n v="0"/>
  </r>
  <r>
    <n v="2699"/>
    <x v="32"/>
    <n v="1567"/>
    <x v="4"/>
    <x v="4"/>
    <x v="1"/>
    <n v="5"/>
    <n v="0"/>
    <s v="COD"/>
    <x v="1"/>
    <x v="0"/>
    <n v="1"/>
    <n v="1"/>
    <n v="0"/>
    <s v="Repeat"/>
    <x v="1"/>
    <n v="38"/>
    <n v="0"/>
  </r>
  <r>
    <n v="2700"/>
    <x v="99"/>
    <n v="1245"/>
    <x v="3"/>
    <x v="0"/>
    <x v="3"/>
    <n v="5"/>
    <n v="0"/>
    <s v="Card"/>
    <x v="2"/>
    <x v="3"/>
    <n v="10"/>
    <n v="1"/>
    <n v="1"/>
    <s v="Repeat"/>
    <x v="4"/>
    <n v="48"/>
    <n v="0"/>
  </r>
  <r>
    <n v="2701"/>
    <x v="177"/>
    <n v="1340"/>
    <x v="4"/>
    <x v="3"/>
    <x v="3"/>
    <n v="5"/>
    <n v="0"/>
    <s v="UPI"/>
    <x v="1"/>
    <x v="0"/>
    <n v="7"/>
    <n v="1"/>
    <n v="1"/>
    <s v="New"/>
    <x v="4"/>
    <n v="45"/>
    <n v="0"/>
  </r>
  <r>
    <n v="2702"/>
    <x v="34"/>
    <n v="1749"/>
    <x v="2"/>
    <x v="2"/>
    <x v="0"/>
    <n v="1"/>
    <n v="728"/>
    <s v="Card"/>
    <x v="0"/>
    <x v="0"/>
    <n v="3"/>
    <n v="0"/>
    <n v="0"/>
    <s v="Repeat"/>
    <x v="3"/>
    <n v="51"/>
    <n v="1"/>
  </r>
  <r>
    <n v="2703"/>
    <x v="82"/>
    <n v="1437"/>
    <x v="2"/>
    <x v="0"/>
    <x v="2"/>
    <n v="4"/>
    <n v="0"/>
    <s v="UPI"/>
    <x v="2"/>
    <x v="2"/>
    <n v="10"/>
    <n v="0"/>
    <n v="1"/>
    <s v="New"/>
    <x v="0"/>
    <n v="33"/>
    <n v="0"/>
  </r>
  <r>
    <n v="2704"/>
    <x v="139"/>
    <n v="1869"/>
    <x v="2"/>
    <x v="0"/>
    <x v="1"/>
    <n v="5"/>
    <n v="0"/>
    <s v="COD"/>
    <x v="1"/>
    <x v="1"/>
    <n v="8"/>
    <n v="0"/>
    <n v="1"/>
    <s v="Repeat"/>
    <x v="4"/>
    <n v="45"/>
    <n v="0"/>
  </r>
  <r>
    <n v="2705"/>
    <x v="59"/>
    <n v="1239"/>
    <x v="0"/>
    <x v="3"/>
    <x v="2"/>
    <n v="4"/>
    <n v="8272"/>
    <s v="Card"/>
    <x v="0"/>
    <x v="3"/>
    <n v="3"/>
    <n v="0"/>
    <n v="0"/>
    <s v="New"/>
    <x v="0"/>
    <n v="34"/>
    <n v="1"/>
  </r>
  <r>
    <n v="2706"/>
    <x v="138"/>
    <n v="1059"/>
    <x v="3"/>
    <x v="3"/>
    <x v="0"/>
    <n v="1"/>
    <n v="0"/>
    <s v="Card"/>
    <x v="1"/>
    <x v="0"/>
    <n v="8"/>
    <n v="0"/>
    <n v="0"/>
    <s v="New"/>
    <x v="2"/>
    <n v="44"/>
    <n v="0"/>
  </r>
  <r>
    <n v="2707"/>
    <x v="137"/>
    <n v="1737"/>
    <x v="3"/>
    <x v="4"/>
    <x v="0"/>
    <n v="5"/>
    <n v="0"/>
    <s v="UPI"/>
    <x v="1"/>
    <x v="0"/>
    <n v="6"/>
    <n v="1"/>
    <n v="0"/>
    <s v="Repeat"/>
    <x v="1"/>
    <n v="40"/>
    <n v="0"/>
  </r>
  <r>
    <n v="2708"/>
    <x v="115"/>
    <n v="1407"/>
    <x v="3"/>
    <x v="2"/>
    <x v="1"/>
    <n v="5"/>
    <n v="0"/>
    <s v="COD"/>
    <x v="2"/>
    <x v="1"/>
    <n v="8"/>
    <n v="0"/>
    <n v="0"/>
    <s v="Repeat"/>
    <x v="4"/>
    <n v="48"/>
    <n v="0"/>
  </r>
  <r>
    <n v="2709"/>
    <x v="66"/>
    <n v="1062"/>
    <x v="3"/>
    <x v="2"/>
    <x v="3"/>
    <n v="1"/>
    <n v="0"/>
    <s v="Wallet"/>
    <x v="1"/>
    <x v="0"/>
    <n v="7"/>
    <n v="0"/>
    <n v="1"/>
    <s v="New"/>
    <x v="1"/>
    <n v="39"/>
    <n v="0"/>
  </r>
  <r>
    <n v="2710"/>
    <x v="36"/>
    <n v="1521"/>
    <x v="0"/>
    <x v="1"/>
    <x v="1"/>
    <n v="3"/>
    <n v="0"/>
    <s v="COD"/>
    <x v="1"/>
    <x v="2"/>
    <n v="4"/>
    <n v="1"/>
    <n v="1"/>
    <s v="New"/>
    <x v="2"/>
    <n v="44"/>
    <n v="0"/>
  </r>
  <r>
    <n v="2711"/>
    <x v="161"/>
    <n v="1700"/>
    <x v="1"/>
    <x v="4"/>
    <x v="3"/>
    <n v="2"/>
    <n v="3190"/>
    <s v="Card"/>
    <x v="0"/>
    <x v="1"/>
    <n v="9"/>
    <n v="0"/>
    <n v="1"/>
    <s v="New"/>
    <x v="2"/>
    <n v="41"/>
    <n v="1"/>
  </r>
  <r>
    <n v="2712"/>
    <x v="151"/>
    <n v="1277"/>
    <x v="2"/>
    <x v="4"/>
    <x v="0"/>
    <n v="1"/>
    <n v="0"/>
    <s v="Wallet"/>
    <x v="1"/>
    <x v="3"/>
    <n v="9"/>
    <n v="1"/>
    <n v="0"/>
    <s v="Repeat"/>
    <x v="3"/>
    <n v="52"/>
    <n v="0"/>
  </r>
  <r>
    <n v="2713"/>
    <x v="83"/>
    <n v="1691"/>
    <x v="2"/>
    <x v="2"/>
    <x v="2"/>
    <n v="1"/>
    <n v="0"/>
    <s v="UPI"/>
    <x v="2"/>
    <x v="3"/>
    <n v="8"/>
    <n v="0"/>
    <n v="1"/>
    <s v="New"/>
    <x v="1"/>
    <n v="36"/>
    <n v="0"/>
  </r>
  <r>
    <n v="2714"/>
    <x v="80"/>
    <n v="1369"/>
    <x v="0"/>
    <x v="1"/>
    <x v="1"/>
    <n v="3"/>
    <n v="0"/>
    <s v="UPI"/>
    <x v="1"/>
    <x v="3"/>
    <n v="7"/>
    <n v="0"/>
    <n v="0"/>
    <s v="Repeat"/>
    <x v="6"/>
    <n v="2"/>
    <n v="0"/>
  </r>
  <r>
    <n v="2715"/>
    <x v="81"/>
    <n v="1085"/>
    <x v="1"/>
    <x v="0"/>
    <x v="0"/>
    <n v="1"/>
    <n v="0"/>
    <s v="UPI"/>
    <x v="2"/>
    <x v="0"/>
    <n v="7"/>
    <n v="1"/>
    <n v="1"/>
    <s v="Repeat"/>
    <x v="0"/>
    <n v="33"/>
    <n v="0"/>
  </r>
  <r>
    <n v="2716"/>
    <x v="39"/>
    <n v="1684"/>
    <x v="1"/>
    <x v="3"/>
    <x v="1"/>
    <n v="5"/>
    <n v="9565"/>
    <s v="Wallet"/>
    <x v="0"/>
    <x v="3"/>
    <n v="4"/>
    <n v="0"/>
    <n v="0"/>
    <s v="New"/>
    <x v="0"/>
    <n v="34"/>
    <n v="1"/>
  </r>
  <r>
    <n v="2717"/>
    <x v="36"/>
    <n v="1144"/>
    <x v="3"/>
    <x v="3"/>
    <x v="2"/>
    <n v="2"/>
    <n v="690"/>
    <s v="Card"/>
    <x v="0"/>
    <x v="3"/>
    <n v="5"/>
    <n v="0"/>
    <n v="0"/>
    <s v="New"/>
    <x v="2"/>
    <n v="44"/>
    <n v="1"/>
  </r>
  <r>
    <n v="2718"/>
    <x v="134"/>
    <n v="1178"/>
    <x v="2"/>
    <x v="2"/>
    <x v="2"/>
    <n v="3"/>
    <n v="0"/>
    <s v="Wallet"/>
    <x v="1"/>
    <x v="0"/>
    <n v="9"/>
    <n v="1"/>
    <n v="0"/>
    <s v="New"/>
    <x v="3"/>
    <n v="51"/>
    <n v="0"/>
  </r>
  <r>
    <n v="2719"/>
    <x v="64"/>
    <n v="1857"/>
    <x v="3"/>
    <x v="4"/>
    <x v="2"/>
    <n v="4"/>
    <n v="0"/>
    <s v="UPI"/>
    <x v="1"/>
    <x v="1"/>
    <n v="4"/>
    <n v="1"/>
    <n v="0"/>
    <s v="Repeat"/>
    <x v="2"/>
    <n v="43"/>
    <n v="0"/>
  </r>
  <r>
    <n v="2720"/>
    <x v="103"/>
    <n v="1946"/>
    <x v="1"/>
    <x v="4"/>
    <x v="0"/>
    <n v="5"/>
    <n v="0"/>
    <s v="Card"/>
    <x v="2"/>
    <x v="0"/>
    <n v="6"/>
    <n v="0"/>
    <n v="1"/>
    <s v="Repeat"/>
    <x v="1"/>
    <n v="38"/>
    <n v="0"/>
  </r>
  <r>
    <n v="2721"/>
    <x v="161"/>
    <n v="1824"/>
    <x v="4"/>
    <x v="3"/>
    <x v="2"/>
    <n v="3"/>
    <n v="12768"/>
    <s v="Card"/>
    <x v="0"/>
    <x v="3"/>
    <n v="3"/>
    <n v="1"/>
    <n v="1"/>
    <s v="Repeat"/>
    <x v="2"/>
    <n v="41"/>
    <n v="1"/>
  </r>
  <r>
    <n v="2722"/>
    <x v="11"/>
    <n v="1943"/>
    <x v="4"/>
    <x v="0"/>
    <x v="3"/>
    <n v="1"/>
    <n v="0"/>
    <s v="UPI"/>
    <x v="2"/>
    <x v="1"/>
    <n v="10"/>
    <n v="0"/>
    <n v="1"/>
    <s v="Repeat"/>
    <x v="0"/>
    <n v="35"/>
    <n v="0"/>
  </r>
  <r>
    <n v="2723"/>
    <x v="29"/>
    <n v="1583"/>
    <x v="3"/>
    <x v="3"/>
    <x v="2"/>
    <n v="3"/>
    <n v="0"/>
    <s v="COD"/>
    <x v="1"/>
    <x v="1"/>
    <n v="4"/>
    <n v="0"/>
    <n v="0"/>
    <s v="Repeat"/>
    <x v="1"/>
    <n v="39"/>
    <n v="0"/>
  </r>
  <r>
    <n v="2724"/>
    <x v="92"/>
    <n v="1437"/>
    <x v="3"/>
    <x v="2"/>
    <x v="1"/>
    <n v="2"/>
    <n v="0"/>
    <s v="Card"/>
    <x v="1"/>
    <x v="2"/>
    <n v="4"/>
    <n v="1"/>
    <n v="0"/>
    <s v="New"/>
    <x v="3"/>
    <n v="53"/>
    <n v="0"/>
  </r>
  <r>
    <n v="2725"/>
    <x v="173"/>
    <n v="1715"/>
    <x v="4"/>
    <x v="4"/>
    <x v="1"/>
    <n v="1"/>
    <n v="0"/>
    <s v="Card"/>
    <x v="1"/>
    <x v="0"/>
    <n v="8"/>
    <n v="0"/>
    <n v="0"/>
    <s v="Repeat"/>
    <x v="5"/>
    <n v="30"/>
    <n v="0"/>
  </r>
  <r>
    <n v="2726"/>
    <x v="44"/>
    <n v="1624"/>
    <x v="3"/>
    <x v="0"/>
    <x v="3"/>
    <n v="2"/>
    <n v="502"/>
    <s v="Card"/>
    <x v="0"/>
    <x v="3"/>
    <n v="4"/>
    <n v="1"/>
    <n v="1"/>
    <s v="Repeat"/>
    <x v="4"/>
    <n v="47"/>
    <n v="1"/>
  </r>
  <r>
    <n v="2727"/>
    <x v="170"/>
    <n v="1407"/>
    <x v="1"/>
    <x v="3"/>
    <x v="0"/>
    <n v="1"/>
    <n v="4236"/>
    <s v="Card"/>
    <x v="0"/>
    <x v="3"/>
    <n v="6"/>
    <n v="0"/>
    <n v="0"/>
    <s v="New"/>
    <x v="4"/>
    <n v="48"/>
    <n v="1"/>
  </r>
  <r>
    <n v="2728"/>
    <x v="87"/>
    <n v="1788"/>
    <x v="4"/>
    <x v="3"/>
    <x v="2"/>
    <n v="5"/>
    <n v="15880"/>
    <s v="Wallet"/>
    <x v="0"/>
    <x v="1"/>
    <n v="5"/>
    <n v="0"/>
    <n v="1"/>
    <s v="Repeat"/>
    <x v="2"/>
    <n v="42"/>
    <n v="1"/>
  </r>
  <r>
    <n v="2729"/>
    <x v="146"/>
    <n v="1030"/>
    <x v="3"/>
    <x v="1"/>
    <x v="2"/>
    <n v="2"/>
    <n v="0"/>
    <s v="COD"/>
    <x v="1"/>
    <x v="2"/>
    <n v="5"/>
    <n v="1"/>
    <n v="0"/>
    <s v="New"/>
    <x v="2"/>
    <n v="40"/>
    <n v="0"/>
  </r>
  <r>
    <n v="2730"/>
    <x v="26"/>
    <n v="1987"/>
    <x v="3"/>
    <x v="0"/>
    <x v="2"/>
    <n v="1"/>
    <n v="4578"/>
    <s v="Card"/>
    <x v="0"/>
    <x v="2"/>
    <n v="5"/>
    <n v="1"/>
    <n v="0"/>
    <s v="New"/>
    <x v="2"/>
    <n v="42"/>
    <n v="1"/>
  </r>
  <r>
    <n v="2731"/>
    <x v="116"/>
    <n v="1411"/>
    <x v="0"/>
    <x v="3"/>
    <x v="3"/>
    <n v="5"/>
    <n v="0"/>
    <s v="Card"/>
    <x v="1"/>
    <x v="3"/>
    <n v="3"/>
    <n v="0"/>
    <n v="0"/>
    <s v="Repeat"/>
    <x v="3"/>
    <n v="50"/>
    <n v="0"/>
  </r>
  <r>
    <n v="2732"/>
    <x v="124"/>
    <n v="1055"/>
    <x v="0"/>
    <x v="4"/>
    <x v="2"/>
    <n v="2"/>
    <n v="0"/>
    <s v="UPI"/>
    <x v="1"/>
    <x v="2"/>
    <n v="5"/>
    <n v="0"/>
    <n v="0"/>
    <s v="Repeat"/>
    <x v="1"/>
    <n v="37"/>
    <n v="0"/>
  </r>
  <r>
    <n v="2733"/>
    <x v="107"/>
    <n v="1061"/>
    <x v="3"/>
    <x v="2"/>
    <x v="2"/>
    <n v="1"/>
    <n v="0"/>
    <s v="COD"/>
    <x v="2"/>
    <x v="3"/>
    <n v="5"/>
    <n v="0"/>
    <n v="1"/>
    <s v="Repeat"/>
    <x v="4"/>
    <n v="45"/>
    <n v="0"/>
  </r>
  <r>
    <n v="2734"/>
    <x v="162"/>
    <n v="1376"/>
    <x v="4"/>
    <x v="2"/>
    <x v="3"/>
    <n v="2"/>
    <n v="0"/>
    <s v="Card"/>
    <x v="1"/>
    <x v="0"/>
    <n v="5"/>
    <n v="0"/>
    <n v="1"/>
    <s v="Repeat"/>
    <x v="2"/>
    <n v="43"/>
    <n v="0"/>
  </r>
  <r>
    <n v="2735"/>
    <x v="91"/>
    <n v="1762"/>
    <x v="3"/>
    <x v="4"/>
    <x v="3"/>
    <n v="5"/>
    <n v="0"/>
    <s v="Card"/>
    <x v="1"/>
    <x v="1"/>
    <n v="8"/>
    <n v="1"/>
    <n v="0"/>
    <s v="Repeat"/>
    <x v="3"/>
    <n v="52"/>
    <n v="0"/>
  </r>
  <r>
    <n v="2736"/>
    <x v="61"/>
    <n v="1738"/>
    <x v="3"/>
    <x v="4"/>
    <x v="3"/>
    <n v="5"/>
    <n v="0"/>
    <s v="COD"/>
    <x v="1"/>
    <x v="1"/>
    <n v="8"/>
    <n v="1"/>
    <n v="1"/>
    <s v="New"/>
    <x v="4"/>
    <n v="46"/>
    <n v="0"/>
  </r>
  <r>
    <n v="2737"/>
    <x v="180"/>
    <n v="1994"/>
    <x v="4"/>
    <x v="3"/>
    <x v="0"/>
    <n v="3"/>
    <n v="0"/>
    <s v="Card"/>
    <x v="1"/>
    <x v="1"/>
    <n v="8"/>
    <n v="1"/>
    <n v="1"/>
    <s v="New"/>
    <x v="4"/>
    <n v="46"/>
    <n v="0"/>
  </r>
  <r>
    <n v="2738"/>
    <x v="128"/>
    <n v="1690"/>
    <x v="2"/>
    <x v="3"/>
    <x v="1"/>
    <n v="2"/>
    <n v="0"/>
    <s v="Card"/>
    <x v="1"/>
    <x v="1"/>
    <n v="7"/>
    <n v="1"/>
    <n v="1"/>
    <s v="New"/>
    <x v="1"/>
    <n v="39"/>
    <n v="0"/>
  </r>
  <r>
    <n v="2739"/>
    <x v="56"/>
    <n v="1009"/>
    <x v="0"/>
    <x v="2"/>
    <x v="0"/>
    <n v="3"/>
    <n v="0"/>
    <s v="Card"/>
    <x v="2"/>
    <x v="2"/>
    <n v="8"/>
    <n v="1"/>
    <n v="1"/>
    <s v="New"/>
    <x v="6"/>
    <n v="2"/>
    <n v="0"/>
  </r>
  <r>
    <n v="2740"/>
    <x v="19"/>
    <n v="1771"/>
    <x v="0"/>
    <x v="0"/>
    <x v="1"/>
    <n v="3"/>
    <n v="0"/>
    <s v="Wallet"/>
    <x v="2"/>
    <x v="1"/>
    <n v="9"/>
    <n v="1"/>
    <n v="0"/>
    <s v="Repeat"/>
    <x v="0"/>
    <n v="33"/>
    <n v="0"/>
  </r>
  <r>
    <n v="2741"/>
    <x v="120"/>
    <n v="1043"/>
    <x v="3"/>
    <x v="3"/>
    <x v="3"/>
    <n v="1"/>
    <n v="0"/>
    <s v="Card"/>
    <x v="1"/>
    <x v="0"/>
    <n v="5"/>
    <n v="0"/>
    <n v="0"/>
    <s v="Repeat"/>
    <x v="6"/>
    <n v="1"/>
    <n v="0"/>
  </r>
  <r>
    <n v="2742"/>
    <x v="167"/>
    <n v="1803"/>
    <x v="1"/>
    <x v="4"/>
    <x v="3"/>
    <n v="4"/>
    <n v="16236"/>
    <s v="Card"/>
    <x v="0"/>
    <x v="0"/>
    <n v="9"/>
    <n v="0"/>
    <n v="1"/>
    <s v="New"/>
    <x v="0"/>
    <n v="35"/>
    <n v="1"/>
  </r>
  <r>
    <n v="2743"/>
    <x v="161"/>
    <n v="1739"/>
    <x v="4"/>
    <x v="2"/>
    <x v="3"/>
    <n v="4"/>
    <n v="0"/>
    <s v="UPI"/>
    <x v="2"/>
    <x v="0"/>
    <n v="3"/>
    <n v="0"/>
    <n v="0"/>
    <s v="New"/>
    <x v="2"/>
    <n v="41"/>
    <n v="0"/>
  </r>
  <r>
    <n v="2744"/>
    <x v="47"/>
    <n v="1292"/>
    <x v="0"/>
    <x v="1"/>
    <x v="0"/>
    <n v="3"/>
    <n v="0"/>
    <s v="COD"/>
    <x v="2"/>
    <x v="0"/>
    <n v="4"/>
    <n v="1"/>
    <n v="1"/>
    <s v="Repeat"/>
    <x v="6"/>
    <n v="2"/>
    <n v="0"/>
  </r>
  <r>
    <n v="2745"/>
    <x v="66"/>
    <n v="1138"/>
    <x v="1"/>
    <x v="4"/>
    <x v="0"/>
    <n v="4"/>
    <n v="15764"/>
    <s v="UPI"/>
    <x v="0"/>
    <x v="2"/>
    <n v="7"/>
    <n v="0"/>
    <n v="1"/>
    <s v="Repeat"/>
    <x v="1"/>
    <n v="39"/>
    <n v="1"/>
  </r>
  <r>
    <n v="2746"/>
    <x v="129"/>
    <n v="1102"/>
    <x v="1"/>
    <x v="3"/>
    <x v="1"/>
    <n v="1"/>
    <n v="0"/>
    <s v="Wallet"/>
    <x v="2"/>
    <x v="2"/>
    <n v="7"/>
    <n v="1"/>
    <n v="0"/>
    <s v="Repeat"/>
    <x v="4"/>
    <n v="46"/>
    <n v="0"/>
  </r>
  <r>
    <n v="2747"/>
    <x v="20"/>
    <n v="1379"/>
    <x v="3"/>
    <x v="1"/>
    <x v="3"/>
    <n v="1"/>
    <n v="4566"/>
    <s v="UPI"/>
    <x v="0"/>
    <x v="0"/>
    <n v="1"/>
    <n v="0"/>
    <n v="0"/>
    <s v="Repeat"/>
    <x v="0"/>
    <n v="32"/>
    <n v="1"/>
  </r>
  <r>
    <n v="2748"/>
    <x v="70"/>
    <n v="1490"/>
    <x v="3"/>
    <x v="1"/>
    <x v="0"/>
    <n v="4"/>
    <n v="0"/>
    <s v="Wallet"/>
    <x v="1"/>
    <x v="2"/>
    <n v="8"/>
    <n v="1"/>
    <n v="0"/>
    <s v="New"/>
    <x v="2"/>
    <n v="40"/>
    <n v="0"/>
  </r>
  <r>
    <n v="2749"/>
    <x v="93"/>
    <n v="1195"/>
    <x v="3"/>
    <x v="2"/>
    <x v="1"/>
    <n v="2"/>
    <n v="0"/>
    <s v="UPI"/>
    <x v="1"/>
    <x v="2"/>
    <n v="5"/>
    <n v="0"/>
    <n v="1"/>
    <s v="Repeat"/>
    <x v="3"/>
    <n v="53"/>
    <n v="0"/>
  </r>
  <r>
    <n v="2750"/>
    <x v="45"/>
    <n v="1095"/>
    <x v="1"/>
    <x v="0"/>
    <x v="1"/>
    <n v="1"/>
    <n v="0"/>
    <s v="COD"/>
    <x v="1"/>
    <x v="0"/>
    <n v="1"/>
    <n v="1"/>
    <n v="1"/>
    <s v="New"/>
    <x v="6"/>
    <n v="2"/>
    <n v="0"/>
  </r>
  <r>
    <n v="2751"/>
    <x v="21"/>
    <n v="1548"/>
    <x v="3"/>
    <x v="2"/>
    <x v="0"/>
    <n v="5"/>
    <n v="6455"/>
    <s v="COD"/>
    <x v="0"/>
    <x v="1"/>
    <n v="7"/>
    <n v="0"/>
    <n v="0"/>
    <s v="Repeat"/>
    <x v="2"/>
    <n v="43"/>
    <n v="1"/>
  </r>
  <r>
    <n v="2752"/>
    <x v="131"/>
    <n v="1826"/>
    <x v="3"/>
    <x v="2"/>
    <x v="0"/>
    <n v="2"/>
    <n v="3146"/>
    <s v="COD"/>
    <x v="0"/>
    <x v="0"/>
    <n v="5"/>
    <n v="1"/>
    <n v="0"/>
    <s v="Repeat"/>
    <x v="4"/>
    <n v="47"/>
    <n v="1"/>
  </r>
  <r>
    <n v="2753"/>
    <x v="121"/>
    <n v="1708"/>
    <x v="0"/>
    <x v="4"/>
    <x v="0"/>
    <n v="3"/>
    <n v="0"/>
    <s v="COD"/>
    <x v="1"/>
    <x v="2"/>
    <n v="2"/>
    <n v="0"/>
    <n v="0"/>
    <s v="Repeat"/>
    <x v="1"/>
    <n v="37"/>
    <n v="0"/>
  </r>
  <r>
    <n v="2754"/>
    <x v="75"/>
    <n v="1698"/>
    <x v="0"/>
    <x v="1"/>
    <x v="3"/>
    <n v="4"/>
    <n v="0"/>
    <s v="UPI"/>
    <x v="2"/>
    <x v="0"/>
    <n v="4"/>
    <n v="0"/>
    <n v="0"/>
    <s v="New"/>
    <x v="3"/>
    <n v="52"/>
    <n v="0"/>
  </r>
  <r>
    <n v="2755"/>
    <x v="159"/>
    <n v="1293"/>
    <x v="2"/>
    <x v="0"/>
    <x v="2"/>
    <n v="3"/>
    <n v="0"/>
    <s v="COD"/>
    <x v="2"/>
    <x v="0"/>
    <n v="3"/>
    <n v="1"/>
    <n v="1"/>
    <s v="Repeat"/>
    <x v="3"/>
    <n v="49"/>
    <n v="0"/>
  </r>
  <r>
    <n v="2756"/>
    <x v="145"/>
    <n v="1263"/>
    <x v="2"/>
    <x v="2"/>
    <x v="3"/>
    <n v="3"/>
    <n v="0"/>
    <s v="Wallet"/>
    <x v="2"/>
    <x v="2"/>
    <n v="3"/>
    <n v="1"/>
    <n v="1"/>
    <s v="New"/>
    <x v="4"/>
    <n v="48"/>
    <n v="0"/>
  </r>
  <r>
    <n v="2757"/>
    <x v="72"/>
    <n v="1959"/>
    <x v="1"/>
    <x v="1"/>
    <x v="2"/>
    <n v="2"/>
    <n v="0"/>
    <s v="Wallet"/>
    <x v="1"/>
    <x v="0"/>
    <n v="4"/>
    <n v="0"/>
    <n v="0"/>
    <s v="New"/>
    <x v="2"/>
    <n v="41"/>
    <n v="0"/>
  </r>
  <r>
    <n v="2758"/>
    <x v="137"/>
    <n v="1514"/>
    <x v="3"/>
    <x v="1"/>
    <x v="1"/>
    <n v="5"/>
    <n v="7155"/>
    <s v="UPI"/>
    <x v="0"/>
    <x v="1"/>
    <n v="9"/>
    <n v="1"/>
    <n v="1"/>
    <s v="New"/>
    <x v="1"/>
    <n v="40"/>
    <n v="1"/>
  </r>
  <r>
    <n v="2759"/>
    <x v="81"/>
    <n v="1924"/>
    <x v="3"/>
    <x v="2"/>
    <x v="0"/>
    <n v="4"/>
    <n v="0"/>
    <s v="Wallet"/>
    <x v="2"/>
    <x v="3"/>
    <n v="6"/>
    <n v="0"/>
    <n v="0"/>
    <s v="New"/>
    <x v="0"/>
    <n v="33"/>
    <n v="0"/>
  </r>
  <r>
    <n v="2760"/>
    <x v="57"/>
    <n v="1839"/>
    <x v="4"/>
    <x v="0"/>
    <x v="2"/>
    <n v="2"/>
    <n v="0"/>
    <s v="UPI"/>
    <x v="2"/>
    <x v="1"/>
    <n v="3"/>
    <n v="0"/>
    <n v="0"/>
    <s v="New"/>
    <x v="4"/>
    <n v="48"/>
    <n v="0"/>
  </r>
  <r>
    <n v="2761"/>
    <x v="46"/>
    <n v="1686"/>
    <x v="1"/>
    <x v="1"/>
    <x v="1"/>
    <n v="4"/>
    <n v="0"/>
    <s v="Card"/>
    <x v="2"/>
    <x v="2"/>
    <n v="7"/>
    <n v="0"/>
    <n v="1"/>
    <s v="New"/>
    <x v="5"/>
    <n v="30"/>
    <n v="0"/>
  </r>
  <r>
    <n v="2762"/>
    <x v="156"/>
    <n v="1681"/>
    <x v="2"/>
    <x v="3"/>
    <x v="0"/>
    <n v="1"/>
    <n v="0"/>
    <s v="COD"/>
    <x v="1"/>
    <x v="1"/>
    <n v="8"/>
    <n v="0"/>
    <n v="1"/>
    <s v="New"/>
    <x v="6"/>
    <n v="2"/>
    <n v="0"/>
  </r>
  <r>
    <n v="2763"/>
    <x v="176"/>
    <n v="1093"/>
    <x v="3"/>
    <x v="1"/>
    <x v="2"/>
    <n v="2"/>
    <n v="1080"/>
    <s v="Wallet"/>
    <x v="0"/>
    <x v="0"/>
    <n v="1"/>
    <n v="0"/>
    <n v="1"/>
    <s v="New"/>
    <x v="3"/>
    <n v="51"/>
    <n v="1"/>
  </r>
  <r>
    <n v="2764"/>
    <x v="175"/>
    <n v="1945"/>
    <x v="3"/>
    <x v="0"/>
    <x v="0"/>
    <n v="4"/>
    <n v="0"/>
    <s v="Card"/>
    <x v="2"/>
    <x v="0"/>
    <n v="6"/>
    <n v="0"/>
    <n v="1"/>
    <s v="Repeat"/>
    <x v="5"/>
    <n v="31"/>
    <n v="0"/>
  </r>
  <r>
    <n v="2765"/>
    <x v="36"/>
    <n v="1666"/>
    <x v="2"/>
    <x v="2"/>
    <x v="3"/>
    <n v="1"/>
    <n v="0"/>
    <s v="Wallet"/>
    <x v="1"/>
    <x v="3"/>
    <n v="2"/>
    <n v="1"/>
    <n v="1"/>
    <s v="New"/>
    <x v="2"/>
    <n v="44"/>
    <n v="0"/>
  </r>
  <r>
    <n v="2766"/>
    <x v="10"/>
    <n v="1021"/>
    <x v="0"/>
    <x v="0"/>
    <x v="3"/>
    <n v="5"/>
    <n v="0"/>
    <s v="Card"/>
    <x v="2"/>
    <x v="3"/>
    <n v="10"/>
    <n v="0"/>
    <n v="0"/>
    <s v="New"/>
    <x v="3"/>
    <n v="49"/>
    <n v="0"/>
  </r>
  <r>
    <n v="2767"/>
    <x v="58"/>
    <n v="1314"/>
    <x v="1"/>
    <x v="4"/>
    <x v="0"/>
    <n v="5"/>
    <n v="0"/>
    <s v="Card"/>
    <x v="1"/>
    <x v="2"/>
    <n v="9"/>
    <n v="0"/>
    <n v="0"/>
    <s v="New"/>
    <x v="5"/>
    <n v="31"/>
    <n v="0"/>
  </r>
  <r>
    <n v="2768"/>
    <x v="84"/>
    <n v="1715"/>
    <x v="4"/>
    <x v="4"/>
    <x v="2"/>
    <n v="2"/>
    <n v="0"/>
    <s v="Wallet"/>
    <x v="2"/>
    <x v="0"/>
    <n v="8"/>
    <n v="0"/>
    <n v="0"/>
    <s v="New"/>
    <x v="2"/>
    <n v="41"/>
    <n v="0"/>
  </r>
  <r>
    <n v="2769"/>
    <x v="20"/>
    <n v="1653"/>
    <x v="1"/>
    <x v="0"/>
    <x v="3"/>
    <n v="3"/>
    <n v="6033"/>
    <s v="Card"/>
    <x v="0"/>
    <x v="1"/>
    <n v="8"/>
    <n v="1"/>
    <n v="0"/>
    <s v="Repeat"/>
    <x v="0"/>
    <n v="32"/>
    <n v="1"/>
  </r>
  <r>
    <n v="2770"/>
    <x v="165"/>
    <n v="1187"/>
    <x v="4"/>
    <x v="2"/>
    <x v="0"/>
    <n v="5"/>
    <n v="3915"/>
    <s v="UPI"/>
    <x v="0"/>
    <x v="1"/>
    <n v="9"/>
    <n v="0"/>
    <n v="1"/>
    <s v="New"/>
    <x v="2"/>
    <n v="41"/>
    <n v="1"/>
  </r>
  <r>
    <n v="2771"/>
    <x v="75"/>
    <n v="1639"/>
    <x v="3"/>
    <x v="0"/>
    <x v="1"/>
    <n v="4"/>
    <n v="0"/>
    <s v="Wallet"/>
    <x v="1"/>
    <x v="3"/>
    <n v="4"/>
    <n v="1"/>
    <n v="1"/>
    <s v="Repeat"/>
    <x v="3"/>
    <n v="52"/>
    <n v="0"/>
  </r>
  <r>
    <n v="2772"/>
    <x v="110"/>
    <n v="1379"/>
    <x v="1"/>
    <x v="4"/>
    <x v="3"/>
    <n v="4"/>
    <n v="17812"/>
    <s v="COD"/>
    <x v="0"/>
    <x v="1"/>
    <n v="8"/>
    <n v="1"/>
    <n v="0"/>
    <s v="Repeat"/>
    <x v="3"/>
    <n v="52"/>
    <n v="1"/>
  </r>
  <r>
    <n v="2773"/>
    <x v="121"/>
    <n v="1320"/>
    <x v="3"/>
    <x v="0"/>
    <x v="0"/>
    <n v="4"/>
    <n v="0"/>
    <s v="Wallet"/>
    <x v="2"/>
    <x v="3"/>
    <n v="6"/>
    <n v="1"/>
    <n v="1"/>
    <s v="Repeat"/>
    <x v="1"/>
    <n v="37"/>
    <n v="0"/>
  </r>
  <r>
    <n v="2774"/>
    <x v="25"/>
    <n v="1663"/>
    <x v="4"/>
    <x v="3"/>
    <x v="1"/>
    <n v="4"/>
    <n v="10964"/>
    <s v="COD"/>
    <x v="0"/>
    <x v="0"/>
    <n v="6"/>
    <n v="0"/>
    <n v="0"/>
    <s v="New"/>
    <x v="4"/>
    <n v="49"/>
    <n v="1"/>
  </r>
  <r>
    <n v="2775"/>
    <x v="77"/>
    <n v="1153"/>
    <x v="0"/>
    <x v="1"/>
    <x v="1"/>
    <n v="3"/>
    <n v="0"/>
    <s v="Wallet"/>
    <x v="2"/>
    <x v="1"/>
    <n v="6"/>
    <n v="0"/>
    <n v="1"/>
    <s v="New"/>
    <x v="1"/>
    <n v="38"/>
    <n v="0"/>
  </r>
  <r>
    <n v="2776"/>
    <x v="108"/>
    <n v="1464"/>
    <x v="4"/>
    <x v="2"/>
    <x v="3"/>
    <n v="4"/>
    <n v="0"/>
    <s v="Card"/>
    <x v="2"/>
    <x v="3"/>
    <n v="9"/>
    <n v="0"/>
    <n v="1"/>
    <s v="New"/>
    <x v="2"/>
    <n v="44"/>
    <n v="0"/>
  </r>
  <r>
    <n v="2777"/>
    <x v="87"/>
    <n v="1117"/>
    <x v="3"/>
    <x v="2"/>
    <x v="0"/>
    <n v="4"/>
    <n v="0"/>
    <s v="Wallet"/>
    <x v="1"/>
    <x v="0"/>
    <n v="3"/>
    <n v="0"/>
    <n v="0"/>
    <s v="New"/>
    <x v="2"/>
    <n v="42"/>
    <n v="0"/>
  </r>
  <r>
    <n v="2778"/>
    <x v="121"/>
    <n v="1401"/>
    <x v="1"/>
    <x v="4"/>
    <x v="2"/>
    <n v="2"/>
    <n v="9836"/>
    <s v="UPI"/>
    <x v="0"/>
    <x v="2"/>
    <n v="7"/>
    <n v="1"/>
    <n v="1"/>
    <s v="New"/>
    <x v="1"/>
    <n v="37"/>
    <n v="1"/>
  </r>
  <r>
    <n v="2779"/>
    <x v="55"/>
    <n v="1445"/>
    <x v="0"/>
    <x v="0"/>
    <x v="1"/>
    <n v="1"/>
    <n v="0"/>
    <s v="UPI"/>
    <x v="1"/>
    <x v="3"/>
    <n v="7"/>
    <n v="1"/>
    <n v="1"/>
    <s v="Repeat"/>
    <x v="1"/>
    <n v="37"/>
    <n v="0"/>
  </r>
  <r>
    <n v="2780"/>
    <x v="28"/>
    <n v="1793"/>
    <x v="1"/>
    <x v="2"/>
    <x v="2"/>
    <n v="1"/>
    <n v="0"/>
    <s v="Wallet"/>
    <x v="2"/>
    <x v="2"/>
    <n v="8"/>
    <n v="1"/>
    <n v="0"/>
    <s v="Repeat"/>
    <x v="0"/>
    <n v="33"/>
    <n v="0"/>
  </r>
  <r>
    <n v="2781"/>
    <x v="1"/>
    <n v="1470"/>
    <x v="1"/>
    <x v="2"/>
    <x v="0"/>
    <n v="4"/>
    <n v="2332"/>
    <s v="COD"/>
    <x v="0"/>
    <x v="3"/>
    <n v="5"/>
    <n v="1"/>
    <n v="1"/>
    <s v="New"/>
    <x v="1"/>
    <n v="39"/>
    <n v="1"/>
  </r>
  <r>
    <n v="2782"/>
    <x v="162"/>
    <n v="1156"/>
    <x v="2"/>
    <x v="2"/>
    <x v="2"/>
    <n v="4"/>
    <n v="0"/>
    <s v="UPI"/>
    <x v="2"/>
    <x v="0"/>
    <n v="1"/>
    <n v="0"/>
    <n v="0"/>
    <s v="Repeat"/>
    <x v="2"/>
    <n v="43"/>
    <n v="0"/>
  </r>
  <r>
    <n v="2783"/>
    <x v="28"/>
    <n v="1145"/>
    <x v="3"/>
    <x v="2"/>
    <x v="1"/>
    <n v="2"/>
    <n v="0"/>
    <s v="COD"/>
    <x v="1"/>
    <x v="3"/>
    <n v="8"/>
    <n v="0"/>
    <n v="1"/>
    <s v="Repeat"/>
    <x v="0"/>
    <n v="33"/>
    <n v="0"/>
  </r>
  <r>
    <n v="2784"/>
    <x v="151"/>
    <n v="1573"/>
    <x v="3"/>
    <x v="4"/>
    <x v="3"/>
    <n v="4"/>
    <n v="0"/>
    <s v="Card"/>
    <x v="1"/>
    <x v="2"/>
    <n v="2"/>
    <n v="0"/>
    <n v="1"/>
    <s v="Repeat"/>
    <x v="3"/>
    <n v="52"/>
    <n v="0"/>
  </r>
  <r>
    <n v="2785"/>
    <x v="50"/>
    <n v="1004"/>
    <x v="4"/>
    <x v="4"/>
    <x v="3"/>
    <n v="4"/>
    <n v="3268"/>
    <s v="COD"/>
    <x v="0"/>
    <x v="2"/>
    <n v="5"/>
    <n v="0"/>
    <n v="1"/>
    <s v="Repeat"/>
    <x v="3"/>
    <n v="53"/>
    <n v="1"/>
  </r>
  <r>
    <n v="2786"/>
    <x v="22"/>
    <n v="1004"/>
    <x v="2"/>
    <x v="2"/>
    <x v="3"/>
    <n v="4"/>
    <n v="14568"/>
    <s v="COD"/>
    <x v="0"/>
    <x v="2"/>
    <n v="10"/>
    <n v="0"/>
    <n v="1"/>
    <s v="Repeat"/>
    <x v="6"/>
    <n v="2"/>
    <n v="1"/>
  </r>
  <r>
    <n v="2787"/>
    <x v="30"/>
    <n v="1473"/>
    <x v="2"/>
    <x v="2"/>
    <x v="3"/>
    <n v="4"/>
    <n v="0"/>
    <s v="Card"/>
    <x v="1"/>
    <x v="1"/>
    <n v="9"/>
    <n v="0"/>
    <n v="0"/>
    <s v="Repeat"/>
    <x v="3"/>
    <n v="51"/>
    <n v="0"/>
  </r>
  <r>
    <n v="2788"/>
    <x v="102"/>
    <n v="1626"/>
    <x v="2"/>
    <x v="1"/>
    <x v="0"/>
    <n v="1"/>
    <n v="2822"/>
    <s v="UPI"/>
    <x v="0"/>
    <x v="3"/>
    <n v="10"/>
    <n v="0"/>
    <n v="1"/>
    <s v="Repeat"/>
    <x v="3"/>
    <n v="50"/>
    <n v="1"/>
  </r>
  <r>
    <n v="2789"/>
    <x v="121"/>
    <n v="1027"/>
    <x v="2"/>
    <x v="2"/>
    <x v="3"/>
    <n v="2"/>
    <n v="0"/>
    <s v="UPI"/>
    <x v="2"/>
    <x v="1"/>
    <n v="4"/>
    <n v="0"/>
    <n v="0"/>
    <s v="Repeat"/>
    <x v="1"/>
    <n v="37"/>
    <n v="0"/>
  </r>
  <r>
    <n v="2790"/>
    <x v="177"/>
    <n v="1194"/>
    <x v="4"/>
    <x v="0"/>
    <x v="0"/>
    <n v="1"/>
    <n v="0"/>
    <s v="Card"/>
    <x v="2"/>
    <x v="2"/>
    <n v="10"/>
    <n v="0"/>
    <n v="1"/>
    <s v="Repeat"/>
    <x v="4"/>
    <n v="45"/>
    <n v="0"/>
  </r>
  <r>
    <n v="2791"/>
    <x v="32"/>
    <n v="1130"/>
    <x v="0"/>
    <x v="0"/>
    <x v="2"/>
    <n v="4"/>
    <n v="0"/>
    <s v="COD"/>
    <x v="2"/>
    <x v="0"/>
    <n v="4"/>
    <n v="0"/>
    <n v="0"/>
    <s v="New"/>
    <x v="1"/>
    <n v="38"/>
    <n v="0"/>
  </r>
  <r>
    <n v="2792"/>
    <x v="73"/>
    <n v="1957"/>
    <x v="1"/>
    <x v="2"/>
    <x v="1"/>
    <n v="3"/>
    <n v="14916"/>
    <s v="UPI"/>
    <x v="0"/>
    <x v="1"/>
    <n v="4"/>
    <n v="0"/>
    <n v="0"/>
    <s v="New"/>
    <x v="4"/>
    <n v="45"/>
    <n v="1"/>
  </r>
  <r>
    <n v="2793"/>
    <x v="3"/>
    <n v="1942"/>
    <x v="0"/>
    <x v="4"/>
    <x v="1"/>
    <n v="5"/>
    <n v="0"/>
    <s v="Card"/>
    <x v="2"/>
    <x v="3"/>
    <n v="5"/>
    <n v="0"/>
    <n v="0"/>
    <s v="New"/>
    <x v="0"/>
    <n v="32"/>
    <n v="0"/>
  </r>
  <r>
    <n v="2794"/>
    <x v="6"/>
    <n v="1178"/>
    <x v="4"/>
    <x v="0"/>
    <x v="2"/>
    <n v="1"/>
    <n v="0"/>
    <s v="Wallet"/>
    <x v="1"/>
    <x v="1"/>
    <n v="3"/>
    <n v="1"/>
    <n v="0"/>
    <s v="Repeat"/>
    <x v="4"/>
    <n v="47"/>
    <n v="0"/>
  </r>
  <r>
    <n v="2795"/>
    <x v="31"/>
    <n v="1568"/>
    <x v="4"/>
    <x v="0"/>
    <x v="1"/>
    <n v="3"/>
    <n v="8004"/>
    <s v="Wallet"/>
    <x v="0"/>
    <x v="0"/>
    <n v="9"/>
    <n v="1"/>
    <n v="1"/>
    <s v="New"/>
    <x v="2"/>
    <n v="44"/>
    <n v="1"/>
  </r>
  <r>
    <n v="2796"/>
    <x v="17"/>
    <n v="1862"/>
    <x v="1"/>
    <x v="2"/>
    <x v="1"/>
    <n v="5"/>
    <n v="8455"/>
    <s v="UPI"/>
    <x v="0"/>
    <x v="0"/>
    <n v="2"/>
    <n v="1"/>
    <n v="0"/>
    <s v="New"/>
    <x v="1"/>
    <n v="38"/>
    <n v="1"/>
  </r>
  <r>
    <n v="2797"/>
    <x v="32"/>
    <n v="1205"/>
    <x v="3"/>
    <x v="3"/>
    <x v="3"/>
    <n v="2"/>
    <n v="0"/>
    <s v="UPI"/>
    <x v="1"/>
    <x v="1"/>
    <n v="2"/>
    <n v="0"/>
    <n v="0"/>
    <s v="New"/>
    <x v="1"/>
    <n v="38"/>
    <n v="0"/>
  </r>
  <r>
    <n v="2798"/>
    <x v="129"/>
    <n v="1538"/>
    <x v="1"/>
    <x v="0"/>
    <x v="3"/>
    <n v="3"/>
    <n v="0"/>
    <s v="Card"/>
    <x v="1"/>
    <x v="3"/>
    <n v="8"/>
    <n v="1"/>
    <n v="1"/>
    <s v="New"/>
    <x v="4"/>
    <n v="46"/>
    <n v="0"/>
  </r>
  <r>
    <n v="2799"/>
    <x v="76"/>
    <n v="1777"/>
    <x v="1"/>
    <x v="1"/>
    <x v="0"/>
    <n v="3"/>
    <n v="0"/>
    <s v="COD"/>
    <x v="2"/>
    <x v="0"/>
    <n v="8"/>
    <n v="0"/>
    <n v="1"/>
    <s v="New"/>
    <x v="3"/>
    <n v="50"/>
    <n v="0"/>
  </r>
  <r>
    <n v="2800"/>
    <x v="105"/>
    <n v="1715"/>
    <x v="1"/>
    <x v="1"/>
    <x v="0"/>
    <n v="4"/>
    <n v="0"/>
    <s v="Card"/>
    <x v="2"/>
    <x v="1"/>
    <n v="1"/>
    <n v="0"/>
    <n v="1"/>
    <s v="New"/>
    <x v="3"/>
    <n v="52"/>
    <n v="0"/>
  </r>
  <r>
    <n v="2801"/>
    <x v="33"/>
    <n v="1494"/>
    <x v="2"/>
    <x v="1"/>
    <x v="3"/>
    <n v="5"/>
    <n v="0"/>
    <s v="Card"/>
    <x v="1"/>
    <x v="3"/>
    <n v="2"/>
    <n v="0"/>
    <n v="1"/>
    <s v="New"/>
    <x v="5"/>
    <n v="31"/>
    <n v="0"/>
  </r>
  <r>
    <n v="2802"/>
    <x v="145"/>
    <n v="1337"/>
    <x v="4"/>
    <x v="4"/>
    <x v="2"/>
    <n v="1"/>
    <n v="3663"/>
    <s v="UPI"/>
    <x v="0"/>
    <x v="3"/>
    <n v="7"/>
    <n v="0"/>
    <n v="1"/>
    <s v="New"/>
    <x v="4"/>
    <n v="48"/>
    <n v="1"/>
  </r>
  <r>
    <n v="2803"/>
    <x v="109"/>
    <n v="1041"/>
    <x v="1"/>
    <x v="3"/>
    <x v="1"/>
    <n v="5"/>
    <n v="0"/>
    <s v="UPI"/>
    <x v="1"/>
    <x v="2"/>
    <n v="10"/>
    <n v="0"/>
    <n v="1"/>
    <s v="Repeat"/>
    <x v="4"/>
    <n v="46"/>
    <n v="0"/>
  </r>
  <r>
    <n v="2804"/>
    <x v="90"/>
    <n v="1460"/>
    <x v="0"/>
    <x v="4"/>
    <x v="2"/>
    <n v="4"/>
    <n v="0"/>
    <s v="UPI"/>
    <x v="2"/>
    <x v="3"/>
    <n v="8"/>
    <n v="0"/>
    <n v="1"/>
    <s v="Repeat"/>
    <x v="0"/>
    <n v="31"/>
    <n v="0"/>
  </r>
  <r>
    <n v="2805"/>
    <x v="72"/>
    <n v="1523"/>
    <x v="4"/>
    <x v="4"/>
    <x v="3"/>
    <n v="2"/>
    <n v="0"/>
    <s v="Wallet"/>
    <x v="2"/>
    <x v="0"/>
    <n v="4"/>
    <n v="0"/>
    <n v="0"/>
    <s v="New"/>
    <x v="2"/>
    <n v="41"/>
    <n v="0"/>
  </r>
  <r>
    <n v="2806"/>
    <x v="5"/>
    <n v="1293"/>
    <x v="1"/>
    <x v="2"/>
    <x v="3"/>
    <n v="4"/>
    <n v="0"/>
    <s v="Card"/>
    <x v="1"/>
    <x v="2"/>
    <n v="10"/>
    <n v="0"/>
    <n v="0"/>
    <s v="New"/>
    <x v="0"/>
    <n v="33"/>
    <n v="0"/>
  </r>
  <r>
    <n v="2807"/>
    <x v="97"/>
    <n v="1888"/>
    <x v="2"/>
    <x v="3"/>
    <x v="0"/>
    <n v="2"/>
    <n v="0"/>
    <s v="Wallet"/>
    <x v="2"/>
    <x v="0"/>
    <n v="9"/>
    <n v="0"/>
    <n v="0"/>
    <s v="Repeat"/>
    <x v="1"/>
    <n v="40"/>
    <n v="0"/>
  </r>
  <r>
    <n v="2808"/>
    <x v="83"/>
    <n v="1300"/>
    <x v="1"/>
    <x v="2"/>
    <x v="3"/>
    <n v="5"/>
    <n v="0"/>
    <s v="Wallet"/>
    <x v="1"/>
    <x v="2"/>
    <n v="4"/>
    <n v="1"/>
    <n v="0"/>
    <s v="New"/>
    <x v="1"/>
    <n v="36"/>
    <n v="0"/>
  </r>
  <r>
    <n v="2809"/>
    <x v="71"/>
    <n v="1820"/>
    <x v="0"/>
    <x v="3"/>
    <x v="2"/>
    <n v="3"/>
    <n v="0"/>
    <s v="COD"/>
    <x v="1"/>
    <x v="3"/>
    <n v="3"/>
    <n v="1"/>
    <n v="0"/>
    <s v="Repeat"/>
    <x v="3"/>
    <n v="49"/>
    <n v="0"/>
  </r>
  <r>
    <n v="2810"/>
    <x v="92"/>
    <n v="1517"/>
    <x v="0"/>
    <x v="4"/>
    <x v="3"/>
    <n v="2"/>
    <n v="0"/>
    <s v="COD"/>
    <x v="2"/>
    <x v="2"/>
    <n v="8"/>
    <n v="1"/>
    <n v="1"/>
    <s v="Repeat"/>
    <x v="3"/>
    <n v="53"/>
    <n v="0"/>
  </r>
  <r>
    <n v="2811"/>
    <x v="164"/>
    <n v="1316"/>
    <x v="1"/>
    <x v="3"/>
    <x v="3"/>
    <n v="2"/>
    <n v="9636"/>
    <s v="Card"/>
    <x v="0"/>
    <x v="3"/>
    <n v="3"/>
    <n v="1"/>
    <n v="1"/>
    <s v="Repeat"/>
    <x v="0"/>
    <n v="34"/>
    <n v="1"/>
  </r>
  <r>
    <n v="2812"/>
    <x v="116"/>
    <n v="1512"/>
    <x v="2"/>
    <x v="3"/>
    <x v="0"/>
    <n v="2"/>
    <n v="0"/>
    <s v="COD"/>
    <x v="2"/>
    <x v="1"/>
    <n v="4"/>
    <n v="0"/>
    <n v="1"/>
    <s v="New"/>
    <x v="3"/>
    <n v="50"/>
    <n v="0"/>
  </r>
  <r>
    <n v="2813"/>
    <x v="100"/>
    <n v="1333"/>
    <x v="2"/>
    <x v="2"/>
    <x v="0"/>
    <n v="4"/>
    <n v="0"/>
    <s v="Wallet"/>
    <x v="1"/>
    <x v="2"/>
    <n v="8"/>
    <n v="0"/>
    <n v="0"/>
    <s v="Repeat"/>
    <x v="1"/>
    <n v="37"/>
    <n v="0"/>
  </r>
  <r>
    <n v="2814"/>
    <x v="55"/>
    <n v="1583"/>
    <x v="2"/>
    <x v="2"/>
    <x v="2"/>
    <n v="2"/>
    <n v="6108"/>
    <s v="COD"/>
    <x v="0"/>
    <x v="0"/>
    <n v="2"/>
    <n v="1"/>
    <n v="1"/>
    <s v="New"/>
    <x v="1"/>
    <n v="37"/>
    <n v="1"/>
  </r>
  <r>
    <n v="2815"/>
    <x v="127"/>
    <n v="1182"/>
    <x v="2"/>
    <x v="1"/>
    <x v="2"/>
    <n v="1"/>
    <n v="4118"/>
    <s v="Card"/>
    <x v="0"/>
    <x v="0"/>
    <n v="6"/>
    <n v="1"/>
    <n v="1"/>
    <s v="New"/>
    <x v="5"/>
    <n v="29"/>
    <n v="1"/>
  </r>
  <r>
    <n v="2816"/>
    <x v="28"/>
    <n v="1213"/>
    <x v="4"/>
    <x v="3"/>
    <x v="3"/>
    <n v="2"/>
    <n v="6302"/>
    <s v="Card"/>
    <x v="0"/>
    <x v="0"/>
    <n v="6"/>
    <n v="1"/>
    <n v="0"/>
    <s v="New"/>
    <x v="0"/>
    <n v="33"/>
    <n v="1"/>
  </r>
  <r>
    <n v="2817"/>
    <x v="127"/>
    <n v="1730"/>
    <x v="4"/>
    <x v="0"/>
    <x v="0"/>
    <n v="3"/>
    <n v="0"/>
    <s v="UPI"/>
    <x v="2"/>
    <x v="2"/>
    <n v="3"/>
    <n v="1"/>
    <n v="1"/>
    <s v="New"/>
    <x v="5"/>
    <n v="29"/>
    <n v="0"/>
  </r>
  <r>
    <n v="2818"/>
    <x v="93"/>
    <n v="1391"/>
    <x v="2"/>
    <x v="1"/>
    <x v="2"/>
    <n v="4"/>
    <n v="13424"/>
    <s v="COD"/>
    <x v="0"/>
    <x v="1"/>
    <n v="8"/>
    <n v="1"/>
    <n v="0"/>
    <s v="New"/>
    <x v="3"/>
    <n v="53"/>
    <n v="1"/>
  </r>
  <r>
    <n v="2819"/>
    <x v="53"/>
    <n v="1615"/>
    <x v="3"/>
    <x v="0"/>
    <x v="3"/>
    <n v="1"/>
    <n v="0"/>
    <s v="COD"/>
    <x v="1"/>
    <x v="0"/>
    <n v="7"/>
    <n v="0"/>
    <n v="1"/>
    <s v="Repeat"/>
    <x v="2"/>
    <n v="42"/>
    <n v="0"/>
  </r>
  <r>
    <n v="2820"/>
    <x v="23"/>
    <n v="1319"/>
    <x v="4"/>
    <x v="4"/>
    <x v="0"/>
    <n v="3"/>
    <n v="0"/>
    <s v="Wallet"/>
    <x v="2"/>
    <x v="1"/>
    <n v="9"/>
    <n v="0"/>
    <n v="0"/>
    <s v="Repeat"/>
    <x v="3"/>
    <n v="51"/>
    <n v="0"/>
  </r>
  <r>
    <n v="2821"/>
    <x v="156"/>
    <n v="1525"/>
    <x v="3"/>
    <x v="3"/>
    <x v="2"/>
    <n v="5"/>
    <n v="0"/>
    <s v="COD"/>
    <x v="2"/>
    <x v="3"/>
    <n v="6"/>
    <n v="0"/>
    <n v="1"/>
    <s v="New"/>
    <x v="6"/>
    <n v="2"/>
    <n v="0"/>
  </r>
  <r>
    <n v="2822"/>
    <x v="105"/>
    <n v="1294"/>
    <x v="2"/>
    <x v="2"/>
    <x v="1"/>
    <n v="3"/>
    <n v="0"/>
    <s v="Wallet"/>
    <x v="1"/>
    <x v="0"/>
    <n v="4"/>
    <n v="0"/>
    <n v="1"/>
    <s v="New"/>
    <x v="3"/>
    <n v="52"/>
    <n v="0"/>
  </r>
  <r>
    <n v="2823"/>
    <x v="81"/>
    <n v="1334"/>
    <x v="4"/>
    <x v="0"/>
    <x v="1"/>
    <n v="5"/>
    <n v="0"/>
    <s v="UPI"/>
    <x v="2"/>
    <x v="2"/>
    <n v="6"/>
    <n v="0"/>
    <n v="1"/>
    <s v="New"/>
    <x v="0"/>
    <n v="33"/>
    <n v="0"/>
  </r>
  <r>
    <n v="2824"/>
    <x v="18"/>
    <n v="1038"/>
    <x v="4"/>
    <x v="3"/>
    <x v="2"/>
    <n v="2"/>
    <n v="0"/>
    <s v="Card"/>
    <x v="1"/>
    <x v="2"/>
    <n v="8"/>
    <n v="0"/>
    <n v="1"/>
    <s v="New"/>
    <x v="1"/>
    <n v="36"/>
    <n v="0"/>
  </r>
  <r>
    <n v="2825"/>
    <x v="176"/>
    <n v="1886"/>
    <x v="0"/>
    <x v="0"/>
    <x v="0"/>
    <n v="3"/>
    <n v="0"/>
    <s v="Card"/>
    <x v="1"/>
    <x v="2"/>
    <n v="10"/>
    <n v="0"/>
    <n v="1"/>
    <s v="New"/>
    <x v="3"/>
    <n v="51"/>
    <n v="0"/>
  </r>
  <r>
    <n v="2826"/>
    <x v="170"/>
    <n v="1629"/>
    <x v="4"/>
    <x v="1"/>
    <x v="2"/>
    <n v="5"/>
    <n v="0"/>
    <s v="Wallet"/>
    <x v="2"/>
    <x v="3"/>
    <n v="2"/>
    <n v="0"/>
    <n v="0"/>
    <s v="New"/>
    <x v="4"/>
    <n v="48"/>
    <n v="0"/>
  </r>
  <r>
    <n v="2827"/>
    <x v="114"/>
    <n v="1843"/>
    <x v="3"/>
    <x v="0"/>
    <x v="1"/>
    <n v="2"/>
    <n v="0"/>
    <s v="Card"/>
    <x v="1"/>
    <x v="0"/>
    <n v="8"/>
    <n v="0"/>
    <n v="0"/>
    <s v="Repeat"/>
    <x v="3"/>
    <n v="50"/>
    <n v="0"/>
  </r>
  <r>
    <n v="2828"/>
    <x v="135"/>
    <n v="1399"/>
    <x v="4"/>
    <x v="1"/>
    <x v="2"/>
    <n v="2"/>
    <n v="0"/>
    <s v="COD"/>
    <x v="2"/>
    <x v="2"/>
    <n v="1"/>
    <n v="0"/>
    <n v="1"/>
    <s v="Repeat"/>
    <x v="2"/>
    <n v="43"/>
    <n v="0"/>
  </r>
  <r>
    <n v="2829"/>
    <x v="128"/>
    <n v="1442"/>
    <x v="4"/>
    <x v="1"/>
    <x v="0"/>
    <n v="3"/>
    <n v="0"/>
    <s v="UPI"/>
    <x v="1"/>
    <x v="1"/>
    <n v="6"/>
    <n v="1"/>
    <n v="1"/>
    <s v="Repeat"/>
    <x v="1"/>
    <n v="39"/>
    <n v="0"/>
  </r>
  <r>
    <n v="2830"/>
    <x v="70"/>
    <n v="1169"/>
    <x v="3"/>
    <x v="0"/>
    <x v="3"/>
    <n v="1"/>
    <n v="0"/>
    <s v="Card"/>
    <x v="2"/>
    <x v="2"/>
    <n v="10"/>
    <n v="0"/>
    <n v="0"/>
    <s v="Repeat"/>
    <x v="2"/>
    <n v="40"/>
    <n v="0"/>
  </r>
  <r>
    <n v="2831"/>
    <x v="178"/>
    <n v="1800"/>
    <x v="0"/>
    <x v="3"/>
    <x v="1"/>
    <n v="5"/>
    <n v="0"/>
    <s v="COD"/>
    <x v="1"/>
    <x v="0"/>
    <n v="5"/>
    <n v="0"/>
    <n v="0"/>
    <s v="New"/>
    <x v="4"/>
    <n v="45"/>
    <n v="0"/>
  </r>
  <r>
    <n v="2832"/>
    <x v="2"/>
    <n v="1024"/>
    <x v="3"/>
    <x v="1"/>
    <x v="0"/>
    <n v="4"/>
    <n v="8092"/>
    <s v="COD"/>
    <x v="0"/>
    <x v="3"/>
    <n v="1"/>
    <n v="0"/>
    <n v="1"/>
    <s v="Repeat"/>
    <x v="2"/>
    <n v="41"/>
    <n v="1"/>
  </r>
  <r>
    <n v="2833"/>
    <x v="171"/>
    <n v="1829"/>
    <x v="3"/>
    <x v="2"/>
    <x v="1"/>
    <n v="5"/>
    <n v="12295"/>
    <s v="Wallet"/>
    <x v="0"/>
    <x v="3"/>
    <n v="6"/>
    <n v="0"/>
    <n v="1"/>
    <s v="New"/>
    <x v="1"/>
    <n v="36"/>
    <n v="1"/>
  </r>
  <r>
    <n v="2834"/>
    <x v="58"/>
    <n v="1458"/>
    <x v="1"/>
    <x v="2"/>
    <x v="0"/>
    <n v="5"/>
    <n v="16050"/>
    <s v="Card"/>
    <x v="0"/>
    <x v="2"/>
    <n v="5"/>
    <n v="0"/>
    <n v="1"/>
    <s v="Repeat"/>
    <x v="5"/>
    <n v="31"/>
    <n v="1"/>
  </r>
  <r>
    <n v="2835"/>
    <x v="88"/>
    <n v="1208"/>
    <x v="3"/>
    <x v="4"/>
    <x v="2"/>
    <n v="3"/>
    <n v="12576"/>
    <s v="UPI"/>
    <x v="0"/>
    <x v="3"/>
    <n v="3"/>
    <n v="1"/>
    <n v="0"/>
    <s v="Repeat"/>
    <x v="1"/>
    <n v="37"/>
    <n v="1"/>
  </r>
  <r>
    <n v="2836"/>
    <x v="123"/>
    <n v="1297"/>
    <x v="3"/>
    <x v="1"/>
    <x v="3"/>
    <n v="4"/>
    <n v="18692"/>
    <s v="Wallet"/>
    <x v="0"/>
    <x v="1"/>
    <n v="8"/>
    <n v="1"/>
    <n v="0"/>
    <s v="New"/>
    <x v="0"/>
    <n v="34"/>
    <n v="1"/>
  </r>
  <r>
    <n v="2837"/>
    <x v="170"/>
    <n v="1460"/>
    <x v="4"/>
    <x v="3"/>
    <x v="3"/>
    <n v="1"/>
    <n v="0"/>
    <s v="Card"/>
    <x v="2"/>
    <x v="0"/>
    <n v="7"/>
    <n v="1"/>
    <n v="1"/>
    <s v="New"/>
    <x v="4"/>
    <n v="48"/>
    <n v="0"/>
  </r>
  <r>
    <n v="2838"/>
    <x v="86"/>
    <n v="1763"/>
    <x v="1"/>
    <x v="1"/>
    <x v="0"/>
    <n v="3"/>
    <n v="0"/>
    <s v="UPI"/>
    <x v="1"/>
    <x v="0"/>
    <n v="2"/>
    <n v="0"/>
    <n v="0"/>
    <s v="New"/>
    <x v="6"/>
    <n v="1"/>
    <n v="0"/>
  </r>
  <r>
    <n v="2839"/>
    <x v="115"/>
    <n v="1651"/>
    <x v="4"/>
    <x v="2"/>
    <x v="1"/>
    <n v="4"/>
    <n v="0"/>
    <s v="Card"/>
    <x v="1"/>
    <x v="2"/>
    <n v="3"/>
    <n v="0"/>
    <n v="1"/>
    <s v="New"/>
    <x v="4"/>
    <n v="48"/>
    <n v="0"/>
  </r>
  <r>
    <n v="2840"/>
    <x v="143"/>
    <n v="1605"/>
    <x v="1"/>
    <x v="3"/>
    <x v="3"/>
    <n v="2"/>
    <n v="0"/>
    <s v="Card"/>
    <x v="1"/>
    <x v="2"/>
    <n v="3"/>
    <n v="1"/>
    <n v="0"/>
    <s v="New"/>
    <x v="2"/>
    <n v="43"/>
    <n v="0"/>
  </r>
  <r>
    <n v="2841"/>
    <x v="129"/>
    <n v="1343"/>
    <x v="0"/>
    <x v="1"/>
    <x v="2"/>
    <n v="3"/>
    <n v="0"/>
    <s v="COD"/>
    <x v="2"/>
    <x v="0"/>
    <n v="7"/>
    <n v="0"/>
    <n v="1"/>
    <s v="New"/>
    <x v="4"/>
    <n v="46"/>
    <n v="0"/>
  </r>
  <r>
    <n v="2842"/>
    <x v="38"/>
    <n v="1267"/>
    <x v="2"/>
    <x v="0"/>
    <x v="3"/>
    <n v="1"/>
    <n v="0"/>
    <s v="COD"/>
    <x v="1"/>
    <x v="1"/>
    <n v="9"/>
    <n v="1"/>
    <n v="1"/>
    <s v="New"/>
    <x v="1"/>
    <n v="39"/>
    <n v="0"/>
  </r>
  <r>
    <n v="2843"/>
    <x v="39"/>
    <n v="1944"/>
    <x v="2"/>
    <x v="4"/>
    <x v="0"/>
    <n v="1"/>
    <n v="0"/>
    <s v="Wallet"/>
    <x v="1"/>
    <x v="3"/>
    <n v="8"/>
    <n v="0"/>
    <n v="1"/>
    <s v="New"/>
    <x v="0"/>
    <n v="34"/>
    <n v="0"/>
  </r>
  <r>
    <n v="2844"/>
    <x v="8"/>
    <n v="1968"/>
    <x v="1"/>
    <x v="4"/>
    <x v="1"/>
    <n v="4"/>
    <n v="0"/>
    <s v="UPI"/>
    <x v="2"/>
    <x v="1"/>
    <n v="9"/>
    <n v="1"/>
    <n v="0"/>
    <s v="New"/>
    <x v="0"/>
    <n v="32"/>
    <n v="0"/>
  </r>
  <r>
    <n v="2845"/>
    <x v="135"/>
    <n v="1823"/>
    <x v="3"/>
    <x v="0"/>
    <x v="3"/>
    <n v="2"/>
    <n v="0"/>
    <s v="UPI"/>
    <x v="2"/>
    <x v="0"/>
    <n v="7"/>
    <n v="0"/>
    <n v="0"/>
    <s v="New"/>
    <x v="2"/>
    <n v="43"/>
    <n v="0"/>
  </r>
  <r>
    <n v="2846"/>
    <x v="84"/>
    <n v="1391"/>
    <x v="3"/>
    <x v="3"/>
    <x v="1"/>
    <n v="2"/>
    <n v="0"/>
    <s v="UPI"/>
    <x v="2"/>
    <x v="2"/>
    <n v="8"/>
    <n v="0"/>
    <n v="0"/>
    <s v="New"/>
    <x v="2"/>
    <n v="41"/>
    <n v="0"/>
  </r>
  <r>
    <n v="2847"/>
    <x v="49"/>
    <n v="1302"/>
    <x v="1"/>
    <x v="2"/>
    <x v="2"/>
    <n v="3"/>
    <n v="0"/>
    <s v="UPI"/>
    <x v="1"/>
    <x v="0"/>
    <n v="10"/>
    <n v="0"/>
    <n v="0"/>
    <s v="New"/>
    <x v="0"/>
    <n v="36"/>
    <n v="0"/>
  </r>
  <r>
    <n v="2848"/>
    <x v="105"/>
    <n v="1029"/>
    <x v="2"/>
    <x v="3"/>
    <x v="1"/>
    <n v="2"/>
    <n v="0"/>
    <s v="UPI"/>
    <x v="2"/>
    <x v="3"/>
    <n v="3"/>
    <n v="0"/>
    <n v="1"/>
    <s v="New"/>
    <x v="3"/>
    <n v="52"/>
    <n v="0"/>
  </r>
  <r>
    <n v="2849"/>
    <x v="157"/>
    <n v="1559"/>
    <x v="4"/>
    <x v="2"/>
    <x v="3"/>
    <n v="4"/>
    <n v="0"/>
    <s v="COD"/>
    <x v="2"/>
    <x v="1"/>
    <n v="8"/>
    <n v="1"/>
    <n v="0"/>
    <s v="Repeat"/>
    <x v="2"/>
    <n v="41"/>
    <n v="0"/>
  </r>
  <r>
    <n v="2850"/>
    <x v="177"/>
    <n v="1003"/>
    <x v="0"/>
    <x v="0"/>
    <x v="2"/>
    <n v="1"/>
    <n v="0"/>
    <s v="COD"/>
    <x v="2"/>
    <x v="2"/>
    <n v="2"/>
    <n v="0"/>
    <n v="0"/>
    <s v="New"/>
    <x v="4"/>
    <n v="45"/>
    <n v="0"/>
  </r>
  <r>
    <n v="2851"/>
    <x v="6"/>
    <n v="1420"/>
    <x v="4"/>
    <x v="2"/>
    <x v="1"/>
    <n v="3"/>
    <n v="0"/>
    <s v="COD"/>
    <x v="1"/>
    <x v="0"/>
    <n v="7"/>
    <n v="1"/>
    <n v="0"/>
    <s v="Repeat"/>
    <x v="4"/>
    <n v="47"/>
    <n v="0"/>
  </r>
  <r>
    <n v="2852"/>
    <x v="74"/>
    <n v="1512"/>
    <x v="1"/>
    <x v="3"/>
    <x v="0"/>
    <n v="4"/>
    <n v="0"/>
    <s v="Wallet"/>
    <x v="1"/>
    <x v="0"/>
    <n v="8"/>
    <n v="1"/>
    <n v="1"/>
    <s v="Repeat"/>
    <x v="5"/>
    <n v="29"/>
    <n v="0"/>
  </r>
  <r>
    <n v="2853"/>
    <x v="159"/>
    <n v="1010"/>
    <x v="4"/>
    <x v="0"/>
    <x v="1"/>
    <n v="3"/>
    <n v="0"/>
    <s v="COD"/>
    <x v="2"/>
    <x v="2"/>
    <n v="5"/>
    <n v="0"/>
    <n v="1"/>
    <s v="Repeat"/>
    <x v="3"/>
    <n v="49"/>
    <n v="0"/>
  </r>
  <r>
    <n v="2854"/>
    <x v="141"/>
    <n v="1472"/>
    <x v="4"/>
    <x v="1"/>
    <x v="1"/>
    <n v="4"/>
    <n v="8616"/>
    <s v="COD"/>
    <x v="0"/>
    <x v="0"/>
    <n v="9"/>
    <n v="0"/>
    <n v="0"/>
    <s v="Repeat"/>
    <x v="1"/>
    <n v="39"/>
    <n v="1"/>
  </r>
  <r>
    <n v="2855"/>
    <x v="147"/>
    <n v="1105"/>
    <x v="0"/>
    <x v="3"/>
    <x v="1"/>
    <n v="2"/>
    <n v="7240"/>
    <s v="UPI"/>
    <x v="0"/>
    <x v="3"/>
    <n v="2"/>
    <n v="0"/>
    <n v="1"/>
    <s v="Repeat"/>
    <x v="4"/>
    <n v="47"/>
    <n v="1"/>
  </r>
  <r>
    <n v="2856"/>
    <x v="115"/>
    <n v="1509"/>
    <x v="0"/>
    <x v="3"/>
    <x v="2"/>
    <n v="1"/>
    <n v="567"/>
    <s v="COD"/>
    <x v="0"/>
    <x v="1"/>
    <n v="8"/>
    <n v="0"/>
    <n v="0"/>
    <s v="Repeat"/>
    <x v="4"/>
    <n v="48"/>
    <n v="1"/>
  </r>
  <r>
    <n v="2857"/>
    <x v="175"/>
    <n v="1832"/>
    <x v="4"/>
    <x v="0"/>
    <x v="0"/>
    <n v="5"/>
    <n v="0"/>
    <s v="Wallet"/>
    <x v="1"/>
    <x v="3"/>
    <n v="8"/>
    <n v="0"/>
    <n v="1"/>
    <s v="New"/>
    <x v="5"/>
    <n v="31"/>
    <n v="0"/>
  </r>
  <r>
    <n v="2858"/>
    <x v="120"/>
    <n v="1991"/>
    <x v="3"/>
    <x v="1"/>
    <x v="3"/>
    <n v="2"/>
    <n v="7292"/>
    <s v="COD"/>
    <x v="0"/>
    <x v="2"/>
    <n v="4"/>
    <n v="0"/>
    <n v="0"/>
    <s v="Repeat"/>
    <x v="6"/>
    <n v="1"/>
    <n v="1"/>
  </r>
  <r>
    <n v="2859"/>
    <x v="9"/>
    <n v="1349"/>
    <x v="3"/>
    <x v="4"/>
    <x v="1"/>
    <n v="4"/>
    <n v="0"/>
    <s v="COD"/>
    <x v="1"/>
    <x v="3"/>
    <n v="2"/>
    <n v="1"/>
    <n v="1"/>
    <s v="Repeat"/>
    <x v="5"/>
    <n v="30"/>
    <n v="0"/>
  </r>
  <r>
    <n v="2860"/>
    <x v="59"/>
    <n v="1336"/>
    <x v="0"/>
    <x v="0"/>
    <x v="2"/>
    <n v="5"/>
    <n v="14840"/>
    <s v="Wallet"/>
    <x v="0"/>
    <x v="3"/>
    <n v="6"/>
    <n v="0"/>
    <n v="1"/>
    <s v="New"/>
    <x v="0"/>
    <n v="34"/>
    <n v="1"/>
  </r>
  <r>
    <n v="2861"/>
    <x v="151"/>
    <n v="1505"/>
    <x v="4"/>
    <x v="0"/>
    <x v="1"/>
    <n v="3"/>
    <n v="13437"/>
    <s v="UPI"/>
    <x v="0"/>
    <x v="2"/>
    <n v="4"/>
    <n v="0"/>
    <n v="0"/>
    <s v="Repeat"/>
    <x v="3"/>
    <n v="52"/>
    <n v="1"/>
  </r>
  <r>
    <n v="2862"/>
    <x v="11"/>
    <n v="1255"/>
    <x v="2"/>
    <x v="0"/>
    <x v="2"/>
    <n v="4"/>
    <n v="0"/>
    <s v="UPI"/>
    <x v="2"/>
    <x v="0"/>
    <n v="1"/>
    <n v="0"/>
    <n v="1"/>
    <s v="Repeat"/>
    <x v="0"/>
    <n v="35"/>
    <n v="0"/>
  </r>
  <r>
    <n v="2863"/>
    <x v="27"/>
    <n v="1847"/>
    <x v="4"/>
    <x v="3"/>
    <x v="0"/>
    <n v="5"/>
    <n v="0"/>
    <s v="COD"/>
    <x v="1"/>
    <x v="1"/>
    <n v="8"/>
    <n v="0"/>
    <n v="1"/>
    <s v="New"/>
    <x v="1"/>
    <n v="37"/>
    <n v="0"/>
  </r>
  <r>
    <n v="2864"/>
    <x v="121"/>
    <n v="1216"/>
    <x v="3"/>
    <x v="3"/>
    <x v="3"/>
    <n v="3"/>
    <n v="0"/>
    <s v="UPI"/>
    <x v="2"/>
    <x v="3"/>
    <n v="10"/>
    <n v="1"/>
    <n v="0"/>
    <s v="New"/>
    <x v="1"/>
    <n v="37"/>
    <n v="0"/>
  </r>
  <r>
    <n v="2865"/>
    <x v="104"/>
    <n v="1994"/>
    <x v="1"/>
    <x v="0"/>
    <x v="0"/>
    <n v="3"/>
    <n v="0"/>
    <s v="UPI"/>
    <x v="1"/>
    <x v="2"/>
    <n v="5"/>
    <n v="1"/>
    <n v="1"/>
    <s v="New"/>
    <x v="5"/>
    <n v="29"/>
    <n v="0"/>
  </r>
  <r>
    <n v="2866"/>
    <x v="21"/>
    <n v="1732"/>
    <x v="3"/>
    <x v="0"/>
    <x v="1"/>
    <n v="2"/>
    <n v="0"/>
    <s v="COD"/>
    <x v="2"/>
    <x v="2"/>
    <n v="3"/>
    <n v="1"/>
    <n v="0"/>
    <s v="New"/>
    <x v="2"/>
    <n v="43"/>
    <n v="0"/>
  </r>
  <r>
    <n v="2867"/>
    <x v="129"/>
    <n v="1770"/>
    <x v="4"/>
    <x v="4"/>
    <x v="2"/>
    <n v="5"/>
    <n v="17720"/>
    <s v="Card"/>
    <x v="0"/>
    <x v="3"/>
    <n v="1"/>
    <n v="0"/>
    <n v="0"/>
    <s v="Repeat"/>
    <x v="4"/>
    <n v="46"/>
    <n v="1"/>
  </r>
  <r>
    <n v="2868"/>
    <x v="27"/>
    <n v="1585"/>
    <x v="4"/>
    <x v="2"/>
    <x v="1"/>
    <n v="1"/>
    <n v="4647"/>
    <s v="UPI"/>
    <x v="0"/>
    <x v="3"/>
    <n v="5"/>
    <n v="1"/>
    <n v="0"/>
    <s v="New"/>
    <x v="1"/>
    <n v="37"/>
    <n v="1"/>
  </r>
  <r>
    <n v="2869"/>
    <x v="70"/>
    <n v="1017"/>
    <x v="3"/>
    <x v="3"/>
    <x v="0"/>
    <n v="4"/>
    <n v="0"/>
    <s v="Card"/>
    <x v="1"/>
    <x v="1"/>
    <n v="7"/>
    <n v="0"/>
    <n v="0"/>
    <s v="New"/>
    <x v="2"/>
    <n v="40"/>
    <n v="0"/>
  </r>
  <r>
    <n v="2870"/>
    <x v="80"/>
    <n v="1849"/>
    <x v="0"/>
    <x v="3"/>
    <x v="0"/>
    <n v="1"/>
    <n v="3927"/>
    <s v="Wallet"/>
    <x v="0"/>
    <x v="1"/>
    <n v="8"/>
    <n v="0"/>
    <n v="0"/>
    <s v="Repeat"/>
    <x v="6"/>
    <n v="2"/>
    <n v="1"/>
  </r>
  <r>
    <n v="2871"/>
    <x v="92"/>
    <n v="1543"/>
    <x v="4"/>
    <x v="3"/>
    <x v="2"/>
    <n v="5"/>
    <n v="0"/>
    <s v="UPI"/>
    <x v="1"/>
    <x v="1"/>
    <n v="8"/>
    <n v="1"/>
    <n v="1"/>
    <s v="New"/>
    <x v="3"/>
    <n v="53"/>
    <n v="0"/>
  </r>
  <r>
    <n v="2872"/>
    <x v="98"/>
    <n v="1940"/>
    <x v="0"/>
    <x v="3"/>
    <x v="2"/>
    <n v="5"/>
    <n v="9140"/>
    <s v="COD"/>
    <x v="0"/>
    <x v="1"/>
    <n v="8"/>
    <n v="1"/>
    <n v="0"/>
    <s v="New"/>
    <x v="3"/>
    <n v="51"/>
    <n v="1"/>
  </r>
  <r>
    <n v="2873"/>
    <x v="53"/>
    <n v="1205"/>
    <x v="3"/>
    <x v="1"/>
    <x v="0"/>
    <n v="1"/>
    <n v="0"/>
    <s v="UPI"/>
    <x v="1"/>
    <x v="3"/>
    <n v="7"/>
    <n v="0"/>
    <n v="0"/>
    <s v="New"/>
    <x v="2"/>
    <n v="42"/>
    <n v="0"/>
  </r>
  <r>
    <n v="2874"/>
    <x v="35"/>
    <n v="1635"/>
    <x v="2"/>
    <x v="3"/>
    <x v="2"/>
    <n v="3"/>
    <n v="0"/>
    <s v="Wallet"/>
    <x v="2"/>
    <x v="3"/>
    <n v="3"/>
    <n v="0"/>
    <n v="1"/>
    <s v="Repeat"/>
    <x v="0"/>
    <n v="35"/>
    <n v="0"/>
  </r>
  <r>
    <n v="2875"/>
    <x v="97"/>
    <n v="1744"/>
    <x v="0"/>
    <x v="1"/>
    <x v="2"/>
    <n v="1"/>
    <n v="1413"/>
    <s v="UPI"/>
    <x v="0"/>
    <x v="3"/>
    <n v="1"/>
    <n v="1"/>
    <n v="0"/>
    <s v="Repeat"/>
    <x v="1"/>
    <n v="40"/>
    <n v="1"/>
  </r>
  <r>
    <n v="2876"/>
    <x v="147"/>
    <n v="1010"/>
    <x v="1"/>
    <x v="3"/>
    <x v="3"/>
    <n v="2"/>
    <n v="6198"/>
    <s v="COD"/>
    <x v="0"/>
    <x v="1"/>
    <n v="4"/>
    <n v="0"/>
    <n v="0"/>
    <s v="New"/>
    <x v="4"/>
    <n v="47"/>
    <n v="1"/>
  </r>
  <r>
    <n v="2877"/>
    <x v="156"/>
    <n v="1047"/>
    <x v="2"/>
    <x v="4"/>
    <x v="0"/>
    <n v="4"/>
    <n v="1048"/>
    <s v="Wallet"/>
    <x v="0"/>
    <x v="2"/>
    <n v="1"/>
    <n v="1"/>
    <n v="0"/>
    <s v="New"/>
    <x v="6"/>
    <n v="2"/>
    <n v="1"/>
  </r>
  <r>
    <n v="2878"/>
    <x v="55"/>
    <n v="1469"/>
    <x v="2"/>
    <x v="3"/>
    <x v="3"/>
    <n v="2"/>
    <n v="0"/>
    <s v="UPI"/>
    <x v="2"/>
    <x v="1"/>
    <n v="3"/>
    <n v="0"/>
    <n v="0"/>
    <s v="New"/>
    <x v="1"/>
    <n v="37"/>
    <n v="0"/>
  </r>
  <r>
    <n v="2879"/>
    <x v="116"/>
    <n v="1690"/>
    <x v="4"/>
    <x v="0"/>
    <x v="3"/>
    <n v="3"/>
    <n v="0"/>
    <s v="Wallet"/>
    <x v="1"/>
    <x v="0"/>
    <n v="7"/>
    <n v="1"/>
    <n v="1"/>
    <s v="Repeat"/>
    <x v="3"/>
    <n v="50"/>
    <n v="0"/>
  </r>
  <r>
    <n v="2880"/>
    <x v="150"/>
    <n v="1152"/>
    <x v="1"/>
    <x v="3"/>
    <x v="1"/>
    <n v="4"/>
    <n v="19604"/>
    <s v="Card"/>
    <x v="0"/>
    <x v="1"/>
    <n v="9"/>
    <n v="0"/>
    <n v="0"/>
    <s v="Repeat"/>
    <x v="0"/>
    <n v="35"/>
    <n v="1"/>
  </r>
  <r>
    <n v="2881"/>
    <x v="180"/>
    <n v="1190"/>
    <x v="2"/>
    <x v="1"/>
    <x v="2"/>
    <n v="5"/>
    <n v="0"/>
    <s v="Card"/>
    <x v="1"/>
    <x v="3"/>
    <n v="8"/>
    <n v="0"/>
    <n v="0"/>
    <s v="New"/>
    <x v="4"/>
    <n v="46"/>
    <n v="0"/>
  </r>
  <r>
    <n v="2882"/>
    <x v="155"/>
    <n v="1093"/>
    <x v="2"/>
    <x v="1"/>
    <x v="0"/>
    <n v="2"/>
    <n v="3166"/>
    <s v="UPI"/>
    <x v="0"/>
    <x v="0"/>
    <n v="10"/>
    <n v="1"/>
    <n v="1"/>
    <s v="New"/>
    <x v="0"/>
    <n v="33"/>
    <n v="1"/>
  </r>
  <r>
    <n v="2883"/>
    <x v="107"/>
    <n v="1149"/>
    <x v="2"/>
    <x v="0"/>
    <x v="2"/>
    <n v="5"/>
    <n v="0"/>
    <s v="Card"/>
    <x v="2"/>
    <x v="0"/>
    <n v="9"/>
    <n v="1"/>
    <n v="0"/>
    <s v="Repeat"/>
    <x v="4"/>
    <n v="45"/>
    <n v="0"/>
  </r>
  <r>
    <n v="2884"/>
    <x v="90"/>
    <n v="1859"/>
    <x v="3"/>
    <x v="4"/>
    <x v="2"/>
    <n v="4"/>
    <n v="5976"/>
    <s v="COD"/>
    <x v="0"/>
    <x v="0"/>
    <n v="5"/>
    <n v="0"/>
    <n v="0"/>
    <s v="New"/>
    <x v="0"/>
    <n v="31"/>
    <n v="1"/>
  </r>
  <r>
    <n v="2885"/>
    <x v="163"/>
    <n v="1711"/>
    <x v="1"/>
    <x v="2"/>
    <x v="0"/>
    <n v="1"/>
    <n v="0"/>
    <s v="UPI"/>
    <x v="2"/>
    <x v="0"/>
    <n v="3"/>
    <n v="0"/>
    <n v="1"/>
    <s v="New"/>
    <x v="4"/>
    <n v="45"/>
    <n v="0"/>
  </r>
  <r>
    <n v="2886"/>
    <x v="107"/>
    <n v="1913"/>
    <x v="0"/>
    <x v="1"/>
    <x v="0"/>
    <n v="3"/>
    <n v="0"/>
    <s v="Wallet"/>
    <x v="1"/>
    <x v="3"/>
    <n v="9"/>
    <n v="1"/>
    <n v="0"/>
    <s v="Repeat"/>
    <x v="4"/>
    <n v="45"/>
    <n v="0"/>
  </r>
  <r>
    <n v="2887"/>
    <x v="23"/>
    <n v="1957"/>
    <x v="3"/>
    <x v="0"/>
    <x v="3"/>
    <n v="3"/>
    <n v="0"/>
    <s v="COD"/>
    <x v="2"/>
    <x v="0"/>
    <n v="5"/>
    <n v="0"/>
    <n v="0"/>
    <s v="New"/>
    <x v="3"/>
    <n v="51"/>
    <n v="0"/>
  </r>
  <r>
    <n v="2888"/>
    <x v="27"/>
    <n v="1277"/>
    <x v="3"/>
    <x v="4"/>
    <x v="2"/>
    <n v="4"/>
    <n v="6144"/>
    <s v="Wallet"/>
    <x v="0"/>
    <x v="2"/>
    <n v="1"/>
    <n v="1"/>
    <n v="1"/>
    <s v="New"/>
    <x v="1"/>
    <n v="37"/>
    <n v="1"/>
  </r>
  <r>
    <n v="2889"/>
    <x v="48"/>
    <n v="1224"/>
    <x v="0"/>
    <x v="4"/>
    <x v="0"/>
    <n v="2"/>
    <n v="9936"/>
    <s v="UPI"/>
    <x v="0"/>
    <x v="2"/>
    <n v="4"/>
    <n v="0"/>
    <n v="1"/>
    <s v="New"/>
    <x v="3"/>
    <n v="50"/>
    <n v="1"/>
  </r>
  <r>
    <n v="2890"/>
    <x v="1"/>
    <n v="1945"/>
    <x v="3"/>
    <x v="3"/>
    <x v="1"/>
    <n v="2"/>
    <n v="462"/>
    <s v="Card"/>
    <x v="0"/>
    <x v="0"/>
    <n v="8"/>
    <n v="0"/>
    <n v="0"/>
    <s v="New"/>
    <x v="1"/>
    <n v="39"/>
    <n v="1"/>
  </r>
  <r>
    <n v="2891"/>
    <x v="8"/>
    <n v="1363"/>
    <x v="4"/>
    <x v="1"/>
    <x v="1"/>
    <n v="5"/>
    <n v="0"/>
    <s v="Wallet"/>
    <x v="1"/>
    <x v="1"/>
    <n v="10"/>
    <n v="0"/>
    <n v="0"/>
    <s v="New"/>
    <x v="0"/>
    <n v="32"/>
    <n v="0"/>
  </r>
  <r>
    <n v="2892"/>
    <x v="20"/>
    <n v="1807"/>
    <x v="0"/>
    <x v="4"/>
    <x v="2"/>
    <n v="1"/>
    <n v="4433"/>
    <s v="Card"/>
    <x v="0"/>
    <x v="1"/>
    <n v="7"/>
    <n v="0"/>
    <n v="0"/>
    <s v="Repeat"/>
    <x v="0"/>
    <n v="32"/>
    <n v="1"/>
  </r>
  <r>
    <n v="2893"/>
    <x v="113"/>
    <n v="1529"/>
    <x v="1"/>
    <x v="2"/>
    <x v="1"/>
    <n v="3"/>
    <n v="0"/>
    <s v="Card"/>
    <x v="1"/>
    <x v="2"/>
    <n v="3"/>
    <n v="0"/>
    <n v="0"/>
    <s v="New"/>
    <x v="0"/>
    <n v="33"/>
    <n v="0"/>
  </r>
  <r>
    <n v="2894"/>
    <x v="155"/>
    <n v="1910"/>
    <x v="4"/>
    <x v="1"/>
    <x v="3"/>
    <n v="5"/>
    <n v="20240"/>
    <s v="COD"/>
    <x v="0"/>
    <x v="0"/>
    <n v="1"/>
    <n v="1"/>
    <n v="1"/>
    <s v="Repeat"/>
    <x v="0"/>
    <n v="33"/>
    <n v="1"/>
  </r>
  <r>
    <n v="2895"/>
    <x v="177"/>
    <n v="1879"/>
    <x v="3"/>
    <x v="3"/>
    <x v="1"/>
    <n v="3"/>
    <n v="0"/>
    <s v="Card"/>
    <x v="1"/>
    <x v="0"/>
    <n v="7"/>
    <n v="1"/>
    <n v="0"/>
    <s v="Repeat"/>
    <x v="4"/>
    <n v="45"/>
    <n v="0"/>
  </r>
  <r>
    <n v="2896"/>
    <x v="54"/>
    <n v="1354"/>
    <x v="2"/>
    <x v="3"/>
    <x v="3"/>
    <n v="4"/>
    <n v="0"/>
    <s v="Wallet"/>
    <x v="2"/>
    <x v="1"/>
    <n v="5"/>
    <n v="0"/>
    <n v="1"/>
    <s v="New"/>
    <x v="0"/>
    <n v="34"/>
    <n v="0"/>
  </r>
  <r>
    <n v="2897"/>
    <x v="33"/>
    <n v="1992"/>
    <x v="4"/>
    <x v="2"/>
    <x v="1"/>
    <n v="2"/>
    <n v="0"/>
    <s v="UPI"/>
    <x v="2"/>
    <x v="3"/>
    <n v="7"/>
    <n v="1"/>
    <n v="1"/>
    <s v="New"/>
    <x v="5"/>
    <n v="31"/>
    <n v="0"/>
  </r>
  <r>
    <n v="2898"/>
    <x v="57"/>
    <n v="1058"/>
    <x v="1"/>
    <x v="3"/>
    <x v="2"/>
    <n v="3"/>
    <n v="0"/>
    <s v="Wallet"/>
    <x v="2"/>
    <x v="2"/>
    <n v="2"/>
    <n v="1"/>
    <n v="0"/>
    <s v="Repeat"/>
    <x v="4"/>
    <n v="48"/>
    <n v="0"/>
  </r>
  <r>
    <n v="2899"/>
    <x v="126"/>
    <n v="1580"/>
    <x v="4"/>
    <x v="2"/>
    <x v="1"/>
    <n v="5"/>
    <n v="0"/>
    <s v="COD"/>
    <x v="2"/>
    <x v="1"/>
    <n v="6"/>
    <n v="0"/>
    <n v="0"/>
    <s v="New"/>
    <x v="4"/>
    <n v="46"/>
    <n v="0"/>
  </r>
  <r>
    <n v="2900"/>
    <x v="69"/>
    <n v="1110"/>
    <x v="3"/>
    <x v="0"/>
    <x v="1"/>
    <n v="3"/>
    <n v="0"/>
    <s v="Wallet"/>
    <x v="1"/>
    <x v="0"/>
    <n v="2"/>
    <n v="1"/>
    <n v="1"/>
    <s v="New"/>
    <x v="2"/>
    <n v="40"/>
    <n v="0"/>
  </r>
  <r>
    <n v="2901"/>
    <x v="130"/>
    <n v="1653"/>
    <x v="3"/>
    <x v="3"/>
    <x v="3"/>
    <n v="4"/>
    <n v="0"/>
    <s v="Card"/>
    <x v="2"/>
    <x v="2"/>
    <n v="10"/>
    <n v="1"/>
    <n v="0"/>
    <s v="New"/>
    <x v="3"/>
    <n v="51"/>
    <n v="0"/>
  </r>
  <r>
    <n v="2902"/>
    <x v="4"/>
    <n v="1575"/>
    <x v="1"/>
    <x v="3"/>
    <x v="2"/>
    <n v="3"/>
    <n v="13803"/>
    <s v="Card"/>
    <x v="0"/>
    <x v="3"/>
    <n v="8"/>
    <n v="0"/>
    <n v="1"/>
    <s v="New"/>
    <x v="3"/>
    <n v="50"/>
    <n v="1"/>
  </r>
  <r>
    <n v="2903"/>
    <x v="168"/>
    <n v="1466"/>
    <x v="4"/>
    <x v="4"/>
    <x v="0"/>
    <n v="5"/>
    <n v="21975"/>
    <s v="UPI"/>
    <x v="0"/>
    <x v="3"/>
    <n v="8"/>
    <n v="1"/>
    <n v="1"/>
    <s v="New"/>
    <x v="6"/>
    <n v="1"/>
    <n v="1"/>
  </r>
  <r>
    <n v="2904"/>
    <x v="79"/>
    <n v="1900"/>
    <x v="0"/>
    <x v="3"/>
    <x v="2"/>
    <n v="3"/>
    <n v="0"/>
    <s v="Card"/>
    <x v="2"/>
    <x v="1"/>
    <n v="7"/>
    <n v="0"/>
    <n v="0"/>
    <s v="New"/>
    <x v="1"/>
    <n v="36"/>
    <n v="0"/>
  </r>
  <r>
    <n v="2905"/>
    <x v="33"/>
    <n v="1233"/>
    <x v="1"/>
    <x v="1"/>
    <x v="0"/>
    <n v="1"/>
    <n v="3717"/>
    <s v="Wallet"/>
    <x v="0"/>
    <x v="0"/>
    <n v="9"/>
    <n v="0"/>
    <n v="0"/>
    <s v="New"/>
    <x v="5"/>
    <n v="31"/>
    <n v="1"/>
  </r>
  <r>
    <n v="2906"/>
    <x v="116"/>
    <n v="1365"/>
    <x v="1"/>
    <x v="2"/>
    <x v="0"/>
    <n v="3"/>
    <n v="0"/>
    <s v="Card"/>
    <x v="2"/>
    <x v="0"/>
    <n v="10"/>
    <n v="0"/>
    <n v="0"/>
    <s v="New"/>
    <x v="3"/>
    <n v="50"/>
    <n v="0"/>
  </r>
  <r>
    <n v="2907"/>
    <x v="120"/>
    <n v="1473"/>
    <x v="0"/>
    <x v="0"/>
    <x v="0"/>
    <n v="4"/>
    <n v="10828"/>
    <s v="Wallet"/>
    <x v="0"/>
    <x v="0"/>
    <n v="2"/>
    <n v="0"/>
    <n v="0"/>
    <s v="New"/>
    <x v="6"/>
    <n v="1"/>
    <n v="1"/>
  </r>
  <r>
    <n v="2908"/>
    <x v="12"/>
    <n v="1803"/>
    <x v="3"/>
    <x v="3"/>
    <x v="2"/>
    <n v="3"/>
    <n v="0"/>
    <s v="Card"/>
    <x v="2"/>
    <x v="1"/>
    <n v="2"/>
    <n v="0"/>
    <n v="0"/>
    <s v="Repeat"/>
    <x v="1"/>
    <n v="38"/>
    <n v="0"/>
  </r>
  <r>
    <n v="2909"/>
    <x v="80"/>
    <n v="1637"/>
    <x v="4"/>
    <x v="3"/>
    <x v="1"/>
    <n v="1"/>
    <n v="1130"/>
    <s v="UPI"/>
    <x v="0"/>
    <x v="0"/>
    <n v="3"/>
    <n v="1"/>
    <n v="0"/>
    <s v="Repeat"/>
    <x v="6"/>
    <n v="2"/>
    <n v="1"/>
  </r>
  <r>
    <n v="2910"/>
    <x v="151"/>
    <n v="1158"/>
    <x v="0"/>
    <x v="0"/>
    <x v="3"/>
    <n v="3"/>
    <n v="0"/>
    <s v="Wallet"/>
    <x v="2"/>
    <x v="3"/>
    <n v="5"/>
    <n v="0"/>
    <n v="1"/>
    <s v="New"/>
    <x v="3"/>
    <n v="52"/>
    <n v="0"/>
  </r>
  <r>
    <n v="2911"/>
    <x v="42"/>
    <n v="1971"/>
    <x v="2"/>
    <x v="0"/>
    <x v="2"/>
    <n v="4"/>
    <n v="0"/>
    <s v="UPI"/>
    <x v="1"/>
    <x v="0"/>
    <n v="3"/>
    <n v="0"/>
    <n v="0"/>
    <s v="Repeat"/>
    <x v="2"/>
    <n v="44"/>
    <n v="0"/>
  </r>
  <r>
    <n v="2912"/>
    <x v="39"/>
    <n v="1285"/>
    <x v="2"/>
    <x v="4"/>
    <x v="1"/>
    <n v="2"/>
    <n v="0"/>
    <s v="COD"/>
    <x v="1"/>
    <x v="1"/>
    <n v="6"/>
    <n v="1"/>
    <n v="1"/>
    <s v="New"/>
    <x v="0"/>
    <n v="34"/>
    <n v="0"/>
  </r>
  <r>
    <n v="2913"/>
    <x v="136"/>
    <n v="1587"/>
    <x v="0"/>
    <x v="3"/>
    <x v="3"/>
    <n v="4"/>
    <n v="19044"/>
    <s v="Card"/>
    <x v="0"/>
    <x v="0"/>
    <n v="6"/>
    <n v="1"/>
    <n v="1"/>
    <s v="Repeat"/>
    <x v="2"/>
    <n v="40"/>
    <n v="1"/>
  </r>
  <r>
    <n v="2914"/>
    <x v="67"/>
    <n v="1299"/>
    <x v="0"/>
    <x v="0"/>
    <x v="0"/>
    <n v="2"/>
    <n v="0"/>
    <s v="COD"/>
    <x v="2"/>
    <x v="3"/>
    <n v="3"/>
    <n v="1"/>
    <n v="0"/>
    <s v="New"/>
    <x v="1"/>
    <n v="36"/>
    <n v="0"/>
  </r>
  <r>
    <n v="2915"/>
    <x v="62"/>
    <n v="1890"/>
    <x v="2"/>
    <x v="4"/>
    <x v="1"/>
    <n v="1"/>
    <n v="0"/>
    <s v="Card"/>
    <x v="2"/>
    <x v="2"/>
    <n v="6"/>
    <n v="0"/>
    <n v="0"/>
    <s v="Repeat"/>
    <x v="2"/>
    <n v="43"/>
    <n v="0"/>
  </r>
  <r>
    <n v="2916"/>
    <x v="135"/>
    <n v="1666"/>
    <x v="0"/>
    <x v="0"/>
    <x v="2"/>
    <n v="5"/>
    <n v="0"/>
    <s v="UPI"/>
    <x v="2"/>
    <x v="1"/>
    <n v="2"/>
    <n v="0"/>
    <n v="1"/>
    <s v="Repeat"/>
    <x v="2"/>
    <n v="43"/>
    <n v="0"/>
  </r>
  <r>
    <n v="2917"/>
    <x v="89"/>
    <n v="1160"/>
    <x v="3"/>
    <x v="3"/>
    <x v="3"/>
    <n v="1"/>
    <n v="0"/>
    <s v="Wallet"/>
    <x v="1"/>
    <x v="1"/>
    <n v="6"/>
    <n v="0"/>
    <n v="0"/>
    <s v="New"/>
    <x v="0"/>
    <n v="35"/>
    <n v="0"/>
  </r>
  <r>
    <n v="2918"/>
    <x v="178"/>
    <n v="1545"/>
    <x v="4"/>
    <x v="2"/>
    <x v="0"/>
    <n v="2"/>
    <n v="0"/>
    <s v="Card"/>
    <x v="1"/>
    <x v="1"/>
    <n v="6"/>
    <n v="0"/>
    <n v="0"/>
    <s v="Repeat"/>
    <x v="4"/>
    <n v="45"/>
    <n v="0"/>
  </r>
  <r>
    <n v="2919"/>
    <x v="123"/>
    <n v="1531"/>
    <x v="2"/>
    <x v="3"/>
    <x v="0"/>
    <n v="4"/>
    <n v="0"/>
    <s v="COD"/>
    <x v="2"/>
    <x v="1"/>
    <n v="1"/>
    <n v="0"/>
    <n v="0"/>
    <s v="New"/>
    <x v="0"/>
    <n v="34"/>
    <n v="0"/>
  </r>
  <r>
    <n v="2920"/>
    <x v="133"/>
    <n v="1628"/>
    <x v="0"/>
    <x v="4"/>
    <x v="2"/>
    <n v="1"/>
    <n v="0"/>
    <s v="Wallet"/>
    <x v="1"/>
    <x v="2"/>
    <n v="4"/>
    <n v="0"/>
    <n v="0"/>
    <s v="Repeat"/>
    <x v="0"/>
    <n v="35"/>
    <n v="0"/>
  </r>
  <r>
    <n v="2921"/>
    <x v="111"/>
    <n v="1870"/>
    <x v="4"/>
    <x v="4"/>
    <x v="3"/>
    <n v="1"/>
    <n v="1960"/>
    <s v="COD"/>
    <x v="0"/>
    <x v="3"/>
    <n v="8"/>
    <n v="1"/>
    <n v="1"/>
    <s v="Repeat"/>
    <x v="4"/>
    <n v="48"/>
    <n v="1"/>
  </r>
  <r>
    <n v="2922"/>
    <x v="31"/>
    <n v="1685"/>
    <x v="3"/>
    <x v="2"/>
    <x v="3"/>
    <n v="3"/>
    <n v="0"/>
    <s v="Card"/>
    <x v="1"/>
    <x v="3"/>
    <n v="2"/>
    <n v="1"/>
    <n v="1"/>
    <s v="Repeat"/>
    <x v="2"/>
    <n v="44"/>
    <n v="0"/>
  </r>
  <r>
    <n v="2923"/>
    <x v="170"/>
    <n v="1998"/>
    <x v="4"/>
    <x v="0"/>
    <x v="0"/>
    <n v="5"/>
    <n v="11575"/>
    <s v="UPI"/>
    <x v="0"/>
    <x v="3"/>
    <n v="10"/>
    <n v="0"/>
    <n v="1"/>
    <s v="New"/>
    <x v="4"/>
    <n v="48"/>
    <n v="1"/>
  </r>
  <r>
    <n v="2924"/>
    <x v="1"/>
    <n v="1116"/>
    <x v="2"/>
    <x v="1"/>
    <x v="2"/>
    <n v="4"/>
    <n v="0"/>
    <s v="UPI"/>
    <x v="1"/>
    <x v="1"/>
    <n v="9"/>
    <n v="1"/>
    <n v="0"/>
    <s v="Repeat"/>
    <x v="1"/>
    <n v="39"/>
    <n v="0"/>
  </r>
  <r>
    <n v="2925"/>
    <x v="174"/>
    <n v="1491"/>
    <x v="2"/>
    <x v="3"/>
    <x v="1"/>
    <n v="4"/>
    <n v="14916"/>
    <s v="UPI"/>
    <x v="0"/>
    <x v="0"/>
    <n v="5"/>
    <n v="1"/>
    <n v="0"/>
    <s v="Repeat"/>
    <x v="5"/>
    <n v="29"/>
    <n v="1"/>
  </r>
  <r>
    <n v="2926"/>
    <x v="173"/>
    <n v="1109"/>
    <x v="3"/>
    <x v="0"/>
    <x v="2"/>
    <n v="1"/>
    <n v="0"/>
    <s v="Card"/>
    <x v="2"/>
    <x v="1"/>
    <n v="1"/>
    <n v="0"/>
    <n v="0"/>
    <s v="Repeat"/>
    <x v="5"/>
    <n v="30"/>
    <n v="0"/>
  </r>
  <r>
    <n v="2927"/>
    <x v="29"/>
    <n v="1237"/>
    <x v="3"/>
    <x v="1"/>
    <x v="2"/>
    <n v="1"/>
    <n v="0"/>
    <s v="COD"/>
    <x v="1"/>
    <x v="1"/>
    <n v="7"/>
    <n v="0"/>
    <n v="0"/>
    <s v="New"/>
    <x v="1"/>
    <n v="39"/>
    <n v="0"/>
  </r>
  <r>
    <n v="2928"/>
    <x v="160"/>
    <n v="1709"/>
    <x v="1"/>
    <x v="4"/>
    <x v="3"/>
    <n v="5"/>
    <n v="0"/>
    <s v="UPI"/>
    <x v="1"/>
    <x v="2"/>
    <n v="2"/>
    <n v="0"/>
    <n v="1"/>
    <s v="New"/>
    <x v="4"/>
    <n v="47"/>
    <n v="0"/>
  </r>
  <r>
    <n v="2929"/>
    <x v="1"/>
    <n v="1447"/>
    <x v="4"/>
    <x v="0"/>
    <x v="1"/>
    <n v="1"/>
    <n v="0"/>
    <s v="COD"/>
    <x v="2"/>
    <x v="2"/>
    <n v="4"/>
    <n v="0"/>
    <n v="0"/>
    <s v="New"/>
    <x v="1"/>
    <n v="39"/>
    <n v="0"/>
  </r>
  <r>
    <n v="2930"/>
    <x v="174"/>
    <n v="1176"/>
    <x v="1"/>
    <x v="1"/>
    <x v="3"/>
    <n v="2"/>
    <n v="1834"/>
    <s v="Card"/>
    <x v="0"/>
    <x v="3"/>
    <n v="1"/>
    <n v="0"/>
    <n v="1"/>
    <s v="Repeat"/>
    <x v="5"/>
    <n v="29"/>
    <n v="1"/>
  </r>
  <r>
    <n v="2931"/>
    <x v="4"/>
    <n v="1393"/>
    <x v="1"/>
    <x v="4"/>
    <x v="1"/>
    <n v="4"/>
    <n v="0"/>
    <s v="COD"/>
    <x v="1"/>
    <x v="2"/>
    <n v="10"/>
    <n v="1"/>
    <n v="1"/>
    <s v="New"/>
    <x v="3"/>
    <n v="50"/>
    <n v="0"/>
  </r>
  <r>
    <n v="2932"/>
    <x v="164"/>
    <n v="1533"/>
    <x v="3"/>
    <x v="0"/>
    <x v="2"/>
    <n v="1"/>
    <n v="2467"/>
    <s v="Card"/>
    <x v="0"/>
    <x v="2"/>
    <n v="3"/>
    <n v="0"/>
    <n v="0"/>
    <s v="New"/>
    <x v="0"/>
    <n v="34"/>
    <n v="1"/>
  </r>
  <r>
    <n v="2933"/>
    <x v="10"/>
    <n v="1249"/>
    <x v="2"/>
    <x v="4"/>
    <x v="1"/>
    <n v="5"/>
    <n v="0"/>
    <s v="UPI"/>
    <x v="2"/>
    <x v="2"/>
    <n v="2"/>
    <n v="1"/>
    <n v="0"/>
    <s v="New"/>
    <x v="3"/>
    <n v="49"/>
    <n v="0"/>
  </r>
  <r>
    <n v="2934"/>
    <x v="21"/>
    <n v="1753"/>
    <x v="2"/>
    <x v="0"/>
    <x v="1"/>
    <n v="4"/>
    <n v="8604"/>
    <s v="UPI"/>
    <x v="0"/>
    <x v="3"/>
    <n v="1"/>
    <n v="1"/>
    <n v="1"/>
    <s v="Repeat"/>
    <x v="2"/>
    <n v="43"/>
    <n v="1"/>
  </r>
  <r>
    <n v="2935"/>
    <x v="30"/>
    <n v="1857"/>
    <x v="2"/>
    <x v="4"/>
    <x v="3"/>
    <n v="4"/>
    <n v="0"/>
    <s v="COD"/>
    <x v="2"/>
    <x v="0"/>
    <n v="3"/>
    <n v="1"/>
    <n v="0"/>
    <s v="Repeat"/>
    <x v="3"/>
    <n v="51"/>
    <n v="0"/>
  </r>
  <r>
    <n v="2936"/>
    <x v="180"/>
    <n v="1769"/>
    <x v="4"/>
    <x v="0"/>
    <x v="3"/>
    <n v="1"/>
    <n v="761"/>
    <s v="UPI"/>
    <x v="0"/>
    <x v="2"/>
    <n v="4"/>
    <n v="1"/>
    <n v="1"/>
    <s v="Repeat"/>
    <x v="4"/>
    <n v="46"/>
    <n v="1"/>
  </r>
  <r>
    <n v="2937"/>
    <x v="52"/>
    <n v="1939"/>
    <x v="3"/>
    <x v="4"/>
    <x v="1"/>
    <n v="5"/>
    <n v="0"/>
    <s v="UPI"/>
    <x v="1"/>
    <x v="2"/>
    <n v="3"/>
    <n v="0"/>
    <n v="1"/>
    <s v="Repeat"/>
    <x v="4"/>
    <n v="44"/>
    <n v="0"/>
  </r>
  <r>
    <n v="2938"/>
    <x v="48"/>
    <n v="1221"/>
    <x v="1"/>
    <x v="0"/>
    <x v="3"/>
    <n v="5"/>
    <n v="22375"/>
    <s v="Card"/>
    <x v="0"/>
    <x v="3"/>
    <n v="10"/>
    <n v="1"/>
    <n v="1"/>
    <s v="Repeat"/>
    <x v="3"/>
    <n v="50"/>
    <n v="1"/>
  </r>
  <r>
    <n v="2939"/>
    <x v="20"/>
    <n v="1717"/>
    <x v="0"/>
    <x v="4"/>
    <x v="2"/>
    <n v="3"/>
    <n v="4515"/>
    <s v="Card"/>
    <x v="0"/>
    <x v="2"/>
    <n v="3"/>
    <n v="1"/>
    <n v="1"/>
    <s v="Repeat"/>
    <x v="0"/>
    <n v="32"/>
    <n v="1"/>
  </r>
  <r>
    <n v="2940"/>
    <x v="130"/>
    <n v="1276"/>
    <x v="1"/>
    <x v="2"/>
    <x v="0"/>
    <n v="4"/>
    <n v="0"/>
    <s v="UPI"/>
    <x v="1"/>
    <x v="2"/>
    <n v="2"/>
    <n v="0"/>
    <n v="1"/>
    <s v="New"/>
    <x v="3"/>
    <n v="51"/>
    <n v="0"/>
  </r>
  <r>
    <n v="2941"/>
    <x v="3"/>
    <n v="1449"/>
    <x v="4"/>
    <x v="4"/>
    <x v="0"/>
    <n v="4"/>
    <n v="4420"/>
    <s v="UPI"/>
    <x v="0"/>
    <x v="2"/>
    <n v="2"/>
    <n v="0"/>
    <n v="0"/>
    <s v="Repeat"/>
    <x v="0"/>
    <n v="32"/>
    <n v="1"/>
  </r>
  <r>
    <n v="2942"/>
    <x v="36"/>
    <n v="1535"/>
    <x v="2"/>
    <x v="0"/>
    <x v="3"/>
    <n v="3"/>
    <n v="0"/>
    <s v="Wallet"/>
    <x v="1"/>
    <x v="3"/>
    <n v="3"/>
    <n v="0"/>
    <n v="0"/>
    <s v="Repeat"/>
    <x v="2"/>
    <n v="44"/>
    <n v="0"/>
  </r>
  <r>
    <n v="2943"/>
    <x v="138"/>
    <n v="1947"/>
    <x v="3"/>
    <x v="0"/>
    <x v="1"/>
    <n v="5"/>
    <n v="0"/>
    <s v="Wallet"/>
    <x v="2"/>
    <x v="3"/>
    <n v="9"/>
    <n v="1"/>
    <n v="1"/>
    <s v="Repeat"/>
    <x v="2"/>
    <n v="44"/>
    <n v="0"/>
  </r>
  <r>
    <n v="2944"/>
    <x v="145"/>
    <n v="1044"/>
    <x v="3"/>
    <x v="4"/>
    <x v="3"/>
    <n v="3"/>
    <n v="0"/>
    <s v="Card"/>
    <x v="2"/>
    <x v="1"/>
    <n v="6"/>
    <n v="0"/>
    <n v="0"/>
    <s v="Repeat"/>
    <x v="4"/>
    <n v="48"/>
    <n v="0"/>
  </r>
  <r>
    <n v="2945"/>
    <x v="156"/>
    <n v="1516"/>
    <x v="2"/>
    <x v="2"/>
    <x v="3"/>
    <n v="5"/>
    <n v="0"/>
    <s v="COD"/>
    <x v="2"/>
    <x v="1"/>
    <n v="2"/>
    <n v="1"/>
    <n v="0"/>
    <s v="Repeat"/>
    <x v="6"/>
    <n v="2"/>
    <n v="0"/>
  </r>
  <r>
    <n v="2946"/>
    <x v="34"/>
    <n v="1731"/>
    <x v="4"/>
    <x v="2"/>
    <x v="0"/>
    <n v="1"/>
    <n v="0"/>
    <s v="Wallet"/>
    <x v="2"/>
    <x v="1"/>
    <n v="1"/>
    <n v="0"/>
    <n v="1"/>
    <s v="New"/>
    <x v="3"/>
    <n v="51"/>
    <n v="0"/>
  </r>
  <r>
    <n v="2947"/>
    <x v="102"/>
    <n v="1739"/>
    <x v="4"/>
    <x v="4"/>
    <x v="2"/>
    <n v="2"/>
    <n v="628"/>
    <s v="Wallet"/>
    <x v="0"/>
    <x v="0"/>
    <n v="2"/>
    <n v="1"/>
    <n v="0"/>
    <s v="Repeat"/>
    <x v="3"/>
    <n v="50"/>
    <n v="1"/>
  </r>
  <r>
    <n v="2948"/>
    <x v="41"/>
    <n v="1469"/>
    <x v="0"/>
    <x v="2"/>
    <x v="1"/>
    <n v="4"/>
    <n v="0"/>
    <s v="UPI"/>
    <x v="2"/>
    <x v="3"/>
    <n v="8"/>
    <n v="0"/>
    <n v="0"/>
    <s v="New"/>
    <x v="1"/>
    <n v="37"/>
    <n v="0"/>
  </r>
  <r>
    <n v="2949"/>
    <x v="38"/>
    <n v="1558"/>
    <x v="4"/>
    <x v="3"/>
    <x v="3"/>
    <n v="1"/>
    <n v="4759"/>
    <s v="Wallet"/>
    <x v="0"/>
    <x v="2"/>
    <n v="7"/>
    <n v="1"/>
    <n v="1"/>
    <s v="New"/>
    <x v="1"/>
    <n v="39"/>
    <n v="1"/>
  </r>
  <r>
    <n v="2950"/>
    <x v="79"/>
    <n v="1897"/>
    <x v="4"/>
    <x v="0"/>
    <x v="2"/>
    <n v="2"/>
    <n v="9356"/>
    <s v="COD"/>
    <x v="0"/>
    <x v="3"/>
    <n v="2"/>
    <n v="0"/>
    <n v="1"/>
    <s v="New"/>
    <x v="1"/>
    <n v="36"/>
    <n v="1"/>
  </r>
  <r>
    <n v="2951"/>
    <x v="42"/>
    <n v="1051"/>
    <x v="0"/>
    <x v="2"/>
    <x v="2"/>
    <n v="1"/>
    <n v="0"/>
    <s v="Wallet"/>
    <x v="1"/>
    <x v="3"/>
    <n v="7"/>
    <n v="1"/>
    <n v="0"/>
    <s v="Repeat"/>
    <x v="2"/>
    <n v="44"/>
    <n v="0"/>
  </r>
  <r>
    <n v="2952"/>
    <x v="112"/>
    <n v="1051"/>
    <x v="0"/>
    <x v="3"/>
    <x v="3"/>
    <n v="1"/>
    <n v="0"/>
    <s v="UPI"/>
    <x v="1"/>
    <x v="2"/>
    <n v="3"/>
    <n v="1"/>
    <n v="0"/>
    <s v="Repeat"/>
    <x v="5"/>
    <n v="30"/>
    <n v="0"/>
  </r>
  <r>
    <n v="2953"/>
    <x v="22"/>
    <n v="1861"/>
    <x v="1"/>
    <x v="1"/>
    <x v="1"/>
    <n v="4"/>
    <n v="7436"/>
    <s v="COD"/>
    <x v="0"/>
    <x v="0"/>
    <n v="2"/>
    <n v="1"/>
    <n v="1"/>
    <s v="Repeat"/>
    <x v="6"/>
    <n v="2"/>
    <n v="1"/>
  </r>
  <r>
    <n v="2954"/>
    <x v="84"/>
    <n v="1093"/>
    <x v="3"/>
    <x v="4"/>
    <x v="3"/>
    <n v="3"/>
    <n v="2562"/>
    <s v="UPI"/>
    <x v="0"/>
    <x v="2"/>
    <n v="5"/>
    <n v="1"/>
    <n v="0"/>
    <s v="Repeat"/>
    <x v="2"/>
    <n v="41"/>
    <n v="1"/>
  </r>
  <r>
    <n v="2955"/>
    <x v="2"/>
    <n v="1452"/>
    <x v="0"/>
    <x v="1"/>
    <x v="3"/>
    <n v="1"/>
    <n v="0"/>
    <s v="Card"/>
    <x v="1"/>
    <x v="3"/>
    <n v="3"/>
    <n v="1"/>
    <n v="1"/>
    <s v="New"/>
    <x v="2"/>
    <n v="41"/>
    <n v="0"/>
  </r>
  <r>
    <n v="2956"/>
    <x v="118"/>
    <n v="1454"/>
    <x v="0"/>
    <x v="3"/>
    <x v="1"/>
    <n v="3"/>
    <n v="0"/>
    <s v="COD"/>
    <x v="2"/>
    <x v="1"/>
    <n v="1"/>
    <n v="1"/>
    <n v="1"/>
    <s v="Repeat"/>
    <x v="0"/>
    <n v="35"/>
    <n v="0"/>
  </r>
  <r>
    <n v="2957"/>
    <x v="152"/>
    <n v="1860"/>
    <x v="3"/>
    <x v="3"/>
    <x v="2"/>
    <n v="1"/>
    <n v="687"/>
    <s v="Card"/>
    <x v="0"/>
    <x v="1"/>
    <n v="1"/>
    <n v="1"/>
    <n v="1"/>
    <s v="New"/>
    <x v="2"/>
    <n v="42"/>
    <n v="1"/>
  </r>
  <r>
    <n v="2958"/>
    <x v="116"/>
    <n v="1645"/>
    <x v="1"/>
    <x v="3"/>
    <x v="0"/>
    <n v="2"/>
    <n v="0"/>
    <s v="COD"/>
    <x v="2"/>
    <x v="1"/>
    <n v="3"/>
    <n v="0"/>
    <n v="0"/>
    <s v="Repeat"/>
    <x v="3"/>
    <n v="50"/>
    <n v="0"/>
  </r>
  <r>
    <n v="2959"/>
    <x v="19"/>
    <n v="1729"/>
    <x v="2"/>
    <x v="3"/>
    <x v="3"/>
    <n v="4"/>
    <n v="0"/>
    <s v="Wallet"/>
    <x v="2"/>
    <x v="1"/>
    <n v="4"/>
    <n v="0"/>
    <n v="0"/>
    <s v="Repeat"/>
    <x v="0"/>
    <n v="33"/>
    <n v="0"/>
  </r>
  <r>
    <n v="2960"/>
    <x v="67"/>
    <n v="1407"/>
    <x v="1"/>
    <x v="0"/>
    <x v="2"/>
    <n v="5"/>
    <n v="0"/>
    <s v="Card"/>
    <x v="2"/>
    <x v="0"/>
    <n v="5"/>
    <n v="0"/>
    <n v="0"/>
    <s v="Repeat"/>
    <x v="1"/>
    <n v="36"/>
    <n v="0"/>
  </r>
  <r>
    <n v="2961"/>
    <x v="175"/>
    <n v="1570"/>
    <x v="1"/>
    <x v="0"/>
    <x v="0"/>
    <n v="4"/>
    <n v="0"/>
    <s v="UPI"/>
    <x v="1"/>
    <x v="2"/>
    <n v="3"/>
    <n v="0"/>
    <n v="0"/>
    <s v="New"/>
    <x v="5"/>
    <n v="31"/>
    <n v="0"/>
  </r>
  <r>
    <n v="2962"/>
    <x v="175"/>
    <n v="1617"/>
    <x v="3"/>
    <x v="3"/>
    <x v="0"/>
    <n v="4"/>
    <n v="0"/>
    <s v="COD"/>
    <x v="2"/>
    <x v="3"/>
    <n v="7"/>
    <n v="0"/>
    <n v="1"/>
    <s v="Repeat"/>
    <x v="5"/>
    <n v="31"/>
    <n v="0"/>
  </r>
  <r>
    <n v="2963"/>
    <x v="171"/>
    <n v="1255"/>
    <x v="4"/>
    <x v="3"/>
    <x v="0"/>
    <n v="1"/>
    <n v="0"/>
    <s v="Card"/>
    <x v="2"/>
    <x v="3"/>
    <n v="9"/>
    <n v="0"/>
    <n v="1"/>
    <s v="New"/>
    <x v="1"/>
    <n v="36"/>
    <n v="0"/>
  </r>
  <r>
    <n v="2964"/>
    <x v="103"/>
    <n v="1276"/>
    <x v="1"/>
    <x v="0"/>
    <x v="2"/>
    <n v="3"/>
    <n v="0"/>
    <s v="UPI"/>
    <x v="2"/>
    <x v="1"/>
    <n v="8"/>
    <n v="0"/>
    <n v="1"/>
    <s v="Repeat"/>
    <x v="1"/>
    <n v="38"/>
    <n v="0"/>
  </r>
  <r>
    <n v="2965"/>
    <x v="76"/>
    <n v="1868"/>
    <x v="0"/>
    <x v="2"/>
    <x v="2"/>
    <n v="3"/>
    <n v="0"/>
    <s v="COD"/>
    <x v="1"/>
    <x v="3"/>
    <n v="8"/>
    <n v="1"/>
    <n v="1"/>
    <s v="New"/>
    <x v="3"/>
    <n v="50"/>
    <n v="0"/>
  </r>
  <r>
    <n v="2966"/>
    <x v="176"/>
    <n v="1245"/>
    <x v="3"/>
    <x v="3"/>
    <x v="3"/>
    <n v="2"/>
    <n v="0"/>
    <s v="Wallet"/>
    <x v="2"/>
    <x v="0"/>
    <n v="1"/>
    <n v="1"/>
    <n v="1"/>
    <s v="Repeat"/>
    <x v="3"/>
    <n v="51"/>
    <n v="0"/>
  </r>
  <r>
    <n v="2967"/>
    <x v="49"/>
    <n v="1297"/>
    <x v="2"/>
    <x v="0"/>
    <x v="3"/>
    <n v="5"/>
    <n v="24940"/>
    <s v="UPI"/>
    <x v="0"/>
    <x v="0"/>
    <n v="6"/>
    <n v="1"/>
    <n v="0"/>
    <s v="Repeat"/>
    <x v="0"/>
    <n v="36"/>
    <n v="1"/>
  </r>
  <r>
    <n v="2968"/>
    <x v="82"/>
    <n v="1460"/>
    <x v="4"/>
    <x v="3"/>
    <x v="1"/>
    <n v="5"/>
    <n v="0"/>
    <s v="UPI"/>
    <x v="1"/>
    <x v="3"/>
    <n v="3"/>
    <n v="0"/>
    <n v="1"/>
    <s v="New"/>
    <x v="0"/>
    <n v="33"/>
    <n v="0"/>
  </r>
  <r>
    <n v="2969"/>
    <x v="73"/>
    <n v="1772"/>
    <x v="1"/>
    <x v="0"/>
    <x v="2"/>
    <n v="4"/>
    <n v="5376"/>
    <s v="Card"/>
    <x v="0"/>
    <x v="3"/>
    <n v="8"/>
    <n v="1"/>
    <n v="1"/>
    <s v="New"/>
    <x v="4"/>
    <n v="45"/>
    <n v="1"/>
  </r>
  <r>
    <n v="2970"/>
    <x v="51"/>
    <n v="1288"/>
    <x v="1"/>
    <x v="3"/>
    <x v="3"/>
    <n v="3"/>
    <n v="0"/>
    <s v="Card"/>
    <x v="1"/>
    <x v="2"/>
    <n v="4"/>
    <n v="0"/>
    <n v="0"/>
    <s v="New"/>
    <x v="5"/>
    <n v="29"/>
    <n v="0"/>
  </r>
  <r>
    <n v="2971"/>
    <x v="58"/>
    <n v="1902"/>
    <x v="4"/>
    <x v="0"/>
    <x v="1"/>
    <n v="5"/>
    <n v="0"/>
    <s v="Wallet"/>
    <x v="1"/>
    <x v="1"/>
    <n v="4"/>
    <n v="0"/>
    <n v="1"/>
    <s v="New"/>
    <x v="5"/>
    <n v="31"/>
    <n v="0"/>
  </r>
  <r>
    <n v="2972"/>
    <x v="48"/>
    <n v="1846"/>
    <x v="4"/>
    <x v="1"/>
    <x v="1"/>
    <n v="5"/>
    <n v="8795"/>
    <s v="Wallet"/>
    <x v="0"/>
    <x v="3"/>
    <n v="7"/>
    <n v="0"/>
    <n v="0"/>
    <s v="New"/>
    <x v="3"/>
    <n v="50"/>
    <n v="1"/>
  </r>
  <r>
    <n v="2973"/>
    <x v="38"/>
    <n v="1942"/>
    <x v="1"/>
    <x v="4"/>
    <x v="0"/>
    <n v="5"/>
    <n v="0"/>
    <s v="UPI"/>
    <x v="2"/>
    <x v="0"/>
    <n v="4"/>
    <n v="1"/>
    <n v="0"/>
    <s v="Repeat"/>
    <x v="1"/>
    <n v="39"/>
    <n v="0"/>
  </r>
  <r>
    <n v="2974"/>
    <x v="161"/>
    <n v="1763"/>
    <x v="0"/>
    <x v="3"/>
    <x v="2"/>
    <n v="4"/>
    <n v="0"/>
    <s v="Card"/>
    <x v="2"/>
    <x v="3"/>
    <n v="9"/>
    <n v="0"/>
    <n v="1"/>
    <s v="New"/>
    <x v="2"/>
    <n v="41"/>
    <n v="0"/>
  </r>
  <r>
    <n v="2975"/>
    <x v="93"/>
    <n v="1083"/>
    <x v="4"/>
    <x v="0"/>
    <x v="1"/>
    <n v="2"/>
    <n v="3204"/>
    <s v="COD"/>
    <x v="0"/>
    <x v="2"/>
    <n v="8"/>
    <n v="1"/>
    <n v="1"/>
    <s v="Repeat"/>
    <x v="3"/>
    <n v="53"/>
    <n v="1"/>
  </r>
  <r>
    <n v="2976"/>
    <x v="34"/>
    <n v="1395"/>
    <x v="4"/>
    <x v="3"/>
    <x v="1"/>
    <n v="2"/>
    <n v="0"/>
    <s v="Wallet"/>
    <x v="2"/>
    <x v="3"/>
    <n v="2"/>
    <n v="1"/>
    <n v="1"/>
    <s v="Repeat"/>
    <x v="3"/>
    <n v="51"/>
    <n v="0"/>
  </r>
  <r>
    <n v="2977"/>
    <x v="140"/>
    <n v="1578"/>
    <x v="4"/>
    <x v="0"/>
    <x v="1"/>
    <n v="5"/>
    <n v="16990"/>
    <s v="COD"/>
    <x v="0"/>
    <x v="1"/>
    <n v="4"/>
    <n v="1"/>
    <n v="1"/>
    <s v="New"/>
    <x v="4"/>
    <n v="48"/>
    <n v="1"/>
  </r>
  <r>
    <n v="2978"/>
    <x v="142"/>
    <n v="1341"/>
    <x v="3"/>
    <x v="1"/>
    <x v="3"/>
    <n v="3"/>
    <n v="663"/>
    <s v="UPI"/>
    <x v="0"/>
    <x v="1"/>
    <n v="9"/>
    <n v="0"/>
    <n v="0"/>
    <s v="Repeat"/>
    <x v="2"/>
    <n v="42"/>
    <n v="1"/>
  </r>
  <r>
    <n v="2979"/>
    <x v="27"/>
    <n v="1654"/>
    <x v="0"/>
    <x v="3"/>
    <x v="3"/>
    <n v="3"/>
    <n v="6672"/>
    <s v="Wallet"/>
    <x v="0"/>
    <x v="1"/>
    <n v="1"/>
    <n v="0"/>
    <n v="1"/>
    <s v="Repeat"/>
    <x v="1"/>
    <n v="37"/>
    <n v="1"/>
  </r>
  <r>
    <n v="2980"/>
    <x v="176"/>
    <n v="1209"/>
    <x v="2"/>
    <x v="0"/>
    <x v="1"/>
    <n v="5"/>
    <n v="2730"/>
    <s v="Wallet"/>
    <x v="0"/>
    <x v="2"/>
    <n v="4"/>
    <n v="0"/>
    <n v="1"/>
    <s v="Repeat"/>
    <x v="3"/>
    <n v="51"/>
    <n v="1"/>
  </r>
  <r>
    <n v="2981"/>
    <x v="121"/>
    <n v="1076"/>
    <x v="1"/>
    <x v="4"/>
    <x v="3"/>
    <n v="4"/>
    <n v="10500"/>
    <s v="UPI"/>
    <x v="0"/>
    <x v="2"/>
    <n v="1"/>
    <n v="1"/>
    <n v="1"/>
    <s v="Repeat"/>
    <x v="1"/>
    <n v="37"/>
    <n v="1"/>
  </r>
  <r>
    <n v="2982"/>
    <x v="142"/>
    <n v="1158"/>
    <x v="0"/>
    <x v="0"/>
    <x v="1"/>
    <n v="3"/>
    <n v="0"/>
    <s v="Card"/>
    <x v="1"/>
    <x v="0"/>
    <n v="3"/>
    <n v="0"/>
    <n v="1"/>
    <s v="Repeat"/>
    <x v="2"/>
    <n v="42"/>
    <n v="0"/>
  </r>
  <r>
    <n v="2983"/>
    <x v="101"/>
    <n v="1220"/>
    <x v="1"/>
    <x v="2"/>
    <x v="1"/>
    <n v="4"/>
    <n v="0"/>
    <s v="Card"/>
    <x v="1"/>
    <x v="0"/>
    <n v="1"/>
    <n v="0"/>
    <n v="0"/>
    <s v="New"/>
    <x v="3"/>
    <n v="49"/>
    <n v="0"/>
  </r>
  <r>
    <n v="2984"/>
    <x v="47"/>
    <n v="1820"/>
    <x v="3"/>
    <x v="4"/>
    <x v="2"/>
    <n v="3"/>
    <n v="0"/>
    <s v="UPI"/>
    <x v="1"/>
    <x v="0"/>
    <n v="9"/>
    <n v="0"/>
    <n v="1"/>
    <s v="New"/>
    <x v="6"/>
    <n v="2"/>
    <n v="0"/>
  </r>
  <r>
    <n v="2985"/>
    <x v="151"/>
    <n v="1988"/>
    <x v="4"/>
    <x v="4"/>
    <x v="1"/>
    <n v="2"/>
    <n v="0"/>
    <s v="Card"/>
    <x v="2"/>
    <x v="0"/>
    <n v="7"/>
    <n v="1"/>
    <n v="0"/>
    <s v="New"/>
    <x v="3"/>
    <n v="52"/>
    <n v="0"/>
  </r>
  <r>
    <n v="2986"/>
    <x v="70"/>
    <n v="1097"/>
    <x v="1"/>
    <x v="1"/>
    <x v="2"/>
    <n v="5"/>
    <n v="8220"/>
    <s v="UPI"/>
    <x v="0"/>
    <x v="1"/>
    <n v="7"/>
    <n v="0"/>
    <n v="0"/>
    <s v="New"/>
    <x v="2"/>
    <n v="40"/>
    <n v="1"/>
  </r>
  <r>
    <n v="2987"/>
    <x v="166"/>
    <n v="1372"/>
    <x v="4"/>
    <x v="3"/>
    <x v="3"/>
    <n v="5"/>
    <n v="11230"/>
    <s v="COD"/>
    <x v="0"/>
    <x v="0"/>
    <n v="5"/>
    <n v="1"/>
    <n v="1"/>
    <s v="New"/>
    <x v="1"/>
    <n v="39"/>
    <n v="1"/>
  </r>
  <r>
    <n v="2988"/>
    <x v="1"/>
    <n v="1834"/>
    <x v="4"/>
    <x v="3"/>
    <x v="0"/>
    <n v="5"/>
    <n v="0"/>
    <s v="UPI"/>
    <x v="1"/>
    <x v="2"/>
    <n v="9"/>
    <n v="1"/>
    <n v="0"/>
    <s v="Repeat"/>
    <x v="1"/>
    <n v="39"/>
    <n v="0"/>
  </r>
  <r>
    <n v="2989"/>
    <x v="113"/>
    <n v="1595"/>
    <x v="3"/>
    <x v="4"/>
    <x v="3"/>
    <n v="4"/>
    <n v="9364"/>
    <s v="COD"/>
    <x v="0"/>
    <x v="1"/>
    <n v="6"/>
    <n v="1"/>
    <n v="1"/>
    <s v="New"/>
    <x v="0"/>
    <n v="33"/>
    <n v="1"/>
  </r>
  <r>
    <n v="2990"/>
    <x v="154"/>
    <n v="1064"/>
    <x v="3"/>
    <x v="1"/>
    <x v="3"/>
    <n v="4"/>
    <n v="0"/>
    <s v="Card"/>
    <x v="2"/>
    <x v="2"/>
    <n v="3"/>
    <n v="1"/>
    <n v="0"/>
    <s v="Repeat"/>
    <x v="2"/>
    <n v="42"/>
    <n v="0"/>
  </r>
  <r>
    <n v="2991"/>
    <x v="166"/>
    <n v="1812"/>
    <x v="1"/>
    <x v="4"/>
    <x v="2"/>
    <n v="2"/>
    <n v="0"/>
    <s v="COD"/>
    <x v="2"/>
    <x v="2"/>
    <n v="6"/>
    <n v="1"/>
    <n v="1"/>
    <s v="New"/>
    <x v="1"/>
    <n v="39"/>
    <n v="0"/>
  </r>
  <r>
    <n v="2992"/>
    <x v="107"/>
    <n v="1122"/>
    <x v="1"/>
    <x v="1"/>
    <x v="2"/>
    <n v="5"/>
    <n v="0"/>
    <s v="COD"/>
    <x v="1"/>
    <x v="1"/>
    <n v="4"/>
    <n v="0"/>
    <n v="0"/>
    <s v="New"/>
    <x v="4"/>
    <n v="45"/>
    <n v="0"/>
  </r>
  <r>
    <n v="2993"/>
    <x v="170"/>
    <n v="1185"/>
    <x v="1"/>
    <x v="1"/>
    <x v="2"/>
    <n v="3"/>
    <n v="2925"/>
    <s v="COD"/>
    <x v="0"/>
    <x v="3"/>
    <n v="9"/>
    <n v="1"/>
    <n v="0"/>
    <s v="New"/>
    <x v="4"/>
    <n v="48"/>
    <n v="1"/>
  </r>
  <r>
    <n v="2994"/>
    <x v="81"/>
    <n v="1556"/>
    <x v="4"/>
    <x v="3"/>
    <x v="0"/>
    <n v="1"/>
    <n v="0"/>
    <s v="Wallet"/>
    <x v="2"/>
    <x v="1"/>
    <n v="10"/>
    <n v="0"/>
    <n v="1"/>
    <s v="New"/>
    <x v="0"/>
    <n v="33"/>
    <n v="0"/>
  </r>
  <r>
    <n v="2995"/>
    <x v="81"/>
    <n v="1231"/>
    <x v="1"/>
    <x v="2"/>
    <x v="2"/>
    <n v="3"/>
    <n v="5145"/>
    <s v="Card"/>
    <x v="0"/>
    <x v="1"/>
    <n v="3"/>
    <n v="1"/>
    <n v="1"/>
    <s v="Repeat"/>
    <x v="0"/>
    <n v="33"/>
    <n v="1"/>
  </r>
  <r>
    <n v="2996"/>
    <x v="10"/>
    <n v="1244"/>
    <x v="3"/>
    <x v="0"/>
    <x v="0"/>
    <n v="2"/>
    <n v="0"/>
    <s v="Wallet"/>
    <x v="1"/>
    <x v="2"/>
    <n v="9"/>
    <n v="1"/>
    <n v="0"/>
    <s v="New"/>
    <x v="3"/>
    <n v="49"/>
    <n v="0"/>
  </r>
  <r>
    <n v="2997"/>
    <x v="18"/>
    <n v="1290"/>
    <x v="1"/>
    <x v="3"/>
    <x v="2"/>
    <n v="2"/>
    <n v="0"/>
    <s v="Wallet"/>
    <x v="2"/>
    <x v="1"/>
    <n v="1"/>
    <n v="0"/>
    <n v="0"/>
    <s v="Repeat"/>
    <x v="1"/>
    <n v="36"/>
    <n v="0"/>
  </r>
  <r>
    <n v="2998"/>
    <x v="11"/>
    <n v="1437"/>
    <x v="3"/>
    <x v="1"/>
    <x v="1"/>
    <n v="4"/>
    <n v="0"/>
    <s v="UPI"/>
    <x v="2"/>
    <x v="3"/>
    <n v="7"/>
    <n v="1"/>
    <n v="0"/>
    <s v="Repeat"/>
    <x v="0"/>
    <n v="35"/>
    <n v="0"/>
  </r>
  <r>
    <n v="2999"/>
    <x v="138"/>
    <n v="1202"/>
    <x v="4"/>
    <x v="0"/>
    <x v="0"/>
    <n v="1"/>
    <n v="0"/>
    <s v="COD"/>
    <x v="1"/>
    <x v="0"/>
    <n v="4"/>
    <n v="0"/>
    <n v="1"/>
    <s v="New"/>
    <x v="2"/>
    <n v="44"/>
    <n v="0"/>
  </r>
  <r>
    <n v="3000"/>
    <x v="141"/>
    <n v="1322"/>
    <x v="1"/>
    <x v="0"/>
    <x v="3"/>
    <n v="1"/>
    <n v="0"/>
    <s v="Wallet"/>
    <x v="2"/>
    <x v="1"/>
    <n v="3"/>
    <n v="0"/>
    <n v="1"/>
    <s v="New"/>
    <x v="1"/>
    <n v="39"/>
    <n v="0"/>
  </r>
  <r>
    <n v="3001"/>
    <x v="142"/>
    <n v="1465"/>
    <x v="0"/>
    <x v="2"/>
    <x v="1"/>
    <n v="1"/>
    <n v="0"/>
    <s v="Card"/>
    <x v="1"/>
    <x v="3"/>
    <n v="8"/>
    <n v="0"/>
    <n v="1"/>
    <s v="New"/>
    <x v="2"/>
    <n v="42"/>
    <n v="0"/>
  </r>
  <r>
    <n v="3002"/>
    <x v="86"/>
    <n v="1938"/>
    <x v="4"/>
    <x v="2"/>
    <x v="1"/>
    <n v="5"/>
    <n v="0"/>
    <s v="Wallet"/>
    <x v="2"/>
    <x v="3"/>
    <n v="2"/>
    <n v="0"/>
    <n v="1"/>
    <s v="Repeat"/>
    <x v="6"/>
    <n v="1"/>
    <n v="0"/>
  </r>
  <r>
    <n v="3003"/>
    <x v="176"/>
    <n v="1883"/>
    <x v="4"/>
    <x v="0"/>
    <x v="1"/>
    <n v="2"/>
    <n v="4600"/>
    <s v="COD"/>
    <x v="0"/>
    <x v="2"/>
    <n v="10"/>
    <n v="1"/>
    <n v="0"/>
    <s v="Repeat"/>
    <x v="3"/>
    <n v="51"/>
    <n v="1"/>
  </r>
  <r>
    <n v="3004"/>
    <x v="57"/>
    <n v="1059"/>
    <x v="1"/>
    <x v="0"/>
    <x v="3"/>
    <n v="1"/>
    <n v="2026"/>
    <s v="UPI"/>
    <x v="0"/>
    <x v="1"/>
    <n v="5"/>
    <n v="1"/>
    <n v="1"/>
    <s v="Repeat"/>
    <x v="4"/>
    <n v="48"/>
    <n v="1"/>
  </r>
  <r>
    <n v="3005"/>
    <x v="52"/>
    <n v="1585"/>
    <x v="3"/>
    <x v="3"/>
    <x v="2"/>
    <n v="5"/>
    <n v="0"/>
    <s v="UPI"/>
    <x v="1"/>
    <x v="0"/>
    <n v="5"/>
    <n v="1"/>
    <n v="0"/>
    <s v="New"/>
    <x v="4"/>
    <n v="44"/>
    <n v="0"/>
  </r>
  <r>
    <n v="3006"/>
    <x v="56"/>
    <n v="1946"/>
    <x v="4"/>
    <x v="3"/>
    <x v="2"/>
    <n v="3"/>
    <n v="0"/>
    <s v="UPI"/>
    <x v="2"/>
    <x v="3"/>
    <n v="6"/>
    <n v="0"/>
    <n v="1"/>
    <s v="New"/>
    <x v="6"/>
    <n v="2"/>
    <n v="0"/>
  </r>
  <r>
    <n v="3007"/>
    <x v="76"/>
    <n v="1729"/>
    <x v="4"/>
    <x v="4"/>
    <x v="0"/>
    <n v="2"/>
    <n v="0"/>
    <s v="COD"/>
    <x v="1"/>
    <x v="3"/>
    <n v="8"/>
    <n v="0"/>
    <n v="1"/>
    <s v="New"/>
    <x v="3"/>
    <n v="50"/>
    <n v="0"/>
  </r>
  <r>
    <n v="3008"/>
    <x v="178"/>
    <n v="1519"/>
    <x v="4"/>
    <x v="3"/>
    <x v="0"/>
    <n v="3"/>
    <n v="0"/>
    <s v="Card"/>
    <x v="2"/>
    <x v="3"/>
    <n v="10"/>
    <n v="1"/>
    <n v="1"/>
    <s v="Repeat"/>
    <x v="4"/>
    <n v="45"/>
    <n v="0"/>
  </r>
  <r>
    <n v="3009"/>
    <x v="32"/>
    <n v="1602"/>
    <x v="4"/>
    <x v="3"/>
    <x v="3"/>
    <n v="1"/>
    <n v="0"/>
    <s v="Card"/>
    <x v="1"/>
    <x v="2"/>
    <n v="5"/>
    <n v="0"/>
    <n v="1"/>
    <s v="Repeat"/>
    <x v="1"/>
    <n v="38"/>
    <n v="0"/>
  </r>
  <r>
    <n v="3010"/>
    <x v="28"/>
    <n v="1399"/>
    <x v="0"/>
    <x v="2"/>
    <x v="1"/>
    <n v="3"/>
    <n v="7485"/>
    <s v="Card"/>
    <x v="0"/>
    <x v="0"/>
    <n v="4"/>
    <n v="0"/>
    <n v="1"/>
    <s v="New"/>
    <x v="0"/>
    <n v="33"/>
    <n v="1"/>
  </r>
  <r>
    <n v="3011"/>
    <x v="102"/>
    <n v="1768"/>
    <x v="1"/>
    <x v="4"/>
    <x v="0"/>
    <n v="2"/>
    <n v="0"/>
    <s v="Wallet"/>
    <x v="1"/>
    <x v="2"/>
    <n v="2"/>
    <n v="0"/>
    <n v="0"/>
    <s v="Repeat"/>
    <x v="3"/>
    <n v="50"/>
    <n v="0"/>
  </r>
  <r>
    <n v="3012"/>
    <x v="88"/>
    <n v="1170"/>
    <x v="2"/>
    <x v="4"/>
    <x v="0"/>
    <n v="4"/>
    <n v="3116"/>
    <s v="UPI"/>
    <x v="0"/>
    <x v="3"/>
    <n v="4"/>
    <n v="0"/>
    <n v="0"/>
    <s v="Repeat"/>
    <x v="1"/>
    <n v="37"/>
    <n v="1"/>
  </r>
  <r>
    <n v="3013"/>
    <x v="23"/>
    <n v="1918"/>
    <x v="3"/>
    <x v="2"/>
    <x v="3"/>
    <n v="3"/>
    <n v="0"/>
    <s v="Wallet"/>
    <x v="2"/>
    <x v="3"/>
    <n v="1"/>
    <n v="1"/>
    <n v="1"/>
    <s v="Repeat"/>
    <x v="3"/>
    <n v="51"/>
    <n v="0"/>
  </r>
  <r>
    <n v="3014"/>
    <x v="28"/>
    <n v="1960"/>
    <x v="0"/>
    <x v="2"/>
    <x v="2"/>
    <n v="2"/>
    <n v="1154"/>
    <s v="UPI"/>
    <x v="0"/>
    <x v="2"/>
    <n v="4"/>
    <n v="1"/>
    <n v="1"/>
    <s v="New"/>
    <x v="0"/>
    <n v="33"/>
    <n v="1"/>
  </r>
  <r>
    <n v="3015"/>
    <x v="156"/>
    <n v="1726"/>
    <x v="0"/>
    <x v="2"/>
    <x v="0"/>
    <n v="1"/>
    <n v="0"/>
    <s v="UPI"/>
    <x v="1"/>
    <x v="0"/>
    <n v="2"/>
    <n v="1"/>
    <n v="0"/>
    <s v="New"/>
    <x v="6"/>
    <n v="2"/>
    <n v="0"/>
  </r>
  <r>
    <n v="3016"/>
    <x v="144"/>
    <n v="1836"/>
    <x v="1"/>
    <x v="2"/>
    <x v="1"/>
    <n v="3"/>
    <n v="0"/>
    <s v="Wallet"/>
    <x v="1"/>
    <x v="0"/>
    <n v="2"/>
    <n v="0"/>
    <n v="0"/>
    <s v="New"/>
    <x v="3"/>
    <n v="52"/>
    <n v="0"/>
  </r>
  <r>
    <n v="3017"/>
    <x v="8"/>
    <n v="1859"/>
    <x v="1"/>
    <x v="1"/>
    <x v="2"/>
    <n v="5"/>
    <n v="4590"/>
    <s v="Card"/>
    <x v="0"/>
    <x v="3"/>
    <n v="2"/>
    <n v="0"/>
    <n v="1"/>
    <s v="Repeat"/>
    <x v="0"/>
    <n v="32"/>
    <n v="1"/>
  </r>
  <r>
    <n v="3018"/>
    <x v="37"/>
    <n v="1110"/>
    <x v="3"/>
    <x v="1"/>
    <x v="0"/>
    <n v="5"/>
    <n v="17095"/>
    <s v="COD"/>
    <x v="0"/>
    <x v="3"/>
    <n v="10"/>
    <n v="0"/>
    <n v="1"/>
    <s v="Repeat"/>
    <x v="4"/>
    <n v="46"/>
    <n v="1"/>
  </r>
  <r>
    <n v="3019"/>
    <x v="27"/>
    <n v="1021"/>
    <x v="2"/>
    <x v="2"/>
    <x v="0"/>
    <n v="2"/>
    <n v="0"/>
    <s v="Wallet"/>
    <x v="1"/>
    <x v="1"/>
    <n v="9"/>
    <n v="1"/>
    <n v="0"/>
    <s v="New"/>
    <x v="1"/>
    <n v="37"/>
    <n v="0"/>
  </r>
  <r>
    <n v="3020"/>
    <x v="119"/>
    <n v="1912"/>
    <x v="0"/>
    <x v="3"/>
    <x v="0"/>
    <n v="2"/>
    <n v="1524"/>
    <s v="UPI"/>
    <x v="0"/>
    <x v="0"/>
    <n v="10"/>
    <n v="1"/>
    <n v="0"/>
    <s v="Repeat"/>
    <x v="0"/>
    <n v="34"/>
    <n v="1"/>
  </r>
  <r>
    <n v="3021"/>
    <x v="157"/>
    <n v="1296"/>
    <x v="4"/>
    <x v="4"/>
    <x v="1"/>
    <n v="5"/>
    <n v="0"/>
    <s v="Card"/>
    <x v="1"/>
    <x v="0"/>
    <n v="9"/>
    <n v="1"/>
    <n v="0"/>
    <s v="New"/>
    <x v="2"/>
    <n v="41"/>
    <n v="0"/>
  </r>
  <r>
    <n v="3022"/>
    <x v="91"/>
    <n v="1765"/>
    <x v="2"/>
    <x v="1"/>
    <x v="2"/>
    <n v="3"/>
    <n v="0"/>
    <s v="Wallet"/>
    <x v="2"/>
    <x v="2"/>
    <n v="9"/>
    <n v="1"/>
    <n v="0"/>
    <s v="Repeat"/>
    <x v="3"/>
    <n v="52"/>
    <n v="0"/>
  </r>
  <r>
    <n v="3023"/>
    <x v="167"/>
    <n v="1195"/>
    <x v="3"/>
    <x v="0"/>
    <x v="0"/>
    <n v="4"/>
    <n v="0"/>
    <s v="UPI"/>
    <x v="2"/>
    <x v="3"/>
    <n v="5"/>
    <n v="1"/>
    <n v="0"/>
    <s v="Repeat"/>
    <x v="0"/>
    <n v="35"/>
    <n v="0"/>
  </r>
  <r>
    <n v="3024"/>
    <x v="46"/>
    <n v="1177"/>
    <x v="1"/>
    <x v="1"/>
    <x v="1"/>
    <n v="2"/>
    <n v="0"/>
    <s v="UPI"/>
    <x v="1"/>
    <x v="3"/>
    <n v="7"/>
    <n v="1"/>
    <n v="0"/>
    <s v="Repeat"/>
    <x v="5"/>
    <n v="30"/>
    <n v="0"/>
  </r>
  <r>
    <n v="3025"/>
    <x v="57"/>
    <n v="1295"/>
    <x v="1"/>
    <x v="3"/>
    <x v="0"/>
    <n v="3"/>
    <n v="0"/>
    <s v="UPI"/>
    <x v="2"/>
    <x v="1"/>
    <n v="3"/>
    <n v="0"/>
    <n v="0"/>
    <s v="New"/>
    <x v="4"/>
    <n v="48"/>
    <n v="0"/>
  </r>
  <r>
    <n v="3026"/>
    <x v="117"/>
    <n v="1267"/>
    <x v="4"/>
    <x v="2"/>
    <x v="3"/>
    <n v="3"/>
    <n v="10989"/>
    <s v="UPI"/>
    <x v="0"/>
    <x v="0"/>
    <n v="1"/>
    <n v="0"/>
    <n v="1"/>
    <s v="New"/>
    <x v="5"/>
    <n v="31"/>
    <n v="1"/>
  </r>
  <r>
    <n v="3027"/>
    <x v="108"/>
    <n v="1740"/>
    <x v="2"/>
    <x v="2"/>
    <x v="3"/>
    <n v="2"/>
    <n v="4760"/>
    <s v="Wallet"/>
    <x v="0"/>
    <x v="2"/>
    <n v="4"/>
    <n v="0"/>
    <n v="1"/>
    <s v="New"/>
    <x v="2"/>
    <n v="44"/>
    <n v="1"/>
  </r>
  <r>
    <n v="3028"/>
    <x v="99"/>
    <n v="1624"/>
    <x v="1"/>
    <x v="2"/>
    <x v="0"/>
    <n v="1"/>
    <n v="2499"/>
    <s v="Wallet"/>
    <x v="0"/>
    <x v="0"/>
    <n v="3"/>
    <n v="1"/>
    <n v="1"/>
    <s v="New"/>
    <x v="4"/>
    <n v="48"/>
    <n v="1"/>
  </r>
  <r>
    <n v="3029"/>
    <x v="109"/>
    <n v="1286"/>
    <x v="4"/>
    <x v="3"/>
    <x v="3"/>
    <n v="1"/>
    <n v="0"/>
    <s v="Wallet"/>
    <x v="2"/>
    <x v="0"/>
    <n v="10"/>
    <n v="0"/>
    <n v="0"/>
    <s v="Repeat"/>
    <x v="4"/>
    <n v="46"/>
    <n v="0"/>
  </r>
  <r>
    <n v="3030"/>
    <x v="87"/>
    <n v="1825"/>
    <x v="1"/>
    <x v="4"/>
    <x v="3"/>
    <n v="1"/>
    <n v="0"/>
    <s v="Wallet"/>
    <x v="2"/>
    <x v="0"/>
    <n v="9"/>
    <n v="0"/>
    <n v="1"/>
    <s v="Repeat"/>
    <x v="2"/>
    <n v="42"/>
    <n v="0"/>
  </r>
  <r>
    <n v="3031"/>
    <x v="19"/>
    <n v="1474"/>
    <x v="4"/>
    <x v="1"/>
    <x v="2"/>
    <n v="3"/>
    <n v="11340"/>
    <s v="Wallet"/>
    <x v="0"/>
    <x v="0"/>
    <n v="6"/>
    <n v="1"/>
    <n v="0"/>
    <s v="Repeat"/>
    <x v="0"/>
    <n v="33"/>
    <n v="1"/>
  </r>
  <r>
    <n v="3032"/>
    <x v="42"/>
    <n v="1531"/>
    <x v="3"/>
    <x v="0"/>
    <x v="1"/>
    <n v="2"/>
    <n v="0"/>
    <s v="UPI"/>
    <x v="2"/>
    <x v="0"/>
    <n v="6"/>
    <n v="0"/>
    <n v="0"/>
    <s v="New"/>
    <x v="2"/>
    <n v="44"/>
    <n v="0"/>
  </r>
  <r>
    <n v="3033"/>
    <x v="148"/>
    <n v="1535"/>
    <x v="0"/>
    <x v="4"/>
    <x v="2"/>
    <n v="5"/>
    <n v="18015"/>
    <s v="Wallet"/>
    <x v="0"/>
    <x v="1"/>
    <n v="6"/>
    <n v="1"/>
    <n v="0"/>
    <s v="New"/>
    <x v="5"/>
    <n v="30"/>
    <n v="1"/>
  </r>
  <r>
    <n v="3034"/>
    <x v="88"/>
    <n v="1503"/>
    <x v="4"/>
    <x v="0"/>
    <x v="0"/>
    <n v="1"/>
    <n v="0"/>
    <s v="COD"/>
    <x v="2"/>
    <x v="1"/>
    <n v="4"/>
    <n v="0"/>
    <n v="1"/>
    <s v="New"/>
    <x v="1"/>
    <n v="37"/>
    <n v="0"/>
  </r>
  <r>
    <n v="3035"/>
    <x v="64"/>
    <n v="1127"/>
    <x v="0"/>
    <x v="2"/>
    <x v="0"/>
    <n v="2"/>
    <n v="3082"/>
    <s v="UPI"/>
    <x v="0"/>
    <x v="0"/>
    <n v="3"/>
    <n v="1"/>
    <n v="0"/>
    <s v="New"/>
    <x v="2"/>
    <n v="43"/>
    <n v="1"/>
  </r>
  <r>
    <n v="3036"/>
    <x v="107"/>
    <n v="1161"/>
    <x v="4"/>
    <x v="2"/>
    <x v="0"/>
    <n v="4"/>
    <n v="0"/>
    <s v="Card"/>
    <x v="1"/>
    <x v="3"/>
    <n v="1"/>
    <n v="0"/>
    <n v="1"/>
    <s v="Repeat"/>
    <x v="4"/>
    <n v="45"/>
    <n v="0"/>
  </r>
  <r>
    <n v="3037"/>
    <x v="102"/>
    <n v="1203"/>
    <x v="0"/>
    <x v="1"/>
    <x v="3"/>
    <n v="4"/>
    <n v="0"/>
    <s v="COD"/>
    <x v="2"/>
    <x v="3"/>
    <n v="6"/>
    <n v="1"/>
    <n v="1"/>
    <s v="Repeat"/>
    <x v="3"/>
    <n v="50"/>
    <n v="0"/>
  </r>
  <r>
    <n v="3038"/>
    <x v="108"/>
    <n v="1863"/>
    <x v="0"/>
    <x v="1"/>
    <x v="0"/>
    <n v="5"/>
    <n v="0"/>
    <s v="Card"/>
    <x v="1"/>
    <x v="1"/>
    <n v="4"/>
    <n v="1"/>
    <n v="1"/>
    <s v="New"/>
    <x v="2"/>
    <n v="44"/>
    <n v="0"/>
  </r>
  <r>
    <n v="3039"/>
    <x v="153"/>
    <n v="1146"/>
    <x v="0"/>
    <x v="4"/>
    <x v="2"/>
    <n v="4"/>
    <n v="0"/>
    <s v="Card"/>
    <x v="1"/>
    <x v="0"/>
    <n v="4"/>
    <n v="1"/>
    <n v="1"/>
    <s v="New"/>
    <x v="0"/>
    <n v="31"/>
    <n v="0"/>
  </r>
  <r>
    <n v="3040"/>
    <x v="159"/>
    <n v="1596"/>
    <x v="0"/>
    <x v="3"/>
    <x v="0"/>
    <n v="3"/>
    <n v="0"/>
    <s v="COD"/>
    <x v="1"/>
    <x v="1"/>
    <n v="1"/>
    <n v="0"/>
    <n v="1"/>
    <s v="New"/>
    <x v="3"/>
    <n v="49"/>
    <n v="0"/>
  </r>
  <r>
    <n v="3041"/>
    <x v="127"/>
    <n v="1273"/>
    <x v="4"/>
    <x v="4"/>
    <x v="0"/>
    <n v="1"/>
    <n v="0"/>
    <s v="UPI"/>
    <x v="1"/>
    <x v="3"/>
    <n v="10"/>
    <n v="1"/>
    <n v="0"/>
    <s v="New"/>
    <x v="5"/>
    <n v="29"/>
    <n v="0"/>
  </r>
  <r>
    <n v="3042"/>
    <x v="20"/>
    <n v="1892"/>
    <x v="3"/>
    <x v="0"/>
    <x v="3"/>
    <n v="4"/>
    <n v="3568"/>
    <s v="Card"/>
    <x v="0"/>
    <x v="1"/>
    <n v="2"/>
    <n v="1"/>
    <n v="1"/>
    <s v="Repeat"/>
    <x v="0"/>
    <n v="32"/>
    <n v="1"/>
  </r>
  <r>
    <n v="3043"/>
    <x v="88"/>
    <n v="1298"/>
    <x v="0"/>
    <x v="4"/>
    <x v="2"/>
    <n v="5"/>
    <n v="13350"/>
    <s v="Wallet"/>
    <x v="0"/>
    <x v="0"/>
    <n v="6"/>
    <n v="1"/>
    <n v="1"/>
    <s v="New"/>
    <x v="1"/>
    <n v="37"/>
    <n v="1"/>
  </r>
  <r>
    <n v="3044"/>
    <x v="177"/>
    <n v="1811"/>
    <x v="0"/>
    <x v="3"/>
    <x v="2"/>
    <n v="4"/>
    <n v="0"/>
    <s v="UPI"/>
    <x v="1"/>
    <x v="0"/>
    <n v="3"/>
    <n v="0"/>
    <n v="1"/>
    <s v="New"/>
    <x v="4"/>
    <n v="45"/>
    <n v="0"/>
  </r>
  <r>
    <n v="3045"/>
    <x v="24"/>
    <n v="1470"/>
    <x v="1"/>
    <x v="1"/>
    <x v="2"/>
    <n v="2"/>
    <n v="0"/>
    <s v="COD"/>
    <x v="1"/>
    <x v="1"/>
    <n v="4"/>
    <n v="1"/>
    <n v="1"/>
    <s v="New"/>
    <x v="5"/>
    <n v="30"/>
    <n v="0"/>
  </r>
  <r>
    <n v="3046"/>
    <x v="52"/>
    <n v="1722"/>
    <x v="1"/>
    <x v="2"/>
    <x v="1"/>
    <n v="5"/>
    <n v="11575"/>
    <s v="UPI"/>
    <x v="0"/>
    <x v="1"/>
    <n v="10"/>
    <n v="1"/>
    <n v="1"/>
    <s v="New"/>
    <x v="4"/>
    <n v="44"/>
    <n v="1"/>
  </r>
  <r>
    <n v="3047"/>
    <x v="171"/>
    <n v="1612"/>
    <x v="2"/>
    <x v="4"/>
    <x v="0"/>
    <n v="2"/>
    <n v="412"/>
    <s v="UPI"/>
    <x v="0"/>
    <x v="2"/>
    <n v="6"/>
    <n v="0"/>
    <n v="1"/>
    <s v="New"/>
    <x v="1"/>
    <n v="36"/>
    <n v="1"/>
  </r>
  <r>
    <n v="3048"/>
    <x v="10"/>
    <n v="1552"/>
    <x v="0"/>
    <x v="1"/>
    <x v="0"/>
    <n v="3"/>
    <n v="0"/>
    <s v="UPI"/>
    <x v="2"/>
    <x v="3"/>
    <n v="3"/>
    <n v="0"/>
    <n v="1"/>
    <s v="New"/>
    <x v="3"/>
    <n v="49"/>
    <n v="0"/>
  </r>
  <r>
    <n v="3049"/>
    <x v="17"/>
    <n v="1357"/>
    <x v="2"/>
    <x v="4"/>
    <x v="1"/>
    <n v="1"/>
    <n v="0"/>
    <s v="UPI"/>
    <x v="1"/>
    <x v="2"/>
    <n v="7"/>
    <n v="1"/>
    <n v="1"/>
    <s v="New"/>
    <x v="1"/>
    <n v="38"/>
    <n v="0"/>
  </r>
  <r>
    <n v="3050"/>
    <x v="70"/>
    <n v="1368"/>
    <x v="2"/>
    <x v="3"/>
    <x v="2"/>
    <n v="4"/>
    <n v="15348"/>
    <s v="Card"/>
    <x v="0"/>
    <x v="1"/>
    <n v="6"/>
    <n v="1"/>
    <n v="0"/>
    <s v="New"/>
    <x v="2"/>
    <n v="40"/>
    <n v="1"/>
  </r>
  <r>
    <n v="3051"/>
    <x v="61"/>
    <n v="1582"/>
    <x v="4"/>
    <x v="4"/>
    <x v="1"/>
    <n v="5"/>
    <n v="13020"/>
    <s v="Card"/>
    <x v="0"/>
    <x v="2"/>
    <n v="7"/>
    <n v="0"/>
    <n v="1"/>
    <s v="Repeat"/>
    <x v="4"/>
    <n v="46"/>
    <n v="1"/>
  </r>
  <r>
    <n v="3052"/>
    <x v="156"/>
    <n v="1870"/>
    <x v="2"/>
    <x v="1"/>
    <x v="3"/>
    <n v="3"/>
    <n v="0"/>
    <s v="COD"/>
    <x v="2"/>
    <x v="2"/>
    <n v="9"/>
    <n v="1"/>
    <n v="0"/>
    <s v="New"/>
    <x v="6"/>
    <n v="2"/>
    <n v="0"/>
  </r>
  <r>
    <n v="3053"/>
    <x v="101"/>
    <n v="1085"/>
    <x v="0"/>
    <x v="2"/>
    <x v="3"/>
    <n v="4"/>
    <n v="10028"/>
    <s v="Card"/>
    <x v="0"/>
    <x v="2"/>
    <n v="5"/>
    <n v="0"/>
    <n v="1"/>
    <s v="New"/>
    <x v="3"/>
    <n v="49"/>
    <n v="1"/>
  </r>
  <r>
    <n v="3054"/>
    <x v="80"/>
    <n v="1192"/>
    <x v="0"/>
    <x v="3"/>
    <x v="1"/>
    <n v="3"/>
    <n v="0"/>
    <s v="Wallet"/>
    <x v="1"/>
    <x v="2"/>
    <n v="2"/>
    <n v="1"/>
    <n v="0"/>
    <s v="Repeat"/>
    <x v="6"/>
    <n v="2"/>
    <n v="0"/>
  </r>
  <r>
    <n v="3055"/>
    <x v="170"/>
    <n v="1903"/>
    <x v="3"/>
    <x v="2"/>
    <x v="0"/>
    <n v="1"/>
    <n v="0"/>
    <s v="Card"/>
    <x v="1"/>
    <x v="1"/>
    <n v="5"/>
    <n v="0"/>
    <n v="0"/>
    <s v="Repeat"/>
    <x v="4"/>
    <n v="48"/>
    <n v="0"/>
  </r>
  <r>
    <n v="3056"/>
    <x v="164"/>
    <n v="1412"/>
    <x v="0"/>
    <x v="1"/>
    <x v="0"/>
    <n v="3"/>
    <n v="0"/>
    <s v="Wallet"/>
    <x v="1"/>
    <x v="3"/>
    <n v="8"/>
    <n v="1"/>
    <n v="0"/>
    <s v="Repeat"/>
    <x v="0"/>
    <n v="34"/>
    <n v="0"/>
  </r>
  <r>
    <n v="3057"/>
    <x v="130"/>
    <n v="1995"/>
    <x v="2"/>
    <x v="2"/>
    <x v="1"/>
    <n v="1"/>
    <n v="0"/>
    <s v="COD"/>
    <x v="1"/>
    <x v="1"/>
    <n v="6"/>
    <n v="0"/>
    <n v="1"/>
    <s v="Repeat"/>
    <x v="3"/>
    <n v="51"/>
    <n v="0"/>
  </r>
  <r>
    <n v="3058"/>
    <x v="56"/>
    <n v="1752"/>
    <x v="4"/>
    <x v="0"/>
    <x v="0"/>
    <n v="5"/>
    <n v="0"/>
    <s v="COD"/>
    <x v="2"/>
    <x v="2"/>
    <n v="1"/>
    <n v="0"/>
    <n v="0"/>
    <s v="Repeat"/>
    <x v="6"/>
    <n v="2"/>
    <n v="0"/>
  </r>
  <r>
    <n v="3059"/>
    <x v="123"/>
    <n v="1670"/>
    <x v="4"/>
    <x v="3"/>
    <x v="3"/>
    <n v="1"/>
    <n v="0"/>
    <s v="UPI"/>
    <x v="1"/>
    <x v="1"/>
    <n v="7"/>
    <n v="1"/>
    <n v="1"/>
    <s v="Repeat"/>
    <x v="0"/>
    <n v="34"/>
    <n v="0"/>
  </r>
  <r>
    <n v="3060"/>
    <x v="18"/>
    <n v="1608"/>
    <x v="1"/>
    <x v="4"/>
    <x v="0"/>
    <n v="5"/>
    <n v="1460"/>
    <s v="Wallet"/>
    <x v="0"/>
    <x v="2"/>
    <n v="1"/>
    <n v="0"/>
    <n v="1"/>
    <s v="Repeat"/>
    <x v="1"/>
    <n v="36"/>
    <n v="1"/>
  </r>
  <r>
    <n v="3061"/>
    <x v="39"/>
    <n v="1904"/>
    <x v="2"/>
    <x v="2"/>
    <x v="3"/>
    <n v="2"/>
    <n v="0"/>
    <s v="Wallet"/>
    <x v="2"/>
    <x v="0"/>
    <n v="9"/>
    <n v="1"/>
    <n v="0"/>
    <s v="Repeat"/>
    <x v="0"/>
    <n v="34"/>
    <n v="0"/>
  </r>
  <r>
    <n v="3062"/>
    <x v="67"/>
    <n v="1928"/>
    <x v="4"/>
    <x v="3"/>
    <x v="1"/>
    <n v="4"/>
    <n v="1088"/>
    <s v="Card"/>
    <x v="0"/>
    <x v="1"/>
    <n v="8"/>
    <n v="0"/>
    <n v="1"/>
    <s v="New"/>
    <x v="1"/>
    <n v="36"/>
    <n v="1"/>
  </r>
  <r>
    <n v="3063"/>
    <x v="29"/>
    <n v="1370"/>
    <x v="1"/>
    <x v="0"/>
    <x v="1"/>
    <n v="5"/>
    <n v="0"/>
    <s v="Wallet"/>
    <x v="2"/>
    <x v="1"/>
    <n v="8"/>
    <n v="1"/>
    <n v="0"/>
    <s v="Repeat"/>
    <x v="1"/>
    <n v="39"/>
    <n v="0"/>
  </r>
  <r>
    <n v="3064"/>
    <x v="12"/>
    <n v="1869"/>
    <x v="3"/>
    <x v="4"/>
    <x v="0"/>
    <n v="1"/>
    <n v="3210"/>
    <s v="Wallet"/>
    <x v="0"/>
    <x v="0"/>
    <n v="4"/>
    <n v="1"/>
    <n v="1"/>
    <s v="Repeat"/>
    <x v="1"/>
    <n v="38"/>
    <n v="1"/>
  </r>
  <r>
    <n v="3065"/>
    <x v="176"/>
    <n v="1431"/>
    <x v="3"/>
    <x v="1"/>
    <x v="1"/>
    <n v="1"/>
    <n v="3301"/>
    <s v="COD"/>
    <x v="0"/>
    <x v="3"/>
    <n v="1"/>
    <n v="1"/>
    <n v="0"/>
    <s v="Repeat"/>
    <x v="3"/>
    <n v="51"/>
    <n v="1"/>
  </r>
  <r>
    <n v="3066"/>
    <x v="97"/>
    <n v="1293"/>
    <x v="4"/>
    <x v="2"/>
    <x v="2"/>
    <n v="5"/>
    <n v="0"/>
    <s v="Wallet"/>
    <x v="2"/>
    <x v="3"/>
    <n v="1"/>
    <n v="1"/>
    <n v="1"/>
    <s v="Repeat"/>
    <x v="1"/>
    <n v="40"/>
    <n v="0"/>
  </r>
  <r>
    <n v="3067"/>
    <x v="87"/>
    <n v="1810"/>
    <x v="1"/>
    <x v="2"/>
    <x v="0"/>
    <n v="4"/>
    <n v="17960"/>
    <s v="UPI"/>
    <x v="0"/>
    <x v="1"/>
    <n v="1"/>
    <n v="1"/>
    <n v="1"/>
    <s v="Repeat"/>
    <x v="2"/>
    <n v="42"/>
    <n v="1"/>
  </r>
  <r>
    <n v="3068"/>
    <x v="33"/>
    <n v="1301"/>
    <x v="3"/>
    <x v="3"/>
    <x v="3"/>
    <n v="2"/>
    <n v="0"/>
    <s v="Card"/>
    <x v="2"/>
    <x v="3"/>
    <n v="10"/>
    <n v="1"/>
    <n v="1"/>
    <s v="New"/>
    <x v="5"/>
    <n v="31"/>
    <n v="0"/>
  </r>
  <r>
    <n v="3069"/>
    <x v="146"/>
    <n v="1600"/>
    <x v="4"/>
    <x v="1"/>
    <x v="1"/>
    <n v="5"/>
    <n v="4775"/>
    <s v="Wallet"/>
    <x v="0"/>
    <x v="0"/>
    <n v="5"/>
    <n v="0"/>
    <n v="1"/>
    <s v="New"/>
    <x v="2"/>
    <n v="40"/>
    <n v="1"/>
  </r>
  <r>
    <n v="3070"/>
    <x v="71"/>
    <n v="1992"/>
    <x v="2"/>
    <x v="1"/>
    <x v="3"/>
    <n v="4"/>
    <n v="11244"/>
    <s v="COD"/>
    <x v="0"/>
    <x v="0"/>
    <n v="6"/>
    <n v="1"/>
    <n v="1"/>
    <s v="Repeat"/>
    <x v="3"/>
    <n v="49"/>
    <n v="1"/>
  </r>
  <r>
    <n v="3071"/>
    <x v="52"/>
    <n v="1037"/>
    <x v="0"/>
    <x v="4"/>
    <x v="3"/>
    <n v="4"/>
    <n v="0"/>
    <s v="Wallet"/>
    <x v="1"/>
    <x v="1"/>
    <n v="7"/>
    <n v="0"/>
    <n v="0"/>
    <s v="New"/>
    <x v="4"/>
    <n v="44"/>
    <n v="0"/>
  </r>
  <r>
    <n v="3072"/>
    <x v="37"/>
    <n v="1292"/>
    <x v="4"/>
    <x v="3"/>
    <x v="2"/>
    <n v="3"/>
    <n v="0"/>
    <s v="Wallet"/>
    <x v="2"/>
    <x v="2"/>
    <n v="10"/>
    <n v="1"/>
    <n v="0"/>
    <s v="New"/>
    <x v="4"/>
    <n v="46"/>
    <n v="0"/>
  </r>
  <r>
    <n v="3073"/>
    <x v="66"/>
    <n v="1181"/>
    <x v="3"/>
    <x v="2"/>
    <x v="0"/>
    <n v="2"/>
    <n v="0"/>
    <s v="UPI"/>
    <x v="1"/>
    <x v="2"/>
    <n v="9"/>
    <n v="0"/>
    <n v="1"/>
    <s v="Repeat"/>
    <x v="1"/>
    <n v="39"/>
    <n v="0"/>
  </r>
  <r>
    <n v="3074"/>
    <x v="19"/>
    <n v="1513"/>
    <x v="2"/>
    <x v="2"/>
    <x v="0"/>
    <n v="2"/>
    <n v="0"/>
    <s v="COD"/>
    <x v="1"/>
    <x v="1"/>
    <n v="7"/>
    <n v="0"/>
    <n v="1"/>
    <s v="Repeat"/>
    <x v="0"/>
    <n v="33"/>
    <n v="0"/>
  </r>
  <r>
    <n v="3075"/>
    <x v="70"/>
    <n v="1563"/>
    <x v="2"/>
    <x v="1"/>
    <x v="2"/>
    <n v="4"/>
    <n v="0"/>
    <s v="Wallet"/>
    <x v="1"/>
    <x v="3"/>
    <n v="6"/>
    <n v="1"/>
    <n v="1"/>
    <s v="New"/>
    <x v="2"/>
    <n v="40"/>
    <n v="0"/>
  </r>
  <r>
    <n v="3076"/>
    <x v="178"/>
    <n v="1240"/>
    <x v="0"/>
    <x v="1"/>
    <x v="0"/>
    <n v="4"/>
    <n v="0"/>
    <s v="UPI"/>
    <x v="1"/>
    <x v="0"/>
    <n v="1"/>
    <n v="1"/>
    <n v="0"/>
    <s v="Repeat"/>
    <x v="4"/>
    <n v="45"/>
    <n v="0"/>
  </r>
  <r>
    <n v="3077"/>
    <x v="9"/>
    <n v="1703"/>
    <x v="2"/>
    <x v="0"/>
    <x v="0"/>
    <n v="5"/>
    <n v="0"/>
    <s v="UPI"/>
    <x v="1"/>
    <x v="0"/>
    <n v="9"/>
    <n v="1"/>
    <n v="1"/>
    <s v="Repeat"/>
    <x v="5"/>
    <n v="30"/>
    <n v="0"/>
  </r>
  <r>
    <n v="3078"/>
    <x v="7"/>
    <n v="1868"/>
    <x v="3"/>
    <x v="2"/>
    <x v="1"/>
    <n v="2"/>
    <n v="0"/>
    <s v="UPI"/>
    <x v="2"/>
    <x v="3"/>
    <n v="6"/>
    <n v="1"/>
    <n v="0"/>
    <s v="New"/>
    <x v="3"/>
    <n v="49"/>
    <n v="0"/>
  </r>
  <r>
    <n v="3079"/>
    <x v="124"/>
    <n v="1518"/>
    <x v="4"/>
    <x v="3"/>
    <x v="0"/>
    <n v="5"/>
    <n v="0"/>
    <s v="COD"/>
    <x v="1"/>
    <x v="0"/>
    <n v="9"/>
    <n v="0"/>
    <n v="0"/>
    <s v="Repeat"/>
    <x v="1"/>
    <n v="37"/>
    <n v="0"/>
  </r>
  <r>
    <n v="3080"/>
    <x v="148"/>
    <n v="1796"/>
    <x v="0"/>
    <x v="2"/>
    <x v="1"/>
    <n v="3"/>
    <n v="10755"/>
    <s v="COD"/>
    <x v="0"/>
    <x v="2"/>
    <n v="3"/>
    <n v="0"/>
    <n v="1"/>
    <s v="Repeat"/>
    <x v="5"/>
    <n v="30"/>
    <n v="1"/>
  </r>
  <r>
    <n v="3081"/>
    <x v="147"/>
    <n v="1841"/>
    <x v="4"/>
    <x v="2"/>
    <x v="0"/>
    <n v="1"/>
    <n v="0"/>
    <s v="Wallet"/>
    <x v="2"/>
    <x v="1"/>
    <n v="7"/>
    <n v="1"/>
    <n v="0"/>
    <s v="Repeat"/>
    <x v="4"/>
    <n v="47"/>
    <n v="0"/>
  </r>
  <r>
    <n v="3082"/>
    <x v="43"/>
    <n v="1815"/>
    <x v="3"/>
    <x v="2"/>
    <x v="1"/>
    <n v="2"/>
    <n v="9210"/>
    <s v="Card"/>
    <x v="0"/>
    <x v="0"/>
    <n v="6"/>
    <n v="1"/>
    <n v="1"/>
    <s v="New"/>
    <x v="4"/>
    <n v="46"/>
    <n v="1"/>
  </r>
  <r>
    <n v="3083"/>
    <x v="96"/>
    <n v="1430"/>
    <x v="0"/>
    <x v="2"/>
    <x v="1"/>
    <n v="2"/>
    <n v="4354"/>
    <s v="UPI"/>
    <x v="0"/>
    <x v="1"/>
    <n v="5"/>
    <n v="1"/>
    <n v="0"/>
    <s v="Repeat"/>
    <x v="4"/>
    <n v="45"/>
    <n v="1"/>
  </r>
  <r>
    <n v="3084"/>
    <x v="177"/>
    <n v="1375"/>
    <x v="2"/>
    <x v="2"/>
    <x v="1"/>
    <n v="3"/>
    <n v="0"/>
    <s v="Wallet"/>
    <x v="2"/>
    <x v="3"/>
    <n v="7"/>
    <n v="0"/>
    <n v="1"/>
    <s v="New"/>
    <x v="4"/>
    <n v="45"/>
    <n v="0"/>
  </r>
  <r>
    <n v="3085"/>
    <x v="174"/>
    <n v="1864"/>
    <x v="1"/>
    <x v="2"/>
    <x v="0"/>
    <n v="3"/>
    <n v="9516"/>
    <s v="Card"/>
    <x v="0"/>
    <x v="3"/>
    <n v="3"/>
    <n v="1"/>
    <n v="1"/>
    <s v="New"/>
    <x v="5"/>
    <n v="29"/>
    <n v="1"/>
  </r>
  <r>
    <n v="3086"/>
    <x v="130"/>
    <n v="1043"/>
    <x v="4"/>
    <x v="2"/>
    <x v="3"/>
    <n v="4"/>
    <n v="0"/>
    <s v="Wallet"/>
    <x v="2"/>
    <x v="2"/>
    <n v="6"/>
    <n v="0"/>
    <n v="0"/>
    <s v="New"/>
    <x v="3"/>
    <n v="51"/>
    <n v="0"/>
  </r>
  <r>
    <n v="3087"/>
    <x v="161"/>
    <n v="1607"/>
    <x v="3"/>
    <x v="3"/>
    <x v="3"/>
    <n v="4"/>
    <n v="0"/>
    <s v="Card"/>
    <x v="2"/>
    <x v="2"/>
    <n v="2"/>
    <n v="0"/>
    <n v="1"/>
    <s v="New"/>
    <x v="2"/>
    <n v="41"/>
    <n v="0"/>
  </r>
  <r>
    <n v="3088"/>
    <x v="54"/>
    <n v="1152"/>
    <x v="3"/>
    <x v="0"/>
    <x v="2"/>
    <n v="1"/>
    <n v="0"/>
    <s v="COD"/>
    <x v="1"/>
    <x v="2"/>
    <n v="8"/>
    <n v="1"/>
    <n v="0"/>
    <s v="Repeat"/>
    <x v="0"/>
    <n v="34"/>
    <n v="0"/>
  </r>
  <r>
    <n v="3089"/>
    <x v="61"/>
    <n v="1037"/>
    <x v="0"/>
    <x v="3"/>
    <x v="3"/>
    <n v="2"/>
    <n v="0"/>
    <s v="COD"/>
    <x v="1"/>
    <x v="0"/>
    <n v="6"/>
    <n v="1"/>
    <n v="0"/>
    <s v="Repeat"/>
    <x v="4"/>
    <n v="46"/>
    <n v="0"/>
  </r>
  <r>
    <n v="3090"/>
    <x v="154"/>
    <n v="1308"/>
    <x v="3"/>
    <x v="0"/>
    <x v="1"/>
    <n v="2"/>
    <n v="0"/>
    <s v="COD"/>
    <x v="1"/>
    <x v="0"/>
    <n v="4"/>
    <n v="1"/>
    <n v="0"/>
    <s v="Repeat"/>
    <x v="2"/>
    <n v="42"/>
    <n v="0"/>
  </r>
  <r>
    <n v="3091"/>
    <x v="152"/>
    <n v="1399"/>
    <x v="1"/>
    <x v="3"/>
    <x v="3"/>
    <n v="1"/>
    <n v="292"/>
    <s v="COD"/>
    <x v="0"/>
    <x v="1"/>
    <n v="6"/>
    <n v="0"/>
    <n v="0"/>
    <s v="New"/>
    <x v="2"/>
    <n v="42"/>
    <n v="1"/>
  </r>
  <r>
    <n v="3092"/>
    <x v="99"/>
    <n v="1708"/>
    <x v="2"/>
    <x v="3"/>
    <x v="2"/>
    <n v="2"/>
    <n v="0"/>
    <s v="UPI"/>
    <x v="1"/>
    <x v="0"/>
    <n v="6"/>
    <n v="0"/>
    <n v="1"/>
    <s v="Repeat"/>
    <x v="4"/>
    <n v="48"/>
    <n v="0"/>
  </r>
  <r>
    <n v="3093"/>
    <x v="34"/>
    <n v="1811"/>
    <x v="0"/>
    <x v="4"/>
    <x v="2"/>
    <n v="3"/>
    <n v="0"/>
    <s v="COD"/>
    <x v="2"/>
    <x v="2"/>
    <n v="5"/>
    <n v="0"/>
    <n v="1"/>
    <s v="Repeat"/>
    <x v="3"/>
    <n v="51"/>
    <n v="0"/>
  </r>
  <r>
    <n v="3094"/>
    <x v="151"/>
    <n v="1602"/>
    <x v="0"/>
    <x v="1"/>
    <x v="2"/>
    <n v="4"/>
    <n v="0"/>
    <s v="COD"/>
    <x v="1"/>
    <x v="1"/>
    <n v="7"/>
    <n v="1"/>
    <n v="0"/>
    <s v="Repeat"/>
    <x v="3"/>
    <n v="52"/>
    <n v="0"/>
  </r>
  <r>
    <n v="3095"/>
    <x v="128"/>
    <n v="1149"/>
    <x v="1"/>
    <x v="0"/>
    <x v="3"/>
    <n v="4"/>
    <n v="0"/>
    <s v="Wallet"/>
    <x v="2"/>
    <x v="0"/>
    <n v="5"/>
    <n v="0"/>
    <n v="0"/>
    <s v="Repeat"/>
    <x v="1"/>
    <n v="39"/>
    <n v="0"/>
  </r>
  <r>
    <n v="3096"/>
    <x v="128"/>
    <n v="1303"/>
    <x v="1"/>
    <x v="1"/>
    <x v="1"/>
    <n v="4"/>
    <n v="8752"/>
    <s v="UPI"/>
    <x v="0"/>
    <x v="0"/>
    <n v="3"/>
    <n v="1"/>
    <n v="1"/>
    <s v="Repeat"/>
    <x v="1"/>
    <n v="39"/>
    <n v="1"/>
  </r>
  <r>
    <n v="3097"/>
    <x v="177"/>
    <n v="1118"/>
    <x v="1"/>
    <x v="3"/>
    <x v="1"/>
    <n v="2"/>
    <n v="0"/>
    <s v="COD"/>
    <x v="2"/>
    <x v="3"/>
    <n v="8"/>
    <n v="1"/>
    <n v="1"/>
    <s v="New"/>
    <x v="4"/>
    <n v="45"/>
    <n v="0"/>
  </r>
  <r>
    <n v="3098"/>
    <x v="61"/>
    <n v="1979"/>
    <x v="1"/>
    <x v="0"/>
    <x v="2"/>
    <n v="2"/>
    <n v="0"/>
    <s v="Card"/>
    <x v="1"/>
    <x v="3"/>
    <n v="8"/>
    <n v="0"/>
    <n v="1"/>
    <s v="New"/>
    <x v="4"/>
    <n v="46"/>
    <n v="0"/>
  </r>
  <r>
    <n v="3099"/>
    <x v="140"/>
    <n v="1601"/>
    <x v="0"/>
    <x v="0"/>
    <x v="0"/>
    <n v="5"/>
    <n v="0"/>
    <s v="Card"/>
    <x v="1"/>
    <x v="0"/>
    <n v="3"/>
    <n v="0"/>
    <n v="1"/>
    <s v="New"/>
    <x v="4"/>
    <n v="48"/>
    <n v="0"/>
  </r>
  <r>
    <n v="3100"/>
    <x v="180"/>
    <n v="1287"/>
    <x v="0"/>
    <x v="1"/>
    <x v="3"/>
    <n v="3"/>
    <n v="0"/>
    <s v="COD"/>
    <x v="2"/>
    <x v="1"/>
    <n v="9"/>
    <n v="1"/>
    <n v="1"/>
    <s v="New"/>
    <x v="4"/>
    <n v="46"/>
    <n v="0"/>
  </r>
  <r>
    <n v="3101"/>
    <x v="105"/>
    <n v="1714"/>
    <x v="0"/>
    <x v="2"/>
    <x v="3"/>
    <n v="4"/>
    <n v="0"/>
    <s v="Wallet"/>
    <x v="2"/>
    <x v="1"/>
    <n v="9"/>
    <n v="1"/>
    <n v="1"/>
    <s v="New"/>
    <x v="3"/>
    <n v="52"/>
    <n v="0"/>
  </r>
  <r>
    <n v="3102"/>
    <x v="42"/>
    <n v="1189"/>
    <x v="4"/>
    <x v="2"/>
    <x v="3"/>
    <n v="2"/>
    <n v="0"/>
    <s v="COD"/>
    <x v="1"/>
    <x v="3"/>
    <n v="8"/>
    <n v="0"/>
    <n v="1"/>
    <s v="New"/>
    <x v="2"/>
    <n v="44"/>
    <n v="0"/>
  </r>
  <r>
    <n v="3103"/>
    <x v="109"/>
    <n v="1541"/>
    <x v="1"/>
    <x v="1"/>
    <x v="0"/>
    <n v="4"/>
    <n v="0"/>
    <s v="COD"/>
    <x v="2"/>
    <x v="0"/>
    <n v="3"/>
    <n v="1"/>
    <n v="1"/>
    <s v="New"/>
    <x v="4"/>
    <n v="46"/>
    <n v="0"/>
  </r>
  <r>
    <n v="3104"/>
    <x v="60"/>
    <n v="1853"/>
    <x v="1"/>
    <x v="1"/>
    <x v="0"/>
    <n v="5"/>
    <n v="16325"/>
    <s v="COD"/>
    <x v="0"/>
    <x v="2"/>
    <n v="9"/>
    <n v="0"/>
    <n v="1"/>
    <s v="New"/>
    <x v="1"/>
    <n v="36"/>
    <n v="1"/>
  </r>
  <r>
    <n v="3105"/>
    <x v="150"/>
    <n v="1313"/>
    <x v="3"/>
    <x v="1"/>
    <x v="1"/>
    <n v="4"/>
    <n v="0"/>
    <s v="Card"/>
    <x v="2"/>
    <x v="1"/>
    <n v="8"/>
    <n v="1"/>
    <n v="1"/>
    <s v="New"/>
    <x v="0"/>
    <n v="35"/>
    <n v="0"/>
  </r>
  <r>
    <n v="3106"/>
    <x v="103"/>
    <n v="1055"/>
    <x v="0"/>
    <x v="0"/>
    <x v="2"/>
    <n v="3"/>
    <n v="14670"/>
    <s v="UPI"/>
    <x v="0"/>
    <x v="3"/>
    <n v="8"/>
    <n v="0"/>
    <n v="0"/>
    <s v="New"/>
    <x v="1"/>
    <n v="38"/>
    <n v="1"/>
  </r>
  <r>
    <n v="3107"/>
    <x v="113"/>
    <n v="1207"/>
    <x v="1"/>
    <x v="4"/>
    <x v="0"/>
    <n v="1"/>
    <n v="0"/>
    <s v="COD"/>
    <x v="2"/>
    <x v="1"/>
    <n v="6"/>
    <n v="1"/>
    <n v="1"/>
    <s v="New"/>
    <x v="0"/>
    <n v="33"/>
    <n v="0"/>
  </r>
  <r>
    <n v="3108"/>
    <x v="65"/>
    <n v="1627"/>
    <x v="0"/>
    <x v="0"/>
    <x v="2"/>
    <n v="4"/>
    <n v="0"/>
    <s v="Card"/>
    <x v="1"/>
    <x v="1"/>
    <n v="3"/>
    <n v="0"/>
    <n v="0"/>
    <s v="New"/>
    <x v="1"/>
    <n v="38"/>
    <n v="0"/>
  </r>
  <r>
    <n v="3109"/>
    <x v="39"/>
    <n v="1520"/>
    <x v="2"/>
    <x v="2"/>
    <x v="3"/>
    <n v="4"/>
    <n v="0"/>
    <s v="Wallet"/>
    <x v="1"/>
    <x v="2"/>
    <n v="4"/>
    <n v="0"/>
    <n v="1"/>
    <s v="Repeat"/>
    <x v="0"/>
    <n v="34"/>
    <n v="0"/>
  </r>
  <r>
    <n v="3110"/>
    <x v="77"/>
    <n v="1258"/>
    <x v="4"/>
    <x v="2"/>
    <x v="1"/>
    <n v="3"/>
    <n v="0"/>
    <s v="Wallet"/>
    <x v="2"/>
    <x v="2"/>
    <n v="7"/>
    <n v="0"/>
    <n v="0"/>
    <s v="Repeat"/>
    <x v="1"/>
    <n v="38"/>
    <n v="0"/>
  </r>
  <r>
    <n v="3111"/>
    <x v="120"/>
    <n v="1628"/>
    <x v="0"/>
    <x v="4"/>
    <x v="2"/>
    <n v="1"/>
    <n v="258"/>
    <s v="UPI"/>
    <x v="0"/>
    <x v="0"/>
    <n v="1"/>
    <n v="0"/>
    <n v="0"/>
    <s v="Repeat"/>
    <x v="6"/>
    <n v="1"/>
    <n v="1"/>
  </r>
  <r>
    <n v="3112"/>
    <x v="8"/>
    <n v="1369"/>
    <x v="1"/>
    <x v="3"/>
    <x v="1"/>
    <n v="1"/>
    <n v="0"/>
    <s v="Card"/>
    <x v="2"/>
    <x v="1"/>
    <n v="5"/>
    <n v="0"/>
    <n v="1"/>
    <s v="New"/>
    <x v="0"/>
    <n v="32"/>
    <n v="0"/>
  </r>
  <r>
    <n v="3113"/>
    <x v="40"/>
    <n v="1323"/>
    <x v="1"/>
    <x v="1"/>
    <x v="2"/>
    <n v="3"/>
    <n v="0"/>
    <s v="COD"/>
    <x v="1"/>
    <x v="0"/>
    <n v="1"/>
    <n v="1"/>
    <n v="1"/>
    <s v="New"/>
    <x v="0"/>
    <n v="32"/>
    <n v="0"/>
  </r>
  <r>
    <n v="3114"/>
    <x v="19"/>
    <n v="1612"/>
    <x v="4"/>
    <x v="1"/>
    <x v="2"/>
    <n v="3"/>
    <n v="0"/>
    <s v="UPI"/>
    <x v="1"/>
    <x v="2"/>
    <n v="7"/>
    <n v="1"/>
    <n v="0"/>
    <s v="Repeat"/>
    <x v="0"/>
    <n v="33"/>
    <n v="0"/>
  </r>
  <r>
    <n v="3115"/>
    <x v="63"/>
    <n v="1848"/>
    <x v="3"/>
    <x v="2"/>
    <x v="3"/>
    <n v="4"/>
    <n v="4304"/>
    <s v="Card"/>
    <x v="0"/>
    <x v="0"/>
    <n v="8"/>
    <n v="1"/>
    <n v="1"/>
    <s v="New"/>
    <x v="5"/>
    <n v="29"/>
    <n v="1"/>
  </r>
  <r>
    <n v="3116"/>
    <x v="163"/>
    <n v="1823"/>
    <x v="4"/>
    <x v="1"/>
    <x v="0"/>
    <n v="5"/>
    <n v="0"/>
    <s v="Card"/>
    <x v="1"/>
    <x v="0"/>
    <n v="6"/>
    <n v="0"/>
    <n v="0"/>
    <s v="Repeat"/>
    <x v="4"/>
    <n v="45"/>
    <n v="0"/>
  </r>
  <r>
    <n v="3117"/>
    <x v="12"/>
    <n v="1167"/>
    <x v="4"/>
    <x v="2"/>
    <x v="3"/>
    <n v="3"/>
    <n v="0"/>
    <s v="UPI"/>
    <x v="2"/>
    <x v="3"/>
    <n v="7"/>
    <n v="1"/>
    <n v="0"/>
    <s v="Repeat"/>
    <x v="1"/>
    <n v="38"/>
    <n v="0"/>
  </r>
  <r>
    <n v="3118"/>
    <x v="34"/>
    <n v="1244"/>
    <x v="2"/>
    <x v="3"/>
    <x v="2"/>
    <n v="3"/>
    <n v="0"/>
    <s v="Card"/>
    <x v="1"/>
    <x v="0"/>
    <n v="5"/>
    <n v="1"/>
    <n v="1"/>
    <s v="New"/>
    <x v="3"/>
    <n v="51"/>
    <n v="0"/>
  </r>
  <r>
    <n v="3119"/>
    <x v="94"/>
    <n v="1826"/>
    <x v="0"/>
    <x v="2"/>
    <x v="2"/>
    <n v="2"/>
    <n v="0"/>
    <s v="COD"/>
    <x v="2"/>
    <x v="3"/>
    <n v="8"/>
    <n v="0"/>
    <n v="0"/>
    <s v="New"/>
    <x v="1"/>
    <n v="40"/>
    <n v="0"/>
  </r>
  <r>
    <n v="3120"/>
    <x v="57"/>
    <n v="1579"/>
    <x v="1"/>
    <x v="1"/>
    <x v="3"/>
    <n v="3"/>
    <n v="0"/>
    <s v="COD"/>
    <x v="2"/>
    <x v="3"/>
    <n v="6"/>
    <n v="1"/>
    <n v="1"/>
    <s v="New"/>
    <x v="4"/>
    <n v="48"/>
    <n v="0"/>
  </r>
  <r>
    <n v="3121"/>
    <x v="16"/>
    <n v="1510"/>
    <x v="1"/>
    <x v="1"/>
    <x v="3"/>
    <n v="3"/>
    <n v="8979"/>
    <s v="Card"/>
    <x v="0"/>
    <x v="3"/>
    <n v="1"/>
    <n v="1"/>
    <n v="0"/>
    <s v="New"/>
    <x v="0"/>
    <n v="32"/>
    <n v="1"/>
  </r>
  <r>
    <n v="3122"/>
    <x v="102"/>
    <n v="1363"/>
    <x v="0"/>
    <x v="3"/>
    <x v="0"/>
    <n v="1"/>
    <n v="0"/>
    <s v="Card"/>
    <x v="1"/>
    <x v="2"/>
    <n v="4"/>
    <n v="1"/>
    <n v="0"/>
    <s v="Repeat"/>
    <x v="3"/>
    <n v="50"/>
    <n v="0"/>
  </r>
  <r>
    <n v="3123"/>
    <x v="62"/>
    <n v="1604"/>
    <x v="3"/>
    <x v="4"/>
    <x v="2"/>
    <n v="5"/>
    <n v="0"/>
    <s v="Wallet"/>
    <x v="2"/>
    <x v="3"/>
    <n v="7"/>
    <n v="0"/>
    <n v="0"/>
    <s v="New"/>
    <x v="2"/>
    <n v="43"/>
    <n v="0"/>
  </r>
  <r>
    <n v="3124"/>
    <x v="67"/>
    <n v="1736"/>
    <x v="4"/>
    <x v="4"/>
    <x v="2"/>
    <n v="5"/>
    <n v="1455"/>
    <s v="COD"/>
    <x v="0"/>
    <x v="3"/>
    <n v="8"/>
    <n v="0"/>
    <n v="0"/>
    <s v="New"/>
    <x v="1"/>
    <n v="36"/>
    <n v="1"/>
  </r>
  <r>
    <n v="3125"/>
    <x v="32"/>
    <n v="1460"/>
    <x v="3"/>
    <x v="4"/>
    <x v="3"/>
    <n v="4"/>
    <n v="0"/>
    <s v="COD"/>
    <x v="2"/>
    <x v="0"/>
    <n v="6"/>
    <n v="0"/>
    <n v="0"/>
    <s v="Repeat"/>
    <x v="1"/>
    <n v="38"/>
    <n v="0"/>
  </r>
  <r>
    <n v="3126"/>
    <x v="108"/>
    <n v="1136"/>
    <x v="0"/>
    <x v="3"/>
    <x v="1"/>
    <n v="2"/>
    <n v="5512"/>
    <s v="COD"/>
    <x v="0"/>
    <x v="3"/>
    <n v="10"/>
    <n v="0"/>
    <n v="1"/>
    <s v="Repeat"/>
    <x v="2"/>
    <n v="44"/>
    <n v="1"/>
  </r>
  <r>
    <n v="3127"/>
    <x v="39"/>
    <n v="1889"/>
    <x v="4"/>
    <x v="3"/>
    <x v="3"/>
    <n v="4"/>
    <n v="0"/>
    <s v="COD"/>
    <x v="1"/>
    <x v="3"/>
    <n v="4"/>
    <n v="1"/>
    <n v="0"/>
    <s v="New"/>
    <x v="0"/>
    <n v="34"/>
    <n v="0"/>
  </r>
  <r>
    <n v="3128"/>
    <x v="97"/>
    <n v="1831"/>
    <x v="1"/>
    <x v="0"/>
    <x v="3"/>
    <n v="5"/>
    <n v="12605"/>
    <s v="UPI"/>
    <x v="0"/>
    <x v="2"/>
    <n v="8"/>
    <n v="0"/>
    <n v="0"/>
    <s v="Repeat"/>
    <x v="1"/>
    <n v="40"/>
    <n v="1"/>
  </r>
  <r>
    <n v="3129"/>
    <x v="172"/>
    <n v="1019"/>
    <x v="2"/>
    <x v="2"/>
    <x v="1"/>
    <n v="2"/>
    <n v="0"/>
    <s v="Wallet"/>
    <x v="1"/>
    <x v="1"/>
    <n v="6"/>
    <n v="0"/>
    <n v="0"/>
    <s v="New"/>
    <x v="2"/>
    <n v="44"/>
    <n v="0"/>
  </r>
  <r>
    <n v="3130"/>
    <x v="37"/>
    <n v="1558"/>
    <x v="1"/>
    <x v="2"/>
    <x v="1"/>
    <n v="5"/>
    <n v="5125"/>
    <s v="UPI"/>
    <x v="0"/>
    <x v="2"/>
    <n v="3"/>
    <n v="0"/>
    <n v="1"/>
    <s v="New"/>
    <x v="4"/>
    <n v="46"/>
    <n v="1"/>
  </r>
  <r>
    <n v="3131"/>
    <x v="101"/>
    <n v="1943"/>
    <x v="4"/>
    <x v="3"/>
    <x v="0"/>
    <n v="3"/>
    <n v="0"/>
    <s v="COD"/>
    <x v="1"/>
    <x v="0"/>
    <n v="3"/>
    <n v="0"/>
    <n v="0"/>
    <s v="Repeat"/>
    <x v="3"/>
    <n v="49"/>
    <n v="0"/>
  </r>
  <r>
    <n v="3132"/>
    <x v="108"/>
    <n v="1117"/>
    <x v="3"/>
    <x v="0"/>
    <x v="2"/>
    <n v="3"/>
    <n v="0"/>
    <s v="COD"/>
    <x v="2"/>
    <x v="1"/>
    <n v="7"/>
    <n v="0"/>
    <n v="0"/>
    <s v="Repeat"/>
    <x v="2"/>
    <n v="44"/>
    <n v="0"/>
  </r>
  <r>
    <n v="3133"/>
    <x v="81"/>
    <n v="1713"/>
    <x v="0"/>
    <x v="3"/>
    <x v="0"/>
    <n v="2"/>
    <n v="0"/>
    <s v="Card"/>
    <x v="2"/>
    <x v="2"/>
    <n v="2"/>
    <n v="0"/>
    <n v="0"/>
    <s v="New"/>
    <x v="0"/>
    <n v="33"/>
    <n v="0"/>
  </r>
  <r>
    <n v="3134"/>
    <x v="175"/>
    <n v="1659"/>
    <x v="4"/>
    <x v="1"/>
    <x v="1"/>
    <n v="5"/>
    <n v="0"/>
    <s v="Wallet"/>
    <x v="1"/>
    <x v="1"/>
    <n v="3"/>
    <n v="0"/>
    <n v="0"/>
    <s v="Repeat"/>
    <x v="5"/>
    <n v="31"/>
    <n v="0"/>
  </r>
  <r>
    <n v="3135"/>
    <x v="66"/>
    <n v="1702"/>
    <x v="2"/>
    <x v="0"/>
    <x v="0"/>
    <n v="5"/>
    <n v="0"/>
    <s v="Card"/>
    <x v="2"/>
    <x v="2"/>
    <n v="1"/>
    <n v="0"/>
    <n v="1"/>
    <s v="New"/>
    <x v="1"/>
    <n v="39"/>
    <n v="0"/>
  </r>
  <r>
    <n v="3136"/>
    <x v="61"/>
    <n v="1840"/>
    <x v="0"/>
    <x v="1"/>
    <x v="3"/>
    <n v="1"/>
    <n v="1964"/>
    <s v="UPI"/>
    <x v="0"/>
    <x v="2"/>
    <n v="2"/>
    <n v="1"/>
    <n v="0"/>
    <s v="New"/>
    <x v="4"/>
    <n v="46"/>
    <n v="1"/>
  </r>
  <r>
    <n v="3137"/>
    <x v="30"/>
    <n v="1529"/>
    <x v="0"/>
    <x v="0"/>
    <x v="1"/>
    <n v="4"/>
    <n v="0"/>
    <s v="Wallet"/>
    <x v="1"/>
    <x v="1"/>
    <n v="1"/>
    <n v="0"/>
    <n v="1"/>
    <s v="New"/>
    <x v="3"/>
    <n v="51"/>
    <n v="0"/>
  </r>
  <r>
    <n v="3138"/>
    <x v="93"/>
    <n v="1661"/>
    <x v="3"/>
    <x v="2"/>
    <x v="3"/>
    <n v="4"/>
    <n v="0"/>
    <s v="COD"/>
    <x v="1"/>
    <x v="3"/>
    <n v="6"/>
    <n v="1"/>
    <n v="1"/>
    <s v="New"/>
    <x v="3"/>
    <n v="53"/>
    <n v="0"/>
  </r>
  <r>
    <n v="3139"/>
    <x v="139"/>
    <n v="1880"/>
    <x v="2"/>
    <x v="2"/>
    <x v="3"/>
    <n v="2"/>
    <n v="0"/>
    <s v="COD"/>
    <x v="2"/>
    <x v="3"/>
    <n v="5"/>
    <n v="1"/>
    <n v="0"/>
    <s v="Repeat"/>
    <x v="4"/>
    <n v="45"/>
    <n v="0"/>
  </r>
  <r>
    <n v="3140"/>
    <x v="13"/>
    <n v="1060"/>
    <x v="4"/>
    <x v="2"/>
    <x v="3"/>
    <n v="1"/>
    <n v="4730"/>
    <s v="UPI"/>
    <x v="0"/>
    <x v="3"/>
    <n v="8"/>
    <n v="1"/>
    <n v="1"/>
    <s v="New"/>
    <x v="2"/>
    <n v="41"/>
    <n v="1"/>
  </r>
  <r>
    <n v="3141"/>
    <x v="14"/>
    <n v="1625"/>
    <x v="3"/>
    <x v="3"/>
    <x v="2"/>
    <n v="4"/>
    <n v="0"/>
    <s v="UPI"/>
    <x v="1"/>
    <x v="1"/>
    <n v="9"/>
    <n v="1"/>
    <n v="1"/>
    <s v="Repeat"/>
    <x v="0"/>
    <n v="34"/>
    <n v="0"/>
  </r>
  <r>
    <n v="3142"/>
    <x v="84"/>
    <n v="1598"/>
    <x v="3"/>
    <x v="4"/>
    <x v="2"/>
    <n v="2"/>
    <n v="9806"/>
    <s v="Card"/>
    <x v="0"/>
    <x v="0"/>
    <n v="2"/>
    <n v="1"/>
    <n v="0"/>
    <s v="Repeat"/>
    <x v="2"/>
    <n v="41"/>
    <n v="1"/>
  </r>
  <r>
    <n v="3143"/>
    <x v="39"/>
    <n v="1835"/>
    <x v="0"/>
    <x v="3"/>
    <x v="2"/>
    <n v="2"/>
    <n v="0"/>
    <s v="UPI"/>
    <x v="1"/>
    <x v="2"/>
    <n v="4"/>
    <n v="1"/>
    <n v="0"/>
    <s v="New"/>
    <x v="0"/>
    <n v="34"/>
    <n v="0"/>
  </r>
  <r>
    <n v="3144"/>
    <x v="92"/>
    <n v="1979"/>
    <x v="4"/>
    <x v="1"/>
    <x v="2"/>
    <n v="2"/>
    <n v="0"/>
    <s v="Wallet"/>
    <x v="1"/>
    <x v="3"/>
    <n v="9"/>
    <n v="1"/>
    <n v="0"/>
    <s v="Repeat"/>
    <x v="3"/>
    <n v="53"/>
    <n v="0"/>
  </r>
  <r>
    <n v="3145"/>
    <x v="147"/>
    <n v="1098"/>
    <x v="1"/>
    <x v="4"/>
    <x v="2"/>
    <n v="5"/>
    <n v="0"/>
    <s v="Wallet"/>
    <x v="2"/>
    <x v="2"/>
    <n v="8"/>
    <n v="1"/>
    <n v="0"/>
    <s v="New"/>
    <x v="4"/>
    <n v="47"/>
    <n v="0"/>
  </r>
  <r>
    <n v="3146"/>
    <x v="43"/>
    <n v="1552"/>
    <x v="3"/>
    <x v="3"/>
    <x v="3"/>
    <n v="1"/>
    <n v="0"/>
    <s v="Wallet"/>
    <x v="2"/>
    <x v="1"/>
    <n v="5"/>
    <n v="0"/>
    <n v="0"/>
    <s v="New"/>
    <x v="4"/>
    <n v="46"/>
    <n v="0"/>
  </r>
  <r>
    <n v="3147"/>
    <x v="80"/>
    <n v="1422"/>
    <x v="2"/>
    <x v="2"/>
    <x v="2"/>
    <n v="1"/>
    <n v="0"/>
    <s v="UPI"/>
    <x v="2"/>
    <x v="3"/>
    <n v="1"/>
    <n v="1"/>
    <n v="1"/>
    <s v="New"/>
    <x v="6"/>
    <n v="2"/>
    <n v="0"/>
  </r>
  <r>
    <n v="3148"/>
    <x v="144"/>
    <n v="1724"/>
    <x v="1"/>
    <x v="4"/>
    <x v="0"/>
    <n v="4"/>
    <n v="19676"/>
    <s v="COD"/>
    <x v="0"/>
    <x v="2"/>
    <n v="2"/>
    <n v="1"/>
    <n v="1"/>
    <s v="New"/>
    <x v="3"/>
    <n v="52"/>
    <n v="1"/>
  </r>
  <r>
    <n v="3149"/>
    <x v="46"/>
    <n v="1148"/>
    <x v="2"/>
    <x v="2"/>
    <x v="2"/>
    <n v="4"/>
    <n v="0"/>
    <s v="UPI"/>
    <x v="1"/>
    <x v="1"/>
    <n v="5"/>
    <n v="0"/>
    <n v="0"/>
    <s v="Repeat"/>
    <x v="5"/>
    <n v="30"/>
    <n v="0"/>
  </r>
  <r>
    <n v="3150"/>
    <x v="163"/>
    <n v="1051"/>
    <x v="2"/>
    <x v="2"/>
    <x v="2"/>
    <n v="4"/>
    <n v="0"/>
    <s v="Wallet"/>
    <x v="1"/>
    <x v="2"/>
    <n v="2"/>
    <n v="0"/>
    <n v="0"/>
    <s v="Repeat"/>
    <x v="4"/>
    <n v="45"/>
    <n v="0"/>
  </r>
  <r>
    <n v="3151"/>
    <x v="90"/>
    <n v="1579"/>
    <x v="3"/>
    <x v="3"/>
    <x v="1"/>
    <n v="4"/>
    <n v="0"/>
    <s v="Card"/>
    <x v="2"/>
    <x v="0"/>
    <n v="5"/>
    <n v="1"/>
    <n v="1"/>
    <s v="Repeat"/>
    <x v="0"/>
    <n v="31"/>
    <n v="0"/>
  </r>
  <r>
    <n v="3152"/>
    <x v="149"/>
    <n v="1232"/>
    <x v="4"/>
    <x v="0"/>
    <x v="2"/>
    <n v="5"/>
    <n v="1845"/>
    <s v="Card"/>
    <x v="0"/>
    <x v="0"/>
    <n v="6"/>
    <n v="0"/>
    <n v="0"/>
    <s v="Repeat"/>
    <x v="3"/>
    <n v="49"/>
    <n v="1"/>
  </r>
  <r>
    <n v="3153"/>
    <x v="26"/>
    <n v="1721"/>
    <x v="2"/>
    <x v="4"/>
    <x v="0"/>
    <n v="4"/>
    <n v="17828"/>
    <s v="COD"/>
    <x v="0"/>
    <x v="0"/>
    <n v="7"/>
    <n v="1"/>
    <n v="1"/>
    <s v="Repeat"/>
    <x v="2"/>
    <n v="42"/>
    <n v="1"/>
  </r>
  <r>
    <n v="3154"/>
    <x v="120"/>
    <n v="1499"/>
    <x v="1"/>
    <x v="4"/>
    <x v="3"/>
    <n v="2"/>
    <n v="0"/>
    <s v="UPI"/>
    <x v="2"/>
    <x v="0"/>
    <n v="5"/>
    <n v="0"/>
    <n v="0"/>
    <s v="New"/>
    <x v="6"/>
    <n v="1"/>
    <n v="0"/>
  </r>
  <r>
    <n v="3155"/>
    <x v="35"/>
    <n v="1388"/>
    <x v="2"/>
    <x v="4"/>
    <x v="3"/>
    <n v="1"/>
    <n v="0"/>
    <s v="UPI"/>
    <x v="2"/>
    <x v="2"/>
    <n v="4"/>
    <n v="1"/>
    <n v="0"/>
    <s v="New"/>
    <x v="0"/>
    <n v="35"/>
    <n v="0"/>
  </r>
  <r>
    <n v="3156"/>
    <x v="48"/>
    <n v="1164"/>
    <x v="2"/>
    <x v="4"/>
    <x v="0"/>
    <n v="5"/>
    <n v="5330"/>
    <s v="COD"/>
    <x v="0"/>
    <x v="3"/>
    <n v="7"/>
    <n v="1"/>
    <n v="0"/>
    <s v="New"/>
    <x v="3"/>
    <n v="50"/>
    <n v="1"/>
  </r>
  <r>
    <n v="3157"/>
    <x v="73"/>
    <n v="1906"/>
    <x v="2"/>
    <x v="1"/>
    <x v="3"/>
    <n v="2"/>
    <n v="0"/>
    <s v="UPI"/>
    <x v="1"/>
    <x v="0"/>
    <n v="2"/>
    <n v="1"/>
    <n v="1"/>
    <s v="Repeat"/>
    <x v="4"/>
    <n v="45"/>
    <n v="0"/>
  </r>
  <r>
    <n v="3158"/>
    <x v="67"/>
    <n v="1950"/>
    <x v="2"/>
    <x v="2"/>
    <x v="2"/>
    <n v="5"/>
    <n v="0"/>
    <s v="COD"/>
    <x v="1"/>
    <x v="0"/>
    <n v="2"/>
    <n v="1"/>
    <n v="1"/>
    <s v="New"/>
    <x v="1"/>
    <n v="36"/>
    <n v="0"/>
  </r>
  <r>
    <n v="3159"/>
    <x v="93"/>
    <n v="1241"/>
    <x v="1"/>
    <x v="1"/>
    <x v="1"/>
    <n v="3"/>
    <n v="0"/>
    <s v="COD"/>
    <x v="1"/>
    <x v="3"/>
    <n v="6"/>
    <n v="1"/>
    <n v="0"/>
    <s v="Repeat"/>
    <x v="3"/>
    <n v="53"/>
    <n v="0"/>
  </r>
  <r>
    <n v="3160"/>
    <x v="173"/>
    <n v="1945"/>
    <x v="1"/>
    <x v="3"/>
    <x v="3"/>
    <n v="1"/>
    <n v="0"/>
    <s v="Card"/>
    <x v="1"/>
    <x v="1"/>
    <n v="3"/>
    <n v="0"/>
    <n v="1"/>
    <s v="New"/>
    <x v="5"/>
    <n v="30"/>
    <n v="0"/>
  </r>
  <r>
    <n v="3161"/>
    <x v="110"/>
    <n v="1197"/>
    <x v="1"/>
    <x v="0"/>
    <x v="1"/>
    <n v="1"/>
    <n v="0"/>
    <s v="COD"/>
    <x v="2"/>
    <x v="2"/>
    <n v="8"/>
    <n v="1"/>
    <n v="0"/>
    <s v="Repeat"/>
    <x v="3"/>
    <n v="52"/>
    <n v="0"/>
  </r>
  <r>
    <n v="3162"/>
    <x v="94"/>
    <n v="1448"/>
    <x v="4"/>
    <x v="4"/>
    <x v="2"/>
    <n v="2"/>
    <n v="0"/>
    <s v="Wallet"/>
    <x v="1"/>
    <x v="3"/>
    <n v="7"/>
    <n v="0"/>
    <n v="1"/>
    <s v="Repeat"/>
    <x v="1"/>
    <n v="40"/>
    <n v="0"/>
  </r>
  <r>
    <n v="3163"/>
    <x v="1"/>
    <n v="1640"/>
    <x v="0"/>
    <x v="1"/>
    <x v="2"/>
    <n v="2"/>
    <n v="0"/>
    <s v="Wallet"/>
    <x v="2"/>
    <x v="2"/>
    <n v="1"/>
    <n v="0"/>
    <n v="0"/>
    <s v="Repeat"/>
    <x v="1"/>
    <n v="39"/>
    <n v="0"/>
  </r>
  <r>
    <n v="3164"/>
    <x v="47"/>
    <n v="1995"/>
    <x v="3"/>
    <x v="2"/>
    <x v="1"/>
    <n v="3"/>
    <n v="0"/>
    <s v="Wallet"/>
    <x v="2"/>
    <x v="1"/>
    <n v="2"/>
    <n v="0"/>
    <n v="1"/>
    <s v="Repeat"/>
    <x v="6"/>
    <n v="2"/>
    <n v="0"/>
  </r>
  <r>
    <n v="3165"/>
    <x v="114"/>
    <n v="1479"/>
    <x v="2"/>
    <x v="2"/>
    <x v="3"/>
    <n v="4"/>
    <n v="6396"/>
    <s v="Card"/>
    <x v="0"/>
    <x v="0"/>
    <n v="7"/>
    <n v="0"/>
    <n v="0"/>
    <s v="Repeat"/>
    <x v="3"/>
    <n v="50"/>
    <n v="1"/>
  </r>
  <r>
    <n v="3166"/>
    <x v="102"/>
    <n v="1537"/>
    <x v="1"/>
    <x v="3"/>
    <x v="0"/>
    <n v="2"/>
    <n v="7488"/>
    <s v="COD"/>
    <x v="0"/>
    <x v="0"/>
    <n v="3"/>
    <n v="0"/>
    <n v="0"/>
    <s v="Repeat"/>
    <x v="3"/>
    <n v="50"/>
    <n v="1"/>
  </r>
  <r>
    <n v="3167"/>
    <x v="25"/>
    <n v="1560"/>
    <x v="0"/>
    <x v="4"/>
    <x v="1"/>
    <n v="4"/>
    <n v="12284"/>
    <s v="Card"/>
    <x v="0"/>
    <x v="1"/>
    <n v="4"/>
    <n v="1"/>
    <n v="0"/>
    <s v="New"/>
    <x v="4"/>
    <n v="49"/>
    <n v="1"/>
  </r>
  <r>
    <n v="3168"/>
    <x v="46"/>
    <n v="1841"/>
    <x v="4"/>
    <x v="2"/>
    <x v="3"/>
    <n v="5"/>
    <n v="0"/>
    <s v="UPI"/>
    <x v="1"/>
    <x v="0"/>
    <n v="10"/>
    <n v="0"/>
    <n v="1"/>
    <s v="Repeat"/>
    <x v="5"/>
    <n v="30"/>
    <n v="0"/>
  </r>
  <r>
    <n v="3169"/>
    <x v="56"/>
    <n v="1587"/>
    <x v="2"/>
    <x v="2"/>
    <x v="0"/>
    <n v="5"/>
    <n v="0"/>
    <s v="Card"/>
    <x v="2"/>
    <x v="3"/>
    <n v="6"/>
    <n v="0"/>
    <n v="0"/>
    <s v="Repeat"/>
    <x v="6"/>
    <n v="2"/>
    <n v="0"/>
  </r>
  <r>
    <n v="3170"/>
    <x v="141"/>
    <n v="1233"/>
    <x v="4"/>
    <x v="1"/>
    <x v="3"/>
    <n v="4"/>
    <n v="0"/>
    <s v="Wallet"/>
    <x v="2"/>
    <x v="2"/>
    <n v="6"/>
    <n v="0"/>
    <n v="0"/>
    <s v="New"/>
    <x v="1"/>
    <n v="39"/>
    <n v="0"/>
  </r>
  <r>
    <n v="3171"/>
    <x v="116"/>
    <n v="1939"/>
    <x v="4"/>
    <x v="2"/>
    <x v="3"/>
    <n v="5"/>
    <n v="0"/>
    <s v="Wallet"/>
    <x v="1"/>
    <x v="2"/>
    <n v="5"/>
    <n v="0"/>
    <n v="0"/>
    <s v="New"/>
    <x v="3"/>
    <n v="50"/>
    <n v="0"/>
  </r>
  <r>
    <n v="3172"/>
    <x v="66"/>
    <n v="1592"/>
    <x v="3"/>
    <x v="1"/>
    <x v="0"/>
    <n v="5"/>
    <n v="0"/>
    <s v="UPI"/>
    <x v="2"/>
    <x v="2"/>
    <n v="6"/>
    <n v="0"/>
    <n v="1"/>
    <s v="New"/>
    <x v="1"/>
    <n v="39"/>
    <n v="0"/>
  </r>
  <r>
    <n v="3173"/>
    <x v="15"/>
    <n v="1334"/>
    <x v="2"/>
    <x v="3"/>
    <x v="2"/>
    <n v="1"/>
    <n v="0"/>
    <s v="Wallet"/>
    <x v="1"/>
    <x v="0"/>
    <n v="5"/>
    <n v="0"/>
    <n v="1"/>
    <s v="Repeat"/>
    <x v="4"/>
    <n v="47"/>
    <n v="0"/>
  </r>
  <r>
    <n v="3174"/>
    <x v="5"/>
    <n v="1799"/>
    <x v="4"/>
    <x v="4"/>
    <x v="3"/>
    <n v="4"/>
    <n v="0"/>
    <s v="Card"/>
    <x v="2"/>
    <x v="0"/>
    <n v="3"/>
    <n v="1"/>
    <n v="1"/>
    <s v="Repeat"/>
    <x v="0"/>
    <n v="33"/>
    <n v="0"/>
  </r>
  <r>
    <n v="3175"/>
    <x v="166"/>
    <n v="1942"/>
    <x v="4"/>
    <x v="1"/>
    <x v="2"/>
    <n v="4"/>
    <n v="18756"/>
    <s v="Wallet"/>
    <x v="0"/>
    <x v="0"/>
    <n v="10"/>
    <n v="0"/>
    <n v="1"/>
    <s v="Repeat"/>
    <x v="1"/>
    <n v="39"/>
    <n v="1"/>
  </r>
  <r>
    <n v="3176"/>
    <x v="147"/>
    <n v="1966"/>
    <x v="2"/>
    <x v="2"/>
    <x v="2"/>
    <n v="4"/>
    <n v="0"/>
    <s v="Card"/>
    <x v="1"/>
    <x v="1"/>
    <n v="5"/>
    <n v="0"/>
    <n v="0"/>
    <s v="New"/>
    <x v="4"/>
    <n v="47"/>
    <n v="0"/>
  </r>
  <r>
    <n v="3177"/>
    <x v="54"/>
    <n v="1312"/>
    <x v="0"/>
    <x v="0"/>
    <x v="3"/>
    <n v="5"/>
    <n v="5050"/>
    <s v="UPI"/>
    <x v="0"/>
    <x v="3"/>
    <n v="9"/>
    <n v="0"/>
    <n v="1"/>
    <s v="New"/>
    <x v="0"/>
    <n v="34"/>
    <n v="1"/>
  </r>
  <r>
    <n v="3178"/>
    <x v="65"/>
    <n v="1662"/>
    <x v="1"/>
    <x v="4"/>
    <x v="1"/>
    <n v="1"/>
    <n v="0"/>
    <s v="Card"/>
    <x v="2"/>
    <x v="0"/>
    <n v="5"/>
    <n v="1"/>
    <n v="0"/>
    <s v="New"/>
    <x v="1"/>
    <n v="38"/>
    <n v="0"/>
  </r>
  <r>
    <n v="3179"/>
    <x v="64"/>
    <n v="1472"/>
    <x v="4"/>
    <x v="2"/>
    <x v="2"/>
    <n v="4"/>
    <n v="0"/>
    <s v="Card"/>
    <x v="2"/>
    <x v="3"/>
    <n v="1"/>
    <n v="0"/>
    <n v="1"/>
    <s v="New"/>
    <x v="2"/>
    <n v="43"/>
    <n v="0"/>
  </r>
  <r>
    <n v="3180"/>
    <x v="18"/>
    <n v="1143"/>
    <x v="3"/>
    <x v="3"/>
    <x v="1"/>
    <n v="3"/>
    <n v="0"/>
    <s v="Wallet"/>
    <x v="2"/>
    <x v="2"/>
    <n v="2"/>
    <n v="0"/>
    <n v="1"/>
    <s v="New"/>
    <x v="1"/>
    <n v="36"/>
    <n v="0"/>
  </r>
  <r>
    <n v="3181"/>
    <x v="104"/>
    <n v="1432"/>
    <x v="4"/>
    <x v="4"/>
    <x v="2"/>
    <n v="5"/>
    <n v="0"/>
    <s v="COD"/>
    <x v="1"/>
    <x v="1"/>
    <n v="5"/>
    <n v="0"/>
    <n v="1"/>
    <s v="New"/>
    <x v="5"/>
    <n v="29"/>
    <n v="0"/>
  </r>
  <r>
    <n v="3182"/>
    <x v="111"/>
    <n v="1865"/>
    <x v="4"/>
    <x v="2"/>
    <x v="2"/>
    <n v="1"/>
    <n v="0"/>
    <s v="Card"/>
    <x v="2"/>
    <x v="1"/>
    <n v="4"/>
    <n v="1"/>
    <n v="0"/>
    <s v="New"/>
    <x v="4"/>
    <n v="48"/>
    <n v="0"/>
  </r>
  <r>
    <n v="3183"/>
    <x v="122"/>
    <n v="1668"/>
    <x v="2"/>
    <x v="4"/>
    <x v="3"/>
    <n v="4"/>
    <n v="0"/>
    <s v="UPI"/>
    <x v="1"/>
    <x v="0"/>
    <n v="1"/>
    <n v="0"/>
    <n v="1"/>
    <s v="New"/>
    <x v="3"/>
    <n v="53"/>
    <n v="0"/>
  </r>
  <r>
    <n v="3184"/>
    <x v="92"/>
    <n v="1127"/>
    <x v="4"/>
    <x v="2"/>
    <x v="3"/>
    <n v="3"/>
    <n v="7170"/>
    <s v="UPI"/>
    <x v="0"/>
    <x v="0"/>
    <n v="1"/>
    <n v="1"/>
    <n v="1"/>
    <s v="New"/>
    <x v="3"/>
    <n v="53"/>
    <n v="1"/>
  </r>
  <r>
    <n v="3185"/>
    <x v="26"/>
    <n v="1727"/>
    <x v="4"/>
    <x v="4"/>
    <x v="0"/>
    <n v="5"/>
    <n v="0"/>
    <s v="Card"/>
    <x v="1"/>
    <x v="2"/>
    <n v="9"/>
    <n v="0"/>
    <n v="0"/>
    <s v="Repeat"/>
    <x v="2"/>
    <n v="42"/>
    <n v="0"/>
  </r>
  <r>
    <n v="3186"/>
    <x v="132"/>
    <n v="1172"/>
    <x v="0"/>
    <x v="0"/>
    <x v="0"/>
    <n v="2"/>
    <n v="0"/>
    <s v="UPI"/>
    <x v="2"/>
    <x v="0"/>
    <n v="8"/>
    <n v="1"/>
    <n v="0"/>
    <s v="Repeat"/>
    <x v="2"/>
    <n v="42"/>
    <n v="0"/>
  </r>
  <r>
    <n v="3187"/>
    <x v="129"/>
    <n v="1529"/>
    <x v="2"/>
    <x v="1"/>
    <x v="3"/>
    <n v="5"/>
    <n v="0"/>
    <s v="Wallet"/>
    <x v="2"/>
    <x v="1"/>
    <n v="6"/>
    <n v="1"/>
    <n v="1"/>
    <s v="New"/>
    <x v="4"/>
    <n v="46"/>
    <n v="0"/>
  </r>
  <r>
    <n v="3188"/>
    <x v="72"/>
    <n v="1685"/>
    <x v="1"/>
    <x v="3"/>
    <x v="3"/>
    <n v="4"/>
    <n v="0"/>
    <s v="Card"/>
    <x v="1"/>
    <x v="0"/>
    <n v="4"/>
    <n v="0"/>
    <n v="1"/>
    <s v="Repeat"/>
    <x v="2"/>
    <n v="41"/>
    <n v="0"/>
  </r>
  <r>
    <n v="3189"/>
    <x v="121"/>
    <n v="1209"/>
    <x v="3"/>
    <x v="1"/>
    <x v="3"/>
    <n v="2"/>
    <n v="0"/>
    <s v="COD"/>
    <x v="2"/>
    <x v="3"/>
    <n v="9"/>
    <n v="0"/>
    <n v="1"/>
    <s v="New"/>
    <x v="1"/>
    <n v="37"/>
    <n v="0"/>
  </r>
  <r>
    <n v="3190"/>
    <x v="168"/>
    <n v="1013"/>
    <x v="1"/>
    <x v="0"/>
    <x v="1"/>
    <n v="3"/>
    <n v="0"/>
    <s v="Wallet"/>
    <x v="1"/>
    <x v="2"/>
    <n v="1"/>
    <n v="1"/>
    <n v="0"/>
    <s v="New"/>
    <x v="6"/>
    <n v="1"/>
    <n v="0"/>
  </r>
  <r>
    <n v="3191"/>
    <x v="36"/>
    <n v="1952"/>
    <x v="0"/>
    <x v="0"/>
    <x v="0"/>
    <n v="3"/>
    <n v="0"/>
    <s v="UPI"/>
    <x v="1"/>
    <x v="1"/>
    <n v="7"/>
    <n v="0"/>
    <n v="1"/>
    <s v="New"/>
    <x v="2"/>
    <n v="44"/>
    <n v="0"/>
  </r>
  <r>
    <n v="3192"/>
    <x v="163"/>
    <n v="1695"/>
    <x v="1"/>
    <x v="4"/>
    <x v="1"/>
    <n v="3"/>
    <n v="0"/>
    <s v="Wallet"/>
    <x v="2"/>
    <x v="3"/>
    <n v="1"/>
    <n v="0"/>
    <n v="0"/>
    <s v="New"/>
    <x v="4"/>
    <n v="45"/>
    <n v="0"/>
  </r>
  <r>
    <n v="3193"/>
    <x v="83"/>
    <n v="1113"/>
    <x v="2"/>
    <x v="0"/>
    <x v="3"/>
    <n v="3"/>
    <n v="0"/>
    <s v="Card"/>
    <x v="1"/>
    <x v="0"/>
    <n v="2"/>
    <n v="1"/>
    <n v="1"/>
    <s v="New"/>
    <x v="1"/>
    <n v="36"/>
    <n v="0"/>
  </r>
  <r>
    <n v="3194"/>
    <x v="98"/>
    <n v="1222"/>
    <x v="3"/>
    <x v="4"/>
    <x v="1"/>
    <n v="5"/>
    <n v="6555"/>
    <s v="Wallet"/>
    <x v="0"/>
    <x v="2"/>
    <n v="6"/>
    <n v="0"/>
    <n v="1"/>
    <s v="New"/>
    <x v="3"/>
    <n v="51"/>
    <n v="1"/>
  </r>
  <r>
    <n v="3195"/>
    <x v="56"/>
    <n v="1737"/>
    <x v="2"/>
    <x v="1"/>
    <x v="0"/>
    <n v="4"/>
    <n v="14384"/>
    <s v="Wallet"/>
    <x v="0"/>
    <x v="0"/>
    <n v="10"/>
    <n v="0"/>
    <n v="1"/>
    <s v="Repeat"/>
    <x v="6"/>
    <n v="2"/>
    <n v="1"/>
  </r>
  <r>
    <n v="3196"/>
    <x v="42"/>
    <n v="1039"/>
    <x v="4"/>
    <x v="0"/>
    <x v="0"/>
    <n v="4"/>
    <n v="0"/>
    <s v="COD"/>
    <x v="2"/>
    <x v="3"/>
    <n v="2"/>
    <n v="1"/>
    <n v="0"/>
    <s v="Repeat"/>
    <x v="2"/>
    <n v="44"/>
    <n v="0"/>
  </r>
  <r>
    <n v="3197"/>
    <x v="57"/>
    <n v="1614"/>
    <x v="0"/>
    <x v="4"/>
    <x v="3"/>
    <n v="1"/>
    <n v="0"/>
    <s v="Card"/>
    <x v="1"/>
    <x v="1"/>
    <n v="4"/>
    <n v="0"/>
    <n v="0"/>
    <s v="Repeat"/>
    <x v="4"/>
    <n v="48"/>
    <n v="0"/>
  </r>
  <r>
    <n v="3198"/>
    <x v="29"/>
    <n v="1413"/>
    <x v="4"/>
    <x v="3"/>
    <x v="3"/>
    <n v="5"/>
    <n v="8225"/>
    <s v="COD"/>
    <x v="0"/>
    <x v="2"/>
    <n v="5"/>
    <n v="0"/>
    <n v="1"/>
    <s v="New"/>
    <x v="1"/>
    <n v="39"/>
    <n v="1"/>
  </r>
  <r>
    <n v="3199"/>
    <x v="117"/>
    <n v="1725"/>
    <x v="4"/>
    <x v="3"/>
    <x v="3"/>
    <n v="4"/>
    <n v="0"/>
    <s v="COD"/>
    <x v="1"/>
    <x v="0"/>
    <n v="5"/>
    <n v="0"/>
    <n v="0"/>
    <s v="Repeat"/>
    <x v="5"/>
    <n v="31"/>
    <n v="0"/>
  </r>
  <r>
    <n v="3200"/>
    <x v="39"/>
    <n v="1485"/>
    <x v="1"/>
    <x v="3"/>
    <x v="1"/>
    <n v="2"/>
    <n v="0"/>
    <s v="Card"/>
    <x v="2"/>
    <x v="2"/>
    <n v="1"/>
    <n v="1"/>
    <n v="0"/>
    <s v="Repeat"/>
    <x v="0"/>
    <n v="34"/>
    <n v="0"/>
  </r>
  <r>
    <n v="3201"/>
    <x v="75"/>
    <n v="1559"/>
    <x v="1"/>
    <x v="3"/>
    <x v="0"/>
    <n v="3"/>
    <n v="0"/>
    <s v="UPI"/>
    <x v="1"/>
    <x v="3"/>
    <n v="8"/>
    <n v="0"/>
    <n v="1"/>
    <s v="Repeat"/>
    <x v="3"/>
    <n v="52"/>
    <n v="0"/>
  </r>
  <r>
    <n v="3202"/>
    <x v="100"/>
    <n v="1209"/>
    <x v="3"/>
    <x v="1"/>
    <x v="2"/>
    <n v="1"/>
    <n v="4514"/>
    <s v="COD"/>
    <x v="0"/>
    <x v="0"/>
    <n v="2"/>
    <n v="0"/>
    <n v="0"/>
    <s v="Repeat"/>
    <x v="1"/>
    <n v="37"/>
    <n v="1"/>
  </r>
  <r>
    <n v="3203"/>
    <x v="96"/>
    <n v="1266"/>
    <x v="2"/>
    <x v="0"/>
    <x v="1"/>
    <n v="1"/>
    <n v="0"/>
    <s v="COD"/>
    <x v="2"/>
    <x v="3"/>
    <n v="8"/>
    <n v="1"/>
    <n v="1"/>
    <s v="Repeat"/>
    <x v="4"/>
    <n v="45"/>
    <n v="0"/>
  </r>
  <r>
    <n v="3204"/>
    <x v="21"/>
    <n v="1394"/>
    <x v="3"/>
    <x v="3"/>
    <x v="1"/>
    <n v="3"/>
    <n v="0"/>
    <s v="Wallet"/>
    <x v="1"/>
    <x v="1"/>
    <n v="8"/>
    <n v="1"/>
    <n v="1"/>
    <s v="New"/>
    <x v="2"/>
    <n v="43"/>
    <n v="0"/>
  </r>
  <r>
    <n v="3205"/>
    <x v="132"/>
    <n v="1100"/>
    <x v="2"/>
    <x v="3"/>
    <x v="3"/>
    <n v="3"/>
    <n v="0"/>
    <s v="COD"/>
    <x v="1"/>
    <x v="0"/>
    <n v="3"/>
    <n v="0"/>
    <n v="1"/>
    <s v="New"/>
    <x v="2"/>
    <n v="42"/>
    <n v="0"/>
  </r>
  <r>
    <n v="3206"/>
    <x v="13"/>
    <n v="1983"/>
    <x v="0"/>
    <x v="4"/>
    <x v="3"/>
    <n v="2"/>
    <n v="0"/>
    <s v="UPI"/>
    <x v="1"/>
    <x v="1"/>
    <n v="1"/>
    <n v="0"/>
    <n v="1"/>
    <s v="New"/>
    <x v="2"/>
    <n v="41"/>
    <n v="0"/>
  </r>
  <r>
    <n v="3207"/>
    <x v="73"/>
    <n v="1320"/>
    <x v="3"/>
    <x v="1"/>
    <x v="2"/>
    <n v="4"/>
    <n v="0"/>
    <s v="Card"/>
    <x v="1"/>
    <x v="2"/>
    <n v="3"/>
    <n v="1"/>
    <n v="0"/>
    <s v="New"/>
    <x v="4"/>
    <n v="45"/>
    <n v="0"/>
  </r>
  <r>
    <n v="3208"/>
    <x v="4"/>
    <n v="1829"/>
    <x v="0"/>
    <x v="1"/>
    <x v="2"/>
    <n v="5"/>
    <n v="0"/>
    <s v="Wallet"/>
    <x v="2"/>
    <x v="3"/>
    <n v="4"/>
    <n v="1"/>
    <n v="0"/>
    <s v="Repeat"/>
    <x v="3"/>
    <n v="50"/>
    <n v="0"/>
  </r>
  <r>
    <n v="3209"/>
    <x v="109"/>
    <n v="1184"/>
    <x v="1"/>
    <x v="1"/>
    <x v="2"/>
    <n v="5"/>
    <n v="0"/>
    <s v="COD"/>
    <x v="1"/>
    <x v="2"/>
    <n v="2"/>
    <n v="0"/>
    <n v="0"/>
    <s v="Repeat"/>
    <x v="4"/>
    <n v="46"/>
    <n v="0"/>
  </r>
  <r>
    <n v="3210"/>
    <x v="150"/>
    <n v="1476"/>
    <x v="3"/>
    <x v="1"/>
    <x v="2"/>
    <n v="4"/>
    <n v="0"/>
    <s v="UPI"/>
    <x v="1"/>
    <x v="0"/>
    <n v="5"/>
    <n v="0"/>
    <n v="0"/>
    <s v="New"/>
    <x v="0"/>
    <n v="35"/>
    <n v="0"/>
  </r>
  <r>
    <n v="3211"/>
    <x v="74"/>
    <n v="1331"/>
    <x v="2"/>
    <x v="3"/>
    <x v="3"/>
    <n v="1"/>
    <n v="428"/>
    <s v="COD"/>
    <x v="0"/>
    <x v="0"/>
    <n v="6"/>
    <n v="1"/>
    <n v="0"/>
    <s v="New"/>
    <x v="5"/>
    <n v="29"/>
    <n v="1"/>
  </r>
  <r>
    <n v="3212"/>
    <x v="145"/>
    <n v="1750"/>
    <x v="1"/>
    <x v="3"/>
    <x v="0"/>
    <n v="3"/>
    <n v="12654"/>
    <s v="UPI"/>
    <x v="0"/>
    <x v="1"/>
    <n v="8"/>
    <n v="0"/>
    <n v="0"/>
    <s v="Repeat"/>
    <x v="4"/>
    <n v="48"/>
    <n v="1"/>
  </r>
  <r>
    <n v="3213"/>
    <x v="1"/>
    <n v="1609"/>
    <x v="1"/>
    <x v="4"/>
    <x v="0"/>
    <n v="5"/>
    <n v="17270"/>
    <s v="UPI"/>
    <x v="0"/>
    <x v="3"/>
    <n v="9"/>
    <n v="1"/>
    <n v="0"/>
    <s v="Repeat"/>
    <x v="1"/>
    <n v="39"/>
    <n v="1"/>
  </r>
  <r>
    <n v="3214"/>
    <x v="67"/>
    <n v="1601"/>
    <x v="4"/>
    <x v="1"/>
    <x v="0"/>
    <n v="1"/>
    <n v="1257"/>
    <s v="UPI"/>
    <x v="0"/>
    <x v="3"/>
    <n v="5"/>
    <n v="0"/>
    <n v="1"/>
    <s v="New"/>
    <x v="1"/>
    <n v="36"/>
    <n v="1"/>
  </r>
  <r>
    <n v="3215"/>
    <x v="155"/>
    <n v="1335"/>
    <x v="4"/>
    <x v="2"/>
    <x v="3"/>
    <n v="1"/>
    <n v="0"/>
    <s v="Card"/>
    <x v="2"/>
    <x v="3"/>
    <n v="3"/>
    <n v="1"/>
    <n v="0"/>
    <s v="New"/>
    <x v="0"/>
    <n v="33"/>
    <n v="0"/>
  </r>
  <r>
    <n v="3216"/>
    <x v="139"/>
    <n v="1702"/>
    <x v="0"/>
    <x v="0"/>
    <x v="0"/>
    <n v="3"/>
    <n v="0"/>
    <s v="Wallet"/>
    <x v="2"/>
    <x v="2"/>
    <n v="10"/>
    <n v="1"/>
    <n v="1"/>
    <s v="Repeat"/>
    <x v="4"/>
    <n v="45"/>
    <n v="0"/>
  </r>
  <r>
    <n v="3217"/>
    <x v="84"/>
    <n v="1144"/>
    <x v="1"/>
    <x v="1"/>
    <x v="3"/>
    <n v="4"/>
    <n v="0"/>
    <s v="Wallet"/>
    <x v="1"/>
    <x v="2"/>
    <n v="6"/>
    <n v="0"/>
    <n v="0"/>
    <s v="Repeat"/>
    <x v="2"/>
    <n v="41"/>
    <n v="0"/>
  </r>
  <r>
    <n v="3218"/>
    <x v="90"/>
    <n v="1975"/>
    <x v="1"/>
    <x v="0"/>
    <x v="0"/>
    <n v="3"/>
    <n v="0"/>
    <s v="UPI"/>
    <x v="1"/>
    <x v="2"/>
    <n v="8"/>
    <n v="1"/>
    <n v="1"/>
    <s v="New"/>
    <x v="0"/>
    <n v="31"/>
    <n v="0"/>
  </r>
  <r>
    <n v="3219"/>
    <x v="70"/>
    <n v="1679"/>
    <x v="1"/>
    <x v="4"/>
    <x v="0"/>
    <n v="1"/>
    <n v="2995"/>
    <s v="Card"/>
    <x v="0"/>
    <x v="1"/>
    <n v="3"/>
    <n v="0"/>
    <n v="1"/>
    <s v="Repeat"/>
    <x v="2"/>
    <n v="40"/>
    <n v="1"/>
  </r>
  <r>
    <n v="3220"/>
    <x v="102"/>
    <n v="1201"/>
    <x v="4"/>
    <x v="1"/>
    <x v="1"/>
    <n v="4"/>
    <n v="0"/>
    <s v="Card"/>
    <x v="2"/>
    <x v="1"/>
    <n v="6"/>
    <n v="0"/>
    <n v="0"/>
    <s v="New"/>
    <x v="3"/>
    <n v="50"/>
    <n v="0"/>
  </r>
  <r>
    <n v="3221"/>
    <x v="104"/>
    <n v="1485"/>
    <x v="4"/>
    <x v="4"/>
    <x v="1"/>
    <n v="2"/>
    <n v="2266"/>
    <s v="COD"/>
    <x v="0"/>
    <x v="0"/>
    <n v="9"/>
    <n v="0"/>
    <n v="0"/>
    <s v="Repeat"/>
    <x v="5"/>
    <n v="29"/>
    <n v="1"/>
  </r>
  <r>
    <n v="3222"/>
    <x v="57"/>
    <n v="1934"/>
    <x v="2"/>
    <x v="0"/>
    <x v="0"/>
    <n v="4"/>
    <n v="0"/>
    <s v="Card"/>
    <x v="1"/>
    <x v="1"/>
    <n v="1"/>
    <n v="0"/>
    <n v="1"/>
    <s v="Repeat"/>
    <x v="4"/>
    <n v="48"/>
    <n v="0"/>
  </r>
  <r>
    <n v="3223"/>
    <x v="52"/>
    <n v="1622"/>
    <x v="1"/>
    <x v="4"/>
    <x v="3"/>
    <n v="2"/>
    <n v="0"/>
    <s v="Card"/>
    <x v="1"/>
    <x v="1"/>
    <n v="10"/>
    <n v="0"/>
    <n v="0"/>
    <s v="New"/>
    <x v="4"/>
    <n v="44"/>
    <n v="0"/>
  </r>
  <r>
    <n v="3224"/>
    <x v="77"/>
    <n v="1154"/>
    <x v="2"/>
    <x v="1"/>
    <x v="3"/>
    <n v="3"/>
    <n v="0"/>
    <s v="Wallet"/>
    <x v="2"/>
    <x v="3"/>
    <n v="3"/>
    <n v="0"/>
    <n v="0"/>
    <s v="Repeat"/>
    <x v="1"/>
    <n v="38"/>
    <n v="0"/>
  </r>
  <r>
    <n v="3225"/>
    <x v="131"/>
    <n v="1631"/>
    <x v="0"/>
    <x v="1"/>
    <x v="0"/>
    <n v="2"/>
    <n v="3432"/>
    <s v="UPI"/>
    <x v="0"/>
    <x v="0"/>
    <n v="3"/>
    <n v="1"/>
    <n v="1"/>
    <s v="New"/>
    <x v="4"/>
    <n v="47"/>
    <n v="1"/>
  </r>
  <r>
    <n v="3226"/>
    <x v="24"/>
    <n v="1865"/>
    <x v="0"/>
    <x v="3"/>
    <x v="1"/>
    <n v="5"/>
    <n v="0"/>
    <s v="UPI"/>
    <x v="1"/>
    <x v="3"/>
    <n v="9"/>
    <n v="1"/>
    <n v="1"/>
    <s v="New"/>
    <x v="5"/>
    <n v="30"/>
    <n v="0"/>
  </r>
  <r>
    <n v="3227"/>
    <x v="62"/>
    <n v="1148"/>
    <x v="2"/>
    <x v="1"/>
    <x v="0"/>
    <n v="4"/>
    <n v="7544"/>
    <s v="Wallet"/>
    <x v="0"/>
    <x v="1"/>
    <n v="4"/>
    <n v="1"/>
    <n v="1"/>
    <s v="Repeat"/>
    <x v="2"/>
    <n v="43"/>
    <n v="1"/>
  </r>
  <r>
    <n v="3228"/>
    <x v="143"/>
    <n v="1758"/>
    <x v="2"/>
    <x v="1"/>
    <x v="2"/>
    <n v="2"/>
    <n v="2586"/>
    <s v="UPI"/>
    <x v="0"/>
    <x v="3"/>
    <n v="1"/>
    <n v="1"/>
    <n v="0"/>
    <s v="New"/>
    <x v="2"/>
    <n v="43"/>
    <n v="1"/>
  </r>
  <r>
    <n v="3229"/>
    <x v="115"/>
    <n v="1501"/>
    <x v="1"/>
    <x v="4"/>
    <x v="3"/>
    <n v="2"/>
    <n v="4990"/>
    <s v="UPI"/>
    <x v="0"/>
    <x v="2"/>
    <n v="5"/>
    <n v="0"/>
    <n v="1"/>
    <s v="New"/>
    <x v="4"/>
    <n v="48"/>
    <n v="1"/>
  </r>
  <r>
    <n v="3230"/>
    <x v="85"/>
    <n v="1285"/>
    <x v="3"/>
    <x v="1"/>
    <x v="1"/>
    <n v="3"/>
    <n v="0"/>
    <s v="Wallet"/>
    <x v="1"/>
    <x v="2"/>
    <n v="4"/>
    <n v="0"/>
    <n v="0"/>
    <s v="New"/>
    <x v="3"/>
    <n v="50"/>
    <n v="0"/>
  </r>
  <r>
    <n v="3231"/>
    <x v="155"/>
    <n v="1880"/>
    <x v="1"/>
    <x v="1"/>
    <x v="0"/>
    <n v="1"/>
    <n v="0"/>
    <s v="Card"/>
    <x v="1"/>
    <x v="1"/>
    <n v="1"/>
    <n v="0"/>
    <n v="0"/>
    <s v="New"/>
    <x v="0"/>
    <n v="33"/>
    <n v="0"/>
  </r>
  <r>
    <n v="3232"/>
    <x v="17"/>
    <n v="1065"/>
    <x v="0"/>
    <x v="4"/>
    <x v="0"/>
    <n v="3"/>
    <n v="0"/>
    <s v="Wallet"/>
    <x v="2"/>
    <x v="0"/>
    <n v="3"/>
    <n v="0"/>
    <n v="0"/>
    <s v="New"/>
    <x v="1"/>
    <n v="38"/>
    <n v="0"/>
  </r>
  <r>
    <n v="3233"/>
    <x v="67"/>
    <n v="1335"/>
    <x v="4"/>
    <x v="0"/>
    <x v="0"/>
    <n v="3"/>
    <n v="0"/>
    <s v="Card"/>
    <x v="1"/>
    <x v="3"/>
    <n v="5"/>
    <n v="1"/>
    <n v="0"/>
    <s v="Repeat"/>
    <x v="1"/>
    <n v="36"/>
    <n v="0"/>
  </r>
  <r>
    <n v="3234"/>
    <x v="105"/>
    <n v="1698"/>
    <x v="3"/>
    <x v="1"/>
    <x v="3"/>
    <n v="5"/>
    <n v="15550"/>
    <s v="Card"/>
    <x v="0"/>
    <x v="0"/>
    <n v="5"/>
    <n v="1"/>
    <n v="0"/>
    <s v="New"/>
    <x v="3"/>
    <n v="52"/>
    <n v="1"/>
  </r>
  <r>
    <n v="3235"/>
    <x v="151"/>
    <n v="1141"/>
    <x v="0"/>
    <x v="4"/>
    <x v="1"/>
    <n v="4"/>
    <n v="0"/>
    <s v="COD"/>
    <x v="1"/>
    <x v="1"/>
    <n v="6"/>
    <n v="0"/>
    <n v="1"/>
    <s v="New"/>
    <x v="3"/>
    <n v="52"/>
    <n v="0"/>
  </r>
  <r>
    <n v="3236"/>
    <x v="113"/>
    <n v="1653"/>
    <x v="2"/>
    <x v="2"/>
    <x v="0"/>
    <n v="4"/>
    <n v="0"/>
    <s v="Card"/>
    <x v="1"/>
    <x v="3"/>
    <n v="2"/>
    <n v="0"/>
    <n v="0"/>
    <s v="New"/>
    <x v="0"/>
    <n v="33"/>
    <n v="0"/>
  </r>
  <r>
    <n v="3237"/>
    <x v="68"/>
    <n v="1583"/>
    <x v="4"/>
    <x v="4"/>
    <x v="2"/>
    <n v="4"/>
    <n v="0"/>
    <s v="UPI"/>
    <x v="1"/>
    <x v="3"/>
    <n v="4"/>
    <n v="1"/>
    <n v="0"/>
    <s v="New"/>
    <x v="0"/>
    <n v="32"/>
    <n v="0"/>
  </r>
  <r>
    <n v="3238"/>
    <x v="81"/>
    <n v="1816"/>
    <x v="4"/>
    <x v="0"/>
    <x v="0"/>
    <n v="5"/>
    <n v="14330"/>
    <s v="COD"/>
    <x v="0"/>
    <x v="0"/>
    <n v="4"/>
    <n v="0"/>
    <n v="1"/>
    <s v="Repeat"/>
    <x v="0"/>
    <n v="33"/>
    <n v="1"/>
  </r>
  <r>
    <n v="3239"/>
    <x v="175"/>
    <n v="1887"/>
    <x v="3"/>
    <x v="1"/>
    <x v="3"/>
    <n v="4"/>
    <n v="7332"/>
    <s v="COD"/>
    <x v="0"/>
    <x v="3"/>
    <n v="7"/>
    <n v="0"/>
    <n v="1"/>
    <s v="Repeat"/>
    <x v="5"/>
    <n v="31"/>
    <n v="1"/>
  </r>
  <r>
    <n v="3240"/>
    <x v="118"/>
    <n v="1064"/>
    <x v="3"/>
    <x v="1"/>
    <x v="2"/>
    <n v="4"/>
    <n v="0"/>
    <s v="Wallet"/>
    <x v="2"/>
    <x v="2"/>
    <n v="9"/>
    <n v="0"/>
    <n v="1"/>
    <s v="New"/>
    <x v="0"/>
    <n v="35"/>
    <n v="0"/>
  </r>
  <r>
    <n v="3241"/>
    <x v="178"/>
    <n v="1345"/>
    <x v="0"/>
    <x v="3"/>
    <x v="3"/>
    <n v="5"/>
    <n v="3980"/>
    <s v="COD"/>
    <x v="0"/>
    <x v="2"/>
    <n v="10"/>
    <n v="1"/>
    <n v="1"/>
    <s v="Repeat"/>
    <x v="4"/>
    <n v="45"/>
    <n v="1"/>
  </r>
  <r>
    <n v="3242"/>
    <x v="140"/>
    <n v="1423"/>
    <x v="0"/>
    <x v="3"/>
    <x v="0"/>
    <n v="4"/>
    <n v="0"/>
    <s v="Wallet"/>
    <x v="1"/>
    <x v="3"/>
    <n v="5"/>
    <n v="1"/>
    <n v="0"/>
    <s v="New"/>
    <x v="4"/>
    <n v="48"/>
    <n v="0"/>
  </r>
  <r>
    <n v="3243"/>
    <x v="67"/>
    <n v="1854"/>
    <x v="1"/>
    <x v="1"/>
    <x v="2"/>
    <n v="3"/>
    <n v="0"/>
    <s v="Card"/>
    <x v="2"/>
    <x v="2"/>
    <n v="8"/>
    <n v="1"/>
    <n v="1"/>
    <s v="New"/>
    <x v="1"/>
    <n v="36"/>
    <n v="0"/>
  </r>
  <r>
    <n v="3244"/>
    <x v="39"/>
    <n v="1216"/>
    <x v="2"/>
    <x v="3"/>
    <x v="2"/>
    <n v="4"/>
    <n v="7152"/>
    <s v="UPI"/>
    <x v="0"/>
    <x v="2"/>
    <n v="9"/>
    <n v="0"/>
    <n v="0"/>
    <s v="New"/>
    <x v="0"/>
    <n v="34"/>
    <n v="1"/>
  </r>
  <r>
    <n v="3245"/>
    <x v="53"/>
    <n v="1662"/>
    <x v="3"/>
    <x v="0"/>
    <x v="1"/>
    <n v="2"/>
    <n v="0"/>
    <s v="Wallet"/>
    <x v="2"/>
    <x v="3"/>
    <n v="8"/>
    <n v="1"/>
    <n v="0"/>
    <s v="Repeat"/>
    <x v="2"/>
    <n v="42"/>
    <n v="0"/>
  </r>
  <r>
    <n v="3246"/>
    <x v="60"/>
    <n v="1734"/>
    <x v="2"/>
    <x v="2"/>
    <x v="1"/>
    <n v="5"/>
    <n v="0"/>
    <s v="Wallet"/>
    <x v="1"/>
    <x v="1"/>
    <n v="4"/>
    <n v="1"/>
    <n v="0"/>
    <s v="Repeat"/>
    <x v="1"/>
    <n v="36"/>
    <n v="0"/>
  </r>
  <r>
    <n v="3247"/>
    <x v="6"/>
    <n v="1600"/>
    <x v="1"/>
    <x v="3"/>
    <x v="0"/>
    <n v="5"/>
    <n v="20305"/>
    <s v="Card"/>
    <x v="0"/>
    <x v="2"/>
    <n v="4"/>
    <n v="0"/>
    <n v="0"/>
    <s v="Repeat"/>
    <x v="4"/>
    <n v="47"/>
    <n v="1"/>
  </r>
  <r>
    <n v="3248"/>
    <x v="142"/>
    <n v="1590"/>
    <x v="2"/>
    <x v="1"/>
    <x v="3"/>
    <n v="1"/>
    <n v="0"/>
    <s v="Card"/>
    <x v="1"/>
    <x v="1"/>
    <n v="6"/>
    <n v="0"/>
    <n v="1"/>
    <s v="New"/>
    <x v="2"/>
    <n v="42"/>
    <n v="0"/>
  </r>
  <r>
    <n v="3249"/>
    <x v="85"/>
    <n v="1765"/>
    <x v="2"/>
    <x v="3"/>
    <x v="2"/>
    <n v="2"/>
    <n v="0"/>
    <s v="COD"/>
    <x v="1"/>
    <x v="2"/>
    <n v="7"/>
    <n v="0"/>
    <n v="0"/>
    <s v="Repeat"/>
    <x v="3"/>
    <n v="50"/>
    <n v="0"/>
  </r>
  <r>
    <n v="3250"/>
    <x v="75"/>
    <n v="1598"/>
    <x v="4"/>
    <x v="2"/>
    <x v="1"/>
    <n v="4"/>
    <n v="12280"/>
    <s v="COD"/>
    <x v="0"/>
    <x v="2"/>
    <n v="10"/>
    <n v="1"/>
    <n v="0"/>
    <s v="New"/>
    <x v="3"/>
    <n v="52"/>
    <n v="1"/>
  </r>
  <r>
    <n v="3251"/>
    <x v="134"/>
    <n v="1335"/>
    <x v="1"/>
    <x v="4"/>
    <x v="1"/>
    <n v="4"/>
    <n v="0"/>
    <s v="COD"/>
    <x v="2"/>
    <x v="0"/>
    <n v="5"/>
    <n v="1"/>
    <n v="0"/>
    <s v="Repeat"/>
    <x v="3"/>
    <n v="51"/>
    <n v="0"/>
  </r>
  <r>
    <n v="3252"/>
    <x v="5"/>
    <n v="1763"/>
    <x v="2"/>
    <x v="1"/>
    <x v="1"/>
    <n v="1"/>
    <n v="0"/>
    <s v="Wallet"/>
    <x v="1"/>
    <x v="2"/>
    <n v="10"/>
    <n v="0"/>
    <n v="0"/>
    <s v="Repeat"/>
    <x v="0"/>
    <n v="33"/>
    <n v="0"/>
  </r>
  <r>
    <n v="3253"/>
    <x v="92"/>
    <n v="1138"/>
    <x v="0"/>
    <x v="0"/>
    <x v="2"/>
    <n v="5"/>
    <n v="0"/>
    <s v="Wallet"/>
    <x v="2"/>
    <x v="0"/>
    <n v="3"/>
    <n v="1"/>
    <n v="0"/>
    <s v="New"/>
    <x v="3"/>
    <n v="53"/>
    <n v="0"/>
  </r>
  <r>
    <n v="3254"/>
    <x v="56"/>
    <n v="1913"/>
    <x v="3"/>
    <x v="4"/>
    <x v="3"/>
    <n v="1"/>
    <n v="401"/>
    <s v="UPI"/>
    <x v="0"/>
    <x v="2"/>
    <n v="2"/>
    <n v="1"/>
    <n v="0"/>
    <s v="Repeat"/>
    <x v="6"/>
    <n v="2"/>
    <n v="1"/>
  </r>
  <r>
    <n v="3255"/>
    <x v="112"/>
    <n v="1124"/>
    <x v="2"/>
    <x v="3"/>
    <x v="0"/>
    <n v="2"/>
    <n v="4780"/>
    <s v="COD"/>
    <x v="0"/>
    <x v="3"/>
    <n v="2"/>
    <n v="0"/>
    <n v="0"/>
    <s v="Repeat"/>
    <x v="5"/>
    <n v="30"/>
    <n v="1"/>
  </r>
  <r>
    <n v="3256"/>
    <x v="18"/>
    <n v="1954"/>
    <x v="4"/>
    <x v="0"/>
    <x v="2"/>
    <n v="1"/>
    <n v="489"/>
    <s v="COD"/>
    <x v="0"/>
    <x v="3"/>
    <n v="5"/>
    <n v="1"/>
    <n v="1"/>
    <s v="Repeat"/>
    <x v="1"/>
    <n v="36"/>
    <n v="1"/>
  </r>
  <r>
    <n v="3257"/>
    <x v="148"/>
    <n v="1840"/>
    <x v="4"/>
    <x v="2"/>
    <x v="1"/>
    <n v="4"/>
    <n v="0"/>
    <s v="Wallet"/>
    <x v="2"/>
    <x v="3"/>
    <n v="6"/>
    <n v="0"/>
    <n v="1"/>
    <s v="Repeat"/>
    <x v="5"/>
    <n v="30"/>
    <n v="0"/>
  </r>
  <r>
    <n v="3258"/>
    <x v="42"/>
    <n v="1148"/>
    <x v="2"/>
    <x v="0"/>
    <x v="3"/>
    <n v="4"/>
    <n v="19076"/>
    <s v="Wallet"/>
    <x v="0"/>
    <x v="2"/>
    <n v="6"/>
    <n v="0"/>
    <n v="1"/>
    <s v="New"/>
    <x v="2"/>
    <n v="44"/>
    <n v="1"/>
  </r>
  <r>
    <n v="3259"/>
    <x v="19"/>
    <n v="1913"/>
    <x v="3"/>
    <x v="0"/>
    <x v="3"/>
    <n v="4"/>
    <n v="0"/>
    <s v="UPI"/>
    <x v="2"/>
    <x v="2"/>
    <n v="6"/>
    <n v="0"/>
    <n v="0"/>
    <s v="New"/>
    <x v="0"/>
    <n v="33"/>
    <n v="0"/>
  </r>
  <r>
    <n v="3260"/>
    <x v="176"/>
    <n v="1286"/>
    <x v="4"/>
    <x v="1"/>
    <x v="1"/>
    <n v="4"/>
    <n v="1944"/>
    <s v="Wallet"/>
    <x v="0"/>
    <x v="0"/>
    <n v="1"/>
    <n v="0"/>
    <n v="1"/>
    <s v="New"/>
    <x v="3"/>
    <n v="51"/>
    <n v="1"/>
  </r>
  <r>
    <n v="3261"/>
    <x v="84"/>
    <n v="1270"/>
    <x v="0"/>
    <x v="4"/>
    <x v="2"/>
    <n v="4"/>
    <n v="0"/>
    <s v="UPI"/>
    <x v="1"/>
    <x v="2"/>
    <n v="1"/>
    <n v="0"/>
    <n v="0"/>
    <s v="New"/>
    <x v="2"/>
    <n v="41"/>
    <n v="0"/>
  </r>
  <r>
    <n v="3262"/>
    <x v="109"/>
    <n v="1358"/>
    <x v="0"/>
    <x v="3"/>
    <x v="0"/>
    <n v="2"/>
    <n v="3888"/>
    <s v="COD"/>
    <x v="0"/>
    <x v="3"/>
    <n v="4"/>
    <n v="0"/>
    <n v="1"/>
    <s v="New"/>
    <x v="4"/>
    <n v="46"/>
    <n v="1"/>
  </r>
  <r>
    <n v="3263"/>
    <x v="152"/>
    <n v="1773"/>
    <x v="2"/>
    <x v="2"/>
    <x v="3"/>
    <n v="2"/>
    <n v="0"/>
    <s v="Card"/>
    <x v="2"/>
    <x v="0"/>
    <n v="5"/>
    <n v="1"/>
    <n v="1"/>
    <s v="New"/>
    <x v="2"/>
    <n v="42"/>
    <n v="0"/>
  </r>
  <r>
    <n v="3264"/>
    <x v="16"/>
    <n v="1899"/>
    <x v="4"/>
    <x v="0"/>
    <x v="3"/>
    <n v="2"/>
    <n v="5086"/>
    <s v="UPI"/>
    <x v="0"/>
    <x v="0"/>
    <n v="2"/>
    <n v="1"/>
    <n v="1"/>
    <s v="New"/>
    <x v="0"/>
    <n v="32"/>
    <n v="1"/>
  </r>
  <r>
    <n v="3265"/>
    <x v="21"/>
    <n v="1190"/>
    <x v="2"/>
    <x v="0"/>
    <x v="1"/>
    <n v="3"/>
    <n v="0"/>
    <s v="Wallet"/>
    <x v="1"/>
    <x v="2"/>
    <n v="7"/>
    <n v="1"/>
    <n v="0"/>
    <s v="New"/>
    <x v="2"/>
    <n v="43"/>
    <n v="0"/>
  </r>
  <r>
    <n v="3266"/>
    <x v="41"/>
    <n v="1457"/>
    <x v="2"/>
    <x v="3"/>
    <x v="3"/>
    <n v="2"/>
    <n v="0"/>
    <s v="UPI"/>
    <x v="1"/>
    <x v="1"/>
    <n v="2"/>
    <n v="0"/>
    <n v="1"/>
    <s v="Repeat"/>
    <x v="1"/>
    <n v="37"/>
    <n v="0"/>
  </r>
  <r>
    <n v="3267"/>
    <x v="35"/>
    <n v="1174"/>
    <x v="4"/>
    <x v="0"/>
    <x v="2"/>
    <n v="3"/>
    <n v="0"/>
    <s v="Wallet"/>
    <x v="1"/>
    <x v="2"/>
    <n v="10"/>
    <n v="0"/>
    <n v="1"/>
    <s v="New"/>
    <x v="0"/>
    <n v="35"/>
    <n v="0"/>
  </r>
  <r>
    <n v="3268"/>
    <x v="118"/>
    <n v="1454"/>
    <x v="1"/>
    <x v="3"/>
    <x v="1"/>
    <n v="4"/>
    <n v="0"/>
    <s v="UPI"/>
    <x v="2"/>
    <x v="1"/>
    <n v="4"/>
    <n v="1"/>
    <n v="1"/>
    <s v="Repeat"/>
    <x v="0"/>
    <n v="35"/>
    <n v="0"/>
  </r>
  <r>
    <n v="3269"/>
    <x v="47"/>
    <n v="1830"/>
    <x v="0"/>
    <x v="2"/>
    <x v="3"/>
    <n v="2"/>
    <n v="0"/>
    <s v="COD"/>
    <x v="2"/>
    <x v="2"/>
    <n v="9"/>
    <n v="1"/>
    <n v="1"/>
    <s v="New"/>
    <x v="6"/>
    <n v="2"/>
    <n v="0"/>
  </r>
  <r>
    <n v="3270"/>
    <x v="102"/>
    <n v="1712"/>
    <x v="4"/>
    <x v="1"/>
    <x v="0"/>
    <n v="4"/>
    <n v="0"/>
    <s v="Card"/>
    <x v="1"/>
    <x v="2"/>
    <n v="7"/>
    <n v="0"/>
    <n v="0"/>
    <s v="New"/>
    <x v="3"/>
    <n v="50"/>
    <n v="0"/>
  </r>
  <r>
    <n v="3271"/>
    <x v="52"/>
    <n v="1598"/>
    <x v="0"/>
    <x v="1"/>
    <x v="3"/>
    <n v="4"/>
    <n v="0"/>
    <s v="COD"/>
    <x v="1"/>
    <x v="1"/>
    <n v="5"/>
    <n v="1"/>
    <n v="1"/>
    <s v="New"/>
    <x v="4"/>
    <n v="44"/>
    <n v="0"/>
  </r>
  <r>
    <n v="3272"/>
    <x v="96"/>
    <n v="1445"/>
    <x v="3"/>
    <x v="1"/>
    <x v="1"/>
    <n v="4"/>
    <n v="11600"/>
    <s v="COD"/>
    <x v="0"/>
    <x v="0"/>
    <n v="1"/>
    <n v="0"/>
    <n v="0"/>
    <s v="Repeat"/>
    <x v="4"/>
    <n v="45"/>
    <n v="1"/>
  </r>
  <r>
    <n v="3273"/>
    <x v="89"/>
    <n v="1980"/>
    <x v="0"/>
    <x v="2"/>
    <x v="1"/>
    <n v="5"/>
    <n v="20235"/>
    <s v="Card"/>
    <x v="0"/>
    <x v="2"/>
    <n v="2"/>
    <n v="0"/>
    <n v="0"/>
    <s v="Repeat"/>
    <x v="0"/>
    <n v="35"/>
    <n v="1"/>
  </r>
  <r>
    <n v="3274"/>
    <x v="119"/>
    <n v="1729"/>
    <x v="4"/>
    <x v="4"/>
    <x v="2"/>
    <n v="4"/>
    <n v="0"/>
    <s v="Card"/>
    <x v="2"/>
    <x v="0"/>
    <n v="5"/>
    <n v="0"/>
    <n v="0"/>
    <s v="Repeat"/>
    <x v="0"/>
    <n v="34"/>
    <n v="0"/>
  </r>
  <r>
    <n v="3275"/>
    <x v="73"/>
    <n v="1102"/>
    <x v="3"/>
    <x v="3"/>
    <x v="0"/>
    <n v="2"/>
    <n v="0"/>
    <s v="COD"/>
    <x v="2"/>
    <x v="0"/>
    <n v="3"/>
    <n v="1"/>
    <n v="0"/>
    <s v="New"/>
    <x v="4"/>
    <n v="45"/>
    <n v="0"/>
  </r>
  <r>
    <n v="3276"/>
    <x v="88"/>
    <n v="1586"/>
    <x v="4"/>
    <x v="0"/>
    <x v="0"/>
    <n v="3"/>
    <n v="0"/>
    <s v="Card"/>
    <x v="2"/>
    <x v="1"/>
    <n v="10"/>
    <n v="0"/>
    <n v="1"/>
    <s v="Repeat"/>
    <x v="1"/>
    <n v="37"/>
    <n v="0"/>
  </r>
  <r>
    <n v="3277"/>
    <x v="78"/>
    <n v="1319"/>
    <x v="3"/>
    <x v="2"/>
    <x v="3"/>
    <n v="5"/>
    <n v="21630"/>
    <s v="Wallet"/>
    <x v="0"/>
    <x v="3"/>
    <n v="3"/>
    <n v="1"/>
    <n v="1"/>
    <s v="Repeat"/>
    <x v="3"/>
    <n v="52"/>
    <n v="1"/>
  </r>
  <r>
    <n v="3278"/>
    <x v="139"/>
    <n v="1406"/>
    <x v="3"/>
    <x v="0"/>
    <x v="2"/>
    <n v="5"/>
    <n v="0"/>
    <s v="Wallet"/>
    <x v="2"/>
    <x v="2"/>
    <n v="10"/>
    <n v="1"/>
    <n v="1"/>
    <s v="New"/>
    <x v="4"/>
    <n v="45"/>
    <n v="0"/>
  </r>
  <r>
    <n v="3279"/>
    <x v="49"/>
    <n v="1924"/>
    <x v="3"/>
    <x v="3"/>
    <x v="3"/>
    <n v="2"/>
    <n v="0"/>
    <s v="Card"/>
    <x v="2"/>
    <x v="1"/>
    <n v="2"/>
    <n v="1"/>
    <n v="0"/>
    <s v="New"/>
    <x v="0"/>
    <n v="36"/>
    <n v="0"/>
  </r>
  <r>
    <n v="3280"/>
    <x v="76"/>
    <n v="1677"/>
    <x v="4"/>
    <x v="1"/>
    <x v="3"/>
    <n v="1"/>
    <n v="0"/>
    <s v="Wallet"/>
    <x v="1"/>
    <x v="1"/>
    <n v="3"/>
    <n v="1"/>
    <n v="1"/>
    <s v="New"/>
    <x v="3"/>
    <n v="50"/>
    <n v="0"/>
  </r>
  <r>
    <n v="3281"/>
    <x v="145"/>
    <n v="1802"/>
    <x v="4"/>
    <x v="1"/>
    <x v="3"/>
    <n v="3"/>
    <n v="897"/>
    <s v="Card"/>
    <x v="0"/>
    <x v="3"/>
    <n v="2"/>
    <n v="1"/>
    <n v="1"/>
    <s v="Repeat"/>
    <x v="4"/>
    <n v="48"/>
    <n v="1"/>
  </r>
  <r>
    <n v="3282"/>
    <x v="176"/>
    <n v="1558"/>
    <x v="0"/>
    <x v="2"/>
    <x v="2"/>
    <n v="3"/>
    <n v="0"/>
    <s v="Wallet"/>
    <x v="2"/>
    <x v="2"/>
    <n v="4"/>
    <n v="0"/>
    <n v="1"/>
    <s v="Repeat"/>
    <x v="3"/>
    <n v="51"/>
    <n v="0"/>
  </r>
  <r>
    <n v="3283"/>
    <x v="139"/>
    <n v="1899"/>
    <x v="4"/>
    <x v="1"/>
    <x v="3"/>
    <n v="1"/>
    <n v="0"/>
    <s v="UPI"/>
    <x v="1"/>
    <x v="3"/>
    <n v="1"/>
    <n v="1"/>
    <n v="0"/>
    <s v="New"/>
    <x v="4"/>
    <n v="45"/>
    <n v="0"/>
  </r>
  <r>
    <n v="3284"/>
    <x v="126"/>
    <n v="1957"/>
    <x v="3"/>
    <x v="4"/>
    <x v="3"/>
    <n v="1"/>
    <n v="2082"/>
    <s v="Wallet"/>
    <x v="0"/>
    <x v="0"/>
    <n v="10"/>
    <n v="0"/>
    <n v="0"/>
    <s v="New"/>
    <x v="4"/>
    <n v="46"/>
    <n v="1"/>
  </r>
  <r>
    <n v="3285"/>
    <x v="77"/>
    <n v="1099"/>
    <x v="4"/>
    <x v="1"/>
    <x v="0"/>
    <n v="3"/>
    <n v="0"/>
    <s v="Wallet"/>
    <x v="2"/>
    <x v="0"/>
    <n v="9"/>
    <n v="0"/>
    <n v="0"/>
    <s v="Repeat"/>
    <x v="1"/>
    <n v="38"/>
    <n v="0"/>
  </r>
  <r>
    <n v="3286"/>
    <x v="47"/>
    <n v="1870"/>
    <x v="2"/>
    <x v="3"/>
    <x v="0"/>
    <n v="1"/>
    <n v="0"/>
    <s v="Wallet"/>
    <x v="1"/>
    <x v="0"/>
    <n v="5"/>
    <n v="1"/>
    <n v="1"/>
    <s v="New"/>
    <x v="6"/>
    <n v="2"/>
    <n v="0"/>
  </r>
  <r>
    <n v="3287"/>
    <x v="147"/>
    <n v="1511"/>
    <x v="2"/>
    <x v="2"/>
    <x v="0"/>
    <n v="3"/>
    <n v="0"/>
    <s v="UPI"/>
    <x v="1"/>
    <x v="2"/>
    <n v="4"/>
    <n v="0"/>
    <n v="1"/>
    <s v="New"/>
    <x v="4"/>
    <n v="47"/>
    <n v="0"/>
  </r>
  <r>
    <n v="3288"/>
    <x v="2"/>
    <n v="1623"/>
    <x v="4"/>
    <x v="2"/>
    <x v="0"/>
    <n v="3"/>
    <n v="0"/>
    <s v="Wallet"/>
    <x v="2"/>
    <x v="3"/>
    <n v="9"/>
    <n v="1"/>
    <n v="1"/>
    <s v="New"/>
    <x v="2"/>
    <n v="41"/>
    <n v="0"/>
  </r>
  <r>
    <n v="3289"/>
    <x v="67"/>
    <n v="1014"/>
    <x v="3"/>
    <x v="1"/>
    <x v="2"/>
    <n v="1"/>
    <n v="0"/>
    <s v="Wallet"/>
    <x v="1"/>
    <x v="3"/>
    <n v="9"/>
    <n v="1"/>
    <n v="1"/>
    <s v="Repeat"/>
    <x v="1"/>
    <n v="36"/>
    <n v="0"/>
  </r>
  <r>
    <n v="3290"/>
    <x v="10"/>
    <n v="1924"/>
    <x v="0"/>
    <x v="2"/>
    <x v="2"/>
    <n v="2"/>
    <n v="0"/>
    <s v="Wallet"/>
    <x v="1"/>
    <x v="1"/>
    <n v="4"/>
    <n v="0"/>
    <n v="0"/>
    <s v="New"/>
    <x v="3"/>
    <n v="49"/>
    <n v="0"/>
  </r>
  <r>
    <n v="3291"/>
    <x v="4"/>
    <n v="1125"/>
    <x v="3"/>
    <x v="0"/>
    <x v="2"/>
    <n v="3"/>
    <n v="0"/>
    <s v="UPI"/>
    <x v="1"/>
    <x v="0"/>
    <n v="6"/>
    <n v="0"/>
    <n v="0"/>
    <s v="Repeat"/>
    <x v="3"/>
    <n v="50"/>
    <n v="0"/>
  </r>
  <r>
    <n v="3292"/>
    <x v="114"/>
    <n v="1835"/>
    <x v="0"/>
    <x v="4"/>
    <x v="2"/>
    <n v="3"/>
    <n v="0"/>
    <s v="UPI"/>
    <x v="1"/>
    <x v="3"/>
    <n v="4"/>
    <n v="1"/>
    <n v="1"/>
    <s v="Repeat"/>
    <x v="3"/>
    <n v="50"/>
    <n v="0"/>
  </r>
  <r>
    <n v="3293"/>
    <x v="101"/>
    <n v="1852"/>
    <x v="2"/>
    <x v="0"/>
    <x v="2"/>
    <n v="4"/>
    <n v="0"/>
    <s v="Card"/>
    <x v="2"/>
    <x v="1"/>
    <n v="9"/>
    <n v="0"/>
    <n v="1"/>
    <s v="Repeat"/>
    <x v="3"/>
    <n v="49"/>
    <n v="0"/>
  </r>
  <r>
    <n v="3294"/>
    <x v="171"/>
    <n v="1467"/>
    <x v="0"/>
    <x v="2"/>
    <x v="2"/>
    <n v="1"/>
    <n v="0"/>
    <s v="COD"/>
    <x v="1"/>
    <x v="2"/>
    <n v="10"/>
    <n v="0"/>
    <n v="1"/>
    <s v="Repeat"/>
    <x v="1"/>
    <n v="36"/>
    <n v="0"/>
  </r>
  <r>
    <n v="3295"/>
    <x v="129"/>
    <n v="1707"/>
    <x v="1"/>
    <x v="2"/>
    <x v="2"/>
    <n v="3"/>
    <n v="0"/>
    <s v="Wallet"/>
    <x v="2"/>
    <x v="1"/>
    <n v="6"/>
    <n v="1"/>
    <n v="0"/>
    <s v="Repeat"/>
    <x v="4"/>
    <n v="46"/>
    <n v="0"/>
  </r>
  <r>
    <n v="3296"/>
    <x v="20"/>
    <n v="1700"/>
    <x v="1"/>
    <x v="3"/>
    <x v="2"/>
    <n v="1"/>
    <n v="1121"/>
    <s v="Wallet"/>
    <x v="0"/>
    <x v="1"/>
    <n v="1"/>
    <n v="0"/>
    <n v="1"/>
    <s v="New"/>
    <x v="0"/>
    <n v="32"/>
    <n v="1"/>
  </r>
  <r>
    <n v="3297"/>
    <x v="175"/>
    <n v="1916"/>
    <x v="4"/>
    <x v="1"/>
    <x v="1"/>
    <n v="2"/>
    <n v="0"/>
    <s v="COD"/>
    <x v="1"/>
    <x v="3"/>
    <n v="9"/>
    <n v="1"/>
    <n v="0"/>
    <s v="Repeat"/>
    <x v="5"/>
    <n v="31"/>
    <n v="0"/>
  </r>
  <r>
    <n v="3298"/>
    <x v="43"/>
    <n v="1638"/>
    <x v="4"/>
    <x v="2"/>
    <x v="0"/>
    <n v="3"/>
    <n v="0"/>
    <s v="COD"/>
    <x v="1"/>
    <x v="3"/>
    <n v="5"/>
    <n v="1"/>
    <n v="1"/>
    <s v="Repeat"/>
    <x v="4"/>
    <n v="46"/>
    <n v="0"/>
  </r>
  <r>
    <n v="3299"/>
    <x v="12"/>
    <n v="1099"/>
    <x v="4"/>
    <x v="0"/>
    <x v="3"/>
    <n v="3"/>
    <n v="5391"/>
    <s v="COD"/>
    <x v="0"/>
    <x v="3"/>
    <n v="4"/>
    <n v="1"/>
    <n v="0"/>
    <s v="Repeat"/>
    <x v="1"/>
    <n v="38"/>
    <n v="1"/>
  </r>
  <r>
    <n v="3300"/>
    <x v="75"/>
    <n v="1152"/>
    <x v="3"/>
    <x v="1"/>
    <x v="1"/>
    <n v="1"/>
    <n v="0"/>
    <s v="UPI"/>
    <x v="2"/>
    <x v="2"/>
    <n v="1"/>
    <n v="1"/>
    <n v="0"/>
    <s v="Repeat"/>
    <x v="3"/>
    <n v="52"/>
    <n v="0"/>
  </r>
  <r>
    <n v="3301"/>
    <x v="45"/>
    <n v="1493"/>
    <x v="0"/>
    <x v="3"/>
    <x v="0"/>
    <n v="1"/>
    <n v="1232"/>
    <s v="COD"/>
    <x v="0"/>
    <x v="3"/>
    <n v="6"/>
    <n v="1"/>
    <n v="1"/>
    <s v="New"/>
    <x v="6"/>
    <n v="2"/>
    <n v="1"/>
  </r>
  <r>
    <n v="3302"/>
    <x v="46"/>
    <n v="1932"/>
    <x v="0"/>
    <x v="2"/>
    <x v="0"/>
    <n v="3"/>
    <n v="1170"/>
    <s v="Card"/>
    <x v="0"/>
    <x v="3"/>
    <n v="3"/>
    <n v="0"/>
    <n v="1"/>
    <s v="New"/>
    <x v="5"/>
    <n v="30"/>
    <n v="1"/>
  </r>
  <r>
    <n v="3303"/>
    <x v="152"/>
    <n v="1051"/>
    <x v="0"/>
    <x v="4"/>
    <x v="1"/>
    <n v="4"/>
    <n v="0"/>
    <s v="Card"/>
    <x v="1"/>
    <x v="2"/>
    <n v="4"/>
    <n v="1"/>
    <n v="0"/>
    <s v="Repeat"/>
    <x v="2"/>
    <n v="42"/>
    <n v="0"/>
  </r>
  <r>
    <n v="3304"/>
    <x v="177"/>
    <n v="1457"/>
    <x v="1"/>
    <x v="3"/>
    <x v="3"/>
    <n v="3"/>
    <n v="0"/>
    <s v="Wallet"/>
    <x v="2"/>
    <x v="2"/>
    <n v="7"/>
    <n v="1"/>
    <n v="0"/>
    <s v="New"/>
    <x v="4"/>
    <n v="45"/>
    <n v="0"/>
  </r>
  <r>
    <n v="3305"/>
    <x v="117"/>
    <n v="1370"/>
    <x v="0"/>
    <x v="4"/>
    <x v="1"/>
    <n v="1"/>
    <n v="2512"/>
    <s v="COD"/>
    <x v="0"/>
    <x v="3"/>
    <n v="2"/>
    <n v="1"/>
    <n v="1"/>
    <s v="Repeat"/>
    <x v="5"/>
    <n v="31"/>
    <n v="1"/>
  </r>
  <r>
    <n v="3306"/>
    <x v="91"/>
    <n v="1486"/>
    <x v="3"/>
    <x v="1"/>
    <x v="2"/>
    <n v="1"/>
    <n v="0"/>
    <s v="COD"/>
    <x v="1"/>
    <x v="0"/>
    <n v="3"/>
    <n v="1"/>
    <n v="1"/>
    <s v="Repeat"/>
    <x v="3"/>
    <n v="52"/>
    <n v="0"/>
  </r>
  <r>
    <n v="3307"/>
    <x v="178"/>
    <n v="1682"/>
    <x v="0"/>
    <x v="1"/>
    <x v="2"/>
    <n v="1"/>
    <n v="0"/>
    <s v="Wallet"/>
    <x v="1"/>
    <x v="2"/>
    <n v="6"/>
    <n v="0"/>
    <n v="0"/>
    <s v="New"/>
    <x v="4"/>
    <n v="45"/>
    <n v="0"/>
  </r>
  <r>
    <n v="3308"/>
    <x v="173"/>
    <n v="1380"/>
    <x v="4"/>
    <x v="1"/>
    <x v="0"/>
    <n v="3"/>
    <n v="3660"/>
    <s v="Wallet"/>
    <x v="0"/>
    <x v="3"/>
    <n v="7"/>
    <n v="0"/>
    <n v="1"/>
    <s v="New"/>
    <x v="5"/>
    <n v="30"/>
    <n v="1"/>
  </r>
  <r>
    <n v="3309"/>
    <x v="6"/>
    <n v="1387"/>
    <x v="4"/>
    <x v="1"/>
    <x v="3"/>
    <n v="5"/>
    <n v="4780"/>
    <s v="UPI"/>
    <x v="0"/>
    <x v="0"/>
    <n v="10"/>
    <n v="1"/>
    <n v="0"/>
    <s v="New"/>
    <x v="4"/>
    <n v="47"/>
    <n v="1"/>
  </r>
  <r>
    <n v="3310"/>
    <x v="61"/>
    <n v="1495"/>
    <x v="4"/>
    <x v="1"/>
    <x v="2"/>
    <n v="1"/>
    <n v="0"/>
    <s v="Card"/>
    <x v="2"/>
    <x v="3"/>
    <n v="10"/>
    <n v="0"/>
    <n v="1"/>
    <s v="Repeat"/>
    <x v="4"/>
    <n v="46"/>
    <n v="0"/>
  </r>
  <r>
    <n v="3311"/>
    <x v="155"/>
    <n v="1911"/>
    <x v="1"/>
    <x v="0"/>
    <x v="1"/>
    <n v="2"/>
    <n v="0"/>
    <s v="UPI"/>
    <x v="2"/>
    <x v="0"/>
    <n v="6"/>
    <n v="1"/>
    <n v="0"/>
    <s v="New"/>
    <x v="0"/>
    <n v="33"/>
    <n v="0"/>
  </r>
  <r>
    <n v="3312"/>
    <x v="78"/>
    <n v="1694"/>
    <x v="1"/>
    <x v="3"/>
    <x v="2"/>
    <n v="5"/>
    <n v="0"/>
    <s v="Card"/>
    <x v="1"/>
    <x v="3"/>
    <n v="1"/>
    <n v="0"/>
    <n v="1"/>
    <s v="Repeat"/>
    <x v="3"/>
    <n v="52"/>
    <n v="0"/>
  </r>
  <r>
    <n v="3313"/>
    <x v="128"/>
    <n v="1169"/>
    <x v="0"/>
    <x v="0"/>
    <x v="0"/>
    <n v="2"/>
    <n v="9324"/>
    <s v="Card"/>
    <x v="0"/>
    <x v="2"/>
    <n v="4"/>
    <n v="0"/>
    <n v="0"/>
    <s v="New"/>
    <x v="1"/>
    <n v="39"/>
    <n v="1"/>
  </r>
  <r>
    <n v="3314"/>
    <x v="94"/>
    <n v="1072"/>
    <x v="0"/>
    <x v="0"/>
    <x v="1"/>
    <n v="4"/>
    <n v="0"/>
    <s v="UPI"/>
    <x v="1"/>
    <x v="3"/>
    <n v="1"/>
    <n v="1"/>
    <n v="1"/>
    <s v="Repeat"/>
    <x v="1"/>
    <n v="40"/>
    <n v="0"/>
  </r>
  <r>
    <n v="3315"/>
    <x v="159"/>
    <n v="1766"/>
    <x v="2"/>
    <x v="1"/>
    <x v="0"/>
    <n v="4"/>
    <n v="3192"/>
    <s v="Wallet"/>
    <x v="0"/>
    <x v="0"/>
    <n v="1"/>
    <n v="0"/>
    <n v="1"/>
    <s v="New"/>
    <x v="3"/>
    <n v="49"/>
    <n v="1"/>
  </r>
  <r>
    <n v="3316"/>
    <x v="177"/>
    <n v="1937"/>
    <x v="0"/>
    <x v="0"/>
    <x v="1"/>
    <n v="4"/>
    <n v="0"/>
    <s v="Wallet"/>
    <x v="2"/>
    <x v="2"/>
    <n v="1"/>
    <n v="0"/>
    <n v="0"/>
    <s v="Repeat"/>
    <x v="4"/>
    <n v="45"/>
    <n v="0"/>
  </r>
  <r>
    <n v="3317"/>
    <x v="98"/>
    <n v="1748"/>
    <x v="2"/>
    <x v="2"/>
    <x v="1"/>
    <n v="1"/>
    <n v="0"/>
    <s v="COD"/>
    <x v="1"/>
    <x v="3"/>
    <n v="10"/>
    <n v="1"/>
    <n v="1"/>
    <s v="New"/>
    <x v="3"/>
    <n v="51"/>
    <n v="0"/>
  </r>
  <r>
    <n v="3318"/>
    <x v="156"/>
    <n v="1984"/>
    <x v="0"/>
    <x v="0"/>
    <x v="2"/>
    <n v="1"/>
    <n v="2810"/>
    <s v="Wallet"/>
    <x v="0"/>
    <x v="1"/>
    <n v="8"/>
    <n v="1"/>
    <n v="1"/>
    <s v="New"/>
    <x v="6"/>
    <n v="2"/>
    <n v="1"/>
  </r>
  <r>
    <n v="3319"/>
    <x v="118"/>
    <n v="1194"/>
    <x v="4"/>
    <x v="2"/>
    <x v="3"/>
    <n v="1"/>
    <n v="0"/>
    <s v="Card"/>
    <x v="1"/>
    <x v="3"/>
    <n v="3"/>
    <n v="1"/>
    <n v="0"/>
    <s v="Repeat"/>
    <x v="0"/>
    <n v="35"/>
    <n v="0"/>
  </r>
  <r>
    <n v="3320"/>
    <x v="118"/>
    <n v="1417"/>
    <x v="3"/>
    <x v="4"/>
    <x v="3"/>
    <n v="1"/>
    <n v="0"/>
    <s v="COD"/>
    <x v="1"/>
    <x v="1"/>
    <n v="2"/>
    <n v="0"/>
    <n v="1"/>
    <s v="New"/>
    <x v="0"/>
    <n v="35"/>
    <n v="0"/>
  </r>
  <r>
    <n v="3321"/>
    <x v="172"/>
    <n v="1955"/>
    <x v="1"/>
    <x v="1"/>
    <x v="0"/>
    <n v="5"/>
    <n v="21640"/>
    <s v="Card"/>
    <x v="0"/>
    <x v="1"/>
    <n v="2"/>
    <n v="1"/>
    <n v="1"/>
    <s v="Repeat"/>
    <x v="2"/>
    <n v="44"/>
    <n v="1"/>
  </r>
  <r>
    <n v="3322"/>
    <x v="121"/>
    <n v="1571"/>
    <x v="0"/>
    <x v="4"/>
    <x v="1"/>
    <n v="5"/>
    <n v="2475"/>
    <s v="UPI"/>
    <x v="0"/>
    <x v="1"/>
    <n v="1"/>
    <n v="0"/>
    <n v="1"/>
    <s v="New"/>
    <x v="1"/>
    <n v="37"/>
    <n v="1"/>
  </r>
  <r>
    <n v="3323"/>
    <x v="47"/>
    <n v="1172"/>
    <x v="4"/>
    <x v="0"/>
    <x v="0"/>
    <n v="3"/>
    <n v="2793"/>
    <s v="Card"/>
    <x v="0"/>
    <x v="1"/>
    <n v="9"/>
    <n v="0"/>
    <n v="0"/>
    <s v="New"/>
    <x v="6"/>
    <n v="2"/>
    <n v="1"/>
  </r>
  <r>
    <n v="3324"/>
    <x v="158"/>
    <n v="1434"/>
    <x v="4"/>
    <x v="2"/>
    <x v="2"/>
    <n v="2"/>
    <n v="0"/>
    <s v="Card"/>
    <x v="2"/>
    <x v="2"/>
    <n v="3"/>
    <n v="1"/>
    <n v="0"/>
    <s v="Repeat"/>
    <x v="1"/>
    <n v="38"/>
    <n v="0"/>
  </r>
  <r>
    <n v="3325"/>
    <x v="65"/>
    <n v="1153"/>
    <x v="0"/>
    <x v="0"/>
    <x v="2"/>
    <n v="4"/>
    <n v="16104"/>
    <s v="COD"/>
    <x v="0"/>
    <x v="2"/>
    <n v="3"/>
    <n v="1"/>
    <n v="1"/>
    <s v="New"/>
    <x v="1"/>
    <n v="38"/>
    <n v="1"/>
  </r>
  <r>
    <n v="3326"/>
    <x v="61"/>
    <n v="1416"/>
    <x v="3"/>
    <x v="3"/>
    <x v="3"/>
    <n v="3"/>
    <n v="3753"/>
    <s v="COD"/>
    <x v="0"/>
    <x v="3"/>
    <n v="6"/>
    <n v="1"/>
    <n v="1"/>
    <s v="New"/>
    <x v="4"/>
    <n v="46"/>
    <n v="1"/>
  </r>
  <r>
    <n v="3327"/>
    <x v="37"/>
    <n v="1509"/>
    <x v="3"/>
    <x v="1"/>
    <x v="0"/>
    <n v="3"/>
    <n v="0"/>
    <s v="Wallet"/>
    <x v="1"/>
    <x v="3"/>
    <n v="4"/>
    <n v="1"/>
    <n v="1"/>
    <s v="New"/>
    <x v="4"/>
    <n v="46"/>
    <n v="0"/>
  </r>
  <r>
    <n v="3328"/>
    <x v="1"/>
    <n v="1428"/>
    <x v="3"/>
    <x v="1"/>
    <x v="2"/>
    <n v="2"/>
    <n v="3808"/>
    <s v="UPI"/>
    <x v="0"/>
    <x v="0"/>
    <n v="1"/>
    <n v="1"/>
    <n v="1"/>
    <s v="New"/>
    <x v="1"/>
    <n v="39"/>
    <n v="1"/>
  </r>
  <r>
    <n v="3329"/>
    <x v="168"/>
    <n v="1651"/>
    <x v="3"/>
    <x v="4"/>
    <x v="0"/>
    <n v="1"/>
    <n v="0"/>
    <s v="Wallet"/>
    <x v="1"/>
    <x v="1"/>
    <n v="9"/>
    <n v="0"/>
    <n v="1"/>
    <s v="Repeat"/>
    <x v="6"/>
    <n v="1"/>
    <n v="0"/>
  </r>
  <r>
    <n v="3330"/>
    <x v="121"/>
    <n v="1812"/>
    <x v="2"/>
    <x v="4"/>
    <x v="2"/>
    <n v="4"/>
    <n v="0"/>
    <s v="Card"/>
    <x v="2"/>
    <x v="1"/>
    <n v="10"/>
    <n v="0"/>
    <n v="0"/>
    <s v="New"/>
    <x v="1"/>
    <n v="37"/>
    <n v="0"/>
  </r>
  <r>
    <n v="3331"/>
    <x v="97"/>
    <n v="1835"/>
    <x v="2"/>
    <x v="4"/>
    <x v="0"/>
    <n v="3"/>
    <n v="13770"/>
    <s v="COD"/>
    <x v="0"/>
    <x v="2"/>
    <n v="10"/>
    <n v="1"/>
    <n v="1"/>
    <s v="New"/>
    <x v="1"/>
    <n v="40"/>
    <n v="1"/>
  </r>
  <r>
    <n v="3332"/>
    <x v="13"/>
    <n v="1878"/>
    <x v="1"/>
    <x v="3"/>
    <x v="0"/>
    <n v="4"/>
    <n v="5540"/>
    <s v="COD"/>
    <x v="0"/>
    <x v="2"/>
    <n v="5"/>
    <n v="0"/>
    <n v="1"/>
    <s v="New"/>
    <x v="2"/>
    <n v="41"/>
    <n v="1"/>
  </r>
  <r>
    <n v="3333"/>
    <x v="143"/>
    <n v="1972"/>
    <x v="2"/>
    <x v="2"/>
    <x v="1"/>
    <n v="4"/>
    <n v="0"/>
    <s v="UPI"/>
    <x v="2"/>
    <x v="2"/>
    <n v="6"/>
    <n v="1"/>
    <n v="1"/>
    <s v="Repeat"/>
    <x v="2"/>
    <n v="43"/>
    <n v="0"/>
  </r>
  <r>
    <n v="3334"/>
    <x v="140"/>
    <n v="1949"/>
    <x v="1"/>
    <x v="3"/>
    <x v="2"/>
    <n v="4"/>
    <n v="19420"/>
    <s v="UPI"/>
    <x v="0"/>
    <x v="2"/>
    <n v="6"/>
    <n v="0"/>
    <n v="0"/>
    <s v="Repeat"/>
    <x v="4"/>
    <n v="48"/>
    <n v="1"/>
  </r>
  <r>
    <n v="3335"/>
    <x v="153"/>
    <n v="1902"/>
    <x v="1"/>
    <x v="3"/>
    <x v="3"/>
    <n v="4"/>
    <n v="0"/>
    <s v="Wallet"/>
    <x v="2"/>
    <x v="2"/>
    <n v="6"/>
    <n v="0"/>
    <n v="1"/>
    <s v="Repeat"/>
    <x v="0"/>
    <n v="31"/>
    <n v="0"/>
  </r>
  <r>
    <n v="3336"/>
    <x v="3"/>
    <n v="1518"/>
    <x v="2"/>
    <x v="4"/>
    <x v="1"/>
    <n v="1"/>
    <n v="0"/>
    <s v="UPI"/>
    <x v="1"/>
    <x v="0"/>
    <n v="1"/>
    <n v="1"/>
    <n v="1"/>
    <s v="Repeat"/>
    <x v="0"/>
    <n v="32"/>
    <n v="0"/>
  </r>
  <r>
    <n v="3337"/>
    <x v="164"/>
    <n v="1652"/>
    <x v="4"/>
    <x v="4"/>
    <x v="0"/>
    <n v="2"/>
    <n v="5118"/>
    <s v="Card"/>
    <x v="0"/>
    <x v="1"/>
    <n v="1"/>
    <n v="1"/>
    <n v="1"/>
    <s v="Repeat"/>
    <x v="0"/>
    <n v="34"/>
    <n v="1"/>
  </r>
  <r>
    <n v="3338"/>
    <x v="72"/>
    <n v="1416"/>
    <x v="1"/>
    <x v="2"/>
    <x v="3"/>
    <n v="4"/>
    <n v="0"/>
    <s v="UPI"/>
    <x v="1"/>
    <x v="1"/>
    <n v="3"/>
    <n v="1"/>
    <n v="0"/>
    <s v="New"/>
    <x v="2"/>
    <n v="41"/>
    <n v="0"/>
  </r>
  <r>
    <n v="3339"/>
    <x v="20"/>
    <n v="1751"/>
    <x v="1"/>
    <x v="2"/>
    <x v="2"/>
    <n v="1"/>
    <n v="0"/>
    <s v="Wallet"/>
    <x v="2"/>
    <x v="1"/>
    <n v="4"/>
    <n v="0"/>
    <n v="1"/>
    <s v="New"/>
    <x v="0"/>
    <n v="32"/>
    <n v="0"/>
  </r>
  <r>
    <n v="3340"/>
    <x v="143"/>
    <n v="1665"/>
    <x v="0"/>
    <x v="1"/>
    <x v="0"/>
    <n v="2"/>
    <n v="0"/>
    <s v="COD"/>
    <x v="1"/>
    <x v="1"/>
    <n v="10"/>
    <n v="0"/>
    <n v="1"/>
    <s v="Repeat"/>
    <x v="2"/>
    <n v="43"/>
    <n v="0"/>
  </r>
  <r>
    <n v="3341"/>
    <x v="142"/>
    <n v="1481"/>
    <x v="1"/>
    <x v="1"/>
    <x v="3"/>
    <n v="5"/>
    <n v="0"/>
    <s v="Card"/>
    <x v="1"/>
    <x v="3"/>
    <n v="1"/>
    <n v="0"/>
    <n v="0"/>
    <s v="New"/>
    <x v="2"/>
    <n v="42"/>
    <n v="0"/>
  </r>
  <r>
    <n v="3342"/>
    <x v="111"/>
    <n v="1028"/>
    <x v="1"/>
    <x v="0"/>
    <x v="1"/>
    <n v="1"/>
    <n v="0"/>
    <s v="COD"/>
    <x v="2"/>
    <x v="0"/>
    <n v="5"/>
    <n v="1"/>
    <n v="0"/>
    <s v="New"/>
    <x v="4"/>
    <n v="48"/>
    <n v="0"/>
  </r>
  <r>
    <n v="3343"/>
    <x v="102"/>
    <n v="1906"/>
    <x v="0"/>
    <x v="0"/>
    <x v="0"/>
    <n v="2"/>
    <n v="0"/>
    <s v="Wallet"/>
    <x v="1"/>
    <x v="1"/>
    <n v="5"/>
    <n v="0"/>
    <n v="1"/>
    <s v="New"/>
    <x v="3"/>
    <n v="50"/>
    <n v="0"/>
  </r>
  <r>
    <n v="3344"/>
    <x v="37"/>
    <n v="1876"/>
    <x v="4"/>
    <x v="2"/>
    <x v="2"/>
    <n v="2"/>
    <n v="3858"/>
    <s v="Card"/>
    <x v="0"/>
    <x v="3"/>
    <n v="2"/>
    <n v="0"/>
    <n v="0"/>
    <s v="New"/>
    <x v="4"/>
    <n v="46"/>
    <n v="1"/>
  </r>
  <r>
    <n v="3345"/>
    <x v="169"/>
    <n v="1084"/>
    <x v="3"/>
    <x v="0"/>
    <x v="1"/>
    <n v="5"/>
    <n v="15485"/>
    <s v="Card"/>
    <x v="0"/>
    <x v="0"/>
    <n v="4"/>
    <n v="0"/>
    <n v="1"/>
    <s v="New"/>
    <x v="2"/>
    <n v="43"/>
    <n v="1"/>
  </r>
  <r>
    <n v="3346"/>
    <x v="94"/>
    <n v="1542"/>
    <x v="2"/>
    <x v="2"/>
    <x v="1"/>
    <n v="4"/>
    <n v="11188"/>
    <s v="UPI"/>
    <x v="0"/>
    <x v="1"/>
    <n v="10"/>
    <n v="1"/>
    <n v="0"/>
    <s v="New"/>
    <x v="1"/>
    <n v="40"/>
    <n v="1"/>
  </r>
  <r>
    <n v="3347"/>
    <x v="64"/>
    <n v="1067"/>
    <x v="2"/>
    <x v="0"/>
    <x v="3"/>
    <n v="4"/>
    <n v="0"/>
    <s v="COD"/>
    <x v="2"/>
    <x v="2"/>
    <n v="3"/>
    <n v="1"/>
    <n v="0"/>
    <s v="New"/>
    <x v="2"/>
    <n v="43"/>
    <n v="0"/>
  </r>
  <r>
    <n v="3348"/>
    <x v="16"/>
    <n v="1260"/>
    <x v="0"/>
    <x v="4"/>
    <x v="1"/>
    <n v="4"/>
    <n v="0"/>
    <s v="Card"/>
    <x v="1"/>
    <x v="3"/>
    <n v="9"/>
    <n v="1"/>
    <n v="0"/>
    <s v="New"/>
    <x v="0"/>
    <n v="32"/>
    <n v="0"/>
  </r>
  <r>
    <n v="3349"/>
    <x v="34"/>
    <n v="1710"/>
    <x v="1"/>
    <x v="0"/>
    <x v="1"/>
    <n v="4"/>
    <n v="12976"/>
    <s v="Card"/>
    <x v="0"/>
    <x v="0"/>
    <n v="2"/>
    <n v="0"/>
    <n v="1"/>
    <s v="Repeat"/>
    <x v="3"/>
    <n v="51"/>
    <n v="1"/>
  </r>
  <r>
    <n v="3350"/>
    <x v="85"/>
    <n v="1937"/>
    <x v="0"/>
    <x v="4"/>
    <x v="0"/>
    <n v="3"/>
    <n v="0"/>
    <s v="Card"/>
    <x v="2"/>
    <x v="0"/>
    <n v="5"/>
    <n v="1"/>
    <n v="0"/>
    <s v="Repeat"/>
    <x v="3"/>
    <n v="50"/>
    <n v="0"/>
  </r>
  <r>
    <n v="3351"/>
    <x v="57"/>
    <n v="1114"/>
    <x v="2"/>
    <x v="3"/>
    <x v="3"/>
    <n v="2"/>
    <n v="0"/>
    <s v="UPI"/>
    <x v="2"/>
    <x v="3"/>
    <n v="7"/>
    <n v="0"/>
    <n v="1"/>
    <s v="Repeat"/>
    <x v="4"/>
    <n v="48"/>
    <n v="0"/>
  </r>
  <r>
    <n v="3352"/>
    <x v="25"/>
    <n v="1377"/>
    <x v="1"/>
    <x v="0"/>
    <x v="1"/>
    <n v="4"/>
    <n v="7352"/>
    <s v="COD"/>
    <x v="0"/>
    <x v="1"/>
    <n v="2"/>
    <n v="1"/>
    <n v="0"/>
    <s v="Repeat"/>
    <x v="4"/>
    <n v="49"/>
    <n v="1"/>
  </r>
  <r>
    <n v="3353"/>
    <x v="72"/>
    <n v="1068"/>
    <x v="0"/>
    <x v="1"/>
    <x v="0"/>
    <n v="2"/>
    <n v="4678"/>
    <s v="UPI"/>
    <x v="0"/>
    <x v="1"/>
    <n v="2"/>
    <n v="0"/>
    <n v="0"/>
    <s v="Repeat"/>
    <x v="2"/>
    <n v="41"/>
    <n v="1"/>
  </r>
  <r>
    <n v="3354"/>
    <x v="178"/>
    <n v="1893"/>
    <x v="2"/>
    <x v="3"/>
    <x v="1"/>
    <n v="4"/>
    <n v="2504"/>
    <s v="UPI"/>
    <x v="0"/>
    <x v="2"/>
    <n v="9"/>
    <n v="1"/>
    <n v="1"/>
    <s v="New"/>
    <x v="4"/>
    <n v="45"/>
    <n v="1"/>
  </r>
  <r>
    <n v="3355"/>
    <x v="41"/>
    <n v="1599"/>
    <x v="0"/>
    <x v="2"/>
    <x v="1"/>
    <n v="3"/>
    <n v="0"/>
    <s v="Wallet"/>
    <x v="2"/>
    <x v="2"/>
    <n v="3"/>
    <n v="1"/>
    <n v="1"/>
    <s v="Repeat"/>
    <x v="1"/>
    <n v="37"/>
    <n v="0"/>
  </r>
  <r>
    <n v="3356"/>
    <x v="162"/>
    <n v="1563"/>
    <x v="2"/>
    <x v="2"/>
    <x v="2"/>
    <n v="4"/>
    <n v="0"/>
    <s v="COD"/>
    <x v="1"/>
    <x v="2"/>
    <n v="10"/>
    <n v="1"/>
    <n v="1"/>
    <s v="New"/>
    <x v="2"/>
    <n v="43"/>
    <n v="0"/>
  </r>
  <r>
    <n v="3357"/>
    <x v="167"/>
    <n v="1345"/>
    <x v="1"/>
    <x v="2"/>
    <x v="1"/>
    <n v="4"/>
    <n v="0"/>
    <s v="Wallet"/>
    <x v="2"/>
    <x v="3"/>
    <n v="8"/>
    <n v="1"/>
    <n v="0"/>
    <s v="Repeat"/>
    <x v="0"/>
    <n v="35"/>
    <n v="0"/>
  </r>
  <r>
    <n v="3358"/>
    <x v="74"/>
    <n v="1625"/>
    <x v="0"/>
    <x v="4"/>
    <x v="3"/>
    <n v="3"/>
    <n v="0"/>
    <s v="COD"/>
    <x v="1"/>
    <x v="3"/>
    <n v="2"/>
    <n v="0"/>
    <n v="1"/>
    <s v="Repeat"/>
    <x v="5"/>
    <n v="29"/>
    <n v="0"/>
  </r>
  <r>
    <n v="3359"/>
    <x v="58"/>
    <n v="1127"/>
    <x v="0"/>
    <x v="2"/>
    <x v="0"/>
    <n v="2"/>
    <n v="0"/>
    <s v="Wallet"/>
    <x v="1"/>
    <x v="1"/>
    <n v="1"/>
    <n v="1"/>
    <n v="1"/>
    <s v="Repeat"/>
    <x v="5"/>
    <n v="31"/>
    <n v="0"/>
  </r>
  <r>
    <n v="3360"/>
    <x v="34"/>
    <n v="1369"/>
    <x v="2"/>
    <x v="4"/>
    <x v="0"/>
    <n v="4"/>
    <n v="0"/>
    <s v="UPI"/>
    <x v="2"/>
    <x v="3"/>
    <n v="2"/>
    <n v="1"/>
    <n v="0"/>
    <s v="Repeat"/>
    <x v="3"/>
    <n v="51"/>
    <n v="0"/>
  </r>
  <r>
    <n v="3361"/>
    <x v="167"/>
    <n v="1754"/>
    <x v="3"/>
    <x v="0"/>
    <x v="0"/>
    <n v="2"/>
    <n v="0"/>
    <s v="Wallet"/>
    <x v="1"/>
    <x v="0"/>
    <n v="8"/>
    <n v="0"/>
    <n v="0"/>
    <s v="Repeat"/>
    <x v="0"/>
    <n v="35"/>
    <n v="0"/>
  </r>
  <r>
    <n v="3362"/>
    <x v="163"/>
    <n v="1542"/>
    <x v="2"/>
    <x v="2"/>
    <x v="3"/>
    <n v="4"/>
    <n v="0"/>
    <s v="COD"/>
    <x v="2"/>
    <x v="1"/>
    <n v="6"/>
    <n v="0"/>
    <n v="0"/>
    <s v="New"/>
    <x v="4"/>
    <n v="45"/>
    <n v="0"/>
  </r>
  <r>
    <n v="3363"/>
    <x v="41"/>
    <n v="1757"/>
    <x v="0"/>
    <x v="1"/>
    <x v="3"/>
    <n v="3"/>
    <n v="8049"/>
    <s v="Card"/>
    <x v="0"/>
    <x v="2"/>
    <n v="6"/>
    <n v="1"/>
    <n v="1"/>
    <s v="New"/>
    <x v="1"/>
    <n v="37"/>
    <n v="1"/>
  </r>
  <r>
    <n v="3364"/>
    <x v="165"/>
    <n v="1919"/>
    <x v="0"/>
    <x v="4"/>
    <x v="1"/>
    <n v="3"/>
    <n v="624"/>
    <s v="COD"/>
    <x v="0"/>
    <x v="1"/>
    <n v="2"/>
    <n v="1"/>
    <n v="0"/>
    <s v="Repeat"/>
    <x v="2"/>
    <n v="41"/>
    <n v="1"/>
  </r>
  <r>
    <n v="3365"/>
    <x v="22"/>
    <n v="1954"/>
    <x v="0"/>
    <x v="2"/>
    <x v="3"/>
    <n v="3"/>
    <n v="1842"/>
    <s v="UPI"/>
    <x v="0"/>
    <x v="3"/>
    <n v="9"/>
    <n v="0"/>
    <n v="1"/>
    <s v="Repeat"/>
    <x v="6"/>
    <n v="2"/>
    <n v="1"/>
  </r>
  <r>
    <n v="3366"/>
    <x v="72"/>
    <n v="1613"/>
    <x v="1"/>
    <x v="4"/>
    <x v="2"/>
    <n v="2"/>
    <n v="4390"/>
    <s v="Wallet"/>
    <x v="0"/>
    <x v="2"/>
    <n v="2"/>
    <n v="1"/>
    <n v="1"/>
    <s v="New"/>
    <x v="2"/>
    <n v="41"/>
    <n v="1"/>
  </r>
  <r>
    <n v="3367"/>
    <x v="76"/>
    <n v="1570"/>
    <x v="4"/>
    <x v="3"/>
    <x v="1"/>
    <n v="2"/>
    <n v="0"/>
    <s v="UPI"/>
    <x v="1"/>
    <x v="1"/>
    <n v="7"/>
    <n v="0"/>
    <n v="1"/>
    <s v="Repeat"/>
    <x v="3"/>
    <n v="50"/>
    <n v="0"/>
  </r>
  <r>
    <n v="3368"/>
    <x v="19"/>
    <n v="1782"/>
    <x v="3"/>
    <x v="4"/>
    <x v="1"/>
    <n v="2"/>
    <n v="0"/>
    <s v="Wallet"/>
    <x v="2"/>
    <x v="3"/>
    <n v="7"/>
    <n v="1"/>
    <n v="1"/>
    <s v="New"/>
    <x v="0"/>
    <n v="33"/>
    <n v="0"/>
  </r>
  <r>
    <n v="3369"/>
    <x v="11"/>
    <n v="1981"/>
    <x v="1"/>
    <x v="2"/>
    <x v="3"/>
    <n v="1"/>
    <n v="0"/>
    <s v="Card"/>
    <x v="2"/>
    <x v="0"/>
    <n v="2"/>
    <n v="0"/>
    <n v="0"/>
    <s v="Repeat"/>
    <x v="0"/>
    <n v="35"/>
    <n v="0"/>
  </r>
  <r>
    <n v="3370"/>
    <x v="176"/>
    <n v="1109"/>
    <x v="3"/>
    <x v="2"/>
    <x v="3"/>
    <n v="3"/>
    <n v="0"/>
    <s v="UPI"/>
    <x v="1"/>
    <x v="2"/>
    <n v="7"/>
    <n v="0"/>
    <n v="1"/>
    <s v="New"/>
    <x v="3"/>
    <n v="51"/>
    <n v="0"/>
  </r>
  <r>
    <n v="3371"/>
    <x v="0"/>
    <n v="1616"/>
    <x v="4"/>
    <x v="3"/>
    <x v="0"/>
    <n v="3"/>
    <n v="0"/>
    <s v="Card"/>
    <x v="2"/>
    <x v="1"/>
    <n v="6"/>
    <n v="1"/>
    <n v="1"/>
    <s v="Repeat"/>
    <x v="0"/>
    <n v="32"/>
    <n v="0"/>
  </r>
  <r>
    <n v="3372"/>
    <x v="157"/>
    <n v="1372"/>
    <x v="3"/>
    <x v="0"/>
    <x v="2"/>
    <n v="5"/>
    <n v="0"/>
    <s v="Card"/>
    <x v="1"/>
    <x v="0"/>
    <n v="9"/>
    <n v="1"/>
    <n v="1"/>
    <s v="New"/>
    <x v="2"/>
    <n v="41"/>
    <n v="0"/>
  </r>
  <r>
    <n v="3373"/>
    <x v="2"/>
    <n v="1392"/>
    <x v="2"/>
    <x v="1"/>
    <x v="2"/>
    <n v="3"/>
    <n v="0"/>
    <s v="COD"/>
    <x v="1"/>
    <x v="3"/>
    <n v="9"/>
    <n v="1"/>
    <n v="1"/>
    <s v="Repeat"/>
    <x v="2"/>
    <n v="41"/>
    <n v="0"/>
  </r>
  <r>
    <n v="3374"/>
    <x v="59"/>
    <n v="1785"/>
    <x v="3"/>
    <x v="1"/>
    <x v="2"/>
    <n v="3"/>
    <n v="0"/>
    <s v="UPI"/>
    <x v="2"/>
    <x v="2"/>
    <n v="6"/>
    <n v="0"/>
    <n v="1"/>
    <s v="Repeat"/>
    <x v="0"/>
    <n v="34"/>
    <n v="0"/>
  </r>
  <r>
    <n v="3375"/>
    <x v="133"/>
    <n v="1993"/>
    <x v="3"/>
    <x v="4"/>
    <x v="3"/>
    <n v="5"/>
    <n v="8180"/>
    <s v="Wallet"/>
    <x v="0"/>
    <x v="1"/>
    <n v="10"/>
    <n v="1"/>
    <n v="0"/>
    <s v="Repeat"/>
    <x v="0"/>
    <n v="35"/>
    <n v="1"/>
  </r>
  <r>
    <n v="3376"/>
    <x v="34"/>
    <n v="1747"/>
    <x v="1"/>
    <x v="1"/>
    <x v="2"/>
    <n v="5"/>
    <n v="0"/>
    <s v="COD"/>
    <x v="2"/>
    <x v="0"/>
    <n v="1"/>
    <n v="0"/>
    <n v="0"/>
    <s v="New"/>
    <x v="3"/>
    <n v="51"/>
    <n v="0"/>
  </r>
  <r>
    <n v="3377"/>
    <x v="77"/>
    <n v="1556"/>
    <x v="0"/>
    <x v="3"/>
    <x v="3"/>
    <n v="5"/>
    <n v="0"/>
    <s v="COD"/>
    <x v="1"/>
    <x v="2"/>
    <n v="9"/>
    <n v="0"/>
    <n v="1"/>
    <s v="New"/>
    <x v="1"/>
    <n v="38"/>
    <n v="0"/>
  </r>
  <r>
    <n v="3378"/>
    <x v="105"/>
    <n v="1059"/>
    <x v="4"/>
    <x v="0"/>
    <x v="0"/>
    <n v="1"/>
    <n v="4339"/>
    <s v="COD"/>
    <x v="0"/>
    <x v="3"/>
    <n v="3"/>
    <n v="1"/>
    <n v="0"/>
    <s v="Repeat"/>
    <x v="3"/>
    <n v="52"/>
    <n v="1"/>
  </r>
  <r>
    <n v="3379"/>
    <x v="53"/>
    <n v="1275"/>
    <x v="0"/>
    <x v="4"/>
    <x v="2"/>
    <n v="5"/>
    <n v="0"/>
    <s v="Card"/>
    <x v="2"/>
    <x v="1"/>
    <n v="2"/>
    <n v="0"/>
    <n v="0"/>
    <s v="New"/>
    <x v="2"/>
    <n v="42"/>
    <n v="0"/>
  </r>
  <r>
    <n v="3380"/>
    <x v="120"/>
    <n v="1548"/>
    <x v="3"/>
    <x v="3"/>
    <x v="3"/>
    <n v="3"/>
    <n v="0"/>
    <s v="UPI"/>
    <x v="2"/>
    <x v="1"/>
    <n v="10"/>
    <n v="0"/>
    <n v="0"/>
    <s v="New"/>
    <x v="6"/>
    <n v="1"/>
    <n v="0"/>
  </r>
  <r>
    <n v="3381"/>
    <x v="23"/>
    <n v="1543"/>
    <x v="1"/>
    <x v="3"/>
    <x v="0"/>
    <n v="3"/>
    <n v="0"/>
    <s v="UPI"/>
    <x v="2"/>
    <x v="1"/>
    <n v="3"/>
    <n v="0"/>
    <n v="0"/>
    <s v="New"/>
    <x v="3"/>
    <n v="51"/>
    <n v="0"/>
  </r>
  <r>
    <n v="3382"/>
    <x v="167"/>
    <n v="1149"/>
    <x v="2"/>
    <x v="3"/>
    <x v="2"/>
    <n v="5"/>
    <n v="0"/>
    <s v="Card"/>
    <x v="1"/>
    <x v="3"/>
    <n v="6"/>
    <n v="0"/>
    <n v="0"/>
    <s v="Repeat"/>
    <x v="0"/>
    <n v="35"/>
    <n v="0"/>
  </r>
  <r>
    <n v="3383"/>
    <x v="78"/>
    <n v="1027"/>
    <x v="0"/>
    <x v="1"/>
    <x v="2"/>
    <n v="3"/>
    <n v="0"/>
    <s v="Card"/>
    <x v="1"/>
    <x v="0"/>
    <n v="4"/>
    <n v="1"/>
    <n v="0"/>
    <s v="Repeat"/>
    <x v="3"/>
    <n v="52"/>
    <n v="0"/>
  </r>
  <r>
    <n v="3384"/>
    <x v="23"/>
    <n v="1910"/>
    <x v="1"/>
    <x v="2"/>
    <x v="3"/>
    <n v="4"/>
    <n v="5400"/>
    <s v="UPI"/>
    <x v="0"/>
    <x v="0"/>
    <n v="9"/>
    <n v="1"/>
    <n v="0"/>
    <s v="New"/>
    <x v="3"/>
    <n v="51"/>
    <n v="1"/>
  </r>
  <r>
    <n v="3385"/>
    <x v="146"/>
    <n v="1327"/>
    <x v="0"/>
    <x v="0"/>
    <x v="1"/>
    <n v="4"/>
    <n v="0"/>
    <s v="UPI"/>
    <x v="2"/>
    <x v="0"/>
    <n v="5"/>
    <n v="1"/>
    <n v="1"/>
    <s v="Repeat"/>
    <x v="2"/>
    <n v="40"/>
    <n v="0"/>
  </r>
  <r>
    <n v="3386"/>
    <x v="48"/>
    <n v="1906"/>
    <x v="2"/>
    <x v="1"/>
    <x v="3"/>
    <n v="2"/>
    <n v="0"/>
    <s v="UPI"/>
    <x v="2"/>
    <x v="0"/>
    <n v="3"/>
    <n v="0"/>
    <n v="0"/>
    <s v="Repeat"/>
    <x v="3"/>
    <n v="50"/>
    <n v="0"/>
  </r>
  <r>
    <n v="3387"/>
    <x v="108"/>
    <n v="1438"/>
    <x v="4"/>
    <x v="2"/>
    <x v="2"/>
    <n v="5"/>
    <n v="0"/>
    <s v="COD"/>
    <x v="2"/>
    <x v="3"/>
    <n v="8"/>
    <n v="0"/>
    <n v="1"/>
    <s v="New"/>
    <x v="2"/>
    <n v="44"/>
    <n v="0"/>
  </r>
  <r>
    <n v="3388"/>
    <x v="125"/>
    <n v="1499"/>
    <x v="2"/>
    <x v="2"/>
    <x v="0"/>
    <n v="5"/>
    <n v="0"/>
    <s v="UPI"/>
    <x v="2"/>
    <x v="1"/>
    <n v="6"/>
    <n v="0"/>
    <n v="0"/>
    <s v="New"/>
    <x v="5"/>
    <n v="31"/>
    <n v="0"/>
  </r>
  <r>
    <n v="3389"/>
    <x v="28"/>
    <n v="1348"/>
    <x v="0"/>
    <x v="1"/>
    <x v="0"/>
    <n v="3"/>
    <n v="6681"/>
    <s v="COD"/>
    <x v="0"/>
    <x v="2"/>
    <n v="8"/>
    <n v="0"/>
    <n v="1"/>
    <s v="New"/>
    <x v="0"/>
    <n v="33"/>
    <n v="1"/>
  </r>
  <r>
    <n v="3390"/>
    <x v="109"/>
    <n v="1049"/>
    <x v="4"/>
    <x v="1"/>
    <x v="0"/>
    <n v="4"/>
    <n v="0"/>
    <s v="Wallet"/>
    <x v="1"/>
    <x v="2"/>
    <n v="10"/>
    <n v="1"/>
    <n v="0"/>
    <s v="Repeat"/>
    <x v="4"/>
    <n v="46"/>
    <n v="0"/>
  </r>
  <r>
    <n v="3391"/>
    <x v="78"/>
    <n v="1659"/>
    <x v="0"/>
    <x v="0"/>
    <x v="1"/>
    <n v="3"/>
    <n v="0"/>
    <s v="UPI"/>
    <x v="2"/>
    <x v="1"/>
    <n v="8"/>
    <n v="0"/>
    <n v="0"/>
    <s v="Repeat"/>
    <x v="3"/>
    <n v="52"/>
    <n v="0"/>
  </r>
  <r>
    <n v="3392"/>
    <x v="46"/>
    <n v="1344"/>
    <x v="1"/>
    <x v="4"/>
    <x v="0"/>
    <n v="4"/>
    <n v="0"/>
    <s v="Wallet"/>
    <x v="1"/>
    <x v="3"/>
    <n v="10"/>
    <n v="0"/>
    <n v="0"/>
    <s v="Repeat"/>
    <x v="5"/>
    <n v="30"/>
    <n v="0"/>
  </r>
  <r>
    <n v="3393"/>
    <x v="139"/>
    <n v="1384"/>
    <x v="3"/>
    <x v="4"/>
    <x v="1"/>
    <n v="3"/>
    <n v="12123"/>
    <s v="COD"/>
    <x v="0"/>
    <x v="0"/>
    <n v="10"/>
    <n v="1"/>
    <n v="1"/>
    <s v="New"/>
    <x v="4"/>
    <n v="45"/>
    <n v="1"/>
  </r>
  <r>
    <n v="3394"/>
    <x v="62"/>
    <n v="1028"/>
    <x v="3"/>
    <x v="3"/>
    <x v="0"/>
    <n v="2"/>
    <n v="0"/>
    <s v="Wallet"/>
    <x v="1"/>
    <x v="2"/>
    <n v="10"/>
    <n v="1"/>
    <n v="1"/>
    <s v="New"/>
    <x v="2"/>
    <n v="43"/>
    <n v="0"/>
  </r>
  <r>
    <n v="3395"/>
    <x v="16"/>
    <n v="1076"/>
    <x v="0"/>
    <x v="4"/>
    <x v="3"/>
    <n v="5"/>
    <n v="8080"/>
    <s v="UPI"/>
    <x v="0"/>
    <x v="2"/>
    <n v="1"/>
    <n v="1"/>
    <n v="0"/>
    <s v="Repeat"/>
    <x v="0"/>
    <n v="32"/>
    <n v="1"/>
  </r>
  <r>
    <n v="3396"/>
    <x v="141"/>
    <n v="1259"/>
    <x v="0"/>
    <x v="2"/>
    <x v="0"/>
    <n v="3"/>
    <n v="0"/>
    <s v="COD"/>
    <x v="2"/>
    <x v="1"/>
    <n v="2"/>
    <n v="0"/>
    <n v="1"/>
    <s v="Repeat"/>
    <x v="1"/>
    <n v="39"/>
    <n v="0"/>
  </r>
  <r>
    <n v="3397"/>
    <x v="74"/>
    <n v="1692"/>
    <x v="2"/>
    <x v="1"/>
    <x v="3"/>
    <n v="2"/>
    <n v="9176"/>
    <s v="Wallet"/>
    <x v="0"/>
    <x v="0"/>
    <n v="7"/>
    <n v="0"/>
    <n v="0"/>
    <s v="New"/>
    <x v="5"/>
    <n v="29"/>
    <n v="1"/>
  </r>
  <r>
    <n v="3398"/>
    <x v="81"/>
    <n v="1188"/>
    <x v="2"/>
    <x v="2"/>
    <x v="3"/>
    <n v="2"/>
    <n v="0"/>
    <s v="Wallet"/>
    <x v="2"/>
    <x v="0"/>
    <n v="2"/>
    <n v="1"/>
    <n v="1"/>
    <s v="Repeat"/>
    <x v="0"/>
    <n v="33"/>
    <n v="0"/>
  </r>
  <r>
    <n v="3399"/>
    <x v="32"/>
    <n v="1645"/>
    <x v="3"/>
    <x v="1"/>
    <x v="1"/>
    <n v="3"/>
    <n v="0"/>
    <s v="COD"/>
    <x v="2"/>
    <x v="1"/>
    <n v="7"/>
    <n v="1"/>
    <n v="1"/>
    <s v="New"/>
    <x v="1"/>
    <n v="38"/>
    <n v="0"/>
  </r>
  <r>
    <n v="3400"/>
    <x v="38"/>
    <n v="1417"/>
    <x v="1"/>
    <x v="3"/>
    <x v="3"/>
    <n v="2"/>
    <n v="0"/>
    <s v="COD"/>
    <x v="1"/>
    <x v="3"/>
    <n v="5"/>
    <n v="0"/>
    <n v="1"/>
    <s v="New"/>
    <x v="1"/>
    <n v="39"/>
    <n v="0"/>
  </r>
  <r>
    <n v="3401"/>
    <x v="6"/>
    <n v="1468"/>
    <x v="1"/>
    <x v="3"/>
    <x v="0"/>
    <n v="1"/>
    <n v="4658"/>
    <s v="COD"/>
    <x v="0"/>
    <x v="1"/>
    <n v="1"/>
    <n v="0"/>
    <n v="1"/>
    <s v="Repeat"/>
    <x v="4"/>
    <n v="47"/>
    <n v="1"/>
  </r>
  <r>
    <n v="3402"/>
    <x v="63"/>
    <n v="1245"/>
    <x v="2"/>
    <x v="1"/>
    <x v="2"/>
    <n v="2"/>
    <n v="6242"/>
    <s v="Card"/>
    <x v="0"/>
    <x v="1"/>
    <n v="4"/>
    <n v="0"/>
    <n v="1"/>
    <s v="Repeat"/>
    <x v="5"/>
    <n v="29"/>
    <n v="1"/>
  </r>
  <r>
    <n v="3403"/>
    <x v="158"/>
    <n v="1499"/>
    <x v="4"/>
    <x v="2"/>
    <x v="1"/>
    <n v="4"/>
    <n v="3148"/>
    <s v="COD"/>
    <x v="0"/>
    <x v="2"/>
    <n v="2"/>
    <n v="1"/>
    <n v="1"/>
    <s v="New"/>
    <x v="1"/>
    <n v="38"/>
    <n v="1"/>
  </r>
  <r>
    <n v="3404"/>
    <x v="5"/>
    <n v="1488"/>
    <x v="2"/>
    <x v="3"/>
    <x v="2"/>
    <n v="5"/>
    <n v="0"/>
    <s v="UPI"/>
    <x v="2"/>
    <x v="2"/>
    <n v="4"/>
    <n v="0"/>
    <n v="0"/>
    <s v="New"/>
    <x v="0"/>
    <n v="33"/>
    <n v="0"/>
  </r>
  <r>
    <n v="3405"/>
    <x v="108"/>
    <n v="1481"/>
    <x v="3"/>
    <x v="0"/>
    <x v="3"/>
    <n v="3"/>
    <n v="14460"/>
    <s v="Wallet"/>
    <x v="0"/>
    <x v="0"/>
    <n v="9"/>
    <n v="0"/>
    <n v="0"/>
    <s v="Repeat"/>
    <x v="2"/>
    <n v="44"/>
    <n v="1"/>
  </r>
  <r>
    <n v="3406"/>
    <x v="19"/>
    <n v="1973"/>
    <x v="4"/>
    <x v="4"/>
    <x v="1"/>
    <n v="3"/>
    <n v="1014"/>
    <s v="Card"/>
    <x v="0"/>
    <x v="1"/>
    <n v="2"/>
    <n v="0"/>
    <n v="0"/>
    <s v="Repeat"/>
    <x v="0"/>
    <n v="33"/>
    <n v="1"/>
  </r>
  <r>
    <n v="3407"/>
    <x v="93"/>
    <n v="1347"/>
    <x v="4"/>
    <x v="1"/>
    <x v="2"/>
    <n v="2"/>
    <n v="3412"/>
    <s v="Card"/>
    <x v="0"/>
    <x v="3"/>
    <n v="6"/>
    <n v="0"/>
    <n v="0"/>
    <s v="Repeat"/>
    <x v="3"/>
    <n v="53"/>
    <n v="1"/>
  </r>
  <r>
    <n v="3408"/>
    <x v="173"/>
    <n v="1539"/>
    <x v="2"/>
    <x v="3"/>
    <x v="2"/>
    <n v="3"/>
    <n v="10218"/>
    <s v="Card"/>
    <x v="0"/>
    <x v="0"/>
    <n v="1"/>
    <n v="0"/>
    <n v="1"/>
    <s v="New"/>
    <x v="5"/>
    <n v="30"/>
    <n v="1"/>
  </r>
  <r>
    <n v="3409"/>
    <x v="107"/>
    <n v="1851"/>
    <x v="3"/>
    <x v="3"/>
    <x v="1"/>
    <n v="4"/>
    <n v="11916"/>
    <s v="COD"/>
    <x v="0"/>
    <x v="2"/>
    <n v="10"/>
    <n v="0"/>
    <n v="0"/>
    <s v="Repeat"/>
    <x v="4"/>
    <n v="45"/>
    <n v="1"/>
  </r>
  <r>
    <n v="3410"/>
    <x v="150"/>
    <n v="1081"/>
    <x v="2"/>
    <x v="4"/>
    <x v="1"/>
    <n v="4"/>
    <n v="0"/>
    <s v="Wallet"/>
    <x v="1"/>
    <x v="2"/>
    <n v="9"/>
    <n v="0"/>
    <n v="0"/>
    <s v="Repeat"/>
    <x v="0"/>
    <n v="35"/>
    <n v="0"/>
  </r>
  <r>
    <n v="3411"/>
    <x v="144"/>
    <n v="1006"/>
    <x v="4"/>
    <x v="4"/>
    <x v="3"/>
    <n v="4"/>
    <n v="0"/>
    <s v="UPI"/>
    <x v="2"/>
    <x v="1"/>
    <n v="2"/>
    <n v="1"/>
    <n v="0"/>
    <s v="New"/>
    <x v="3"/>
    <n v="52"/>
    <n v="0"/>
  </r>
  <r>
    <n v="3412"/>
    <x v="158"/>
    <n v="1026"/>
    <x v="2"/>
    <x v="2"/>
    <x v="3"/>
    <n v="4"/>
    <n v="0"/>
    <s v="COD"/>
    <x v="1"/>
    <x v="0"/>
    <n v="9"/>
    <n v="1"/>
    <n v="0"/>
    <s v="New"/>
    <x v="1"/>
    <n v="38"/>
    <n v="0"/>
  </r>
  <r>
    <n v="3413"/>
    <x v="175"/>
    <n v="1936"/>
    <x v="2"/>
    <x v="0"/>
    <x v="2"/>
    <n v="4"/>
    <n v="0"/>
    <s v="Card"/>
    <x v="1"/>
    <x v="0"/>
    <n v="6"/>
    <n v="1"/>
    <n v="0"/>
    <s v="Repeat"/>
    <x v="5"/>
    <n v="31"/>
    <n v="0"/>
  </r>
  <r>
    <n v="3414"/>
    <x v="108"/>
    <n v="1536"/>
    <x v="1"/>
    <x v="3"/>
    <x v="2"/>
    <n v="4"/>
    <n v="0"/>
    <s v="UPI"/>
    <x v="1"/>
    <x v="0"/>
    <n v="10"/>
    <n v="0"/>
    <n v="0"/>
    <s v="New"/>
    <x v="2"/>
    <n v="44"/>
    <n v="0"/>
  </r>
  <r>
    <n v="3415"/>
    <x v="149"/>
    <n v="1300"/>
    <x v="0"/>
    <x v="3"/>
    <x v="3"/>
    <n v="2"/>
    <n v="0"/>
    <s v="COD"/>
    <x v="1"/>
    <x v="2"/>
    <n v="7"/>
    <n v="0"/>
    <n v="0"/>
    <s v="New"/>
    <x v="3"/>
    <n v="49"/>
    <n v="0"/>
  </r>
  <r>
    <n v="3416"/>
    <x v="162"/>
    <n v="1314"/>
    <x v="2"/>
    <x v="1"/>
    <x v="1"/>
    <n v="3"/>
    <n v="0"/>
    <s v="UPI"/>
    <x v="2"/>
    <x v="3"/>
    <n v="7"/>
    <n v="1"/>
    <n v="1"/>
    <s v="Repeat"/>
    <x v="2"/>
    <n v="43"/>
    <n v="0"/>
  </r>
  <r>
    <n v="3417"/>
    <x v="18"/>
    <n v="1079"/>
    <x v="2"/>
    <x v="2"/>
    <x v="0"/>
    <n v="5"/>
    <n v="4655"/>
    <s v="UPI"/>
    <x v="0"/>
    <x v="3"/>
    <n v="6"/>
    <n v="0"/>
    <n v="0"/>
    <s v="Repeat"/>
    <x v="1"/>
    <n v="36"/>
    <n v="1"/>
  </r>
  <r>
    <n v="3418"/>
    <x v="117"/>
    <n v="1667"/>
    <x v="3"/>
    <x v="1"/>
    <x v="2"/>
    <n v="4"/>
    <n v="0"/>
    <s v="COD"/>
    <x v="1"/>
    <x v="3"/>
    <n v="6"/>
    <n v="1"/>
    <n v="1"/>
    <s v="Repeat"/>
    <x v="5"/>
    <n v="31"/>
    <n v="0"/>
  </r>
  <r>
    <n v="3419"/>
    <x v="95"/>
    <n v="1058"/>
    <x v="0"/>
    <x v="4"/>
    <x v="2"/>
    <n v="5"/>
    <n v="0"/>
    <s v="COD"/>
    <x v="2"/>
    <x v="1"/>
    <n v="9"/>
    <n v="0"/>
    <n v="0"/>
    <s v="New"/>
    <x v="4"/>
    <n v="47"/>
    <n v="0"/>
  </r>
  <r>
    <n v="3420"/>
    <x v="122"/>
    <n v="1692"/>
    <x v="2"/>
    <x v="1"/>
    <x v="2"/>
    <n v="1"/>
    <n v="0"/>
    <s v="Card"/>
    <x v="2"/>
    <x v="2"/>
    <n v="2"/>
    <n v="1"/>
    <n v="0"/>
    <s v="Repeat"/>
    <x v="3"/>
    <n v="53"/>
    <n v="0"/>
  </r>
  <r>
    <n v="3421"/>
    <x v="158"/>
    <n v="1000"/>
    <x v="4"/>
    <x v="0"/>
    <x v="3"/>
    <n v="4"/>
    <n v="0"/>
    <s v="Wallet"/>
    <x v="2"/>
    <x v="2"/>
    <n v="3"/>
    <n v="0"/>
    <n v="0"/>
    <s v="New"/>
    <x v="1"/>
    <n v="38"/>
    <n v="0"/>
  </r>
  <r>
    <n v="3422"/>
    <x v="26"/>
    <n v="1120"/>
    <x v="2"/>
    <x v="2"/>
    <x v="3"/>
    <n v="1"/>
    <n v="0"/>
    <s v="Wallet"/>
    <x v="1"/>
    <x v="0"/>
    <n v="6"/>
    <n v="0"/>
    <n v="1"/>
    <s v="Repeat"/>
    <x v="2"/>
    <n v="42"/>
    <n v="0"/>
  </r>
  <r>
    <n v="3423"/>
    <x v="37"/>
    <n v="1643"/>
    <x v="3"/>
    <x v="2"/>
    <x v="1"/>
    <n v="1"/>
    <n v="473"/>
    <s v="Wallet"/>
    <x v="0"/>
    <x v="2"/>
    <n v="3"/>
    <n v="0"/>
    <n v="0"/>
    <s v="Repeat"/>
    <x v="4"/>
    <n v="46"/>
    <n v="1"/>
  </r>
  <r>
    <n v="3424"/>
    <x v="64"/>
    <n v="1302"/>
    <x v="2"/>
    <x v="4"/>
    <x v="2"/>
    <n v="2"/>
    <n v="0"/>
    <s v="UPI"/>
    <x v="1"/>
    <x v="2"/>
    <n v="5"/>
    <n v="0"/>
    <n v="1"/>
    <s v="New"/>
    <x v="2"/>
    <n v="43"/>
    <n v="0"/>
  </r>
  <r>
    <n v="3425"/>
    <x v="129"/>
    <n v="1428"/>
    <x v="2"/>
    <x v="1"/>
    <x v="0"/>
    <n v="2"/>
    <n v="0"/>
    <s v="Wallet"/>
    <x v="2"/>
    <x v="3"/>
    <n v="6"/>
    <n v="0"/>
    <n v="1"/>
    <s v="New"/>
    <x v="4"/>
    <n v="46"/>
    <n v="0"/>
  </r>
  <r>
    <n v="3426"/>
    <x v="151"/>
    <n v="1847"/>
    <x v="0"/>
    <x v="4"/>
    <x v="3"/>
    <n v="5"/>
    <n v="0"/>
    <s v="Card"/>
    <x v="1"/>
    <x v="1"/>
    <n v="9"/>
    <n v="1"/>
    <n v="0"/>
    <s v="Repeat"/>
    <x v="3"/>
    <n v="52"/>
    <n v="0"/>
  </r>
  <r>
    <n v="3427"/>
    <x v="124"/>
    <n v="1555"/>
    <x v="1"/>
    <x v="1"/>
    <x v="3"/>
    <n v="1"/>
    <n v="0"/>
    <s v="UPI"/>
    <x v="1"/>
    <x v="0"/>
    <n v="7"/>
    <n v="0"/>
    <n v="1"/>
    <s v="Repeat"/>
    <x v="1"/>
    <n v="37"/>
    <n v="0"/>
  </r>
  <r>
    <n v="3428"/>
    <x v="120"/>
    <n v="1554"/>
    <x v="0"/>
    <x v="3"/>
    <x v="1"/>
    <n v="5"/>
    <n v="0"/>
    <s v="Wallet"/>
    <x v="2"/>
    <x v="3"/>
    <n v="4"/>
    <n v="1"/>
    <n v="0"/>
    <s v="New"/>
    <x v="6"/>
    <n v="1"/>
    <n v="0"/>
  </r>
  <r>
    <n v="3429"/>
    <x v="152"/>
    <n v="1016"/>
    <x v="1"/>
    <x v="0"/>
    <x v="2"/>
    <n v="2"/>
    <n v="0"/>
    <s v="UPI"/>
    <x v="1"/>
    <x v="2"/>
    <n v="10"/>
    <n v="0"/>
    <n v="0"/>
    <s v="New"/>
    <x v="2"/>
    <n v="42"/>
    <n v="0"/>
  </r>
  <r>
    <n v="3430"/>
    <x v="27"/>
    <n v="1891"/>
    <x v="4"/>
    <x v="1"/>
    <x v="1"/>
    <n v="3"/>
    <n v="0"/>
    <s v="Card"/>
    <x v="1"/>
    <x v="1"/>
    <n v="2"/>
    <n v="1"/>
    <n v="0"/>
    <s v="Repeat"/>
    <x v="1"/>
    <n v="37"/>
    <n v="0"/>
  </r>
  <r>
    <n v="3431"/>
    <x v="115"/>
    <n v="1830"/>
    <x v="3"/>
    <x v="2"/>
    <x v="0"/>
    <n v="4"/>
    <n v="0"/>
    <s v="UPI"/>
    <x v="2"/>
    <x v="1"/>
    <n v="9"/>
    <n v="0"/>
    <n v="0"/>
    <s v="Repeat"/>
    <x v="4"/>
    <n v="48"/>
    <n v="0"/>
  </r>
  <r>
    <n v="3432"/>
    <x v="113"/>
    <n v="1164"/>
    <x v="1"/>
    <x v="4"/>
    <x v="0"/>
    <n v="5"/>
    <n v="0"/>
    <s v="Card"/>
    <x v="2"/>
    <x v="3"/>
    <n v="3"/>
    <n v="0"/>
    <n v="0"/>
    <s v="Repeat"/>
    <x v="0"/>
    <n v="33"/>
    <n v="0"/>
  </r>
  <r>
    <n v="3433"/>
    <x v="17"/>
    <n v="1969"/>
    <x v="0"/>
    <x v="3"/>
    <x v="1"/>
    <n v="4"/>
    <n v="0"/>
    <s v="Card"/>
    <x v="1"/>
    <x v="2"/>
    <n v="10"/>
    <n v="1"/>
    <n v="1"/>
    <s v="Repeat"/>
    <x v="1"/>
    <n v="38"/>
    <n v="0"/>
  </r>
  <r>
    <n v="3434"/>
    <x v="167"/>
    <n v="1822"/>
    <x v="2"/>
    <x v="4"/>
    <x v="1"/>
    <n v="1"/>
    <n v="0"/>
    <s v="Card"/>
    <x v="2"/>
    <x v="2"/>
    <n v="3"/>
    <n v="0"/>
    <n v="1"/>
    <s v="Repeat"/>
    <x v="0"/>
    <n v="35"/>
    <n v="0"/>
  </r>
  <r>
    <n v="3435"/>
    <x v="15"/>
    <n v="1139"/>
    <x v="0"/>
    <x v="2"/>
    <x v="0"/>
    <n v="3"/>
    <n v="0"/>
    <s v="UPI"/>
    <x v="1"/>
    <x v="3"/>
    <n v="8"/>
    <n v="1"/>
    <n v="0"/>
    <s v="New"/>
    <x v="4"/>
    <n v="47"/>
    <n v="0"/>
  </r>
  <r>
    <n v="3436"/>
    <x v="97"/>
    <n v="1780"/>
    <x v="1"/>
    <x v="2"/>
    <x v="2"/>
    <n v="1"/>
    <n v="0"/>
    <s v="COD"/>
    <x v="2"/>
    <x v="2"/>
    <n v="10"/>
    <n v="1"/>
    <n v="0"/>
    <s v="Repeat"/>
    <x v="1"/>
    <n v="40"/>
    <n v="0"/>
  </r>
  <r>
    <n v="3437"/>
    <x v="42"/>
    <n v="1546"/>
    <x v="1"/>
    <x v="2"/>
    <x v="2"/>
    <n v="4"/>
    <n v="9032"/>
    <s v="UPI"/>
    <x v="0"/>
    <x v="1"/>
    <n v="9"/>
    <n v="1"/>
    <n v="0"/>
    <s v="Repeat"/>
    <x v="2"/>
    <n v="44"/>
    <n v="1"/>
  </r>
  <r>
    <n v="3438"/>
    <x v="11"/>
    <n v="1868"/>
    <x v="1"/>
    <x v="0"/>
    <x v="2"/>
    <n v="3"/>
    <n v="12012"/>
    <s v="UPI"/>
    <x v="0"/>
    <x v="3"/>
    <n v="2"/>
    <n v="0"/>
    <n v="1"/>
    <s v="Repeat"/>
    <x v="0"/>
    <n v="35"/>
    <n v="1"/>
  </r>
  <r>
    <n v="3439"/>
    <x v="154"/>
    <n v="1140"/>
    <x v="0"/>
    <x v="1"/>
    <x v="1"/>
    <n v="1"/>
    <n v="0"/>
    <s v="Card"/>
    <x v="2"/>
    <x v="2"/>
    <n v="6"/>
    <n v="0"/>
    <n v="0"/>
    <s v="Repeat"/>
    <x v="2"/>
    <n v="42"/>
    <n v="0"/>
  </r>
  <r>
    <n v="3440"/>
    <x v="165"/>
    <n v="1307"/>
    <x v="4"/>
    <x v="4"/>
    <x v="0"/>
    <n v="2"/>
    <n v="0"/>
    <s v="UPI"/>
    <x v="2"/>
    <x v="1"/>
    <n v="10"/>
    <n v="0"/>
    <n v="0"/>
    <s v="New"/>
    <x v="2"/>
    <n v="41"/>
    <n v="0"/>
  </r>
  <r>
    <n v="3441"/>
    <x v="158"/>
    <n v="1202"/>
    <x v="4"/>
    <x v="1"/>
    <x v="0"/>
    <n v="4"/>
    <n v="0"/>
    <s v="Wallet"/>
    <x v="2"/>
    <x v="3"/>
    <n v="1"/>
    <n v="1"/>
    <n v="0"/>
    <s v="Repeat"/>
    <x v="1"/>
    <n v="38"/>
    <n v="0"/>
  </r>
  <r>
    <n v="3442"/>
    <x v="66"/>
    <n v="1225"/>
    <x v="4"/>
    <x v="3"/>
    <x v="0"/>
    <n v="4"/>
    <n v="19908"/>
    <s v="UPI"/>
    <x v="0"/>
    <x v="0"/>
    <n v="5"/>
    <n v="0"/>
    <n v="0"/>
    <s v="Repeat"/>
    <x v="1"/>
    <n v="39"/>
    <n v="1"/>
  </r>
  <r>
    <n v="3443"/>
    <x v="120"/>
    <n v="1924"/>
    <x v="3"/>
    <x v="2"/>
    <x v="0"/>
    <n v="2"/>
    <n v="0"/>
    <s v="UPI"/>
    <x v="2"/>
    <x v="3"/>
    <n v="9"/>
    <n v="1"/>
    <n v="0"/>
    <s v="Repeat"/>
    <x v="6"/>
    <n v="1"/>
    <n v="0"/>
  </r>
  <r>
    <n v="3444"/>
    <x v="131"/>
    <n v="1920"/>
    <x v="0"/>
    <x v="2"/>
    <x v="0"/>
    <n v="5"/>
    <n v="0"/>
    <s v="Wallet"/>
    <x v="1"/>
    <x v="0"/>
    <n v="3"/>
    <n v="1"/>
    <n v="1"/>
    <s v="Repeat"/>
    <x v="4"/>
    <n v="47"/>
    <n v="0"/>
  </r>
  <r>
    <n v="3445"/>
    <x v="76"/>
    <n v="1681"/>
    <x v="0"/>
    <x v="3"/>
    <x v="0"/>
    <n v="4"/>
    <n v="18828"/>
    <s v="Card"/>
    <x v="0"/>
    <x v="1"/>
    <n v="4"/>
    <n v="1"/>
    <n v="0"/>
    <s v="Repeat"/>
    <x v="3"/>
    <n v="50"/>
    <n v="1"/>
  </r>
  <r>
    <n v="3446"/>
    <x v="71"/>
    <n v="1901"/>
    <x v="2"/>
    <x v="0"/>
    <x v="1"/>
    <n v="4"/>
    <n v="0"/>
    <s v="Wallet"/>
    <x v="1"/>
    <x v="1"/>
    <n v="4"/>
    <n v="1"/>
    <n v="1"/>
    <s v="New"/>
    <x v="3"/>
    <n v="49"/>
    <n v="0"/>
  </r>
  <r>
    <n v="3447"/>
    <x v="1"/>
    <n v="1521"/>
    <x v="3"/>
    <x v="0"/>
    <x v="2"/>
    <n v="3"/>
    <n v="3615"/>
    <s v="UPI"/>
    <x v="0"/>
    <x v="2"/>
    <n v="3"/>
    <n v="1"/>
    <n v="0"/>
    <s v="New"/>
    <x v="1"/>
    <n v="39"/>
    <n v="1"/>
  </r>
  <r>
    <n v="3448"/>
    <x v="86"/>
    <n v="1753"/>
    <x v="0"/>
    <x v="2"/>
    <x v="3"/>
    <n v="5"/>
    <n v="12380"/>
    <s v="COD"/>
    <x v="0"/>
    <x v="1"/>
    <n v="10"/>
    <n v="1"/>
    <n v="0"/>
    <s v="New"/>
    <x v="6"/>
    <n v="1"/>
    <n v="1"/>
  </r>
  <r>
    <n v="3449"/>
    <x v="137"/>
    <n v="1843"/>
    <x v="3"/>
    <x v="2"/>
    <x v="1"/>
    <n v="2"/>
    <n v="0"/>
    <s v="COD"/>
    <x v="2"/>
    <x v="2"/>
    <n v="10"/>
    <n v="1"/>
    <n v="0"/>
    <s v="New"/>
    <x v="1"/>
    <n v="40"/>
    <n v="0"/>
  </r>
  <r>
    <n v="3450"/>
    <x v="77"/>
    <n v="1390"/>
    <x v="3"/>
    <x v="3"/>
    <x v="2"/>
    <n v="4"/>
    <n v="0"/>
    <s v="Card"/>
    <x v="1"/>
    <x v="2"/>
    <n v="10"/>
    <n v="1"/>
    <n v="1"/>
    <s v="New"/>
    <x v="1"/>
    <n v="38"/>
    <n v="0"/>
  </r>
  <r>
    <n v="3451"/>
    <x v="35"/>
    <n v="1887"/>
    <x v="3"/>
    <x v="4"/>
    <x v="1"/>
    <n v="2"/>
    <n v="3830"/>
    <s v="Card"/>
    <x v="0"/>
    <x v="0"/>
    <n v="8"/>
    <n v="0"/>
    <n v="0"/>
    <s v="Repeat"/>
    <x v="0"/>
    <n v="35"/>
    <n v="1"/>
  </r>
  <r>
    <n v="3452"/>
    <x v="4"/>
    <n v="1258"/>
    <x v="1"/>
    <x v="4"/>
    <x v="0"/>
    <n v="1"/>
    <n v="0"/>
    <s v="UPI"/>
    <x v="2"/>
    <x v="2"/>
    <n v="4"/>
    <n v="1"/>
    <n v="0"/>
    <s v="Repeat"/>
    <x v="3"/>
    <n v="50"/>
    <n v="0"/>
  </r>
  <r>
    <n v="3453"/>
    <x v="98"/>
    <n v="1746"/>
    <x v="1"/>
    <x v="0"/>
    <x v="0"/>
    <n v="3"/>
    <n v="2772"/>
    <s v="Wallet"/>
    <x v="0"/>
    <x v="1"/>
    <n v="3"/>
    <n v="0"/>
    <n v="1"/>
    <s v="Repeat"/>
    <x v="3"/>
    <n v="51"/>
    <n v="1"/>
  </r>
  <r>
    <n v="3454"/>
    <x v="13"/>
    <n v="1642"/>
    <x v="2"/>
    <x v="1"/>
    <x v="3"/>
    <n v="3"/>
    <n v="0"/>
    <s v="UPI"/>
    <x v="1"/>
    <x v="0"/>
    <n v="5"/>
    <n v="1"/>
    <n v="1"/>
    <s v="Repeat"/>
    <x v="2"/>
    <n v="41"/>
    <n v="0"/>
  </r>
  <r>
    <n v="3455"/>
    <x v="75"/>
    <n v="1430"/>
    <x v="0"/>
    <x v="2"/>
    <x v="1"/>
    <n v="5"/>
    <n v="0"/>
    <s v="Card"/>
    <x v="1"/>
    <x v="0"/>
    <n v="3"/>
    <n v="1"/>
    <n v="0"/>
    <s v="New"/>
    <x v="3"/>
    <n v="52"/>
    <n v="0"/>
  </r>
  <r>
    <n v="3456"/>
    <x v="107"/>
    <n v="1956"/>
    <x v="2"/>
    <x v="1"/>
    <x v="0"/>
    <n v="1"/>
    <n v="3386"/>
    <s v="Card"/>
    <x v="0"/>
    <x v="0"/>
    <n v="1"/>
    <n v="0"/>
    <n v="0"/>
    <s v="Repeat"/>
    <x v="4"/>
    <n v="45"/>
    <n v="1"/>
  </r>
  <r>
    <n v="3457"/>
    <x v="7"/>
    <n v="1731"/>
    <x v="2"/>
    <x v="0"/>
    <x v="1"/>
    <n v="3"/>
    <n v="0"/>
    <s v="COD"/>
    <x v="2"/>
    <x v="0"/>
    <n v="5"/>
    <n v="1"/>
    <n v="1"/>
    <s v="New"/>
    <x v="3"/>
    <n v="49"/>
    <n v="0"/>
  </r>
  <r>
    <n v="3458"/>
    <x v="90"/>
    <n v="1117"/>
    <x v="3"/>
    <x v="3"/>
    <x v="0"/>
    <n v="2"/>
    <n v="0"/>
    <s v="Wallet"/>
    <x v="2"/>
    <x v="2"/>
    <n v="2"/>
    <n v="0"/>
    <n v="0"/>
    <s v="Repeat"/>
    <x v="0"/>
    <n v="31"/>
    <n v="0"/>
  </r>
  <r>
    <n v="3459"/>
    <x v="11"/>
    <n v="1977"/>
    <x v="0"/>
    <x v="0"/>
    <x v="2"/>
    <n v="5"/>
    <n v="0"/>
    <s v="COD"/>
    <x v="2"/>
    <x v="3"/>
    <n v="4"/>
    <n v="1"/>
    <n v="1"/>
    <s v="New"/>
    <x v="0"/>
    <n v="35"/>
    <n v="0"/>
  </r>
  <r>
    <n v="3460"/>
    <x v="17"/>
    <n v="1521"/>
    <x v="0"/>
    <x v="1"/>
    <x v="1"/>
    <n v="5"/>
    <n v="0"/>
    <s v="Wallet"/>
    <x v="1"/>
    <x v="3"/>
    <n v="8"/>
    <n v="0"/>
    <n v="1"/>
    <s v="Repeat"/>
    <x v="1"/>
    <n v="38"/>
    <n v="0"/>
  </r>
  <r>
    <n v="3461"/>
    <x v="32"/>
    <n v="1143"/>
    <x v="4"/>
    <x v="3"/>
    <x v="1"/>
    <n v="1"/>
    <n v="0"/>
    <s v="UPI"/>
    <x v="2"/>
    <x v="1"/>
    <n v="1"/>
    <n v="1"/>
    <n v="1"/>
    <s v="Repeat"/>
    <x v="1"/>
    <n v="38"/>
    <n v="0"/>
  </r>
  <r>
    <n v="3462"/>
    <x v="143"/>
    <n v="1894"/>
    <x v="3"/>
    <x v="3"/>
    <x v="0"/>
    <n v="4"/>
    <n v="0"/>
    <s v="COD"/>
    <x v="2"/>
    <x v="0"/>
    <n v="2"/>
    <n v="0"/>
    <n v="0"/>
    <s v="Repeat"/>
    <x v="2"/>
    <n v="43"/>
    <n v="0"/>
  </r>
  <r>
    <n v="3463"/>
    <x v="160"/>
    <n v="1017"/>
    <x v="3"/>
    <x v="1"/>
    <x v="3"/>
    <n v="3"/>
    <n v="6411"/>
    <s v="UPI"/>
    <x v="0"/>
    <x v="2"/>
    <n v="9"/>
    <n v="0"/>
    <n v="1"/>
    <s v="New"/>
    <x v="4"/>
    <n v="47"/>
    <n v="1"/>
  </r>
  <r>
    <n v="3464"/>
    <x v="170"/>
    <n v="1450"/>
    <x v="2"/>
    <x v="4"/>
    <x v="3"/>
    <n v="2"/>
    <n v="0"/>
    <s v="COD"/>
    <x v="2"/>
    <x v="3"/>
    <n v="2"/>
    <n v="1"/>
    <n v="0"/>
    <s v="New"/>
    <x v="4"/>
    <n v="48"/>
    <n v="0"/>
  </r>
  <r>
    <n v="3465"/>
    <x v="146"/>
    <n v="1296"/>
    <x v="1"/>
    <x v="0"/>
    <x v="3"/>
    <n v="3"/>
    <n v="2982"/>
    <s v="COD"/>
    <x v="0"/>
    <x v="0"/>
    <n v="1"/>
    <n v="1"/>
    <n v="1"/>
    <s v="New"/>
    <x v="2"/>
    <n v="40"/>
    <n v="1"/>
  </r>
  <r>
    <n v="3466"/>
    <x v="178"/>
    <n v="1276"/>
    <x v="0"/>
    <x v="2"/>
    <x v="3"/>
    <n v="5"/>
    <n v="4800"/>
    <s v="COD"/>
    <x v="0"/>
    <x v="1"/>
    <n v="6"/>
    <n v="0"/>
    <n v="0"/>
    <s v="New"/>
    <x v="4"/>
    <n v="45"/>
    <n v="1"/>
  </r>
  <r>
    <n v="3467"/>
    <x v="28"/>
    <n v="1479"/>
    <x v="2"/>
    <x v="2"/>
    <x v="2"/>
    <n v="1"/>
    <n v="0"/>
    <s v="COD"/>
    <x v="1"/>
    <x v="1"/>
    <n v="3"/>
    <n v="0"/>
    <n v="0"/>
    <s v="Repeat"/>
    <x v="0"/>
    <n v="33"/>
    <n v="0"/>
  </r>
  <r>
    <n v="3468"/>
    <x v="84"/>
    <n v="1455"/>
    <x v="3"/>
    <x v="4"/>
    <x v="1"/>
    <n v="1"/>
    <n v="0"/>
    <s v="COD"/>
    <x v="2"/>
    <x v="2"/>
    <n v="1"/>
    <n v="1"/>
    <n v="1"/>
    <s v="Repeat"/>
    <x v="2"/>
    <n v="41"/>
    <n v="0"/>
  </r>
  <r>
    <n v="3469"/>
    <x v="94"/>
    <n v="1556"/>
    <x v="3"/>
    <x v="1"/>
    <x v="2"/>
    <n v="5"/>
    <n v="0"/>
    <s v="COD"/>
    <x v="1"/>
    <x v="0"/>
    <n v="4"/>
    <n v="1"/>
    <n v="0"/>
    <s v="Repeat"/>
    <x v="1"/>
    <n v="40"/>
    <n v="0"/>
  </r>
  <r>
    <n v="3470"/>
    <x v="24"/>
    <n v="1606"/>
    <x v="0"/>
    <x v="1"/>
    <x v="1"/>
    <n v="3"/>
    <n v="0"/>
    <s v="UPI"/>
    <x v="1"/>
    <x v="1"/>
    <n v="5"/>
    <n v="0"/>
    <n v="0"/>
    <s v="Repeat"/>
    <x v="5"/>
    <n v="30"/>
    <n v="0"/>
  </r>
  <r>
    <n v="3471"/>
    <x v="82"/>
    <n v="1059"/>
    <x v="3"/>
    <x v="1"/>
    <x v="2"/>
    <n v="4"/>
    <n v="0"/>
    <s v="Card"/>
    <x v="2"/>
    <x v="0"/>
    <n v="9"/>
    <n v="1"/>
    <n v="0"/>
    <s v="Repeat"/>
    <x v="0"/>
    <n v="33"/>
    <n v="0"/>
  </r>
  <r>
    <n v="3472"/>
    <x v="112"/>
    <n v="1853"/>
    <x v="1"/>
    <x v="4"/>
    <x v="3"/>
    <n v="4"/>
    <n v="0"/>
    <s v="Wallet"/>
    <x v="1"/>
    <x v="3"/>
    <n v="8"/>
    <n v="1"/>
    <n v="1"/>
    <s v="New"/>
    <x v="5"/>
    <n v="30"/>
    <n v="0"/>
  </r>
  <r>
    <n v="3473"/>
    <x v="116"/>
    <n v="1021"/>
    <x v="1"/>
    <x v="4"/>
    <x v="1"/>
    <n v="3"/>
    <n v="10887"/>
    <s v="COD"/>
    <x v="0"/>
    <x v="1"/>
    <n v="9"/>
    <n v="1"/>
    <n v="0"/>
    <s v="Repeat"/>
    <x v="3"/>
    <n v="50"/>
    <n v="1"/>
  </r>
  <r>
    <n v="3474"/>
    <x v="84"/>
    <n v="1476"/>
    <x v="4"/>
    <x v="0"/>
    <x v="1"/>
    <n v="2"/>
    <n v="6592"/>
    <s v="Card"/>
    <x v="0"/>
    <x v="3"/>
    <n v="10"/>
    <n v="0"/>
    <n v="0"/>
    <s v="Repeat"/>
    <x v="2"/>
    <n v="41"/>
    <n v="1"/>
  </r>
  <r>
    <n v="3475"/>
    <x v="107"/>
    <n v="1320"/>
    <x v="4"/>
    <x v="1"/>
    <x v="2"/>
    <n v="3"/>
    <n v="0"/>
    <s v="UPI"/>
    <x v="1"/>
    <x v="3"/>
    <n v="6"/>
    <n v="1"/>
    <n v="1"/>
    <s v="New"/>
    <x v="4"/>
    <n v="45"/>
    <n v="0"/>
  </r>
  <r>
    <n v="3476"/>
    <x v="164"/>
    <n v="1109"/>
    <x v="3"/>
    <x v="4"/>
    <x v="2"/>
    <n v="2"/>
    <n v="0"/>
    <s v="Card"/>
    <x v="1"/>
    <x v="3"/>
    <n v="3"/>
    <n v="0"/>
    <n v="0"/>
    <s v="New"/>
    <x v="0"/>
    <n v="34"/>
    <n v="0"/>
  </r>
  <r>
    <n v="3477"/>
    <x v="102"/>
    <n v="1287"/>
    <x v="0"/>
    <x v="0"/>
    <x v="3"/>
    <n v="4"/>
    <n v="0"/>
    <s v="Wallet"/>
    <x v="2"/>
    <x v="1"/>
    <n v="1"/>
    <n v="0"/>
    <n v="1"/>
    <s v="Repeat"/>
    <x v="3"/>
    <n v="50"/>
    <n v="0"/>
  </r>
  <r>
    <n v="3478"/>
    <x v="96"/>
    <n v="1210"/>
    <x v="0"/>
    <x v="1"/>
    <x v="3"/>
    <n v="4"/>
    <n v="0"/>
    <s v="Card"/>
    <x v="1"/>
    <x v="2"/>
    <n v="8"/>
    <n v="0"/>
    <n v="0"/>
    <s v="Repeat"/>
    <x v="4"/>
    <n v="45"/>
    <n v="0"/>
  </r>
  <r>
    <n v="3479"/>
    <x v="70"/>
    <n v="1185"/>
    <x v="1"/>
    <x v="1"/>
    <x v="1"/>
    <n v="1"/>
    <n v="0"/>
    <s v="Wallet"/>
    <x v="2"/>
    <x v="3"/>
    <n v="7"/>
    <n v="0"/>
    <n v="0"/>
    <s v="New"/>
    <x v="2"/>
    <n v="40"/>
    <n v="0"/>
  </r>
  <r>
    <n v="3480"/>
    <x v="99"/>
    <n v="1506"/>
    <x v="0"/>
    <x v="0"/>
    <x v="0"/>
    <n v="5"/>
    <n v="4415"/>
    <s v="COD"/>
    <x v="0"/>
    <x v="2"/>
    <n v="3"/>
    <n v="0"/>
    <n v="0"/>
    <s v="New"/>
    <x v="4"/>
    <n v="48"/>
    <n v="1"/>
  </r>
  <r>
    <n v="3481"/>
    <x v="117"/>
    <n v="1862"/>
    <x v="0"/>
    <x v="1"/>
    <x v="0"/>
    <n v="2"/>
    <n v="0"/>
    <s v="Card"/>
    <x v="2"/>
    <x v="1"/>
    <n v="3"/>
    <n v="1"/>
    <n v="1"/>
    <s v="Repeat"/>
    <x v="5"/>
    <n v="31"/>
    <n v="0"/>
  </r>
  <r>
    <n v="3482"/>
    <x v="159"/>
    <n v="1102"/>
    <x v="1"/>
    <x v="4"/>
    <x v="3"/>
    <n v="4"/>
    <n v="0"/>
    <s v="Wallet"/>
    <x v="1"/>
    <x v="0"/>
    <n v="1"/>
    <n v="0"/>
    <n v="0"/>
    <s v="New"/>
    <x v="3"/>
    <n v="49"/>
    <n v="0"/>
  </r>
  <r>
    <n v="3483"/>
    <x v="60"/>
    <n v="1867"/>
    <x v="3"/>
    <x v="3"/>
    <x v="2"/>
    <n v="2"/>
    <n v="0"/>
    <s v="Card"/>
    <x v="2"/>
    <x v="1"/>
    <n v="10"/>
    <n v="1"/>
    <n v="1"/>
    <s v="Repeat"/>
    <x v="1"/>
    <n v="36"/>
    <n v="0"/>
  </r>
  <r>
    <n v="3484"/>
    <x v="107"/>
    <n v="1083"/>
    <x v="3"/>
    <x v="3"/>
    <x v="3"/>
    <n v="1"/>
    <n v="0"/>
    <s v="UPI"/>
    <x v="1"/>
    <x v="3"/>
    <n v="1"/>
    <n v="1"/>
    <n v="1"/>
    <s v="Repeat"/>
    <x v="4"/>
    <n v="45"/>
    <n v="0"/>
  </r>
  <r>
    <n v="3485"/>
    <x v="34"/>
    <n v="1901"/>
    <x v="3"/>
    <x v="3"/>
    <x v="3"/>
    <n v="3"/>
    <n v="0"/>
    <s v="Card"/>
    <x v="2"/>
    <x v="2"/>
    <n v="1"/>
    <n v="1"/>
    <n v="0"/>
    <s v="New"/>
    <x v="3"/>
    <n v="51"/>
    <n v="0"/>
  </r>
  <r>
    <n v="3486"/>
    <x v="66"/>
    <n v="1782"/>
    <x v="1"/>
    <x v="2"/>
    <x v="2"/>
    <n v="5"/>
    <n v="0"/>
    <s v="UPI"/>
    <x v="1"/>
    <x v="1"/>
    <n v="5"/>
    <n v="1"/>
    <n v="1"/>
    <s v="New"/>
    <x v="1"/>
    <n v="39"/>
    <n v="0"/>
  </r>
  <r>
    <n v="3487"/>
    <x v="127"/>
    <n v="1746"/>
    <x v="0"/>
    <x v="4"/>
    <x v="2"/>
    <n v="3"/>
    <n v="0"/>
    <s v="Wallet"/>
    <x v="1"/>
    <x v="0"/>
    <n v="1"/>
    <n v="0"/>
    <n v="0"/>
    <s v="New"/>
    <x v="5"/>
    <n v="29"/>
    <n v="0"/>
  </r>
  <r>
    <n v="3488"/>
    <x v="30"/>
    <n v="1180"/>
    <x v="2"/>
    <x v="3"/>
    <x v="0"/>
    <n v="3"/>
    <n v="0"/>
    <s v="UPI"/>
    <x v="2"/>
    <x v="0"/>
    <n v="1"/>
    <n v="0"/>
    <n v="0"/>
    <s v="Repeat"/>
    <x v="3"/>
    <n v="51"/>
    <n v="0"/>
  </r>
  <r>
    <n v="3489"/>
    <x v="179"/>
    <n v="1562"/>
    <x v="1"/>
    <x v="1"/>
    <x v="0"/>
    <n v="1"/>
    <n v="4673"/>
    <s v="Card"/>
    <x v="0"/>
    <x v="2"/>
    <n v="2"/>
    <n v="1"/>
    <n v="1"/>
    <s v="Repeat"/>
    <x v="5"/>
    <n v="29"/>
    <n v="1"/>
  </r>
  <r>
    <n v="3490"/>
    <x v="49"/>
    <n v="1634"/>
    <x v="2"/>
    <x v="4"/>
    <x v="0"/>
    <n v="1"/>
    <n v="225"/>
    <s v="COD"/>
    <x v="0"/>
    <x v="3"/>
    <n v="9"/>
    <n v="1"/>
    <n v="0"/>
    <s v="Repeat"/>
    <x v="0"/>
    <n v="36"/>
    <n v="1"/>
  </r>
  <r>
    <n v="3491"/>
    <x v="161"/>
    <n v="1542"/>
    <x v="4"/>
    <x v="3"/>
    <x v="0"/>
    <n v="4"/>
    <n v="15468"/>
    <s v="UPI"/>
    <x v="0"/>
    <x v="2"/>
    <n v="5"/>
    <n v="1"/>
    <n v="1"/>
    <s v="New"/>
    <x v="2"/>
    <n v="41"/>
    <n v="1"/>
  </r>
  <r>
    <n v="3492"/>
    <x v="117"/>
    <n v="1113"/>
    <x v="3"/>
    <x v="3"/>
    <x v="1"/>
    <n v="2"/>
    <n v="5088"/>
    <s v="UPI"/>
    <x v="0"/>
    <x v="3"/>
    <n v="1"/>
    <n v="1"/>
    <n v="0"/>
    <s v="New"/>
    <x v="5"/>
    <n v="31"/>
    <n v="1"/>
  </r>
  <r>
    <n v="3493"/>
    <x v="84"/>
    <n v="1016"/>
    <x v="3"/>
    <x v="0"/>
    <x v="0"/>
    <n v="5"/>
    <n v="0"/>
    <s v="UPI"/>
    <x v="2"/>
    <x v="1"/>
    <n v="2"/>
    <n v="0"/>
    <n v="1"/>
    <s v="New"/>
    <x v="2"/>
    <n v="41"/>
    <n v="0"/>
  </r>
  <r>
    <n v="3494"/>
    <x v="161"/>
    <n v="1902"/>
    <x v="0"/>
    <x v="3"/>
    <x v="2"/>
    <n v="2"/>
    <n v="5274"/>
    <s v="Card"/>
    <x v="0"/>
    <x v="2"/>
    <n v="7"/>
    <n v="0"/>
    <n v="0"/>
    <s v="Repeat"/>
    <x v="2"/>
    <n v="41"/>
    <n v="1"/>
  </r>
  <r>
    <n v="3495"/>
    <x v="176"/>
    <n v="1287"/>
    <x v="4"/>
    <x v="3"/>
    <x v="2"/>
    <n v="1"/>
    <n v="0"/>
    <s v="Card"/>
    <x v="2"/>
    <x v="2"/>
    <n v="5"/>
    <n v="1"/>
    <n v="1"/>
    <s v="New"/>
    <x v="3"/>
    <n v="51"/>
    <n v="0"/>
  </r>
  <r>
    <n v="3496"/>
    <x v="8"/>
    <n v="1499"/>
    <x v="1"/>
    <x v="3"/>
    <x v="0"/>
    <n v="1"/>
    <n v="833"/>
    <s v="Wallet"/>
    <x v="0"/>
    <x v="3"/>
    <n v="3"/>
    <n v="1"/>
    <n v="1"/>
    <s v="New"/>
    <x v="0"/>
    <n v="32"/>
    <n v="1"/>
  </r>
  <r>
    <n v="3497"/>
    <x v="127"/>
    <n v="1275"/>
    <x v="3"/>
    <x v="2"/>
    <x v="2"/>
    <n v="1"/>
    <n v="0"/>
    <s v="Wallet"/>
    <x v="2"/>
    <x v="3"/>
    <n v="5"/>
    <n v="1"/>
    <n v="0"/>
    <s v="Repeat"/>
    <x v="5"/>
    <n v="29"/>
    <n v="0"/>
  </r>
  <r>
    <n v="3498"/>
    <x v="99"/>
    <n v="1247"/>
    <x v="4"/>
    <x v="2"/>
    <x v="1"/>
    <n v="3"/>
    <n v="0"/>
    <s v="Wallet"/>
    <x v="1"/>
    <x v="1"/>
    <n v="3"/>
    <n v="1"/>
    <n v="0"/>
    <s v="Repeat"/>
    <x v="4"/>
    <n v="48"/>
    <n v="0"/>
  </r>
  <r>
    <n v="3499"/>
    <x v="4"/>
    <n v="1746"/>
    <x v="0"/>
    <x v="4"/>
    <x v="3"/>
    <n v="5"/>
    <n v="0"/>
    <s v="Wallet"/>
    <x v="2"/>
    <x v="2"/>
    <n v="6"/>
    <n v="1"/>
    <n v="1"/>
    <s v="New"/>
    <x v="3"/>
    <n v="50"/>
    <n v="0"/>
  </r>
  <r>
    <n v="3500"/>
    <x v="61"/>
    <n v="1079"/>
    <x v="4"/>
    <x v="0"/>
    <x v="3"/>
    <n v="4"/>
    <n v="0"/>
    <s v="Wallet"/>
    <x v="1"/>
    <x v="1"/>
    <n v="1"/>
    <n v="1"/>
    <n v="0"/>
    <s v="Repeat"/>
    <x v="4"/>
    <n v="46"/>
    <n v="0"/>
  </r>
  <r>
    <n v="3501"/>
    <x v="132"/>
    <n v="1878"/>
    <x v="4"/>
    <x v="4"/>
    <x v="3"/>
    <n v="1"/>
    <n v="0"/>
    <s v="COD"/>
    <x v="1"/>
    <x v="2"/>
    <n v="4"/>
    <n v="1"/>
    <n v="1"/>
    <s v="New"/>
    <x v="2"/>
    <n v="42"/>
    <n v="0"/>
  </r>
  <r>
    <n v="3502"/>
    <x v="142"/>
    <n v="1371"/>
    <x v="1"/>
    <x v="3"/>
    <x v="2"/>
    <n v="4"/>
    <n v="0"/>
    <s v="COD"/>
    <x v="2"/>
    <x v="2"/>
    <n v="6"/>
    <n v="0"/>
    <n v="0"/>
    <s v="Repeat"/>
    <x v="2"/>
    <n v="42"/>
    <n v="0"/>
  </r>
  <r>
    <n v="3503"/>
    <x v="75"/>
    <n v="1699"/>
    <x v="1"/>
    <x v="3"/>
    <x v="0"/>
    <n v="2"/>
    <n v="0"/>
    <s v="COD"/>
    <x v="1"/>
    <x v="1"/>
    <n v="9"/>
    <n v="1"/>
    <n v="0"/>
    <s v="New"/>
    <x v="3"/>
    <n v="52"/>
    <n v="0"/>
  </r>
  <r>
    <n v="3504"/>
    <x v="101"/>
    <n v="1885"/>
    <x v="3"/>
    <x v="3"/>
    <x v="1"/>
    <n v="1"/>
    <n v="0"/>
    <s v="Wallet"/>
    <x v="1"/>
    <x v="1"/>
    <n v="9"/>
    <n v="1"/>
    <n v="0"/>
    <s v="Repeat"/>
    <x v="3"/>
    <n v="49"/>
    <n v="0"/>
  </r>
  <r>
    <n v="3505"/>
    <x v="121"/>
    <n v="1994"/>
    <x v="3"/>
    <x v="4"/>
    <x v="0"/>
    <n v="3"/>
    <n v="0"/>
    <s v="Card"/>
    <x v="1"/>
    <x v="3"/>
    <n v="2"/>
    <n v="1"/>
    <n v="1"/>
    <s v="Repeat"/>
    <x v="1"/>
    <n v="37"/>
    <n v="0"/>
  </r>
  <r>
    <n v="3506"/>
    <x v="83"/>
    <n v="1493"/>
    <x v="2"/>
    <x v="1"/>
    <x v="1"/>
    <n v="5"/>
    <n v="0"/>
    <s v="Wallet"/>
    <x v="1"/>
    <x v="0"/>
    <n v="4"/>
    <n v="0"/>
    <n v="1"/>
    <s v="Repeat"/>
    <x v="1"/>
    <n v="36"/>
    <n v="0"/>
  </r>
  <r>
    <n v="3507"/>
    <x v="6"/>
    <n v="1703"/>
    <x v="3"/>
    <x v="1"/>
    <x v="3"/>
    <n v="3"/>
    <n v="14856"/>
    <s v="COD"/>
    <x v="0"/>
    <x v="3"/>
    <n v="7"/>
    <n v="1"/>
    <n v="1"/>
    <s v="Repeat"/>
    <x v="4"/>
    <n v="47"/>
    <n v="1"/>
  </r>
  <r>
    <n v="3508"/>
    <x v="104"/>
    <n v="1360"/>
    <x v="3"/>
    <x v="3"/>
    <x v="1"/>
    <n v="4"/>
    <n v="11052"/>
    <s v="Card"/>
    <x v="0"/>
    <x v="0"/>
    <n v="5"/>
    <n v="1"/>
    <n v="0"/>
    <s v="New"/>
    <x v="5"/>
    <n v="29"/>
    <n v="1"/>
  </r>
  <r>
    <n v="3509"/>
    <x v="124"/>
    <n v="1332"/>
    <x v="3"/>
    <x v="3"/>
    <x v="2"/>
    <n v="4"/>
    <n v="16276"/>
    <s v="UPI"/>
    <x v="0"/>
    <x v="0"/>
    <n v="8"/>
    <n v="0"/>
    <n v="1"/>
    <s v="New"/>
    <x v="1"/>
    <n v="37"/>
    <n v="1"/>
  </r>
  <r>
    <n v="3510"/>
    <x v="81"/>
    <n v="1919"/>
    <x v="2"/>
    <x v="4"/>
    <x v="0"/>
    <n v="5"/>
    <n v="0"/>
    <s v="COD"/>
    <x v="2"/>
    <x v="0"/>
    <n v="8"/>
    <n v="1"/>
    <n v="0"/>
    <s v="Repeat"/>
    <x v="0"/>
    <n v="33"/>
    <n v="0"/>
  </r>
  <r>
    <n v="3511"/>
    <x v="155"/>
    <n v="1992"/>
    <x v="3"/>
    <x v="2"/>
    <x v="1"/>
    <n v="3"/>
    <n v="5136"/>
    <s v="COD"/>
    <x v="0"/>
    <x v="1"/>
    <n v="6"/>
    <n v="1"/>
    <n v="0"/>
    <s v="New"/>
    <x v="0"/>
    <n v="33"/>
    <n v="1"/>
  </r>
  <r>
    <n v="3512"/>
    <x v="148"/>
    <n v="1166"/>
    <x v="4"/>
    <x v="0"/>
    <x v="3"/>
    <n v="4"/>
    <n v="0"/>
    <s v="COD"/>
    <x v="1"/>
    <x v="1"/>
    <n v="10"/>
    <n v="0"/>
    <n v="1"/>
    <s v="Repeat"/>
    <x v="5"/>
    <n v="30"/>
    <n v="0"/>
  </r>
  <r>
    <n v="3513"/>
    <x v="32"/>
    <n v="1345"/>
    <x v="0"/>
    <x v="1"/>
    <x v="1"/>
    <n v="4"/>
    <n v="0"/>
    <s v="Card"/>
    <x v="2"/>
    <x v="3"/>
    <n v="5"/>
    <n v="1"/>
    <n v="0"/>
    <s v="New"/>
    <x v="1"/>
    <n v="38"/>
    <n v="0"/>
  </r>
  <r>
    <n v="3514"/>
    <x v="17"/>
    <n v="1250"/>
    <x v="2"/>
    <x v="1"/>
    <x v="3"/>
    <n v="2"/>
    <n v="0"/>
    <s v="Wallet"/>
    <x v="2"/>
    <x v="0"/>
    <n v="8"/>
    <n v="1"/>
    <n v="1"/>
    <s v="Repeat"/>
    <x v="1"/>
    <n v="38"/>
    <n v="0"/>
  </r>
  <r>
    <n v="3515"/>
    <x v="175"/>
    <n v="1586"/>
    <x v="4"/>
    <x v="3"/>
    <x v="0"/>
    <n v="3"/>
    <n v="0"/>
    <s v="Card"/>
    <x v="2"/>
    <x v="0"/>
    <n v="1"/>
    <n v="1"/>
    <n v="0"/>
    <s v="New"/>
    <x v="5"/>
    <n v="31"/>
    <n v="0"/>
  </r>
  <r>
    <n v="3516"/>
    <x v="0"/>
    <n v="1670"/>
    <x v="1"/>
    <x v="4"/>
    <x v="3"/>
    <n v="4"/>
    <n v="12372"/>
    <s v="COD"/>
    <x v="0"/>
    <x v="3"/>
    <n v="3"/>
    <n v="1"/>
    <n v="0"/>
    <s v="New"/>
    <x v="0"/>
    <n v="32"/>
    <n v="1"/>
  </r>
  <r>
    <n v="3517"/>
    <x v="129"/>
    <n v="1795"/>
    <x v="2"/>
    <x v="1"/>
    <x v="3"/>
    <n v="2"/>
    <n v="0"/>
    <s v="COD"/>
    <x v="2"/>
    <x v="0"/>
    <n v="7"/>
    <n v="0"/>
    <n v="0"/>
    <s v="Repeat"/>
    <x v="4"/>
    <n v="46"/>
    <n v="0"/>
  </r>
  <r>
    <n v="3518"/>
    <x v="146"/>
    <n v="1123"/>
    <x v="3"/>
    <x v="3"/>
    <x v="0"/>
    <n v="2"/>
    <n v="0"/>
    <s v="Wallet"/>
    <x v="1"/>
    <x v="0"/>
    <n v="8"/>
    <n v="0"/>
    <n v="0"/>
    <s v="Repeat"/>
    <x v="2"/>
    <n v="40"/>
    <n v="0"/>
  </r>
  <r>
    <n v="3519"/>
    <x v="130"/>
    <n v="1700"/>
    <x v="2"/>
    <x v="4"/>
    <x v="2"/>
    <n v="2"/>
    <n v="0"/>
    <s v="Card"/>
    <x v="1"/>
    <x v="1"/>
    <n v="10"/>
    <n v="1"/>
    <n v="0"/>
    <s v="New"/>
    <x v="3"/>
    <n v="51"/>
    <n v="0"/>
  </r>
  <r>
    <n v="3520"/>
    <x v="111"/>
    <n v="1127"/>
    <x v="1"/>
    <x v="1"/>
    <x v="0"/>
    <n v="1"/>
    <n v="1819"/>
    <s v="Wallet"/>
    <x v="0"/>
    <x v="3"/>
    <n v="10"/>
    <n v="1"/>
    <n v="0"/>
    <s v="New"/>
    <x v="4"/>
    <n v="48"/>
    <n v="1"/>
  </r>
  <r>
    <n v="3521"/>
    <x v="80"/>
    <n v="1502"/>
    <x v="1"/>
    <x v="0"/>
    <x v="1"/>
    <n v="1"/>
    <n v="0"/>
    <s v="COD"/>
    <x v="2"/>
    <x v="2"/>
    <n v="1"/>
    <n v="0"/>
    <n v="0"/>
    <s v="New"/>
    <x v="6"/>
    <n v="2"/>
    <n v="0"/>
  </r>
  <r>
    <n v="3522"/>
    <x v="140"/>
    <n v="1344"/>
    <x v="3"/>
    <x v="1"/>
    <x v="3"/>
    <n v="3"/>
    <n v="0"/>
    <s v="COD"/>
    <x v="1"/>
    <x v="2"/>
    <n v="10"/>
    <n v="1"/>
    <n v="0"/>
    <s v="New"/>
    <x v="4"/>
    <n v="48"/>
    <n v="0"/>
  </r>
  <r>
    <n v="3523"/>
    <x v="119"/>
    <n v="1063"/>
    <x v="3"/>
    <x v="1"/>
    <x v="0"/>
    <n v="3"/>
    <n v="0"/>
    <s v="Card"/>
    <x v="2"/>
    <x v="1"/>
    <n v="6"/>
    <n v="1"/>
    <n v="0"/>
    <s v="Repeat"/>
    <x v="0"/>
    <n v="34"/>
    <n v="0"/>
  </r>
  <r>
    <n v="3524"/>
    <x v="44"/>
    <n v="1589"/>
    <x v="1"/>
    <x v="1"/>
    <x v="0"/>
    <n v="1"/>
    <n v="0"/>
    <s v="COD"/>
    <x v="2"/>
    <x v="0"/>
    <n v="5"/>
    <n v="0"/>
    <n v="0"/>
    <s v="New"/>
    <x v="4"/>
    <n v="47"/>
    <n v="0"/>
  </r>
  <r>
    <n v="3525"/>
    <x v="137"/>
    <n v="1918"/>
    <x v="1"/>
    <x v="2"/>
    <x v="3"/>
    <n v="1"/>
    <n v="0"/>
    <s v="Wallet"/>
    <x v="1"/>
    <x v="0"/>
    <n v="6"/>
    <n v="0"/>
    <n v="0"/>
    <s v="New"/>
    <x v="1"/>
    <n v="40"/>
    <n v="0"/>
  </r>
  <r>
    <n v="3526"/>
    <x v="15"/>
    <n v="1865"/>
    <x v="1"/>
    <x v="4"/>
    <x v="0"/>
    <n v="3"/>
    <n v="0"/>
    <s v="COD"/>
    <x v="1"/>
    <x v="1"/>
    <n v="10"/>
    <n v="1"/>
    <n v="1"/>
    <s v="New"/>
    <x v="4"/>
    <n v="47"/>
    <n v="0"/>
  </r>
  <r>
    <n v="3527"/>
    <x v="91"/>
    <n v="1395"/>
    <x v="3"/>
    <x v="2"/>
    <x v="0"/>
    <n v="5"/>
    <n v="7150"/>
    <s v="COD"/>
    <x v="0"/>
    <x v="2"/>
    <n v="7"/>
    <n v="1"/>
    <n v="0"/>
    <s v="New"/>
    <x v="3"/>
    <n v="52"/>
    <n v="1"/>
  </r>
  <r>
    <n v="3528"/>
    <x v="148"/>
    <n v="1904"/>
    <x v="4"/>
    <x v="0"/>
    <x v="3"/>
    <n v="3"/>
    <n v="0"/>
    <s v="COD"/>
    <x v="2"/>
    <x v="3"/>
    <n v="6"/>
    <n v="1"/>
    <n v="1"/>
    <s v="Repeat"/>
    <x v="5"/>
    <n v="30"/>
    <n v="0"/>
  </r>
  <r>
    <n v="3529"/>
    <x v="130"/>
    <n v="1582"/>
    <x v="1"/>
    <x v="3"/>
    <x v="1"/>
    <n v="5"/>
    <n v="0"/>
    <s v="Card"/>
    <x v="1"/>
    <x v="2"/>
    <n v="9"/>
    <n v="1"/>
    <n v="1"/>
    <s v="New"/>
    <x v="3"/>
    <n v="51"/>
    <n v="0"/>
  </r>
  <r>
    <n v="3530"/>
    <x v="5"/>
    <n v="1552"/>
    <x v="1"/>
    <x v="2"/>
    <x v="3"/>
    <n v="1"/>
    <n v="4672"/>
    <s v="Wallet"/>
    <x v="0"/>
    <x v="0"/>
    <n v="9"/>
    <n v="1"/>
    <n v="1"/>
    <s v="New"/>
    <x v="0"/>
    <n v="33"/>
    <n v="1"/>
  </r>
  <r>
    <n v="3531"/>
    <x v="55"/>
    <n v="1047"/>
    <x v="1"/>
    <x v="1"/>
    <x v="1"/>
    <n v="4"/>
    <n v="0"/>
    <s v="Wallet"/>
    <x v="2"/>
    <x v="2"/>
    <n v="8"/>
    <n v="0"/>
    <n v="1"/>
    <s v="Repeat"/>
    <x v="1"/>
    <n v="37"/>
    <n v="0"/>
  </r>
  <r>
    <n v="3532"/>
    <x v="107"/>
    <n v="1869"/>
    <x v="2"/>
    <x v="0"/>
    <x v="3"/>
    <n v="1"/>
    <n v="0"/>
    <s v="Wallet"/>
    <x v="1"/>
    <x v="0"/>
    <n v="10"/>
    <n v="0"/>
    <n v="0"/>
    <s v="Repeat"/>
    <x v="4"/>
    <n v="45"/>
    <n v="0"/>
  </r>
  <r>
    <n v="3533"/>
    <x v="1"/>
    <n v="1693"/>
    <x v="3"/>
    <x v="3"/>
    <x v="0"/>
    <n v="2"/>
    <n v="650"/>
    <s v="COD"/>
    <x v="0"/>
    <x v="3"/>
    <n v="8"/>
    <n v="1"/>
    <n v="0"/>
    <s v="Repeat"/>
    <x v="1"/>
    <n v="39"/>
    <n v="1"/>
  </r>
  <r>
    <n v="3534"/>
    <x v="42"/>
    <n v="1589"/>
    <x v="3"/>
    <x v="4"/>
    <x v="0"/>
    <n v="3"/>
    <n v="7179"/>
    <s v="UPI"/>
    <x v="0"/>
    <x v="1"/>
    <n v="9"/>
    <n v="1"/>
    <n v="0"/>
    <s v="Repeat"/>
    <x v="2"/>
    <n v="44"/>
    <n v="1"/>
  </r>
  <r>
    <n v="3535"/>
    <x v="20"/>
    <n v="1762"/>
    <x v="2"/>
    <x v="1"/>
    <x v="2"/>
    <n v="1"/>
    <n v="0"/>
    <s v="Wallet"/>
    <x v="2"/>
    <x v="0"/>
    <n v="6"/>
    <n v="0"/>
    <n v="0"/>
    <s v="New"/>
    <x v="0"/>
    <n v="32"/>
    <n v="0"/>
  </r>
  <r>
    <n v="3536"/>
    <x v="27"/>
    <n v="1535"/>
    <x v="4"/>
    <x v="1"/>
    <x v="1"/>
    <n v="4"/>
    <n v="0"/>
    <s v="UPI"/>
    <x v="1"/>
    <x v="2"/>
    <n v="4"/>
    <n v="1"/>
    <n v="0"/>
    <s v="New"/>
    <x v="1"/>
    <n v="37"/>
    <n v="0"/>
  </r>
  <r>
    <n v="3537"/>
    <x v="39"/>
    <n v="1963"/>
    <x v="2"/>
    <x v="1"/>
    <x v="1"/>
    <n v="1"/>
    <n v="0"/>
    <s v="UPI"/>
    <x v="1"/>
    <x v="3"/>
    <n v="10"/>
    <n v="0"/>
    <n v="1"/>
    <s v="Repeat"/>
    <x v="0"/>
    <n v="34"/>
    <n v="0"/>
  </r>
  <r>
    <n v="3538"/>
    <x v="75"/>
    <n v="1004"/>
    <x v="1"/>
    <x v="1"/>
    <x v="0"/>
    <n v="3"/>
    <n v="0"/>
    <s v="Wallet"/>
    <x v="1"/>
    <x v="2"/>
    <n v="7"/>
    <n v="1"/>
    <n v="0"/>
    <s v="Repeat"/>
    <x v="3"/>
    <n v="52"/>
    <n v="0"/>
  </r>
  <r>
    <n v="3539"/>
    <x v="124"/>
    <n v="1480"/>
    <x v="4"/>
    <x v="1"/>
    <x v="0"/>
    <n v="4"/>
    <n v="19224"/>
    <s v="COD"/>
    <x v="0"/>
    <x v="0"/>
    <n v="8"/>
    <n v="0"/>
    <n v="1"/>
    <s v="New"/>
    <x v="1"/>
    <n v="37"/>
    <n v="1"/>
  </r>
  <r>
    <n v="3540"/>
    <x v="149"/>
    <n v="1347"/>
    <x v="0"/>
    <x v="0"/>
    <x v="0"/>
    <n v="3"/>
    <n v="0"/>
    <s v="COD"/>
    <x v="2"/>
    <x v="3"/>
    <n v="7"/>
    <n v="1"/>
    <n v="0"/>
    <s v="New"/>
    <x v="3"/>
    <n v="49"/>
    <n v="0"/>
  </r>
  <r>
    <n v="3541"/>
    <x v="40"/>
    <n v="1304"/>
    <x v="2"/>
    <x v="1"/>
    <x v="0"/>
    <n v="4"/>
    <n v="0"/>
    <s v="Card"/>
    <x v="1"/>
    <x v="0"/>
    <n v="10"/>
    <n v="0"/>
    <n v="1"/>
    <s v="Repeat"/>
    <x v="0"/>
    <n v="32"/>
    <n v="0"/>
  </r>
  <r>
    <n v="3542"/>
    <x v="42"/>
    <n v="1181"/>
    <x v="3"/>
    <x v="0"/>
    <x v="3"/>
    <n v="4"/>
    <n v="0"/>
    <s v="UPI"/>
    <x v="1"/>
    <x v="1"/>
    <n v="7"/>
    <n v="1"/>
    <n v="1"/>
    <s v="Repeat"/>
    <x v="2"/>
    <n v="44"/>
    <n v="0"/>
  </r>
  <r>
    <n v="3543"/>
    <x v="145"/>
    <n v="1758"/>
    <x v="2"/>
    <x v="3"/>
    <x v="1"/>
    <n v="5"/>
    <n v="24110"/>
    <s v="Card"/>
    <x v="0"/>
    <x v="3"/>
    <n v="2"/>
    <n v="1"/>
    <n v="0"/>
    <s v="Repeat"/>
    <x v="4"/>
    <n v="48"/>
    <n v="1"/>
  </r>
  <r>
    <n v="3544"/>
    <x v="173"/>
    <n v="1022"/>
    <x v="3"/>
    <x v="1"/>
    <x v="3"/>
    <n v="5"/>
    <n v="0"/>
    <s v="UPI"/>
    <x v="1"/>
    <x v="1"/>
    <n v="10"/>
    <n v="1"/>
    <n v="1"/>
    <s v="Repeat"/>
    <x v="5"/>
    <n v="30"/>
    <n v="0"/>
  </r>
  <r>
    <n v="3545"/>
    <x v="128"/>
    <n v="1630"/>
    <x v="3"/>
    <x v="2"/>
    <x v="1"/>
    <n v="3"/>
    <n v="705"/>
    <s v="Wallet"/>
    <x v="0"/>
    <x v="2"/>
    <n v="6"/>
    <n v="1"/>
    <n v="0"/>
    <s v="Repeat"/>
    <x v="1"/>
    <n v="39"/>
    <n v="1"/>
  </r>
  <r>
    <n v="3546"/>
    <x v="17"/>
    <n v="1804"/>
    <x v="4"/>
    <x v="0"/>
    <x v="0"/>
    <n v="4"/>
    <n v="0"/>
    <s v="COD"/>
    <x v="2"/>
    <x v="2"/>
    <n v="9"/>
    <n v="1"/>
    <n v="1"/>
    <s v="Repeat"/>
    <x v="1"/>
    <n v="38"/>
    <n v="0"/>
  </r>
  <r>
    <n v="3547"/>
    <x v="67"/>
    <n v="1821"/>
    <x v="4"/>
    <x v="0"/>
    <x v="1"/>
    <n v="2"/>
    <n v="0"/>
    <s v="UPI"/>
    <x v="1"/>
    <x v="2"/>
    <n v="7"/>
    <n v="0"/>
    <n v="1"/>
    <s v="New"/>
    <x v="1"/>
    <n v="36"/>
    <n v="0"/>
  </r>
  <r>
    <n v="3548"/>
    <x v="128"/>
    <n v="1758"/>
    <x v="4"/>
    <x v="3"/>
    <x v="3"/>
    <n v="2"/>
    <n v="5506"/>
    <s v="Wallet"/>
    <x v="0"/>
    <x v="2"/>
    <n v="1"/>
    <n v="1"/>
    <n v="0"/>
    <s v="Repeat"/>
    <x v="1"/>
    <n v="39"/>
    <n v="1"/>
  </r>
  <r>
    <n v="3549"/>
    <x v="89"/>
    <n v="1392"/>
    <x v="3"/>
    <x v="0"/>
    <x v="0"/>
    <n v="1"/>
    <n v="0"/>
    <s v="Wallet"/>
    <x v="1"/>
    <x v="2"/>
    <n v="10"/>
    <n v="1"/>
    <n v="0"/>
    <s v="Repeat"/>
    <x v="0"/>
    <n v="35"/>
    <n v="0"/>
  </r>
  <r>
    <n v="3550"/>
    <x v="143"/>
    <n v="1063"/>
    <x v="2"/>
    <x v="4"/>
    <x v="2"/>
    <n v="2"/>
    <n v="0"/>
    <s v="UPI"/>
    <x v="1"/>
    <x v="2"/>
    <n v="4"/>
    <n v="0"/>
    <n v="1"/>
    <s v="New"/>
    <x v="2"/>
    <n v="43"/>
    <n v="0"/>
  </r>
  <r>
    <n v="3551"/>
    <x v="106"/>
    <n v="1272"/>
    <x v="1"/>
    <x v="3"/>
    <x v="0"/>
    <n v="2"/>
    <n v="0"/>
    <s v="UPI"/>
    <x v="2"/>
    <x v="2"/>
    <n v="6"/>
    <n v="0"/>
    <n v="1"/>
    <s v="Repeat"/>
    <x v="5"/>
    <n v="30"/>
    <n v="0"/>
  </r>
  <r>
    <n v="3552"/>
    <x v="7"/>
    <n v="1956"/>
    <x v="1"/>
    <x v="3"/>
    <x v="3"/>
    <n v="5"/>
    <n v="19465"/>
    <s v="UPI"/>
    <x v="0"/>
    <x v="3"/>
    <n v="6"/>
    <n v="0"/>
    <n v="0"/>
    <s v="Repeat"/>
    <x v="3"/>
    <n v="49"/>
    <n v="1"/>
  </r>
  <r>
    <n v="3553"/>
    <x v="90"/>
    <n v="1074"/>
    <x v="2"/>
    <x v="3"/>
    <x v="3"/>
    <n v="3"/>
    <n v="0"/>
    <s v="UPI"/>
    <x v="1"/>
    <x v="1"/>
    <n v="2"/>
    <n v="1"/>
    <n v="0"/>
    <s v="New"/>
    <x v="0"/>
    <n v="31"/>
    <n v="0"/>
  </r>
  <r>
    <n v="3554"/>
    <x v="36"/>
    <n v="1545"/>
    <x v="0"/>
    <x v="4"/>
    <x v="2"/>
    <n v="2"/>
    <n v="0"/>
    <s v="UPI"/>
    <x v="1"/>
    <x v="0"/>
    <n v="5"/>
    <n v="1"/>
    <n v="0"/>
    <s v="New"/>
    <x v="2"/>
    <n v="44"/>
    <n v="0"/>
  </r>
  <r>
    <n v="3555"/>
    <x v="90"/>
    <n v="1282"/>
    <x v="4"/>
    <x v="1"/>
    <x v="2"/>
    <n v="5"/>
    <n v="0"/>
    <s v="COD"/>
    <x v="1"/>
    <x v="0"/>
    <n v="6"/>
    <n v="0"/>
    <n v="0"/>
    <s v="New"/>
    <x v="0"/>
    <n v="31"/>
    <n v="0"/>
  </r>
  <r>
    <n v="3556"/>
    <x v="179"/>
    <n v="1269"/>
    <x v="1"/>
    <x v="0"/>
    <x v="0"/>
    <n v="4"/>
    <n v="0"/>
    <s v="Card"/>
    <x v="1"/>
    <x v="1"/>
    <n v="10"/>
    <n v="1"/>
    <n v="0"/>
    <s v="Repeat"/>
    <x v="5"/>
    <n v="29"/>
    <n v="0"/>
  </r>
  <r>
    <n v="3557"/>
    <x v="129"/>
    <n v="1813"/>
    <x v="2"/>
    <x v="1"/>
    <x v="0"/>
    <n v="3"/>
    <n v="3195"/>
    <s v="Card"/>
    <x v="0"/>
    <x v="3"/>
    <n v="10"/>
    <n v="0"/>
    <n v="0"/>
    <s v="New"/>
    <x v="4"/>
    <n v="46"/>
    <n v="1"/>
  </r>
  <r>
    <n v="3558"/>
    <x v="46"/>
    <n v="1202"/>
    <x v="1"/>
    <x v="1"/>
    <x v="1"/>
    <n v="3"/>
    <n v="2781"/>
    <s v="COD"/>
    <x v="0"/>
    <x v="3"/>
    <n v="7"/>
    <n v="1"/>
    <n v="0"/>
    <s v="New"/>
    <x v="5"/>
    <n v="30"/>
    <n v="1"/>
  </r>
  <r>
    <n v="3559"/>
    <x v="168"/>
    <n v="1645"/>
    <x v="4"/>
    <x v="1"/>
    <x v="0"/>
    <n v="5"/>
    <n v="0"/>
    <s v="Wallet"/>
    <x v="2"/>
    <x v="1"/>
    <n v="8"/>
    <n v="1"/>
    <n v="1"/>
    <s v="Repeat"/>
    <x v="6"/>
    <n v="1"/>
    <n v="0"/>
  </r>
  <r>
    <n v="3560"/>
    <x v="15"/>
    <n v="1447"/>
    <x v="2"/>
    <x v="4"/>
    <x v="0"/>
    <n v="5"/>
    <n v="0"/>
    <s v="Card"/>
    <x v="2"/>
    <x v="2"/>
    <n v="7"/>
    <n v="1"/>
    <n v="1"/>
    <s v="Repeat"/>
    <x v="4"/>
    <n v="47"/>
    <n v="0"/>
  </r>
  <r>
    <n v="3561"/>
    <x v="26"/>
    <n v="1749"/>
    <x v="1"/>
    <x v="1"/>
    <x v="3"/>
    <n v="3"/>
    <n v="0"/>
    <s v="Wallet"/>
    <x v="1"/>
    <x v="1"/>
    <n v="2"/>
    <n v="1"/>
    <n v="0"/>
    <s v="New"/>
    <x v="2"/>
    <n v="42"/>
    <n v="0"/>
  </r>
  <r>
    <n v="3562"/>
    <x v="82"/>
    <n v="1644"/>
    <x v="4"/>
    <x v="3"/>
    <x v="1"/>
    <n v="3"/>
    <n v="0"/>
    <s v="Card"/>
    <x v="1"/>
    <x v="3"/>
    <n v="6"/>
    <n v="1"/>
    <n v="1"/>
    <s v="New"/>
    <x v="0"/>
    <n v="33"/>
    <n v="0"/>
  </r>
  <r>
    <n v="3563"/>
    <x v="16"/>
    <n v="1646"/>
    <x v="2"/>
    <x v="1"/>
    <x v="1"/>
    <n v="4"/>
    <n v="0"/>
    <s v="UPI"/>
    <x v="1"/>
    <x v="0"/>
    <n v="3"/>
    <n v="1"/>
    <n v="1"/>
    <s v="Repeat"/>
    <x v="0"/>
    <n v="32"/>
    <n v="0"/>
  </r>
  <r>
    <n v="3564"/>
    <x v="123"/>
    <n v="1382"/>
    <x v="0"/>
    <x v="2"/>
    <x v="2"/>
    <n v="4"/>
    <n v="3704"/>
    <s v="UPI"/>
    <x v="0"/>
    <x v="1"/>
    <n v="9"/>
    <n v="1"/>
    <n v="0"/>
    <s v="New"/>
    <x v="0"/>
    <n v="34"/>
    <n v="1"/>
  </r>
  <r>
    <n v="3565"/>
    <x v="46"/>
    <n v="1147"/>
    <x v="0"/>
    <x v="1"/>
    <x v="0"/>
    <n v="1"/>
    <n v="0"/>
    <s v="Wallet"/>
    <x v="2"/>
    <x v="2"/>
    <n v="10"/>
    <n v="1"/>
    <n v="1"/>
    <s v="New"/>
    <x v="5"/>
    <n v="30"/>
    <n v="0"/>
  </r>
  <r>
    <n v="3566"/>
    <x v="68"/>
    <n v="1078"/>
    <x v="2"/>
    <x v="2"/>
    <x v="1"/>
    <n v="4"/>
    <n v="0"/>
    <s v="COD"/>
    <x v="1"/>
    <x v="3"/>
    <n v="7"/>
    <n v="0"/>
    <n v="0"/>
    <s v="New"/>
    <x v="0"/>
    <n v="32"/>
    <n v="0"/>
  </r>
  <r>
    <n v="3567"/>
    <x v="0"/>
    <n v="1556"/>
    <x v="3"/>
    <x v="1"/>
    <x v="1"/>
    <n v="3"/>
    <n v="0"/>
    <s v="COD"/>
    <x v="1"/>
    <x v="3"/>
    <n v="7"/>
    <n v="0"/>
    <n v="1"/>
    <s v="New"/>
    <x v="0"/>
    <n v="32"/>
    <n v="0"/>
  </r>
  <r>
    <n v="3568"/>
    <x v="45"/>
    <n v="1836"/>
    <x v="2"/>
    <x v="1"/>
    <x v="2"/>
    <n v="2"/>
    <n v="0"/>
    <s v="COD"/>
    <x v="2"/>
    <x v="2"/>
    <n v="9"/>
    <n v="1"/>
    <n v="1"/>
    <s v="Repeat"/>
    <x v="6"/>
    <n v="2"/>
    <n v="0"/>
  </r>
  <r>
    <n v="3569"/>
    <x v="163"/>
    <n v="1162"/>
    <x v="0"/>
    <x v="3"/>
    <x v="0"/>
    <n v="5"/>
    <n v="14685"/>
    <s v="UPI"/>
    <x v="0"/>
    <x v="0"/>
    <n v="9"/>
    <n v="0"/>
    <n v="1"/>
    <s v="New"/>
    <x v="4"/>
    <n v="45"/>
    <n v="1"/>
  </r>
  <r>
    <n v="3570"/>
    <x v="62"/>
    <n v="1411"/>
    <x v="1"/>
    <x v="3"/>
    <x v="3"/>
    <n v="3"/>
    <n v="0"/>
    <s v="COD"/>
    <x v="1"/>
    <x v="2"/>
    <n v="4"/>
    <n v="1"/>
    <n v="1"/>
    <s v="Repeat"/>
    <x v="2"/>
    <n v="43"/>
    <n v="0"/>
  </r>
  <r>
    <n v="3571"/>
    <x v="52"/>
    <n v="1329"/>
    <x v="4"/>
    <x v="4"/>
    <x v="3"/>
    <n v="1"/>
    <n v="4304"/>
    <s v="Wallet"/>
    <x v="0"/>
    <x v="3"/>
    <n v="4"/>
    <n v="0"/>
    <n v="1"/>
    <s v="New"/>
    <x v="4"/>
    <n v="44"/>
    <n v="1"/>
  </r>
  <r>
    <n v="3572"/>
    <x v="161"/>
    <n v="1545"/>
    <x v="3"/>
    <x v="2"/>
    <x v="2"/>
    <n v="5"/>
    <n v="16615"/>
    <s v="Wallet"/>
    <x v="0"/>
    <x v="3"/>
    <n v="7"/>
    <n v="1"/>
    <n v="0"/>
    <s v="Repeat"/>
    <x v="2"/>
    <n v="41"/>
    <n v="1"/>
  </r>
  <r>
    <n v="3573"/>
    <x v="42"/>
    <n v="1978"/>
    <x v="0"/>
    <x v="1"/>
    <x v="0"/>
    <n v="2"/>
    <n v="0"/>
    <s v="Wallet"/>
    <x v="2"/>
    <x v="2"/>
    <n v="4"/>
    <n v="0"/>
    <n v="0"/>
    <s v="New"/>
    <x v="2"/>
    <n v="44"/>
    <n v="0"/>
  </r>
  <r>
    <n v="3574"/>
    <x v="135"/>
    <n v="1540"/>
    <x v="0"/>
    <x v="2"/>
    <x v="0"/>
    <n v="5"/>
    <n v="0"/>
    <s v="UPI"/>
    <x v="1"/>
    <x v="3"/>
    <n v="3"/>
    <n v="0"/>
    <n v="1"/>
    <s v="Repeat"/>
    <x v="2"/>
    <n v="43"/>
    <n v="0"/>
  </r>
  <r>
    <n v="3575"/>
    <x v="6"/>
    <n v="1608"/>
    <x v="1"/>
    <x v="1"/>
    <x v="0"/>
    <n v="4"/>
    <n v="0"/>
    <s v="Wallet"/>
    <x v="2"/>
    <x v="1"/>
    <n v="2"/>
    <n v="0"/>
    <n v="0"/>
    <s v="New"/>
    <x v="4"/>
    <n v="47"/>
    <n v="0"/>
  </r>
  <r>
    <n v="3576"/>
    <x v="91"/>
    <n v="1291"/>
    <x v="1"/>
    <x v="4"/>
    <x v="2"/>
    <n v="3"/>
    <n v="0"/>
    <s v="COD"/>
    <x v="1"/>
    <x v="3"/>
    <n v="9"/>
    <n v="0"/>
    <n v="0"/>
    <s v="New"/>
    <x v="3"/>
    <n v="52"/>
    <n v="0"/>
  </r>
  <r>
    <n v="3577"/>
    <x v="60"/>
    <n v="1017"/>
    <x v="4"/>
    <x v="2"/>
    <x v="2"/>
    <n v="5"/>
    <n v="0"/>
    <s v="Wallet"/>
    <x v="2"/>
    <x v="1"/>
    <n v="1"/>
    <n v="1"/>
    <n v="1"/>
    <s v="New"/>
    <x v="1"/>
    <n v="36"/>
    <n v="0"/>
  </r>
  <r>
    <n v="3578"/>
    <x v="122"/>
    <n v="1599"/>
    <x v="4"/>
    <x v="3"/>
    <x v="2"/>
    <n v="1"/>
    <n v="0"/>
    <s v="Card"/>
    <x v="1"/>
    <x v="2"/>
    <n v="2"/>
    <n v="0"/>
    <n v="0"/>
    <s v="New"/>
    <x v="3"/>
    <n v="53"/>
    <n v="0"/>
  </r>
  <r>
    <n v="3579"/>
    <x v="176"/>
    <n v="1879"/>
    <x v="1"/>
    <x v="1"/>
    <x v="0"/>
    <n v="4"/>
    <n v="0"/>
    <s v="COD"/>
    <x v="2"/>
    <x v="0"/>
    <n v="9"/>
    <n v="1"/>
    <n v="0"/>
    <s v="Repeat"/>
    <x v="3"/>
    <n v="51"/>
    <n v="0"/>
  </r>
  <r>
    <n v="3580"/>
    <x v="157"/>
    <n v="1791"/>
    <x v="0"/>
    <x v="4"/>
    <x v="2"/>
    <n v="5"/>
    <n v="9035"/>
    <s v="Wallet"/>
    <x v="0"/>
    <x v="3"/>
    <n v="6"/>
    <n v="1"/>
    <n v="1"/>
    <s v="New"/>
    <x v="2"/>
    <n v="41"/>
    <n v="1"/>
  </r>
  <r>
    <n v="3581"/>
    <x v="167"/>
    <n v="1444"/>
    <x v="4"/>
    <x v="1"/>
    <x v="0"/>
    <n v="4"/>
    <n v="0"/>
    <s v="COD"/>
    <x v="2"/>
    <x v="3"/>
    <n v="7"/>
    <n v="0"/>
    <n v="1"/>
    <s v="Repeat"/>
    <x v="0"/>
    <n v="35"/>
    <n v="0"/>
  </r>
  <r>
    <n v="3582"/>
    <x v="52"/>
    <n v="1570"/>
    <x v="4"/>
    <x v="1"/>
    <x v="0"/>
    <n v="3"/>
    <n v="0"/>
    <s v="UPI"/>
    <x v="2"/>
    <x v="2"/>
    <n v="10"/>
    <n v="0"/>
    <n v="0"/>
    <s v="Repeat"/>
    <x v="4"/>
    <n v="44"/>
    <n v="0"/>
  </r>
  <r>
    <n v="3583"/>
    <x v="123"/>
    <n v="1182"/>
    <x v="2"/>
    <x v="1"/>
    <x v="2"/>
    <n v="3"/>
    <n v="6633"/>
    <s v="Card"/>
    <x v="0"/>
    <x v="3"/>
    <n v="7"/>
    <n v="0"/>
    <n v="0"/>
    <s v="Repeat"/>
    <x v="0"/>
    <n v="34"/>
    <n v="1"/>
  </r>
  <r>
    <n v="3584"/>
    <x v="33"/>
    <n v="1999"/>
    <x v="3"/>
    <x v="3"/>
    <x v="2"/>
    <n v="3"/>
    <n v="6417"/>
    <s v="Wallet"/>
    <x v="0"/>
    <x v="3"/>
    <n v="3"/>
    <n v="1"/>
    <n v="1"/>
    <s v="Repeat"/>
    <x v="5"/>
    <n v="31"/>
    <n v="1"/>
  </r>
  <r>
    <n v="3585"/>
    <x v="15"/>
    <n v="1788"/>
    <x v="1"/>
    <x v="0"/>
    <x v="0"/>
    <n v="1"/>
    <n v="0"/>
    <s v="Wallet"/>
    <x v="2"/>
    <x v="0"/>
    <n v="2"/>
    <n v="0"/>
    <n v="1"/>
    <s v="Repeat"/>
    <x v="4"/>
    <n v="47"/>
    <n v="0"/>
  </r>
  <r>
    <n v="3586"/>
    <x v="107"/>
    <n v="1666"/>
    <x v="0"/>
    <x v="3"/>
    <x v="0"/>
    <n v="5"/>
    <n v="0"/>
    <s v="Card"/>
    <x v="2"/>
    <x v="1"/>
    <n v="4"/>
    <n v="0"/>
    <n v="1"/>
    <s v="New"/>
    <x v="4"/>
    <n v="45"/>
    <n v="0"/>
  </r>
  <r>
    <n v="3587"/>
    <x v="133"/>
    <n v="1015"/>
    <x v="4"/>
    <x v="4"/>
    <x v="0"/>
    <n v="2"/>
    <n v="7318"/>
    <s v="UPI"/>
    <x v="0"/>
    <x v="2"/>
    <n v="7"/>
    <n v="1"/>
    <n v="1"/>
    <s v="Repeat"/>
    <x v="0"/>
    <n v="35"/>
    <n v="1"/>
  </r>
  <r>
    <n v="3588"/>
    <x v="128"/>
    <n v="1972"/>
    <x v="3"/>
    <x v="1"/>
    <x v="0"/>
    <n v="4"/>
    <n v="0"/>
    <s v="Card"/>
    <x v="1"/>
    <x v="2"/>
    <n v="7"/>
    <n v="1"/>
    <n v="1"/>
    <s v="Repeat"/>
    <x v="1"/>
    <n v="39"/>
    <n v="0"/>
  </r>
  <r>
    <n v="3589"/>
    <x v="77"/>
    <n v="1029"/>
    <x v="3"/>
    <x v="3"/>
    <x v="1"/>
    <n v="5"/>
    <n v="3745"/>
    <s v="COD"/>
    <x v="0"/>
    <x v="3"/>
    <n v="3"/>
    <n v="1"/>
    <n v="1"/>
    <s v="New"/>
    <x v="1"/>
    <n v="38"/>
    <n v="1"/>
  </r>
  <r>
    <n v="3590"/>
    <x v="134"/>
    <n v="1356"/>
    <x v="4"/>
    <x v="1"/>
    <x v="2"/>
    <n v="3"/>
    <n v="1497"/>
    <s v="Wallet"/>
    <x v="0"/>
    <x v="0"/>
    <n v="5"/>
    <n v="0"/>
    <n v="0"/>
    <s v="Repeat"/>
    <x v="3"/>
    <n v="51"/>
    <n v="1"/>
  </r>
  <r>
    <n v="3591"/>
    <x v="8"/>
    <n v="1294"/>
    <x v="2"/>
    <x v="4"/>
    <x v="3"/>
    <n v="2"/>
    <n v="0"/>
    <s v="Wallet"/>
    <x v="1"/>
    <x v="2"/>
    <n v="1"/>
    <n v="1"/>
    <n v="0"/>
    <s v="New"/>
    <x v="0"/>
    <n v="32"/>
    <n v="0"/>
  </r>
  <r>
    <n v="3592"/>
    <x v="63"/>
    <n v="1979"/>
    <x v="0"/>
    <x v="1"/>
    <x v="3"/>
    <n v="2"/>
    <n v="0"/>
    <s v="Card"/>
    <x v="1"/>
    <x v="1"/>
    <n v="10"/>
    <n v="1"/>
    <n v="0"/>
    <s v="Repeat"/>
    <x v="5"/>
    <n v="29"/>
    <n v="0"/>
  </r>
  <r>
    <n v="3593"/>
    <x v="75"/>
    <n v="1806"/>
    <x v="3"/>
    <x v="0"/>
    <x v="3"/>
    <n v="1"/>
    <n v="0"/>
    <s v="Card"/>
    <x v="1"/>
    <x v="0"/>
    <n v="4"/>
    <n v="0"/>
    <n v="1"/>
    <s v="New"/>
    <x v="3"/>
    <n v="52"/>
    <n v="0"/>
  </r>
  <r>
    <n v="3594"/>
    <x v="143"/>
    <n v="1412"/>
    <x v="0"/>
    <x v="4"/>
    <x v="3"/>
    <n v="4"/>
    <n v="0"/>
    <s v="Card"/>
    <x v="1"/>
    <x v="3"/>
    <n v="2"/>
    <n v="1"/>
    <n v="1"/>
    <s v="Repeat"/>
    <x v="2"/>
    <n v="43"/>
    <n v="0"/>
  </r>
  <r>
    <n v="3595"/>
    <x v="123"/>
    <n v="1960"/>
    <x v="2"/>
    <x v="1"/>
    <x v="3"/>
    <n v="1"/>
    <n v="4606"/>
    <s v="Wallet"/>
    <x v="0"/>
    <x v="0"/>
    <n v="8"/>
    <n v="0"/>
    <n v="0"/>
    <s v="Repeat"/>
    <x v="0"/>
    <n v="34"/>
    <n v="1"/>
  </r>
  <r>
    <n v="3596"/>
    <x v="65"/>
    <n v="1560"/>
    <x v="0"/>
    <x v="3"/>
    <x v="2"/>
    <n v="4"/>
    <n v="0"/>
    <s v="Card"/>
    <x v="1"/>
    <x v="2"/>
    <n v="7"/>
    <n v="0"/>
    <n v="1"/>
    <s v="Repeat"/>
    <x v="1"/>
    <n v="38"/>
    <n v="0"/>
  </r>
  <r>
    <n v="3597"/>
    <x v="98"/>
    <n v="1271"/>
    <x v="0"/>
    <x v="0"/>
    <x v="1"/>
    <n v="4"/>
    <n v="0"/>
    <s v="COD"/>
    <x v="1"/>
    <x v="2"/>
    <n v="10"/>
    <n v="0"/>
    <n v="1"/>
    <s v="Repeat"/>
    <x v="3"/>
    <n v="51"/>
    <n v="0"/>
  </r>
  <r>
    <n v="3598"/>
    <x v="115"/>
    <n v="1734"/>
    <x v="2"/>
    <x v="0"/>
    <x v="2"/>
    <n v="5"/>
    <n v="0"/>
    <s v="Card"/>
    <x v="2"/>
    <x v="0"/>
    <n v="7"/>
    <n v="1"/>
    <n v="1"/>
    <s v="Repeat"/>
    <x v="4"/>
    <n v="48"/>
    <n v="0"/>
  </r>
  <r>
    <n v="3599"/>
    <x v="152"/>
    <n v="1340"/>
    <x v="1"/>
    <x v="0"/>
    <x v="2"/>
    <n v="2"/>
    <n v="2478"/>
    <s v="Wallet"/>
    <x v="0"/>
    <x v="1"/>
    <n v="8"/>
    <n v="1"/>
    <n v="1"/>
    <s v="Repeat"/>
    <x v="2"/>
    <n v="42"/>
    <n v="1"/>
  </r>
  <r>
    <n v="3600"/>
    <x v="146"/>
    <n v="1887"/>
    <x v="1"/>
    <x v="1"/>
    <x v="0"/>
    <n v="5"/>
    <n v="0"/>
    <s v="Card"/>
    <x v="2"/>
    <x v="1"/>
    <n v="10"/>
    <n v="1"/>
    <n v="0"/>
    <s v="Repeat"/>
    <x v="2"/>
    <n v="40"/>
    <n v="0"/>
  </r>
  <r>
    <n v="3601"/>
    <x v="120"/>
    <n v="1104"/>
    <x v="0"/>
    <x v="3"/>
    <x v="1"/>
    <n v="2"/>
    <n v="0"/>
    <s v="COD"/>
    <x v="2"/>
    <x v="2"/>
    <n v="10"/>
    <n v="1"/>
    <n v="1"/>
    <s v="Repeat"/>
    <x v="6"/>
    <n v="1"/>
    <n v="0"/>
  </r>
  <r>
    <n v="3602"/>
    <x v="146"/>
    <n v="1800"/>
    <x v="1"/>
    <x v="0"/>
    <x v="0"/>
    <n v="1"/>
    <n v="0"/>
    <s v="COD"/>
    <x v="2"/>
    <x v="2"/>
    <n v="2"/>
    <n v="0"/>
    <n v="1"/>
    <s v="New"/>
    <x v="2"/>
    <n v="40"/>
    <n v="0"/>
  </r>
  <r>
    <n v="3603"/>
    <x v="81"/>
    <n v="1786"/>
    <x v="3"/>
    <x v="0"/>
    <x v="1"/>
    <n v="1"/>
    <n v="4319"/>
    <s v="UPI"/>
    <x v="0"/>
    <x v="0"/>
    <n v="5"/>
    <n v="0"/>
    <n v="1"/>
    <s v="New"/>
    <x v="0"/>
    <n v="33"/>
    <n v="1"/>
  </r>
  <r>
    <n v="3604"/>
    <x v="72"/>
    <n v="1995"/>
    <x v="0"/>
    <x v="2"/>
    <x v="3"/>
    <n v="2"/>
    <n v="0"/>
    <s v="UPI"/>
    <x v="2"/>
    <x v="2"/>
    <n v="6"/>
    <n v="1"/>
    <n v="1"/>
    <s v="New"/>
    <x v="2"/>
    <n v="41"/>
    <n v="0"/>
  </r>
  <r>
    <n v="3605"/>
    <x v="113"/>
    <n v="1268"/>
    <x v="3"/>
    <x v="2"/>
    <x v="2"/>
    <n v="5"/>
    <n v="0"/>
    <s v="COD"/>
    <x v="2"/>
    <x v="1"/>
    <n v="7"/>
    <n v="1"/>
    <n v="1"/>
    <s v="Repeat"/>
    <x v="0"/>
    <n v="33"/>
    <n v="0"/>
  </r>
  <r>
    <n v="3606"/>
    <x v="123"/>
    <n v="1481"/>
    <x v="4"/>
    <x v="0"/>
    <x v="2"/>
    <n v="4"/>
    <n v="0"/>
    <s v="UPI"/>
    <x v="1"/>
    <x v="3"/>
    <n v="7"/>
    <n v="1"/>
    <n v="1"/>
    <s v="New"/>
    <x v="0"/>
    <n v="34"/>
    <n v="0"/>
  </r>
  <r>
    <n v="3607"/>
    <x v="27"/>
    <n v="1597"/>
    <x v="2"/>
    <x v="4"/>
    <x v="0"/>
    <n v="1"/>
    <n v="0"/>
    <s v="Card"/>
    <x v="2"/>
    <x v="3"/>
    <n v="3"/>
    <n v="1"/>
    <n v="0"/>
    <s v="New"/>
    <x v="1"/>
    <n v="37"/>
    <n v="0"/>
  </r>
  <r>
    <n v="3608"/>
    <x v="63"/>
    <n v="1339"/>
    <x v="1"/>
    <x v="2"/>
    <x v="2"/>
    <n v="3"/>
    <n v="0"/>
    <s v="UPI"/>
    <x v="2"/>
    <x v="2"/>
    <n v="7"/>
    <n v="0"/>
    <n v="1"/>
    <s v="New"/>
    <x v="5"/>
    <n v="29"/>
    <n v="0"/>
  </r>
  <r>
    <n v="3609"/>
    <x v="75"/>
    <n v="1372"/>
    <x v="1"/>
    <x v="3"/>
    <x v="2"/>
    <n v="2"/>
    <n v="0"/>
    <s v="Wallet"/>
    <x v="1"/>
    <x v="2"/>
    <n v="2"/>
    <n v="1"/>
    <n v="0"/>
    <s v="New"/>
    <x v="3"/>
    <n v="52"/>
    <n v="0"/>
  </r>
  <r>
    <n v="3610"/>
    <x v="150"/>
    <n v="1181"/>
    <x v="0"/>
    <x v="2"/>
    <x v="0"/>
    <n v="2"/>
    <n v="1178"/>
    <s v="COD"/>
    <x v="0"/>
    <x v="2"/>
    <n v="10"/>
    <n v="0"/>
    <n v="0"/>
    <s v="Repeat"/>
    <x v="0"/>
    <n v="35"/>
    <n v="1"/>
  </r>
  <r>
    <n v="3611"/>
    <x v="161"/>
    <n v="1545"/>
    <x v="4"/>
    <x v="1"/>
    <x v="3"/>
    <n v="5"/>
    <n v="21525"/>
    <s v="Wallet"/>
    <x v="0"/>
    <x v="3"/>
    <n v="9"/>
    <n v="0"/>
    <n v="0"/>
    <s v="New"/>
    <x v="2"/>
    <n v="41"/>
    <n v="1"/>
  </r>
  <r>
    <n v="3612"/>
    <x v="46"/>
    <n v="1541"/>
    <x v="3"/>
    <x v="3"/>
    <x v="1"/>
    <n v="1"/>
    <n v="0"/>
    <s v="Wallet"/>
    <x v="2"/>
    <x v="1"/>
    <n v="8"/>
    <n v="0"/>
    <n v="0"/>
    <s v="New"/>
    <x v="5"/>
    <n v="30"/>
    <n v="0"/>
  </r>
  <r>
    <n v="3613"/>
    <x v="5"/>
    <n v="1370"/>
    <x v="2"/>
    <x v="1"/>
    <x v="1"/>
    <n v="5"/>
    <n v="8075"/>
    <s v="Card"/>
    <x v="0"/>
    <x v="1"/>
    <n v="7"/>
    <n v="1"/>
    <n v="0"/>
    <s v="Repeat"/>
    <x v="0"/>
    <n v="33"/>
    <n v="1"/>
  </r>
  <r>
    <n v="3614"/>
    <x v="113"/>
    <n v="1398"/>
    <x v="4"/>
    <x v="1"/>
    <x v="2"/>
    <n v="3"/>
    <n v="0"/>
    <s v="COD"/>
    <x v="1"/>
    <x v="1"/>
    <n v="6"/>
    <n v="1"/>
    <n v="0"/>
    <s v="New"/>
    <x v="0"/>
    <n v="33"/>
    <n v="0"/>
  </r>
  <r>
    <n v="3615"/>
    <x v="76"/>
    <n v="1508"/>
    <x v="3"/>
    <x v="3"/>
    <x v="0"/>
    <n v="3"/>
    <n v="0"/>
    <s v="Wallet"/>
    <x v="2"/>
    <x v="3"/>
    <n v="8"/>
    <n v="1"/>
    <n v="1"/>
    <s v="Repeat"/>
    <x v="3"/>
    <n v="50"/>
    <n v="0"/>
  </r>
  <r>
    <n v="3616"/>
    <x v="150"/>
    <n v="1045"/>
    <x v="2"/>
    <x v="0"/>
    <x v="1"/>
    <n v="5"/>
    <n v="10130"/>
    <s v="UPI"/>
    <x v="0"/>
    <x v="0"/>
    <n v="4"/>
    <n v="0"/>
    <n v="0"/>
    <s v="Repeat"/>
    <x v="0"/>
    <n v="35"/>
    <n v="1"/>
  </r>
  <r>
    <n v="3617"/>
    <x v="39"/>
    <n v="1568"/>
    <x v="4"/>
    <x v="4"/>
    <x v="3"/>
    <n v="4"/>
    <n v="1260"/>
    <s v="Wallet"/>
    <x v="0"/>
    <x v="1"/>
    <n v="5"/>
    <n v="0"/>
    <n v="0"/>
    <s v="New"/>
    <x v="0"/>
    <n v="34"/>
    <n v="1"/>
  </r>
  <r>
    <n v="3618"/>
    <x v="176"/>
    <n v="1982"/>
    <x v="1"/>
    <x v="0"/>
    <x v="3"/>
    <n v="2"/>
    <n v="0"/>
    <s v="Wallet"/>
    <x v="1"/>
    <x v="1"/>
    <n v="3"/>
    <n v="0"/>
    <n v="0"/>
    <s v="Repeat"/>
    <x v="3"/>
    <n v="51"/>
    <n v="0"/>
  </r>
  <r>
    <n v="3619"/>
    <x v="134"/>
    <n v="1776"/>
    <x v="1"/>
    <x v="0"/>
    <x v="1"/>
    <n v="3"/>
    <n v="0"/>
    <s v="COD"/>
    <x v="2"/>
    <x v="1"/>
    <n v="4"/>
    <n v="0"/>
    <n v="0"/>
    <s v="New"/>
    <x v="3"/>
    <n v="51"/>
    <n v="0"/>
  </r>
  <r>
    <n v="3620"/>
    <x v="59"/>
    <n v="1459"/>
    <x v="4"/>
    <x v="4"/>
    <x v="1"/>
    <n v="1"/>
    <n v="640"/>
    <s v="Card"/>
    <x v="0"/>
    <x v="3"/>
    <n v="2"/>
    <n v="1"/>
    <n v="1"/>
    <s v="Repeat"/>
    <x v="0"/>
    <n v="34"/>
    <n v="1"/>
  </r>
  <r>
    <n v="3621"/>
    <x v="43"/>
    <n v="1653"/>
    <x v="0"/>
    <x v="1"/>
    <x v="0"/>
    <n v="2"/>
    <n v="6680"/>
    <s v="UPI"/>
    <x v="0"/>
    <x v="3"/>
    <n v="7"/>
    <n v="0"/>
    <n v="1"/>
    <s v="Repeat"/>
    <x v="4"/>
    <n v="46"/>
    <n v="1"/>
  </r>
  <r>
    <n v="3622"/>
    <x v="122"/>
    <n v="1763"/>
    <x v="4"/>
    <x v="0"/>
    <x v="1"/>
    <n v="4"/>
    <n v="0"/>
    <s v="UPI"/>
    <x v="2"/>
    <x v="2"/>
    <n v="5"/>
    <n v="1"/>
    <n v="1"/>
    <s v="New"/>
    <x v="3"/>
    <n v="53"/>
    <n v="0"/>
  </r>
  <r>
    <n v="3623"/>
    <x v="16"/>
    <n v="1228"/>
    <x v="2"/>
    <x v="0"/>
    <x v="1"/>
    <n v="5"/>
    <n v="0"/>
    <s v="COD"/>
    <x v="2"/>
    <x v="1"/>
    <n v="6"/>
    <n v="1"/>
    <n v="1"/>
    <s v="New"/>
    <x v="0"/>
    <n v="32"/>
    <n v="0"/>
  </r>
  <r>
    <n v="3624"/>
    <x v="120"/>
    <n v="1539"/>
    <x v="4"/>
    <x v="1"/>
    <x v="2"/>
    <n v="5"/>
    <n v="6335"/>
    <s v="COD"/>
    <x v="0"/>
    <x v="1"/>
    <n v="7"/>
    <n v="1"/>
    <n v="1"/>
    <s v="Repeat"/>
    <x v="6"/>
    <n v="1"/>
    <n v="1"/>
  </r>
  <r>
    <n v="3625"/>
    <x v="76"/>
    <n v="1410"/>
    <x v="0"/>
    <x v="3"/>
    <x v="1"/>
    <n v="2"/>
    <n v="0"/>
    <s v="Wallet"/>
    <x v="1"/>
    <x v="0"/>
    <n v="5"/>
    <n v="0"/>
    <n v="1"/>
    <s v="Repeat"/>
    <x v="3"/>
    <n v="50"/>
    <n v="0"/>
  </r>
  <r>
    <n v="3626"/>
    <x v="123"/>
    <n v="1337"/>
    <x v="0"/>
    <x v="2"/>
    <x v="0"/>
    <n v="1"/>
    <n v="0"/>
    <s v="Card"/>
    <x v="2"/>
    <x v="2"/>
    <n v="5"/>
    <n v="1"/>
    <n v="1"/>
    <s v="New"/>
    <x v="0"/>
    <n v="34"/>
    <n v="0"/>
  </r>
  <r>
    <n v="3627"/>
    <x v="68"/>
    <n v="1466"/>
    <x v="2"/>
    <x v="3"/>
    <x v="2"/>
    <n v="4"/>
    <n v="14956"/>
    <s v="Card"/>
    <x v="0"/>
    <x v="1"/>
    <n v="2"/>
    <n v="0"/>
    <n v="0"/>
    <s v="Repeat"/>
    <x v="0"/>
    <n v="32"/>
    <n v="1"/>
  </r>
  <r>
    <n v="3628"/>
    <x v="108"/>
    <n v="1218"/>
    <x v="1"/>
    <x v="2"/>
    <x v="3"/>
    <n v="1"/>
    <n v="0"/>
    <s v="Card"/>
    <x v="1"/>
    <x v="0"/>
    <n v="1"/>
    <n v="1"/>
    <n v="0"/>
    <s v="New"/>
    <x v="2"/>
    <n v="44"/>
    <n v="0"/>
  </r>
  <r>
    <n v="3629"/>
    <x v="28"/>
    <n v="1022"/>
    <x v="2"/>
    <x v="1"/>
    <x v="3"/>
    <n v="3"/>
    <n v="0"/>
    <s v="Card"/>
    <x v="1"/>
    <x v="1"/>
    <n v="8"/>
    <n v="0"/>
    <n v="1"/>
    <s v="New"/>
    <x v="0"/>
    <n v="33"/>
    <n v="0"/>
  </r>
  <r>
    <n v="3630"/>
    <x v="126"/>
    <n v="1198"/>
    <x v="2"/>
    <x v="2"/>
    <x v="2"/>
    <n v="5"/>
    <n v="0"/>
    <s v="Card"/>
    <x v="2"/>
    <x v="1"/>
    <n v="5"/>
    <n v="0"/>
    <n v="0"/>
    <s v="Repeat"/>
    <x v="4"/>
    <n v="46"/>
    <n v="0"/>
  </r>
  <r>
    <n v="3631"/>
    <x v="25"/>
    <n v="1206"/>
    <x v="3"/>
    <x v="4"/>
    <x v="2"/>
    <n v="5"/>
    <n v="0"/>
    <s v="Wallet"/>
    <x v="1"/>
    <x v="3"/>
    <n v="5"/>
    <n v="1"/>
    <n v="0"/>
    <s v="Repeat"/>
    <x v="4"/>
    <n v="49"/>
    <n v="0"/>
  </r>
  <r>
    <n v="3632"/>
    <x v="106"/>
    <n v="1179"/>
    <x v="2"/>
    <x v="0"/>
    <x v="3"/>
    <n v="1"/>
    <n v="753"/>
    <s v="UPI"/>
    <x v="0"/>
    <x v="3"/>
    <n v="10"/>
    <n v="1"/>
    <n v="0"/>
    <s v="Repeat"/>
    <x v="5"/>
    <n v="30"/>
    <n v="1"/>
  </r>
  <r>
    <n v="3633"/>
    <x v="171"/>
    <n v="1239"/>
    <x v="3"/>
    <x v="4"/>
    <x v="1"/>
    <n v="3"/>
    <n v="0"/>
    <s v="Wallet"/>
    <x v="2"/>
    <x v="1"/>
    <n v="7"/>
    <n v="1"/>
    <n v="1"/>
    <s v="Repeat"/>
    <x v="1"/>
    <n v="36"/>
    <n v="0"/>
  </r>
  <r>
    <n v="3634"/>
    <x v="4"/>
    <n v="1452"/>
    <x v="3"/>
    <x v="2"/>
    <x v="2"/>
    <n v="3"/>
    <n v="0"/>
    <s v="COD"/>
    <x v="2"/>
    <x v="3"/>
    <n v="10"/>
    <n v="1"/>
    <n v="1"/>
    <s v="Repeat"/>
    <x v="3"/>
    <n v="50"/>
    <n v="0"/>
  </r>
  <r>
    <n v="3635"/>
    <x v="120"/>
    <n v="1088"/>
    <x v="2"/>
    <x v="0"/>
    <x v="1"/>
    <n v="5"/>
    <n v="18450"/>
    <s v="Wallet"/>
    <x v="0"/>
    <x v="1"/>
    <n v="4"/>
    <n v="1"/>
    <n v="0"/>
    <s v="New"/>
    <x v="6"/>
    <n v="1"/>
    <n v="1"/>
  </r>
  <r>
    <n v="3636"/>
    <x v="16"/>
    <n v="1186"/>
    <x v="4"/>
    <x v="3"/>
    <x v="3"/>
    <n v="3"/>
    <n v="13479"/>
    <s v="UPI"/>
    <x v="0"/>
    <x v="2"/>
    <n v="3"/>
    <n v="1"/>
    <n v="1"/>
    <s v="Repeat"/>
    <x v="0"/>
    <n v="32"/>
    <n v="1"/>
  </r>
  <r>
    <n v="3637"/>
    <x v="180"/>
    <n v="1214"/>
    <x v="2"/>
    <x v="0"/>
    <x v="2"/>
    <n v="2"/>
    <n v="9802"/>
    <s v="Card"/>
    <x v="0"/>
    <x v="2"/>
    <n v="3"/>
    <n v="1"/>
    <n v="1"/>
    <s v="Repeat"/>
    <x v="4"/>
    <n v="46"/>
    <n v="1"/>
  </r>
  <r>
    <n v="3638"/>
    <x v="137"/>
    <n v="1705"/>
    <x v="2"/>
    <x v="4"/>
    <x v="0"/>
    <n v="2"/>
    <n v="0"/>
    <s v="UPI"/>
    <x v="1"/>
    <x v="2"/>
    <n v="3"/>
    <n v="0"/>
    <n v="0"/>
    <s v="Repeat"/>
    <x v="1"/>
    <n v="40"/>
    <n v="0"/>
  </r>
  <r>
    <n v="3639"/>
    <x v="147"/>
    <n v="1451"/>
    <x v="0"/>
    <x v="2"/>
    <x v="1"/>
    <n v="3"/>
    <n v="0"/>
    <s v="Card"/>
    <x v="2"/>
    <x v="3"/>
    <n v="1"/>
    <n v="1"/>
    <n v="1"/>
    <s v="New"/>
    <x v="4"/>
    <n v="47"/>
    <n v="0"/>
  </r>
  <r>
    <n v="3640"/>
    <x v="31"/>
    <n v="1411"/>
    <x v="1"/>
    <x v="2"/>
    <x v="2"/>
    <n v="3"/>
    <n v="0"/>
    <s v="COD"/>
    <x v="2"/>
    <x v="0"/>
    <n v="10"/>
    <n v="1"/>
    <n v="0"/>
    <s v="New"/>
    <x v="2"/>
    <n v="44"/>
    <n v="0"/>
  </r>
  <r>
    <n v="3641"/>
    <x v="131"/>
    <n v="1638"/>
    <x v="2"/>
    <x v="2"/>
    <x v="1"/>
    <n v="5"/>
    <n v="0"/>
    <s v="Wallet"/>
    <x v="2"/>
    <x v="0"/>
    <n v="3"/>
    <n v="0"/>
    <n v="0"/>
    <s v="New"/>
    <x v="4"/>
    <n v="47"/>
    <n v="0"/>
  </r>
  <r>
    <n v="3642"/>
    <x v="115"/>
    <n v="1776"/>
    <x v="1"/>
    <x v="4"/>
    <x v="1"/>
    <n v="1"/>
    <n v="0"/>
    <s v="UPI"/>
    <x v="1"/>
    <x v="0"/>
    <n v="4"/>
    <n v="0"/>
    <n v="1"/>
    <s v="Repeat"/>
    <x v="4"/>
    <n v="48"/>
    <n v="0"/>
  </r>
  <r>
    <n v="3643"/>
    <x v="44"/>
    <n v="1333"/>
    <x v="4"/>
    <x v="0"/>
    <x v="3"/>
    <n v="2"/>
    <n v="0"/>
    <s v="Card"/>
    <x v="1"/>
    <x v="0"/>
    <n v="6"/>
    <n v="1"/>
    <n v="0"/>
    <s v="New"/>
    <x v="4"/>
    <n v="47"/>
    <n v="0"/>
  </r>
  <r>
    <n v="3644"/>
    <x v="110"/>
    <n v="1680"/>
    <x v="1"/>
    <x v="2"/>
    <x v="2"/>
    <n v="5"/>
    <n v="15975"/>
    <s v="UPI"/>
    <x v="0"/>
    <x v="0"/>
    <n v="9"/>
    <n v="0"/>
    <n v="0"/>
    <s v="New"/>
    <x v="3"/>
    <n v="52"/>
    <n v="1"/>
  </r>
  <r>
    <n v="3645"/>
    <x v="9"/>
    <n v="1671"/>
    <x v="1"/>
    <x v="2"/>
    <x v="3"/>
    <n v="3"/>
    <n v="4224"/>
    <s v="UPI"/>
    <x v="0"/>
    <x v="3"/>
    <n v="4"/>
    <n v="0"/>
    <n v="0"/>
    <s v="New"/>
    <x v="5"/>
    <n v="30"/>
    <n v="1"/>
  </r>
  <r>
    <n v="3646"/>
    <x v="124"/>
    <n v="1068"/>
    <x v="1"/>
    <x v="0"/>
    <x v="2"/>
    <n v="3"/>
    <n v="0"/>
    <s v="COD"/>
    <x v="1"/>
    <x v="2"/>
    <n v="5"/>
    <n v="0"/>
    <n v="0"/>
    <s v="Repeat"/>
    <x v="1"/>
    <n v="37"/>
    <n v="0"/>
  </r>
  <r>
    <n v="3647"/>
    <x v="113"/>
    <n v="1780"/>
    <x v="0"/>
    <x v="1"/>
    <x v="1"/>
    <n v="5"/>
    <n v="0"/>
    <s v="COD"/>
    <x v="2"/>
    <x v="1"/>
    <n v="2"/>
    <n v="1"/>
    <n v="1"/>
    <s v="Repeat"/>
    <x v="0"/>
    <n v="33"/>
    <n v="0"/>
  </r>
  <r>
    <n v="3648"/>
    <x v="179"/>
    <n v="1805"/>
    <x v="1"/>
    <x v="3"/>
    <x v="1"/>
    <n v="4"/>
    <n v="0"/>
    <s v="UPI"/>
    <x v="1"/>
    <x v="1"/>
    <n v="4"/>
    <n v="1"/>
    <n v="1"/>
    <s v="Repeat"/>
    <x v="5"/>
    <n v="29"/>
    <n v="0"/>
  </r>
  <r>
    <n v="3649"/>
    <x v="132"/>
    <n v="1653"/>
    <x v="1"/>
    <x v="2"/>
    <x v="3"/>
    <n v="5"/>
    <n v="0"/>
    <s v="Wallet"/>
    <x v="2"/>
    <x v="0"/>
    <n v="4"/>
    <n v="1"/>
    <n v="1"/>
    <s v="Repeat"/>
    <x v="2"/>
    <n v="42"/>
    <n v="0"/>
  </r>
  <r>
    <n v="3650"/>
    <x v="22"/>
    <n v="1822"/>
    <x v="1"/>
    <x v="4"/>
    <x v="0"/>
    <n v="4"/>
    <n v="0"/>
    <s v="COD"/>
    <x v="2"/>
    <x v="1"/>
    <n v="7"/>
    <n v="0"/>
    <n v="0"/>
    <s v="Repeat"/>
    <x v="6"/>
    <n v="2"/>
    <n v="0"/>
  </r>
  <r>
    <n v="3651"/>
    <x v="111"/>
    <n v="1210"/>
    <x v="2"/>
    <x v="0"/>
    <x v="2"/>
    <n v="3"/>
    <n v="0"/>
    <s v="UPI"/>
    <x v="1"/>
    <x v="1"/>
    <n v="8"/>
    <n v="1"/>
    <n v="0"/>
    <s v="New"/>
    <x v="4"/>
    <n v="48"/>
    <n v="0"/>
  </r>
  <r>
    <n v="3652"/>
    <x v="167"/>
    <n v="1675"/>
    <x v="3"/>
    <x v="0"/>
    <x v="3"/>
    <n v="4"/>
    <n v="0"/>
    <s v="Wallet"/>
    <x v="2"/>
    <x v="1"/>
    <n v="3"/>
    <n v="1"/>
    <n v="1"/>
    <s v="New"/>
    <x v="0"/>
    <n v="35"/>
    <n v="0"/>
  </r>
  <r>
    <n v="3653"/>
    <x v="156"/>
    <n v="1971"/>
    <x v="4"/>
    <x v="0"/>
    <x v="0"/>
    <n v="4"/>
    <n v="16588"/>
    <s v="Wallet"/>
    <x v="0"/>
    <x v="1"/>
    <n v="9"/>
    <n v="0"/>
    <n v="0"/>
    <s v="New"/>
    <x v="6"/>
    <n v="2"/>
    <n v="1"/>
  </r>
  <r>
    <n v="3654"/>
    <x v="23"/>
    <n v="1847"/>
    <x v="1"/>
    <x v="2"/>
    <x v="0"/>
    <n v="3"/>
    <n v="0"/>
    <s v="Wallet"/>
    <x v="1"/>
    <x v="3"/>
    <n v="2"/>
    <n v="0"/>
    <n v="1"/>
    <s v="New"/>
    <x v="3"/>
    <n v="51"/>
    <n v="0"/>
  </r>
  <r>
    <n v="3655"/>
    <x v="155"/>
    <n v="1627"/>
    <x v="1"/>
    <x v="4"/>
    <x v="1"/>
    <n v="1"/>
    <n v="0"/>
    <s v="Card"/>
    <x v="1"/>
    <x v="0"/>
    <n v="8"/>
    <n v="1"/>
    <n v="1"/>
    <s v="New"/>
    <x v="0"/>
    <n v="33"/>
    <n v="0"/>
  </r>
  <r>
    <n v="3656"/>
    <x v="162"/>
    <n v="1303"/>
    <x v="2"/>
    <x v="1"/>
    <x v="0"/>
    <n v="5"/>
    <n v="0"/>
    <s v="Card"/>
    <x v="2"/>
    <x v="2"/>
    <n v="1"/>
    <n v="1"/>
    <n v="1"/>
    <s v="New"/>
    <x v="2"/>
    <n v="43"/>
    <n v="0"/>
  </r>
  <r>
    <n v="3657"/>
    <x v="127"/>
    <n v="1718"/>
    <x v="1"/>
    <x v="1"/>
    <x v="3"/>
    <n v="4"/>
    <n v="0"/>
    <s v="Wallet"/>
    <x v="1"/>
    <x v="2"/>
    <n v="8"/>
    <n v="1"/>
    <n v="0"/>
    <s v="Repeat"/>
    <x v="5"/>
    <n v="29"/>
    <n v="0"/>
  </r>
  <r>
    <n v="3658"/>
    <x v="116"/>
    <n v="1045"/>
    <x v="0"/>
    <x v="1"/>
    <x v="0"/>
    <n v="2"/>
    <n v="6540"/>
    <s v="COD"/>
    <x v="0"/>
    <x v="3"/>
    <n v="9"/>
    <n v="1"/>
    <n v="1"/>
    <s v="New"/>
    <x v="3"/>
    <n v="50"/>
    <n v="1"/>
  </r>
  <r>
    <n v="3659"/>
    <x v="42"/>
    <n v="1727"/>
    <x v="4"/>
    <x v="0"/>
    <x v="0"/>
    <n v="2"/>
    <n v="0"/>
    <s v="UPI"/>
    <x v="1"/>
    <x v="1"/>
    <n v="3"/>
    <n v="1"/>
    <n v="1"/>
    <s v="New"/>
    <x v="2"/>
    <n v="44"/>
    <n v="0"/>
  </r>
  <r>
    <n v="3660"/>
    <x v="88"/>
    <n v="1276"/>
    <x v="0"/>
    <x v="0"/>
    <x v="2"/>
    <n v="1"/>
    <n v="2836"/>
    <s v="Wallet"/>
    <x v="0"/>
    <x v="3"/>
    <n v="4"/>
    <n v="1"/>
    <n v="0"/>
    <s v="New"/>
    <x v="1"/>
    <n v="37"/>
    <n v="1"/>
  </r>
  <r>
    <n v="3661"/>
    <x v="21"/>
    <n v="1063"/>
    <x v="3"/>
    <x v="0"/>
    <x v="3"/>
    <n v="3"/>
    <n v="14775"/>
    <s v="COD"/>
    <x v="0"/>
    <x v="3"/>
    <n v="2"/>
    <n v="1"/>
    <n v="1"/>
    <s v="Repeat"/>
    <x v="2"/>
    <n v="43"/>
    <n v="1"/>
  </r>
  <r>
    <n v="3662"/>
    <x v="73"/>
    <n v="1862"/>
    <x v="2"/>
    <x v="4"/>
    <x v="1"/>
    <n v="5"/>
    <n v="0"/>
    <s v="UPI"/>
    <x v="1"/>
    <x v="1"/>
    <n v="3"/>
    <n v="0"/>
    <n v="0"/>
    <s v="Repeat"/>
    <x v="4"/>
    <n v="45"/>
    <n v="0"/>
  </r>
  <r>
    <n v="3663"/>
    <x v="31"/>
    <n v="1765"/>
    <x v="2"/>
    <x v="4"/>
    <x v="1"/>
    <n v="2"/>
    <n v="0"/>
    <s v="COD"/>
    <x v="2"/>
    <x v="3"/>
    <n v="10"/>
    <n v="1"/>
    <n v="0"/>
    <s v="New"/>
    <x v="2"/>
    <n v="44"/>
    <n v="0"/>
  </r>
  <r>
    <n v="3664"/>
    <x v="93"/>
    <n v="1853"/>
    <x v="4"/>
    <x v="1"/>
    <x v="2"/>
    <n v="3"/>
    <n v="6630"/>
    <s v="UPI"/>
    <x v="0"/>
    <x v="0"/>
    <n v="3"/>
    <n v="1"/>
    <n v="1"/>
    <s v="New"/>
    <x v="3"/>
    <n v="53"/>
    <n v="1"/>
  </r>
  <r>
    <n v="3665"/>
    <x v="137"/>
    <n v="1269"/>
    <x v="2"/>
    <x v="4"/>
    <x v="2"/>
    <n v="2"/>
    <n v="4458"/>
    <s v="Card"/>
    <x v="0"/>
    <x v="1"/>
    <n v="6"/>
    <n v="1"/>
    <n v="1"/>
    <s v="Repeat"/>
    <x v="1"/>
    <n v="40"/>
    <n v="1"/>
  </r>
  <r>
    <n v="3666"/>
    <x v="115"/>
    <n v="1759"/>
    <x v="2"/>
    <x v="4"/>
    <x v="0"/>
    <n v="4"/>
    <n v="10540"/>
    <s v="COD"/>
    <x v="0"/>
    <x v="3"/>
    <n v="6"/>
    <n v="0"/>
    <n v="1"/>
    <s v="Repeat"/>
    <x v="4"/>
    <n v="48"/>
    <n v="1"/>
  </r>
  <r>
    <n v="3667"/>
    <x v="148"/>
    <n v="1797"/>
    <x v="1"/>
    <x v="2"/>
    <x v="1"/>
    <n v="1"/>
    <n v="0"/>
    <s v="Wallet"/>
    <x v="2"/>
    <x v="1"/>
    <n v="3"/>
    <n v="1"/>
    <n v="1"/>
    <s v="New"/>
    <x v="5"/>
    <n v="30"/>
    <n v="0"/>
  </r>
  <r>
    <n v="3668"/>
    <x v="106"/>
    <n v="1163"/>
    <x v="0"/>
    <x v="4"/>
    <x v="0"/>
    <n v="2"/>
    <n v="0"/>
    <s v="UPI"/>
    <x v="1"/>
    <x v="1"/>
    <n v="4"/>
    <n v="1"/>
    <n v="0"/>
    <s v="Repeat"/>
    <x v="5"/>
    <n v="30"/>
    <n v="0"/>
  </r>
  <r>
    <n v="3669"/>
    <x v="122"/>
    <n v="1320"/>
    <x v="0"/>
    <x v="4"/>
    <x v="3"/>
    <n v="2"/>
    <n v="0"/>
    <s v="Card"/>
    <x v="2"/>
    <x v="2"/>
    <n v="5"/>
    <n v="1"/>
    <n v="1"/>
    <s v="New"/>
    <x v="3"/>
    <n v="53"/>
    <n v="0"/>
  </r>
  <r>
    <n v="3670"/>
    <x v="58"/>
    <n v="1752"/>
    <x v="0"/>
    <x v="0"/>
    <x v="0"/>
    <n v="5"/>
    <n v="0"/>
    <s v="Wallet"/>
    <x v="1"/>
    <x v="1"/>
    <n v="9"/>
    <n v="1"/>
    <n v="1"/>
    <s v="Repeat"/>
    <x v="5"/>
    <n v="31"/>
    <n v="0"/>
  </r>
  <r>
    <n v="3671"/>
    <x v="156"/>
    <n v="1950"/>
    <x v="2"/>
    <x v="2"/>
    <x v="0"/>
    <n v="3"/>
    <n v="0"/>
    <s v="UPI"/>
    <x v="1"/>
    <x v="3"/>
    <n v="10"/>
    <n v="0"/>
    <n v="1"/>
    <s v="New"/>
    <x v="6"/>
    <n v="2"/>
    <n v="0"/>
  </r>
  <r>
    <n v="3672"/>
    <x v="86"/>
    <n v="1906"/>
    <x v="1"/>
    <x v="0"/>
    <x v="2"/>
    <n v="5"/>
    <n v="0"/>
    <s v="COD"/>
    <x v="2"/>
    <x v="0"/>
    <n v="4"/>
    <n v="1"/>
    <n v="0"/>
    <s v="New"/>
    <x v="6"/>
    <n v="1"/>
    <n v="0"/>
  </r>
  <r>
    <n v="3673"/>
    <x v="87"/>
    <n v="1282"/>
    <x v="3"/>
    <x v="4"/>
    <x v="0"/>
    <n v="1"/>
    <n v="0"/>
    <s v="Card"/>
    <x v="2"/>
    <x v="3"/>
    <n v="9"/>
    <n v="1"/>
    <n v="1"/>
    <s v="New"/>
    <x v="2"/>
    <n v="42"/>
    <n v="0"/>
  </r>
  <r>
    <n v="3674"/>
    <x v="75"/>
    <n v="1338"/>
    <x v="0"/>
    <x v="0"/>
    <x v="1"/>
    <n v="2"/>
    <n v="2094"/>
    <s v="UPI"/>
    <x v="0"/>
    <x v="1"/>
    <n v="5"/>
    <n v="1"/>
    <n v="0"/>
    <s v="New"/>
    <x v="3"/>
    <n v="52"/>
    <n v="1"/>
  </r>
  <r>
    <n v="3675"/>
    <x v="27"/>
    <n v="1744"/>
    <x v="4"/>
    <x v="2"/>
    <x v="2"/>
    <n v="5"/>
    <n v="0"/>
    <s v="UPI"/>
    <x v="2"/>
    <x v="3"/>
    <n v="4"/>
    <n v="0"/>
    <n v="1"/>
    <s v="New"/>
    <x v="1"/>
    <n v="37"/>
    <n v="0"/>
  </r>
  <r>
    <n v="3676"/>
    <x v="135"/>
    <n v="1322"/>
    <x v="0"/>
    <x v="1"/>
    <x v="1"/>
    <n v="1"/>
    <n v="0"/>
    <s v="Wallet"/>
    <x v="1"/>
    <x v="3"/>
    <n v="6"/>
    <n v="1"/>
    <n v="0"/>
    <s v="Repeat"/>
    <x v="2"/>
    <n v="43"/>
    <n v="0"/>
  </r>
  <r>
    <n v="3677"/>
    <x v="63"/>
    <n v="1468"/>
    <x v="1"/>
    <x v="3"/>
    <x v="0"/>
    <n v="4"/>
    <n v="0"/>
    <s v="Wallet"/>
    <x v="2"/>
    <x v="2"/>
    <n v="10"/>
    <n v="1"/>
    <n v="0"/>
    <s v="New"/>
    <x v="5"/>
    <n v="29"/>
    <n v="0"/>
  </r>
  <r>
    <n v="3678"/>
    <x v="8"/>
    <n v="2000"/>
    <x v="4"/>
    <x v="1"/>
    <x v="3"/>
    <n v="3"/>
    <n v="0"/>
    <s v="Wallet"/>
    <x v="2"/>
    <x v="1"/>
    <n v="7"/>
    <n v="0"/>
    <n v="0"/>
    <s v="New"/>
    <x v="0"/>
    <n v="32"/>
    <n v="0"/>
  </r>
  <r>
    <n v="3679"/>
    <x v="21"/>
    <n v="1927"/>
    <x v="0"/>
    <x v="4"/>
    <x v="1"/>
    <n v="1"/>
    <n v="2786"/>
    <s v="Card"/>
    <x v="0"/>
    <x v="2"/>
    <n v="3"/>
    <n v="1"/>
    <n v="1"/>
    <s v="New"/>
    <x v="2"/>
    <n v="43"/>
    <n v="1"/>
  </r>
  <r>
    <n v="3680"/>
    <x v="176"/>
    <n v="1785"/>
    <x v="4"/>
    <x v="2"/>
    <x v="3"/>
    <n v="5"/>
    <n v="0"/>
    <s v="UPI"/>
    <x v="2"/>
    <x v="0"/>
    <n v="8"/>
    <n v="1"/>
    <n v="1"/>
    <s v="New"/>
    <x v="3"/>
    <n v="51"/>
    <n v="0"/>
  </r>
  <r>
    <n v="3681"/>
    <x v="38"/>
    <n v="1070"/>
    <x v="1"/>
    <x v="1"/>
    <x v="2"/>
    <n v="1"/>
    <n v="0"/>
    <s v="COD"/>
    <x v="1"/>
    <x v="2"/>
    <n v="9"/>
    <n v="1"/>
    <n v="1"/>
    <s v="New"/>
    <x v="1"/>
    <n v="39"/>
    <n v="0"/>
  </r>
  <r>
    <n v="3682"/>
    <x v="28"/>
    <n v="1292"/>
    <x v="0"/>
    <x v="4"/>
    <x v="3"/>
    <n v="5"/>
    <n v="0"/>
    <s v="UPI"/>
    <x v="2"/>
    <x v="2"/>
    <n v="8"/>
    <n v="0"/>
    <n v="0"/>
    <s v="New"/>
    <x v="0"/>
    <n v="33"/>
    <n v="0"/>
  </r>
  <r>
    <n v="3683"/>
    <x v="15"/>
    <n v="1945"/>
    <x v="3"/>
    <x v="4"/>
    <x v="1"/>
    <n v="4"/>
    <n v="17888"/>
    <s v="COD"/>
    <x v="0"/>
    <x v="1"/>
    <n v="10"/>
    <n v="0"/>
    <n v="1"/>
    <s v="Repeat"/>
    <x v="4"/>
    <n v="47"/>
    <n v="1"/>
  </r>
  <r>
    <n v="3684"/>
    <x v="53"/>
    <n v="1710"/>
    <x v="1"/>
    <x v="0"/>
    <x v="2"/>
    <n v="4"/>
    <n v="0"/>
    <s v="Wallet"/>
    <x v="2"/>
    <x v="3"/>
    <n v="2"/>
    <n v="1"/>
    <n v="0"/>
    <s v="Repeat"/>
    <x v="2"/>
    <n v="42"/>
    <n v="0"/>
  </r>
  <r>
    <n v="3685"/>
    <x v="107"/>
    <n v="1885"/>
    <x v="3"/>
    <x v="1"/>
    <x v="3"/>
    <n v="4"/>
    <n v="0"/>
    <s v="UPI"/>
    <x v="1"/>
    <x v="0"/>
    <n v="1"/>
    <n v="0"/>
    <n v="0"/>
    <s v="New"/>
    <x v="4"/>
    <n v="45"/>
    <n v="0"/>
  </r>
  <r>
    <n v="3686"/>
    <x v="7"/>
    <n v="1554"/>
    <x v="3"/>
    <x v="0"/>
    <x v="2"/>
    <n v="1"/>
    <n v="0"/>
    <s v="Wallet"/>
    <x v="1"/>
    <x v="3"/>
    <n v="1"/>
    <n v="0"/>
    <n v="0"/>
    <s v="Repeat"/>
    <x v="3"/>
    <n v="49"/>
    <n v="0"/>
  </r>
  <r>
    <n v="3687"/>
    <x v="140"/>
    <n v="1671"/>
    <x v="4"/>
    <x v="1"/>
    <x v="1"/>
    <n v="2"/>
    <n v="0"/>
    <s v="Wallet"/>
    <x v="1"/>
    <x v="3"/>
    <n v="3"/>
    <n v="1"/>
    <n v="0"/>
    <s v="New"/>
    <x v="4"/>
    <n v="48"/>
    <n v="0"/>
  </r>
  <r>
    <n v="3688"/>
    <x v="20"/>
    <n v="1922"/>
    <x v="0"/>
    <x v="1"/>
    <x v="2"/>
    <n v="4"/>
    <n v="0"/>
    <s v="Wallet"/>
    <x v="1"/>
    <x v="0"/>
    <n v="5"/>
    <n v="0"/>
    <n v="0"/>
    <s v="Repeat"/>
    <x v="0"/>
    <n v="32"/>
    <n v="0"/>
  </r>
  <r>
    <n v="3689"/>
    <x v="2"/>
    <n v="1803"/>
    <x v="2"/>
    <x v="3"/>
    <x v="1"/>
    <n v="1"/>
    <n v="0"/>
    <s v="Card"/>
    <x v="2"/>
    <x v="1"/>
    <n v="7"/>
    <n v="0"/>
    <n v="1"/>
    <s v="New"/>
    <x v="2"/>
    <n v="41"/>
    <n v="0"/>
  </r>
  <r>
    <n v="3690"/>
    <x v="125"/>
    <n v="1986"/>
    <x v="1"/>
    <x v="4"/>
    <x v="2"/>
    <n v="3"/>
    <n v="0"/>
    <s v="Wallet"/>
    <x v="1"/>
    <x v="0"/>
    <n v="10"/>
    <n v="1"/>
    <n v="0"/>
    <s v="New"/>
    <x v="5"/>
    <n v="31"/>
    <n v="0"/>
  </r>
  <r>
    <n v="3691"/>
    <x v="3"/>
    <n v="1038"/>
    <x v="4"/>
    <x v="3"/>
    <x v="0"/>
    <n v="5"/>
    <n v="0"/>
    <s v="UPI"/>
    <x v="1"/>
    <x v="3"/>
    <n v="5"/>
    <n v="0"/>
    <n v="1"/>
    <s v="New"/>
    <x v="0"/>
    <n v="32"/>
    <n v="0"/>
  </r>
  <r>
    <n v="3692"/>
    <x v="11"/>
    <n v="1463"/>
    <x v="0"/>
    <x v="4"/>
    <x v="2"/>
    <n v="5"/>
    <n v="20500"/>
    <s v="COD"/>
    <x v="0"/>
    <x v="0"/>
    <n v="4"/>
    <n v="1"/>
    <n v="0"/>
    <s v="New"/>
    <x v="0"/>
    <n v="35"/>
    <n v="1"/>
  </r>
  <r>
    <n v="3693"/>
    <x v="51"/>
    <n v="1142"/>
    <x v="0"/>
    <x v="0"/>
    <x v="1"/>
    <n v="5"/>
    <n v="0"/>
    <s v="Wallet"/>
    <x v="2"/>
    <x v="3"/>
    <n v="3"/>
    <n v="0"/>
    <n v="0"/>
    <s v="Repeat"/>
    <x v="5"/>
    <n v="29"/>
    <n v="0"/>
  </r>
  <r>
    <n v="3694"/>
    <x v="114"/>
    <n v="1087"/>
    <x v="2"/>
    <x v="2"/>
    <x v="2"/>
    <n v="2"/>
    <n v="0"/>
    <s v="Card"/>
    <x v="1"/>
    <x v="3"/>
    <n v="8"/>
    <n v="0"/>
    <n v="1"/>
    <s v="Repeat"/>
    <x v="3"/>
    <n v="50"/>
    <n v="0"/>
  </r>
  <r>
    <n v="3695"/>
    <x v="176"/>
    <n v="1855"/>
    <x v="0"/>
    <x v="4"/>
    <x v="0"/>
    <n v="1"/>
    <n v="1148"/>
    <s v="Wallet"/>
    <x v="0"/>
    <x v="1"/>
    <n v="10"/>
    <n v="0"/>
    <n v="1"/>
    <s v="New"/>
    <x v="3"/>
    <n v="51"/>
    <n v="1"/>
  </r>
  <r>
    <n v="3696"/>
    <x v="124"/>
    <n v="1028"/>
    <x v="0"/>
    <x v="0"/>
    <x v="2"/>
    <n v="2"/>
    <n v="0"/>
    <s v="Card"/>
    <x v="2"/>
    <x v="0"/>
    <n v="3"/>
    <n v="1"/>
    <n v="0"/>
    <s v="Repeat"/>
    <x v="1"/>
    <n v="37"/>
    <n v="0"/>
  </r>
  <r>
    <n v="3697"/>
    <x v="5"/>
    <n v="1808"/>
    <x v="1"/>
    <x v="2"/>
    <x v="2"/>
    <n v="2"/>
    <n v="0"/>
    <s v="COD"/>
    <x v="1"/>
    <x v="3"/>
    <n v="10"/>
    <n v="1"/>
    <n v="1"/>
    <s v="Repeat"/>
    <x v="0"/>
    <n v="33"/>
    <n v="0"/>
  </r>
  <r>
    <n v="3698"/>
    <x v="86"/>
    <n v="1948"/>
    <x v="2"/>
    <x v="2"/>
    <x v="0"/>
    <n v="3"/>
    <n v="4707"/>
    <s v="Card"/>
    <x v="0"/>
    <x v="2"/>
    <n v="6"/>
    <n v="1"/>
    <n v="1"/>
    <s v="Repeat"/>
    <x v="6"/>
    <n v="1"/>
    <n v="1"/>
  </r>
  <r>
    <n v="3699"/>
    <x v="157"/>
    <n v="1202"/>
    <x v="2"/>
    <x v="3"/>
    <x v="3"/>
    <n v="1"/>
    <n v="0"/>
    <s v="COD"/>
    <x v="2"/>
    <x v="3"/>
    <n v="8"/>
    <n v="0"/>
    <n v="0"/>
    <s v="New"/>
    <x v="2"/>
    <n v="41"/>
    <n v="0"/>
  </r>
  <r>
    <n v="3700"/>
    <x v="145"/>
    <n v="1091"/>
    <x v="0"/>
    <x v="2"/>
    <x v="0"/>
    <n v="4"/>
    <n v="0"/>
    <s v="UPI"/>
    <x v="2"/>
    <x v="3"/>
    <n v="1"/>
    <n v="1"/>
    <n v="0"/>
    <s v="New"/>
    <x v="4"/>
    <n v="48"/>
    <n v="0"/>
  </r>
  <r>
    <n v="3701"/>
    <x v="33"/>
    <n v="1964"/>
    <x v="0"/>
    <x v="3"/>
    <x v="1"/>
    <n v="5"/>
    <n v="0"/>
    <s v="Card"/>
    <x v="2"/>
    <x v="1"/>
    <n v="6"/>
    <n v="1"/>
    <n v="1"/>
    <s v="New"/>
    <x v="5"/>
    <n v="31"/>
    <n v="0"/>
  </r>
  <r>
    <n v="3702"/>
    <x v="113"/>
    <n v="1637"/>
    <x v="1"/>
    <x v="0"/>
    <x v="3"/>
    <n v="2"/>
    <n v="0"/>
    <s v="UPI"/>
    <x v="1"/>
    <x v="3"/>
    <n v="5"/>
    <n v="0"/>
    <n v="1"/>
    <s v="New"/>
    <x v="0"/>
    <n v="33"/>
    <n v="0"/>
  </r>
  <r>
    <n v="3703"/>
    <x v="27"/>
    <n v="1266"/>
    <x v="0"/>
    <x v="0"/>
    <x v="2"/>
    <n v="3"/>
    <n v="0"/>
    <s v="COD"/>
    <x v="1"/>
    <x v="2"/>
    <n v="10"/>
    <n v="0"/>
    <n v="0"/>
    <s v="Repeat"/>
    <x v="1"/>
    <n v="37"/>
    <n v="0"/>
  </r>
  <r>
    <n v="3704"/>
    <x v="59"/>
    <n v="1107"/>
    <x v="4"/>
    <x v="4"/>
    <x v="3"/>
    <n v="5"/>
    <n v="0"/>
    <s v="Wallet"/>
    <x v="1"/>
    <x v="1"/>
    <n v="6"/>
    <n v="1"/>
    <n v="0"/>
    <s v="Repeat"/>
    <x v="0"/>
    <n v="34"/>
    <n v="0"/>
  </r>
  <r>
    <n v="3705"/>
    <x v="36"/>
    <n v="1108"/>
    <x v="0"/>
    <x v="3"/>
    <x v="3"/>
    <n v="2"/>
    <n v="0"/>
    <s v="Card"/>
    <x v="2"/>
    <x v="2"/>
    <n v="3"/>
    <n v="1"/>
    <n v="0"/>
    <s v="New"/>
    <x v="2"/>
    <n v="44"/>
    <n v="0"/>
  </r>
  <r>
    <n v="3706"/>
    <x v="49"/>
    <n v="1553"/>
    <x v="4"/>
    <x v="1"/>
    <x v="1"/>
    <n v="5"/>
    <n v="0"/>
    <s v="Wallet"/>
    <x v="1"/>
    <x v="1"/>
    <n v="2"/>
    <n v="0"/>
    <n v="1"/>
    <s v="New"/>
    <x v="0"/>
    <n v="36"/>
    <n v="0"/>
  </r>
  <r>
    <n v="3707"/>
    <x v="78"/>
    <n v="1832"/>
    <x v="2"/>
    <x v="1"/>
    <x v="1"/>
    <n v="2"/>
    <n v="4398"/>
    <s v="Wallet"/>
    <x v="0"/>
    <x v="2"/>
    <n v="6"/>
    <n v="1"/>
    <n v="0"/>
    <s v="New"/>
    <x v="3"/>
    <n v="52"/>
    <n v="1"/>
  </r>
  <r>
    <n v="3708"/>
    <x v="50"/>
    <n v="1667"/>
    <x v="2"/>
    <x v="0"/>
    <x v="2"/>
    <n v="4"/>
    <n v="0"/>
    <s v="Wallet"/>
    <x v="2"/>
    <x v="2"/>
    <n v="4"/>
    <n v="0"/>
    <n v="0"/>
    <s v="New"/>
    <x v="3"/>
    <n v="53"/>
    <n v="0"/>
  </r>
  <r>
    <n v="3709"/>
    <x v="175"/>
    <n v="1087"/>
    <x v="4"/>
    <x v="1"/>
    <x v="3"/>
    <n v="2"/>
    <n v="0"/>
    <s v="Wallet"/>
    <x v="1"/>
    <x v="1"/>
    <n v="5"/>
    <n v="0"/>
    <n v="1"/>
    <s v="Repeat"/>
    <x v="5"/>
    <n v="31"/>
    <n v="0"/>
  </r>
  <r>
    <n v="3710"/>
    <x v="160"/>
    <n v="1008"/>
    <x v="2"/>
    <x v="2"/>
    <x v="3"/>
    <n v="1"/>
    <n v="0"/>
    <s v="UPI"/>
    <x v="2"/>
    <x v="0"/>
    <n v="7"/>
    <n v="0"/>
    <n v="1"/>
    <s v="New"/>
    <x v="4"/>
    <n v="47"/>
    <n v="0"/>
  </r>
  <r>
    <n v="3711"/>
    <x v="9"/>
    <n v="1798"/>
    <x v="4"/>
    <x v="2"/>
    <x v="1"/>
    <n v="5"/>
    <n v="0"/>
    <s v="COD"/>
    <x v="2"/>
    <x v="1"/>
    <n v="2"/>
    <n v="1"/>
    <n v="0"/>
    <s v="New"/>
    <x v="5"/>
    <n v="30"/>
    <n v="0"/>
  </r>
  <r>
    <n v="3712"/>
    <x v="45"/>
    <n v="1104"/>
    <x v="4"/>
    <x v="1"/>
    <x v="2"/>
    <n v="3"/>
    <n v="9057"/>
    <s v="Card"/>
    <x v="0"/>
    <x v="3"/>
    <n v="1"/>
    <n v="0"/>
    <n v="1"/>
    <s v="New"/>
    <x v="6"/>
    <n v="2"/>
    <n v="1"/>
  </r>
  <r>
    <n v="3713"/>
    <x v="131"/>
    <n v="1085"/>
    <x v="1"/>
    <x v="1"/>
    <x v="1"/>
    <n v="4"/>
    <n v="14532"/>
    <s v="COD"/>
    <x v="0"/>
    <x v="0"/>
    <n v="7"/>
    <n v="0"/>
    <n v="0"/>
    <s v="New"/>
    <x v="4"/>
    <n v="47"/>
    <n v="1"/>
  </r>
  <r>
    <n v="3714"/>
    <x v="57"/>
    <n v="1959"/>
    <x v="0"/>
    <x v="4"/>
    <x v="1"/>
    <n v="3"/>
    <n v="0"/>
    <s v="Wallet"/>
    <x v="1"/>
    <x v="2"/>
    <n v="9"/>
    <n v="0"/>
    <n v="0"/>
    <s v="Repeat"/>
    <x v="4"/>
    <n v="48"/>
    <n v="0"/>
  </r>
  <r>
    <n v="3715"/>
    <x v="124"/>
    <n v="1861"/>
    <x v="4"/>
    <x v="3"/>
    <x v="0"/>
    <n v="1"/>
    <n v="0"/>
    <s v="Card"/>
    <x v="1"/>
    <x v="3"/>
    <n v="1"/>
    <n v="0"/>
    <n v="1"/>
    <s v="Repeat"/>
    <x v="1"/>
    <n v="37"/>
    <n v="0"/>
  </r>
  <r>
    <n v="3716"/>
    <x v="128"/>
    <n v="1629"/>
    <x v="4"/>
    <x v="4"/>
    <x v="3"/>
    <n v="5"/>
    <n v="4110"/>
    <s v="UPI"/>
    <x v="0"/>
    <x v="2"/>
    <n v="1"/>
    <n v="1"/>
    <n v="0"/>
    <s v="New"/>
    <x v="1"/>
    <n v="39"/>
    <n v="1"/>
  </r>
  <r>
    <n v="3717"/>
    <x v="173"/>
    <n v="1442"/>
    <x v="4"/>
    <x v="4"/>
    <x v="2"/>
    <n v="5"/>
    <n v="0"/>
    <s v="Wallet"/>
    <x v="2"/>
    <x v="2"/>
    <n v="9"/>
    <n v="0"/>
    <n v="1"/>
    <s v="Repeat"/>
    <x v="5"/>
    <n v="30"/>
    <n v="0"/>
  </r>
  <r>
    <n v="3718"/>
    <x v="39"/>
    <n v="1079"/>
    <x v="3"/>
    <x v="0"/>
    <x v="3"/>
    <n v="4"/>
    <n v="0"/>
    <s v="Card"/>
    <x v="2"/>
    <x v="2"/>
    <n v="8"/>
    <n v="0"/>
    <n v="1"/>
    <s v="Repeat"/>
    <x v="0"/>
    <n v="34"/>
    <n v="0"/>
  </r>
  <r>
    <n v="3719"/>
    <x v="91"/>
    <n v="1735"/>
    <x v="2"/>
    <x v="1"/>
    <x v="1"/>
    <n v="3"/>
    <n v="10497"/>
    <s v="Card"/>
    <x v="0"/>
    <x v="2"/>
    <n v="1"/>
    <n v="0"/>
    <n v="0"/>
    <s v="New"/>
    <x v="3"/>
    <n v="52"/>
    <n v="1"/>
  </r>
  <r>
    <n v="3720"/>
    <x v="65"/>
    <n v="1111"/>
    <x v="4"/>
    <x v="0"/>
    <x v="0"/>
    <n v="5"/>
    <n v="0"/>
    <s v="UPI"/>
    <x v="2"/>
    <x v="1"/>
    <n v="10"/>
    <n v="1"/>
    <n v="0"/>
    <s v="Repeat"/>
    <x v="1"/>
    <n v="38"/>
    <n v="0"/>
  </r>
  <r>
    <n v="3721"/>
    <x v="50"/>
    <n v="1058"/>
    <x v="0"/>
    <x v="1"/>
    <x v="3"/>
    <n v="4"/>
    <n v="0"/>
    <s v="Wallet"/>
    <x v="2"/>
    <x v="1"/>
    <n v="1"/>
    <n v="1"/>
    <n v="1"/>
    <s v="Repeat"/>
    <x v="3"/>
    <n v="53"/>
    <n v="0"/>
  </r>
  <r>
    <n v="3722"/>
    <x v="110"/>
    <n v="1420"/>
    <x v="0"/>
    <x v="4"/>
    <x v="3"/>
    <n v="2"/>
    <n v="0"/>
    <s v="Card"/>
    <x v="1"/>
    <x v="3"/>
    <n v="3"/>
    <n v="1"/>
    <n v="1"/>
    <s v="Repeat"/>
    <x v="3"/>
    <n v="52"/>
    <n v="0"/>
  </r>
  <r>
    <n v="3723"/>
    <x v="14"/>
    <n v="1156"/>
    <x v="2"/>
    <x v="1"/>
    <x v="2"/>
    <n v="1"/>
    <n v="3474"/>
    <s v="Wallet"/>
    <x v="0"/>
    <x v="2"/>
    <n v="3"/>
    <n v="1"/>
    <n v="0"/>
    <s v="New"/>
    <x v="0"/>
    <n v="34"/>
    <n v="1"/>
  </r>
  <r>
    <n v="3724"/>
    <x v="159"/>
    <n v="1816"/>
    <x v="1"/>
    <x v="2"/>
    <x v="0"/>
    <n v="1"/>
    <n v="0"/>
    <s v="UPI"/>
    <x v="1"/>
    <x v="2"/>
    <n v="4"/>
    <n v="0"/>
    <n v="1"/>
    <s v="New"/>
    <x v="3"/>
    <n v="49"/>
    <n v="0"/>
  </r>
  <r>
    <n v="3725"/>
    <x v="67"/>
    <n v="1171"/>
    <x v="1"/>
    <x v="1"/>
    <x v="0"/>
    <n v="4"/>
    <n v="0"/>
    <s v="COD"/>
    <x v="1"/>
    <x v="2"/>
    <n v="3"/>
    <n v="1"/>
    <n v="1"/>
    <s v="New"/>
    <x v="1"/>
    <n v="36"/>
    <n v="0"/>
  </r>
  <r>
    <n v="3726"/>
    <x v="111"/>
    <n v="1876"/>
    <x v="1"/>
    <x v="3"/>
    <x v="2"/>
    <n v="5"/>
    <n v="0"/>
    <s v="Card"/>
    <x v="1"/>
    <x v="1"/>
    <n v="7"/>
    <n v="0"/>
    <n v="0"/>
    <s v="New"/>
    <x v="4"/>
    <n v="48"/>
    <n v="0"/>
  </r>
  <r>
    <n v="3727"/>
    <x v="92"/>
    <n v="1602"/>
    <x v="1"/>
    <x v="1"/>
    <x v="2"/>
    <n v="3"/>
    <n v="14964"/>
    <s v="COD"/>
    <x v="0"/>
    <x v="1"/>
    <n v="8"/>
    <n v="0"/>
    <n v="1"/>
    <s v="Repeat"/>
    <x v="3"/>
    <n v="53"/>
    <n v="1"/>
  </r>
  <r>
    <n v="3728"/>
    <x v="90"/>
    <n v="1167"/>
    <x v="2"/>
    <x v="3"/>
    <x v="1"/>
    <n v="5"/>
    <n v="0"/>
    <s v="Wallet"/>
    <x v="2"/>
    <x v="3"/>
    <n v="4"/>
    <n v="0"/>
    <n v="1"/>
    <s v="Repeat"/>
    <x v="0"/>
    <n v="31"/>
    <n v="0"/>
  </r>
  <r>
    <n v="3729"/>
    <x v="27"/>
    <n v="1490"/>
    <x v="2"/>
    <x v="3"/>
    <x v="1"/>
    <n v="2"/>
    <n v="0"/>
    <s v="UPI"/>
    <x v="1"/>
    <x v="1"/>
    <n v="8"/>
    <n v="1"/>
    <n v="1"/>
    <s v="Repeat"/>
    <x v="1"/>
    <n v="37"/>
    <n v="0"/>
  </r>
  <r>
    <n v="3730"/>
    <x v="24"/>
    <n v="1904"/>
    <x v="0"/>
    <x v="0"/>
    <x v="0"/>
    <n v="2"/>
    <n v="0"/>
    <s v="Wallet"/>
    <x v="1"/>
    <x v="1"/>
    <n v="3"/>
    <n v="0"/>
    <n v="0"/>
    <s v="Repeat"/>
    <x v="5"/>
    <n v="30"/>
    <n v="0"/>
  </r>
  <r>
    <n v="3731"/>
    <x v="28"/>
    <n v="1952"/>
    <x v="2"/>
    <x v="0"/>
    <x v="1"/>
    <n v="2"/>
    <n v="0"/>
    <s v="COD"/>
    <x v="1"/>
    <x v="1"/>
    <n v="7"/>
    <n v="0"/>
    <n v="0"/>
    <s v="Repeat"/>
    <x v="0"/>
    <n v="33"/>
    <n v="0"/>
  </r>
  <r>
    <n v="3732"/>
    <x v="142"/>
    <n v="1354"/>
    <x v="3"/>
    <x v="0"/>
    <x v="0"/>
    <n v="3"/>
    <n v="0"/>
    <s v="Card"/>
    <x v="2"/>
    <x v="2"/>
    <n v="7"/>
    <n v="1"/>
    <n v="0"/>
    <s v="Repeat"/>
    <x v="2"/>
    <n v="42"/>
    <n v="0"/>
  </r>
  <r>
    <n v="3733"/>
    <x v="46"/>
    <n v="1443"/>
    <x v="1"/>
    <x v="3"/>
    <x v="3"/>
    <n v="3"/>
    <n v="0"/>
    <s v="COD"/>
    <x v="2"/>
    <x v="1"/>
    <n v="2"/>
    <n v="0"/>
    <n v="1"/>
    <s v="New"/>
    <x v="5"/>
    <n v="30"/>
    <n v="0"/>
  </r>
  <r>
    <n v="3734"/>
    <x v="117"/>
    <n v="1600"/>
    <x v="2"/>
    <x v="3"/>
    <x v="0"/>
    <n v="3"/>
    <n v="0"/>
    <s v="COD"/>
    <x v="2"/>
    <x v="2"/>
    <n v="4"/>
    <n v="0"/>
    <n v="0"/>
    <s v="Repeat"/>
    <x v="5"/>
    <n v="31"/>
    <n v="0"/>
  </r>
  <r>
    <n v="3735"/>
    <x v="137"/>
    <n v="1862"/>
    <x v="1"/>
    <x v="0"/>
    <x v="1"/>
    <n v="5"/>
    <n v="0"/>
    <s v="COD"/>
    <x v="2"/>
    <x v="0"/>
    <n v="5"/>
    <n v="0"/>
    <n v="0"/>
    <s v="Repeat"/>
    <x v="1"/>
    <n v="40"/>
    <n v="0"/>
  </r>
  <r>
    <n v="3736"/>
    <x v="149"/>
    <n v="1635"/>
    <x v="1"/>
    <x v="1"/>
    <x v="3"/>
    <n v="5"/>
    <n v="1010"/>
    <s v="COD"/>
    <x v="0"/>
    <x v="0"/>
    <n v="3"/>
    <n v="0"/>
    <n v="1"/>
    <s v="Repeat"/>
    <x v="3"/>
    <n v="49"/>
    <n v="1"/>
  </r>
  <r>
    <n v="3737"/>
    <x v="129"/>
    <n v="1520"/>
    <x v="2"/>
    <x v="4"/>
    <x v="1"/>
    <n v="4"/>
    <n v="9032"/>
    <s v="Card"/>
    <x v="0"/>
    <x v="0"/>
    <n v="9"/>
    <n v="1"/>
    <n v="0"/>
    <s v="New"/>
    <x v="4"/>
    <n v="46"/>
    <n v="1"/>
  </r>
  <r>
    <n v="3738"/>
    <x v="45"/>
    <n v="1192"/>
    <x v="0"/>
    <x v="1"/>
    <x v="2"/>
    <n v="5"/>
    <n v="4220"/>
    <s v="Card"/>
    <x v="0"/>
    <x v="0"/>
    <n v="1"/>
    <n v="0"/>
    <n v="0"/>
    <s v="New"/>
    <x v="6"/>
    <n v="2"/>
    <n v="1"/>
  </r>
  <r>
    <n v="3739"/>
    <x v="121"/>
    <n v="1285"/>
    <x v="0"/>
    <x v="1"/>
    <x v="2"/>
    <n v="5"/>
    <n v="0"/>
    <s v="Card"/>
    <x v="2"/>
    <x v="1"/>
    <n v="5"/>
    <n v="0"/>
    <n v="0"/>
    <s v="New"/>
    <x v="1"/>
    <n v="37"/>
    <n v="0"/>
  </r>
  <r>
    <n v="3740"/>
    <x v="141"/>
    <n v="1630"/>
    <x v="4"/>
    <x v="4"/>
    <x v="0"/>
    <n v="4"/>
    <n v="13956"/>
    <s v="Card"/>
    <x v="0"/>
    <x v="0"/>
    <n v="3"/>
    <n v="0"/>
    <n v="1"/>
    <s v="Repeat"/>
    <x v="1"/>
    <n v="39"/>
    <n v="1"/>
  </r>
  <r>
    <n v="3741"/>
    <x v="88"/>
    <n v="1788"/>
    <x v="0"/>
    <x v="2"/>
    <x v="1"/>
    <n v="1"/>
    <n v="0"/>
    <s v="Card"/>
    <x v="1"/>
    <x v="2"/>
    <n v="10"/>
    <n v="1"/>
    <n v="0"/>
    <s v="Repeat"/>
    <x v="1"/>
    <n v="37"/>
    <n v="0"/>
  </r>
  <r>
    <n v="3742"/>
    <x v="40"/>
    <n v="1223"/>
    <x v="4"/>
    <x v="2"/>
    <x v="1"/>
    <n v="3"/>
    <n v="0"/>
    <s v="Wallet"/>
    <x v="1"/>
    <x v="0"/>
    <n v="7"/>
    <n v="0"/>
    <n v="1"/>
    <s v="New"/>
    <x v="0"/>
    <n v="32"/>
    <n v="0"/>
  </r>
  <r>
    <n v="3743"/>
    <x v="96"/>
    <n v="1152"/>
    <x v="2"/>
    <x v="4"/>
    <x v="3"/>
    <n v="3"/>
    <n v="12657"/>
    <s v="Card"/>
    <x v="0"/>
    <x v="0"/>
    <n v="4"/>
    <n v="0"/>
    <n v="0"/>
    <s v="Repeat"/>
    <x v="4"/>
    <n v="45"/>
    <n v="1"/>
  </r>
  <r>
    <n v="3744"/>
    <x v="26"/>
    <n v="1206"/>
    <x v="4"/>
    <x v="3"/>
    <x v="2"/>
    <n v="1"/>
    <n v="0"/>
    <s v="Card"/>
    <x v="2"/>
    <x v="3"/>
    <n v="4"/>
    <n v="0"/>
    <n v="1"/>
    <s v="New"/>
    <x v="2"/>
    <n v="42"/>
    <n v="0"/>
  </r>
  <r>
    <n v="3745"/>
    <x v="41"/>
    <n v="1506"/>
    <x v="1"/>
    <x v="0"/>
    <x v="3"/>
    <n v="1"/>
    <n v="0"/>
    <s v="COD"/>
    <x v="2"/>
    <x v="1"/>
    <n v="10"/>
    <n v="1"/>
    <n v="1"/>
    <s v="New"/>
    <x v="1"/>
    <n v="37"/>
    <n v="0"/>
  </r>
  <r>
    <n v="3746"/>
    <x v="112"/>
    <n v="1063"/>
    <x v="1"/>
    <x v="2"/>
    <x v="0"/>
    <n v="2"/>
    <n v="9018"/>
    <s v="UPI"/>
    <x v="0"/>
    <x v="2"/>
    <n v="8"/>
    <n v="0"/>
    <n v="1"/>
    <s v="New"/>
    <x v="5"/>
    <n v="30"/>
    <n v="1"/>
  </r>
  <r>
    <n v="3747"/>
    <x v="99"/>
    <n v="1436"/>
    <x v="3"/>
    <x v="1"/>
    <x v="0"/>
    <n v="4"/>
    <n v="0"/>
    <s v="Wallet"/>
    <x v="1"/>
    <x v="1"/>
    <n v="4"/>
    <n v="1"/>
    <n v="1"/>
    <s v="Repeat"/>
    <x v="4"/>
    <n v="48"/>
    <n v="0"/>
  </r>
  <r>
    <n v="3748"/>
    <x v="33"/>
    <n v="1339"/>
    <x v="4"/>
    <x v="2"/>
    <x v="3"/>
    <n v="3"/>
    <n v="0"/>
    <s v="UPI"/>
    <x v="2"/>
    <x v="0"/>
    <n v="8"/>
    <n v="0"/>
    <n v="1"/>
    <s v="Repeat"/>
    <x v="5"/>
    <n v="31"/>
    <n v="0"/>
  </r>
  <r>
    <n v="3749"/>
    <x v="9"/>
    <n v="1156"/>
    <x v="3"/>
    <x v="3"/>
    <x v="3"/>
    <n v="5"/>
    <n v="0"/>
    <s v="COD"/>
    <x v="2"/>
    <x v="2"/>
    <n v="5"/>
    <n v="0"/>
    <n v="1"/>
    <s v="New"/>
    <x v="5"/>
    <n v="30"/>
    <n v="0"/>
  </r>
  <r>
    <n v="3750"/>
    <x v="44"/>
    <n v="1941"/>
    <x v="2"/>
    <x v="3"/>
    <x v="0"/>
    <n v="2"/>
    <n v="0"/>
    <s v="Wallet"/>
    <x v="1"/>
    <x v="3"/>
    <n v="5"/>
    <n v="1"/>
    <n v="0"/>
    <s v="New"/>
    <x v="4"/>
    <n v="47"/>
    <n v="0"/>
  </r>
  <r>
    <n v="3751"/>
    <x v="178"/>
    <n v="1646"/>
    <x v="3"/>
    <x v="4"/>
    <x v="3"/>
    <n v="5"/>
    <n v="9820"/>
    <s v="Card"/>
    <x v="0"/>
    <x v="3"/>
    <n v="6"/>
    <n v="1"/>
    <n v="1"/>
    <s v="Repeat"/>
    <x v="4"/>
    <n v="45"/>
    <n v="1"/>
  </r>
  <r>
    <n v="3752"/>
    <x v="89"/>
    <n v="1958"/>
    <x v="1"/>
    <x v="0"/>
    <x v="1"/>
    <n v="2"/>
    <n v="0"/>
    <s v="Card"/>
    <x v="2"/>
    <x v="2"/>
    <n v="3"/>
    <n v="0"/>
    <n v="1"/>
    <s v="New"/>
    <x v="0"/>
    <n v="35"/>
    <n v="0"/>
  </r>
  <r>
    <n v="3753"/>
    <x v="110"/>
    <n v="1943"/>
    <x v="1"/>
    <x v="2"/>
    <x v="3"/>
    <n v="2"/>
    <n v="5262"/>
    <s v="Wallet"/>
    <x v="0"/>
    <x v="1"/>
    <n v="10"/>
    <n v="1"/>
    <n v="0"/>
    <s v="Repeat"/>
    <x v="3"/>
    <n v="52"/>
    <n v="1"/>
  </r>
  <r>
    <n v="3754"/>
    <x v="155"/>
    <n v="1583"/>
    <x v="1"/>
    <x v="2"/>
    <x v="3"/>
    <n v="3"/>
    <n v="12300"/>
    <s v="COD"/>
    <x v="0"/>
    <x v="3"/>
    <n v="9"/>
    <n v="0"/>
    <n v="0"/>
    <s v="Repeat"/>
    <x v="0"/>
    <n v="33"/>
    <n v="1"/>
  </r>
  <r>
    <n v="3755"/>
    <x v="154"/>
    <n v="1758"/>
    <x v="3"/>
    <x v="4"/>
    <x v="1"/>
    <n v="1"/>
    <n v="0"/>
    <s v="Card"/>
    <x v="2"/>
    <x v="0"/>
    <n v="7"/>
    <n v="0"/>
    <n v="1"/>
    <s v="Repeat"/>
    <x v="2"/>
    <n v="42"/>
    <n v="0"/>
  </r>
  <r>
    <n v="3756"/>
    <x v="166"/>
    <n v="1411"/>
    <x v="0"/>
    <x v="4"/>
    <x v="1"/>
    <n v="3"/>
    <n v="0"/>
    <s v="Card"/>
    <x v="1"/>
    <x v="2"/>
    <n v="3"/>
    <n v="0"/>
    <n v="1"/>
    <s v="Repeat"/>
    <x v="1"/>
    <n v="39"/>
    <n v="0"/>
  </r>
  <r>
    <n v="3757"/>
    <x v="19"/>
    <n v="1126"/>
    <x v="3"/>
    <x v="4"/>
    <x v="0"/>
    <n v="4"/>
    <n v="0"/>
    <s v="Card"/>
    <x v="2"/>
    <x v="3"/>
    <n v="7"/>
    <n v="1"/>
    <n v="0"/>
    <s v="Repeat"/>
    <x v="0"/>
    <n v="33"/>
    <n v="0"/>
  </r>
  <r>
    <n v="3758"/>
    <x v="52"/>
    <n v="1145"/>
    <x v="0"/>
    <x v="1"/>
    <x v="3"/>
    <n v="5"/>
    <n v="17100"/>
    <s v="Wallet"/>
    <x v="0"/>
    <x v="1"/>
    <n v="8"/>
    <n v="1"/>
    <n v="1"/>
    <s v="Repeat"/>
    <x v="4"/>
    <n v="44"/>
    <n v="1"/>
  </r>
  <r>
    <n v="3759"/>
    <x v="84"/>
    <n v="1996"/>
    <x v="1"/>
    <x v="0"/>
    <x v="0"/>
    <n v="3"/>
    <n v="0"/>
    <s v="UPI"/>
    <x v="2"/>
    <x v="0"/>
    <n v="3"/>
    <n v="0"/>
    <n v="1"/>
    <s v="Repeat"/>
    <x v="2"/>
    <n v="41"/>
    <n v="0"/>
  </r>
  <r>
    <n v="3760"/>
    <x v="31"/>
    <n v="1737"/>
    <x v="0"/>
    <x v="3"/>
    <x v="2"/>
    <n v="1"/>
    <n v="0"/>
    <s v="Wallet"/>
    <x v="2"/>
    <x v="2"/>
    <n v="3"/>
    <n v="1"/>
    <n v="0"/>
    <s v="Repeat"/>
    <x v="2"/>
    <n v="44"/>
    <n v="0"/>
  </r>
  <r>
    <n v="3761"/>
    <x v="112"/>
    <n v="1910"/>
    <x v="3"/>
    <x v="1"/>
    <x v="0"/>
    <n v="1"/>
    <n v="0"/>
    <s v="COD"/>
    <x v="1"/>
    <x v="2"/>
    <n v="2"/>
    <n v="1"/>
    <n v="0"/>
    <s v="Repeat"/>
    <x v="5"/>
    <n v="30"/>
    <n v="0"/>
  </r>
  <r>
    <n v="3762"/>
    <x v="105"/>
    <n v="1248"/>
    <x v="4"/>
    <x v="2"/>
    <x v="3"/>
    <n v="1"/>
    <n v="2579"/>
    <s v="Card"/>
    <x v="0"/>
    <x v="0"/>
    <n v="7"/>
    <n v="1"/>
    <n v="1"/>
    <s v="New"/>
    <x v="3"/>
    <n v="52"/>
    <n v="1"/>
  </r>
  <r>
    <n v="3763"/>
    <x v="104"/>
    <n v="1424"/>
    <x v="2"/>
    <x v="3"/>
    <x v="3"/>
    <n v="5"/>
    <n v="0"/>
    <s v="Card"/>
    <x v="2"/>
    <x v="0"/>
    <n v="7"/>
    <n v="1"/>
    <n v="1"/>
    <s v="Repeat"/>
    <x v="5"/>
    <n v="29"/>
    <n v="0"/>
  </r>
  <r>
    <n v="3764"/>
    <x v="142"/>
    <n v="1534"/>
    <x v="1"/>
    <x v="0"/>
    <x v="2"/>
    <n v="3"/>
    <n v="0"/>
    <s v="Wallet"/>
    <x v="2"/>
    <x v="1"/>
    <n v="7"/>
    <n v="1"/>
    <n v="0"/>
    <s v="Repeat"/>
    <x v="2"/>
    <n v="42"/>
    <n v="0"/>
  </r>
  <r>
    <n v="3765"/>
    <x v="35"/>
    <n v="1453"/>
    <x v="4"/>
    <x v="2"/>
    <x v="2"/>
    <n v="3"/>
    <n v="0"/>
    <s v="COD"/>
    <x v="1"/>
    <x v="3"/>
    <n v="3"/>
    <n v="0"/>
    <n v="1"/>
    <s v="Repeat"/>
    <x v="0"/>
    <n v="35"/>
    <n v="0"/>
  </r>
  <r>
    <n v="3766"/>
    <x v="120"/>
    <n v="1173"/>
    <x v="0"/>
    <x v="4"/>
    <x v="2"/>
    <n v="2"/>
    <n v="0"/>
    <s v="Wallet"/>
    <x v="2"/>
    <x v="2"/>
    <n v="6"/>
    <n v="1"/>
    <n v="1"/>
    <s v="Repeat"/>
    <x v="6"/>
    <n v="1"/>
    <n v="0"/>
  </r>
  <r>
    <n v="3767"/>
    <x v="122"/>
    <n v="1931"/>
    <x v="1"/>
    <x v="1"/>
    <x v="0"/>
    <n v="2"/>
    <n v="8288"/>
    <s v="UPI"/>
    <x v="0"/>
    <x v="3"/>
    <n v="10"/>
    <n v="1"/>
    <n v="1"/>
    <s v="Repeat"/>
    <x v="3"/>
    <n v="53"/>
    <n v="1"/>
  </r>
  <r>
    <n v="3768"/>
    <x v="64"/>
    <n v="1575"/>
    <x v="4"/>
    <x v="0"/>
    <x v="2"/>
    <n v="5"/>
    <n v="0"/>
    <s v="UPI"/>
    <x v="2"/>
    <x v="2"/>
    <n v="1"/>
    <n v="0"/>
    <n v="0"/>
    <s v="New"/>
    <x v="2"/>
    <n v="43"/>
    <n v="0"/>
  </r>
  <r>
    <n v="3769"/>
    <x v="28"/>
    <n v="1982"/>
    <x v="4"/>
    <x v="3"/>
    <x v="3"/>
    <n v="4"/>
    <n v="13308"/>
    <s v="COD"/>
    <x v="0"/>
    <x v="0"/>
    <n v="4"/>
    <n v="0"/>
    <n v="0"/>
    <s v="Repeat"/>
    <x v="0"/>
    <n v="33"/>
    <n v="1"/>
  </r>
  <r>
    <n v="3770"/>
    <x v="62"/>
    <n v="1650"/>
    <x v="2"/>
    <x v="2"/>
    <x v="3"/>
    <n v="4"/>
    <n v="0"/>
    <s v="Card"/>
    <x v="1"/>
    <x v="2"/>
    <n v="5"/>
    <n v="0"/>
    <n v="1"/>
    <s v="New"/>
    <x v="2"/>
    <n v="43"/>
    <n v="0"/>
  </r>
  <r>
    <n v="3771"/>
    <x v="171"/>
    <n v="1445"/>
    <x v="0"/>
    <x v="1"/>
    <x v="2"/>
    <n v="3"/>
    <n v="0"/>
    <s v="Wallet"/>
    <x v="1"/>
    <x v="0"/>
    <n v="3"/>
    <n v="0"/>
    <n v="1"/>
    <s v="New"/>
    <x v="1"/>
    <n v="36"/>
    <n v="0"/>
  </r>
  <r>
    <n v="3772"/>
    <x v="98"/>
    <n v="1561"/>
    <x v="3"/>
    <x v="4"/>
    <x v="2"/>
    <n v="2"/>
    <n v="0"/>
    <s v="COD"/>
    <x v="2"/>
    <x v="2"/>
    <n v="1"/>
    <n v="1"/>
    <n v="0"/>
    <s v="New"/>
    <x v="3"/>
    <n v="51"/>
    <n v="0"/>
  </r>
  <r>
    <n v="3773"/>
    <x v="14"/>
    <n v="1043"/>
    <x v="0"/>
    <x v="2"/>
    <x v="3"/>
    <n v="1"/>
    <n v="2682"/>
    <s v="Card"/>
    <x v="0"/>
    <x v="3"/>
    <n v="1"/>
    <n v="0"/>
    <n v="1"/>
    <s v="New"/>
    <x v="0"/>
    <n v="34"/>
    <n v="1"/>
  </r>
  <r>
    <n v="3774"/>
    <x v="12"/>
    <n v="1390"/>
    <x v="2"/>
    <x v="1"/>
    <x v="3"/>
    <n v="3"/>
    <n v="0"/>
    <s v="COD"/>
    <x v="1"/>
    <x v="3"/>
    <n v="1"/>
    <n v="0"/>
    <n v="0"/>
    <s v="New"/>
    <x v="1"/>
    <n v="38"/>
    <n v="0"/>
  </r>
  <r>
    <n v="3775"/>
    <x v="93"/>
    <n v="1065"/>
    <x v="4"/>
    <x v="4"/>
    <x v="1"/>
    <n v="3"/>
    <n v="0"/>
    <s v="Wallet"/>
    <x v="2"/>
    <x v="0"/>
    <n v="2"/>
    <n v="1"/>
    <n v="1"/>
    <s v="Repeat"/>
    <x v="3"/>
    <n v="53"/>
    <n v="0"/>
  </r>
  <r>
    <n v="3776"/>
    <x v="47"/>
    <n v="1010"/>
    <x v="3"/>
    <x v="1"/>
    <x v="3"/>
    <n v="2"/>
    <n v="0"/>
    <s v="Card"/>
    <x v="2"/>
    <x v="3"/>
    <n v="7"/>
    <n v="0"/>
    <n v="1"/>
    <s v="New"/>
    <x v="6"/>
    <n v="2"/>
    <n v="0"/>
  </r>
  <r>
    <n v="3777"/>
    <x v="145"/>
    <n v="1679"/>
    <x v="1"/>
    <x v="0"/>
    <x v="2"/>
    <n v="4"/>
    <n v="0"/>
    <s v="COD"/>
    <x v="1"/>
    <x v="2"/>
    <n v="2"/>
    <n v="0"/>
    <n v="0"/>
    <s v="Repeat"/>
    <x v="4"/>
    <n v="48"/>
    <n v="0"/>
  </r>
  <r>
    <n v="3778"/>
    <x v="61"/>
    <n v="1621"/>
    <x v="3"/>
    <x v="0"/>
    <x v="1"/>
    <n v="2"/>
    <n v="0"/>
    <s v="UPI"/>
    <x v="2"/>
    <x v="0"/>
    <n v="7"/>
    <n v="1"/>
    <n v="0"/>
    <s v="Repeat"/>
    <x v="4"/>
    <n v="46"/>
    <n v="0"/>
  </r>
  <r>
    <n v="3779"/>
    <x v="80"/>
    <n v="1691"/>
    <x v="4"/>
    <x v="1"/>
    <x v="2"/>
    <n v="2"/>
    <n v="0"/>
    <s v="Card"/>
    <x v="1"/>
    <x v="2"/>
    <n v="10"/>
    <n v="1"/>
    <n v="0"/>
    <s v="Repeat"/>
    <x v="6"/>
    <n v="2"/>
    <n v="0"/>
  </r>
  <r>
    <n v="3780"/>
    <x v="169"/>
    <n v="1151"/>
    <x v="0"/>
    <x v="4"/>
    <x v="2"/>
    <n v="1"/>
    <n v="0"/>
    <s v="Wallet"/>
    <x v="1"/>
    <x v="0"/>
    <n v="9"/>
    <n v="1"/>
    <n v="1"/>
    <s v="New"/>
    <x v="2"/>
    <n v="43"/>
    <n v="0"/>
  </r>
  <r>
    <n v="3781"/>
    <x v="126"/>
    <n v="1489"/>
    <x v="4"/>
    <x v="3"/>
    <x v="1"/>
    <n v="4"/>
    <n v="0"/>
    <s v="UPI"/>
    <x v="2"/>
    <x v="2"/>
    <n v="9"/>
    <n v="0"/>
    <n v="0"/>
    <s v="Repeat"/>
    <x v="4"/>
    <n v="46"/>
    <n v="0"/>
  </r>
  <r>
    <n v="3782"/>
    <x v="72"/>
    <n v="1125"/>
    <x v="1"/>
    <x v="3"/>
    <x v="1"/>
    <n v="3"/>
    <n v="0"/>
    <s v="COD"/>
    <x v="1"/>
    <x v="0"/>
    <n v="6"/>
    <n v="0"/>
    <n v="0"/>
    <s v="Repeat"/>
    <x v="2"/>
    <n v="41"/>
    <n v="0"/>
  </r>
  <r>
    <n v="3783"/>
    <x v="21"/>
    <n v="1094"/>
    <x v="1"/>
    <x v="1"/>
    <x v="0"/>
    <n v="5"/>
    <n v="0"/>
    <s v="UPI"/>
    <x v="1"/>
    <x v="0"/>
    <n v="7"/>
    <n v="1"/>
    <n v="1"/>
    <s v="Repeat"/>
    <x v="2"/>
    <n v="43"/>
    <n v="0"/>
  </r>
  <r>
    <n v="3784"/>
    <x v="69"/>
    <n v="1527"/>
    <x v="4"/>
    <x v="4"/>
    <x v="2"/>
    <n v="3"/>
    <n v="0"/>
    <s v="Card"/>
    <x v="1"/>
    <x v="2"/>
    <n v="4"/>
    <n v="0"/>
    <n v="0"/>
    <s v="New"/>
    <x v="2"/>
    <n v="40"/>
    <n v="0"/>
  </r>
  <r>
    <n v="3785"/>
    <x v="117"/>
    <n v="1707"/>
    <x v="3"/>
    <x v="2"/>
    <x v="0"/>
    <n v="5"/>
    <n v="24255"/>
    <s v="COD"/>
    <x v="0"/>
    <x v="0"/>
    <n v="1"/>
    <n v="1"/>
    <n v="1"/>
    <s v="Repeat"/>
    <x v="5"/>
    <n v="31"/>
    <n v="1"/>
  </r>
  <r>
    <n v="3786"/>
    <x v="4"/>
    <n v="1966"/>
    <x v="2"/>
    <x v="2"/>
    <x v="2"/>
    <n v="5"/>
    <n v="0"/>
    <s v="UPI"/>
    <x v="2"/>
    <x v="2"/>
    <n v="8"/>
    <n v="0"/>
    <n v="0"/>
    <s v="Repeat"/>
    <x v="3"/>
    <n v="50"/>
    <n v="0"/>
  </r>
  <r>
    <n v="3787"/>
    <x v="130"/>
    <n v="1465"/>
    <x v="4"/>
    <x v="2"/>
    <x v="2"/>
    <n v="3"/>
    <n v="0"/>
    <s v="Wallet"/>
    <x v="1"/>
    <x v="0"/>
    <n v="9"/>
    <n v="0"/>
    <n v="0"/>
    <s v="Repeat"/>
    <x v="3"/>
    <n v="51"/>
    <n v="0"/>
  </r>
  <r>
    <n v="3788"/>
    <x v="118"/>
    <n v="1945"/>
    <x v="1"/>
    <x v="4"/>
    <x v="3"/>
    <n v="1"/>
    <n v="0"/>
    <s v="Wallet"/>
    <x v="1"/>
    <x v="3"/>
    <n v="3"/>
    <n v="0"/>
    <n v="0"/>
    <s v="New"/>
    <x v="0"/>
    <n v="35"/>
    <n v="0"/>
  </r>
  <r>
    <n v="3789"/>
    <x v="99"/>
    <n v="1988"/>
    <x v="0"/>
    <x v="4"/>
    <x v="3"/>
    <n v="3"/>
    <n v="4863"/>
    <s v="COD"/>
    <x v="0"/>
    <x v="1"/>
    <n v="8"/>
    <n v="0"/>
    <n v="1"/>
    <s v="New"/>
    <x v="4"/>
    <n v="48"/>
    <n v="1"/>
  </r>
  <r>
    <n v="3790"/>
    <x v="66"/>
    <n v="1587"/>
    <x v="0"/>
    <x v="4"/>
    <x v="3"/>
    <n v="2"/>
    <n v="0"/>
    <s v="Card"/>
    <x v="1"/>
    <x v="0"/>
    <n v="5"/>
    <n v="1"/>
    <n v="0"/>
    <s v="Repeat"/>
    <x v="1"/>
    <n v="39"/>
    <n v="0"/>
  </r>
  <r>
    <n v="3791"/>
    <x v="75"/>
    <n v="1015"/>
    <x v="2"/>
    <x v="3"/>
    <x v="3"/>
    <n v="5"/>
    <n v="0"/>
    <s v="Card"/>
    <x v="1"/>
    <x v="1"/>
    <n v="9"/>
    <n v="1"/>
    <n v="1"/>
    <s v="New"/>
    <x v="3"/>
    <n v="52"/>
    <n v="0"/>
  </r>
  <r>
    <n v="3792"/>
    <x v="75"/>
    <n v="1651"/>
    <x v="2"/>
    <x v="2"/>
    <x v="1"/>
    <n v="1"/>
    <n v="0"/>
    <s v="Card"/>
    <x v="2"/>
    <x v="0"/>
    <n v="7"/>
    <n v="0"/>
    <n v="1"/>
    <s v="New"/>
    <x v="3"/>
    <n v="52"/>
    <n v="0"/>
  </r>
  <r>
    <n v="3793"/>
    <x v="29"/>
    <n v="1479"/>
    <x v="3"/>
    <x v="0"/>
    <x v="0"/>
    <n v="4"/>
    <n v="0"/>
    <s v="UPI"/>
    <x v="2"/>
    <x v="1"/>
    <n v="2"/>
    <n v="1"/>
    <n v="1"/>
    <s v="Repeat"/>
    <x v="1"/>
    <n v="39"/>
    <n v="0"/>
  </r>
  <r>
    <n v="3794"/>
    <x v="116"/>
    <n v="1204"/>
    <x v="3"/>
    <x v="2"/>
    <x v="1"/>
    <n v="4"/>
    <n v="0"/>
    <s v="UPI"/>
    <x v="2"/>
    <x v="2"/>
    <n v="8"/>
    <n v="0"/>
    <n v="1"/>
    <s v="Repeat"/>
    <x v="3"/>
    <n v="50"/>
    <n v="0"/>
  </r>
  <r>
    <n v="3795"/>
    <x v="6"/>
    <n v="1835"/>
    <x v="3"/>
    <x v="0"/>
    <x v="0"/>
    <n v="1"/>
    <n v="0"/>
    <s v="COD"/>
    <x v="1"/>
    <x v="1"/>
    <n v="3"/>
    <n v="1"/>
    <n v="1"/>
    <s v="New"/>
    <x v="4"/>
    <n v="47"/>
    <n v="0"/>
  </r>
  <r>
    <n v="3796"/>
    <x v="157"/>
    <n v="1879"/>
    <x v="3"/>
    <x v="0"/>
    <x v="2"/>
    <n v="5"/>
    <n v="0"/>
    <s v="Wallet"/>
    <x v="2"/>
    <x v="0"/>
    <n v="5"/>
    <n v="0"/>
    <n v="1"/>
    <s v="New"/>
    <x v="2"/>
    <n v="41"/>
    <n v="0"/>
  </r>
  <r>
    <n v="3797"/>
    <x v="164"/>
    <n v="1698"/>
    <x v="2"/>
    <x v="1"/>
    <x v="3"/>
    <n v="1"/>
    <n v="2266"/>
    <s v="Wallet"/>
    <x v="0"/>
    <x v="3"/>
    <n v="1"/>
    <n v="1"/>
    <n v="0"/>
    <s v="New"/>
    <x v="0"/>
    <n v="34"/>
    <n v="1"/>
  </r>
  <r>
    <n v="3798"/>
    <x v="32"/>
    <n v="1646"/>
    <x v="3"/>
    <x v="3"/>
    <x v="3"/>
    <n v="1"/>
    <n v="0"/>
    <s v="Wallet"/>
    <x v="1"/>
    <x v="2"/>
    <n v="3"/>
    <n v="1"/>
    <n v="1"/>
    <s v="New"/>
    <x v="1"/>
    <n v="38"/>
    <n v="0"/>
  </r>
  <r>
    <n v="3799"/>
    <x v="72"/>
    <n v="1084"/>
    <x v="2"/>
    <x v="1"/>
    <x v="0"/>
    <n v="4"/>
    <n v="0"/>
    <s v="UPI"/>
    <x v="2"/>
    <x v="1"/>
    <n v="4"/>
    <n v="1"/>
    <n v="0"/>
    <s v="New"/>
    <x v="2"/>
    <n v="41"/>
    <n v="0"/>
  </r>
  <r>
    <n v="3800"/>
    <x v="148"/>
    <n v="1185"/>
    <x v="2"/>
    <x v="1"/>
    <x v="0"/>
    <n v="1"/>
    <n v="0"/>
    <s v="Wallet"/>
    <x v="1"/>
    <x v="0"/>
    <n v="1"/>
    <n v="0"/>
    <n v="1"/>
    <s v="New"/>
    <x v="5"/>
    <n v="30"/>
    <n v="0"/>
  </r>
  <r>
    <n v="3801"/>
    <x v="72"/>
    <n v="1614"/>
    <x v="1"/>
    <x v="0"/>
    <x v="1"/>
    <n v="3"/>
    <n v="9297"/>
    <s v="Wallet"/>
    <x v="0"/>
    <x v="3"/>
    <n v="9"/>
    <n v="1"/>
    <n v="0"/>
    <s v="Repeat"/>
    <x v="2"/>
    <n v="41"/>
    <n v="1"/>
  </r>
  <r>
    <n v="3802"/>
    <x v="36"/>
    <n v="1222"/>
    <x v="4"/>
    <x v="1"/>
    <x v="3"/>
    <n v="4"/>
    <n v="0"/>
    <s v="UPI"/>
    <x v="1"/>
    <x v="1"/>
    <n v="3"/>
    <n v="1"/>
    <n v="0"/>
    <s v="New"/>
    <x v="2"/>
    <n v="44"/>
    <n v="0"/>
  </r>
  <r>
    <n v="3803"/>
    <x v="148"/>
    <n v="1277"/>
    <x v="3"/>
    <x v="0"/>
    <x v="3"/>
    <n v="3"/>
    <n v="6162"/>
    <s v="UPI"/>
    <x v="0"/>
    <x v="0"/>
    <n v="5"/>
    <n v="1"/>
    <n v="0"/>
    <s v="New"/>
    <x v="5"/>
    <n v="30"/>
    <n v="1"/>
  </r>
  <r>
    <n v="3804"/>
    <x v="76"/>
    <n v="1808"/>
    <x v="4"/>
    <x v="1"/>
    <x v="2"/>
    <n v="1"/>
    <n v="0"/>
    <s v="UPI"/>
    <x v="2"/>
    <x v="0"/>
    <n v="8"/>
    <n v="0"/>
    <n v="0"/>
    <s v="New"/>
    <x v="3"/>
    <n v="50"/>
    <n v="0"/>
  </r>
  <r>
    <n v="3805"/>
    <x v="134"/>
    <n v="1717"/>
    <x v="3"/>
    <x v="3"/>
    <x v="0"/>
    <n v="3"/>
    <n v="0"/>
    <s v="COD"/>
    <x v="2"/>
    <x v="1"/>
    <n v="9"/>
    <n v="0"/>
    <n v="0"/>
    <s v="Repeat"/>
    <x v="3"/>
    <n v="51"/>
    <n v="0"/>
  </r>
  <r>
    <n v="3806"/>
    <x v="150"/>
    <n v="1804"/>
    <x v="0"/>
    <x v="4"/>
    <x v="0"/>
    <n v="1"/>
    <n v="0"/>
    <s v="COD"/>
    <x v="2"/>
    <x v="2"/>
    <n v="2"/>
    <n v="1"/>
    <n v="1"/>
    <s v="New"/>
    <x v="0"/>
    <n v="35"/>
    <n v="0"/>
  </r>
  <r>
    <n v="3807"/>
    <x v="115"/>
    <n v="1526"/>
    <x v="0"/>
    <x v="0"/>
    <x v="2"/>
    <n v="5"/>
    <n v="9055"/>
    <s v="Wallet"/>
    <x v="0"/>
    <x v="0"/>
    <n v="1"/>
    <n v="0"/>
    <n v="0"/>
    <s v="Repeat"/>
    <x v="4"/>
    <n v="48"/>
    <n v="1"/>
  </r>
  <r>
    <n v="3808"/>
    <x v="148"/>
    <n v="1337"/>
    <x v="1"/>
    <x v="1"/>
    <x v="0"/>
    <n v="5"/>
    <n v="0"/>
    <s v="COD"/>
    <x v="2"/>
    <x v="1"/>
    <n v="8"/>
    <n v="1"/>
    <n v="0"/>
    <s v="New"/>
    <x v="5"/>
    <n v="30"/>
    <n v="0"/>
  </r>
  <r>
    <n v="3809"/>
    <x v="84"/>
    <n v="1085"/>
    <x v="0"/>
    <x v="2"/>
    <x v="1"/>
    <n v="3"/>
    <n v="14712"/>
    <s v="COD"/>
    <x v="0"/>
    <x v="3"/>
    <n v="3"/>
    <n v="0"/>
    <n v="0"/>
    <s v="Repeat"/>
    <x v="2"/>
    <n v="41"/>
    <n v="1"/>
  </r>
  <r>
    <n v="3810"/>
    <x v="118"/>
    <n v="1730"/>
    <x v="4"/>
    <x v="3"/>
    <x v="3"/>
    <n v="1"/>
    <n v="0"/>
    <s v="Card"/>
    <x v="2"/>
    <x v="1"/>
    <n v="2"/>
    <n v="1"/>
    <n v="1"/>
    <s v="Repeat"/>
    <x v="0"/>
    <n v="35"/>
    <n v="0"/>
  </r>
  <r>
    <n v="3811"/>
    <x v="8"/>
    <n v="1172"/>
    <x v="3"/>
    <x v="1"/>
    <x v="1"/>
    <n v="4"/>
    <n v="0"/>
    <s v="Card"/>
    <x v="2"/>
    <x v="1"/>
    <n v="2"/>
    <n v="1"/>
    <n v="0"/>
    <s v="Repeat"/>
    <x v="0"/>
    <n v="32"/>
    <n v="0"/>
  </r>
  <r>
    <n v="3812"/>
    <x v="121"/>
    <n v="1141"/>
    <x v="1"/>
    <x v="1"/>
    <x v="0"/>
    <n v="5"/>
    <n v="0"/>
    <s v="Wallet"/>
    <x v="2"/>
    <x v="2"/>
    <n v="5"/>
    <n v="0"/>
    <n v="0"/>
    <s v="Repeat"/>
    <x v="1"/>
    <n v="37"/>
    <n v="0"/>
  </r>
  <r>
    <n v="3813"/>
    <x v="74"/>
    <n v="1801"/>
    <x v="4"/>
    <x v="3"/>
    <x v="3"/>
    <n v="1"/>
    <n v="0"/>
    <s v="UPI"/>
    <x v="2"/>
    <x v="1"/>
    <n v="7"/>
    <n v="1"/>
    <n v="0"/>
    <s v="Repeat"/>
    <x v="5"/>
    <n v="29"/>
    <n v="0"/>
  </r>
  <r>
    <n v="3814"/>
    <x v="126"/>
    <n v="1778"/>
    <x v="3"/>
    <x v="1"/>
    <x v="2"/>
    <n v="4"/>
    <n v="0"/>
    <s v="Wallet"/>
    <x v="1"/>
    <x v="2"/>
    <n v="6"/>
    <n v="1"/>
    <n v="0"/>
    <s v="Repeat"/>
    <x v="4"/>
    <n v="46"/>
    <n v="0"/>
  </r>
  <r>
    <n v="3815"/>
    <x v="88"/>
    <n v="1462"/>
    <x v="0"/>
    <x v="4"/>
    <x v="3"/>
    <n v="4"/>
    <n v="2924"/>
    <s v="Wallet"/>
    <x v="0"/>
    <x v="2"/>
    <n v="1"/>
    <n v="0"/>
    <n v="1"/>
    <s v="New"/>
    <x v="1"/>
    <n v="37"/>
    <n v="1"/>
  </r>
  <r>
    <n v="3816"/>
    <x v="170"/>
    <n v="1242"/>
    <x v="3"/>
    <x v="0"/>
    <x v="1"/>
    <n v="5"/>
    <n v="0"/>
    <s v="Wallet"/>
    <x v="2"/>
    <x v="3"/>
    <n v="7"/>
    <n v="0"/>
    <n v="1"/>
    <s v="New"/>
    <x v="4"/>
    <n v="48"/>
    <n v="0"/>
  </r>
  <r>
    <n v="3817"/>
    <x v="64"/>
    <n v="1197"/>
    <x v="1"/>
    <x v="4"/>
    <x v="0"/>
    <n v="3"/>
    <n v="0"/>
    <s v="Wallet"/>
    <x v="2"/>
    <x v="3"/>
    <n v="4"/>
    <n v="1"/>
    <n v="0"/>
    <s v="New"/>
    <x v="2"/>
    <n v="43"/>
    <n v="0"/>
  </r>
  <r>
    <n v="3818"/>
    <x v="34"/>
    <n v="1681"/>
    <x v="4"/>
    <x v="0"/>
    <x v="1"/>
    <n v="2"/>
    <n v="0"/>
    <s v="Wallet"/>
    <x v="1"/>
    <x v="1"/>
    <n v="10"/>
    <n v="1"/>
    <n v="0"/>
    <s v="Repeat"/>
    <x v="3"/>
    <n v="51"/>
    <n v="0"/>
  </r>
  <r>
    <n v="3819"/>
    <x v="7"/>
    <n v="1117"/>
    <x v="2"/>
    <x v="1"/>
    <x v="1"/>
    <n v="1"/>
    <n v="758"/>
    <s v="Wallet"/>
    <x v="0"/>
    <x v="1"/>
    <n v="2"/>
    <n v="1"/>
    <n v="1"/>
    <s v="Repeat"/>
    <x v="3"/>
    <n v="49"/>
    <n v="1"/>
  </r>
  <r>
    <n v="3820"/>
    <x v="139"/>
    <n v="1381"/>
    <x v="1"/>
    <x v="2"/>
    <x v="3"/>
    <n v="5"/>
    <n v="0"/>
    <s v="Card"/>
    <x v="2"/>
    <x v="0"/>
    <n v="1"/>
    <n v="1"/>
    <n v="1"/>
    <s v="Repeat"/>
    <x v="4"/>
    <n v="45"/>
    <n v="0"/>
  </r>
  <r>
    <n v="3821"/>
    <x v="66"/>
    <n v="1311"/>
    <x v="2"/>
    <x v="2"/>
    <x v="0"/>
    <n v="3"/>
    <n v="0"/>
    <s v="UPI"/>
    <x v="2"/>
    <x v="1"/>
    <n v="1"/>
    <n v="0"/>
    <n v="1"/>
    <s v="Repeat"/>
    <x v="1"/>
    <n v="39"/>
    <n v="0"/>
  </r>
  <r>
    <n v="3822"/>
    <x v="180"/>
    <n v="1275"/>
    <x v="0"/>
    <x v="0"/>
    <x v="2"/>
    <n v="2"/>
    <n v="0"/>
    <s v="COD"/>
    <x v="1"/>
    <x v="0"/>
    <n v="1"/>
    <n v="0"/>
    <n v="0"/>
    <s v="New"/>
    <x v="4"/>
    <n v="46"/>
    <n v="0"/>
  </r>
  <r>
    <n v="3823"/>
    <x v="129"/>
    <n v="1113"/>
    <x v="3"/>
    <x v="1"/>
    <x v="2"/>
    <n v="3"/>
    <n v="13617"/>
    <s v="Card"/>
    <x v="0"/>
    <x v="1"/>
    <n v="3"/>
    <n v="1"/>
    <n v="0"/>
    <s v="Repeat"/>
    <x v="4"/>
    <n v="46"/>
    <n v="1"/>
  </r>
  <r>
    <n v="3824"/>
    <x v="6"/>
    <n v="1782"/>
    <x v="1"/>
    <x v="2"/>
    <x v="3"/>
    <n v="1"/>
    <n v="0"/>
    <s v="Wallet"/>
    <x v="2"/>
    <x v="3"/>
    <n v="7"/>
    <n v="0"/>
    <n v="0"/>
    <s v="New"/>
    <x v="4"/>
    <n v="47"/>
    <n v="0"/>
  </r>
  <r>
    <n v="3825"/>
    <x v="97"/>
    <n v="1886"/>
    <x v="3"/>
    <x v="4"/>
    <x v="1"/>
    <n v="5"/>
    <n v="1725"/>
    <s v="Card"/>
    <x v="0"/>
    <x v="3"/>
    <n v="5"/>
    <n v="0"/>
    <n v="0"/>
    <s v="Repeat"/>
    <x v="1"/>
    <n v="40"/>
    <n v="1"/>
  </r>
  <r>
    <n v="3826"/>
    <x v="158"/>
    <n v="1892"/>
    <x v="2"/>
    <x v="1"/>
    <x v="1"/>
    <n v="2"/>
    <n v="3978"/>
    <s v="UPI"/>
    <x v="0"/>
    <x v="0"/>
    <n v="3"/>
    <n v="1"/>
    <n v="0"/>
    <s v="Repeat"/>
    <x v="1"/>
    <n v="38"/>
    <n v="1"/>
  </r>
  <r>
    <n v="3827"/>
    <x v="18"/>
    <n v="1884"/>
    <x v="1"/>
    <x v="2"/>
    <x v="1"/>
    <n v="4"/>
    <n v="0"/>
    <s v="Card"/>
    <x v="1"/>
    <x v="2"/>
    <n v="3"/>
    <n v="1"/>
    <n v="1"/>
    <s v="Repeat"/>
    <x v="1"/>
    <n v="36"/>
    <n v="0"/>
  </r>
  <r>
    <n v="3828"/>
    <x v="92"/>
    <n v="1910"/>
    <x v="1"/>
    <x v="3"/>
    <x v="1"/>
    <n v="4"/>
    <n v="0"/>
    <s v="COD"/>
    <x v="1"/>
    <x v="3"/>
    <n v="4"/>
    <n v="0"/>
    <n v="0"/>
    <s v="New"/>
    <x v="3"/>
    <n v="53"/>
    <n v="0"/>
  </r>
  <r>
    <n v="3829"/>
    <x v="179"/>
    <n v="1812"/>
    <x v="0"/>
    <x v="2"/>
    <x v="0"/>
    <n v="5"/>
    <n v="0"/>
    <s v="Wallet"/>
    <x v="1"/>
    <x v="2"/>
    <n v="6"/>
    <n v="0"/>
    <n v="0"/>
    <s v="Repeat"/>
    <x v="5"/>
    <n v="29"/>
    <n v="0"/>
  </r>
  <r>
    <n v="3830"/>
    <x v="129"/>
    <n v="1386"/>
    <x v="1"/>
    <x v="3"/>
    <x v="2"/>
    <n v="3"/>
    <n v="0"/>
    <s v="UPI"/>
    <x v="1"/>
    <x v="0"/>
    <n v="7"/>
    <n v="1"/>
    <n v="1"/>
    <s v="New"/>
    <x v="4"/>
    <n v="46"/>
    <n v="0"/>
  </r>
  <r>
    <n v="3831"/>
    <x v="124"/>
    <n v="1133"/>
    <x v="2"/>
    <x v="1"/>
    <x v="3"/>
    <n v="3"/>
    <n v="0"/>
    <s v="UPI"/>
    <x v="1"/>
    <x v="3"/>
    <n v="2"/>
    <n v="1"/>
    <n v="0"/>
    <s v="New"/>
    <x v="1"/>
    <n v="37"/>
    <n v="0"/>
  </r>
  <r>
    <n v="3832"/>
    <x v="74"/>
    <n v="1076"/>
    <x v="3"/>
    <x v="4"/>
    <x v="0"/>
    <n v="5"/>
    <n v="17555"/>
    <s v="COD"/>
    <x v="0"/>
    <x v="1"/>
    <n v="10"/>
    <n v="1"/>
    <n v="1"/>
    <s v="New"/>
    <x v="5"/>
    <n v="29"/>
    <n v="1"/>
  </r>
  <r>
    <n v="3833"/>
    <x v="64"/>
    <n v="1145"/>
    <x v="3"/>
    <x v="0"/>
    <x v="3"/>
    <n v="5"/>
    <n v="0"/>
    <s v="Wallet"/>
    <x v="2"/>
    <x v="3"/>
    <n v="6"/>
    <n v="1"/>
    <n v="0"/>
    <s v="New"/>
    <x v="2"/>
    <n v="43"/>
    <n v="0"/>
  </r>
  <r>
    <n v="3834"/>
    <x v="153"/>
    <n v="1298"/>
    <x v="2"/>
    <x v="1"/>
    <x v="0"/>
    <n v="3"/>
    <n v="0"/>
    <s v="COD"/>
    <x v="2"/>
    <x v="0"/>
    <n v="3"/>
    <n v="0"/>
    <n v="1"/>
    <s v="Repeat"/>
    <x v="0"/>
    <n v="31"/>
    <n v="0"/>
  </r>
  <r>
    <n v="3835"/>
    <x v="49"/>
    <n v="1278"/>
    <x v="4"/>
    <x v="2"/>
    <x v="1"/>
    <n v="4"/>
    <n v="0"/>
    <s v="UPI"/>
    <x v="1"/>
    <x v="1"/>
    <n v="3"/>
    <n v="1"/>
    <n v="1"/>
    <s v="New"/>
    <x v="0"/>
    <n v="36"/>
    <n v="0"/>
  </r>
  <r>
    <n v="3836"/>
    <x v="154"/>
    <n v="1906"/>
    <x v="3"/>
    <x v="4"/>
    <x v="1"/>
    <n v="3"/>
    <n v="0"/>
    <s v="UPI"/>
    <x v="2"/>
    <x v="1"/>
    <n v="9"/>
    <n v="1"/>
    <n v="1"/>
    <s v="New"/>
    <x v="2"/>
    <n v="42"/>
    <n v="0"/>
  </r>
  <r>
    <n v="3837"/>
    <x v="13"/>
    <n v="1984"/>
    <x v="0"/>
    <x v="0"/>
    <x v="3"/>
    <n v="2"/>
    <n v="0"/>
    <s v="COD"/>
    <x v="2"/>
    <x v="1"/>
    <n v="9"/>
    <n v="0"/>
    <n v="0"/>
    <s v="New"/>
    <x v="2"/>
    <n v="41"/>
    <n v="0"/>
  </r>
  <r>
    <n v="3838"/>
    <x v="55"/>
    <n v="1375"/>
    <x v="0"/>
    <x v="2"/>
    <x v="1"/>
    <n v="5"/>
    <n v="2325"/>
    <s v="Wallet"/>
    <x v="0"/>
    <x v="2"/>
    <n v="10"/>
    <n v="0"/>
    <n v="1"/>
    <s v="New"/>
    <x v="1"/>
    <n v="37"/>
    <n v="1"/>
  </r>
  <r>
    <n v="3839"/>
    <x v="44"/>
    <n v="1066"/>
    <x v="2"/>
    <x v="4"/>
    <x v="3"/>
    <n v="3"/>
    <n v="12234"/>
    <s v="Card"/>
    <x v="0"/>
    <x v="2"/>
    <n v="1"/>
    <n v="0"/>
    <n v="0"/>
    <s v="New"/>
    <x v="4"/>
    <n v="47"/>
    <n v="1"/>
  </r>
  <r>
    <n v="3840"/>
    <x v="60"/>
    <n v="1154"/>
    <x v="0"/>
    <x v="2"/>
    <x v="1"/>
    <n v="1"/>
    <n v="3436"/>
    <s v="Card"/>
    <x v="0"/>
    <x v="2"/>
    <n v="8"/>
    <n v="0"/>
    <n v="0"/>
    <s v="Repeat"/>
    <x v="1"/>
    <n v="36"/>
    <n v="1"/>
  </r>
  <r>
    <n v="3841"/>
    <x v="145"/>
    <n v="1914"/>
    <x v="4"/>
    <x v="0"/>
    <x v="3"/>
    <n v="2"/>
    <n v="8956"/>
    <s v="Card"/>
    <x v="0"/>
    <x v="1"/>
    <n v="6"/>
    <n v="0"/>
    <n v="1"/>
    <s v="New"/>
    <x v="4"/>
    <n v="48"/>
    <n v="1"/>
  </r>
  <r>
    <n v="3842"/>
    <x v="174"/>
    <n v="1741"/>
    <x v="3"/>
    <x v="3"/>
    <x v="1"/>
    <n v="4"/>
    <n v="0"/>
    <s v="Wallet"/>
    <x v="2"/>
    <x v="3"/>
    <n v="7"/>
    <n v="0"/>
    <n v="0"/>
    <s v="Repeat"/>
    <x v="5"/>
    <n v="29"/>
    <n v="0"/>
  </r>
  <r>
    <n v="3843"/>
    <x v="57"/>
    <n v="1732"/>
    <x v="2"/>
    <x v="1"/>
    <x v="3"/>
    <n v="1"/>
    <n v="0"/>
    <s v="UPI"/>
    <x v="2"/>
    <x v="0"/>
    <n v="6"/>
    <n v="1"/>
    <n v="1"/>
    <s v="New"/>
    <x v="4"/>
    <n v="48"/>
    <n v="0"/>
  </r>
  <r>
    <n v="3844"/>
    <x v="172"/>
    <n v="1011"/>
    <x v="4"/>
    <x v="3"/>
    <x v="0"/>
    <n v="2"/>
    <n v="0"/>
    <s v="Wallet"/>
    <x v="2"/>
    <x v="1"/>
    <n v="2"/>
    <n v="1"/>
    <n v="1"/>
    <s v="New"/>
    <x v="2"/>
    <n v="44"/>
    <n v="0"/>
  </r>
  <r>
    <n v="3845"/>
    <x v="174"/>
    <n v="1980"/>
    <x v="0"/>
    <x v="1"/>
    <x v="3"/>
    <n v="4"/>
    <n v="0"/>
    <s v="Card"/>
    <x v="2"/>
    <x v="3"/>
    <n v="2"/>
    <n v="0"/>
    <n v="1"/>
    <s v="New"/>
    <x v="5"/>
    <n v="29"/>
    <n v="0"/>
  </r>
  <r>
    <n v="3846"/>
    <x v="2"/>
    <n v="1259"/>
    <x v="0"/>
    <x v="1"/>
    <x v="1"/>
    <n v="5"/>
    <n v="3345"/>
    <s v="COD"/>
    <x v="0"/>
    <x v="2"/>
    <n v="3"/>
    <n v="1"/>
    <n v="1"/>
    <s v="Repeat"/>
    <x v="2"/>
    <n v="41"/>
    <n v="1"/>
  </r>
  <r>
    <n v="3847"/>
    <x v="77"/>
    <n v="1170"/>
    <x v="1"/>
    <x v="1"/>
    <x v="0"/>
    <n v="1"/>
    <n v="1338"/>
    <s v="Wallet"/>
    <x v="0"/>
    <x v="1"/>
    <n v="9"/>
    <n v="0"/>
    <n v="0"/>
    <s v="Repeat"/>
    <x v="1"/>
    <n v="38"/>
    <n v="1"/>
  </r>
  <r>
    <n v="3848"/>
    <x v="53"/>
    <n v="1573"/>
    <x v="1"/>
    <x v="1"/>
    <x v="0"/>
    <n v="1"/>
    <n v="1643"/>
    <s v="Card"/>
    <x v="0"/>
    <x v="1"/>
    <n v="9"/>
    <n v="0"/>
    <n v="0"/>
    <s v="Repeat"/>
    <x v="2"/>
    <n v="42"/>
    <n v="1"/>
  </r>
  <r>
    <n v="3849"/>
    <x v="116"/>
    <n v="1514"/>
    <x v="3"/>
    <x v="2"/>
    <x v="0"/>
    <n v="4"/>
    <n v="0"/>
    <s v="COD"/>
    <x v="1"/>
    <x v="0"/>
    <n v="10"/>
    <n v="1"/>
    <n v="1"/>
    <s v="Repeat"/>
    <x v="3"/>
    <n v="50"/>
    <n v="0"/>
  </r>
  <r>
    <n v="3850"/>
    <x v="36"/>
    <n v="1715"/>
    <x v="4"/>
    <x v="2"/>
    <x v="1"/>
    <n v="5"/>
    <n v="7370"/>
    <s v="COD"/>
    <x v="0"/>
    <x v="0"/>
    <n v="3"/>
    <n v="0"/>
    <n v="0"/>
    <s v="Repeat"/>
    <x v="2"/>
    <n v="44"/>
    <n v="1"/>
  </r>
  <r>
    <n v="3851"/>
    <x v="89"/>
    <n v="1419"/>
    <x v="4"/>
    <x v="1"/>
    <x v="1"/>
    <n v="2"/>
    <n v="0"/>
    <s v="COD"/>
    <x v="2"/>
    <x v="1"/>
    <n v="5"/>
    <n v="0"/>
    <n v="1"/>
    <s v="New"/>
    <x v="0"/>
    <n v="35"/>
    <n v="0"/>
  </r>
  <r>
    <n v="3852"/>
    <x v="95"/>
    <n v="1457"/>
    <x v="1"/>
    <x v="3"/>
    <x v="2"/>
    <n v="1"/>
    <n v="2544"/>
    <s v="UPI"/>
    <x v="0"/>
    <x v="1"/>
    <n v="10"/>
    <n v="0"/>
    <n v="1"/>
    <s v="New"/>
    <x v="4"/>
    <n v="47"/>
    <n v="1"/>
  </r>
  <r>
    <n v="3853"/>
    <x v="30"/>
    <n v="1380"/>
    <x v="0"/>
    <x v="1"/>
    <x v="2"/>
    <n v="1"/>
    <n v="2303"/>
    <s v="Card"/>
    <x v="0"/>
    <x v="3"/>
    <n v="1"/>
    <n v="1"/>
    <n v="1"/>
    <s v="New"/>
    <x v="3"/>
    <n v="51"/>
    <n v="1"/>
  </r>
  <r>
    <n v="3854"/>
    <x v="159"/>
    <n v="1971"/>
    <x v="0"/>
    <x v="0"/>
    <x v="1"/>
    <n v="4"/>
    <n v="0"/>
    <s v="COD"/>
    <x v="1"/>
    <x v="2"/>
    <n v="10"/>
    <n v="1"/>
    <n v="0"/>
    <s v="New"/>
    <x v="3"/>
    <n v="49"/>
    <n v="0"/>
  </r>
  <r>
    <n v="3855"/>
    <x v="54"/>
    <n v="1702"/>
    <x v="0"/>
    <x v="2"/>
    <x v="0"/>
    <n v="3"/>
    <n v="5733"/>
    <s v="UPI"/>
    <x v="0"/>
    <x v="1"/>
    <n v="4"/>
    <n v="0"/>
    <n v="0"/>
    <s v="New"/>
    <x v="0"/>
    <n v="34"/>
    <n v="1"/>
  </r>
  <r>
    <n v="3856"/>
    <x v="140"/>
    <n v="1414"/>
    <x v="1"/>
    <x v="0"/>
    <x v="2"/>
    <n v="3"/>
    <n v="4065"/>
    <s v="Card"/>
    <x v="0"/>
    <x v="2"/>
    <n v="6"/>
    <n v="1"/>
    <n v="1"/>
    <s v="Repeat"/>
    <x v="4"/>
    <n v="48"/>
    <n v="1"/>
  </r>
  <r>
    <n v="3857"/>
    <x v="84"/>
    <n v="1635"/>
    <x v="1"/>
    <x v="4"/>
    <x v="2"/>
    <n v="1"/>
    <n v="0"/>
    <s v="Wallet"/>
    <x v="2"/>
    <x v="3"/>
    <n v="10"/>
    <n v="0"/>
    <n v="1"/>
    <s v="New"/>
    <x v="2"/>
    <n v="41"/>
    <n v="0"/>
  </r>
  <r>
    <n v="3858"/>
    <x v="152"/>
    <n v="1915"/>
    <x v="0"/>
    <x v="0"/>
    <x v="1"/>
    <n v="2"/>
    <n v="0"/>
    <s v="UPI"/>
    <x v="2"/>
    <x v="3"/>
    <n v="3"/>
    <n v="0"/>
    <n v="0"/>
    <s v="New"/>
    <x v="2"/>
    <n v="42"/>
    <n v="0"/>
  </r>
  <r>
    <n v="3859"/>
    <x v="112"/>
    <n v="1115"/>
    <x v="3"/>
    <x v="2"/>
    <x v="1"/>
    <n v="1"/>
    <n v="0"/>
    <s v="Card"/>
    <x v="2"/>
    <x v="1"/>
    <n v="2"/>
    <n v="1"/>
    <n v="0"/>
    <s v="New"/>
    <x v="5"/>
    <n v="30"/>
    <n v="0"/>
  </r>
  <r>
    <n v="3860"/>
    <x v="167"/>
    <n v="1537"/>
    <x v="2"/>
    <x v="3"/>
    <x v="2"/>
    <n v="2"/>
    <n v="7874"/>
    <s v="COD"/>
    <x v="0"/>
    <x v="2"/>
    <n v="4"/>
    <n v="0"/>
    <n v="0"/>
    <s v="New"/>
    <x v="0"/>
    <n v="35"/>
    <n v="1"/>
  </r>
  <r>
    <n v="3861"/>
    <x v="122"/>
    <n v="1382"/>
    <x v="0"/>
    <x v="3"/>
    <x v="2"/>
    <n v="2"/>
    <n v="9428"/>
    <s v="Wallet"/>
    <x v="0"/>
    <x v="3"/>
    <n v="6"/>
    <n v="1"/>
    <n v="0"/>
    <s v="New"/>
    <x v="3"/>
    <n v="53"/>
    <n v="1"/>
  </r>
  <r>
    <n v="3862"/>
    <x v="61"/>
    <n v="1480"/>
    <x v="2"/>
    <x v="0"/>
    <x v="1"/>
    <n v="1"/>
    <n v="1597"/>
    <s v="Wallet"/>
    <x v="0"/>
    <x v="0"/>
    <n v="5"/>
    <n v="1"/>
    <n v="0"/>
    <s v="Repeat"/>
    <x v="4"/>
    <n v="46"/>
    <n v="1"/>
  </r>
  <r>
    <n v="3863"/>
    <x v="112"/>
    <n v="1790"/>
    <x v="2"/>
    <x v="1"/>
    <x v="0"/>
    <n v="1"/>
    <n v="0"/>
    <s v="Card"/>
    <x v="1"/>
    <x v="3"/>
    <n v="4"/>
    <n v="0"/>
    <n v="0"/>
    <s v="Repeat"/>
    <x v="5"/>
    <n v="30"/>
    <n v="0"/>
  </r>
  <r>
    <n v="3864"/>
    <x v="131"/>
    <n v="1696"/>
    <x v="4"/>
    <x v="3"/>
    <x v="3"/>
    <n v="4"/>
    <n v="0"/>
    <s v="Wallet"/>
    <x v="1"/>
    <x v="1"/>
    <n v="1"/>
    <n v="0"/>
    <n v="1"/>
    <s v="Repeat"/>
    <x v="4"/>
    <n v="47"/>
    <n v="0"/>
  </r>
  <r>
    <n v="3865"/>
    <x v="103"/>
    <n v="1477"/>
    <x v="1"/>
    <x v="3"/>
    <x v="0"/>
    <n v="2"/>
    <n v="0"/>
    <s v="UPI"/>
    <x v="2"/>
    <x v="3"/>
    <n v="5"/>
    <n v="0"/>
    <n v="1"/>
    <s v="Repeat"/>
    <x v="1"/>
    <n v="38"/>
    <n v="0"/>
  </r>
  <r>
    <n v="3866"/>
    <x v="64"/>
    <n v="1175"/>
    <x v="0"/>
    <x v="1"/>
    <x v="1"/>
    <n v="2"/>
    <n v="7882"/>
    <s v="Wallet"/>
    <x v="0"/>
    <x v="1"/>
    <n v="6"/>
    <n v="0"/>
    <n v="1"/>
    <s v="New"/>
    <x v="2"/>
    <n v="43"/>
    <n v="1"/>
  </r>
  <r>
    <n v="3867"/>
    <x v="77"/>
    <n v="1666"/>
    <x v="3"/>
    <x v="2"/>
    <x v="1"/>
    <n v="4"/>
    <n v="15468"/>
    <s v="Wallet"/>
    <x v="0"/>
    <x v="0"/>
    <n v="4"/>
    <n v="1"/>
    <n v="1"/>
    <s v="Repeat"/>
    <x v="1"/>
    <n v="38"/>
    <n v="1"/>
  </r>
  <r>
    <n v="3868"/>
    <x v="165"/>
    <n v="1016"/>
    <x v="0"/>
    <x v="3"/>
    <x v="1"/>
    <n v="4"/>
    <n v="11652"/>
    <s v="UPI"/>
    <x v="0"/>
    <x v="0"/>
    <n v="6"/>
    <n v="1"/>
    <n v="0"/>
    <s v="New"/>
    <x v="2"/>
    <n v="41"/>
    <n v="1"/>
  </r>
  <r>
    <n v="3869"/>
    <x v="91"/>
    <n v="1495"/>
    <x v="4"/>
    <x v="3"/>
    <x v="1"/>
    <n v="2"/>
    <n v="5756"/>
    <s v="UPI"/>
    <x v="0"/>
    <x v="2"/>
    <n v="7"/>
    <n v="1"/>
    <n v="1"/>
    <s v="Repeat"/>
    <x v="3"/>
    <n v="52"/>
    <n v="1"/>
  </r>
  <r>
    <n v="3870"/>
    <x v="131"/>
    <n v="1864"/>
    <x v="4"/>
    <x v="4"/>
    <x v="2"/>
    <n v="5"/>
    <n v="0"/>
    <s v="Card"/>
    <x v="1"/>
    <x v="1"/>
    <n v="10"/>
    <n v="0"/>
    <n v="1"/>
    <s v="New"/>
    <x v="4"/>
    <n v="47"/>
    <n v="0"/>
  </r>
  <r>
    <n v="3871"/>
    <x v="135"/>
    <n v="1748"/>
    <x v="0"/>
    <x v="3"/>
    <x v="3"/>
    <n v="3"/>
    <n v="0"/>
    <s v="UPI"/>
    <x v="2"/>
    <x v="0"/>
    <n v="5"/>
    <n v="0"/>
    <n v="1"/>
    <s v="Repeat"/>
    <x v="2"/>
    <n v="43"/>
    <n v="0"/>
  </r>
  <r>
    <n v="3872"/>
    <x v="108"/>
    <n v="1510"/>
    <x v="3"/>
    <x v="4"/>
    <x v="3"/>
    <n v="1"/>
    <n v="0"/>
    <s v="COD"/>
    <x v="2"/>
    <x v="0"/>
    <n v="10"/>
    <n v="0"/>
    <n v="0"/>
    <s v="New"/>
    <x v="2"/>
    <n v="44"/>
    <n v="0"/>
  </r>
  <r>
    <n v="3873"/>
    <x v="147"/>
    <n v="1104"/>
    <x v="3"/>
    <x v="3"/>
    <x v="3"/>
    <n v="3"/>
    <n v="0"/>
    <s v="UPI"/>
    <x v="1"/>
    <x v="3"/>
    <n v="7"/>
    <n v="1"/>
    <n v="0"/>
    <s v="Repeat"/>
    <x v="4"/>
    <n v="47"/>
    <n v="0"/>
  </r>
  <r>
    <n v="3874"/>
    <x v="64"/>
    <n v="1848"/>
    <x v="1"/>
    <x v="2"/>
    <x v="2"/>
    <n v="3"/>
    <n v="0"/>
    <s v="UPI"/>
    <x v="2"/>
    <x v="3"/>
    <n v="2"/>
    <n v="1"/>
    <n v="1"/>
    <s v="New"/>
    <x v="2"/>
    <n v="43"/>
    <n v="0"/>
  </r>
  <r>
    <n v="3875"/>
    <x v="90"/>
    <n v="1741"/>
    <x v="1"/>
    <x v="2"/>
    <x v="3"/>
    <n v="4"/>
    <n v="0"/>
    <s v="Card"/>
    <x v="2"/>
    <x v="0"/>
    <n v="7"/>
    <n v="1"/>
    <n v="0"/>
    <s v="Repeat"/>
    <x v="0"/>
    <n v="31"/>
    <n v="0"/>
  </r>
  <r>
    <n v="3876"/>
    <x v="114"/>
    <n v="1686"/>
    <x v="1"/>
    <x v="3"/>
    <x v="1"/>
    <n v="4"/>
    <n v="0"/>
    <s v="Wallet"/>
    <x v="2"/>
    <x v="1"/>
    <n v="1"/>
    <n v="1"/>
    <n v="1"/>
    <s v="New"/>
    <x v="3"/>
    <n v="50"/>
    <n v="0"/>
  </r>
  <r>
    <n v="3877"/>
    <x v="7"/>
    <n v="1299"/>
    <x v="2"/>
    <x v="3"/>
    <x v="1"/>
    <n v="3"/>
    <n v="0"/>
    <s v="Card"/>
    <x v="1"/>
    <x v="3"/>
    <n v="4"/>
    <n v="0"/>
    <n v="1"/>
    <s v="New"/>
    <x v="3"/>
    <n v="49"/>
    <n v="0"/>
  </r>
  <r>
    <n v="3878"/>
    <x v="61"/>
    <n v="1875"/>
    <x v="1"/>
    <x v="0"/>
    <x v="0"/>
    <n v="4"/>
    <n v="14672"/>
    <s v="UPI"/>
    <x v="0"/>
    <x v="3"/>
    <n v="7"/>
    <n v="1"/>
    <n v="1"/>
    <s v="New"/>
    <x v="4"/>
    <n v="46"/>
    <n v="1"/>
  </r>
  <r>
    <n v="3879"/>
    <x v="165"/>
    <n v="1688"/>
    <x v="1"/>
    <x v="3"/>
    <x v="1"/>
    <n v="4"/>
    <n v="0"/>
    <s v="UPI"/>
    <x v="2"/>
    <x v="0"/>
    <n v="5"/>
    <n v="1"/>
    <n v="0"/>
    <s v="New"/>
    <x v="2"/>
    <n v="41"/>
    <n v="0"/>
  </r>
  <r>
    <n v="3880"/>
    <x v="161"/>
    <n v="1314"/>
    <x v="0"/>
    <x v="1"/>
    <x v="3"/>
    <n v="2"/>
    <n v="0"/>
    <s v="Wallet"/>
    <x v="1"/>
    <x v="0"/>
    <n v="6"/>
    <n v="1"/>
    <n v="0"/>
    <s v="New"/>
    <x v="2"/>
    <n v="41"/>
    <n v="0"/>
  </r>
  <r>
    <n v="3881"/>
    <x v="28"/>
    <n v="1969"/>
    <x v="1"/>
    <x v="4"/>
    <x v="3"/>
    <n v="4"/>
    <n v="0"/>
    <s v="Card"/>
    <x v="1"/>
    <x v="3"/>
    <n v="8"/>
    <n v="0"/>
    <n v="1"/>
    <s v="New"/>
    <x v="0"/>
    <n v="33"/>
    <n v="0"/>
  </r>
  <r>
    <n v="3882"/>
    <x v="72"/>
    <n v="1122"/>
    <x v="2"/>
    <x v="3"/>
    <x v="0"/>
    <n v="3"/>
    <n v="0"/>
    <s v="UPI"/>
    <x v="1"/>
    <x v="0"/>
    <n v="4"/>
    <n v="1"/>
    <n v="1"/>
    <s v="Repeat"/>
    <x v="2"/>
    <n v="41"/>
    <n v="0"/>
  </r>
  <r>
    <n v="3883"/>
    <x v="16"/>
    <n v="1757"/>
    <x v="1"/>
    <x v="1"/>
    <x v="2"/>
    <n v="5"/>
    <n v="7555"/>
    <s v="COD"/>
    <x v="0"/>
    <x v="3"/>
    <n v="2"/>
    <n v="0"/>
    <n v="1"/>
    <s v="New"/>
    <x v="0"/>
    <n v="32"/>
    <n v="1"/>
  </r>
  <r>
    <n v="3884"/>
    <x v="172"/>
    <n v="1841"/>
    <x v="4"/>
    <x v="4"/>
    <x v="0"/>
    <n v="1"/>
    <n v="0"/>
    <s v="Wallet"/>
    <x v="1"/>
    <x v="3"/>
    <n v="6"/>
    <n v="0"/>
    <n v="0"/>
    <s v="Repeat"/>
    <x v="2"/>
    <n v="44"/>
    <n v="0"/>
  </r>
  <r>
    <n v="3885"/>
    <x v="161"/>
    <n v="1363"/>
    <x v="4"/>
    <x v="3"/>
    <x v="0"/>
    <n v="5"/>
    <n v="0"/>
    <s v="Card"/>
    <x v="2"/>
    <x v="3"/>
    <n v="8"/>
    <n v="1"/>
    <n v="1"/>
    <s v="Repeat"/>
    <x v="2"/>
    <n v="41"/>
    <n v="0"/>
  </r>
  <r>
    <n v="3886"/>
    <x v="59"/>
    <n v="1815"/>
    <x v="1"/>
    <x v="3"/>
    <x v="2"/>
    <n v="4"/>
    <n v="0"/>
    <s v="UPI"/>
    <x v="2"/>
    <x v="2"/>
    <n v="2"/>
    <n v="0"/>
    <n v="1"/>
    <s v="Repeat"/>
    <x v="0"/>
    <n v="34"/>
    <n v="0"/>
  </r>
  <r>
    <n v="3887"/>
    <x v="14"/>
    <n v="1281"/>
    <x v="3"/>
    <x v="0"/>
    <x v="3"/>
    <n v="2"/>
    <n v="0"/>
    <s v="COD"/>
    <x v="2"/>
    <x v="2"/>
    <n v="10"/>
    <n v="1"/>
    <n v="1"/>
    <s v="New"/>
    <x v="0"/>
    <n v="34"/>
    <n v="0"/>
  </r>
  <r>
    <n v="3888"/>
    <x v="49"/>
    <n v="1921"/>
    <x v="2"/>
    <x v="3"/>
    <x v="0"/>
    <n v="2"/>
    <n v="0"/>
    <s v="UPI"/>
    <x v="2"/>
    <x v="3"/>
    <n v="1"/>
    <n v="0"/>
    <n v="0"/>
    <s v="Repeat"/>
    <x v="0"/>
    <n v="36"/>
    <n v="0"/>
  </r>
  <r>
    <n v="3889"/>
    <x v="173"/>
    <n v="1533"/>
    <x v="0"/>
    <x v="3"/>
    <x v="0"/>
    <n v="5"/>
    <n v="0"/>
    <s v="Card"/>
    <x v="1"/>
    <x v="1"/>
    <n v="3"/>
    <n v="0"/>
    <n v="0"/>
    <s v="New"/>
    <x v="5"/>
    <n v="30"/>
    <n v="0"/>
  </r>
  <r>
    <n v="3890"/>
    <x v="144"/>
    <n v="1616"/>
    <x v="4"/>
    <x v="2"/>
    <x v="2"/>
    <n v="5"/>
    <n v="0"/>
    <s v="COD"/>
    <x v="2"/>
    <x v="0"/>
    <n v="5"/>
    <n v="1"/>
    <n v="0"/>
    <s v="Repeat"/>
    <x v="3"/>
    <n v="52"/>
    <n v="0"/>
  </r>
  <r>
    <n v="3891"/>
    <x v="73"/>
    <n v="1641"/>
    <x v="2"/>
    <x v="4"/>
    <x v="3"/>
    <n v="5"/>
    <n v="0"/>
    <s v="COD"/>
    <x v="1"/>
    <x v="3"/>
    <n v="10"/>
    <n v="0"/>
    <n v="1"/>
    <s v="New"/>
    <x v="4"/>
    <n v="45"/>
    <n v="0"/>
  </r>
  <r>
    <n v="3892"/>
    <x v="36"/>
    <n v="1013"/>
    <x v="0"/>
    <x v="1"/>
    <x v="3"/>
    <n v="2"/>
    <n v="9728"/>
    <s v="UPI"/>
    <x v="0"/>
    <x v="1"/>
    <n v="1"/>
    <n v="1"/>
    <n v="1"/>
    <s v="New"/>
    <x v="2"/>
    <n v="44"/>
    <n v="1"/>
  </r>
  <r>
    <n v="3893"/>
    <x v="118"/>
    <n v="1531"/>
    <x v="0"/>
    <x v="4"/>
    <x v="0"/>
    <n v="2"/>
    <n v="5340"/>
    <s v="Wallet"/>
    <x v="0"/>
    <x v="0"/>
    <n v="6"/>
    <n v="1"/>
    <n v="0"/>
    <s v="New"/>
    <x v="0"/>
    <n v="35"/>
    <n v="1"/>
  </r>
  <r>
    <n v="3894"/>
    <x v="52"/>
    <n v="1992"/>
    <x v="1"/>
    <x v="0"/>
    <x v="0"/>
    <n v="4"/>
    <n v="7424"/>
    <s v="Wallet"/>
    <x v="0"/>
    <x v="2"/>
    <n v="9"/>
    <n v="0"/>
    <n v="0"/>
    <s v="New"/>
    <x v="4"/>
    <n v="44"/>
    <n v="1"/>
  </r>
  <r>
    <n v="3895"/>
    <x v="107"/>
    <n v="1402"/>
    <x v="4"/>
    <x v="1"/>
    <x v="1"/>
    <n v="1"/>
    <n v="0"/>
    <s v="Wallet"/>
    <x v="2"/>
    <x v="2"/>
    <n v="8"/>
    <n v="0"/>
    <n v="0"/>
    <s v="New"/>
    <x v="4"/>
    <n v="45"/>
    <n v="0"/>
  </r>
  <r>
    <n v="3896"/>
    <x v="34"/>
    <n v="1489"/>
    <x v="2"/>
    <x v="3"/>
    <x v="0"/>
    <n v="4"/>
    <n v="0"/>
    <s v="COD"/>
    <x v="1"/>
    <x v="1"/>
    <n v="3"/>
    <n v="0"/>
    <n v="0"/>
    <s v="Repeat"/>
    <x v="3"/>
    <n v="51"/>
    <n v="0"/>
  </r>
  <r>
    <n v="3897"/>
    <x v="179"/>
    <n v="1806"/>
    <x v="3"/>
    <x v="3"/>
    <x v="3"/>
    <n v="5"/>
    <n v="0"/>
    <s v="COD"/>
    <x v="2"/>
    <x v="1"/>
    <n v="7"/>
    <n v="1"/>
    <n v="1"/>
    <s v="New"/>
    <x v="5"/>
    <n v="29"/>
    <n v="0"/>
  </r>
  <r>
    <n v="3898"/>
    <x v="38"/>
    <n v="1747"/>
    <x v="4"/>
    <x v="0"/>
    <x v="1"/>
    <n v="1"/>
    <n v="3097"/>
    <s v="UPI"/>
    <x v="0"/>
    <x v="1"/>
    <n v="5"/>
    <n v="0"/>
    <n v="1"/>
    <s v="New"/>
    <x v="1"/>
    <n v="39"/>
    <n v="1"/>
  </r>
  <r>
    <n v="3899"/>
    <x v="60"/>
    <n v="1576"/>
    <x v="2"/>
    <x v="2"/>
    <x v="3"/>
    <n v="3"/>
    <n v="12516"/>
    <s v="UPI"/>
    <x v="0"/>
    <x v="1"/>
    <n v="2"/>
    <n v="0"/>
    <n v="0"/>
    <s v="Repeat"/>
    <x v="1"/>
    <n v="36"/>
    <n v="1"/>
  </r>
  <r>
    <n v="3900"/>
    <x v="92"/>
    <n v="1412"/>
    <x v="2"/>
    <x v="0"/>
    <x v="1"/>
    <n v="5"/>
    <n v="4380"/>
    <s v="Wallet"/>
    <x v="0"/>
    <x v="2"/>
    <n v="8"/>
    <n v="0"/>
    <n v="0"/>
    <s v="Repeat"/>
    <x v="3"/>
    <n v="53"/>
    <n v="1"/>
  </r>
  <r>
    <n v="3901"/>
    <x v="164"/>
    <n v="1348"/>
    <x v="1"/>
    <x v="2"/>
    <x v="1"/>
    <n v="3"/>
    <n v="14553"/>
    <s v="Card"/>
    <x v="0"/>
    <x v="0"/>
    <n v="4"/>
    <n v="1"/>
    <n v="0"/>
    <s v="Repeat"/>
    <x v="0"/>
    <n v="34"/>
    <n v="1"/>
  </r>
  <r>
    <n v="3902"/>
    <x v="172"/>
    <n v="1516"/>
    <x v="2"/>
    <x v="0"/>
    <x v="1"/>
    <n v="2"/>
    <n v="0"/>
    <s v="UPI"/>
    <x v="2"/>
    <x v="1"/>
    <n v="2"/>
    <n v="0"/>
    <n v="0"/>
    <s v="New"/>
    <x v="2"/>
    <n v="44"/>
    <n v="0"/>
  </r>
  <r>
    <n v="3903"/>
    <x v="153"/>
    <n v="1631"/>
    <x v="4"/>
    <x v="3"/>
    <x v="0"/>
    <n v="1"/>
    <n v="0"/>
    <s v="Card"/>
    <x v="2"/>
    <x v="3"/>
    <n v="1"/>
    <n v="1"/>
    <n v="0"/>
    <s v="Repeat"/>
    <x v="0"/>
    <n v="31"/>
    <n v="0"/>
  </r>
  <r>
    <n v="3904"/>
    <x v="18"/>
    <n v="1367"/>
    <x v="4"/>
    <x v="3"/>
    <x v="0"/>
    <n v="3"/>
    <n v="0"/>
    <s v="Card"/>
    <x v="1"/>
    <x v="3"/>
    <n v="6"/>
    <n v="1"/>
    <n v="0"/>
    <s v="Repeat"/>
    <x v="1"/>
    <n v="36"/>
    <n v="0"/>
  </r>
  <r>
    <n v="3905"/>
    <x v="56"/>
    <n v="1891"/>
    <x v="1"/>
    <x v="4"/>
    <x v="2"/>
    <n v="4"/>
    <n v="5796"/>
    <s v="Wallet"/>
    <x v="0"/>
    <x v="2"/>
    <n v="3"/>
    <n v="0"/>
    <n v="1"/>
    <s v="New"/>
    <x v="6"/>
    <n v="2"/>
    <n v="1"/>
  </r>
  <r>
    <n v="3906"/>
    <x v="59"/>
    <n v="1806"/>
    <x v="0"/>
    <x v="3"/>
    <x v="3"/>
    <n v="4"/>
    <n v="0"/>
    <s v="Card"/>
    <x v="2"/>
    <x v="3"/>
    <n v="7"/>
    <n v="0"/>
    <n v="0"/>
    <s v="New"/>
    <x v="0"/>
    <n v="34"/>
    <n v="0"/>
  </r>
  <r>
    <n v="3907"/>
    <x v="85"/>
    <n v="1684"/>
    <x v="1"/>
    <x v="3"/>
    <x v="1"/>
    <n v="5"/>
    <n v="23885"/>
    <s v="Card"/>
    <x v="0"/>
    <x v="1"/>
    <n v="3"/>
    <n v="1"/>
    <n v="0"/>
    <s v="New"/>
    <x v="3"/>
    <n v="50"/>
    <n v="1"/>
  </r>
  <r>
    <n v="3908"/>
    <x v="121"/>
    <n v="1682"/>
    <x v="1"/>
    <x v="4"/>
    <x v="0"/>
    <n v="1"/>
    <n v="1955"/>
    <s v="Wallet"/>
    <x v="0"/>
    <x v="3"/>
    <n v="9"/>
    <n v="1"/>
    <n v="1"/>
    <s v="Repeat"/>
    <x v="1"/>
    <n v="37"/>
    <n v="1"/>
  </r>
  <r>
    <n v="3909"/>
    <x v="11"/>
    <n v="1611"/>
    <x v="0"/>
    <x v="4"/>
    <x v="2"/>
    <n v="1"/>
    <n v="461"/>
    <s v="UPI"/>
    <x v="0"/>
    <x v="2"/>
    <n v="2"/>
    <n v="0"/>
    <n v="0"/>
    <s v="Repeat"/>
    <x v="0"/>
    <n v="35"/>
    <n v="1"/>
  </r>
  <r>
    <n v="3910"/>
    <x v="170"/>
    <n v="1614"/>
    <x v="3"/>
    <x v="3"/>
    <x v="3"/>
    <n v="1"/>
    <n v="0"/>
    <s v="Wallet"/>
    <x v="1"/>
    <x v="3"/>
    <n v="7"/>
    <n v="1"/>
    <n v="1"/>
    <s v="New"/>
    <x v="4"/>
    <n v="48"/>
    <n v="0"/>
  </r>
  <r>
    <n v="3911"/>
    <x v="70"/>
    <n v="1980"/>
    <x v="0"/>
    <x v="3"/>
    <x v="0"/>
    <n v="5"/>
    <n v="14950"/>
    <s v="UPI"/>
    <x v="0"/>
    <x v="2"/>
    <n v="9"/>
    <n v="0"/>
    <n v="1"/>
    <s v="Repeat"/>
    <x v="2"/>
    <n v="40"/>
    <n v="1"/>
  </r>
  <r>
    <n v="3912"/>
    <x v="81"/>
    <n v="1883"/>
    <x v="1"/>
    <x v="2"/>
    <x v="2"/>
    <n v="1"/>
    <n v="0"/>
    <s v="UPI"/>
    <x v="2"/>
    <x v="2"/>
    <n v="1"/>
    <n v="0"/>
    <n v="0"/>
    <s v="New"/>
    <x v="0"/>
    <n v="33"/>
    <n v="0"/>
  </r>
  <r>
    <n v="3913"/>
    <x v="127"/>
    <n v="1185"/>
    <x v="2"/>
    <x v="1"/>
    <x v="3"/>
    <n v="1"/>
    <n v="0"/>
    <s v="UPI"/>
    <x v="2"/>
    <x v="3"/>
    <n v="7"/>
    <n v="1"/>
    <n v="1"/>
    <s v="New"/>
    <x v="5"/>
    <n v="29"/>
    <n v="0"/>
  </r>
  <r>
    <n v="3914"/>
    <x v="123"/>
    <n v="1120"/>
    <x v="0"/>
    <x v="4"/>
    <x v="0"/>
    <n v="3"/>
    <n v="0"/>
    <s v="Wallet"/>
    <x v="2"/>
    <x v="0"/>
    <n v="2"/>
    <n v="0"/>
    <n v="1"/>
    <s v="New"/>
    <x v="0"/>
    <n v="34"/>
    <n v="0"/>
  </r>
  <r>
    <n v="3915"/>
    <x v="152"/>
    <n v="1729"/>
    <x v="1"/>
    <x v="0"/>
    <x v="2"/>
    <n v="5"/>
    <n v="0"/>
    <s v="Wallet"/>
    <x v="1"/>
    <x v="3"/>
    <n v="6"/>
    <n v="0"/>
    <n v="0"/>
    <s v="New"/>
    <x v="2"/>
    <n v="42"/>
    <n v="0"/>
  </r>
  <r>
    <n v="3916"/>
    <x v="163"/>
    <n v="1995"/>
    <x v="1"/>
    <x v="4"/>
    <x v="3"/>
    <n v="2"/>
    <n v="0"/>
    <s v="COD"/>
    <x v="1"/>
    <x v="2"/>
    <n v="8"/>
    <n v="1"/>
    <n v="0"/>
    <s v="Repeat"/>
    <x v="4"/>
    <n v="45"/>
    <n v="0"/>
  </r>
  <r>
    <n v="3917"/>
    <x v="72"/>
    <n v="1120"/>
    <x v="3"/>
    <x v="4"/>
    <x v="2"/>
    <n v="4"/>
    <n v="10204"/>
    <s v="UPI"/>
    <x v="0"/>
    <x v="0"/>
    <n v="10"/>
    <n v="1"/>
    <n v="0"/>
    <s v="Repeat"/>
    <x v="2"/>
    <n v="41"/>
    <n v="1"/>
  </r>
  <r>
    <n v="3918"/>
    <x v="98"/>
    <n v="1656"/>
    <x v="4"/>
    <x v="3"/>
    <x v="3"/>
    <n v="1"/>
    <n v="0"/>
    <s v="COD"/>
    <x v="2"/>
    <x v="3"/>
    <n v="2"/>
    <n v="1"/>
    <n v="1"/>
    <s v="Repeat"/>
    <x v="3"/>
    <n v="51"/>
    <n v="0"/>
  </r>
  <r>
    <n v="3919"/>
    <x v="106"/>
    <n v="1208"/>
    <x v="4"/>
    <x v="1"/>
    <x v="1"/>
    <n v="3"/>
    <n v="6747"/>
    <s v="UPI"/>
    <x v="0"/>
    <x v="3"/>
    <n v="2"/>
    <n v="1"/>
    <n v="0"/>
    <s v="New"/>
    <x v="5"/>
    <n v="30"/>
    <n v="1"/>
  </r>
  <r>
    <n v="3920"/>
    <x v="112"/>
    <n v="1671"/>
    <x v="4"/>
    <x v="3"/>
    <x v="2"/>
    <n v="5"/>
    <n v="23290"/>
    <s v="COD"/>
    <x v="0"/>
    <x v="1"/>
    <n v="1"/>
    <n v="0"/>
    <n v="1"/>
    <s v="New"/>
    <x v="5"/>
    <n v="30"/>
    <n v="1"/>
  </r>
  <r>
    <n v="3921"/>
    <x v="114"/>
    <n v="1850"/>
    <x v="3"/>
    <x v="3"/>
    <x v="0"/>
    <n v="3"/>
    <n v="0"/>
    <s v="Wallet"/>
    <x v="1"/>
    <x v="2"/>
    <n v="5"/>
    <n v="1"/>
    <n v="1"/>
    <s v="New"/>
    <x v="3"/>
    <n v="50"/>
    <n v="0"/>
  </r>
  <r>
    <n v="3922"/>
    <x v="86"/>
    <n v="1133"/>
    <x v="1"/>
    <x v="0"/>
    <x v="2"/>
    <n v="3"/>
    <n v="0"/>
    <s v="COD"/>
    <x v="1"/>
    <x v="3"/>
    <n v="10"/>
    <n v="0"/>
    <n v="1"/>
    <s v="New"/>
    <x v="6"/>
    <n v="1"/>
    <n v="0"/>
  </r>
  <r>
    <n v="3923"/>
    <x v="121"/>
    <n v="1337"/>
    <x v="4"/>
    <x v="0"/>
    <x v="3"/>
    <n v="1"/>
    <n v="0"/>
    <s v="Card"/>
    <x v="1"/>
    <x v="1"/>
    <n v="5"/>
    <n v="0"/>
    <n v="1"/>
    <s v="Repeat"/>
    <x v="1"/>
    <n v="37"/>
    <n v="0"/>
  </r>
  <r>
    <n v="3924"/>
    <x v="1"/>
    <n v="1353"/>
    <x v="0"/>
    <x v="0"/>
    <x v="3"/>
    <n v="1"/>
    <n v="0"/>
    <s v="UPI"/>
    <x v="1"/>
    <x v="2"/>
    <n v="7"/>
    <n v="0"/>
    <n v="1"/>
    <s v="New"/>
    <x v="1"/>
    <n v="39"/>
    <n v="0"/>
  </r>
  <r>
    <n v="3925"/>
    <x v="152"/>
    <n v="1595"/>
    <x v="3"/>
    <x v="3"/>
    <x v="1"/>
    <n v="4"/>
    <n v="0"/>
    <s v="COD"/>
    <x v="1"/>
    <x v="2"/>
    <n v="8"/>
    <n v="1"/>
    <n v="0"/>
    <s v="Repeat"/>
    <x v="2"/>
    <n v="42"/>
    <n v="0"/>
  </r>
  <r>
    <n v="3926"/>
    <x v="60"/>
    <n v="1892"/>
    <x v="0"/>
    <x v="2"/>
    <x v="0"/>
    <n v="1"/>
    <n v="0"/>
    <s v="UPI"/>
    <x v="2"/>
    <x v="2"/>
    <n v="1"/>
    <n v="1"/>
    <n v="0"/>
    <s v="New"/>
    <x v="1"/>
    <n v="36"/>
    <n v="0"/>
  </r>
  <r>
    <n v="3927"/>
    <x v="57"/>
    <n v="1909"/>
    <x v="2"/>
    <x v="2"/>
    <x v="0"/>
    <n v="2"/>
    <n v="0"/>
    <s v="COD"/>
    <x v="2"/>
    <x v="1"/>
    <n v="9"/>
    <n v="0"/>
    <n v="0"/>
    <s v="Repeat"/>
    <x v="4"/>
    <n v="48"/>
    <n v="0"/>
  </r>
  <r>
    <n v="3928"/>
    <x v="174"/>
    <n v="1626"/>
    <x v="3"/>
    <x v="2"/>
    <x v="3"/>
    <n v="2"/>
    <n v="0"/>
    <s v="UPI"/>
    <x v="1"/>
    <x v="2"/>
    <n v="7"/>
    <n v="0"/>
    <n v="1"/>
    <s v="New"/>
    <x v="5"/>
    <n v="29"/>
    <n v="0"/>
  </r>
  <r>
    <n v="3929"/>
    <x v="49"/>
    <n v="1985"/>
    <x v="2"/>
    <x v="4"/>
    <x v="1"/>
    <n v="1"/>
    <n v="0"/>
    <s v="Card"/>
    <x v="1"/>
    <x v="1"/>
    <n v="9"/>
    <n v="1"/>
    <n v="1"/>
    <s v="New"/>
    <x v="0"/>
    <n v="36"/>
    <n v="0"/>
  </r>
  <r>
    <n v="3930"/>
    <x v="142"/>
    <n v="1817"/>
    <x v="0"/>
    <x v="0"/>
    <x v="3"/>
    <n v="4"/>
    <n v="0"/>
    <s v="Card"/>
    <x v="2"/>
    <x v="1"/>
    <n v="2"/>
    <n v="0"/>
    <n v="1"/>
    <s v="Repeat"/>
    <x v="2"/>
    <n v="42"/>
    <n v="0"/>
  </r>
  <r>
    <n v="3931"/>
    <x v="157"/>
    <n v="1656"/>
    <x v="3"/>
    <x v="2"/>
    <x v="0"/>
    <n v="4"/>
    <n v="4660"/>
    <s v="Card"/>
    <x v="0"/>
    <x v="2"/>
    <n v="10"/>
    <n v="1"/>
    <n v="1"/>
    <s v="Repeat"/>
    <x v="2"/>
    <n v="41"/>
    <n v="1"/>
  </r>
  <r>
    <n v="3932"/>
    <x v="12"/>
    <n v="1703"/>
    <x v="3"/>
    <x v="2"/>
    <x v="1"/>
    <n v="4"/>
    <n v="0"/>
    <s v="COD"/>
    <x v="1"/>
    <x v="2"/>
    <n v="4"/>
    <n v="0"/>
    <n v="1"/>
    <s v="Repeat"/>
    <x v="1"/>
    <n v="38"/>
    <n v="0"/>
  </r>
  <r>
    <n v="3933"/>
    <x v="82"/>
    <n v="1450"/>
    <x v="3"/>
    <x v="4"/>
    <x v="2"/>
    <n v="4"/>
    <n v="0"/>
    <s v="COD"/>
    <x v="1"/>
    <x v="2"/>
    <n v="3"/>
    <n v="0"/>
    <n v="0"/>
    <s v="New"/>
    <x v="0"/>
    <n v="33"/>
    <n v="0"/>
  </r>
  <r>
    <n v="3934"/>
    <x v="70"/>
    <n v="1260"/>
    <x v="0"/>
    <x v="2"/>
    <x v="0"/>
    <n v="1"/>
    <n v="0"/>
    <s v="Card"/>
    <x v="2"/>
    <x v="1"/>
    <n v="9"/>
    <n v="0"/>
    <n v="0"/>
    <s v="New"/>
    <x v="2"/>
    <n v="40"/>
    <n v="0"/>
  </r>
  <r>
    <n v="3935"/>
    <x v="76"/>
    <n v="1327"/>
    <x v="1"/>
    <x v="3"/>
    <x v="2"/>
    <n v="4"/>
    <n v="0"/>
    <s v="Wallet"/>
    <x v="2"/>
    <x v="3"/>
    <n v="7"/>
    <n v="1"/>
    <n v="0"/>
    <s v="New"/>
    <x v="3"/>
    <n v="50"/>
    <n v="0"/>
  </r>
  <r>
    <n v="3936"/>
    <x v="22"/>
    <n v="1851"/>
    <x v="0"/>
    <x v="0"/>
    <x v="2"/>
    <n v="2"/>
    <n v="0"/>
    <s v="COD"/>
    <x v="1"/>
    <x v="3"/>
    <n v="4"/>
    <n v="1"/>
    <n v="0"/>
    <s v="New"/>
    <x v="6"/>
    <n v="2"/>
    <n v="0"/>
  </r>
  <r>
    <n v="3937"/>
    <x v="47"/>
    <n v="1582"/>
    <x v="0"/>
    <x v="2"/>
    <x v="1"/>
    <n v="2"/>
    <n v="0"/>
    <s v="UPI"/>
    <x v="1"/>
    <x v="2"/>
    <n v="1"/>
    <n v="1"/>
    <n v="1"/>
    <s v="Repeat"/>
    <x v="6"/>
    <n v="2"/>
    <n v="0"/>
  </r>
  <r>
    <n v="3938"/>
    <x v="122"/>
    <n v="1902"/>
    <x v="1"/>
    <x v="3"/>
    <x v="3"/>
    <n v="4"/>
    <n v="17848"/>
    <s v="Card"/>
    <x v="0"/>
    <x v="1"/>
    <n v="2"/>
    <n v="1"/>
    <n v="0"/>
    <s v="Repeat"/>
    <x v="3"/>
    <n v="53"/>
    <n v="1"/>
  </r>
  <r>
    <n v="3939"/>
    <x v="90"/>
    <n v="1344"/>
    <x v="4"/>
    <x v="1"/>
    <x v="1"/>
    <n v="3"/>
    <n v="0"/>
    <s v="Wallet"/>
    <x v="2"/>
    <x v="0"/>
    <n v="9"/>
    <n v="1"/>
    <n v="1"/>
    <s v="Repeat"/>
    <x v="0"/>
    <n v="31"/>
    <n v="0"/>
  </r>
  <r>
    <n v="3940"/>
    <x v="53"/>
    <n v="1964"/>
    <x v="3"/>
    <x v="1"/>
    <x v="1"/>
    <n v="5"/>
    <n v="0"/>
    <s v="Card"/>
    <x v="2"/>
    <x v="2"/>
    <n v="1"/>
    <n v="0"/>
    <n v="0"/>
    <s v="Repeat"/>
    <x v="2"/>
    <n v="42"/>
    <n v="0"/>
  </r>
  <r>
    <n v="3941"/>
    <x v="142"/>
    <n v="1068"/>
    <x v="2"/>
    <x v="2"/>
    <x v="0"/>
    <n v="1"/>
    <n v="0"/>
    <s v="Wallet"/>
    <x v="2"/>
    <x v="0"/>
    <n v="2"/>
    <n v="1"/>
    <n v="0"/>
    <s v="New"/>
    <x v="2"/>
    <n v="42"/>
    <n v="0"/>
  </r>
  <r>
    <n v="3942"/>
    <x v="5"/>
    <n v="1591"/>
    <x v="3"/>
    <x v="4"/>
    <x v="0"/>
    <n v="1"/>
    <n v="0"/>
    <s v="Card"/>
    <x v="2"/>
    <x v="1"/>
    <n v="9"/>
    <n v="1"/>
    <n v="0"/>
    <s v="Repeat"/>
    <x v="0"/>
    <n v="33"/>
    <n v="0"/>
  </r>
  <r>
    <n v="3943"/>
    <x v="67"/>
    <n v="1333"/>
    <x v="0"/>
    <x v="4"/>
    <x v="0"/>
    <n v="5"/>
    <n v="15230"/>
    <s v="Card"/>
    <x v="0"/>
    <x v="3"/>
    <n v="5"/>
    <n v="1"/>
    <n v="1"/>
    <s v="Repeat"/>
    <x v="1"/>
    <n v="36"/>
    <n v="1"/>
  </r>
  <r>
    <n v="3944"/>
    <x v="39"/>
    <n v="1663"/>
    <x v="4"/>
    <x v="0"/>
    <x v="3"/>
    <n v="5"/>
    <n v="0"/>
    <s v="UPI"/>
    <x v="2"/>
    <x v="3"/>
    <n v="2"/>
    <n v="0"/>
    <n v="1"/>
    <s v="Repeat"/>
    <x v="0"/>
    <n v="34"/>
    <n v="0"/>
  </r>
  <r>
    <n v="3945"/>
    <x v="134"/>
    <n v="1641"/>
    <x v="2"/>
    <x v="2"/>
    <x v="0"/>
    <n v="2"/>
    <n v="4830"/>
    <s v="UPI"/>
    <x v="0"/>
    <x v="0"/>
    <n v="8"/>
    <n v="1"/>
    <n v="0"/>
    <s v="New"/>
    <x v="3"/>
    <n v="51"/>
    <n v="1"/>
  </r>
  <r>
    <n v="3946"/>
    <x v="23"/>
    <n v="1782"/>
    <x v="1"/>
    <x v="0"/>
    <x v="0"/>
    <n v="2"/>
    <n v="0"/>
    <s v="Wallet"/>
    <x v="2"/>
    <x v="1"/>
    <n v="5"/>
    <n v="0"/>
    <n v="0"/>
    <s v="Repeat"/>
    <x v="3"/>
    <n v="51"/>
    <n v="0"/>
  </r>
  <r>
    <n v="3947"/>
    <x v="56"/>
    <n v="1268"/>
    <x v="2"/>
    <x v="0"/>
    <x v="0"/>
    <n v="1"/>
    <n v="0"/>
    <s v="UPI"/>
    <x v="2"/>
    <x v="1"/>
    <n v="10"/>
    <n v="0"/>
    <n v="1"/>
    <s v="Repeat"/>
    <x v="6"/>
    <n v="2"/>
    <n v="0"/>
  </r>
  <r>
    <n v="3948"/>
    <x v="92"/>
    <n v="1697"/>
    <x v="3"/>
    <x v="0"/>
    <x v="0"/>
    <n v="3"/>
    <n v="0"/>
    <s v="UPI"/>
    <x v="1"/>
    <x v="3"/>
    <n v="3"/>
    <n v="1"/>
    <n v="0"/>
    <s v="New"/>
    <x v="3"/>
    <n v="53"/>
    <n v="0"/>
  </r>
  <r>
    <n v="3949"/>
    <x v="25"/>
    <n v="1241"/>
    <x v="0"/>
    <x v="1"/>
    <x v="3"/>
    <n v="4"/>
    <n v="0"/>
    <s v="UPI"/>
    <x v="2"/>
    <x v="0"/>
    <n v="6"/>
    <n v="0"/>
    <n v="1"/>
    <s v="Repeat"/>
    <x v="4"/>
    <n v="49"/>
    <n v="0"/>
  </r>
  <r>
    <n v="3950"/>
    <x v="81"/>
    <n v="1955"/>
    <x v="0"/>
    <x v="1"/>
    <x v="3"/>
    <n v="2"/>
    <n v="4448"/>
    <s v="UPI"/>
    <x v="0"/>
    <x v="2"/>
    <n v="4"/>
    <n v="1"/>
    <n v="1"/>
    <s v="Repeat"/>
    <x v="0"/>
    <n v="33"/>
    <n v="1"/>
  </r>
  <r>
    <n v="3951"/>
    <x v="103"/>
    <n v="1550"/>
    <x v="0"/>
    <x v="3"/>
    <x v="0"/>
    <n v="1"/>
    <n v="1978"/>
    <s v="Card"/>
    <x v="0"/>
    <x v="1"/>
    <n v="3"/>
    <n v="0"/>
    <n v="1"/>
    <s v="Repeat"/>
    <x v="1"/>
    <n v="38"/>
    <n v="1"/>
  </r>
  <r>
    <n v="3952"/>
    <x v="158"/>
    <n v="1004"/>
    <x v="2"/>
    <x v="2"/>
    <x v="0"/>
    <n v="5"/>
    <n v="0"/>
    <s v="UPI"/>
    <x v="2"/>
    <x v="1"/>
    <n v="7"/>
    <n v="0"/>
    <n v="1"/>
    <s v="New"/>
    <x v="1"/>
    <n v="38"/>
    <n v="0"/>
  </r>
  <r>
    <n v="3953"/>
    <x v="62"/>
    <n v="1414"/>
    <x v="4"/>
    <x v="4"/>
    <x v="3"/>
    <n v="4"/>
    <n v="11900"/>
    <s v="COD"/>
    <x v="0"/>
    <x v="0"/>
    <n v="2"/>
    <n v="0"/>
    <n v="1"/>
    <s v="Repeat"/>
    <x v="2"/>
    <n v="43"/>
    <n v="1"/>
  </r>
  <r>
    <n v="3954"/>
    <x v="84"/>
    <n v="1308"/>
    <x v="0"/>
    <x v="1"/>
    <x v="1"/>
    <n v="2"/>
    <n v="0"/>
    <s v="UPI"/>
    <x v="1"/>
    <x v="2"/>
    <n v="3"/>
    <n v="0"/>
    <n v="1"/>
    <s v="Repeat"/>
    <x v="2"/>
    <n v="41"/>
    <n v="0"/>
  </r>
  <r>
    <n v="3955"/>
    <x v="103"/>
    <n v="1484"/>
    <x v="3"/>
    <x v="0"/>
    <x v="1"/>
    <n v="4"/>
    <n v="0"/>
    <s v="COD"/>
    <x v="1"/>
    <x v="0"/>
    <n v="6"/>
    <n v="1"/>
    <n v="1"/>
    <s v="Repeat"/>
    <x v="1"/>
    <n v="38"/>
    <n v="0"/>
  </r>
  <r>
    <n v="3956"/>
    <x v="115"/>
    <n v="1736"/>
    <x v="0"/>
    <x v="4"/>
    <x v="2"/>
    <n v="4"/>
    <n v="0"/>
    <s v="COD"/>
    <x v="2"/>
    <x v="2"/>
    <n v="3"/>
    <n v="0"/>
    <n v="1"/>
    <s v="New"/>
    <x v="4"/>
    <n v="48"/>
    <n v="0"/>
  </r>
  <r>
    <n v="3957"/>
    <x v="13"/>
    <n v="1937"/>
    <x v="2"/>
    <x v="2"/>
    <x v="1"/>
    <n v="2"/>
    <n v="0"/>
    <s v="Card"/>
    <x v="1"/>
    <x v="1"/>
    <n v="7"/>
    <n v="0"/>
    <n v="1"/>
    <s v="Repeat"/>
    <x v="2"/>
    <n v="41"/>
    <n v="0"/>
  </r>
  <r>
    <n v="3958"/>
    <x v="92"/>
    <n v="1983"/>
    <x v="2"/>
    <x v="0"/>
    <x v="2"/>
    <n v="4"/>
    <n v="18432"/>
    <s v="UPI"/>
    <x v="0"/>
    <x v="2"/>
    <n v="4"/>
    <n v="0"/>
    <n v="1"/>
    <s v="Repeat"/>
    <x v="3"/>
    <n v="53"/>
    <n v="1"/>
  </r>
  <r>
    <n v="3959"/>
    <x v="18"/>
    <n v="1163"/>
    <x v="4"/>
    <x v="1"/>
    <x v="2"/>
    <n v="5"/>
    <n v="0"/>
    <s v="Card"/>
    <x v="2"/>
    <x v="1"/>
    <n v="3"/>
    <n v="0"/>
    <n v="1"/>
    <s v="Repeat"/>
    <x v="1"/>
    <n v="36"/>
    <n v="0"/>
  </r>
  <r>
    <n v="3960"/>
    <x v="150"/>
    <n v="1334"/>
    <x v="0"/>
    <x v="0"/>
    <x v="3"/>
    <n v="2"/>
    <n v="0"/>
    <s v="Wallet"/>
    <x v="1"/>
    <x v="2"/>
    <n v="8"/>
    <n v="0"/>
    <n v="1"/>
    <s v="Repeat"/>
    <x v="0"/>
    <n v="35"/>
    <n v="0"/>
  </r>
  <r>
    <n v="3961"/>
    <x v="55"/>
    <n v="1046"/>
    <x v="3"/>
    <x v="3"/>
    <x v="1"/>
    <n v="4"/>
    <n v="0"/>
    <s v="Wallet"/>
    <x v="2"/>
    <x v="0"/>
    <n v="6"/>
    <n v="0"/>
    <n v="0"/>
    <s v="New"/>
    <x v="1"/>
    <n v="37"/>
    <n v="0"/>
  </r>
  <r>
    <n v="3962"/>
    <x v="145"/>
    <n v="1605"/>
    <x v="2"/>
    <x v="4"/>
    <x v="0"/>
    <n v="2"/>
    <n v="0"/>
    <s v="COD"/>
    <x v="1"/>
    <x v="0"/>
    <n v="10"/>
    <n v="1"/>
    <n v="0"/>
    <s v="Repeat"/>
    <x v="4"/>
    <n v="48"/>
    <n v="0"/>
  </r>
  <r>
    <n v="3963"/>
    <x v="157"/>
    <n v="1105"/>
    <x v="3"/>
    <x v="2"/>
    <x v="2"/>
    <n v="3"/>
    <n v="5517"/>
    <s v="UPI"/>
    <x v="0"/>
    <x v="2"/>
    <n v="9"/>
    <n v="1"/>
    <n v="0"/>
    <s v="Repeat"/>
    <x v="2"/>
    <n v="41"/>
    <n v="1"/>
  </r>
  <r>
    <n v="3964"/>
    <x v="173"/>
    <n v="1722"/>
    <x v="2"/>
    <x v="1"/>
    <x v="3"/>
    <n v="3"/>
    <n v="0"/>
    <s v="COD"/>
    <x v="1"/>
    <x v="2"/>
    <n v="1"/>
    <n v="0"/>
    <n v="1"/>
    <s v="Repeat"/>
    <x v="5"/>
    <n v="30"/>
    <n v="0"/>
  </r>
  <r>
    <n v="3965"/>
    <x v="76"/>
    <n v="1134"/>
    <x v="3"/>
    <x v="4"/>
    <x v="2"/>
    <n v="3"/>
    <n v="0"/>
    <s v="COD"/>
    <x v="1"/>
    <x v="2"/>
    <n v="7"/>
    <n v="0"/>
    <n v="0"/>
    <s v="New"/>
    <x v="3"/>
    <n v="50"/>
    <n v="0"/>
  </r>
  <r>
    <n v="3966"/>
    <x v="1"/>
    <n v="1954"/>
    <x v="2"/>
    <x v="1"/>
    <x v="3"/>
    <n v="5"/>
    <n v="0"/>
    <s v="COD"/>
    <x v="2"/>
    <x v="3"/>
    <n v="4"/>
    <n v="0"/>
    <n v="0"/>
    <s v="New"/>
    <x v="1"/>
    <n v="39"/>
    <n v="0"/>
  </r>
  <r>
    <n v="3967"/>
    <x v="14"/>
    <n v="1736"/>
    <x v="0"/>
    <x v="3"/>
    <x v="1"/>
    <n v="1"/>
    <n v="2212"/>
    <s v="Card"/>
    <x v="0"/>
    <x v="2"/>
    <n v="4"/>
    <n v="1"/>
    <n v="1"/>
    <s v="Repeat"/>
    <x v="0"/>
    <n v="34"/>
    <n v="1"/>
  </r>
  <r>
    <n v="3968"/>
    <x v="97"/>
    <n v="1389"/>
    <x v="1"/>
    <x v="2"/>
    <x v="0"/>
    <n v="5"/>
    <n v="0"/>
    <s v="Card"/>
    <x v="2"/>
    <x v="3"/>
    <n v="10"/>
    <n v="1"/>
    <n v="0"/>
    <s v="Repeat"/>
    <x v="1"/>
    <n v="40"/>
    <n v="0"/>
  </r>
  <r>
    <n v="3969"/>
    <x v="50"/>
    <n v="1966"/>
    <x v="3"/>
    <x v="2"/>
    <x v="3"/>
    <n v="5"/>
    <n v="0"/>
    <s v="UPI"/>
    <x v="2"/>
    <x v="3"/>
    <n v="4"/>
    <n v="0"/>
    <n v="0"/>
    <s v="Repeat"/>
    <x v="3"/>
    <n v="53"/>
    <n v="0"/>
  </r>
  <r>
    <n v="3970"/>
    <x v="66"/>
    <n v="1545"/>
    <x v="3"/>
    <x v="2"/>
    <x v="1"/>
    <n v="2"/>
    <n v="0"/>
    <s v="UPI"/>
    <x v="2"/>
    <x v="2"/>
    <n v="2"/>
    <n v="1"/>
    <n v="0"/>
    <s v="New"/>
    <x v="1"/>
    <n v="39"/>
    <n v="0"/>
  </r>
  <r>
    <n v="3971"/>
    <x v="48"/>
    <n v="1576"/>
    <x v="4"/>
    <x v="4"/>
    <x v="1"/>
    <n v="1"/>
    <n v="0"/>
    <s v="UPI"/>
    <x v="2"/>
    <x v="2"/>
    <n v="7"/>
    <n v="1"/>
    <n v="0"/>
    <s v="New"/>
    <x v="3"/>
    <n v="50"/>
    <n v="0"/>
  </r>
  <r>
    <n v="3972"/>
    <x v="140"/>
    <n v="1022"/>
    <x v="4"/>
    <x v="2"/>
    <x v="0"/>
    <n v="2"/>
    <n v="0"/>
    <s v="Card"/>
    <x v="2"/>
    <x v="3"/>
    <n v="1"/>
    <n v="0"/>
    <n v="0"/>
    <s v="New"/>
    <x v="4"/>
    <n v="48"/>
    <n v="0"/>
  </r>
  <r>
    <n v="3973"/>
    <x v="177"/>
    <n v="1290"/>
    <x v="0"/>
    <x v="0"/>
    <x v="2"/>
    <n v="3"/>
    <n v="0"/>
    <s v="COD"/>
    <x v="1"/>
    <x v="1"/>
    <n v="2"/>
    <n v="0"/>
    <n v="0"/>
    <s v="New"/>
    <x v="4"/>
    <n v="45"/>
    <n v="0"/>
  </r>
  <r>
    <n v="3974"/>
    <x v="31"/>
    <n v="1531"/>
    <x v="1"/>
    <x v="4"/>
    <x v="1"/>
    <n v="5"/>
    <n v="0"/>
    <s v="UPI"/>
    <x v="1"/>
    <x v="2"/>
    <n v="6"/>
    <n v="1"/>
    <n v="0"/>
    <s v="Repeat"/>
    <x v="2"/>
    <n v="44"/>
    <n v="0"/>
  </r>
  <r>
    <n v="3975"/>
    <x v="118"/>
    <n v="1822"/>
    <x v="4"/>
    <x v="4"/>
    <x v="0"/>
    <n v="5"/>
    <n v="0"/>
    <s v="Card"/>
    <x v="2"/>
    <x v="1"/>
    <n v="10"/>
    <n v="1"/>
    <n v="0"/>
    <s v="New"/>
    <x v="0"/>
    <n v="35"/>
    <n v="0"/>
  </r>
  <r>
    <n v="3976"/>
    <x v="164"/>
    <n v="1924"/>
    <x v="4"/>
    <x v="0"/>
    <x v="2"/>
    <n v="5"/>
    <n v="0"/>
    <s v="COD"/>
    <x v="1"/>
    <x v="0"/>
    <n v="4"/>
    <n v="1"/>
    <n v="1"/>
    <s v="Repeat"/>
    <x v="0"/>
    <n v="34"/>
    <n v="0"/>
  </r>
  <r>
    <n v="3977"/>
    <x v="107"/>
    <n v="1281"/>
    <x v="1"/>
    <x v="1"/>
    <x v="0"/>
    <n v="4"/>
    <n v="0"/>
    <s v="COD"/>
    <x v="1"/>
    <x v="2"/>
    <n v="8"/>
    <n v="0"/>
    <n v="1"/>
    <s v="Repeat"/>
    <x v="4"/>
    <n v="45"/>
    <n v="0"/>
  </r>
  <r>
    <n v="3978"/>
    <x v="73"/>
    <n v="1422"/>
    <x v="1"/>
    <x v="1"/>
    <x v="1"/>
    <n v="2"/>
    <n v="6488"/>
    <s v="Card"/>
    <x v="0"/>
    <x v="3"/>
    <n v="2"/>
    <n v="1"/>
    <n v="1"/>
    <s v="New"/>
    <x v="4"/>
    <n v="45"/>
    <n v="1"/>
  </r>
  <r>
    <n v="3979"/>
    <x v="124"/>
    <n v="1656"/>
    <x v="4"/>
    <x v="4"/>
    <x v="0"/>
    <n v="3"/>
    <n v="0"/>
    <s v="UPI"/>
    <x v="2"/>
    <x v="2"/>
    <n v="5"/>
    <n v="0"/>
    <n v="1"/>
    <s v="New"/>
    <x v="1"/>
    <n v="37"/>
    <n v="0"/>
  </r>
  <r>
    <n v="3980"/>
    <x v="141"/>
    <n v="1515"/>
    <x v="4"/>
    <x v="1"/>
    <x v="2"/>
    <n v="3"/>
    <n v="0"/>
    <s v="Card"/>
    <x v="2"/>
    <x v="1"/>
    <n v="1"/>
    <n v="1"/>
    <n v="1"/>
    <s v="Repeat"/>
    <x v="1"/>
    <n v="39"/>
    <n v="0"/>
  </r>
  <r>
    <n v="3981"/>
    <x v="146"/>
    <n v="1172"/>
    <x v="2"/>
    <x v="3"/>
    <x v="2"/>
    <n v="1"/>
    <n v="0"/>
    <s v="UPI"/>
    <x v="1"/>
    <x v="3"/>
    <n v="2"/>
    <n v="0"/>
    <n v="0"/>
    <s v="Repeat"/>
    <x v="2"/>
    <n v="40"/>
    <n v="0"/>
  </r>
  <r>
    <n v="3982"/>
    <x v="9"/>
    <n v="1565"/>
    <x v="3"/>
    <x v="3"/>
    <x v="2"/>
    <n v="5"/>
    <n v="0"/>
    <s v="COD"/>
    <x v="2"/>
    <x v="1"/>
    <n v="3"/>
    <n v="0"/>
    <n v="0"/>
    <s v="New"/>
    <x v="5"/>
    <n v="30"/>
    <n v="0"/>
  </r>
  <r>
    <n v="3983"/>
    <x v="143"/>
    <n v="1990"/>
    <x v="4"/>
    <x v="2"/>
    <x v="0"/>
    <n v="3"/>
    <n v="0"/>
    <s v="COD"/>
    <x v="1"/>
    <x v="1"/>
    <n v="5"/>
    <n v="1"/>
    <n v="1"/>
    <s v="Repeat"/>
    <x v="2"/>
    <n v="43"/>
    <n v="0"/>
  </r>
  <r>
    <n v="3984"/>
    <x v="131"/>
    <n v="1775"/>
    <x v="0"/>
    <x v="3"/>
    <x v="2"/>
    <n v="1"/>
    <n v="0"/>
    <s v="UPI"/>
    <x v="1"/>
    <x v="2"/>
    <n v="10"/>
    <n v="1"/>
    <n v="1"/>
    <s v="New"/>
    <x v="4"/>
    <n v="47"/>
    <n v="0"/>
  </r>
  <r>
    <n v="3985"/>
    <x v="136"/>
    <n v="1429"/>
    <x v="3"/>
    <x v="0"/>
    <x v="0"/>
    <n v="1"/>
    <n v="0"/>
    <s v="COD"/>
    <x v="2"/>
    <x v="0"/>
    <n v="9"/>
    <n v="1"/>
    <n v="0"/>
    <s v="Repeat"/>
    <x v="2"/>
    <n v="40"/>
    <n v="0"/>
  </r>
  <r>
    <n v="3986"/>
    <x v="107"/>
    <n v="1079"/>
    <x v="2"/>
    <x v="3"/>
    <x v="3"/>
    <n v="1"/>
    <n v="0"/>
    <s v="COD"/>
    <x v="1"/>
    <x v="1"/>
    <n v="3"/>
    <n v="1"/>
    <n v="0"/>
    <s v="Repeat"/>
    <x v="4"/>
    <n v="45"/>
    <n v="0"/>
  </r>
  <r>
    <n v="3987"/>
    <x v="168"/>
    <n v="1078"/>
    <x v="1"/>
    <x v="2"/>
    <x v="1"/>
    <n v="1"/>
    <n v="4433"/>
    <s v="COD"/>
    <x v="0"/>
    <x v="3"/>
    <n v="6"/>
    <n v="1"/>
    <n v="1"/>
    <s v="New"/>
    <x v="6"/>
    <n v="1"/>
    <n v="1"/>
  </r>
  <r>
    <n v="3988"/>
    <x v="179"/>
    <n v="1280"/>
    <x v="2"/>
    <x v="3"/>
    <x v="1"/>
    <n v="1"/>
    <n v="3257"/>
    <s v="UPI"/>
    <x v="0"/>
    <x v="0"/>
    <n v="8"/>
    <n v="0"/>
    <n v="0"/>
    <s v="Repeat"/>
    <x v="5"/>
    <n v="29"/>
    <n v="1"/>
  </r>
  <r>
    <n v="3989"/>
    <x v="31"/>
    <n v="1398"/>
    <x v="2"/>
    <x v="0"/>
    <x v="3"/>
    <n v="2"/>
    <n v="0"/>
    <s v="UPI"/>
    <x v="1"/>
    <x v="2"/>
    <n v="7"/>
    <n v="1"/>
    <n v="1"/>
    <s v="Repeat"/>
    <x v="2"/>
    <n v="44"/>
    <n v="0"/>
  </r>
  <r>
    <n v="3990"/>
    <x v="72"/>
    <n v="1284"/>
    <x v="4"/>
    <x v="0"/>
    <x v="3"/>
    <n v="5"/>
    <n v="0"/>
    <s v="UPI"/>
    <x v="2"/>
    <x v="0"/>
    <n v="10"/>
    <n v="0"/>
    <n v="0"/>
    <s v="Repeat"/>
    <x v="2"/>
    <n v="41"/>
    <n v="0"/>
  </r>
  <r>
    <n v="3991"/>
    <x v="82"/>
    <n v="1844"/>
    <x v="4"/>
    <x v="1"/>
    <x v="3"/>
    <n v="5"/>
    <n v="6710"/>
    <s v="UPI"/>
    <x v="0"/>
    <x v="1"/>
    <n v="4"/>
    <n v="0"/>
    <n v="1"/>
    <s v="New"/>
    <x v="0"/>
    <n v="33"/>
    <n v="1"/>
  </r>
  <r>
    <n v="3992"/>
    <x v="41"/>
    <n v="1869"/>
    <x v="3"/>
    <x v="4"/>
    <x v="2"/>
    <n v="4"/>
    <n v="0"/>
    <s v="Wallet"/>
    <x v="1"/>
    <x v="0"/>
    <n v="3"/>
    <n v="1"/>
    <n v="0"/>
    <s v="New"/>
    <x v="1"/>
    <n v="37"/>
    <n v="0"/>
  </r>
  <r>
    <n v="3993"/>
    <x v="168"/>
    <n v="1316"/>
    <x v="1"/>
    <x v="3"/>
    <x v="0"/>
    <n v="1"/>
    <n v="0"/>
    <s v="Card"/>
    <x v="2"/>
    <x v="1"/>
    <n v="9"/>
    <n v="0"/>
    <n v="0"/>
    <s v="Repeat"/>
    <x v="6"/>
    <n v="1"/>
    <n v="0"/>
  </r>
  <r>
    <n v="3994"/>
    <x v="8"/>
    <n v="1446"/>
    <x v="4"/>
    <x v="4"/>
    <x v="1"/>
    <n v="1"/>
    <n v="0"/>
    <s v="Card"/>
    <x v="1"/>
    <x v="1"/>
    <n v="10"/>
    <n v="1"/>
    <n v="0"/>
    <s v="New"/>
    <x v="0"/>
    <n v="32"/>
    <n v="0"/>
  </r>
  <r>
    <n v="3995"/>
    <x v="27"/>
    <n v="1081"/>
    <x v="0"/>
    <x v="2"/>
    <x v="3"/>
    <n v="5"/>
    <n v="0"/>
    <s v="Card"/>
    <x v="1"/>
    <x v="3"/>
    <n v="9"/>
    <n v="0"/>
    <n v="0"/>
    <s v="Repeat"/>
    <x v="1"/>
    <n v="37"/>
    <n v="0"/>
  </r>
  <r>
    <n v="3996"/>
    <x v="126"/>
    <n v="1810"/>
    <x v="0"/>
    <x v="2"/>
    <x v="3"/>
    <n v="5"/>
    <n v="0"/>
    <s v="Wallet"/>
    <x v="1"/>
    <x v="3"/>
    <n v="4"/>
    <n v="0"/>
    <n v="0"/>
    <s v="Repeat"/>
    <x v="4"/>
    <n v="46"/>
    <n v="0"/>
  </r>
  <r>
    <n v="3997"/>
    <x v="53"/>
    <n v="1440"/>
    <x v="4"/>
    <x v="3"/>
    <x v="1"/>
    <n v="5"/>
    <n v="0"/>
    <s v="Card"/>
    <x v="2"/>
    <x v="1"/>
    <n v="6"/>
    <n v="0"/>
    <n v="0"/>
    <s v="New"/>
    <x v="2"/>
    <n v="42"/>
    <n v="0"/>
  </r>
  <r>
    <n v="3998"/>
    <x v="131"/>
    <n v="1377"/>
    <x v="3"/>
    <x v="0"/>
    <x v="2"/>
    <n v="4"/>
    <n v="18860"/>
    <s v="COD"/>
    <x v="0"/>
    <x v="0"/>
    <n v="9"/>
    <n v="1"/>
    <n v="0"/>
    <s v="Repeat"/>
    <x v="4"/>
    <n v="47"/>
    <n v="1"/>
  </r>
  <r>
    <n v="3999"/>
    <x v="30"/>
    <n v="1169"/>
    <x v="0"/>
    <x v="4"/>
    <x v="0"/>
    <n v="2"/>
    <n v="3116"/>
    <s v="Card"/>
    <x v="0"/>
    <x v="2"/>
    <n v="2"/>
    <n v="1"/>
    <n v="1"/>
    <s v="Repeat"/>
    <x v="3"/>
    <n v="51"/>
    <n v="1"/>
  </r>
  <r>
    <n v="4000"/>
    <x v="50"/>
    <n v="1285"/>
    <x v="0"/>
    <x v="4"/>
    <x v="3"/>
    <n v="4"/>
    <n v="15888"/>
    <s v="UPI"/>
    <x v="0"/>
    <x v="3"/>
    <n v="2"/>
    <n v="0"/>
    <n v="0"/>
    <s v="Repeat"/>
    <x v="3"/>
    <n v="53"/>
    <n v="1"/>
  </r>
  <r>
    <n v="4001"/>
    <x v="153"/>
    <n v="1995"/>
    <x v="3"/>
    <x v="2"/>
    <x v="1"/>
    <n v="1"/>
    <n v="0"/>
    <s v="COD"/>
    <x v="2"/>
    <x v="2"/>
    <n v="3"/>
    <n v="0"/>
    <n v="1"/>
    <s v="New"/>
    <x v="0"/>
    <n v="31"/>
    <n v="0"/>
  </r>
  <r>
    <n v="4002"/>
    <x v="38"/>
    <n v="1621"/>
    <x v="2"/>
    <x v="3"/>
    <x v="1"/>
    <n v="2"/>
    <n v="0"/>
    <s v="Wallet"/>
    <x v="2"/>
    <x v="0"/>
    <n v="4"/>
    <n v="1"/>
    <n v="1"/>
    <s v="New"/>
    <x v="1"/>
    <n v="39"/>
    <n v="0"/>
  </r>
  <r>
    <n v="4003"/>
    <x v="34"/>
    <n v="1117"/>
    <x v="3"/>
    <x v="4"/>
    <x v="0"/>
    <n v="5"/>
    <n v="4910"/>
    <s v="COD"/>
    <x v="0"/>
    <x v="0"/>
    <n v="3"/>
    <n v="0"/>
    <n v="0"/>
    <s v="Repeat"/>
    <x v="3"/>
    <n v="51"/>
    <n v="1"/>
  </r>
  <r>
    <n v="4004"/>
    <x v="161"/>
    <n v="1411"/>
    <x v="3"/>
    <x v="2"/>
    <x v="1"/>
    <n v="4"/>
    <n v="0"/>
    <s v="COD"/>
    <x v="1"/>
    <x v="1"/>
    <n v="7"/>
    <n v="0"/>
    <n v="1"/>
    <s v="New"/>
    <x v="2"/>
    <n v="41"/>
    <n v="0"/>
  </r>
  <r>
    <n v="4005"/>
    <x v="119"/>
    <n v="1411"/>
    <x v="3"/>
    <x v="1"/>
    <x v="1"/>
    <n v="1"/>
    <n v="1877"/>
    <s v="Card"/>
    <x v="0"/>
    <x v="1"/>
    <n v="9"/>
    <n v="1"/>
    <n v="1"/>
    <s v="Repeat"/>
    <x v="0"/>
    <n v="34"/>
    <n v="1"/>
  </r>
  <r>
    <n v="4006"/>
    <x v="32"/>
    <n v="1656"/>
    <x v="0"/>
    <x v="2"/>
    <x v="0"/>
    <n v="1"/>
    <n v="0"/>
    <s v="Card"/>
    <x v="2"/>
    <x v="1"/>
    <n v="5"/>
    <n v="1"/>
    <n v="1"/>
    <s v="Repeat"/>
    <x v="1"/>
    <n v="38"/>
    <n v="0"/>
  </r>
  <r>
    <n v="4007"/>
    <x v="81"/>
    <n v="1187"/>
    <x v="0"/>
    <x v="3"/>
    <x v="0"/>
    <n v="2"/>
    <n v="5302"/>
    <s v="COD"/>
    <x v="0"/>
    <x v="3"/>
    <n v="10"/>
    <n v="0"/>
    <n v="0"/>
    <s v="Repeat"/>
    <x v="0"/>
    <n v="33"/>
    <n v="1"/>
  </r>
  <r>
    <n v="4008"/>
    <x v="134"/>
    <n v="1121"/>
    <x v="4"/>
    <x v="0"/>
    <x v="1"/>
    <n v="2"/>
    <n v="0"/>
    <s v="COD"/>
    <x v="1"/>
    <x v="1"/>
    <n v="6"/>
    <n v="0"/>
    <n v="0"/>
    <s v="New"/>
    <x v="3"/>
    <n v="51"/>
    <n v="0"/>
  </r>
  <r>
    <n v="4009"/>
    <x v="42"/>
    <n v="1367"/>
    <x v="1"/>
    <x v="0"/>
    <x v="3"/>
    <n v="4"/>
    <n v="0"/>
    <s v="UPI"/>
    <x v="1"/>
    <x v="1"/>
    <n v="3"/>
    <n v="0"/>
    <n v="1"/>
    <s v="Repeat"/>
    <x v="2"/>
    <n v="44"/>
    <n v="0"/>
  </r>
  <r>
    <n v="4010"/>
    <x v="18"/>
    <n v="1240"/>
    <x v="4"/>
    <x v="2"/>
    <x v="1"/>
    <n v="2"/>
    <n v="0"/>
    <s v="COD"/>
    <x v="1"/>
    <x v="0"/>
    <n v="8"/>
    <n v="1"/>
    <n v="1"/>
    <s v="Repeat"/>
    <x v="1"/>
    <n v="36"/>
    <n v="0"/>
  </r>
  <r>
    <n v="4011"/>
    <x v="101"/>
    <n v="1937"/>
    <x v="0"/>
    <x v="1"/>
    <x v="3"/>
    <n v="3"/>
    <n v="0"/>
    <s v="UPI"/>
    <x v="1"/>
    <x v="0"/>
    <n v="2"/>
    <n v="0"/>
    <n v="1"/>
    <s v="New"/>
    <x v="3"/>
    <n v="49"/>
    <n v="0"/>
  </r>
  <r>
    <n v="4012"/>
    <x v="142"/>
    <n v="1937"/>
    <x v="2"/>
    <x v="2"/>
    <x v="1"/>
    <n v="5"/>
    <n v="14590"/>
    <s v="Card"/>
    <x v="0"/>
    <x v="1"/>
    <n v="4"/>
    <n v="0"/>
    <n v="1"/>
    <s v="New"/>
    <x v="2"/>
    <n v="42"/>
    <n v="1"/>
  </r>
  <r>
    <n v="4013"/>
    <x v="87"/>
    <n v="1278"/>
    <x v="4"/>
    <x v="3"/>
    <x v="2"/>
    <n v="2"/>
    <n v="0"/>
    <s v="Card"/>
    <x v="1"/>
    <x v="1"/>
    <n v="1"/>
    <n v="1"/>
    <n v="1"/>
    <s v="New"/>
    <x v="2"/>
    <n v="42"/>
    <n v="0"/>
  </r>
  <r>
    <n v="4014"/>
    <x v="3"/>
    <n v="1296"/>
    <x v="4"/>
    <x v="4"/>
    <x v="2"/>
    <n v="1"/>
    <n v="0"/>
    <s v="COD"/>
    <x v="2"/>
    <x v="3"/>
    <n v="6"/>
    <n v="0"/>
    <n v="0"/>
    <s v="New"/>
    <x v="0"/>
    <n v="32"/>
    <n v="0"/>
  </r>
  <r>
    <n v="4015"/>
    <x v="61"/>
    <n v="1094"/>
    <x v="1"/>
    <x v="1"/>
    <x v="0"/>
    <n v="2"/>
    <n v="0"/>
    <s v="COD"/>
    <x v="1"/>
    <x v="0"/>
    <n v="10"/>
    <n v="0"/>
    <n v="1"/>
    <s v="New"/>
    <x v="4"/>
    <n v="46"/>
    <n v="0"/>
  </r>
  <r>
    <n v="4016"/>
    <x v="109"/>
    <n v="1444"/>
    <x v="0"/>
    <x v="3"/>
    <x v="2"/>
    <n v="3"/>
    <n v="10392"/>
    <s v="Wallet"/>
    <x v="0"/>
    <x v="0"/>
    <n v="10"/>
    <n v="1"/>
    <n v="1"/>
    <s v="Repeat"/>
    <x v="4"/>
    <n v="46"/>
    <n v="1"/>
  </r>
  <r>
    <n v="4017"/>
    <x v="134"/>
    <n v="1431"/>
    <x v="2"/>
    <x v="3"/>
    <x v="2"/>
    <n v="4"/>
    <n v="4124"/>
    <s v="COD"/>
    <x v="0"/>
    <x v="2"/>
    <n v="5"/>
    <n v="0"/>
    <n v="1"/>
    <s v="New"/>
    <x v="3"/>
    <n v="51"/>
    <n v="1"/>
  </r>
  <r>
    <n v="4018"/>
    <x v="62"/>
    <n v="1934"/>
    <x v="4"/>
    <x v="1"/>
    <x v="3"/>
    <n v="3"/>
    <n v="0"/>
    <s v="Wallet"/>
    <x v="1"/>
    <x v="0"/>
    <n v="9"/>
    <n v="0"/>
    <n v="1"/>
    <s v="New"/>
    <x v="2"/>
    <n v="43"/>
    <n v="0"/>
  </r>
  <r>
    <n v="4019"/>
    <x v="6"/>
    <n v="1202"/>
    <x v="0"/>
    <x v="1"/>
    <x v="1"/>
    <n v="4"/>
    <n v="0"/>
    <s v="COD"/>
    <x v="2"/>
    <x v="3"/>
    <n v="10"/>
    <n v="1"/>
    <n v="1"/>
    <s v="Repeat"/>
    <x v="4"/>
    <n v="47"/>
    <n v="0"/>
  </r>
  <r>
    <n v="4020"/>
    <x v="90"/>
    <n v="1768"/>
    <x v="1"/>
    <x v="2"/>
    <x v="3"/>
    <n v="2"/>
    <n v="0"/>
    <s v="UPI"/>
    <x v="2"/>
    <x v="0"/>
    <n v="5"/>
    <n v="0"/>
    <n v="1"/>
    <s v="Repeat"/>
    <x v="0"/>
    <n v="31"/>
    <n v="0"/>
  </r>
  <r>
    <n v="4021"/>
    <x v="68"/>
    <n v="1393"/>
    <x v="3"/>
    <x v="2"/>
    <x v="3"/>
    <n v="4"/>
    <n v="0"/>
    <s v="UPI"/>
    <x v="1"/>
    <x v="1"/>
    <n v="9"/>
    <n v="1"/>
    <n v="0"/>
    <s v="Repeat"/>
    <x v="0"/>
    <n v="32"/>
    <n v="0"/>
  </r>
  <r>
    <n v="4022"/>
    <x v="57"/>
    <n v="1890"/>
    <x v="3"/>
    <x v="4"/>
    <x v="0"/>
    <n v="4"/>
    <n v="0"/>
    <s v="Wallet"/>
    <x v="1"/>
    <x v="1"/>
    <n v="8"/>
    <n v="0"/>
    <n v="1"/>
    <s v="New"/>
    <x v="4"/>
    <n v="48"/>
    <n v="0"/>
  </r>
  <r>
    <n v="4023"/>
    <x v="126"/>
    <n v="1908"/>
    <x v="3"/>
    <x v="3"/>
    <x v="0"/>
    <n v="2"/>
    <n v="0"/>
    <s v="Card"/>
    <x v="1"/>
    <x v="1"/>
    <n v="4"/>
    <n v="0"/>
    <n v="0"/>
    <s v="Repeat"/>
    <x v="4"/>
    <n v="46"/>
    <n v="0"/>
  </r>
  <r>
    <n v="4024"/>
    <x v="88"/>
    <n v="1607"/>
    <x v="2"/>
    <x v="0"/>
    <x v="0"/>
    <n v="5"/>
    <n v="14010"/>
    <s v="Card"/>
    <x v="0"/>
    <x v="0"/>
    <n v="6"/>
    <n v="0"/>
    <n v="1"/>
    <s v="Repeat"/>
    <x v="1"/>
    <n v="37"/>
    <n v="1"/>
  </r>
  <r>
    <n v="4025"/>
    <x v="82"/>
    <n v="1772"/>
    <x v="3"/>
    <x v="4"/>
    <x v="2"/>
    <n v="2"/>
    <n v="0"/>
    <s v="Wallet"/>
    <x v="2"/>
    <x v="0"/>
    <n v="1"/>
    <n v="0"/>
    <n v="1"/>
    <s v="New"/>
    <x v="0"/>
    <n v="33"/>
    <n v="0"/>
  </r>
  <r>
    <n v="4026"/>
    <x v="124"/>
    <n v="1643"/>
    <x v="0"/>
    <x v="0"/>
    <x v="0"/>
    <n v="2"/>
    <n v="0"/>
    <s v="Wallet"/>
    <x v="2"/>
    <x v="1"/>
    <n v="9"/>
    <n v="0"/>
    <n v="0"/>
    <s v="Repeat"/>
    <x v="1"/>
    <n v="37"/>
    <n v="0"/>
  </r>
  <r>
    <n v="4027"/>
    <x v="46"/>
    <n v="1900"/>
    <x v="4"/>
    <x v="3"/>
    <x v="0"/>
    <n v="3"/>
    <n v="0"/>
    <s v="Card"/>
    <x v="2"/>
    <x v="3"/>
    <n v="6"/>
    <n v="1"/>
    <n v="1"/>
    <s v="Repeat"/>
    <x v="5"/>
    <n v="30"/>
    <n v="0"/>
  </r>
  <r>
    <n v="4028"/>
    <x v="17"/>
    <n v="1201"/>
    <x v="4"/>
    <x v="4"/>
    <x v="0"/>
    <n v="4"/>
    <n v="6520"/>
    <s v="UPI"/>
    <x v="0"/>
    <x v="3"/>
    <n v="9"/>
    <n v="0"/>
    <n v="1"/>
    <s v="New"/>
    <x v="1"/>
    <n v="38"/>
    <n v="1"/>
  </r>
  <r>
    <n v="4029"/>
    <x v="32"/>
    <n v="1098"/>
    <x v="1"/>
    <x v="0"/>
    <x v="2"/>
    <n v="2"/>
    <n v="2108"/>
    <s v="Wallet"/>
    <x v="0"/>
    <x v="3"/>
    <n v="7"/>
    <n v="0"/>
    <n v="0"/>
    <s v="New"/>
    <x v="1"/>
    <n v="38"/>
    <n v="1"/>
  </r>
  <r>
    <n v="4030"/>
    <x v="13"/>
    <n v="1111"/>
    <x v="3"/>
    <x v="0"/>
    <x v="0"/>
    <n v="5"/>
    <n v="0"/>
    <s v="COD"/>
    <x v="1"/>
    <x v="1"/>
    <n v="4"/>
    <n v="1"/>
    <n v="1"/>
    <s v="Repeat"/>
    <x v="2"/>
    <n v="41"/>
    <n v="0"/>
  </r>
  <r>
    <n v="4031"/>
    <x v="99"/>
    <n v="1647"/>
    <x v="3"/>
    <x v="3"/>
    <x v="1"/>
    <n v="5"/>
    <n v="0"/>
    <s v="COD"/>
    <x v="1"/>
    <x v="0"/>
    <n v="10"/>
    <n v="1"/>
    <n v="0"/>
    <s v="Repeat"/>
    <x v="4"/>
    <n v="48"/>
    <n v="0"/>
  </r>
  <r>
    <n v="4032"/>
    <x v="79"/>
    <n v="1937"/>
    <x v="0"/>
    <x v="0"/>
    <x v="3"/>
    <n v="4"/>
    <n v="0"/>
    <s v="COD"/>
    <x v="2"/>
    <x v="3"/>
    <n v="4"/>
    <n v="1"/>
    <n v="1"/>
    <s v="Repeat"/>
    <x v="1"/>
    <n v="36"/>
    <n v="0"/>
  </r>
  <r>
    <n v="4033"/>
    <x v="15"/>
    <n v="1485"/>
    <x v="3"/>
    <x v="0"/>
    <x v="1"/>
    <n v="1"/>
    <n v="0"/>
    <s v="COD"/>
    <x v="2"/>
    <x v="0"/>
    <n v="2"/>
    <n v="1"/>
    <n v="0"/>
    <s v="Repeat"/>
    <x v="4"/>
    <n v="47"/>
    <n v="0"/>
  </r>
  <r>
    <n v="4034"/>
    <x v="159"/>
    <n v="1501"/>
    <x v="0"/>
    <x v="2"/>
    <x v="2"/>
    <n v="3"/>
    <n v="0"/>
    <s v="Card"/>
    <x v="2"/>
    <x v="0"/>
    <n v="3"/>
    <n v="0"/>
    <n v="1"/>
    <s v="Repeat"/>
    <x v="3"/>
    <n v="49"/>
    <n v="0"/>
  </r>
  <r>
    <n v="4035"/>
    <x v="113"/>
    <n v="1406"/>
    <x v="3"/>
    <x v="3"/>
    <x v="3"/>
    <n v="2"/>
    <n v="1800"/>
    <s v="Card"/>
    <x v="0"/>
    <x v="3"/>
    <n v="10"/>
    <n v="0"/>
    <n v="1"/>
    <s v="Repeat"/>
    <x v="0"/>
    <n v="33"/>
    <n v="1"/>
  </r>
  <r>
    <n v="4036"/>
    <x v="69"/>
    <n v="1536"/>
    <x v="4"/>
    <x v="1"/>
    <x v="1"/>
    <n v="4"/>
    <n v="0"/>
    <s v="Card"/>
    <x v="1"/>
    <x v="1"/>
    <n v="6"/>
    <n v="0"/>
    <n v="0"/>
    <s v="Repeat"/>
    <x v="2"/>
    <n v="40"/>
    <n v="0"/>
  </r>
  <r>
    <n v="4037"/>
    <x v="65"/>
    <n v="1742"/>
    <x v="1"/>
    <x v="0"/>
    <x v="2"/>
    <n v="3"/>
    <n v="0"/>
    <s v="UPI"/>
    <x v="2"/>
    <x v="3"/>
    <n v="6"/>
    <n v="0"/>
    <n v="1"/>
    <s v="Repeat"/>
    <x v="1"/>
    <n v="38"/>
    <n v="0"/>
  </r>
  <r>
    <n v="4038"/>
    <x v="29"/>
    <n v="1887"/>
    <x v="4"/>
    <x v="4"/>
    <x v="1"/>
    <n v="2"/>
    <n v="9438"/>
    <s v="Card"/>
    <x v="0"/>
    <x v="0"/>
    <n v="3"/>
    <n v="1"/>
    <n v="1"/>
    <s v="Repeat"/>
    <x v="1"/>
    <n v="39"/>
    <n v="1"/>
  </r>
  <r>
    <n v="4039"/>
    <x v="47"/>
    <n v="1086"/>
    <x v="1"/>
    <x v="3"/>
    <x v="2"/>
    <n v="3"/>
    <n v="7896"/>
    <s v="Card"/>
    <x v="0"/>
    <x v="1"/>
    <n v="2"/>
    <n v="0"/>
    <n v="0"/>
    <s v="New"/>
    <x v="6"/>
    <n v="2"/>
    <n v="1"/>
  </r>
  <r>
    <n v="4040"/>
    <x v="143"/>
    <n v="1598"/>
    <x v="3"/>
    <x v="4"/>
    <x v="3"/>
    <n v="4"/>
    <n v="19940"/>
    <s v="Wallet"/>
    <x v="0"/>
    <x v="2"/>
    <n v="9"/>
    <n v="1"/>
    <n v="1"/>
    <s v="New"/>
    <x v="2"/>
    <n v="43"/>
    <n v="1"/>
  </r>
  <r>
    <n v="4041"/>
    <x v="12"/>
    <n v="1329"/>
    <x v="0"/>
    <x v="2"/>
    <x v="0"/>
    <n v="3"/>
    <n v="6129"/>
    <s v="UPI"/>
    <x v="0"/>
    <x v="0"/>
    <n v="7"/>
    <n v="1"/>
    <n v="0"/>
    <s v="New"/>
    <x v="1"/>
    <n v="38"/>
    <n v="1"/>
  </r>
  <r>
    <n v="4042"/>
    <x v="158"/>
    <n v="1340"/>
    <x v="3"/>
    <x v="0"/>
    <x v="1"/>
    <n v="3"/>
    <n v="11016"/>
    <s v="Wallet"/>
    <x v="0"/>
    <x v="3"/>
    <n v="3"/>
    <n v="0"/>
    <n v="1"/>
    <s v="Repeat"/>
    <x v="1"/>
    <n v="38"/>
    <n v="1"/>
  </r>
  <r>
    <n v="4043"/>
    <x v="116"/>
    <n v="1399"/>
    <x v="2"/>
    <x v="2"/>
    <x v="2"/>
    <n v="4"/>
    <n v="0"/>
    <s v="UPI"/>
    <x v="2"/>
    <x v="1"/>
    <n v="8"/>
    <n v="1"/>
    <n v="0"/>
    <s v="New"/>
    <x v="3"/>
    <n v="50"/>
    <n v="0"/>
  </r>
  <r>
    <n v="4044"/>
    <x v="63"/>
    <n v="1391"/>
    <x v="1"/>
    <x v="1"/>
    <x v="0"/>
    <n v="1"/>
    <n v="4736"/>
    <s v="Wallet"/>
    <x v="0"/>
    <x v="0"/>
    <n v="7"/>
    <n v="0"/>
    <n v="0"/>
    <s v="New"/>
    <x v="5"/>
    <n v="29"/>
    <n v="1"/>
  </r>
  <r>
    <n v="4045"/>
    <x v="74"/>
    <n v="1777"/>
    <x v="2"/>
    <x v="1"/>
    <x v="3"/>
    <n v="4"/>
    <n v="0"/>
    <s v="UPI"/>
    <x v="1"/>
    <x v="2"/>
    <n v="8"/>
    <n v="0"/>
    <n v="0"/>
    <s v="New"/>
    <x v="5"/>
    <n v="29"/>
    <n v="0"/>
  </r>
  <r>
    <n v="4046"/>
    <x v="39"/>
    <n v="1103"/>
    <x v="0"/>
    <x v="2"/>
    <x v="1"/>
    <n v="1"/>
    <n v="3696"/>
    <s v="Wallet"/>
    <x v="0"/>
    <x v="2"/>
    <n v="2"/>
    <n v="0"/>
    <n v="0"/>
    <s v="New"/>
    <x v="0"/>
    <n v="34"/>
    <n v="1"/>
  </r>
  <r>
    <n v="4047"/>
    <x v="51"/>
    <n v="1256"/>
    <x v="4"/>
    <x v="2"/>
    <x v="0"/>
    <n v="4"/>
    <n v="0"/>
    <s v="UPI"/>
    <x v="2"/>
    <x v="2"/>
    <n v="8"/>
    <n v="0"/>
    <n v="0"/>
    <s v="New"/>
    <x v="5"/>
    <n v="29"/>
    <n v="0"/>
  </r>
  <r>
    <n v="4048"/>
    <x v="85"/>
    <n v="1802"/>
    <x v="1"/>
    <x v="1"/>
    <x v="1"/>
    <n v="2"/>
    <n v="0"/>
    <s v="UPI"/>
    <x v="2"/>
    <x v="3"/>
    <n v="5"/>
    <n v="0"/>
    <n v="1"/>
    <s v="Repeat"/>
    <x v="3"/>
    <n v="50"/>
    <n v="0"/>
  </r>
  <r>
    <n v="4049"/>
    <x v="59"/>
    <n v="1413"/>
    <x v="0"/>
    <x v="3"/>
    <x v="1"/>
    <n v="5"/>
    <n v="0"/>
    <s v="COD"/>
    <x v="2"/>
    <x v="3"/>
    <n v="10"/>
    <n v="0"/>
    <n v="1"/>
    <s v="Repeat"/>
    <x v="0"/>
    <n v="34"/>
    <n v="0"/>
  </r>
  <r>
    <n v="4050"/>
    <x v="54"/>
    <n v="1063"/>
    <x v="2"/>
    <x v="2"/>
    <x v="2"/>
    <n v="2"/>
    <n v="7938"/>
    <s v="COD"/>
    <x v="0"/>
    <x v="1"/>
    <n v="1"/>
    <n v="1"/>
    <n v="1"/>
    <s v="Repeat"/>
    <x v="0"/>
    <n v="34"/>
    <n v="1"/>
  </r>
  <r>
    <n v="4051"/>
    <x v="130"/>
    <n v="1361"/>
    <x v="2"/>
    <x v="0"/>
    <x v="2"/>
    <n v="5"/>
    <n v="24840"/>
    <s v="Wallet"/>
    <x v="0"/>
    <x v="0"/>
    <n v="7"/>
    <n v="1"/>
    <n v="1"/>
    <s v="New"/>
    <x v="3"/>
    <n v="51"/>
    <n v="1"/>
  </r>
  <r>
    <n v="4052"/>
    <x v="51"/>
    <n v="1722"/>
    <x v="4"/>
    <x v="4"/>
    <x v="2"/>
    <n v="1"/>
    <n v="0"/>
    <s v="UPI"/>
    <x v="2"/>
    <x v="1"/>
    <n v="9"/>
    <n v="0"/>
    <n v="0"/>
    <s v="Repeat"/>
    <x v="5"/>
    <n v="29"/>
    <n v="0"/>
  </r>
  <r>
    <n v="4053"/>
    <x v="8"/>
    <n v="1719"/>
    <x v="1"/>
    <x v="2"/>
    <x v="1"/>
    <n v="2"/>
    <n v="0"/>
    <s v="UPI"/>
    <x v="1"/>
    <x v="2"/>
    <n v="6"/>
    <n v="0"/>
    <n v="1"/>
    <s v="New"/>
    <x v="0"/>
    <n v="32"/>
    <n v="0"/>
  </r>
  <r>
    <n v="4054"/>
    <x v="9"/>
    <n v="1451"/>
    <x v="2"/>
    <x v="1"/>
    <x v="0"/>
    <n v="1"/>
    <n v="0"/>
    <s v="Wallet"/>
    <x v="1"/>
    <x v="0"/>
    <n v="6"/>
    <n v="1"/>
    <n v="0"/>
    <s v="Repeat"/>
    <x v="5"/>
    <n v="30"/>
    <n v="0"/>
  </r>
  <r>
    <n v="4055"/>
    <x v="146"/>
    <n v="1502"/>
    <x v="1"/>
    <x v="3"/>
    <x v="1"/>
    <n v="2"/>
    <n v="0"/>
    <s v="Card"/>
    <x v="1"/>
    <x v="3"/>
    <n v="8"/>
    <n v="1"/>
    <n v="1"/>
    <s v="New"/>
    <x v="2"/>
    <n v="40"/>
    <n v="0"/>
  </r>
  <r>
    <n v="4056"/>
    <x v="51"/>
    <n v="1412"/>
    <x v="3"/>
    <x v="0"/>
    <x v="3"/>
    <n v="5"/>
    <n v="0"/>
    <s v="UPI"/>
    <x v="1"/>
    <x v="2"/>
    <n v="1"/>
    <n v="1"/>
    <n v="1"/>
    <s v="Repeat"/>
    <x v="5"/>
    <n v="29"/>
    <n v="0"/>
  </r>
  <r>
    <n v="4057"/>
    <x v="4"/>
    <n v="1299"/>
    <x v="3"/>
    <x v="3"/>
    <x v="0"/>
    <n v="5"/>
    <n v="0"/>
    <s v="COD"/>
    <x v="2"/>
    <x v="2"/>
    <n v="2"/>
    <n v="1"/>
    <n v="1"/>
    <s v="Repeat"/>
    <x v="3"/>
    <n v="50"/>
    <n v="0"/>
  </r>
  <r>
    <n v="4058"/>
    <x v="81"/>
    <n v="1870"/>
    <x v="4"/>
    <x v="1"/>
    <x v="1"/>
    <n v="2"/>
    <n v="0"/>
    <s v="Wallet"/>
    <x v="1"/>
    <x v="2"/>
    <n v="10"/>
    <n v="0"/>
    <n v="0"/>
    <s v="Repeat"/>
    <x v="0"/>
    <n v="33"/>
    <n v="0"/>
  </r>
  <r>
    <n v="4059"/>
    <x v="167"/>
    <n v="1322"/>
    <x v="1"/>
    <x v="1"/>
    <x v="0"/>
    <n v="5"/>
    <n v="0"/>
    <s v="Wallet"/>
    <x v="1"/>
    <x v="2"/>
    <n v="2"/>
    <n v="0"/>
    <n v="0"/>
    <s v="New"/>
    <x v="0"/>
    <n v="35"/>
    <n v="0"/>
  </r>
  <r>
    <n v="4060"/>
    <x v="11"/>
    <n v="1519"/>
    <x v="0"/>
    <x v="0"/>
    <x v="1"/>
    <n v="2"/>
    <n v="430"/>
    <s v="Wallet"/>
    <x v="0"/>
    <x v="3"/>
    <n v="3"/>
    <n v="1"/>
    <n v="0"/>
    <s v="Repeat"/>
    <x v="0"/>
    <n v="35"/>
    <n v="1"/>
  </r>
  <r>
    <n v="4061"/>
    <x v="91"/>
    <n v="1090"/>
    <x v="0"/>
    <x v="1"/>
    <x v="3"/>
    <n v="4"/>
    <n v="0"/>
    <s v="UPI"/>
    <x v="1"/>
    <x v="3"/>
    <n v="10"/>
    <n v="1"/>
    <n v="0"/>
    <s v="Repeat"/>
    <x v="3"/>
    <n v="52"/>
    <n v="0"/>
  </r>
  <r>
    <n v="4062"/>
    <x v="165"/>
    <n v="1245"/>
    <x v="3"/>
    <x v="2"/>
    <x v="2"/>
    <n v="1"/>
    <n v="0"/>
    <s v="UPI"/>
    <x v="2"/>
    <x v="3"/>
    <n v="3"/>
    <n v="1"/>
    <n v="0"/>
    <s v="Repeat"/>
    <x v="2"/>
    <n v="41"/>
    <n v="0"/>
  </r>
  <r>
    <n v="4063"/>
    <x v="153"/>
    <n v="1423"/>
    <x v="3"/>
    <x v="2"/>
    <x v="1"/>
    <n v="3"/>
    <n v="0"/>
    <s v="Wallet"/>
    <x v="1"/>
    <x v="0"/>
    <n v="8"/>
    <n v="1"/>
    <n v="1"/>
    <s v="New"/>
    <x v="0"/>
    <n v="31"/>
    <n v="0"/>
  </r>
  <r>
    <n v="4064"/>
    <x v="47"/>
    <n v="1982"/>
    <x v="4"/>
    <x v="2"/>
    <x v="0"/>
    <n v="4"/>
    <n v="0"/>
    <s v="Card"/>
    <x v="1"/>
    <x v="3"/>
    <n v="2"/>
    <n v="1"/>
    <n v="1"/>
    <s v="New"/>
    <x v="6"/>
    <n v="2"/>
    <n v="0"/>
  </r>
  <r>
    <n v="4065"/>
    <x v="141"/>
    <n v="1179"/>
    <x v="0"/>
    <x v="1"/>
    <x v="0"/>
    <n v="2"/>
    <n v="0"/>
    <s v="Wallet"/>
    <x v="1"/>
    <x v="2"/>
    <n v="3"/>
    <n v="1"/>
    <n v="1"/>
    <s v="Repeat"/>
    <x v="1"/>
    <n v="39"/>
    <n v="0"/>
  </r>
  <r>
    <n v="4066"/>
    <x v="130"/>
    <n v="1855"/>
    <x v="4"/>
    <x v="1"/>
    <x v="0"/>
    <n v="3"/>
    <n v="0"/>
    <s v="Card"/>
    <x v="2"/>
    <x v="3"/>
    <n v="1"/>
    <n v="0"/>
    <n v="1"/>
    <s v="Repeat"/>
    <x v="3"/>
    <n v="51"/>
    <n v="0"/>
  </r>
  <r>
    <n v="4067"/>
    <x v="145"/>
    <n v="1477"/>
    <x v="4"/>
    <x v="4"/>
    <x v="3"/>
    <n v="1"/>
    <n v="2947"/>
    <s v="COD"/>
    <x v="0"/>
    <x v="3"/>
    <n v="5"/>
    <n v="0"/>
    <n v="1"/>
    <s v="Repeat"/>
    <x v="4"/>
    <n v="48"/>
    <n v="1"/>
  </r>
  <r>
    <n v="4068"/>
    <x v="173"/>
    <n v="1174"/>
    <x v="1"/>
    <x v="1"/>
    <x v="3"/>
    <n v="3"/>
    <n v="8037"/>
    <s v="Card"/>
    <x v="0"/>
    <x v="2"/>
    <n v="10"/>
    <n v="0"/>
    <n v="1"/>
    <s v="Repeat"/>
    <x v="5"/>
    <n v="30"/>
    <n v="1"/>
  </r>
  <r>
    <n v="4069"/>
    <x v="116"/>
    <n v="1862"/>
    <x v="3"/>
    <x v="2"/>
    <x v="0"/>
    <n v="2"/>
    <n v="4226"/>
    <s v="Card"/>
    <x v="0"/>
    <x v="3"/>
    <n v="4"/>
    <n v="1"/>
    <n v="0"/>
    <s v="Repeat"/>
    <x v="3"/>
    <n v="50"/>
    <n v="1"/>
  </r>
  <r>
    <n v="4070"/>
    <x v="88"/>
    <n v="1142"/>
    <x v="2"/>
    <x v="2"/>
    <x v="2"/>
    <n v="3"/>
    <n v="0"/>
    <s v="UPI"/>
    <x v="1"/>
    <x v="0"/>
    <n v="8"/>
    <n v="0"/>
    <n v="1"/>
    <s v="Repeat"/>
    <x v="1"/>
    <n v="37"/>
    <n v="0"/>
  </r>
  <r>
    <n v="4071"/>
    <x v="159"/>
    <n v="1395"/>
    <x v="4"/>
    <x v="3"/>
    <x v="1"/>
    <n v="3"/>
    <n v="0"/>
    <s v="Wallet"/>
    <x v="1"/>
    <x v="3"/>
    <n v="3"/>
    <n v="1"/>
    <n v="1"/>
    <s v="New"/>
    <x v="3"/>
    <n v="49"/>
    <n v="0"/>
  </r>
  <r>
    <n v="4072"/>
    <x v="106"/>
    <n v="1567"/>
    <x v="4"/>
    <x v="3"/>
    <x v="0"/>
    <n v="1"/>
    <n v="0"/>
    <s v="Card"/>
    <x v="2"/>
    <x v="1"/>
    <n v="9"/>
    <n v="1"/>
    <n v="0"/>
    <s v="New"/>
    <x v="5"/>
    <n v="30"/>
    <n v="0"/>
  </r>
  <r>
    <n v="4073"/>
    <x v="7"/>
    <n v="1608"/>
    <x v="0"/>
    <x v="0"/>
    <x v="3"/>
    <n v="4"/>
    <n v="14884"/>
    <s v="Wallet"/>
    <x v="0"/>
    <x v="2"/>
    <n v="5"/>
    <n v="1"/>
    <n v="0"/>
    <s v="Repeat"/>
    <x v="3"/>
    <n v="49"/>
    <n v="1"/>
  </r>
  <r>
    <n v="4074"/>
    <x v="166"/>
    <n v="1798"/>
    <x v="3"/>
    <x v="4"/>
    <x v="2"/>
    <n v="1"/>
    <n v="0"/>
    <s v="Card"/>
    <x v="1"/>
    <x v="2"/>
    <n v="3"/>
    <n v="0"/>
    <n v="0"/>
    <s v="New"/>
    <x v="1"/>
    <n v="39"/>
    <n v="0"/>
  </r>
  <r>
    <n v="4075"/>
    <x v="56"/>
    <n v="1487"/>
    <x v="1"/>
    <x v="1"/>
    <x v="2"/>
    <n v="1"/>
    <n v="0"/>
    <s v="Card"/>
    <x v="1"/>
    <x v="0"/>
    <n v="3"/>
    <n v="0"/>
    <n v="0"/>
    <s v="New"/>
    <x v="6"/>
    <n v="2"/>
    <n v="0"/>
  </r>
  <r>
    <n v="4076"/>
    <x v="72"/>
    <n v="1121"/>
    <x v="0"/>
    <x v="0"/>
    <x v="3"/>
    <n v="5"/>
    <n v="1820"/>
    <s v="UPI"/>
    <x v="0"/>
    <x v="1"/>
    <n v="1"/>
    <n v="0"/>
    <n v="0"/>
    <s v="New"/>
    <x v="2"/>
    <n v="41"/>
    <n v="1"/>
  </r>
  <r>
    <n v="4077"/>
    <x v="16"/>
    <n v="1877"/>
    <x v="0"/>
    <x v="3"/>
    <x v="3"/>
    <n v="2"/>
    <n v="9282"/>
    <s v="COD"/>
    <x v="0"/>
    <x v="2"/>
    <n v="10"/>
    <n v="1"/>
    <n v="0"/>
    <s v="New"/>
    <x v="0"/>
    <n v="32"/>
    <n v="1"/>
  </r>
  <r>
    <n v="4078"/>
    <x v="45"/>
    <n v="1347"/>
    <x v="4"/>
    <x v="1"/>
    <x v="0"/>
    <n v="4"/>
    <n v="0"/>
    <s v="Card"/>
    <x v="1"/>
    <x v="1"/>
    <n v="6"/>
    <n v="0"/>
    <n v="0"/>
    <s v="Repeat"/>
    <x v="6"/>
    <n v="2"/>
    <n v="0"/>
  </r>
  <r>
    <n v="4079"/>
    <x v="104"/>
    <n v="1642"/>
    <x v="0"/>
    <x v="3"/>
    <x v="3"/>
    <n v="2"/>
    <n v="0"/>
    <s v="UPI"/>
    <x v="1"/>
    <x v="3"/>
    <n v="7"/>
    <n v="1"/>
    <n v="1"/>
    <s v="Repeat"/>
    <x v="5"/>
    <n v="29"/>
    <n v="0"/>
  </r>
  <r>
    <n v="4080"/>
    <x v="62"/>
    <n v="1831"/>
    <x v="2"/>
    <x v="1"/>
    <x v="1"/>
    <n v="1"/>
    <n v="0"/>
    <s v="Card"/>
    <x v="1"/>
    <x v="1"/>
    <n v="7"/>
    <n v="1"/>
    <n v="0"/>
    <s v="New"/>
    <x v="2"/>
    <n v="43"/>
    <n v="0"/>
  </r>
  <r>
    <n v="4081"/>
    <x v="176"/>
    <n v="1516"/>
    <x v="0"/>
    <x v="0"/>
    <x v="0"/>
    <n v="4"/>
    <n v="11176"/>
    <s v="Card"/>
    <x v="0"/>
    <x v="3"/>
    <n v="5"/>
    <n v="0"/>
    <n v="0"/>
    <s v="Repeat"/>
    <x v="3"/>
    <n v="51"/>
    <n v="1"/>
  </r>
  <r>
    <n v="4082"/>
    <x v="92"/>
    <n v="1306"/>
    <x v="4"/>
    <x v="2"/>
    <x v="0"/>
    <n v="5"/>
    <n v="0"/>
    <s v="Wallet"/>
    <x v="1"/>
    <x v="1"/>
    <n v="9"/>
    <n v="1"/>
    <n v="1"/>
    <s v="New"/>
    <x v="3"/>
    <n v="53"/>
    <n v="0"/>
  </r>
  <r>
    <n v="4083"/>
    <x v="114"/>
    <n v="1765"/>
    <x v="3"/>
    <x v="2"/>
    <x v="0"/>
    <n v="5"/>
    <n v="0"/>
    <s v="UPI"/>
    <x v="2"/>
    <x v="3"/>
    <n v="7"/>
    <n v="1"/>
    <n v="0"/>
    <s v="Repeat"/>
    <x v="3"/>
    <n v="50"/>
    <n v="0"/>
  </r>
  <r>
    <n v="4084"/>
    <x v="145"/>
    <n v="1159"/>
    <x v="2"/>
    <x v="3"/>
    <x v="0"/>
    <n v="5"/>
    <n v="0"/>
    <s v="Card"/>
    <x v="2"/>
    <x v="1"/>
    <n v="1"/>
    <n v="1"/>
    <n v="0"/>
    <s v="Repeat"/>
    <x v="4"/>
    <n v="48"/>
    <n v="0"/>
  </r>
  <r>
    <n v="4085"/>
    <x v="49"/>
    <n v="1661"/>
    <x v="0"/>
    <x v="3"/>
    <x v="0"/>
    <n v="4"/>
    <n v="0"/>
    <s v="Wallet"/>
    <x v="2"/>
    <x v="3"/>
    <n v="4"/>
    <n v="1"/>
    <n v="1"/>
    <s v="Repeat"/>
    <x v="0"/>
    <n v="36"/>
    <n v="0"/>
  </r>
  <r>
    <n v="4086"/>
    <x v="148"/>
    <n v="1726"/>
    <x v="3"/>
    <x v="1"/>
    <x v="0"/>
    <n v="2"/>
    <n v="0"/>
    <s v="COD"/>
    <x v="2"/>
    <x v="0"/>
    <n v="4"/>
    <n v="1"/>
    <n v="1"/>
    <s v="Repeat"/>
    <x v="5"/>
    <n v="30"/>
    <n v="0"/>
  </r>
  <r>
    <n v="4087"/>
    <x v="128"/>
    <n v="1394"/>
    <x v="0"/>
    <x v="0"/>
    <x v="2"/>
    <n v="5"/>
    <n v="14780"/>
    <s v="Card"/>
    <x v="0"/>
    <x v="3"/>
    <n v="6"/>
    <n v="0"/>
    <n v="1"/>
    <s v="Repeat"/>
    <x v="1"/>
    <n v="39"/>
    <n v="1"/>
  </r>
  <r>
    <n v="4088"/>
    <x v="124"/>
    <n v="1600"/>
    <x v="4"/>
    <x v="0"/>
    <x v="3"/>
    <n v="2"/>
    <n v="6394"/>
    <s v="Card"/>
    <x v="0"/>
    <x v="1"/>
    <n v="1"/>
    <n v="1"/>
    <n v="0"/>
    <s v="Repeat"/>
    <x v="1"/>
    <n v="37"/>
    <n v="1"/>
  </r>
  <r>
    <n v="4089"/>
    <x v="37"/>
    <n v="1975"/>
    <x v="2"/>
    <x v="3"/>
    <x v="1"/>
    <n v="2"/>
    <n v="0"/>
    <s v="Card"/>
    <x v="1"/>
    <x v="1"/>
    <n v="4"/>
    <n v="1"/>
    <n v="1"/>
    <s v="Repeat"/>
    <x v="4"/>
    <n v="46"/>
    <n v="0"/>
  </r>
  <r>
    <n v="4090"/>
    <x v="150"/>
    <n v="1864"/>
    <x v="4"/>
    <x v="1"/>
    <x v="0"/>
    <n v="3"/>
    <n v="0"/>
    <s v="Wallet"/>
    <x v="2"/>
    <x v="1"/>
    <n v="8"/>
    <n v="1"/>
    <n v="0"/>
    <s v="New"/>
    <x v="0"/>
    <n v="35"/>
    <n v="0"/>
  </r>
  <r>
    <n v="4091"/>
    <x v="142"/>
    <n v="1692"/>
    <x v="0"/>
    <x v="3"/>
    <x v="2"/>
    <n v="4"/>
    <n v="0"/>
    <s v="UPI"/>
    <x v="2"/>
    <x v="3"/>
    <n v="1"/>
    <n v="1"/>
    <n v="0"/>
    <s v="New"/>
    <x v="2"/>
    <n v="42"/>
    <n v="0"/>
  </r>
  <r>
    <n v="4092"/>
    <x v="151"/>
    <n v="1258"/>
    <x v="0"/>
    <x v="4"/>
    <x v="0"/>
    <n v="4"/>
    <n v="0"/>
    <s v="Card"/>
    <x v="1"/>
    <x v="3"/>
    <n v="3"/>
    <n v="1"/>
    <n v="0"/>
    <s v="New"/>
    <x v="3"/>
    <n v="52"/>
    <n v="0"/>
  </r>
  <r>
    <n v="4093"/>
    <x v="28"/>
    <n v="1212"/>
    <x v="3"/>
    <x v="3"/>
    <x v="0"/>
    <n v="5"/>
    <n v="0"/>
    <s v="COD"/>
    <x v="1"/>
    <x v="1"/>
    <n v="5"/>
    <n v="1"/>
    <n v="0"/>
    <s v="Repeat"/>
    <x v="0"/>
    <n v="33"/>
    <n v="0"/>
  </r>
  <r>
    <n v="4094"/>
    <x v="89"/>
    <n v="1315"/>
    <x v="1"/>
    <x v="0"/>
    <x v="2"/>
    <n v="1"/>
    <n v="0"/>
    <s v="Card"/>
    <x v="2"/>
    <x v="2"/>
    <n v="5"/>
    <n v="0"/>
    <n v="1"/>
    <s v="Repeat"/>
    <x v="0"/>
    <n v="35"/>
    <n v="0"/>
  </r>
  <r>
    <n v="4095"/>
    <x v="10"/>
    <n v="1773"/>
    <x v="4"/>
    <x v="1"/>
    <x v="0"/>
    <n v="1"/>
    <n v="4999"/>
    <s v="COD"/>
    <x v="0"/>
    <x v="1"/>
    <n v="7"/>
    <n v="0"/>
    <n v="1"/>
    <s v="Repeat"/>
    <x v="3"/>
    <n v="49"/>
    <n v="1"/>
  </r>
  <r>
    <n v="4096"/>
    <x v="158"/>
    <n v="1008"/>
    <x v="3"/>
    <x v="4"/>
    <x v="2"/>
    <n v="4"/>
    <n v="0"/>
    <s v="COD"/>
    <x v="1"/>
    <x v="1"/>
    <n v="1"/>
    <n v="0"/>
    <n v="0"/>
    <s v="Repeat"/>
    <x v="1"/>
    <n v="38"/>
    <n v="0"/>
  </r>
  <r>
    <n v="4097"/>
    <x v="80"/>
    <n v="1318"/>
    <x v="0"/>
    <x v="3"/>
    <x v="2"/>
    <n v="4"/>
    <n v="19272"/>
    <s v="Card"/>
    <x v="0"/>
    <x v="1"/>
    <n v="2"/>
    <n v="1"/>
    <n v="1"/>
    <s v="Repeat"/>
    <x v="6"/>
    <n v="2"/>
    <n v="1"/>
  </r>
  <r>
    <n v="4098"/>
    <x v="61"/>
    <n v="1914"/>
    <x v="0"/>
    <x v="0"/>
    <x v="1"/>
    <n v="1"/>
    <n v="0"/>
    <s v="Card"/>
    <x v="2"/>
    <x v="1"/>
    <n v="3"/>
    <n v="1"/>
    <n v="0"/>
    <s v="Repeat"/>
    <x v="4"/>
    <n v="46"/>
    <n v="0"/>
  </r>
  <r>
    <n v="4099"/>
    <x v="21"/>
    <n v="1489"/>
    <x v="2"/>
    <x v="4"/>
    <x v="3"/>
    <n v="2"/>
    <n v="0"/>
    <s v="COD"/>
    <x v="2"/>
    <x v="1"/>
    <n v="8"/>
    <n v="1"/>
    <n v="1"/>
    <s v="New"/>
    <x v="2"/>
    <n v="43"/>
    <n v="0"/>
  </r>
  <r>
    <n v="4100"/>
    <x v="39"/>
    <n v="1109"/>
    <x v="3"/>
    <x v="3"/>
    <x v="3"/>
    <n v="4"/>
    <n v="0"/>
    <s v="Wallet"/>
    <x v="2"/>
    <x v="1"/>
    <n v="5"/>
    <n v="0"/>
    <n v="1"/>
    <s v="Repeat"/>
    <x v="0"/>
    <n v="34"/>
    <n v="0"/>
  </r>
  <r>
    <n v="4101"/>
    <x v="33"/>
    <n v="1935"/>
    <x v="3"/>
    <x v="4"/>
    <x v="1"/>
    <n v="1"/>
    <n v="0"/>
    <s v="Card"/>
    <x v="1"/>
    <x v="3"/>
    <n v="7"/>
    <n v="1"/>
    <n v="1"/>
    <s v="New"/>
    <x v="5"/>
    <n v="31"/>
    <n v="0"/>
  </r>
  <r>
    <n v="4102"/>
    <x v="145"/>
    <n v="1984"/>
    <x v="0"/>
    <x v="2"/>
    <x v="0"/>
    <n v="1"/>
    <n v="0"/>
    <s v="UPI"/>
    <x v="2"/>
    <x v="0"/>
    <n v="6"/>
    <n v="0"/>
    <n v="0"/>
    <s v="Repeat"/>
    <x v="4"/>
    <n v="48"/>
    <n v="0"/>
  </r>
  <r>
    <n v="4103"/>
    <x v="133"/>
    <n v="1028"/>
    <x v="0"/>
    <x v="4"/>
    <x v="3"/>
    <n v="2"/>
    <n v="5060"/>
    <s v="Card"/>
    <x v="0"/>
    <x v="3"/>
    <n v="3"/>
    <n v="0"/>
    <n v="0"/>
    <s v="New"/>
    <x v="0"/>
    <n v="35"/>
    <n v="1"/>
  </r>
  <r>
    <n v="4104"/>
    <x v="82"/>
    <n v="1923"/>
    <x v="2"/>
    <x v="0"/>
    <x v="3"/>
    <n v="4"/>
    <n v="0"/>
    <s v="Card"/>
    <x v="2"/>
    <x v="1"/>
    <n v="1"/>
    <n v="0"/>
    <n v="0"/>
    <s v="Repeat"/>
    <x v="0"/>
    <n v="33"/>
    <n v="0"/>
  </r>
  <r>
    <n v="4105"/>
    <x v="108"/>
    <n v="1515"/>
    <x v="2"/>
    <x v="1"/>
    <x v="0"/>
    <n v="3"/>
    <n v="14046"/>
    <s v="Wallet"/>
    <x v="0"/>
    <x v="2"/>
    <n v="4"/>
    <n v="1"/>
    <n v="0"/>
    <s v="Repeat"/>
    <x v="2"/>
    <n v="44"/>
    <n v="1"/>
  </r>
  <r>
    <n v="4106"/>
    <x v="132"/>
    <n v="1109"/>
    <x v="1"/>
    <x v="1"/>
    <x v="3"/>
    <n v="1"/>
    <n v="0"/>
    <s v="COD"/>
    <x v="2"/>
    <x v="1"/>
    <n v="10"/>
    <n v="1"/>
    <n v="0"/>
    <s v="New"/>
    <x v="2"/>
    <n v="42"/>
    <n v="0"/>
  </r>
  <r>
    <n v="4107"/>
    <x v="146"/>
    <n v="1857"/>
    <x v="3"/>
    <x v="2"/>
    <x v="0"/>
    <n v="2"/>
    <n v="7180"/>
    <s v="Wallet"/>
    <x v="0"/>
    <x v="2"/>
    <n v="3"/>
    <n v="0"/>
    <n v="0"/>
    <s v="Repeat"/>
    <x v="2"/>
    <n v="40"/>
    <n v="1"/>
  </r>
  <r>
    <n v="4108"/>
    <x v="148"/>
    <n v="1375"/>
    <x v="4"/>
    <x v="4"/>
    <x v="1"/>
    <n v="5"/>
    <n v="0"/>
    <s v="Card"/>
    <x v="2"/>
    <x v="2"/>
    <n v="9"/>
    <n v="0"/>
    <n v="0"/>
    <s v="New"/>
    <x v="5"/>
    <n v="30"/>
    <n v="0"/>
  </r>
  <r>
    <n v="4109"/>
    <x v="21"/>
    <n v="1478"/>
    <x v="1"/>
    <x v="2"/>
    <x v="1"/>
    <n v="4"/>
    <n v="0"/>
    <s v="Card"/>
    <x v="1"/>
    <x v="3"/>
    <n v="9"/>
    <n v="1"/>
    <n v="0"/>
    <s v="Repeat"/>
    <x v="2"/>
    <n v="43"/>
    <n v="0"/>
  </r>
  <r>
    <n v="4110"/>
    <x v="13"/>
    <n v="1380"/>
    <x v="4"/>
    <x v="2"/>
    <x v="2"/>
    <n v="1"/>
    <n v="636"/>
    <s v="COD"/>
    <x v="0"/>
    <x v="1"/>
    <n v="4"/>
    <n v="0"/>
    <n v="1"/>
    <s v="New"/>
    <x v="2"/>
    <n v="41"/>
    <n v="1"/>
  </r>
  <r>
    <n v="4111"/>
    <x v="164"/>
    <n v="1270"/>
    <x v="0"/>
    <x v="4"/>
    <x v="0"/>
    <n v="4"/>
    <n v="18220"/>
    <s v="UPI"/>
    <x v="0"/>
    <x v="0"/>
    <n v="7"/>
    <n v="1"/>
    <n v="1"/>
    <s v="Repeat"/>
    <x v="0"/>
    <n v="34"/>
    <n v="1"/>
  </r>
  <r>
    <n v="4112"/>
    <x v="114"/>
    <n v="1371"/>
    <x v="4"/>
    <x v="1"/>
    <x v="3"/>
    <n v="4"/>
    <n v="2644"/>
    <s v="COD"/>
    <x v="0"/>
    <x v="1"/>
    <n v="9"/>
    <n v="1"/>
    <n v="1"/>
    <s v="New"/>
    <x v="3"/>
    <n v="50"/>
    <n v="1"/>
  </r>
  <r>
    <n v="4113"/>
    <x v="6"/>
    <n v="1438"/>
    <x v="0"/>
    <x v="4"/>
    <x v="3"/>
    <n v="2"/>
    <n v="9512"/>
    <s v="COD"/>
    <x v="0"/>
    <x v="3"/>
    <n v="6"/>
    <n v="0"/>
    <n v="0"/>
    <s v="New"/>
    <x v="4"/>
    <n v="47"/>
    <n v="1"/>
  </r>
  <r>
    <n v="4114"/>
    <x v="6"/>
    <n v="1013"/>
    <x v="3"/>
    <x v="4"/>
    <x v="2"/>
    <n v="4"/>
    <n v="14328"/>
    <s v="UPI"/>
    <x v="0"/>
    <x v="0"/>
    <n v="7"/>
    <n v="1"/>
    <n v="0"/>
    <s v="New"/>
    <x v="4"/>
    <n v="47"/>
    <n v="1"/>
  </r>
  <r>
    <n v="4115"/>
    <x v="77"/>
    <n v="1738"/>
    <x v="3"/>
    <x v="1"/>
    <x v="1"/>
    <n v="2"/>
    <n v="0"/>
    <s v="UPI"/>
    <x v="2"/>
    <x v="0"/>
    <n v="1"/>
    <n v="0"/>
    <n v="1"/>
    <s v="New"/>
    <x v="1"/>
    <n v="38"/>
    <n v="0"/>
  </r>
  <r>
    <n v="4116"/>
    <x v="43"/>
    <n v="1676"/>
    <x v="0"/>
    <x v="1"/>
    <x v="1"/>
    <n v="4"/>
    <n v="0"/>
    <s v="UPI"/>
    <x v="2"/>
    <x v="3"/>
    <n v="3"/>
    <n v="0"/>
    <n v="0"/>
    <s v="New"/>
    <x v="4"/>
    <n v="46"/>
    <n v="0"/>
  </r>
  <r>
    <n v="4117"/>
    <x v="163"/>
    <n v="1229"/>
    <x v="0"/>
    <x v="3"/>
    <x v="2"/>
    <n v="1"/>
    <n v="266"/>
    <s v="Wallet"/>
    <x v="0"/>
    <x v="0"/>
    <n v="8"/>
    <n v="1"/>
    <n v="1"/>
    <s v="New"/>
    <x v="4"/>
    <n v="45"/>
    <n v="1"/>
  </r>
  <r>
    <n v="4118"/>
    <x v="14"/>
    <n v="1511"/>
    <x v="0"/>
    <x v="1"/>
    <x v="0"/>
    <n v="5"/>
    <n v="0"/>
    <s v="COD"/>
    <x v="1"/>
    <x v="0"/>
    <n v="4"/>
    <n v="1"/>
    <n v="1"/>
    <s v="New"/>
    <x v="0"/>
    <n v="34"/>
    <n v="0"/>
  </r>
  <r>
    <n v="4119"/>
    <x v="150"/>
    <n v="1234"/>
    <x v="2"/>
    <x v="1"/>
    <x v="3"/>
    <n v="4"/>
    <n v="0"/>
    <s v="COD"/>
    <x v="1"/>
    <x v="0"/>
    <n v="4"/>
    <n v="0"/>
    <n v="1"/>
    <s v="Repeat"/>
    <x v="0"/>
    <n v="35"/>
    <n v="0"/>
  </r>
  <r>
    <n v="4120"/>
    <x v="40"/>
    <n v="1272"/>
    <x v="0"/>
    <x v="0"/>
    <x v="3"/>
    <n v="2"/>
    <n v="7958"/>
    <s v="UPI"/>
    <x v="0"/>
    <x v="1"/>
    <n v="7"/>
    <n v="0"/>
    <n v="0"/>
    <s v="New"/>
    <x v="0"/>
    <n v="32"/>
    <n v="1"/>
  </r>
  <r>
    <n v="4121"/>
    <x v="66"/>
    <n v="1189"/>
    <x v="0"/>
    <x v="3"/>
    <x v="1"/>
    <n v="4"/>
    <n v="0"/>
    <s v="Wallet"/>
    <x v="2"/>
    <x v="3"/>
    <n v="5"/>
    <n v="0"/>
    <n v="0"/>
    <s v="New"/>
    <x v="1"/>
    <n v="39"/>
    <n v="0"/>
  </r>
  <r>
    <n v="4122"/>
    <x v="10"/>
    <n v="1774"/>
    <x v="2"/>
    <x v="1"/>
    <x v="1"/>
    <n v="2"/>
    <n v="1444"/>
    <s v="COD"/>
    <x v="0"/>
    <x v="1"/>
    <n v="1"/>
    <n v="0"/>
    <n v="1"/>
    <s v="Repeat"/>
    <x v="3"/>
    <n v="49"/>
    <n v="1"/>
  </r>
  <r>
    <n v="4123"/>
    <x v="139"/>
    <n v="1409"/>
    <x v="0"/>
    <x v="4"/>
    <x v="1"/>
    <n v="2"/>
    <n v="9096"/>
    <s v="Wallet"/>
    <x v="0"/>
    <x v="1"/>
    <n v="8"/>
    <n v="1"/>
    <n v="0"/>
    <s v="Repeat"/>
    <x v="4"/>
    <n v="45"/>
    <n v="1"/>
  </r>
  <r>
    <n v="4124"/>
    <x v="15"/>
    <n v="1260"/>
    <x v="2"/>
    <x v="0"/>
    <x v="1"/>
    <n v="5"/>
    <n v="0"/>
    <s v="Card"/>
    <x v="1"/>
    <x v="2"/>
    <n v="10"/>
    <n v="1"/>
    <n v="1"/>
    <s v="New"/>
    <x v="4"/>
    <n v="47"/>
    <n v="0"/>
  </r>
  <r>
    <n v="4125"/>
    <x v="80"/>
    <n v="1351"/>
    <x v="3"/>
    <x v="0"/>
    <x v="1"/>
    <n v="5"/>
    <n v="4090"/>
    <s v="COD"/>
    <x v="0"/>
    <x v="0"/>
    <n v="8"/>
    <n v="0"/>
    <n v="1"/>
    <s v="Repeat"/>
    <x v="6"/>
    <n v="2"/>
    <n v="1"/>
  </r>
  <r>
    <n v="4126"/>
    <x v="49"/>
    <n v="1020"/>
    <x v="1"/>
    <x v="3"/>
    <x v="0"/>
    <n v="1"/>
    <n v="0"/>
    <s v="Card"/>
    <x v="2"/>
    <x v="3"/>
    <n v="6"/>
    <n v="1"/>
    <n v="1"/>
    <s v="New"/>
    <x v="0"/>
    <n v="36"/>
    <n v="0"/>
  </r>
  <r>
    <n v="4127"/>
    <x v="109"/>
    <n v="1329"/>
    <x v="3"/>
    <x v="1"/>
    <x v="0"/>
    <n v="3"/>
    <n v="6519"/>
    <s v="UPI"/>
    <x v="0"/>
    <x v="1"/>
    <n v="10"/>
    <n v="1"/>
    <n v="0"/>
    <s v="Repeat"/>
    <x v="4"/>
    <n v="46"/>
    <n v="1"/>
  </r>
  <r>
    <n v="4128"/>
    <x v="121"/>
    <n v="1712"/>
    <x v="0"/>
    <x v="2"/>
    <x v="1"/>
    <n v="3"/>
    <n v="0"/>
    <s v="UPI"/>
    <x v="2"/>
    <x v="1"/>
    <n v="10"/>
    <n v="0"/>
    <n v="1"/>
    <s v="New"/>
    <x v="1"/>
    <n v="37"/>
    <n v="0"/>
  </r>
  <r>
    <n v="4129"/>
    <x v="99"/>
    <n v="1141"/>
    <x v="1"/>
    <x v="2"/>
    <x v="1"/>
    <n v="4"/>
    <n v="0"/>
    <s v="UPI"/>
    <x v="1"/>
    <x v="1"/>
    <n v="5"/>
    <n v="1"/>
    <n v="1"/>
    <s v="Repeat"/>
    <x v="4"/>
    <n v="48"/>
    <n v="0"/>
  </r>
  <r>
    <n v="4130"/>
    <x v="147"/>
    <n v="1945"/>
    <x v="4"/>
    <x v="0"/>
    <x v="3"/>
    <n v="2"/>
    <n v="0"/>
    <s v="COD"/>
    <x v="1"/>
    <x v="0"/>
    <n v="3"/>
    <n v="1"/>
    <n v="0"/>
    <s v="New"/>
    <x v="4"/>
    <n v="47"/>
    <n v="0"/>
  </r>
  <r>
    <n v="4131"/>
    <x v="79"/>
    <n v="1504"/>
    <x v="2"/>
    <x v="2"/>
    <x v="0"/>
    <n v="2"/>
    <n v="0"/>
    <s v="Wallet"/>
    <x v="2"/>
    <x v="3"/>
    <n v="6"/>
    <n v="1"/>
    <n v="0"/>
    <s v="Repeat"/>
    <x v="1"/>
    <n v="36"/>
    <n v="0"/>
  </r>
  <r>
    <n v="4132"/>
    <x v="70"/>
    <n v="1831"/>
    <x v="4"/>
    <x v="1"/>
    <x v="0"/>
    <n v="1"/>
    <n v="1928"/>
    <s v="Card"/>
    <x v="0"/>
    <x v="0"/>
    <n v="4"/>
    <n v="0"/>
    <n v="1"/>
    <s v="New"/>
    <x v="2"/>
    <n v="40"/>
    <n v="1"/>
  </r>
  <r>
    <n v="4133"/>
    <x v="26"/>
    <n v="1367"/>
    <x v="2"/>
    <x v="0"/>
    <x v="1"/>
    <n v="1"/>
    <n v="0"/>
    <s v="Card"/>
    <x v="1"/>
    <x v="2"/>
    <n v="5"/>
    <n v="0"/>
    <n v="0"/>
    <s v="Repeat"/>
    <x v="2"/>
    <n v="42"/>
    <n v="0"/>
  </r>
  <r>
    <n v="4134"/>
    <x v="49"/>
    <n v="1187"/>
    <x v="1"/>
    <x v="2"/>
    <x v="2"/>
    <n v="3"/>
    <n v="0"/>
    <s v="Card"/>
    <x v="2"/>
    <x v="2"/>
    <n v="5"/>
    <n v="1"/>
    <n v="1"/>
    <s v="New"/>
    <x v="0"/>
    <n v="36"/>
    <n v="0"/>
  </r>
  <r>
    <n v="4135"/>
    <x v="131"/>
    <n v="1395"/>
    <x v="3"/>
    <x v="0"/>
    <x v="3"/>
    <n v="1"/>
    <n v="0"/>
    <s v="Card"/>
    <x v="1"/>
    <x v="0"/>
    <n v="8"/>
    <n v="1"/>
    <n v="1"/>
    <s v="Repeat"/>
    <x v="4"/>
    <n v="47"/>
    <n v="0"/>
  </r>
  <r>
    <n v="4136"/>
    <x v="141"/>
    <n v="1249"/>
    <x v="0"/>
    <x v="2"/>
    <x v="2"/>
    <n v="3"/>
    <n v="0"/>
    <s v="UPI"/>
    <x v="2"/>
    <x v="3"/>
    <n v="7"/>
    <n v="1"/>
    <n v="0"/>
    <s v="Repeat"/>
    <x v="1"/>
    <n v="39"/>
    <n v="0"/>
  </r>
  <r>
    <n v="4137"/>
    <x v="158"/>
    <n v="1126"/>
    <x v="1"/>
    <x v="1"/>
    <x v="1"/>
    <n v="2"/>
    <n v="1190"/>
    <s v="UPI"/>
    <x v="0"/>
    <x v="3"/>
    <n v="4"/>
    <n v="0"/>
    <n v="1"/>
    <s v="New"/>
    <x v="1"/>
    <n v="38"/>
    <n v="1"/>
  </r>
  <r>
    <n v="4138"/>
    <x v="19"/>
    <n v="1071"/>
    <x v="1"/>
    <x v="4"/>
    <x v="2"/>
    <n v="4"/>
    <n v="0"/>
    <s v="Wallet"/>
    <x v="1"/>
    <x v="1"/>
    <n v="10"/>
    <n v="1"/>
    <n v="1"/>
    <s v="New"/>
    <x v="0"/>
    <n v="33"/>
    <n v="0"/>
  </r>
  <r>
    <n v="4139"/>
    <x v="57"/>
    <n v="1523"/>
    <x v="1"/>
    <x v="1"/>
    <x v="0"/>
    <n v="4"/>
    <n v="15948"/>
    <s v="Card"/>
    <x v="0"/>
    <x v="1"/>
    <n v="7"/>
    <n v="0"/>
    <n v="1"/>
    <s v="Repeat"/>
    <x v="4"/>
    <n v="48"/>
    <n v="1"/>
  </r>
  <r>
    <n v="4140"/>
    <x v="116"/>
    <n v="1161"/>
    <x v="4"/>
    <x v="3"/>
    <x v="2"/>
    <n v="1"/>
    <n v="0"/>
    <s v="Card"/>
    <x v="1"/>
    <x v="2"/>
    <n v="9"/>
    <n v="1"/>
    <n v="0"/>
    <s v="New"/>
    <x v="3"/>
    <n v="50"/>
    <n v="0"/>
  </r>
  <r>
    <n v="4141"/>
    <x v="131"/>
    <n v="1074"/>
    <x v="3"/>
    <x v="4"/>
    <x v="3"/>
    <n v="1"/>
    <n v="0"/>
    <s v="Card"/>
    <x v="1"/>
    <x v="0"/>
    <n v="3"/>
    <n v="0"/>
    <n v="0"/>
    <s v="New"/>
    <x v="4"/>
    <n v="47"/>
    <n v="0"/>
  </r>
  <r>
    <n v="4142"/>
    <x v="128"/>
    <n v="1277"/>
    <x v="4"/>
    <x v="2"/>
    <x v="1"/>
    <n v="5"/>
    <n v="8565"/>
    <s v="UPI"/>
    <x v="0"/>
    <x v="3"/>
    <n v="8"/>
    <n v="0"/>
    <n v="1"/>
    <s v="New"/>
    <x v="1"/>
    <n v="39"/>
    <n v="1"/>
  </r>
  <r>
    <n v="4143"/>
    <x v="79"/>
    <n v="1598"/>
    <x v="4"/>
    <x v="4"/>
    <x v="1"/>
    <n v="1"/>
    <n v="0"/>
    <s v="COD"/>
    <x v="1"/>
    <x v="1"/>
    <n v="4"/>
    <n v="0"/>
    <n v="1"/>
    <s v="Repeat"/>
    <x v="1"/>
    <n v="36"/>
    <n v="0"/>
  </r>
  <r>
    <n v="4144"/>
    <x v="140"/>
    <n v="1972"/>
    <x v="2"/>
    <x v="0"/>
    <x v="0"/>
    <n v="1"/>
    <n v="0"/>
    <s v="UPI"/>
    <x v="1"/>
    <x v="0"/>
    <n v="4"/>
    <n v="0"/>
    <n v="0"/>
    <s v="New"/>
    <x v="4"/>
    <n v="48"/>
    <n v="0"/>
  </r>
  <r>
    <n v="4145"/>
    <x v="51"/>
    <n v="1506"/>
    <x v="3"/>
    <x v="4"/>
    <x v="0"/>
    <n v="3"/>
    <n v="14043"/>
    <s v="Wallet"/>
    <x v="0"/>
    <x v="3"/>
    <n v="5"/>
    <n v="0"/>
    <n v="1"/>
    <s v="New"/>
    <x v="5"/>
    <n v="29"/>
    <n v="1"/>
  </r>
  <r>
    <n v="4146"/>
    <x v="50"/>
    <n v="1213"/>
    <x v="1"/>
    <x v="1"/>
    <x v="3"/>
    <n v="3"/>
    <n v="0"/>
    <s v="UPI"/>
    <x v="1"/>
    <x v="0"/>
    <n v="5"/>
    <n v="0"/>
    <n v="0"/>
    <s v="New"/>
    <x v="3"/>
    <n v="53"/>
    <n v="0"/>
  </r>
  <r>
    <n v="4147"/>
    <x v="24"/>
    <n v="1123"/>
    <x v="3"/>
    <x v="3"/>
    <x v="3"/>
    <n v="2"/>
    <n v="0"/>
    <s v="UPI"/>
    <x v="1"/>
    <x v="2"/>
    <n v="10"/>
    <n v="0"/>
    <n v="1"/>
    <s v="Repeat"/>
    <x v="5"/>
    <n v="30"/>
    <n v="0"/>
  </r>
  <r>
    <n v="4148"/>
    <x v="46"/>
    <n v="1883"/>
    <x v="0"/>
    <x v="2"/>
    <x v="3"/>
    <n v="4"/>
    <n v="0"/>
    <s v="UPI"/>
    <x v="1"/>
    <x v="1"/>
    <n v="10"/>
    <n v="1"/>
    <n v="1"/>
    <s v="Repeat"/>
    <x v="5"/>
    <n v="30"/>
    <n v="0"/>
  </r>
  <r>
    <n v="4149"/>
    <x v="143"/>
    <n v="1416"/>
    <x v="1"/>
    <x v="3"/>
    <x v="3"/>
    <n v="5"/>
    <n v="15665"/>
    <s v="COD"/>
    <x v="0"/>
    <x v="3"/>
    <n v="3"/>
    <n v="1"/>
    <n v="0"/>
    <s v="Repeat"/>
    <x v="2"/>
    <n v="43"/>
    <n v="1"/>
  </r>
  <r>
    <n v="4150"/>
    <x v="123"/>
    <n v="1472"/>
    <x v="1"/>
    <x v="3"/>
    <x v="2"/>
    <n v="4"/>
    <n v="0"/>
    <s v="Wallet"/>
    <x v="1"/>
    <x v="0"/>
    <n v="10"/>
    <n v="0"/>
    <n v="0"/>
    <s v="Repeat"/>
    <x v="0"/>
    <n v="34"/>
    <n v="0"/>
  </r>
  <r>
    <n v="4151"/>
    <x v="66"/>
    <n v="1704"/>
    <x v="0"/>
    <x v="4"/>
    <x v="3"/>
    <n v="4"/>
    <n v="0"/>
    <s v="COD"/>
    <x v="1"/>
    <x v="3"/>
    <n v="4"/>
    <n v="0"/>
    <n v="1"/>
    <s v="Repeat"/>
    <x v="1"/>
    <n v="39"/>
    <n v="0"/>
  </r>
  <r>
    <n v="4152"/>
    <x v="180"/>
    <n v="1877"/>
    <x v="4"/>
    <x v="1"/>
    <x v="0"/>
    <n v="1"/>
    <n v="4253"/>
    <s v="UPI"/>
    <x v="0"/>
    <x v="1"/>
    <n v="7"/>
    <n v="1"/>
    <n v="0"/>
    <s v="New"/>
    <x v="4"/>
    <n v="46"/>
    <n v="1"/>
  </r>
  <r>
    <n v="4153"/>
    <x v="69"/>
    <n v="1535"/>
    <x v="1"/>
    <x v="2"/>
    <x v="0"/>
    <n v="3"/>
    <n v="6894"/>
    <s v="UPI"/>
    <x v="0"/>
    <x v="0"/>
    <n v="10"/>
    <n v="1"/>
    <n v="1"/>
    <s v="New"/>
    <x v="2"/>
    <n v="40"/>
    <n v="1"/>
  </r>
  <r>
    <n v="4154"/>
    <x v="138"/>
    <n v="1841"/>
    <x v="0"/>
    <x v="4"/>
    <x v="3"/>
    <n v="5"/>
    <n v="0"/>
    <s v="UPI"/>
    <x v="2"/>
    <x v="1"/>
    <n v="3"/>
    <n v="0"/>
    <n v="1"/>
    <s v="New"/>
    <x v="2"/>
    <n v="44"/>
    <n v="0"/>
  </r>
  <r>
    <n v="4155"/>
    <x v="174"/>
    <n v="1168"/>
    <x v="2"/>
    <x v="2"/>
    <x v="0"/>
    <n v="5"/>
    <n v="0"/>
    <s v="Card"/>
    <x v="2"/>
    <x v="2"/>
    <n v="4"/>
    <n v="1"/>
    <n v="0"/>
    <s v="New"/>
    <x v="5"/>
    <n v="29"/>
    <n v="0"/>
  </r>
  <r>
    <n v="4156"/>
    <x v="0"/>
    <n v="1598"/>
    <x v="0"/>
    <x v="3"/>
    <x v="1"/>
    <n v="4"/>
    <n v="0"/>
    <s v="UPI"/>
    <x v="2"/>
    <x v="1"/>
    <n v="6"/>
    <n v="1"/>
    <n v="1"/>
    <s v="New"/>
    <x v="0"/>
    <n v="32"/>
    <n v="0"/>
  </r>
  <r>
    <n v="4157"/>
    <x v="90"/>
    <n v="1560"/>
    <x v="0"/>
    <x v="2"/>
    <x v="2"/>
    <n v="1"/>
    <n v="0"/>
    <s v="Wallet"/>
    <x v="1"/>
    <x v="0"/>
    <n v="2"/>
    <n v="1"/>
    <n v="1"/>
    <s v="Repeat"/>
    <x v="0"/>
    <n v="31"/>
    <n v="0"/>
  </r>
  <r>
    <n v="4158"/>
    <x v="90"/>
    <n v="1516"/>
    <x v="4"/>
    <x v="1"/>
    <x v="3"/>
    <n v="5"/>
    <n v="4885"/>
    <s v="Card"/>
    <x v="0"/>
    <x v="0"/>
    <n v="1"/>
    <n v="0"/>
    <n v="1"/>
    <s v="Repeat"/>
    <x v="0"/>
    <n v="31"/>
    <n v="1"/>
  </r>
  <r>
    <n v="4159"/>
    <x v="50"/>
    <n v="1083"/>
    <x v="0"/>
    <x v="3"/>
    <x v="0"/>
    <n v="4"/>
    <n v="0"/>
    <s v="Wallet"/>
    <x v="1"/>
    <x v="3"/>
    <n v="2"/>
    <n v="0"/>
    <n v="0"/>
    <s v="Repeat"/>
    <x v="3"/>
    <n v="53"/>
    <n v="0"/>
  </r>
  <r>
    <n v="4160"/>
    <x v="10"/>
    <n v="1891"/>
    <x v="3"/>
    <x v="1"/>
    <x v="3"/>
    <n v="5"/>
    <n v="0"/>
    <s v="COD"/>
    <x v="2"/>
    <x v="2"/>
    <n v="8"/>
    <n v="1"/>
    <n v="0"/>
    <s v="New"/>
    <x v="3"/>
    <n v="49"/>
    <n v="0"/>
  </r>
  <r>
    <n v="4161"/>
    <x v="57"/>
    <n v="1637"/>
    <x v="1"/>
    <x v="0"/>
    <x v="3"/>
    <n v="3"/>
    <n v="0"/>
    <s v="Card"/>
    <x v="2"/>
    <x v="0"/>
    <n v="8"/>
    <n v="0"/>
    <n v="0"/>
    <s v="New"/>
    <x v="4"/>
    <n v="48"/>
    <n v="0"/>
  </r>
  <r>
    <n v="4162"/>
    <x v="159"/>
    <n v="1448"/>
    <x v="4"/>
    <x v="4"/>
    <x v="1"/>
    <n v="5"/>
    <n v="0"/>
    <s v="Card"/>
    <x v="1"/>
    <x v="0"/>
    <n v="4"/>
    <n v="0"/>
    <n v="0"/>
    <s v="Repeat"/>
    <x v="3"/>
    <n v="49"/>
    <n v="0"/>
  </r>
  <r>
    <n v="4163"/>
    <x v="4"/>
    <n v="1638"/>
    <x v="4"/>
    <x v="0"/>
    <x v="2"/>
    <n v="1"/>
    <n v="0"/>
    <s v="UPI"/>
    <x v="1"/>
    <x v="3"/>
    <n v="6"/>
    <n v="1"/>
    <n v="0"/>
    <s v="Repeat"/>
    <x v="3"/>
    <n v="50"/>
    <n v="0"/>
  </r>
  <r>
    <n v="4164"/>
    <x v="85"/>
    <n v="1546"/>
    <x v="4"/>
    <x v="0"/>
    <x v="2"/>
    <n v="3"/>
    <n v="0"/>
    <s v="Card"/>
    <x v="2"/>
    <x v="2"/>
    <n v="6"/>
    <n v="1"/>
    <n v="1"/>
    <s v="Repeat"/>
    <x v="3"/>
    <n v="50"/>
    <n v="0"/>
  </r>
  <r>
    <n v="4165"/>
    <x v="122"/>
    <n v="1640"/>
    <x v="0"/>
    <x v="3"/>
    <x v="0"/>
    <n v="1"/>
    <n v="2673"/>
    <s v="UPI"/>
    <x v="0"/>
    <x v="3"/>
    <n v="8"/>
    <n v="1"/>
    <n v="0"/>
    <s v="New"/>
    <x v="3"/>
    <n v="53"/>
    <n v="1"/>
  </r>
  <r>
    <n v="4166"/>
    <x v="112"/>
    <n v="1370"/>
    <x v="3"/>
    <x v="0"/>
    <x v="0"/>
    <n v="3"/>
    <n v="0"/>
    <s v="UPI"/>
    <x v="2"/>
    <x v="2"/>
    <n v="7"/>
    <n v="1"/>
    <n v="1"/>
    <s v="New"/>
    <x v="5"/>
    <n v="30"/>
    <n v="0"/>
  </r>
  <r>
    <n v="4167"/>
    <x v="128"/>
    <n v="1664"/>
    <x v="4"/>
    <x v="2"/>
    <x v="1"/>
    <n v="3"/>
    <n v="10506"/>
    <s v="COD"/>
    <x v="0"/>
    <x v="1"/>
    <n v="3"/>
    <n v="0"/>
    <n v="0"/>
    <s v="New"/>
    <x v="1"/>
    <n v="39"/>
    <n v="1"/>
  </r>
  <r>
    <n v="4168"/>
    <x v="2"/>
    <n v="1827"/>
    <x v="1"/>
    <x v="2"/>
    <x v="0"/>
    <n v="2"/>
    <n v="1978"/>
    <s v="Wallet"/>
    <x v="0"/>
    <x v="0"/>
    <n v="5"/>
    <n v="0"/>
    <n v="1"/>
    <s v="Repeat"/>
    <x v="2"/>
    <n v="41"/>
    <n v="1"/>
  </r>
  <r>
    <n v="4169"/>
    <x v="127"/>
    <n v="1567"/>
    <x v="1"/>
    <x v="2"/>
    <x v="1"/>
    <n v="3"/>
    <n v="7644"/>
    <s v="COD"/>
    <x v="0"/>
    <x v="0"/>
    <n v="5"/>
    <n v="1"/>
    <n v="0"/>
    <s v="Repeat"/>
    <x v="5"/>
    <n v="29"/>
    <n v="1"/>
  </r>
  <r>
    <n v="4170"/>
    <x v="173"/>
    <n v="1464"/>
    <x v="3"/>
    <x v="0"/>
    <x v="2"/>
    <n v="5"/>
    <n v="0"/>
    <s v="COD"/>
    <x v="1"/>
    <x v="0"/>
    <n v="6"/>
    <n v="1"/>
    <n v="0"/>
    <s v="Repeat"/>
    <x v="5"/>
    <n v="30"/>
    <n v="0"/>
  </r>
  <r>
    <n v="4171"/>
    <x v="154"/>
    <n v="1227"/>
    <x v="0"/>
    <x v="3"/>
    <x v="2"/>
    <n v="5"/>
    <n v="0"/>
    <s v="COD"/>
    <x v="2"/>
    <x v="2"/>
    <n v="1"/>
    <n v="0"/>
    <n v="0"/>
    <s v="New"/>
    <x v="2"/>
    <n v="42"/>
    <n v="0"/>
  </r>
  <r>
    <n v="4172"/>
    <x v="54"/>
    <n v="1808"/>
    <x v="4"/>
    <x v="3"/>
    <x v="2"/>
    <n v="4"/>
    <n v="13448"/>
    <s v="COD"/>
    <x v="0"/>
    <x v="1"/>
    <n v="8"/>
    <n v="1"/>
    <n v="0"/>
    <s v="New"/>
    <x v="0"/>
    <n v="34"/>
    <n v="1"/>
  </r>
  <r>
    <n v="4173"/>
    <x v="109"/>
    <n v="1937"/>
    <x v="0"/>
    <x v="3"/>
    <x v="2"/>
    <n v="1"/>
    <n v="2437"/>
    <s v="Wallet"/>
    <x v="0"/>
    <x v="0"/>
    <n v="1"/>
    <n v="0"/>
    <n v="1"/>
    <s v="Repeat"/>
    <x v="4"/>
    <n v="46"/>
    <n v="1"/>
  </r>
  <r>
    <n v="4174"/>
    <x v="138"/>
    <n v="1396"/>
    <x v="4"/>
    <x v="2"/>
    <x v="2"/>
    <n v="2"/>
    <n v="0"/>
    <s v="Card"/>
    <x v="2"/>
    <x v="1"/>
    <n v="1"/>
    <n v="1"/>
    <n v="0"/>
    <s v="Repeat"/>
    <x v="2"/>
    <n v="44"/>
    <n v="0"/>
  </r>
  <r>
    <n v="4175"/>
    <x v="45"/>
    <n v="1700"/>
    <x v="0"/>
    <x v="2"/>
    <x v="3"/>
    <n v="2"/>
    <n v="0"/>
    <s v="COD"/>
    <x v="1"/>
    <x v="2"/>
    <n v="1"/>
    <n v="0"/>
    <n v="1"/>
    <s v="New"/>
    <x v="6"/>
    <n v="2"/>
    <n v="0"/>
  </r>
  <r>
    <n v="4176"/>
    <x v="153"/>
    <n v="1338"/>
    <x v="0"/>
    <x v="0"/>
    <x v="3"/>
    <n v="4"/>
    <n v="0"/>
    <s v="UPI"/>
    <x v="1"/>
    <x v="1"/>
    <n v="10"/>
    <n v="1"/>
    <n v="0"/>
    <s v="New"/>
    <x v="0"/>
    <n v="31"/>
    <n v="0"/>
  </r>
  <r>
    <n v="4177"/>
    <x v="72"/>
    <n v="1237"/>
    <x v="2"/>
    <x v="4"/>
    <x v="0"/>
    <n v="2"/>
    <n v="6404"/>
    <s v="Wallet"/>
    <x v="0"/>
    <x v="3"/>
    <n v="4"/>
    <n v="0"/>
    <n v="1"/>
    <s v="Repeat"/>
    <x v="2"/>
    <n v="41"/>
    <n v="1"/>
  </r>
  <r>
    <n v="4178"/>
    <x v="75"/>
    <n v="1905"/>
    <x v="1"/>
    <x v="4"/>
    <x v="2"/>
    <n v="4"/>
    <n v="0"/>
    <s v="COD"/>
    <x v="1"/>
    <x v="2"/>
    <n v="8"/>
    <n v="0"/>
    <n v="0"/>
    <s v="New"/>
    <x v="3"/>
    <n v="52"/>
    <n v="0"/>
  </r>
  <r>
    <n v="4179"/>
    <x v="122"/>
    <n v="1940"/>
    <x v="2"/>
    <x v="4"/>
    <x v="3"/>
    <n v="4"/>
    <n v="15616"/>
    <s v="Wallet"/>
    <x v="0"/>
    <x v="1"/>
    <n v="3"/>
    <n v="1"/>
    <n v="1"/>
    <s v="Repeat"/>
    <x v="3"/>
    <n v="53"/>
    <n v="1"/>
  </r>
  <r>
    <n v="4180"/>
    <x v="143"/>
    <n v="1005"/>
    <x v="0"/>
    <x v="3"/>
    <x v="3"/>
    <n v="3"/>
    <n v="0"/>
    <s v="UPI"/>
    <x v="1"/>
    <x v="1"/>
    <n v="1"/>
    <n v="0"/>
    <n v="0"/>
    <s v="New"/>
    <x v="2"/>
    <n v="43"/>
    <n v="0"/>
  </r>
  <r>
    <n v="4181"/>
    <x v="72"/>
    <n v="1432"/>
    <x v="2"/>
    <x v="4"/>
    <x v="2"/>
    <n v="4"/>
    <n v="0"/>
    <s v="UPI"/>
    <x v="2"/>
    <x v="3"/>
    <n v="7"/>
    <n v="0"/>
    <n v="0"/>
    <s v="Repeat"/>
    <x v="2"/>
    <n v="41"/>
    <n v="0"/>
  </r>
  <r>
    <n v="4182"/>
    <x v="130"/>
    <n v="1034"/>
    <x v="1"/>
    <x v="3"/>
    <x v="0"/>
    <n v="1"/>
    <n v="1246"/>
    <s v="Card"/>
    <x v="0"/>
    <x v="0"/>
    <n v="3"/>
    <n v="0"/>
    <n v="1"/>
    <s v="Repeat"/>
    <x v="3"/>
    <n v="51"/>
    <n v="1"/>
  </r>
  <r>
    <n v="4183"/>
    <x v="161"/>
    <n v="1562"/>
    <x v="3"/>
    <x v="1"/>
    <x v="0"/>
    <n v="1"/>
    <n v="3529"/>
    <s v="UPI"/>
    <x v="0"/>
    <x v="1"/>
    <n v="9"/>
    <n v="1"/>
    <n v="1"/>
    <s v="Repeat"/>
    <x v="2"/>
    <n v="41"/>
    <n v="1"/>
  </r>
  <r>
    <n v="4184"/>
    <x v="125"/>
    <n v="1002"/>
    <x v="1"/>
    <x v="3"/>
    <x v="2"/>
    <n v="5"/>
    <n v="0"/>
    <s v="COD"/>
    <x v="2"/>
    <x v="2"/>
    <n v="9"/>
    <n v="1"/>
    <n v="0"/>
    <s v="New"/>
    <x v="5"/>
    <n v="31"/>
    <n v="0"/>
  </r>
  <r>
    <n v="4185"/>
    <x v="14"/>
    <n v="1239"/>
    <x v="3"/>
    <x v="0"/>
    <x v="3"/>
    <n v="4"/>
    <n v="8388"/>
    <s v="Wallet"/>
    <x v="0"/>
    <x v="0"/>
    <n v="7"/>
    <n v="1"/>
    <n v="1"/>
    <s v="Repeat"/>
    <x v="0"/>
    <n v="34"/>
    <n v="1"/>
  </r>
  <r>
    <n v="4186"/>
    <x v="111"/>
    <n v="1245"/>
    <x v="1"/>
    <x v="1"/>
    <x v="2"/>
    <n v="4"/>
    <n v="7020"/>
    <s v="Card"/>
    <x v="0"/>
    <x v="0"/>
    <n v="4"/>
    <n v="1"/>
    <n v="0"/>
    <s v="New"/>
    <x v="4"/>
    <n v="48"/>
    <n v="1"/>
  </r>
  <r>
    <n v="4187"/>
    <x v="3"/>
    <n v="1707"/>
    <x v="1"/>
    <x v="2"/>
    <x v="0"/>
    <n v="2"/>
    <n v="9442"/>
    <s v="Card"/>
    <x v="0"/>
    <x v="3"/>
    <n v="5"/>
    <n v="1"/>
    <n v="0"/>
    <s v="New"/>
    <x v="0"/>
    <n v="32"/>
    <n v="1"/>
  </r>
  <r>
    <n v="4188"/>
    <x v="180"/>
    <n v="1215"/>
    <x v="2"/>
    <x v="1"/>
    <x v="3"/>
    <n v="3"/>
    <n v="11196"/>
    <s v="Wallet"/>
    <x v="0"/>
    <x v="3"/>
    <n v="10"/>
    <n v="1"/>
    <n v="1"/>
    <s v="Repeat"/>
    <x v="4"/>
    <n v="46"/>
    <n v="1"/>
  </r>
  <r>
    <n v="4189"/>
    <x v="141"/>
    <n v="1843"/>
    <x v="4"/>
    <x v="2"/>
    <x v="3"/>
    <n v="3"/>
    <n v="9654"/>
    <s v="UPI"/>
    <x v="0"/>
    <x v="0"/>
    <n v="10"/>
    <n v="0"/>
    <n v="0"/>
    <s v="Repeat"/>
    <x v="1"/>
    <n v="39"/>
    <n v="1"/>
  </r>
  <r>
    <n v="4190"/>
    <x v="42"/>
    <n v="1271"/>
    <x v="4"/>
    <x v="2"/>
    <x v="3"/>
    <n v="3"/>
    <n v="5910"/>
    <s v="COD"/>
    <x v="0"/>
    <x v="3"/>
    <n v="3"/>
    <n v="1"/>
    <n v="1"/>
    <s v="Repeat"/>
    <x v="2"/>
    <n v="44"/>
    <n v="1"/>
  </r>
  <r>
    <n v="4191"/>
    <x v="89"/>
    <n v="1826"/>
    <x v="0"/>
    <x v="1"/>
    <x v="1"/>
    <n v="3"/>
    <n v="0"/>
    <s v="Card"/>
    <x v="1"/>
    <x v="3"/>
    <n v="1"/>
    <n v="0"/>
    <n v="0"/>
    <s v="New"/>
    <x v="0"/>
    <n v="35"/>
    <n v="0"/>
  </r>
  <r>
    <n v="4192"/>
    <x v="173"/>
    <n v="1452"/>
    <x v="3"/>
    <x v="1"/>
    <x v="0"/>
    <n v="1"/>
    <n v="0"/>
    <s v="Wallet"/>
    <x v="1"/>
    <x v="0"/>
    <n v="5"/>
    <n v="0"/>
    <n v="0"/>
    <s v="Repeat"/>
    <x v="5"/>
    <n v="30"/>
    <n v="0"/>
  </r>
  <r>
    <n v="4193"/>
    <x v="121"/>
    <n v="1525"/>
    <x v="1"/>
    <x v="0"/>
    <x v="2"/>
    <n v="2"/>
    <n v="0"/>
    <s v="Wallet"/>
    <x v="2"/>
    <x v="0"/>
    <n v="2"/>
    <n v="0"/>
    <n v="1"/>
    <s v="New"/>
    <x v="1"/>
    <n v="37"/>
    <n v="0"/>
  </r>
  <r>
    <n v="4194"/>
    <x v="71"/>
    <n v="1899"/>
    <x v="3"/>
    <x v="3"/>
    <x v="3"/>
    <n v="3"/>
    <n v="0"/>
    <s v="UPI"/>
    <x v="1"/>
    <x v="3"/>
    <n v="8"/>
    <n v="0"/>
    <n v="0"/>
    <s v="Repeat"/>
    <x v="3"/>
    <n v="49"/>
    <n v="0"/>
  </r>
  <r>
    <n v="4195"/>
    <x v="146"/>
    <n v="1007"/>
    <x v="1"/>
    <x v="1"/>
    <x v="1"/>
    <n v="1"/>
    <n v="0"/>
    <s v="Card"/>
    <x v="2"/>
    <x v="0"/>
    <n v="5"/>
    <n v="0"/>
    <n v="1"/>
    <s v="New"/>
    <x v="2"/>
    <n v="40"/>
    <n v="0"/>
  </r>
  <r>
    <n v="4196"/>
    <x v="126"/>
    <n v="1396"/>
    <x v="3"/>
    <x v="3"/>
    <x v="3"/>
    <n v="2"/>
    <n v="0"/>
    <s v="Card"/>
    <x v="1"/>
    <x v="1"/>
    <n v="7"/>
    <n v="1"/>
    <n v="1"/>
    <s v="New"/>
    <x v="4"/>
    <n v="46"/>
    <n v="0"/>
  </r>
  <r>
    <n v="4197"/>
    <x v="121"/>
    <n v="1866"/>
    <x v="4"/>
    <x v="2"/>
    <x v="2"/>
    <n v="5"/>
    <n v="0"/>
    <s v="COD"/>
    <x v="1"/>
    <x v="1"/>
    <n v="8"/>
    <n v="1"/>
    <n v="0"/>
    <s v="Repeat"/>
    <x v="1"/>
    <n v="37"/>
    <n v="0"/>
  </r>
  <r>
    <n v="4198"/>
    <x v="32"/>
    <n v="1751"/>
    <x v="2"/>
    <x v="4"/>
    <x v="2"/>
    <n v="5"/>
    <n v="0"/>
    <s v="UPI"/>
    <x v="1"/>
    <x v="1"/>
    <n v="3"/>
    <n v="1"/>
    <n v="1"/>
    <s v="Repeat"/>
    <x v="1"/>
    <n v="38"/>
    <n v="0"/>
  </r>
  <r>
    <n v="4199"/>
    <x v="106"/>
    <n v="1972"/>
    <x v="1"/>
    <x v="3"/>
    <x v="0"/>
    <n v="1"/>
    <n v="0"/>
    <s v="Wallet"/>
    <x v="1"/>
    <x v="2"/>
    <n v="7"/>
    <n v="0"/>
    <n v="1"/>
    <s v="New"/>
    <x v="5"/>
    <n v="30"/>
    <n v="0"/>
  </r>
  <r>
    <n v="4200"/>
    <x v="174"/>
    <n v="1966"/>
    <x v="1"/>
    <x v="3"/>
    <x v="1"/>
    <n v="1"/>
    <n v="0"/>
    <s v="UPI"/>
    <x v="2"/>
    <x v="3"/>
    <n v="2"/>
    <n v="1"/>
    <n v="0"/>
    <s v="New"/>
    <x v="5"/>
    <n v="29"/>
    <n v="0"/>
  </r>
  <r>
    <n v="4201"/>
    <x v="128"/>
    <n v="1077"/>
    <x v="0"/>
    <x v="3"/>
    <x v="0"/>
    <n v="3"/>
    <n v="0"/>
    <s v="COD"/>
    <x v="1"/>
    <x v="2"/>
    <n v="2"/>
    <n v="0"/>
    <n v="1"/>
    <s v="Repeat"/>
    <x v="1"/>
    <n v="39"/>
    <n v="0"/>
  </r>
  <r>
    <n v="4202"/>
    <x v="35"/>
    <n v="1280"/>
    <x v="3"/>
    <x v="4"/>
    <x v="0"/>
    <n v="5"/>
    <n v="0"/>
    <s v="Wallet"/>
    <x v="1"/>
    <x v="3"/>
    <n v="10"/>
    <n v="1"/>
    <n v="1"/>
    <s v="New"/>
    <x v="0"/>
    <n v="35"/>
    <n v="0"/>
  </r>
  <r>
    <n v="4203"/>
    <x v="126"/>
    <n v="1626"/>
    <x v="0"/>
    <x v="1"/>
    <x v="3"/>
    <n v="2"/>
    <n v="0"/>
    <s v="COD"/>
    <x v="1"/>
    <x v="1"/>
    <n v="9"/>
    <n v="0"/>
    <n v="0"/>
    <s v="Repeat"/>
    <x v="4"/>
    <n v="46"/>
    <n v="0"/>
  </r>
  <r>
    <n v="4204"/>
    <x v="104"/>
    <n v="1188"/>
    <x v="0"/>
    <x v="3"/>
    <x v="1"/>
    <n v="4"/>
    <n v="0"/>
    <s v="Card"/>
    <x v="2"/>
    <x v="3"/>
    <n v="5"/>
    <n v="1"/>
    <n v="1"/>
    <s v="Repeat"/>
    <x v="5"/>
    <n v="29"/>
    <n v="0"/>
  </r>
  <r>
    <n v="4205"/>
    <x v="12"/>
    <n v="1747"/>
    <x v="2"/>
    <x v="1"/>
    <x v="0"/>
    <n v="2"/>
    <n v="0"/>
    <s v="Card"/>
    <x v="1"/>
    <x v="0"/>
    <n v="3"/>
    <n v="0"/>
    <n v="0"/>
    <s v="New"/>
    <x v="1"/>
    <n v="38"/>
    <n v="0"/>
  </r>
  <r>
    <n v="4206"/>
    <x v="62"/>
    <n v="1045"/>
    <x v="2"/>
    <x v="0"/>
    <x v="2"/>
    <n v="4"/>
    <n v="16408"/>
    <s v="Card"/>
    <x v="0"/>
    <x v="1"/>
    <n v="6"/>
    <n v="0"/>
    <n v="0"/>
    <s v="Repeat"/>
    <x v="2"/>
    <n v="43"/>
    <n v="1"/>
  </r>
  <r>
    <n v="4207"/>
    <x v="91"/>
    <n v="1864"/>
    <x v="0"/>
    <x v="0"/>
    <x v="0"/>
    <n v="2"/>
    <n v="8120"/>
    <s v="Card"/>
    <x v="0"/>
    <x v="3"/>
    <n v="1"/>
    <n v="0"/>
    <n v="0"/>
    <s v="Repeat"/>
    <x v="3"/>
    <n v="52"/>
    <n v="1"/>
  </r>
  <r>
    <n v="4208"/>
    <x v="51"/>
    <n v="1296"/>
    <x v="4"/>
    <x v="3"/>
    <x v="1"/>
    <n v="3"/>
    <n v="0"/>
    <s v="UPI"/>
    <x v="1"/>
    <x v="2"/>
    <n v="5"/>
    <n v="1"/>
    <n v="1"/>
    <s v="Repeat"/>
    <x v="5"/>
    <n v="29"/>
    <n v="0"/>
  </r>
  <r>
    <n v="4209"/>
    <x v="6"/>
    <n v="1349"/>
    <x v="4"/>
    <x v="3"/>
    <x v="2"/>
    <n v="3"/>
    <n v="9291"/>
    <s v="Wallet"/>
    <x v="0"/>
    <x v="0"/>
    <n v="10"/>
    <n v="1"/>
    <n v="0"/>
    <s v="New"/>
    <x v="4"/>
    <n v="47"/>
    <n v="1"/>
  </r>
  <r>
    <n v="4210"/>
    <x v="62"/>
    <n v="1206"/>
    <x v="2"/>
    <x v="1"/>
    <x v="0"/>
    <n v="2"/>
    <n v="0"/>
    <s v="COD"/>
    <x v="1"/>
    <x v="1"/>
    <n v="10"/>
    <n v="0"/>
    <n v="1"/>
    <s v="Repeat"/>
    <x v="2"/>
    <n v="43"/>
    <n v="0"/>
  </r>
  <r>
    <n v="4211"/>
    <x v="1"/>
    <n v="1067"/>
    <x v="4"/>
    <x v="1"/>
    <x v="2"/>
    <n v="2"/>
    <n v="490"/>
    <s v="COD"/>
    <x v="0"/>
    <x v="1"/>
    <n v="5"/>
    <n v="1"/>
    <n v="0"/>
    <s v="Repeat"/>
    <x v="1"/>
    <n v="39"/>
    <n v="1"/>
  </r>
  <r>
    <n v="4212"/>
    <x v="145"/>
    <n v="1096"/>
    <x v="2"/>
    <x v="1"/>
    <x v="3"/>
    <n v="1"/>
    <n v="0"/>
    <s v="Card"/>
    <x v="2"/>
    <x v="2"/>
    <n v="3"/>
    <n v="0"/>
    <n v="0"/>
    <s v="Repeat"/>
    <x v="4"/>
    <n v="48"/>
    <n v="0"/>
  </r>
  <r>
    <n v="4213"/>
    <x v="134"/>
    <n v="1753"/>
    <x v="2"/>
    <x v="4"/>
    <x v="1"/>
    <n v="1"/>
    <n v="0"/>
    <s v="COD"/>
    <x v="2"/>
    <x v="3"/>
    <n v="9"/>
    <n v="1"/>
    <n v="0"/>
    <s v="Repeat"/>
    <x v="3"/>
    <n v="51"/>
    <n v="0"/>
  </r>
  <r>
    <n v="4214"/>
    <x v="17"/>
    <n v="1237"/>
    <x v="0"/>
    <x v="0"/>
    <x v="1"/>
    <n v="2"/>
    <n v="5154"/>
    <s v="UPI"/>
    <x v="0"/>
    <x v="2"/>
    <n v="9"/>
    <n v="0"/>
    <n v="1"/>
    <s v="New"/>
    <x v="1"/>
    <n v="38"/>
    <n v="1"/>
  </r>
  <r>
    <n v="4215"/>
    <x v="53"/>
    <n v="1119"/>
    <x v="4"/>
    <x v="3"/>
    <x v="3"/>
    <n v="4"/>
    <n v="0"/>
    <s v="Wallet"/>
    <x v="2"/>
    <x v="3"/>
    <n v="3"/>
    <n v="1"/>
    <n v="0"/>
    <s v="Repeat"/>
    <x v="2"/>
    <n v="42"/>
    <n v="0"/>
  </r>
  <r>
    <n v="4216"/>
    <x v="125"/>
    <n v="1637"/>
    <x v="4"/>
    <x v="2"/>
    <x v="0"/>
    <n v="5"/>
    <n v="0"/>
    <s v="Card"/>
    <x v="2"/>
    <x v="0"/>
    <n v="1"/>
    <n v="0"/>
    <n v="0"/>
    <s v="Repeat"/>
    <x v="5"/>
    <n v="31"/>
    <n v="0"/>
  </r>
  <r>
    <n v="4217"/>
    <x v="57"/>
    <n v="1374"/>
    <x v="3"/>
    <x v="3"/>
    <x v="2"/>
    <n v="1"/>
    <n v="0"/>
    <s v="Wallet"/>
    <x v="1"/>
    <x v="3"/>
    <n v="4"/>
    <n v="0"/>
    <n v="1"/>
    <s v="Repeat"/>
    <x v="4"/>
    <n v="48"/>
    <n v="0"/>
  </r>
  <r>
    <n v="4218"/>
    <x v="153"/>
    <n v="1501"/>
    <x v="3"/>
    <x v="3"/>
    <x v="0"/>
    <n v="3"/>
    <n v="0"/>
    <s v="Card"/>
    <x v="1"/>
    <x v="3"/>
    <n v="2"/>
    <n v="0"/>
    <n v="0"/>
    <s v="New"/>
    <x v="0"/>
    <n v="31"/>
    <n v="0"/>
  </r>
  <r>
    <n v="4219"/>
    <x v="25"/>
    <n v="1406"/>
    <x v="4"/>
    <x v="0"/>
    <x v="3"/>
    <n v="3"/>
    <n v="0"/>
    <s v="UPI"/>
    <x v="1"/>
    <x v="3"/>
    <n v="10"/>
    <n v="0"/>
    <n v="1"/>
    <s v="Repeat"/>
    <x v="4"/>
    <n v="49"/>
    <n v="0"/>
  </r>
  <r>
    <n v="4220"/>
    <x v="85"/>
    <n v="1573"/>
    <x v="1"/>
    <x v="2"/>
    <x v="1"/>
    <n v="3"/>
    <n v="1002"/>
    <s v="UPI"/>
    <x v="0"/>
    <x v="1"/>
    <n v="9"/>
    <n v="1"/>
    <n v="0"/>
    <s v="New"/>
    <x v="3"/>
    <n v="50"/>
    <n v="1"/>
  </r>
  <r>
    <n v="4221"/>
    <x v="52"/>
    <n v="1990"/>
    <x v="3"/>
    <x v="1"/>
    <x v="2"/>
    <n v="2"/>
    <n v="0"/>
    <s v="UPI"/>
    <x v="2"/>
    <x v="1"/>
    <n v="10"/>
    <n v="0"/>
    <n v="1"/>
    <s v="New"/>
    <x v="4"/>
    <n v="44"/>
    <n v="0"/>
  </r>
  <r>
    <n v="4222"/>
    <x v="71"/>
    <n v="1918"/>
    <x v="0"/>
    <x v="4"/>
    <x v="1"/>
    <n v="1"/>
    <n v="0"/>
    <s v="UPI"/>
    <x v="1"/>
    <x v="0"/>
    <n v="3"/>
    <n v="0"/>
    <n v="1"/>
    <s v="Repeat"/>
    <x v="3"/>
    <n v="49"/>
    <n v="0"/>
  </r>
  <r>
    <n v="4223"/>
    <x v="90"/>
    <n v="1003"/>
    <x v="4"/>
    <x v="2"/>
    <x v="3"/>
    <n v="3"/>
    <n v="0"/>
    <s v="UPI"/>
    <x v="2"/>
    <x v="0"/>
    <n v="10"/>
    <n v="1"/>
    <n v="1"/>
    <s v="Repeat"/>
    <x v="0"/>
    <n v="31"/>
    <n v="0"/>
  </r>
  <r>
    <n v="4224"/>
    <x v="74"/>
    <n v="1207"/>
    <x v="0"/>
    <x v="2"/>
    <x v="0"/>
    <n v="3"/>
    <n v="12384"/>
    <s v="Card"/>
    <x v="0"/>
    <x v="2"/>
    <n v="2"/>
    <n v="1"/>
    <n v="1"/>
    <s v="New"/>
    <x v="5"/>
    <n v="29"/>
    <n v="1"/>
  </r>
  <r>
    <n v="4225"/>
    <x v="130"/>
    <n v="1837"/>
    <x v="2"/>
    <x v="2"/>
    <x v="3"/>
    <n v="5"/>
    <n v="0"/>
    <s v="UPI"/>
    <x v="2"/>
    <x v="3"/>
    <n v="4"/>
    <n v="0"/>
    <n v="0"/>
    <s v="New"/>
    <x v="3"/>
    <n v="51"/>
    <n v="0"/>
  </r>
  <r>
    <n v="4226"/>
    <x v="140"/>
    <n v="1740"/>
    <x v="3"/>
    <x v="3"/>
    <x v="2"/>
    <n v="1"/>
    <n v="538"/>
    <s v="UPI"/>
    <x v="0"/>
    <x v="1"/>
    <n v="6"/>
    <n v="0"/>
    <n v="1"/>
    <s v="New"/>
    <x v="4"/>
    <n v="48"/>
    <n v="1"/>
  </r>
  <r>
    <n v="4227"/>
    <x v="151"/>
    <n v="1934"/>
    <x v="1"/>
    <x v="1"/>
    <x v="3"/>
    <n v="1"/>
    <n v="0"/>
    <s v="UPI"/>
    <x v="2"/>
    <x v="0"/>
    <n v="5"/>
    <n v="0"/>
    <n v="0"/>
    <s v="Repeat"/>
    <x v="3"/>
    <n v="52"/>
    <n v="0"/>
  </r>
  <r>
    <n v="4228"/>
    <x v="98"/>
    <n v="1582"/>
    <x v="0"/>
    <x v="4"/>
    <x v="1"/>
    <n v="3"/>
    <n v="13677"/>
    <s v="UPI"/>
    <x v="0"/>
    <x v="3"/>
    <n v="8"/>
    <n v="1"/>
    <n v="1"/>
    <s v="New"/>
    <x v="3"/>
    <n v="51"/>
    <n v="1"/>
  </r>
  <r>
    <n v="4229"/>
    <x v="162"/>
    <n v="1403"/>
    <x v="0"/>
    <x v="0"/>
    <x v="2"/>
    <n v="2"/>
    <n v="0"/>
    <s v="COD"/>
    <x v="2"/>
    <x v="0"/>
    <n v="7"/>
    <n v="0"/>
    <n v="1"/>
    <s v="New"/>
    <x v="2"/>
    <n v="43"/>
    <n v="0"/>
  </r>
  <r>
    <n v="4230"/>
    <x v="62"/>
    <n v="1688"/>
    <x v="0"/>
    <x v="1"/>
    <x v="3"/>
    <n v="5"/>
    <n v="0"/>
    <s v="Card"/>
    <x v="2"/>
    <x v="3"/>
    <n v="4"/>
    <n v="1"/>
    <n v="1"/>
    <s v="Repeat"/>
    <x v="2"/>
    <n v="43"/>
    <n v="0"/>
  </r>
  <r>
    <n v="4231"/>
    <x v="15"/>
    <n v="1301"/>
    <x v="4"/>
    <x v="3"/>
    <x v="2"/>
    <n v="5"/>
    <n v="21285"/>
    <s v="Card"/>
    <x v="0"/>
    <x v="3"/>
    <n v="3"/>
    <n v="0"/>
    <n v="0"/>
    <s v="New"/>
    <x v="4"/>
    <n v="47"/>
    <n v="1"/>
  </r>
  <r>
    <n v="4232"/>
    <x v="135"/>
    <n v="1785"/>
    <x v="0"/>
    <x v="1"/>
    <x v="3"/>
    <n v="1"/>
    <n v="0"/>
    <s v="COD"/>
    <x v="1"/>
    <x v="1"/>
    <n v="7"/>
    <n v="1"/>
    <n v="1"/>
    <s v="Repeat"/>
    <x v="2"/>
    <n v="43"/>
    <n v="0"/>
  </r>
  <r>
    <n v="4233"/>
    <x v="38"/>
    <n v="1220"/>
    <x v="2"/>
    <x v="4"/>
    <x v="0"/>
    <n v="5"/>
    <n v="0"/>
    <s v="UPI"/>
    <x v="1"/>
    <x v="2"/>
    <n v="8"/>
    <n v="0"/>
    <n v="1"/>
    <s v="Repeat"/>
    <x v="1"/>
    <n v="39"/>
    <n v="0"/>
  </r>
  <r>
    <n v="4234"/>
    <x v="33"/>
    <n v="1264"/>
    <x v="4"/>
    <x v="3"/>
    <x v="3"/>
    <n v="3"/>
    <n v="0"/>
    <s v="Card"/>
    <x v="2"/>
    <x v="1"/>
    <n v="7"/>
    <n v="0"/>
    <n v="1"/>
    <s v="Repeat"/>
    <x v="5"/>
    <n v="31"/>
    <n v="0"/>
  </r>
  <r>
    <n v="4235"/>
    <x v="116"/>
    <n v="1755"/>
    <x v="4"/>
    <x v="0"/>
    <x v="2"/>
    <n v="1"/>
    <n v="0"/>
    <s v="Card"/>
    <x v="2"/>
    <x v="3"/>
    <n v="2"/>
    <n v="0"/>
    <n v="0"/>
    <s v="Repeat"/>
    <x v="3"/>
    <n v="50"/>
    <n v="0"/>
  </r>
  <r>
    <n v="4236"/>
    <x v="8"/>
    <n v="1871"/>
    <x v="0"/>
    <x v="4"/>
    <x v="3"/>
    <n v="4"/>
    <n v="7876"/>
    <s v="COD"/>
    <x v="0"/>
    <x v="3"/>
    <n v="6"/>
    <n v="1"/>
    <n v="0"/>
    <s v="New"/>
    <x v="0"/>
    <n v="32"/>
    <n v="1"/>
  </r>
  <r>
    <n v="4237"/>
    <x v="153"/>
    <n v="1343"/>
    <x v="3"/>
    <x v="0"/>
    <x v="1"/>
    <n v="5"/>
    <n v="0"/>
    <s v="UPI"/>
    <x v="2"/>
    <x v="3"/>
    <n v="4"/>
    <n v="1"/>
    <n v="0"/>
    <s v="New"/>
    <x v="0"/>
    <n v="31"/>
    <n v="0"/>
  </r>
  <r>
    <n v="4238"/>
    <x v="12"/>
    <n v="1309"/>
    <x v="1"/>
    <x v="2"/>
    <x v="3"/>
    <n v="4"/>
    <n v="0"/>
    <s v="COD"/>
    <x v="2"/>
    <x v="1"/>
    <n v="7"/>
    <n v="1"/>
    <n v="1"/>
    <s v="Repeat"/>
    <x v="1"/>
    <n v="38"/>
    <n v="0"/>
  </r>
  <r>
    <n v="4239"/>
    <x v="9"/>
    <n v="1515"/>
    <x v="0"/>
    <x v="4"/>
    <x v="2"/>
    <n v="5"/>
    <n v="0"/>
    <s v="Card"/>
    <x v="1"/>
    <x v="2"/>
    <n v="3"/>
    <n v="0"/>
    <n v="0"/>
    <s v="Repeat"/>
    <x v="5"/>
    <n v="30"/>
    <n v="0"/>
  </r>
  <r>
    <n v="4240"/>
    <x v="163"/>
    <n v="1061"/>
    <x v="4"/>
    <x v="1"/>
    <x v="2"/>
    <n v="2"/>
    <n v="0"/>
    <s v="Card"/>
    <x v="2"/>
    <x v="2"/>
    <n v="7"/>
    <n v="1"/>
    <n v="0"/>
    <s v="Repeat"/>
    <x v="4"/>
    <n v="45"/>
    <n v="0"/>
  </r>
  <r>
    <n v="4241"/>
    <x v="131"/>
    <n v="1906"/>
    <x v="0"/>
    <x v="1"/>
    <x v="0"/>
    <n v="3"/>
    <n v="0"/>
    <s v="Card"/>
    <x v="2"/>
    <x v="1"/>
    <n v="10"/>
    <n v="1"/>
    <n v="0"/>
    <s v="Repeat"/>
    <x v="4"/>
    <n v="47"/>
    <n v="0"/>
  </r>
  <r>
    <n v="4242"/>
    <x v="130"/>
    <n v="1878"/>
    <x v="1"/>
    <x v="0"/>
    <x v="0"/>
    <n v="3"/>
    <n v="2838"/>
    <s v="COD"/>
    <x v="0"/>
    <x v="0"/>
    <n v="6"/>
    <n v="0"/>
    <n v="0"/>
    <s v="New"/>
    <x v="3"/>
    <n v="51"/>
    <n v="1"/>
  </r>
  <r>
    <n v="4243"/>
    <x v="92"/>
    <n v="1398"/>
    <x v="0"/>
    <x v="0"/>
    <x v="1"/>
    <n v="2"/>
    <n v="0"/>
    <s v="Wallet"/>
    <x v="2"/>
    <x v="0"/>
    <n v="9"/>
    <n v="0"/>
    <n v="0"/>
    <s v="Repeat"/>
    <x v="3"/>
    <n v="53"/>
    <n v="0"/>
  </r>
  <r>
    <n v="4244"/>
    <x v="157"/>
    <n v="1561"/>
    <x v="0"/>
    <x v="1"/>
    <x v="1"/>
    <n v="3"/>
    <n v="0"/>
    <s v="Card"/>
    <x v="2"/>
    <x v="2"/>
    <n v="5"/>
    <n v="0"/>
    <n v="1"/>
    <s v="New"/>
    <x v="2"/>
    <n v="41"/>
    <n v="0"/>
  </r>
  <r>
    <n v="4245"/>
    <x v="24"/>
    <n v="1378"/>
    <x v="4"/>
    <x v="1"/>
    <x v="1"/>
    <n v="2"/>
    <n v="4208"/>
    <s v="Wallet"/>
    <x v="0"/>
    <x v="1"/>
    <n v="5"/>
    <n v="1"/>
    <n v="1"/>
    <s v="New"/>
    <x v="5"/>
    <n v="30"/>
    <n v="1"/>
  </r>
  <r>
    <n v="4246"/>
    <x v="155"/>
    <n v="1300"/>
    <x v="0"/>
    <x v="1"/>
    <x v="1"/>
    <n v="3"/>
    <n v="0"/>
    <s v="Wallet"/>
    <x v="2"/>
    <x v="2"/>
    <n v="1"/>
    <n v="1"/>
    <n v="1"/>
    <s v="Repeat"/>
    <x v="0"/>
    <n v="33"/>
    <n v="0"/>
  </r>
  <r>
    <n v="4247"/>
    <x v="2"/>
    <n v="1848"/>
    <x v="2"/>
    <x v="4"/>
    <x v="0"/>
    <n v="3"/>
    <n v="0"/>
    <s v="Wallet"/>
    <x v="1"/>
    <x v="3"/>
    <n v="1"/>
    <n v="1"/>
    <n v="1"/>
    <s v="Repeat"/>
    <x v="2"/>
    <n v="41"/>
    <n v="0"/>
  </r>
  <r>
    <n v="4248"/>
    <x v="84"/>
    <n v="1438"/>
    <x v="0"/>
    <x v="2"/>
    <x v="2"/>
    <n v="2"/>
    <n v="0"/>
    <s v="UPI"/>
    <x v="2"/>
    <x v="1"/>
    <n v="1"/>
    <n v="1"/>
    <n v="1"/>
    <s v="New"/>
    <x v="2"/>
    <n v="41"/>
    <n v="0"/>
  </r>
  <r>
    <n v="4249"/>
    <x v="51"/>
    <n v="1770"/>
    <x v="3"/>
    <x v="1"/>
    <x v="1"/>
    <n v="2"/>
    <n v="0"/>
    <s v="Card"/>
    <x v="2"/>
    <x v="3"/>
    <n v="8"/>
    <n v="1"/>
    <n v="1"/>
    <s v="New"/>
    <x v="5"/>
    <n v="29"/>
    <n v="0"/>
  </r>
  <r>
    <n v="4250"/>
    <x v="18"/>
    <n v="1986"/>
    <x v="4"/>
    <x v="1"/>
    <x v="2"/>
    <n v="5"/>
    <n v="16915"/>
    <s v="Card"/>
    <x v="0"/>
    <x v="2"/>
    <n v="8"/>
    <n v="0"/>
    <n v="0"/>
    <s v="Repeat"/>
    <x v="1"/>
    <n v="36"/>
    <n v="1"/>
  </r>
  <r>
    <n v="4251"/>
    <x v="80"/>
    <n v="1415"/>
    <x v="3"/>
    <x v="2"/>
    <x v="2"/>
    <n v="1"/>
    <n v="3645"/>
    <s v="Wallet"/>
    <x v="0"/>
    <x v="0"/>
    <n v="5"/>
    <n v="1"/>
    <n v="1"/>
    <s v="New"/>
    <x v="6"/>
    <n v="2"/>
    <n v="1"/>
  </r>
  <r>
    <n v="4252"/>
    <x v="107"/>
    <n v="1662"/>
    <x v="2"/>
    <x v="4"/>
    <x v="3"/>
    <n v="2"/>
    <n v="0"/>
    <s v="UPI"/>
    <x v="2"/>
    <x v="2"/>
    <n v="1"/>
    <n v="1"/>
    <n v="0"/>
    <s v="New"/>
    <x v="4"/>
    <n v="45"/>
    <n v="0"/>
  </r>
  <r>
    <n v="4253"/>
    <x v="79"/>
    <n v="1427"/>
    <x v="0"/>
    <x v="4"/>
    <x v="0"/>
    <n v="5"/>
    <n v="18960"/>
    <s v="Card"/>
    <x v="0"/>
    <x v="1"/>
    <n v="8"/>
    <n v="0"/>
    <n v="1"/>
    <s v="New"/>
    <x v="1"/>
    <n v="36"/>
    <n v="1"/>
  </r>
  <r>
    <n v="4254"/>
    <x v="63"/>
    <n v="1451"/>
    <x v="4"/>
    <x v="0"/>
    <x v="2"/>
    <n v="2"/>
    <n v="7602"/>
    <s v="COD"/>
    <x v="0"/>
    <x v="3"/>
    <n v="7"/>
    <n v="1"/>
    <n v="0"/>
    <s v="New"/>
    <x v="5"/>
    <n v="29"/>
    <n v="1"/>
  </r>
  <r>
    <n v="4255"/>
    <x v="176"/>
    <n v="1265"/>
    <x v="3"/>
    <x v="1"/>
    <x v="3"/>
    <n v="5"/>
    <n v="0"/>
    <s v="COD"/>
    <x v="1"/>
    <x v="2"/>
    <n v="4"/>
    <n v="0"/>
    <n v="1"/>
    <s v="New"/>
    <x v="3"/>
    <n v="51"/>
    <n v="0"/>
  </r>
  <r>
    <n v="4256"/>
    <x v="18"/>
    <n v="1041"/>
    <x v="1"/>
    <x v="4"/>
    <x v="2"/>
    <n v="3"/>
    <n v="4776"/>
    <s v="COD"/>
    <x v="0"/>
    <x v="0"/>
    <n v="9"/>
    <n v="1"/>
    <n v="0"/>
    <s v="Repeat"/>
    <x v="1"/>
    <n v="36"/>
    <n v="1"/>
  </r>
  <r>
    <n v="4257"/>
    <x v="116"/>
    <n v="1105"/>
    <x v="1"/>
    <x v="2"/>
    <x v="0"/>
    <n v="4"/>
    <n v="0"/>
    <s v="UPI"/>
    <x v="1"/>
    <x v="1"/>
    <n v="9"/>
    <n v="1"/>
    <n v="0"/>
    <s v="Repeat"/>
    <x v="3"/>
    <n v="50"/>
    <n v="0"/>
  </r>
  <r>
    <n v="4258"/>
    <x v="116"/>
    <n v="1545"/>
    <x v="2"/>
    <x v="1"/>
    <x v="0"/>
    <n v="5"/>
    <n v="24520"/>
    <s v="Wallet"/>
    <x v="0"/>
    <x v="0"/>
    <n v="2"/>
    <n v="1"/>
    <n v="0"/>
    <s v="New"/>
    <x v="3"/>
    <n v="50"/>
    <n v="1"/>
  </r>
  <r>
    <n v="4259"/>
    <x v="7"/>
    <n v="1830"/>
    <x v="0"/>
    <x v="2"/>
    <x v="3"/>
    <n v="4"/>
    <n v="0"/>
    <s v="Card"/>
    <x v="2"/>
    <x v="2"/>
    <n v="9"/>
    <n v="0"/>
    <n v="0"/>
    <s v="New"/>
    <x v="3"/>
    <n v="49"/>
    <n v="0"/>
  </r>
  <r>
    <n v="4260"/>
    <x v="170"/>
    <n v="1139"/>
    <x v="1"/>
    <x v="0"/>
    <x v="3"/>
    <n v="4"/>
    <n v="0"/>
    <s v="Wallet"/>
    <x v="2"/>
    <x v="2"/>
    <n v="1"/>
    <n v="0"/>
    <n v="1"/>
    <s v="Repeat"/>
    <x v="4"/>
    <n v="48"/>
    <n v="0"/>
  </r>
  <r>
    <n v="4261"/>
    <x v="125"/>
    <n v="1009"/>
    <x v="3"/>
    <x v="2"/>
    <x v="3"/>
    <n v="3"/>
    <n v="0"/>
    <s v="Card"/>
    <x v="1"/>
    <x v="1"/>
    <n v="6"/>
    <n v="1"/>
    <n v="0"/>
    <s v="Repeat"/>
    <x v="5"/>
    <n v="31"/>
    <n v="0"/>
  </r>
  <r>
    <n v="4262"/>
    <x v="17"/>
    <n v="1021"/>
    <x v="4"/>
    <x v="4"/>
    <x v="3"/>
    <n v="3"/>
    <n v="0"/>
    <s v="Wallet"/>
    <x v="2"/>
    <x v="3"/>
    <n v="3"/>
    <n v="1"/>
    <n v="1"/>
    <s v="Repeat"/>
    <x v="1"/>
    <n v="38"/>
    <n v="0"/>
  </r>
  <r>
    <n v="4263"/>
    <x v="156"/>
    <n v="1796"/>
    <x v="1"/>
    <x v="2"/>
    <x v="3"/>
    <n v="2"/>
    <n v="0"/>
    <s v="UPI"/>
    <x v="1"/>
    <x v="1"/>
    <n v="8"/>
    <n v="1"/>
    <n v="1"/>
    <s v="New"/>
    <x v="6"/>
    <n v="2"/>
    <n v="0"/>
  </r>
  <r>
    <n v="4264"/>
    <x v="178"/>
    <n v="1525"/>
    <x v="2"/>
    <x v="4"/>
    <x v="2"/>
    <n v="4"/>
    <n v="0"/>
    <s v="Card"/>
    <x v="2"/>
    <x v="2"/>
    <n v="4"/>
    <n v="1"/>
    <n v="0"/>
    <s v="Repeat"/>
    <x v="4"/>
    <n v="45"/>
    <n v="0"/>
  </r>
  <r>
    <n v="4265"/>
    <x v="152"/>
    <n v="1742"/>
    <x v="4"/>
    <x v="3"/>
    <x v="0"/>
    <n v="2"/>
    <n v="0"/>
    <s v="UPI"/>
    <x v="2"/>
    <x v="3"/>
    <n v="1"/>
    <n v="0"/>
    <n v="1"/>
    <s v="New"/>
    <x v="2"/>
    <n v="42"/>
    <n v="0"/>
  </r>
  <r>
    <n v="4266"/>
    <x v="177"/>
    <n v="1791"/>
    <x v="4"/>
    <x v="3"/>
    <x v="3"/>
    <n v="4"/>
    <n v="0"/>
    <s v="UPI"/>
    <x v="1"/>
    <x v="2"/>
    <n v="3"/>
    <n v="0"/>
    <n v="1"/>
    <s v="New"/>
    <x v="4"/>
    <n v="45"/>
    <n v="0"/>
  </r>
  <r>
    <n v="4267"/>
    <x v="0"/>
    <n v="1278"/>
    <x v="1"/>
    <x v="2"/>
    <x v="3"/>
    <n v="1"/>
    <n v="4621"/>
    <s v="COD"/>
    <x v="0"/>
    <x v="3"/>
    <n v="6"/>
    <n v="0"/>
    <n v="0"/>
    <s v="New"/>
    <x v="0"/>
    <n v="32"/>
    <n v="1"/>
  </r>
  <r>
    <n v="4268"/>
    <x v="8"/>
    <n v="1684"/>
    <x v="0"/>
    <x v="0"/>
    <x v="0"/>
    <n v="5"/>
    <n v="12490"/>
    <s v="Wallet"/>
    <x v="0"/>
    <x v="2"/>
    <n v="7"/>
    <n v="0"/>
    <n v="1"/>
    <s v="Repeat"/>
    <x v="0"/>
    <n v="32"/>
    <n v="1"/>
  </r>
  <r>
    <n v="4269"/>
    <x v="6"/>
    <n v="1688"/>
    <x v="1"/>
    <x v="0"/>
    <x v="0"/>
    <n v="3"/>
    <n v="5034"/>
    <s v="COD"/>
    <x v="0"/>
    <x v="1"/>
    <n v="7"/>
    <n v="0"/>
    <n v="1"/>
    <s v="Repeat"/>
    <x v="4"/>
    <n v="47"/>
    <n v="1"/>
  </r>
  <r>
    <n v="4270"/>
    <x v="102"/>
    <n v="1152"/>
    <x v="1"/>
    <x v="0"/>
    <x v="0"/>
    <n v="5"/>
    <n v="0"/>
    <s v="COD"/>
    <x v="1"/>
    <x v="3"/>
    <n v="1"/>
    <n v="0"/>
    <n v="0"/>
    <s v="Repeat"/>
    <x v="3"/>
    <n v="50"/>
    <n v="0"/>
  </r>
  <r>
    <n v="4271"/>
    <x v="166"/>
    <n v="1296"/>
    <x v="1"/>
    <x v="1"/>
    <x v="2"/>
    <n v="5"/>
    <n v="0"/>
    <s v="COD"/>
    <x v="1"/>
    <x v="3"/>
    <n v="3"/>
    <n v="0"/>
    <n v="1"/>
    <s v="New"/>
    <x v="1"/>
    <n v="39"/>
    <n v="0"/>
  </r>
  <r>
    <n v="4272"/>
    <x v="14"/>
    <n v="1248"/>
    <x v="2"/>
    <x v="2"/>
    <x v="1"/>
    <n v="5"/>
    <n v="0"/>
    <s v="Card"/>
    <x v="2"/>
    <x v="3"/>
    <n v="5"/>
    <n v="1"/>
    <n v="0"/>
    <s v="New"/>
    <x v="0"/>
    <n v="34"/>
    <n v="0"/>
  </r>
  <r>
    <n v="4273"/>
    <x v="11"/>
    <n v="1264"/>
    <x v="3"/>
    <x v="2"/>
    <x v="1"/>
    <n v="5"/>
    <n v="0"/>
    <s v="COD"/>
    <x v="2"/>
    <x v="2"/>
    <n v="3"/>
    <n v="0"/>
    <n v="0"/>
    <s v="Repeat"/>
    <x v="0"/>
    <n v="35"/>
    <n v="0"/>
  </r>
  <r>
    <n v="4274"/>
    <x v="3"/>
    <n v="1010"/>
    <x v="3"/>
    <x v="1"/>
    <x v="1"/>
    <n v="1"/>
    <n v="2261"/>
    <s v="Card"/>
    <x v="0"/>
    <x v="3"/>
    <n v="3"/>
    <n v="0"/>
    <n v="0"/>
    <s v="New"/>
    <x v="0"/>
    <n v="32"/>
    <n v="1"/>
  </r>
  <r>
    <n v="4275"/>
    <x v="66"/>
    <n v="1589"/>
    <x v="2"/>
    <x v="2"/>
    <x v="0"/>
    <n v="3"/>
    <n v="0"/>
    <s v="Wallet"/>
    <x v="2"/>
    <x v="0"/>
    <n v="1"/>
    <n v="0"/>
    <n v="1"/>
    <s v="New"/>
    <x v="1"/>
    <n v="39"/>
    <n v="0"/>
  </r>
  <r>
    <n v="4276"/>
    <x v="173"/>
    <n v="1983"/>
    <x v="1"/>
    <x v="1"/>
    <x v="0"/>
    <n v="5"/>
    <n v="0"/>
    <s v="Wallet"/>
    <x v="1"/>
    <x v="2"/>
    <n v="4"/>
    <n v="0"/>
    <n v="0"/>
    <s v="Repeat"/>
    <x v="5"/>
    <n v="30"/>
    <n v="0"/>
  </r>
  <r>
    <n v="4277"/>
    <x v="141"/>
    <n v="1102"/>
    <x v="4"/>
    <x v="0"/>
    <x v="1"/>
    <n v="3"/>
    <n v="1914"/>
    <s v="COD"/>
    <x v="0"/>
    <x v="2"/>
    <n v="10"/>
    <n v="1"/>
    <n v="1"/>
    <s v="New"/>
    <x v="1"/>
    <n v="39"/>
    <n v="1"/>
  </r>
  <r>
    <n v="4278"/>
    <x v="21"/>
    <n v="1406"/>
    <x v="3"/>
    <x v="2"/>
    <x v="3"/>
    <n v="5"/>
    <n v="0"/>
    <s v="Wallet"/>
    <x v="2"/>
    <x v="2"/>
    <n v="4"/>
    <n v="1"/>
    <n v="1"/>
    <s v="New"/>
    <x v="2"/>
    <n v="43"/>
    <n v="0"/>
  </r>
  <r>
    <n v="4279"/>
    <x v="43"/>
    <n v="1390"/>
    <x v="2"/>
    <x v="1"/>
    <x v="3"/>
    <n v="5"/>
    <n v="0"/>
    <s v="COD"/>
    <x v="2"/>
    <x v="0"/>
    <n v="4"/>
    <n v="1"/>
    <n v="0"/>
    <s v="Repeat"/>
    <x v="4"/>
    <n v="46"/>
    <n v="0"/>
  </r>
  <r>
    <n v="4280"/>
    <x v="115"/>
    <n v="1230"/>
    <x v="2"/>
    <x v="3"/>
    <x v="2"/>
    <n v="2"/>
    <n v="0"/>
    <s v="UPI"/>
    <x v="2"/>
    <x v="3"/>
    <n v="1"/>
    <n v="0"/>
    <n v="1"/>
    <s v="New"/>
    <x v="4"/>
    <n v="48"/>
    <n v="0"/>
  </r>
  <r>
    <n v="4281"/>
    <x v="17"/>
    <n v="1470"/>
    <x v="1"/>
    <x v="3"/>
    <x v="2"/>
    <n v="3"/>
    <n v="12198"/>
    <s v="Wallet"/>
    <x v="0"/>
    <x v="3"/>
    <n v="3"/>
    <n v="0"/>
    <n v="1"/>
    <s v="New"/>
    <x v="1"/>
    <n v="38"/>
    <n v="1"/>
  </r>
  <r>
    <n v="4282"/>
    <x v="59"/>
    <n v="1105"/>
    <x v="0"/>
    <x v="3"/>
    <x v="0"/>
    <n v="4"/>
    <n v="0"/>
    <s v="Card"/>
    <x v="1"/>
    <x v="0"/>
    <n v="5"/>
    <n v="0"/>
    <n v="1"/>
    <s v="Repeat"/>
    <x v="0"/>
    <n v="34"/>
    <n v="0"/>
  </r>
  <r>
    <n v="4283"/>
    <x v="130"/>
    <n v="1164"/>
    <x v="3"/>
    <x v="2"/>
    <x v="0"/>
    <n v="5"/>
    <n v="10980"/>
    <s v="Card"/>
    <x v="0"/>
    <x v="3"/>
    <n v="1"/>
    <n v="0"/>
    <n v="0"/>
    <s v="New"/>
    <x v="3"/>
    <n v="51"/>
    <n v="1"/>
  </r>
  <r>
    <n v="4284"/>
    <x v="166"/>
    <n v="1458"/>
    <x v="2"/>
    <x v="1"/>
    <x v="0"/>
    <n v="3"/>
    <n v="0"/>
    <s v="UPI"/>
    <x v="1"/>
    <x v="2"/>
    <n v="10"/>
    <n v="0"/>
    <n v="0"/>
    <s v="New"/>
    <x v="1"/>
    <n v="39"/>
    <n v="0"/>
  </r>
  <r>
    <n v="4285"/>
    <x v="143"/>
    <n v="1570"/>
    <x v="2"/>
    <x v="2"/>
    <x v="0"/>
    <n v="2"/>
    <n v="0"/>
    <s v="Wallet"/>
    <x v="1"/>
    <x v="3"/>
    <n v="1"/>
    <n v="1"/>
    <n v="0"/>
    <s v="Repeat"/>
    <x v="2"/>
    <n v="43"/>
    <n v="0"/>
  </r>
  <r>
    <n v="4286"/>
    <x v="21"/>
    <n v="1091"/>
    <x v="2"/>
    <x v="1"/>
    <x v="3"/>
    <n v="3"/>
    <n v="0"/>
    <s v="UPI"/>
    <x v="1"/>
    <x v="3"/>
    <n v="5"/>
    <n v="0"/>
    <n v="1"/>
    <s v="New"/>
    <x v="2"/>
    <n v="43"/>
    <n v="0"/>
  </r>
  <r>
    <n v="4287"/>
    <x v="84"/>
    <n v="1108"/>
    <x v="2"/>
    <x v="1"/>
    <x v="1"/>
    <n v="4"/>
    <n v="0"/>
    <s v="UPI"/>
    <x v="1"/>
    <x v="3"/>
    <n v="8"/>
    <n v="0"/>
    <n v="0"/>
    <s v="New"/>
    <x v="2"/>
    <n v="41"/>
    <n v="0"/>
  </r>
  <r>
    <n v="4288"/>
    <x v="2"/>
    <n v="1051"/>
    <x v="2"/>
    <x v="3"/>
    <x v="1"/>
    <n v="5"/>
    <n v="0"/>
    <s v="UPI"/>
    <x v="2"/>
    <x v="2"/>
    <n v="6"/>
    <n v="1"/>
    <n v="0"/>
    <s v="Repeat"/>
    <x v="2"/>
    <n v="41"/>
    <n v="0"/>
  </r>
  <r>
    <n v="4289"/>
    <x v="114"/>
    <n v="1517"/>
    <x v="2"/>
    <x v="2"/>
    <x v="2"/>
    <n v="4"/>
    <n v="10772"/>
    <s v="COD"/>
    <x v="0"/>
    <x v="2"/>
    <n v="8"/>
    <n v="1"/>
    <n v="0"/>
    <s v="Repeat"/>
    <x v="3"/>
    <n v="50"/>
    <n v="1"/>
  </r>
  <r>
    <n v="4290"/>
    <x v="128"/>
    <n v="1549"/>
    <x v="2"/>
    <x v="2"/>
    <x v="3"/>
    <n v="2"/>
    <n v="1506"/>
    <s v="UPI"/>
    <x v="0"/>
    <x v="2"/>
    <n v="2"/>
    <n v="1"/>
    <n v="1"/>
    <s v="Repeat"/>
    <x v="1"/>
    <n v="39"/>
    <n v="1"/>
  </r>
  <r>
    <n v="4291"/>
    <x v="138"/>
    <n v="1123"/>
    <x v="4"/>
    <x v="0"/>
    <x v="0"/>
    <n v="5"/>
    <n v="0"/>
    <s v="Card"/>
    <x v="2"/>
    <x v="1"/>
    <n v="2"/>
    <n v="0"/>
    <n v="0"/>
    <s v="Repeat"/>
    <x v="2"/>
    <n v="44"/>
    <n v="0"/>
  </r>
  <r>
    <n v="4292"/>
    <x v="161"/>
    <n v="1550"/>
    <x v="3"/>
    <x v="2"/>
    <x v="1"/>
    <n v="4"/>
    <n v="0"/>
    <s v="UPI"/>
    <x v="2"/>
    <x v="2"/>
    <n v="8"/>
    <n v="0"/>
    <n v="1"/>
    <s v="New"/>
    <x v="2"/>
    <n v="41"/>
    <n v="0"/>
  </r>
  <r>
    <n v="4293"/>
    <x v="99"/>
    <n v="1440"/>
    <x v="4"/>
    <x v="0"/>
    <x v="0"/>
    <n v="1"/>
    <n v="3320"/>
    <s v="Card"/>
    <x v="0"/>
    <x v="2"/>
    <n v="9"/>
    <n v="0"/>
    <n v="1"/>
    <s v="Repeat"/>
    <x v="4"/>
    <n v="48"/>
    <n v="1"/>
  </r>
  <r>
    <n v="4294"/>
    <x v="120"/>
    <n v="1247"/>
    <x v="2"/>
    <x v="4"/>
    <x v="2"/>
    <n v="1"/>
    <n v="0"/>
    <s v="COD"/>
    <x v="2"/>
    <x v="0"/>
    <n v="1"/>
    <n v="1"/>
    <n v="1"/>
    <s v="Repeat"/>
    <x v="6"/>
    <n v="1"/>
    <n v="0"/>
  </r>
  <r>
    <n v="4295"/>
    <x v="15"/>
    <n v="1088"/>
    <x v="4"/>
    <x v="2"/>
    <x v="1"/>
    <n v="5"/>
    <n v="0"/>
    <s v="Card"/>
    <x v="2"/>
    <x v="3"/>
    <n v="7"/>
    <n v="0"/>
    <n v="1"/>
    <s v="Repeat"/>
    <x v="4"/>
    <n v="47"/>
    <n v="0"/>
  </r>
  <r>
    <n v="4296"/>
    <x v="103"/>
    <n v="1338"/>
    <x v="3"/>
    <x v="4"/>
    <x v="3"/>
    <n v="5"/>
    <n v="7355"/>
    <s v="Card"/>
    <x v="0"/>
    <x v="2"/>
    <n v="4"/>
    <n v="1"/>
    <n v="1"/>
    <s v="Repeat"/>
    <x v="1"/>
    <n v="38"/>
    <n v="1"/>
  </r>
  <r>
    <n v="4297"/>
    <x v="60"/>
    <n v="1651"/>
    <x v="2"/>
    <x v="4"/>
    <x v="2"/>
    <n v="3"/>
    <n v="0"/>
    <s v="Card"/>
    <x v="2"/>
    <x v="2"/>
    <n v="4"/>
    <n v="0"/>
    <n v="1"/>
    <s v="Repeat"/>
    <x v="1"/>
    <n v="36"/>
    <n v="0"/>
  </r>
  <r>
    <n v="4298"/>
    <x v="74"/>
    <n v="1097"/>
    <x v="2"/>
    <x v="2"/>
    <x v="0"/>
    <n v="3"/>
    <n v="10542"/>
    <s v="Wallet"/>
    <x v="0"/>
    <x v="0"/>
    <n v="2"/>
    <n v="0"/>
    <n v="0"/>
    <s v="New"/>
    <x v="5"/>
    <n v="29"/>
    <n v="1"/>
  </r>
  <r>
    <n v="4299"/>
    <x v="37"/>
    <n v="1426"/>
    <x v="0"/>
    <x v="1"/>
    <x v="2"/>
    <n v="2"/>
    <n v="9028"/>
    <s v="Card"/>
    <x v="0"/>
    <x v="2"/>
    <n v="5"/>
    <n v="0"/>
    <n v="0"/>
    <s v="New"/>
    <x v="4"/>
    <n v="46"/>
    <n v="1"/>
  </r>
  <r>
    <n v="4300"/>
    <x v="105"/>
    <n v="1383"/>
    <x v="2"/>
    <x v="1"/>
    <x v="3"/>
    <n v="5"/>
    <n v="0"/>
    <s v="Wallet"/>
    <x v="2"/>
    <x v="3"/>
    <n v="10"/>
    <n v="0"/>
    <n v="0"/>
    <s v="New"/>
    <x v="3"/>
    <n v="52"/>
    <n v="0"/>
  </r>
  <r>
    <n v="4301"/>
    <x v="119"/>
    <n v="1409"/>
    <x v="2"/>
    <x v="2"/>
    <x v="3"/>
    <n v="3"/>
    <n v="3564"/>
    <s v="UPI"/>
    <x v="0"/>
    <x v="3"/>
    <n v="6"/>
    <n v="0"/>
    <n v="0"/>
    <s v="Repeat"/>
    <x v="0"/>
    <n v="34"/>
    <n v="1"/>
  </r>
  <r>
    <n v="4302"/>
    <x v="90"/>
    <n v="1324"/>
    <x v="1"/>
    <x v="2"/>
    <x v="1"/>
    <n v="5"/>
    <n v="0"/>
    <s v="UPI"/>
    <x v="2"/>
    <x v="3"/>
    <n v="8"/>
    <n v="1"/>
    <n v="1"/>
    <s v="New"/>
    <x v="0"/>
    <n v="31"/>
    <n v="0"/>
  </r>
  <r>
    <n v="4303"/>
    <x v="44"/>
    <n v="1379"/>
    <x v="3"/>
    <x v="3"/>
    <x v="1"/>
    <n v="2"/>
    <n v="8772"/>
    <s v="UPI"/>
    <x v="0"/>
    <x v="3"/>
    <n v="6"/>
    <n v="1"/>
    <n v="0"/>
    <s v="Repeat"/>
    <x v="4"/>
    <n v="47"/>
    <n v="1"/>
  </r>
  <r>
    <n v="4304"/>
    <x v="116"/>
    <n v="1629"/>
    <x v="1"/>
    <x v="2"/>
    <x v="0"/>
    <n v="1"/>
    <n v="0"/>
    <s v="Wallet"/>
    <x v="2"/>
    <x v="3"/>
    <n v="1"/>
    <n v="1"/>
    <n v="0"/>
    <s v="New"/>
    <x v="3"/>
    <n v="50"/>
    <n v="0"/>
  </r>
  <r>
    <n v="4305"/>
    <x v="57"/>
    <n v="1346"/>
    <x v="3"/>
    <x v="4"/>
    <x v="1"/>
    <n v="3"/>
    <n v="8064"/>
    <s v="UPI"/>
    <x v="0"/>
    <x v="2"/>
    <n v="8"/>
    <n v="0"/>
    <n v="0"/>
    <s v="New"/>
    <x v="4"/>
    <n v="48"/>
    <n v="1"/>
  </r>
  <r>
    <n v="4306"/>
    <x v="45"/>
    <n v="1229"/>
    <x v="3"/>
    <x v="1"/>
    <x v="3"/>
    <n v="5"/>
    <n v="14225"/>
    <s v="Wallet"/>
    <x v="0"/>
    <x v="2"/>
    <n v="1"/>
    <n v="0"/>
    <n v="1"/>
    <s v="Repeat"/>
    <x v="6"/>
    <n v="2"/>
    <n v="1"/>
  </r>
  <r>
    <n v="4307"/>
    <x v="97"/>
    <n v="1209"/>
    <x v="1"/>
    <x v="4"/>
    <x v="0"/>
    <n v="4"/>
    <n v="0"/>
    <s v="UPI"/>
    <x v="2"/>
    <x v="1"/>
    <n v="4"/>
    <n v="0"/>
    <n v="0"/>
    <s v="Repeat"/>
    <x v="1"/>
    <n v="40"/>
    <n v="0"/>
  </r>
  <r>
    <n v="4308"/>
    <x v="129"/>
    <n v="1790"/>
    <x v="1"/>
    <x v="3"/>
    <x v="3"/>
    <n v="3"/>
    <n v="11154"/>
    <s v="UPI"/>
    <x v="0"/>
    <x v="1"/>
    <n v="4"/>
    <n v="1"/>
    <n v="0"/>
    <s v="New"/>
    <x v="4"/>
    <n v="46"/>
    <n v="1"/>
  </r>
  <r>
    <n v="4309"/>
    <x v="129"/>
    <n v="1917"/>
    <x v="1"/>
    <x v="4"/>
    <x v="1"/>
    <n v="2"/>
    <n v="0"/>
    <s v="COD"/>
    <x v="2"/>
    <x v="1"/>
    <n v="6"/>
    <n v="1"/>
    <n v="0"/>
    <s v="New"/>
    <x v="4"/>
    <n v="46"/>
    <n v="0"/>
  </r>
  <r>
    <n v="4310"/>
    <x v="169"/>
    <n v="1448"/>
    <x v="4"/>
    <x v="2"/>
    <x v="1"/>
    <n v="2"/>
    <n v="0"/>
    <s v="UPI"/>
    <x v="2"/>
    <x v="0"/>
    <n v="1"/>
    <n v="0"/>
    <n v="0"/>
    <s v="New"/>
    <x v="2"/>
    <n v="43"/>
    <n v="0"/>
  </r>
  <r>
    <n v="4311"/>
    <x v="120"/>
    <n v="1057"/>
    <x v="0"/>
    <x v="2"/>
    <x v="3"/>
    <n v="2"/>
    <n v="4212"/>
    <s v="UPI"/>
    <x v="0"/>
    <x v="0"/>
    <n v="1"/>
    <n v="1"/>
    <n v="0"/>
    <s v="New"/>
    <x v="6"/>
    <n v="1"/>
    <n v="1"/>
  </r>
  <r>
    <n v="4312"/>
    <x v="25"/>
    <n v="1030"/>
    <x v="2"/>
    <x v="1"/>
    <x v="2"/>
    <n v="1"/>
    <n v="1900"/>
    <s v="Card"/>
    <x v="0"/>
    <x v="2"/>
    <n v="5"/>
    <n v="1"/>
    <n v="0"/>
    <s v="New"/>
    <x v="4"/>
    <n v="49"/>
    <n v="1"/>
  </r>
  <r>
    <n v="4313"/>
    <x v="154"/>
    <n v="1550"/>
    <x v="2"/>
    <x v="2"/>
    <x v="3"/>
    <n v="4"/>
    <n v="0"/>
    <s v="COD"/>
    <x v="1"/>
    <x v="2"/>
    <n v="2"/>
    <n v="0"/>
    <n v="1"/>
    <s v="New"/>
    <x v="2"/>
    <n v="42"/>
    <n v="0"/>
  </r>
  <r>
    <n v="4314"/>
    <x v="124"/>
    <n v="1939"/>
    <x v="3"/>
    <x v="2"/>
    <x v="2"/>
    <n v="1"/>
    <n v="0"/>
    <s v="Wallet"/>
    <x v="1"/>
    <x v="2"/>
    <n v="7"/>
    <n v="1"/>
    <n v="0"/>
    <s v="Repeat"/>
    <x v="1"/>
    <n v="37"/>
    <n v="0"/>
  </r>
  <r>
    <n v="4315"/>
    <x v="177"/>
    <n v="1344"/>
    <x v="4"/>
    <x v="4"/>
    <x v="3"/>
    <n v="4"/>
    <n v="0"/>
    <s v="Wallet"/>
    <x v="1"/>
    <x v="1"/>
    <n v="8"/>
    <n v="1"/>
    <n v="0"/>
    <s v="New"/>
    <x v="4"/>
    <n v="45"/>
    <n v="0"/>
  </r>
  <r>
    <n v="4316"/>
    <x v="109"/>
    <n v="1048"/>
    <x v="1"/>
    <x v="3"/>
    <x v="2"/>
    <n v="5"/>
    <n v="21075"/>
    <s v="Card"/>
    <x v="0"/>
    <x v="1"/>
    <n v="6"/>
    <n v="0"/>
    <n v="1"/>
    <s v="Repeat"/>
    <x v="4"/>
    <n v="46"/>
    <n v="1"/>
  </r>
  <r>
    <n v="4317"/>
    <x v="43"/>
    <n v="1870"/>
    <x v="0"/>
    <x v="4"/>
    <x v="0"/>
    <n v="3"/>
    <n v="3963"/>
    <s v="Card"/>
    <x v="0"/>
    <x v="1"/>
    <n v="5"/>
    <n v="0"/>
    <n v="1"/>
    <s v="Repeat"/>
    <x v="4"/>
    <n v="46"/>
    <n v="1"/>
  </r>
  <r>
    <n v="4318"/>
    <x v="39"/>
    <n v="1357"/>
    <x v="1"/>
    <x v="0"/>
    <x v="1"/>
    <n v="5"/>
    <n v="23200"/>
    <s v="Wallet"/>
    <x v="0"/>
    <x v="1"/>
    <n v="6"/>
    <n v="1"/>
    <n v="1"/>
    <s v="Repeat"/>
    <x v="0"/>
    <n v="34"/>
    <n v="1"/>
  </r>
  <r>
    <n v="4319"/>
    <x v="76"/>
    <n v="1548"/>
    <x v="0"/>
    <x v="4"/>
    <x v="3"/>
    <n v="5"/>
    <n v="15690"/>
    <s v="UPI"/>
    <x v="0"/>
    <x v="1"/>
    <n v="2"/>
    <n v="0"/>
    <n v="0"/>
    <s v="Repeat"/>
    <x v="3"/>
    <n v="50"/>
    <n v="1"/>
  </r>
  <r>
    <n v="4320"/>
    <x v="44"/>
    <n v="1190"/>
    <x v="3"/>
    <x v="1"/>
    <x v="1"/>
    <n v="3"/>
    <n v="0"/>
    <s v="COD"/>
    <x v="2"/>
    <x v="0"/>
    <n v="7"/>
    <n v="1"/>
    <n v="0"/>
    <s v="New"/>
    <x v="4"/>
    <n v="47"/>
    <n v="0"/>
  </r>
  <r>
    <n v="4321"/>
    <x v="176"/>
    <n v="1818"/>
    <x v="0"/>
    <x v="3"/>
    <x v="3"/>
    <n v="5"/>
    <n v="0"/>
    <s v="Wallet"/>
    <x v="1"/>
    <x v="1"/>
    <n v="3"/>
    <n v="0"/>
    <n v="0"/>
    <s v="Repeat"/>
    <x v="3"/>
    <n v="51"/>
    <n v="0"/>
  </r>
  <r>
    <n v="4322"/>
    <x v="88"/>
    <n v="1346"/>
    <x v="0"/>
    <x v="1"/>
    <x v="3"/>
    <n v="3"/>
    <n v="0"/>
    <s v="Card"/>
    <x v="2"/>
    <x v="0"/>
    <n v="3"/>
    <n v="0"/>
    <n v="1"/>
    <s v="New"/>
    <x v="1"/>
    <n v="37"/>
    <n v="0"/>
  </r>
  <r>
    <n v="4323"/>
    <x v="177"/>
    <n v="1215"/>
    <x v="0"/>
    <x v="3"/>
    <x v="0"/>
    <n v="2"/>
    <n v="0"/>
    <s v="Card"/>
    <x v="1"/>
    <x v="1"/>
    <n v="5"/>
    <n v="1"/>
    <n v="0"/>
    <s v="Repeat"/>
    <x v="4"/>
    <n v="45"/>
    <n v="0"/>
  </r>
  <r>
    <n v="4324"/>
    <x v="66"/>
    <n v="1521"/>
    <x v="4"/>
    <x v="1"/>
    <x v="2"/>
    <n v="3"/>
    <n v="0"/>
    <s v="Card"/>
    <x v="1"/>
    <x v="3"/>
    <n v="9"/>
    <n v="0"/>
    <n v="1"/>
    <s v="Repeat"/>
    <x v="1"/>
    <n v="39"/>
    <n v="0"/>
  </r>
  <r>
    <n v="4325"/>
    <x v="45"/>
    <n v="1941"/>
    <x v="4"/>
    <x v="3"/>
    <x v="2"/>
    <n v="4"/>
    <n v="0"/>
    <s v="Wallet"/>
    <x v="1"/>
    <x v="1"/>
    <n v="6"/>
    <n v="1"/>
    <n v="0"/>
    <s v="Repeat"/>
    <x v="6"/>
    <n v="2"/>
    <n v="0"/>
  </r>
  <r>
    <n v="4326"/>
    <x v="106"/>
    <n v="1968"/>
    <x v="2"/>
    <x v="0"/>
    <x v="1"/>
    <n v="4"/>
    <n v="10520"/>
    <s v="Card"/>
    <x v="0"/>
    <x v="3"/>
    <n v="3"/>
    <n v="1"/>
    <n v="0"/>
    <s v="New"/>
    <x v="5"/>
    <n v="30"/>
    <n v="1"/>
  </r>
  <r>
    <n v="4327"/>
    <x v="164"/>
    <n v="1368"/>
    <x v="1"/>
    <x v="0"/>
    <x v="2"/>
    <n v="5"/>
    <n v="19485"/>
    <s v="UPI"/>
    <x v="0"/>
    <x v="1"/>
    <n v="5"/>
    <n v="1"/>
    <n v="1"/>
    <s v="Repeat"/>
    <x v="0"/>
    <n v="34"/>
    <n v="1"/>
  </r>
  <r>
    <n v="4328"/>
    <x v="67"/>
    <n v="1999"/>
    <x v="2"/>
    <x v="2"/>
    <x v="1"/>
    <n v="2"/>
    <n v="0"/>
    <s v="Card"/>
    <x v="2"/>
    <x v="1"/>
    <n v="1"/>
    <n v="1"/>
    <n v="1"/>
    <s v="New"/>
    <x v="1"/>
    <n v="36"/>
    <n v="0"/>
  </r>
  <r>
    <n v="4329"/>
    <x v="130"/>
    <n v="1817"/>
    <x v="2"/>
    <x v="0"/>
    <x v="0"/>
    <n v="2"/>
    <n v="9662"/>
    <s v="UPI"/>
    <x v="0"/>
    <x v="1"/>
    <n v="8"/>
    <n v="0"/>
    <n v="0"/>
    <s v="Repeat"/>
    <x v="3"/>
    <n v="51"/>
    <n v="1"/>
  </r>
  <r>
    <n v="4330"/>
    <x v="148"/>
    <n v="1321"/>
    <x v="0"/>
    <x v="3"/>
    <x v="0"/>
    <n v="5"/>
    <n v="0"/>
    <s v="Card"/>
    <x v="2"/>
    <x v="2"/>
    <n v="9"/>
    <n v="1"/>
    <n v="0"/>
    <s v="New"/>
    <x v="5"/>
    <n v="30"/>
    <n v="0"/>
  </r>
  <r>
    <n v="4331"/>
    <x v="117"/>
    <n v="1390"/>
    <x v="2"/>
    <x v="2"/>
    <x v="3"/>
    <n v="3"/>
    <n v="0"/>
    <s v="Card"/>
    <x v="2"/>
    <x v="3"/>
    <n v="1"/>
    <n v="0"/>
    <n v="0"/>
    <s v="Repeat"/>
    <x v="5"/>
    <n v="31"/>
    <n v="0"/>
  </r>
  <r>
    <n v="4332"/>
    <x v="50"/>
    <n v="1944"/>
    <x v="1"/>
    <x v="0"/>
    <x v="0"/>
    <n v="3"/>
    <n v="0"/>
    <s v="UPI"/>
    <x v="1"/>
    <x v="3"/>
    <n v="10"/>
    <n v="0"/>
    <n v="1"/>
    <s v="Repeat"/>
    <x v="3"/>
    <n v="53"/>
    <n v="0"/>
  </r>
  <r>
    <n v="4333"/>
    <x v="101"/>
    <n v="1160"/>
    <x v="3"/>
    <x v="4"/>
    <x v="1"/>
    <n v="2"/>
    <n v="0"/>
    <s v="COD"/>
    <x v="1"/>
    <x v="0"/>
    <n v="1"/>
    <n v="0"/>
    <n v="1"/>
    <s v="New"/>
    <x v="3"/>
    <n v="49"/>
    <n v="0"/>
  </r>
  <r>
    <n v="4334"/>
    <x v="21"/>
    <n v="1817"/>
    <x v="2"/>
    <x v="4"/>
    <x v="1"/>
    <n v="5"/>
    <n v="11190"/>
    <s v="Wallet"/>
    <x v="0"/>
    <x v="0"/>
    <n v="2"/>
    <n v="0"/>
    <n v="1"/>
    <s v="Repeat"/>
    <x v="2"/>
    <n v="43"/>
    <n v="1"/>
  </r>
  <r>
    <n v="4335"/>
    <x v="100"/>
    <n v="1266"/>
    <x v="1"/>
    <x v="3"/>
    <x v="2"/>
    <n v="2"/>
    <n v="0"/>
    <s v="Card"/>
    <x v="1"/>
    <x v="3"/>
    <n v="8"/>
    <n v="1"/>
    <n v="0"/>
    <s v="New"/>
    <x v="1"/>
    <n v="37"/>
    <n v="0"/>
  </r>
  <r>
    <n v="4336"/>
    <x v="123"/>
    <n v="1180"/>
    <x v="1"/>
    <x v="2"/>
    <x v="0"/>
    <n v="1"/>
    <n v="0"/>
    <s v="Card"/>
    <x v="1"/>
    <x v="3"/>
    <n v="10"/>
    <n v="1"/>
    <n v="0"/>
    <s v="New"/>
    <x v="0"/>
    <n v="34"/>
    <n v="0"/>
  </r>
  <r>
    <n v="4337"/>
    <x v="35"/>
    <n v="1107"/>
    <x v="2"/>
    <x v="3"/>
    <x v="3"/>
    <n v="4"/>
    <n v="0"/>
    <s v="Card"/>
    <x v="2"/>
    <x v="0"/>
    <n v="6"/>
    <n v="1"/>
    <n v="0"/>
    <s v="New"/>
    <x v="0"/>
    <n v="35"/>
    <n v="0"/>
  </r>
  <r>
    <n v="4338"/>
    <x v="9"/>
    <n v="1538"/>
    <x v="0"/>
    <x v="0"/>
    <x v="1"/>
    <n v="1"/>
    <n v="0"/>
    <s v="COD"/>
    <x v="1"/>
    <x v="1"/>
    <n v="5"/>
    <n v="1"/>
    <n v="0"/>
    <s v="New"/>
    <x v="5"/>
    <n v="30"/>
    <n v="0"/>
  </r>
  <r>
    <n v="4339"/>
    <x v="141"/>
    <n v="1858"/>
    <x v="4"/>
    <x v="1"/>
    <x v="3"/>
    <n v="3"/>
    <n v="0"/>
    <s v="Card"/>
    <x v="1"/>
    <x v="2"/>
    <n v="6"/>
    <n v="1"/>
    <n v="0"/>
    <s v="Repeat"/>
    <x v="1"/>
    <n v="39"/>
    <n v="0"/>
  </r>
  <r>
    <n v="4340"/>
    <x v="124"/>
    <n v="1717"/>
    <x v="0"/>
    <x v="4"/>
    <x v="2"/>
    <n v="3"/>
    <n v="0"/>
    <s v="UPI"/>
    <x v="1"/>
    <x v="1"/>
    <n v="1"/>
    <n v="0"/>
    <n v="1"/>
    <s v="New"/>
    <x v="1"/>
    <n v="37"/>
    <n v="0"/>
  </r>
  <r>
    <n v="4341"/>
    <x v="39"/>
    <n v="1190"/>
    <x v="0"/>
    <x v="2"/>
    <x v="3"/>
    <n v="2"/>
    <n v="8690"/>
    <s v="Wallet"/>
    <x v="0"/>
    <x v="3"/>
    <n v="5"/>
    <n v="1"/>
    <n v="0"/>
    <s v="Repeat"/>
    <x v="0"/>
    <n v="34"/>
    <n v="1"/>
  </r>
  <r>
    <n v="4342"/>
    <x v="5"/>
    <n v="1982"/>
    <x v="2"/>
    <x v="4"/>
    <x v="1"/>
    <n v="1"/>
    <n v="1407"/>
    <s v="COD"/>
    <x v="0"/>
    <x v="0"/>
    <n v="5"/>
    <n v="1"/>
    <n v="1"/>
    <s v="Repeat"/>
    <x v="0"/>
    <n v="33"/>
    <n v="1"/>
  </r>
  <r>
    <n v="4343"/>
    <x v="158"/>
    <n v="1298"/>
    <x v="4"/>
    <x v="0"/>
    <x v="1"/>
    <n v="2"/>
    <n v="9736"/>
    <s v="COD"/>
    <x v="0"/>
    <x v="1"/>
    <n v="9"/>
    <n v="1"/>
    <n v="1"/>
    <s v="Repeat"/>
    <x v="1"/>
    <n v="38"/>
    <n v="1"/>
  </r>
  <r>
    <n v="4344"/>
    <x v="69"/>
    <n v="1827"/>
    <x v="0"/>
    <x v="2"/>
    <x v="0"/>
    <n v="5"/>
    <n v="0"/>
    <s v="UPI"/>
    <x v="2"/>
    <x v="2"/>
    <n v="5"/>
    <n v="0"/>
    <n v="0"/>
    <s v="New"/>
    <x v="2"/>
    <n v="40"/>
    <n v="0"/>
  </r>
  <r>
    <n v="4345"/>
    <x v="111"/>
    <n v="1435"/>
    <x v="0"/>
    <x v="1"/>
    <x v="3"/>
    <n v="1"/>
    <n v="0"/>
    <s v="Card"/>
    <x v="2"/>
    <x v="0"/>
    <n v="9"/>
    <n v="1"/>
    <n v="1"/>
    <s v="Repeat"/>
    <x v="4"/>
    <n v="48"/>
    <n v="0"/>
  </r>
  <r>
    <n v="4346"/>
    <x v="98"/>
    <n v="1480"/>
    <x v="0"/>
    <x v="3"/>
    <x v="2"/>
    <n v="2"/>
    <n v="0"/>
    <s v="Card"/>
    <x v="1"/>
    <x v="0"/>
    <n v="1"/>
    <n v="1"/>
    <n v="0"/>
    <s v="New"/>
    <x v="3"/>
    <n v="51"/>
    <n v="0"/>
  </r>
  <r>
    <n v="4347"/>
    <x v="39"/>
    <n v="1961"/>
    <x v="1"/>
    <x v="0"/>
    <x v="3"/>
    <n v="5"/>
    <n v="0"/>
    <s v="UPI"/>
    <x v="1"/>
    <x v="3"/>
    <n v="1"/>
    <n v="1"/>
    <n v="0"/>
    <s v="New"/>
    <x v="0"/>
    <n v="34"/>
    <n v="0"/>
  </r>
  <r>
    <n v="4348"/>
    <x v="29"/>
    <n v="1942"/>
    <x v="2"/>
    <x v="1"/>
    <x v="0"/>
    <n v="5"/>
    <n v="0"/>
    <s v="Wallet"/>
    <x v="1"/>
    <x v="2"/>
    <n v="2"/>
    <n v="1"/>
    <n v="1"/>
    <s v="New"/>
    <x v="1"/>
    <n v="39"/>
    <n v="0"/>
  </r>
  <r>
    <n v="4349"/>
    <x v="171"/>
    <n v="1782"/>
    <x v="3"/>
    <x v="3"/>
    <x v="1"/>
    <n v="1"/>
    <n v="0"/>
    <s v="COD"/>
    <x v="1"/>
    <x v="1"/>
    <n v="5"/>
    <n v="0"/>
    <n v="1"/>
    <s v="Repeat"/>
    <x v="1"/>
    <n v="36"/>
    <n v="0"/>
  </r>
  <r>
    <n v="4350"/>
    <x v="36"/>
    <n v="1653"/>
    <x v="4"/>
    <x v="1"/>
    <x v="1"/>
    <n v="1"/>
    <n v="0"/>
    <s v="COD"/>
    <x v="2"/>
    <x v="1"/>
    <n v="1"/>
    <n v="0"/>
    <n v="1"/>
    <s v="Repeat"/>
    <x v="2"/>
    <n v="44"/>
    <n v="0"/>
  </r>
  <r>
    <n v="4351"/>
    <x v="146"/>
    <n v="1791"/>
    <x v="3"/>
    <x v="1"/>
    <x v="1"/>
    <n v="4"/>
    <n v="10576"/>
    <s v="COD"/>
    <x v="0"/>
    <x v="1"/>
    <n v="3"/>
    <n v="0"/>
    <n v="1"/>
    <s v="Repeat"/>
    <x v="2"/>
    <n v="40"/>
    <n v="1"/>
  </r>
  <r>
    <n v="4352"/>
    <x v="103"/>
    <n v="1037"/>
    <x v="0"/>
    <x v="1"/>
    <x v="3"/>
    <n v="5"/>
    <n v="1605"/>
    <s v="UPI"/>
    <x v="0"/>
    <x v="0"/>
    <n v="9"/>
    <n v="1"/>
    <n v="0"/>
    <s v="New"/>
    <x v="1"/>
    <n v="38"/>
    <n v="1"/>
  </r>
  <r>
    <n v="4353"/>
    <x v="163"/>
    <n v="1759"/>
    <x v="3"/>
    <x v="4"/>
    <x v="0"/>
    <n v="5"/>
    <n v="19835"/>
    <s v="Card"/>
    <x v="0"/>
    <x v="0"/>
    <n v="7"/>
    <n v="0"/>
    <n v="0"/>
    <s v="New"/>
    <x v="4"/>
    <n v="45"/>
    <n v="1"/>
  </r>
  <r>
    <n v="4354"/>
    <x v="3"/>
    <n v="1261"/>
    <x v="3"/>
    <x v="2"/>
    <x v="1"/>
    <n v="4"/>
    <n v="0"/>
    <s v="Card"/>
    <x v="1"/>
    <x v="2"/>
    <n v="9"/>
    <n v="1"/>
    <n v="0"/>
    <s v="New"/>
    <x v="0"/>
    <n v="32"/>
    <n v="0"/>
  </r>
  <r>
    <n v="4355"/>
    <x v="156"/>
    <n v="1665"/>
    <x v="4"/>
    <x v="0"/>
    <x v="1"/>
    <n v="3"/>
    <n v="0"/>
    <s v="Wallet"/>
    <x v="2"/>
    <x v="3"/>
    <n v="7"/>
    <n v="0"/>
    <n v="1"/>
    <s v="Repeat"/>
    <x v="6"/>
    <n v="2"/>
    <n v="0"/>
  </r>
  <r>
    <n v="4356"/>
    <x v="82"/>
    <n v="1674"/>
    <x v="1"/>
    <x v="0"/>
    <x v="1"/>
    <n v="4"/>
    <n v="0"/>
    <s v="Card"/>
    <x v="1"/>
    <x v="3"/>
    <n v="6"/>
    <n v="0"/>
    <n v="1"/>
    <s v="Repeat"/>
    <x v="0"/>
    <n v="33"/>
    <n v="0"/>
  </r>
  <r>
    <n v="4357"/>
    <x v="15"/>
    <n v="1805"/>
    <x v="2"/>
    <x v="0"/>
    <x v="2"/>
    <n v="1"/>
    <n v="3347"/>
    <s v="COD"/>
    <x v="0"/>
    <x v="3"/>
    <n v="8"/>
    <n v="1"/>
    <n v="0"/>
    <s v="New"/>
    <x v="4"/>
    <n v="47"/>
    <n v="1"/>
  </r>
  <r>
    <n v="4358"/>
    <x v="60"/>
    <n v="1667"/>
    <x v="0"/>
    <x v="3"/>
    <x v="1"/>
    <n v="5"/>
    <n v="0"/>
    <s v="UPI"/>
    <x v="2"/>
    <x v="0"/>
    <n v="10"/>
    <n v="1"/>
    <n v="0"/>
    <s v="Repeat"/>
    <x v="1"/>
    <n v="36"/>
    <n v="0"/>
  </r>
  <r>
    <n v="4359"/>
    <x v="162"/>
    <n v="1985"/>
    <x v="3"/>
    <x v="3"/>
    <x v="2"/>
    <n v="1"/>
    <n v="0"/>
    <s v="Card"/>
    <x v="1"/>
    <x v="2"/>
    <n v="8"/>
    <n v="1"/>
    <n v="1"/>
    <s v="New"/>
    <x v="2"/>
    <n v="43"/>
    <n v="0"/>
  </r>
  <r>
    <n v="4360"/>
    <x v="109"/>
    <n v="1025"/>
    <x v="3"/>
    <x v="0"/>
    <x v="3"/>
    <n v="1"/>
    <n v="0"/>
    <s v="Card"/>
    <x v="2"/>
    <x v="1"/>
    <n v="2"/>
    <n v="0"/>
    <n v="0"/>
    <s v="Repeat"/>
    <x v="4"/>
    <n v="46"/>
    <n v="0"/>
  </r>
  <r>
    <n v="4361"/>
    <x v="128"/>
    <n v="1338"/>
    <x v="2"/>
    <x v="2"/>
    <x v="0"/>
    <n v="3"/>
    <n v="0"/>
    <s v="UPI"/>
    <x v="1"/>
    <x v="0"/>
    <n v="8"/>
    <n v="1"/>
    <n v="1"/>
    <s v="New"/>
    <x v="1"/>
    <n v="39"/>
    <n v="0"/>
  </r>
  <r>
    <n v="4362"/>
    <x v="79"/>
    <n v="1388"/>
    <x v="4"/>
    <x v="3"/>
    <x v="0"/>
    <n v="2"/>
    <n v="0"/>
    <s v="UPI"/>
    <x v="2"/>
    <x v="2"/>
    <n v="9"/>
    <n v="1"/>
    <n v="0"/>
    <s v="Repeat"/>
    <x v="1"/>
    <n v="36"/>
    <n v="0"/>
  </r>
  <r>
    <n v="4363"/>
    <x v="135"/>
    <n v="1877"/>
    <x v="2"/>
    <x v="1"/>
    <x v="1"/>
    <n v="5"/>
    <n v="0"/>
    <s v="COD"/>
    <x v="2"/>
    <x v="0"/>
    <n v="3"/>
    <n v="0"/>
    <n v="0"/>
    <s v="New"/>
    <x v="2"/>
    <n v="43"/>
    <n v="0"/>
  </r>
  <r>
    <n v="4364"/>
    <x v="70"/>
    <n v="1654"/>
    <x v="4"/>
    <x v="4"/>
    <x v="1"/>
    <n v="3"/>
    <n v="7185"/>
    <s v="Card"/>
    <x v="0"/>
    <x v="1"/>
    <n v="6"/>
    <n v="1"/>
    <n v="1"/>
    <s v="New"/>
    <x v="2"/>
    <n v="40"/>
    <n v="1"/>
  </r>
  <r>
    <n v="4365"/>
    <x v="54"/>
    <n v="1067"/>
    <x v="4"/>
    <x v="4"/>
    <x v="0"/>
    <n v="5"/>
    <n v="0"/>
    <s v="Card"/>
    <x v="1"/>
    <x v="1"/>
    <n v="4"/>
    <n v="0"/>
    <n v="0"/>
    <s v="New"/>
    <x v="0"/>
    <n v="34"/>
    <n v="0"/>
  </r>
  <r>
    <n v="4366"/>
    <x v="31"/>
    <n v="1568"/>
    <x v="2"/>
    <x v="3"/>
    <x v="0"/>
    <n v="3"/>
    <n v="0"/>
    <s v="Card"/>
    <x v="1"/>
    <x v="3"/>
    <n v="2"/>
    <n v="0"/>
    <n v="0"/>
    <s v="New"/>
    <x v="2"/>
    <n v="44"/>
    <n v="0"/>
  </r>
  <r>
    <n v="4367"/>
    <x v="0"/>
    <n v="1345"/>
    <x v="0"/>
    <x v="0"/>
    <x v="1"/>
    <n v="5"/>
    <n v="0"/>
    <s v="COD"/>
    <x v="1"/>
    <x v="3"/>
    <n v="8"/>
    <n v="0"/>
    <n v="0"/>
    <s v="New"/>
    <x v="0"/>
    <n v="32"/>
    <n v="0"/>
  </r>
  <r>
    <n v="4368"/>
    <x v="59"/>
    <n v="1084"/>
    <x v="1"/>
    <x v="4"/>
    <x v="0"/>
    <n v="5"/>
    <n v="19245"/>
    <s v="COD"/>
    <x v="0"/>
    <x v="0"/>
    <n v="6"/>
    <n v="0"/>
    <n v="1"/>
    <s v="New"/>
    <x v="0"/>
    <n v="34"/>
    <n v="1"/>
  </r>
  <r>
    <n v="4369"/>
    <x v="50"/>
    <n v="1887"/>
    <x v="2"/>
    <x v="2"/>
    <x v="3"/>
    <n v="5"/>
    <n v="10805"/>
    <s v="COD"/>
    <x v="0"/>
    <x v="0"/>
    <n v="9"/>
    <n v="0"/>
    <n v="1"/>
    <s v="Repeat"/>
    <x v="3"/>
    <n v="53"/>
    <n v="1"/>
  </r>
  <r>
    <n v="4370"/>
    <x v="135"/>
    <n v="1374"/>
    <x v="4"/>
    <x v="4"/>
    <x v="3"/>
    <n v="3"/>
    <n v="0"/>
    <s v="COD"/>
    <x v="1"/>
    <x v="0"/>
    <n v="7"/>
    <n v="1"/>
    <n v="0"/>
    <s v="New"/>
    <x v="2"/>
    <n v="43"/>
    <n v="0"/>
  </r>
  <r>
    <n v="4371"/>
    <x v="61"/>
    <n v="1992"/>
    <x v="3"/>
    <x v="2"/>
    <x v="2"/>
    <n v="2"/>
    <n v="0"/>
    <s v="UPI"/>
    <x v="1"/>
    <x v="3"/>
    <n v="3"/>
    <n v="0"/>
    <n v="1"/>
    <s v="New"/>
    <x v="4"/>
    <n v="46"/>
    <n v="0"/>
  </r>
  <r>
    <n v="4372"/>
    <x v="2"/>
    <n v="1773"/>
    <x v="2"/>
    <x v="1"/>
    <x v="1"/>
    <n v="3"/>
    <n v="0"/>
    <s v="Wallet"/>
    <x v="1"/>
    <x v="2"/>
    <n v="1"/>
    <n v="0"/>
    <n v="0"/>
    <s v="Repeat"/>
    <x v="2"/>
    <n v="41"/>
    <n v="0"/>
  </r>
  <r>
    <n v="4373"/>
    <x v="164"/>
    <n v="1604"/>
    <x v="0"/>
    <x v="2"/>
    <x v="3"/>
    <n v="5"/>
    <n v="0"/>
    <s v="Wallet"/>
    <x v="2"/>
    <x v="1"/>
    <n v="10"/>
    <n v="0"/>
    <n v="1"/>
    <s v="Repeat"/>
    <x v="0"/>
    <n v="34"/>
    <n v="0"/>
  </r>
  <r>
    <n v="4374"/>
    <x v="22"/>
    <n v="1610"/>
    <x v="0"/>
    <x v="0"/>
    <x v="2"/>
    <n v="5"/>
    <n v="16625"/>
    <s v="UPI"/>
    <x v="0"/>
    <x v="0"/>
    <n v="7"/>
    <n v="0"/>
    <n v="0"/>
    <s v="Repeat"/>
    <x v="6"/>
    <n v="2"/>
    <n v="1"/>
  </r>
  <r>
    <n v="4375"/>
    <x v="77"/>
    <n v="1590"/>
    <x v="2"/>
    <x v="1"/>
    <x v="2"/>
    <n v="4"/>
    <n v="16832"/>
    <s v="UPI"/>
    <x v="0"/>
    <x v="2"/>
    <n v="1"/>
    <n v="0"/>
    <n v="0"/>
    <s v="New"/>
    <x v="1"/>
    <n v="38"/>
    <n v="1"/>
  </r>
  <r>
    <n v="4376"/>
    <x v="68"/>
    <n v="1153"/>
    <x v="3"/>
    <x v="0"/>
    <x v="1"/>
    <n v="1"/>
    <n v="0"/>
    <s v="COD"/>
    <x v="2"/>
    <x v="1"/>
    <n v="6"/>
    <n v="0"/>
    <n v="0"/>
    <s v="New"/>
    <x v="0"/>
    <n v="32"/>
    <n v="0"/>
  </r>
  <r>
    <n v="4377"/>
    <x v="21"/>
    <n v="1692"/>
    <x v="1"/>
    <x v="4"/>
    <x v="2"/>
    <n v="1"/>
    <n v="0"/>
    <s v="UPI"/>
    <x v="2"/>
    <x v="3"/>
    <n v="2"/>
    <n v="1"/>
    <n v="0"/>
    <s v="Repeat"/>
    <x v="2"/>
    <n v="43"/>
    <n v="0"/>
  </r>
  <r>
    <n v="4378"/>
    <x v="174"/>
    <n v="1217"/>
    <x v="0"/>
    <x v="3"/>
    <x v="3"/>
    <n v="2"/>
    <n v="5206"/>
    <s v="COD"/>
    <x v="0"/>
    <x v="3"/>
    <n v="6"/>
    <n v="1"/>
    <n v="0"/>
    <s v="New"/>
    <x v="5"/>
    <n v="29"/>
    <n v="1"/>
  </r>
  <r>
    <n v="4379"/>
    <x v="155"/>
    <n v="1253"/>
    <x v="4"/>
    <x v="1"/>
    <x v="3"/>
    <n v="1"/>
    <n v="914"/>
    <s v="Card"/>
    <x v="0"/>
    <x v="2"/>
    <n v="3"/>
    <n v="0"/>
    <n v="1"/>
    <s v="Repeat"/>
    <x v="0"/>
    <n v="33"/>
    <n v="1"/>
  </r>
  <r>
    <n v="4380"/>
    <x v="127"/>
    <n v="1043"/>
    <x v="1"/>
    <x v="3"/>
    <x v="0"/>
    <n v="1"/>
    <n v="0"/>
    <s v="Card"/>
    <x v="2"/>
    <x v="1"/>
    <n v="2"/>
    <n v="0"/>
    <n v="0"/>
    <s v="New"/>
    <x v="5"/>
    <n v="29"/>
    <n v="0"/>
  </r>
  <r>
    <n v="4381"/>
    <x v="4"/>
    <n v="1869"/>
    <x v="3"/>
    <x v="3"/>
    <x v="2"/>
    <n v="1"/>
    <n v="0"/>
    <s v="UPI"/>
    <x v="2"/>
    <x v="3"/>
    <n v="2"/>
    <n v="0"/>
    <n v="1"/>
    <s v="Repeat"/>
    <x v="3"/>
    <n v="50"/>
    <n v="0"/>
  </r>
  <r>
    <n v="4382"/>
    <x v="28"/>
    <n v="1006"/>
    <x v="0"/>
    <x v="1"/>
    <x v="0"/>
    <n v="2"/>
    <n v="0"/>
    <s v="Wallet"/>
    <x v="2"/>
    <x v="0"/>
    <n v="9"/>
    <n v="0"/>
    <n v="1"/>
    <s v="New"/>
    <x v="0"/>
    <n v="33"/>
    <n v="0"/>
  </r>
  <r>
    <n v="4383"/>
    <x v="148"/>
    <n v="1546"/>
    <x v="2"/>
    <x v="2"/>
    <x v="2"/>
    <n v="5"/>
    <n v="0"/>
    <s v="Wallet"/>
    <x v="1"/>
    <x v="0"/>
    <n v="3"/>
    <n v="0"/>
    <n v="1"/>
    <s v="Repeat"/>
    <x v="5"/>
    <n v="30"/>
    <n v="0"/>
  </r>
  <r>
    <n v="4384"/>
    <x v="143"/>
    <n v="1409"/>
    <x v="3"/>
    <x v="2"/>
    <x v="1"/>
    <n v="1"/>
    <n v="216"/>
    <s v="UPI"/>
    <x v="0"/>
    <x v="2"/>
    <n v="8"/>
    <n v="0"/>
    <n v="1"/>
    <s v="New"/>
    <x v="2"/>
    <n v="43"/>
    <n v="1"/>
  </r>
  <r>
    <n v="4385"/>
    <x v="169"/>
    <n v="1680"/>
    <x v="2"/>
    <x v="4"/>
    <x v="3"/>
    <n v="4"/>
    <n v="0"/>
    <s v="COD"/>
    <x v="1"/>
    <x v="2"/>
    <n v="4"/>
    <n v="1"/>
    <n v="0"/>
    <s v="Repeat"/>
    <x v="2"/>
    <n v="43"/>
    <n v="0"/>
  </r>
  <r>
    <n v="4386"/>
    <x v="174"/>
    <n v="1981"/>
    <x v="3"/>
    <x v="3"/>
    <x v="2"/>
    <n v="3"/>
    <n v="0"/>
    <s v="UPI"/>
    <x v="2"/>
    <x v="2"/>
    <n v="10"/>
    <n v="1"/>
    <n v="0"/>
    <s v="Repeat"/>
    <x v="5"/>
    <n v="29"/>
    <n v="0"/>
  </r>
  <r>
    <n v="4387"/>
    <x v="171"/>
    <n v="1924"/>
    <x v="4"/>
    <x v="1"/>
    <x v="2"/>
    <n v="1"/>
    <n v="0"/>
    <s v="COD"/>
    <x v="1"/>
    <x v="0"/>
    <n v="1"/>
    <n v="0"/>
    <n v="1"/>
    <s v="Repeat"/>
    <x v="1"/>
    <n v="36"/>
    <n v="0"/>
  </r>
  <r>
    <n v="4388"/>
    <x v="99"/>
    <n v="1377"/>
    <x v="4"/>
    <x v="3"/>
    <x v="3"/>
    <n v="5"/>
    <n v="0"/>
    <s v="Wallet"/>
    <x v="1"/>
    <x v="3"/>
    <n v="8"/>
    <n v="0"/>
    <n v="0"/>
    <s v="New"/>
    <x v="4"/>
    <n v="48"/>
    <n v="0"/>
  </r>
  <r>
    <n v="4389"/>
    <x v="24"/>
    <n v="1644"/>
    <x v="2"/>
    <x v="2"/>
    <x v="3"/>
    <n v="3"/>
    <n v="0"/>
    <s v="Card"/>
    <x v="1"/>
    <x v="2"/>
    <n v="4"/>
    <n v="0"/>
    <n v="0"/>
    <s v="New"/>
    <x v="5"/>
    <n v="30"/>
    <n v="0"/>
  </r>
  <r>
    <n v="4390"/>
    <x v="22"/>
    <n v="1271"/>
    <x v="3"/>
    <x v="4"/>
    <x v="3"/>
    <n v="3"/>
    <n v="0"/>
    <s v="Card"/>
    <x v="1"/>
    <x v="0"/>
    <n v="8"/>
    <n v="1"/>
    <n v="1"/>
    <s v="Repeat"/>
    <x v="6"/>
    <n v="2"/>
    <n v="0"/>
  </r>
  <r>
    <n v="4391"/>
    <x v="129"/>
    <n v="1415"/>
    <x v="3"/>
    <x v="3"/>
    <x v="0"/>
    <n v="2"/>
    <n v="8932"/>
    <s v="Wallet"/>
    <x v="0"/>
    <x v="1"/>
    <n v="10"/>
    <n v="1"/>
    <n v="0"/>
    <s v="Repeat"/>
    <x v="4"/>
    <n v="46"/>
    <n v="1"/>
  </r>
  <r>
    <n v="4392"/>
    <x v="7"/>
    <n v="1493"/>
    <x v="3"/>
    <x v="2"/>
    <x v="0"/>
    <n v="4"/>
    <n v="15640"/>
    <s v="Card"/>
    <x v="0"/>
    <x v="0"/>
    <n v="4"/>
    <n v="1"/>
    <n v="1"/>
    <s v="Repeat"/>
    <x v="3"/>
    <n v="49"/>
    <n v="1"/>
  </r>
  <r>
    <n v="4393"/>
    <x v="98"/>
    <n v="1482"/>
    <x v="2"/>
    <x v="4"/>
    <x v="3"/>
    <n v="4"/>
    <n v="0"/>
    <s v="Card"/>
    <x v="2"/>
    <x v="2"/>
    <n v="5"/>
    <n v="0"/>
    <n v="0"/>
    <s v="New"/>
    <x v="3"/>
    <n v="51"/>
    <n v="0"/>
  </r>
  <r>
    <n v="4394"/>
    <x v="140"/>
    <n v="1682"/>
    <x v="4"/>
    <x v="2"/>
    <x v="0"/>
    <n v="5"/>
    <n v="0"/>
    <s v="UPI"/>
    <x v="1"/>
    <x v="1"/>
    <n v="9"/>
    <n v="1"/>
    <n v="0"/>
    <s v="New"/>
    <x v="4"/>
    <n v="48"/>
    <n v="0"/>
  </r>
  <r>
    <n v="4395"/>
    <x v="144"/>
    <n v="1972"/>
    <x v="0"/>
    <x v="4"/>
    <x v="2"/>
    <n v="2"/>
    <n v="0"/>
    <s v="Card"/>
    <x v="2"/>
    <x v="0"/>
    <n v="2"/>
    <n v="0"/>
    <n v="0"/>
    <s v="Repeat"/>
    <x v="3"/>
    <n v="52"/>
    <n v="0"/>
  </r>
  <r>
    <n v="4396"/>
    <x v="21"/>
    <n v="1182"/>
    <x v="2"/>
    <x v="0"/>
    <x v="0"/>
    <n v="3"/>
    <n v="1728"/>
    <s v="UPI"/>
    <x v="0"/>
    <x v="1"/>
    <n v="3"/>
    <n v="1"/>
    <n v="1"/>
    <s v="Repeat"/>
    <x v="2"/>
    <n v="43"/>
    <n v="1"/>
  </r>
  <r>
    <n v="4397"/>
    <x v="172"/>
    <n v="1908"/>
    <x v="0"/>
    <x v="3"/>
    <x v="0"/>
    <n v="3"/>
    <n v="3984"/>
    <s v="Card"/>
    <x v="0"/>
    <x v="2"/>
    <n v="9"/>
    <n v="1"/>
    <n v="1"/>
    <s v="New"/>
    <x v="2"/>
    <n v="44"/>
    <n v="1"/>
  </r>
  <r>
    <n v="4398"/>
    <x v="124"/>
    <n v="1639"/>
    <x v="2"/>
    <x v="2"/>
    <x v="1"/>
    <n v="1"/>
    <n v="0"/>
    <s v="Card"/>
    <x v="1"/>
    <x v="1"/>
    <n v="4"/>
    <n v="1"/>
    <n v="0"/>
    <s v="New"/>
    <x v="1"/>
    <n v="37"/>
    <n v="0"/>
  </r>
  <r>
    <n v="4399"/>
    <x v="109"/>
    <n v="1283"/>
    <x v="2"/>
    <x v="2"/>
    <x v="2"/>
    <n v="2"/>
    <n v="0"/>
    <s v="Wallet"/>
    <x v="1"/>
    <x v="2"/>
    <n v="9"/>
    <n v="1"/>
    <n v="0"/>
    <s v="Repeat"/>
    <x v="4"/>
    <n v="46"/>
    <n v="0"/>
  </r>
  <r>
    <n v="4400"/>
    <x v="155"/>
    <n v="1203"/>
    <x v="1"/>
    <x v="1"/>
    <x v="2"/>
    <n v="4"/>
    <n v="0"/>
    <s v="UPI"/>
    <x v="2"/>
    <x v="1"/>
    <n v="1"/>
    <n v="0"/>
    <n v="0"/>
    <s v="Repeat"/>
    <x v="0"/>
    <n v="33"/>
    <n v="0"/>
  </r>
  <r>
    <n v="4401"/>
    <x v="166"/>
    <n v="1728"/>
    <x v="3"/>
    <x v="4"/>
    <x v="1"/>
    <n v="5"/>
    <n v="0"/>
    <s v="Card"/>
    <x v="2"/>
    <x v="1"/>
    <n v="4"/>
    <n v="0"/>
    <n v="0"/>
    <s v="Repeat"/>
    <x v="1"/>
    <n v="39"/>
    <n v="0"/>
  </r>
  <r>
    <n v="4402"/>
    <x v="44"/>
    <n v="1257"/>
    <x v="2"/>
    <x v="0"/>
    <x v="1"/>
    <n v="2"/>
    <n v="7396"/>
    <s v="Wallet"/>
    <x v="0"/>
    <x v="0"/>
    <n v="8"/>
    <n v="0"/>
    <n v="0"/>
    <s v="New"/>
    <x v="4"/>
    <n v="47"/>
    <n v="1"/>
  </r>
  <r>
    <n v="4403"/>
    <x v="180"/>
    <n v="1168"/>
    <x v="1"/>
    <x v="2"/>
    <x v="0"/>
    <n v="5"/>
    <n v="9830"/>
    <s v="UPI"/>
    <x v="0"/>
    <x v="2"/>
    <n v="2"/>
    <n v="0"/>
    <n v="1"/>
    <s v="Repeat"/>
    <x v="4"/>
    <n v="46"/>
    <n v="1"/>
  </r>
  <r>
    <n v="4404"/>
    <x v="85"/>
    <n v="1227"/>
    <x v="3"/>
    <x v="3"/>
    <x v="2"/>
    <n v="3"/>
    <n v="11553"/>
    <s v="Card"/>
    <x v="0"/>
    <x v="1"/>
    <n v="7"/>
    <n v="0"/>
    <n v="1"/>
    <s v="New"/>
    <x v="3"/>
    <n v="50"/>
    <n v="1"/>
  </r>
  <r>
    <n v="4405"/>
    <x v="54"/>
    <n v="1108"/>
    <x v="0"/>
    <x v="4"/>
    <x v="0"/>
    <n v="3"/>
    <n v="0"/>
    <s v="Wallet"/>
    <x v="2"/>
    <x v="3"/>
    <n v="8"/>
    <n v="1"/>
    <n v="0"/>
    <s v="Repeat"/>
    <x v="0"/>
    <n v="34"/>
    <n v="0"/>
  </r>
  <r>
    <n v="4406"/>
    <x v="57"/>
    <n v="1364"/>
    <x v="3"/>
    <x v="2"/>
    <x v="2"/>
    <n v="1"/>
    <n v="4357"/>
    <s v="Wallet"/>
    <x v="0"/>
    <x v="0"/>
    <n v="4"/>
    <n v="1"/>
    <n v="1"/>
    <s v="Repeat"/>
    <x v="4"/>
    <n v="48"/>
    <n v="1"/>
  </r>
  <r>
    <n v="4407"/>
    <x v="60"/>
    <n v="1613"/>
    <x v="1"/>
    <x v="3"/>
    <x v="3"/>
    <n v="1"/>
    <n v="1535"/>
    <s v="COD"/>
    <x v="0"/>
    <x v="1"/>
    <n v="7"/>
    <n v="0"/>
    <n v="1"/>
    <s v="New"/>
    <x v="1"/>
    <n v="36"/>
    <n v="1"/>
  </r>
  <r>
    <n v="4408"/>
    <x v="75"/>
    <n v="1003"/>
    <x v="2"/>
    <x v="2"/>
    <x v="2"/>
    <n v="1"/>
    <n v="2065"/>
    <s v="Wallet"/>
    <x v="0"/>
    <x v="0"/>
    <n v="1"/>
    <n v="1"/>
    <n v="1"/>
    <s v="New"/>
    <x v="3"/>
    <n v="52"/>
    <n v="1"/>
  </r>
  <r>
    <n v="4409"/>
    <x v="143"/>
    <n v="1997"/>
    <x v="0"/>
    <x v="0"/>
    <x v="3"/>
    <n v="5"/>
    <n v="0"/>
    <s v="COD"/>
    <x v="2"/>
    <x v="3"/>
    <n v="7"/>
    <n v="0"/>
    <n v="0"/>
    <s v="Repeat"/>
    <x v="2"/>
    <n v="43"/>
    <n v="0"/>
  </r>
  <r>
    <n v="4410"/>
    <x v="6"/>
    <n v="1859"/>
    <x v="3"/>
    <x v="3"/>
    <x v="1"/>
    <n v="3"/>
    <n v="0"/>
    <s v="UPI"/>
    <x v="1"/>
    <x v="2"/>
    <n v="10"/>
    <n v="1"/>
    <n v="1"/>
    <s v="Repeat"/>
    <x v="4"/>
    <n v="47"/>
    <n v="0"/>
  </r>
  <r>
    <n v="4411"/>
    <x v="23"/>
    <n v="1737"/>
    <x v="2"/>
    <x v="0"/>
    <x v="0"/>
    <n v="2"/>
    <n v="0"/>
    <s v="COD"/>
    <x v="1"/>
    <x v="2"/>
    <n v="8"/>
    <n v="0"/>
    <n v="0"/>
    <s v="Repeat"/>
    <x v="3"/>
    <n v="51"/>
    <n v="0"/>
  </r>
  <r>
    <n v="4412"/>
    <x v="39"/>
    <n v="1868"/>
    <x v="4"/>
    <x v="2"/>
    <x v="2"/>
    <n v="1"/>
    <n v="0"/>
    <s v="Wallet"/>
    <x v="1"/>
    <x v="1"/>
    <n v="10"/>
    <n v="0"/>
    <n v="1"/>
    <s v="New"/>
    <x v="0"/>
    <n v="34"/>
    <n v="0"/>
  </r>
  <r>
    <n v="4413"/>
    <x v="33"/>
    <n v="1813"/>
    <x v="0"/>
    <x v="0"/>
    <x v="1"/>
    <n v="4"/>
    <n v="14764"/>
    <s v="Wallet"/>
    <x v="0"/>
    <x v="0"/>
    <n v="7"/>
    <n v="1"/>
    <n v="1"/>
    <s v="New"/>
    <x v="5"/>
    <n v="31"/>
    <n v="1"/>
  </r>
  <r>
    <n v="4414"/>
    <x v="10"/>
    <n v="1979"/>
    <x v="1"/>
    <x v="3"/>
    <x v="3"/>
    <n v="4"/>
    <n v="13352"/>
    <s v="COD"/>
    <x v="0"/>
    <x v="0"/>
    <n v="10"/>
    <n v="0"/>
    <n v="1"/>
    <s v="New"/>
    <x v="3"/>
    <n v="49"/>
    <n v="1"/>
  </r>
  <r>
    <n v="4415"/>
    <x v="126"/>
    <n v="1984"/>
    <x v="4"/>
    <x v="3"/>
    <x v="0"/>
    <n v="1"/>
    <n v="4359"/>
    <s v="Card"/>
    <x v="0"/>
    <x v="2"/>
    <n v="1"/>
    <n v="1"/>
    <n v="0"/>
    <s v="New"/>
    <x v="4"/>
    <n v="46"/>
    <n v="1"/>
  </r>
  <r>
    <n v="4416"/>
    <x v="102"/>
    <n v="1316"/>
    <x v="3"/>
    <x v="0"/>
    <x v="3"/>
    <n v="3"/>
    <n v="9183"/>
    <s v="UPI"/>
    <x v="0"/>
    <x v="0"/>
    <n v="2"/>
    <n v="1"/>
    <n v="0"/>
    <s v="New"/>
    <x v="3"/>
    <n v="50"/>
    <n v="1"/>
  </r>
  <r>
    <n v="4417"/>
    <x v="9"/>
    <n v="1291"/>
    <x v="4"/>
    <x v="3"/>
    <x v="2"/>
    <n v="5"/>
    <n v="0"/>
    <s v="Card"/>
    <x v="1"/>
    <x v="0"/>
    <n v="7"/>
    <n v="1"/>
    <n v="0"/>
    <s v="New"/>
    <x v="5"/>
    <n v="30"/>
    <n v="0"/>
  </r>
  <r>
    <n v="4418"/>
    <x v="87"/>
    <n v="1546"/>
    <x v="0"/>
    <x v="2"/>
    <x v="1"/>
    <n v="2"/>
    <n v="0"/>
    <s v="UPI"/>
    <x v="2"/>
    <x v="0"/>
    <n v="2"/>
    <n v="1"/>
    <n v="0"/>
    <s v="Repeat"/>
    <x v="2"/>
    <n v="42"/>
    <n v="0"/>
  </r>
  <r>
    <n v="4419"/>
    <x v="114"/>
    <n v="1661"/>
    <x v="3"/>
    <x v="3"/>
    <x v="2"/>
    <n v="1"/>
    <n v="0"/>
    <s v="UPI"/>
    <x v="2"/>
    <x v="3"/>
    <n v="9"/>
    <n v="0"/>
    <n v="0"/>
    <s v="Repeat"/>
    <x v="3"/>
    <n v="50"/>
    <n v="0"/>
  </r>
  <r>
    <n v="4420"/>
    <x v="58"/>
    <n v="1366"/>
    <x v="0"/>
    <x v="2"/>
    <x v="0"/>
    <n v="3"/>
    <n v="0"/>
    <s v="UPI"/>
    <x v="2"/>
    <x v="3"/>
    <n v="1"/>
    <n v="0"/>
    <n v="1"/>
    <s v="New"/>
    <x v="5"/>
    <n v="31"/>
    <n v="0"/>
  </r>
  <r>
    <n v="4421"/>
    <x v="116"/>
    <n v="1415"/>
    <x v="4"/>
    <x v="4"/>
    <x v="3"/>
    <n v="3"/>
    <n v="0"/>
    <s v="Wallet"/>
    <x v="1"/>
    <x v="1"/>
    <n v="6"/>
    <n v="1"/>
    <n v="1"/>
    <s v="Repeat"/>
    <x v="3"/>
    <n v="50"/>
    <n v="0"/>
  </r>
  <r>
    <n v="4422"/>
    <x v="5"/>
    <n v="1389"/>
    <x v="2"/>
    <x v="2"/>
    <x v="3"/>
    <n v="2"/>
    <n v="0"/>
    <s v="Card"/>
    <x v="2"/>
    <x v="3"/>
    <n v="10"/>
    <n v="0"/>
    <n v="0"/>
    <s v="New"/>
    <x v="0"/>
    <n v="33"/>
    <n v="0"/>
  </r>
  <r>
    <n v="4423"/>
    <x v="41"/>
    <n v="1635"/>
    <x v="4"/>
    <x v="2"/>
    <x v="2"/>
    <n v="1"/>
    <n v="3699"/>
    <s v="COD"/>
    <x v="0"/>
    <x v="3"/>
    <n v="4"/>
    <n v="0"/>
    <n v="1"/>
    <s v="New"/>
    <x v="1"/>
    <n v="37"/>
    <n v="1"/>
  </r>
  <r>
    <n v="4424"/>
    <x v="135"/>
    <n v="1099"/>
    <x v="2"/>
    <x v="2"/>
    <x v="0"/>
    <n v="3"/>
    <n v="0"/>
    <s v="COD"/>
    <x v="2"/>
    <x v="2"/>
    <n v="7"/>
    <n v="0"/>
    <n v="1"/>
    <s v="Repeat"/>
    <x v="2"/>
    <n v="43"/>
    <n v="0"/>
  </r>
  <r>
    <n v="4425"/>
    <x v="43"/>
    <n v="1335"/>
    <x v="4"/>
    <x v="2"/>
    <x v="2"/>
    <n v="1"/>
    <n v="0"/>
    <s v="UPI"/>
    <x v="1"/>
    <x v="2"/>
    <n v="6"/>
    <n v="1"/>
    <n v="0"/>
    <s v="New"/>
    <x v="4"/>
    <n v="46"/>
    <n v="0"/>
  </r>
  <r>
    <n v="4426"/>
    <x v="172"/>
    <n v="1474"/>
    <x v="4"/>
    <x v="0"/>
    <x v="2"/>
    <n v="3"/>
    <n v="0"/>
    <s v="COD"/>
    <x v="1"/>
    <x v="1"/>
    <n v="3"/>
    <n v="0"/>
    <n v="0"/>
    <s v="New"/>
    <x v="2"/>
    <n v="44"/>
    <n v="0"/>
  </r>
  <r>
    <n v="4427"/>
    <x v="19"/>
    <n v="1557"/>
    <x v="1"/>
    <x v="1"/>
    <x v="1"/>
    <n v="2"/>
    <n v="0"/>
    <s v="Wallet"/>
    <x v="1"/>
    <x v="0"/>
    <n v="10"/>
    <n v="0"/>
    <n v="1"/>
    <s v="Repeat"/>
    <x v="0"/>
    <n v="33"/>
    <n v="0"/>
  </r>
  <r>
    <n v="4428"/>
    <x v="148"/>
    <n v="1435"/>
    <x v="3"/>
    <x v="4"/>
    <x v="0"/>
    <n v="4"/>
    <n v="0"/>
    <s v="UPI"/>
    <x v="2"/>
    <x v="0"/>
    <n v="4"/>
    <n v="0"/>
    <n v="0"/>
    <s v="New"/>
    <x v="5"/>
    <n v="30"/>
    <n v="0"/>
  </r>
  <r>
    <n v="4429"/>
    <x v="77"/>
    <n v="1631"/>
    <x v="3"/>
    <x v="1"/>
    <x v="3"/>
    <n v="1"/>
    <n v="0"/>
    <s v="Wallet"/>
    <x v="2"/>
    <x v="0"/>
    <n v="1"/>
    <n v="0"/>
    <n v="0"/>
    <s v="Repeat"/>
    <x v="1"/>
    <n v="38"/>
    <n v="0"/>
  </r>
  <r>
    <n v="4430"/>
    <x v="44"/>
    <n v="1317"/>
    <x v="4"/>
    <x v="3"/>
    <x v="1"/>
    <n v="2"/>
    <n v="5562"/>
    <s v="COD"/>
    <x v="0"/>
    <x v="1"/>
    <n v="9"/>
    <n v="0"/>
    <n v="0"/>
    <s v="New"/>
    <x v="4"/>
    <n v="47"/>
    <n v="1"/>
  </r>
  <r>
    <n v="4431"/>
    <x v="36"/>
    <n v="1836"/>
    <x v="2"/>
    <x v="1"/>
    <x v="2"/>
    <n v="3"/>
    <n v="1341"/>
    <s v="COD"/>
    <x v="0"/>
    <x v="1"/>
    <n v="9"/>
    <n v="0"/>
    <n v="0"/>
    <s v="Repeat"/>
    <x v="2"/>
    <n v="44"/>
    <n v="1"/>
  </r>
  <r>
    <n v="4432"/>
    <x v="120"/>
    <n v="1414"/>
    <x v="4"/>
    <x v="2"/>
    <x v="0"/>
    <n v="5"/>
    <n v="0"/>
    <s v="UPI"/>
    <x v="1"/>
    <x v="0"/>
    <n v="5"/>
    <n v="1"/>
    <n v="0"/>
    <s v="Repeat"/>
    <x v="6"/>
    <n v="1"/>
    <n v="0"/>
  </r>
  <r>
    <n v="4433"/>
    <x v="23"/>
    <n v="1791"/>
    <x v="4"/>
    <x v="0"/>
    <x v="0"/>
    <n v="1"/>
    <n v="0"/>
    <s v="UPI"/>
    <x v="1"/>
    <x v="0"/>
    <n v="8"/>
    <n v="0"/>
    <n v="1"/>
    <s v="New"/>
    <x v="3"/>
    <n v="51"/>
    <n v="0"/>
  </r>
  <r>
    <n v="4434"/>
    <x v="133"/>
    <n v="1586"/>
    <x v="4"/>
    <x v="3"/>
    <x v="0"/>
    <n v="3"/>
    <n v="0"/>
    <s v="Wallet"/>
    <x v="2"/>
    <x v="0"/>
    <n v="2"/>
    <n v="1"/>
    <n v="0"/>
    <s v="New"/>
    <x v="0"/>
    <n v="35"/>
    <n v="0"/>
  </r>
  <r>
    <n v="4435"/>
    <x v="26"/>
    <n v="1904"/>
    <x v="4"/>
    <x v="0"/>
    <x v="2"/>
    <n v="1"/>
    <n v="0"/>
    <s v="Card"/>
    <x v="2"/>
    <x v="2"/>
    <n v="2"/>
    <n v="0"/>
    <n v="1"/>
    <s v="New"/>
    <x v="2"/>
    <n v="42"/>
    <n v="0"/>
  </r>
  <r>
    <n v="4436"/>
    <x v="38"/>
    <n v="1649"/>
    <x v="4"/>
    <x v="4"/>
    <x v="2"/>
    <n v="4"/>
    <n v="0"/>
    <s v="COD"/>
    <x v="1"/>
    <x v="2"/>
    <n v="1"/>
    <n v="0"/>
    <n v="0"/>
    <s v="New"/>
    <x v="1"/>
    <n v="39"/>
    <n v="0"/>
  </r>
  <r>
    <n v="4437"/>
    <x v="43"/>
    <n v="1360"/>
    <x v="0"/>
    <x v="4"/>
    <x v="2"/>
    <n v="2"/>
    <n v="0"/>
    <s v="UPI"/>
    <x v="2"/>
    <x v="0"/>
    <n v="6"/>
    <n v="1"/>
    <n v="0"/>
    <s v="New"/>
    <x v="4"/>
    <n v="46"/>
    <n v="0"/>
  </r>
  <r>
    <n v="4438"/>
    <x v="25"/>
    <n v="1826"/>
    <x v="2"/>
    <x v="1"/>
    <x v="0"/>
    <n v="4"/>
    <n v="0"/>
    <s v="Card"/>
    <x v="2"/>
    <x v="3"/>
    <n v="5"/>
    <n v="0"/>
    <n v="1"/>
    <s v="Repeat"/>
    <x v="4"/>
    <n v="49"/>
    <n v="0"/>
  </r>
  <r>
    <n v="4439"/>
    <x v="52"/>
    <n v="1753"/>
    <x v="3"/>
    <x v="1"/>
    <x v="2"/>
    <n v="2"/>
    <n v="5894"/>
    <s v="UPI"/>
    <x v="0"/>
    <x v="1"/>
    <n v="3"/>
    <n v="0"/>
    <n v="0"/>
    <s v="New"/>
    <x v="4"/>
    <n v="44"/>
    <n v="1"/>
  </r>
  <r>
    <n v="4440"/>
    <x v="66"/>
    <n v="1932"/>
    <x v="0"/>
    <x v="3"/>
    <x v="3"/>
    <n v="5"/>
    <n v="0"/>
    <s v="UPI"/>
    <x v="2"/>
    <x v="0"/>
    <n v="2"/>
    <n v="1"/>
    <n v="1"/>
    <s v="New"/>
    <x v="1"/>
    <n v="39"/>
    <n v="0"/>
  </r>
  <r>
    <n v="4441"/>
    <x v="72"/>
    <n v="1658"/>
    <x v="1"/>
    <x v="1"/>
    <x v="2"/>
    <n v="4"/>
    <n v="0"/>
    <s v="Card"/>
    <x v="2"/>
    <x v="3"/>
    <n v="6"/>
    <n v="1"/>
    <n v="0"/>
    <s v="New"/>
    <x v="2"/>
    <n v="41"/>
    <n v="0"/>
  </r>
  <r>
    <n v="4442"/>
    <x v="78"/>
    <n v="1917"/>
    <x v="1"/>
    <x v="1"/>
    <x v="1"/>
    <n v="2"/>
    <n v="0"/>
    <s v="UPI"/>
    <x v="1"/>
    <x v="2"/>
    <n v="6"/>
    <n v="1"/>
    <n v="1"/>
    <s v="New"/>
    <x v="3"/>
    <n v="52"/>
    <n v="0"/>
  </r>
  <r>
    <n v="4443"/>
    <x v="155"/>
    <n v="1146"/>
    <x v="3"/>
    <x v="1"/>
    <x v="1"/>
    <n v="5"/>
    <n v="0"/>
    <s v="UPI"/>
    <x v="2"/>
    <x v="0"/>
    <n v="7"/>
    <n v="1"/>
    <n v="0"/>
    <s v="New"/>
    <x v="0"/>
    <n v="33"/>
    <n v="0"/>
  </r>
  <r>
    <n v="4444"/>
    <x v="33"/>
    <n v="1817"/>
    <x v="1"/>
    <x v="0"/>
    <x v="0"/>
    <n v="2"/>
    <n v="0"/>
    <s v="COD"/>
    <x v="2"/>
    <x v="0"/>
    <n v="9"/>
    <n v="0"/>
    <n v="0"/>
    <s v="New"/>
    <x v="5"/>
    <n v="31"/>
    <n v="0"/>
  </r>
  <r>
    <n v="4445"/>
    <x v="79"/>
    <n v="1021"/>
    <x v="3"/>
    <x v="2"/>
    <x v="0"/>
    <n v="4"/>
    <n v="15632"/>
    <s v="Wallet"/>
    <x v="0"/>
    <x v="0"/>
    <n v="6"/>
    <n v="1"/>
    <n v="1"/>
    <s v="Repeat"/>
    <x v="1"/>
    <n v="36"/>
    <n v="1"/>
  </r>
  <r>
    <n v="4446"/>
    <x v="79"/>
    <n v="1023"/>
    <x v="4"/>
    <x v="2"/>
    <x v="2"/>
    <n v="2"/>
    <n v="0"/>
    <s v="UPI"/>
    <x v="2"/>
    <x v="3"/>
    <n v="4"/>
    <n v="0"/>
    <n v="1"/>
    <s v="New"/>
    <x v="1"/>
    <n v="36"/>
    <n v="0"/>
  </r>
  <r>
    <n v="4447"/>
    <x v="52"/>
    <n v="1739"/>
    <x v="3"/>
    <x v="0"/>
    <x v="1"/>
    <n v="1"/>
    <n v="2736"/>
    <s v="COD"/>
    <x v="0"/>
    <x v="0"/>
    <n v="2"/>
    <n v="0"/>
    <n v="0"/>
    <s v="New"/>
    <x v="4"/>
    <n v="44"/>
    <n v="1"/>
  </r>
  <r>
    <n v="4448"/>
    <x v="98"/>
    <n v="1775"/>
    <x v="3"/>
    <x v="0"/>
    <x v="2"/>
    <n v="2"/>
    <n v="0"/>
    <s v="Wallet"/>
    <x v="2"/>
    <x v="1"/>
    <n v="10"/>
    <n v="0"/>
    <n v="1"/>
    <s v="New"/>
    <x v="3"/>
    <n v="51"/>
    <n v="0"/>
  </r>
  <r>
    <n v="4449"/>
    <x v="30"/>
    <n v="1159"/>
    <x v="1"/>
    <x v="3"/>
    <x v="2"/>
    <n v="5"/>
    <n v="0"/>
    <s v="COD"/>
    <x v="2"/>
    <x v="3"/>
    <n v="4"/>
    <n v="1"/>
    <n v="0"/>
    <s v="Repeat"/>
    <x v="3"/>
    <n v="51"/>
    <n v="0"/>
  </r>
  <r>
    <n v="4450"/>
    <x v="132"/>
    <n v="1212"/>
    <x v="4"/>
    <x v="0"/>
    <x v="0"/>
    <n v="4"/>
    <n v="0"/>
    <s v="Card"/>
    <x v="2"/>
    <x v="3"/>
    <n v="10"/>
    <n v="1"/>
    <n v="1"/>
    <s v="Repeat"/>
    <x v="2"/>
    <n v="42"/>
    <n v="0"/>
  </r>
  <r>
    <n v="4451"/>
    <x v="13"/>
    <n v="1147"/>
    <x v="2"/>
    <x v="4"/>
    <x v="3"/>
    <n v="5"/>
    <n v="0"/>
    <s v="COD"/>
    <x v="2"/>
    <x v="0"/>
    <n v="6"/>
    <n v="0"/>
    <n v="1"/>
    <s v="New"/>
    <x v="2"/>
    <n v="41"/>
    <n v="0"/>
  </r>
  <r>
    <n v="4452"/>
    <x v="83"/>
    <n v="1655"/>
    <x v="0"/>
    <x v="2"/>
    <x v="3"/>
    <n v="5"/>
    <n v="0"/>
    <s v="UPI"/>
    <x v="2"/>
    <x v="3"/>
    <n v="9"/>
    <n v="0"/>
    <n v="1"/>
    <s v="New"/>
    <x v="1"/>
    <n v="36"/>
    <n v="0"/>
  </r>
  <r>
    <n v="4453"/>
    <x v="69"/>
    <n v="1349"/>
    <x v="0"/>
    <x v="3"/>
    <x v="3"/>
    <n v="3"/>
    <n v="0"/>
    <s v="Card"/>
    <x v="1"/>
    <x v="3"/>
    <n v="6"/>
    <n v="0"/>
    <n v="0"/>
    <s v="Repeat"/>
    <x v="2"/>
    <n v="40"/>
    <n v="0"/>
  </r>
  <r>
    <n v="4454"/>
    <x v="58"/>
    <n v="1858"/>
    <x v="0"/>
    <x v="1"/>
    <x v="3"/>
    <n v="5"/>
    <n v="0"/>
    <s v="UPI"/>
    <x v="1"/>
    <x v="0"/>
    <n v="3"/>
    <n v="1"/>
    <n v="0"/>
    <s v="Repeat"/>
    <x v="5"/>
    <n v="31"/>
    <n v="0"/>
  </r>
  <r>
    <n v="4455"/>
    <x v="56"/>
    <n v="1697"/>
    <x v="2"/>
    <x v="1"/>
    <x v="2"/>
    <n v="5"/>
    <n v="14070"/>
    <s v="COD"/>
    <x v="0"/>
    <x v="3"/>
    <n v="6"/>
    <n v="1"/>
    <n v="0"/>
    <s v="Repeat"/>
    <x v="6"/>
    <n v="2"/>
    <n v="1"/>
  </r>
  <r>
    <n v="4456"/>
    <x v="72"/>
    <n v="1578"/>
    <x v="1"/>
    <x v="3"/>
    <x v="3"/>
    <n v="5"/>
    <n v="0"/>
    <s v="Card"/>
    <x v="1"/>
    <x v="2"/>
    <n v="4"/>
    <n v="0"/>
    <n v="1"/>
    <s v="New"/>
    <x v="2"/>
    <n v="41"/>
    <n v="0"/>
  </r>
  <r>
    <n v="4457"/>
    <x v="162"/>
    <n v="1176"/>
    <x v="1"/>
    <x v="1"/>
    <x v="3"/>
    <n v="3"/>
    <n v="0"/>
    <s v="UPI"/>
    <x v="1"/>
    <x v="1"/>
    <n v="3"/>
    <n v="1"/>
    <n v="0"/>
    <s v="Repeat"/>
    <x v="2"/>
    <n v="43"/>
    <n v="0"/>
  </r>
  <r>
    <n v="4458"/>
    <x v="146"/>
    <n v="1247"/>
    <x v="1"/>
    <x v="2"/>
    <x v="1"/>
    <n v="2"/>
    <n v="0"/>
    <s v="UPI"/>
    <x v="2"/>
    <x v="1"/>
    <n v="9"/>
    <n v="1"/>
    <n v="1"/>
    <s v="Repeat"/>
    <x v="2"/>
    <n v="40"/>
    <n v="0"/>
  </r>
  <r>
    <n v="4459"/>
    <x v="130"/>
    <n v="1356"/>
    <x v="0"/>
    <x v="4"/>
    <x v="2"/>
    <n v="1"/>
    <n v="0"/>
    <s v="COD"/>
    <x v="1"/>
    <x v="1"/>
    <n v="5"/>
    <n v="0"/>
    <n v="0"/>
    <s v="New"/>
    <x v="3"/>
    <n v="51"/>
    <n v="0"/>
  </r>
  <r>
    <n v="4460"/>
    <x v="10"/>
    <n v="1854"/>
    <x v="2"/>
    <x v="2"/>
    <x v="0"/>
    <n v="3"/>
    <n v="0"/>
    <s v="Wallet"/>
    <x v="2"/>
    <x v="2"/>
    <n v="5"/>
    <n v="1"/>
    <n v="0"/>
    <s v="Repeat"/>
    <x v="3"/>
    <n v="49"/>
    <n v="0"/>
  </r>
  <r>
    <n v="4461"/>
    <x v="175"/>
    <n v="1370"/>
    <x v="3"/>
    <x v="0"/>
    <x v="0"/>
    <n v="5"/>
    <n v="5190"/>
    <s v="COD"/>
    <x v="0"/>
    <x v="1"/>
    <n v="2"/>
    <n v="1"/>
    <n v="1"/>
    <s v="New"/>
    <x v="5"/>
    <n v="31"/>
    <n v="1"/>
  </r>
  <r>
    <n v="4462"/>
    <x v="144"/>
    <n v="1750"/>
    <x v="1"/>
    <x v="1"/>
    <x v="2"/>
    <n v="3"/>
    <n v="0"/>
    <s v="Wallet"/>
    <x v="1"/>
    <x v="1"/>
    <n v="6"/>
    <n v="1"/>
    <n v="1"/>
    <s v="New"/>
    <x v="3"/>
    <n v="52"/>
    <n v="0"/>
  </r>
  <r>
    <n v="4463"/>
    <x v="172"/>
    <n v="1219"/>
    <x v="4"/>
    <x v="1"/>
    <x v="3"/>
    <n v="1"/>
    <n v="0"/>
    <s v="Card"/>
    <x v="2"/>
    <x v="1"/>
    <n v="10"/>
    <n v="1"/>
    <n v="1"/>
    <s v="New"/>
    <x v="2"/>
    <n v="44"/>
    <n v="0"/>
  </r>
  <r>
    <n v="4464"/>
    <x v="51"/>
    <n v="1371"/>
    <x v="3"/>
    <x v="4"/>
    <x v="1"/>
    <n v="4"/>
    <n v="0"/>
    <s v="Card"/>
    <x v="1"/>
    <x v="3"/>
    <n v="6"/>
    <n v="1"/>
    <n v="0"/>
    <s v="Repeat"/>
    <x v="5"/>
    <n v="29"/>
    <n v="0"/>
  </r>
  <r>
    <n v="4465"/>
    <x v="64"/>
    <n v="1969"/>
    <x v="2"/>
    <x v="1"/>
    <x v="1"/>
    <n v="3"/>
    <n v="0"/>
    <s v="UPI"/>
    <x v="2"/>
    <x v="2"/>
    <n v="4"/>
    <n v="0"/>
    <n v="0"/>
    <s v="Repeat"/>
    <x v="2"/>
    <n v="43"/>
    <n v="0"/>
  </r>
  <r>
    <n v="4466"/>
    <x v="50"/>
    <n v="1078"/>
    <x v="4"/>
    <x v="0"/>
    <x v="1"/>
    <n v="4"/>
    <n v="12256"/>
    <s v="Card"/>
    <x v="0"/>
    <x v="3"/>
    <n v="5"/>
    <n v="1"/>
    <n v="0"/>
    <s v="New"/>
    <x v="3"/>
    <n v="53"/>
    <n v="1"/>
  </r>
  <r>
    <n v="4467"/>
    <x v="136"/>
    <n v="1966"/>
    <x v="0"/>
    <x v="3"/>
    <x v="2"/>
    <n v="4"/>
    <n v="0"/>
    <s v="Wallet"/>
    <x v="1"/>
    <x v="3"/>
    <n v="6"/>
    <n v="0"/>
    <n v="1"/>
    <s v="Repeat"/>
    <x v="2"/>
    <n v="40"/>
    <n v="0"/>
  </r>
  <r>
    <n v="4468"/>
    <x v="112"/>
    <n v="1265"/>
    <x v="4"/>
    <x v="0"/>
    <x v="3"/>
    <n v="4"/>
    <n v="0"/>
    <s v="COD"/>
    <x v="1"/>
    <x v="3"/>
    <n v="9"/>
    <n v="1"/>
    <n v="0"/>
    <s v="Repeat"/>
    <x v="5"/>
    <n v="30"/>
    <n v="0"/>
  </r>
  <r>
    <n v="4469"/>
    <x v="84"/>
    <n v="1234"/>
    <x v="4"/>
    <x v="3"/>
    <x v="1"/>
    <n v="5"/>
    <n v="0"/>
    <s v="COD"/>
    <x v="2"/>
    <x v="2"/>
    <n v="5"/>
    <n v="1"/>
    <n v="1"/>
    <s v="New"/>
    <x v="2"/>
    <n v="41"/>
    <n v="0"/>
  </r>
  <r>
    <n v="4470"/>
    <x v="50"/>
    <n v="1506"/>
    <x v="4"/>
    <x v="2"/>
    <x v="0"/>
    <n v="4"/>
    <n v="19548"/>
    <s v="Wallet"/>
    <x v="0"/>
    <x v="3"/>
    <n v="10"/>
    <n v="1"/>
    <n v="0"/>
    <s v="New"/>
    <x v="3"/>
    <n v="53"/>
    <n v="1"/>
  </r>
  <r>
    <n v="4471"/>
    <x v="114"/>
    <n v="1849"/>
    <x v="4"/>
    <x v="4"/>
    <x v="3"/>
    <n v="5"/>
    <n v="0"/>
    <s v="Card"/>
    <x v="2"/>
    <x v="1"/>
    <n v="3"/>
    <n v="0"/>
    <n v="1"/>
    <s v="Repeat"/>
    <x v="3"/>
    <n v="50"/>
    <n v="0"/>
  </r>
  <r>
    <n v="4472"/>
    <x v="91"/>
    <n v="1561"/>
    <x v="0"/>
    <x v="1"/>
    <x v="2"/>
    <n v="5"/>
    <n v="0"/>
    <s v="COD"/>
    <x v="1"/>
    <x v="0"/>
    <n v="7"/>
    <n v="1"/>
    <n v="1"/>
    <s v="New"/>
    <x v="3"/>
    <n v="52"/>
    <n v="0"/>
  </r>
  <r>
    <n v="4473"/>
    <x v="19"/>
    <n v="1807"/>
    <x v="2"/>
    <x v="2"/>
    <x v="1"/>
    <n v="5"/>
    <n v="3470"/>
    <s v="UPI"/>
    <x v="0"/>
    <x v="1"/>
    <n v="4"/>
    <n v="0"/>
    <n v="0"/>
    <s v="New"/>
    <x v="0"/>
    <n v="33"/>
    <n v="1"/>
  </r>
  <r>
    <n v="4474"/>
    <x v="17"/>
    <n v="1751"/>
    <x v="1"/>
    <x v="1"/>
    <x v="1"/>
    <n v="2"/>
    <n v="0"/>
    <s v="Card"/>
    <x v="2"/>
    <x v="3"/>
    <n v="6"/>
    <n v="1"/>
    <n v="0"/>
    <s v="New"/>
    <x v="1"/>
    <n v="38"/>
    <n v="0"/>
  </r>
  <r>
    <n v="4475"/>
    <x v="172"/>
    <n v="1672"/>
    <x v="3"/>
    <x v="2"/>
    <x v="0"/>
    <n v="2"/>
    <n v="0"/>
    <s v="UPI"/>
    <x v="1"/>
    <x v="3"/>
    <n v="4"/>
    <n v="0"/>
    <n v="1"/>
    <s v="New"/>
    <x v="2"/>
    <n v="44"/>
    <n v="0"/>
  </r>
  <r>
    <n v="4476"/>
    <x v="126"/>
    <n v="1334"/>
    <x v="1"/>
    <x v="4"/>
    <x v="0"/>
    <n v="1"/>
    <n v="4465"/>
    <s v="UPI"/>
    <x v="0"/>
    <x v="1"/>
    <n v="2"/>
    <n v="0"/>
    <n v="1"/>
    <s v="Repeat"/>
    <x v="4"/>
    <n v="46"/>
    <n v="1"/>
  </r>
  <r>
    <n v="4477"/>
    <x v="131"/>
    <n v="1291"/>
    <x v="2"/>
    <x v="1"/>
    <x v="2"/>
    <n v="4"/>
    <n v="0"/>
    <s v="UPI"/>
    <x v="1"/>
    <x v="3"/>
    <n v="1"/>
    <n v="0"/>
    <n v="1"/>
    <s v="New"/>
    <x v="4"/>
    <n v="47"/>
    <n v="0"/>
  </r>
  <r>
    <n v="4478"/>
    <x v="124"/>
    <n v="1629"/>
    <x v="1"/>
    <x v="0"/>
    <x v="2"/>
    <n v="2"/>
    <n v="1588"/>
    <s v="Wallet"/>
    <x v="0"/>
    <x v="2"/>
    <n v="9"/>
    <n v="0"/>
    <n v="1"/>
    <s v="New"/>
    <x v="1"/>
    <n v="37"/>
    <n v="1"/>
  </r>
  <r>
    <n v="4479"/>
    <x v="153"/>
    <n v="1659"/>
    <x v="4"/>
    <x v="2"/>
    <x v="0"/>
    <n v="5"/>
    <n v="23215"/>
    <s v="UPI"/>
    <x v="0"/>
    <x v="1"/>
    <n v="5"/>
    <n v="0"/>
    <n v="1"/>
    <s v="Repeat"/>
    <x v="0"/>
    <n v="31"/>
    <n v="1"/>
  </r>
  <r>
    <n v="4480"/>
    <x v="52"/>
    <n v="1302"/>
    <x v="3"/>
    <x v="2"/>
    <x v="1"/>
    <n v="4"/>
    <n v="0"/>
    <s v="COD"/>
    <x v="2"/>
    <x v="1"/>
    <n v="2"/>
    <n v="0"/>
    <n v="1"/>
    <s v="New"/>
    <x v="4"/>
    <n v="44"/>
    <n v="0"/>
  </r>
  <r>
    <n v="4481"/>
    <x v="68"/>
    <n v="1428"/>
    <x v="0"/>
    <x v="0"/>
    <x v="0"/>
    <n v="4"/>
    <n v="0"/>
    <s v="UPI"/>
    <x v="1"/>
    <x v="1"/>
    <n v="10"/>
    <n v="1"/>
    <n v="1"/>
    <s v="Repeat"/>
    <x v="0"/>
    <n v="32"/>
    <n v="0"/>
  </r>
  <r>
    <n v="4482"/>
    <x v="69"/>
    <n v="1977"/>
    <x v="4"/>
    <x v="4"/>
    <x v="3"/>
    <n v="1"/>
    <n v="2589"/>
    <s v="UPI"/>
    <x v="0"/>
    <x v="2"/>
    <n v="2"/>
    <n v="0"/>
    <n v="0"/>
    <s v="Repeat"/>
    <x v="2"/>
    <n v="40"/>
    <n v="1"/>
  </r>
  <r>
    <n v="4483"/>
    <x v="33"/>
    <n v="1831"/>
    <x v="0"/>
    <x v="2"/>
    <x v="1"/>
    <n v="2"/>
    <n v="4768"/>
    <s v="Wallet"/>
    <x v="0"/>
    <x v="2"/>
    <n v="3"/>
    <n v="0"/>
    <n v="1"/>
    <s v="Repeat"/>
    <x v="5"/>
    <n v="31"/>
    <n v="1"/>
  </r>
  <r>
    <n v="4484"/>
    <x v="118"/>
    <n v="1764"/>
    <x v="3"/>
    <x v="1"/>
    <x v="3"/>
    <n v="5"/>
    <n v="0"/>
    <s v="COD"/>
    <x v="1"/>
    <x v="3"/>
    <n v="3"/>
    <n v="1"/>
    <n v="0"/>
    <s v="New"/>
    <x v="0"/>
    <n v="35"/>
    <n v="0"/>
  </r>
  <r>
    <n v="4485"/>
    <x v="127"/>
    <n v="1969"/>
    <x v="2"/>
    <x v="4"/>
    <x v="2"/>
    <n v="3"/>
    <n v="0"/>
    <s v="Card"/>
    <x v="2"/>
    <x v="0"/>
    <n v="5"/>
    <n v="1"/>
    <n v="0"/>
    <s v="New"/>
    <x v="5"/>
    <n v="29"/>
    <n v="0"/>
  </r>
  <r>
    <n v="4486"/>
    <x v="16"/>
    <n v="1458"/>
    <x v="3"/>
    <x v="3"/>
    <x v="1"/>
    <n v="4"/>
    <n v="0"/>
    <s v="COD"/>
    <x v="1"/>
    <x v="1"/>
    <n v="5"/>
    <n v="0"/>
    <n v="0"/>
    <s v="Repeat"/>
    <x v="0"/>
    <n v="32"/>
    <n v="0"/>
  </r>
  <r>
    <n v="4487"/>
    <x v="168"/>
    <n v="1093"/>
    <x v="0"/>
    <x v="4"/>
    <x v="1"/>
    <n v="1"/>
    <n v="0"/>
    <s v="Wallet"/>
    <x v="2"/>
    <x v="2"/>
    <n v="6"/>
    <n v="1"/>
    <n v="1"/>
    <s v="New"/>
    <x v="6"/>
    <n v="1"/>
    <n v="0"/>
  </r>
  <r>
    <n v="4488"/>
    <x v="131"/>
    <n v="1592"/>
    <x v="1"/>
    <x v="4"/>
    <x v="3"/>
    <n v="1"/>
    <n v="0"/>
    <s v="Card"/>
    <x v="2"/>
    <x v="0"/>
    <n v="1"/>
    <n v="0"/>
    <n v="1"/>
    <s v="New"/>
    <x v="4"/>
    <n v="47"/>
    <n v="0"/>
  </r>
  <r>
    <n v="4489"/>
    <x v="10"/>
    <n v="1115"/>
    <x v="0"/>
    <x v="2"/>
    <x v="2"/>
    <n v="5"/>
    <n v="23630"/>
    <s v="UPI"/>
    <x v="0"/>
    <x v="2"/>
    <n v="5"/>
    <n v="0"/>
    <n v="0"/>
    <s v="New"/>
    <x v="3"/>
    <n v="49"/>
    <n v="1"/>
  </r>
  <r>
    <n v="4490"/>
    <x v="159"/>
    <n v="1893"/>
    <x v="3"/>
    <x v="2"/>
    <x v="2"/>
    <n v="2"/>
    <n v="0"/>
    <s v="UPI"/>
    <x v="2"/>
    <x v="0"/>
    <n v="9"/>
    <n v="1"/>
    <n v="1"/>
    <s v="Repeat"/>
    <x v="3"/>
    <n v="49"/>
    <n v="0"/>
  </r>
  <r>
    <n v="4491"/>
    <x v="9"/>
    <n v="1950"/>
    <x v="0"/>
    <x v="2"/>
    <x v="1"/>
    <n v="4"/>
    <n v="17036"/>
    <s v="Card"/>
    <x v="0"/>
    <x v="0"/>
    <n v="7"/>
    <n v="1"/>
    <n v="0"/>
    <s v="New"/>
    <x v="5"/>
    <n v="30"/>
    <n v="1"/>
  </r>
  <r>
    <n v="4492"/>
    <x v="127"/>
    <n v="1454"/>
    <x v="0"/>
    <x v="1"/>
    <x v="1"/>
    <n v="2"/>
    <n v="0"/>
    <s v="COD"/>
    <x v="2"/>
    <x v="1"/>
    <n v="3"/>
    <n v="0"/>
    <n v="1"/>
    <s v="New"/>
    <x v="5"/>
    <n v="29"/>
    <n v="0"/>
  </r>
  <r>
    <n v="4493"/>
    <x v="95"/>
    <n v="1436"/>
    <x v="2"/>
    <x v="2"/>
    <x v="3"/>
    <n v="5"/>
    <n v="6140"/>
    <s v="Wallet"/>
    <x v="0"/>
    <x v="1"/>
    <n v="3"/>
    <n v="1"/>
    <n v="0"/>
    <s v="Repeat"/>
    <x v="4"/>
    <n v="47"/>
    <n v="1"/>
  </r>
  <r>
    <n v="4494"/>
    <x v="31"/>
    <n v="1145"/>
    <x v="3"/>
    <x v="0"/>
    <x v="0"/>
    <n v="3"/>
    <n v="0"/>
    <s v="UPI"/>
    <x v="2"/>
    <x v="1"/>
    <n v="1"/>
    <n v="1"/>
    <n v="1"/>
    <s v="Repeat"/>
    <x v="2"/>
    <n v="44"/>
    <n v="0"/>
  </r>
  <r>
    <n v="4495"/>
    <x v="2"/>
    <n v="1119"/>
    <x v="2"/>
    <x v="1"/>
    <x v="2"/>
    <n v="1"/>
    <n v="0"/>
    <s v="UPI"/>
    <x v="1"/>
    <x v="2"/>
    <n v="7"/>
    <n v="0"/>
    <n v="1"/>
    <s v="New"/>
    <x v="2"/>
    <n v="41"/>
    <n v="0"/>
  </r>
  <r>
    <n v="4496"/>
    <x v="51"/>
    <n v="1482"/>
    <x v="3"/>
    <x v="1"/>
    <x v="2"/>
    <n v="2"/>
    <n v="0"/>
    <s v="Card"/>
    <x v="2"/>
    <x v="2"/>
    <n v="10"/>
    <n v="1"/>
    <n v="0"/>
    <s v="New"/>
    <x v="5"/>
    <n v="29"/>
    <n v="0"/>
  </r>
  <r>
    <n v="4497"/>
    <x v="122"/>
    <n v="1426"/>
    <x v="1"/>
    <x v="0"/>
    <x v="0"/>
    <n v="2"/>
    <n v="3218"/>
    <s v="UPI"/>
    <x v="0"/>
    <x v="0"/>
    <n v="10"/>
    <n v="1"/>
    <n v="0"/>
    <s v="New"/>
    <x v="3"/>
    <n v="53"/>
    <n v="1"/>
  </r>
  <r>
    <n v="4498"/>
    <x v="20"/>
    <n v="1649"/>
    <x v="2"/>
    <x v="1"/>
    <x v="0"/>
    <n v="3"/>
    <n v="1809"/>
    <s v="Wallet"/>
    <x v="0"/>
    <x v="2"/>
    <n v="9"/>
    <n v="1"/>
    <n v="0"/>
    <s v="New"/>
    <x v="0"/>
    <n v="32"/>
    <n v="1"/>
  </r>
  <r>
    <n v="4499"/>
    <x v="6"/>
    <n v="1192"/>
    <x v="0"/>
    <x v="1"/>
    <x v="3"/>
    <n v="2"/>
    <n v="6570"/>
    <s v="Wallet"/>
    <x v="0"/>
    <x v="2"/>
    <n v="4"/>
    <n v="1"/>
    <n v="1"/>
    <s v="New"/>
    <x v="4"/>
    <n v="47"/>
    <n v="1"/>
  </r>
  <r>
    <n v="4500"/>
    <x v="107"/>
    <n v="1408"/>
    <x v="2"/>
    <x v="1"/>
    <x v="3"/>
    <n v="1"/>
    <n v="3066"/>
    <s v="UPI"/>
    <x v="0"/>
    <x v="0"/>
    <n v="6"/>
    <n v="0"/>
    <n v="0"/>
    <s v="New"/>
    <x v="4"/>
    <n v="45"/>
    <n v="1"/>
  </r>
  <r>
    <n v="4501"/>
    <x v="46"/>
    <n v="1982"/>
    <x v="1"/>
    <x v="3"/>
    <x v="3"/>
    <n v="4"/>
    <n v="0"/>
    <s v="Card"/>
    <x v="2"/>
    <x v="2"/>
    <n v="1"/>
    <n v="1"/>
    <n v="0"/>
    <s v="New"/>
    <x v="5"/>
    <n v="30"/>
    <n v="0"/>
  </r>
  <r>
    <n v="4502"/>
    <x v="162"/>
    <n v="1632"/>
    <x v="0"/>
    <x v="2"/>
    <x v="1"/>
    <n v="3"/>
    <n v="0"/>
    <s v="Card"/>
    <x v="1"/>
    <x v="2"/>
    <n v="10"/>
    <n v="0"/>
    <n v="1"/>
    <s v="New"/>
    <x v="2"/>
    <n v="43"/>
    <n v="0"/>
  </r>
  <r>
    <n v="4503"/>
    <x v="123"/>
    <n v="1507"/>
    <x v="2"/>
    <x v="1"/>
    <x v="2"/>
    <n v="5"/>
    <n v="0"/>
    <s v="Wallet"/>
    <x v="2"/>
    <x v="0"/>
    <n v="9"/>
    <n v="0"/>
    <n v="0"/>
    <s v="New"/>
    <x v="0"/>
    <n v="34"/>
    <n v="0"/>
  </r>
  <r>
    <n v="4504"/>
    <x v="167"/>
    <n v="1692"/>
    <x v="1"/>
    <x v="2"/>
    <x v="2"/>
    <n v="3"/>
    <n v="14367"/>
    <s v="UPI"/>
    <x v="0"/>
    <x v="1"/>
    <n v="4"/>
    <n v="0"/>
    <n v="1"/>
    <s v="Repeat"/>
    <x v="0"/>
    <n v="35"/>
    <n v="1"/>
  </r>
  <r>
    <n v="4505"/>
    <x v="89"/>
    <n v="1721"/>
    <x v="3"/>
    <x v="4"/>
    <x v="3"/>
    <n v="3"/>
    <n v="0"/>
    <s v="UPI"/>
    <x v="1"/>
    <x v="2"/>
    <n v="2"/>
    <n v="0"/>
    <n v="0"/>
    <s v="New"/>
    <x v="0"/>
    <n v="35"/>
    <n v="0"/>
  </r>
  <r>
    <n v="4506"/>
    <x v="29"/>
    <n v="1919"/>
    <x v="2"/>
    <x v="3"/>
    <x v="1"/>
    <n v="2"/>
    <n v="0"/>
    <s v="Wallet"/>
    <x v="2"/>
    <x v="2"/>
    <n v="4"/>
    <n v="1"/>
    <n v="0"/>
    <s v="New"/>
    <x v="1"/>
    <n v="39"/>
    <n v="0"/>
  </r>
  <r>
    <n v="4507"/>
    <x v="94"/>
    <n v="1251"/>
    <x v="0"/>
    <x v="1"/>
    <x v="0"/>
    <n v="4"/>
    <n v="5716"/>
    <s v="UPI"/>
    <x v="0"/>
    <x v="1"/>
    <n v="3"/>
    <n v="0"/>
    <n v="0"/>
    <s v="Repeat"/>
    <x v="1"/>
    <n v="40"/>
    <n v="1"/>
  </r>
  <r>
    <n v="4508"/>
    <x v="137"/>
    <n v="1220"/>
    <x v="0"/>
    <x v="2"/>
    <x v="0"/>
    <n v="1"/>
    <n v="2331"/>
    <s v="COD"/>
    <x v="0"/>
    <x v="2"/>
    <n v="3"/>
    <n v="1"/>
    <n v="0"/>
    <s v="New"/>
    <x v="1"/>
    <n v="40"/>
    <n v="1"/>
  </r>
  <r>
    <n v="4509"/>
    <x v="31"/>
    <n v="1758"/>
    <x v="1"/>
    <x v="2"/>
    <x v="0"/>
    <n v="4"/>
    <n v="0"/>
    <s v="COD"/>
    <x v="1"/>
    <x v="1"/>
    <n v="4"/>
    <n v="1"/>
    <n v="0"/>
    <s v="Repeat"/>
    <x v="2"/>
    <n v="44"/>
    <n v="0"/>
  </r>
  <r>
    <n v="4510"/>
    <x v="157"/>
    <n v="1856"/>
    <x v="3"/>
    <x v="3"/>
    <x v="0"/>
    <n v="2"/>
    <n v="0"/>
    <s v="UPI"/>
    <x v="2"/>
    <x v="1"/>
    <n v="2"/>
    <n v="0"/>
    <n v="1"/>
    <s v="New"/>
    <x v="2"/>
    <n v="41"/>
    <n v="0"/>
  </r>
  <r>
    <n v="4511"/>
    <x v="147"/>
    <n v="1568"/>
    <x v="3"/>
    <x v="0"/>
    <x v="0"/>
    <n v="2"/>
    <n v="0"/>
    <s v="Wallet"/>
    <x v="1"/>
    <x v="3"/>
    <n v="4"/>
    <n v="1"/>
    <n v="1"/>
    <s v="Repeat"/>
    <x v="4"/>
    <n v="47"/>
    <n v="0"/>
  </r>
  <r>
    <n v="4512"/>
    <x v="131"/>
    <n v="1145"/>
    <x v="1"/>
    <x v="0"/>
    <x v="2"/>
    <n v="3"/>
    <n v="11898"/>
    <s v="UPI"/>
    <x v="0"/>
    <x v="1"/>
    <n v="6"/>
    <n v="0"/>
    <n v="0"/>
    <s v="Repeat"/>
    <x v="4"/>
    <n v="47"/>
    <n v="1"/>
  </r>
  <r>
    <n v="4513"/>
    <x v="93"/>
    <n v="1468"/>
    <x v="4"/>
    <x v="3"/>
    <x v="0"/>
    <n v="1"/>
    <n v="0"/>
    <s v="Card"/>
    <x v="1"/>
    <x v="2"/>
    <n v="1"/>
    <n v="0"/>
    <n v="0"/>
    <s v="New"/>
    <x v="3"/>
    <n v="53"/>
    <n v="0"/>
  </r>
  <r>
    <n v="4514"/>
    <x v="79"/>
    <n v="1579"/>
    <x v="2"/>
    <x v="2"/>
    <x v="1"/>
    <n v="5"/>
    <n v="0"/>
    <s v="Card"/>
    <x v="2"/>
    <x v="2"/>
    <n v="3"/>
    <n v="0"/>
    <n v="0"/>
    <s v="Repeat"/>
    <x v="1"/>
    <n v="36"/>
    <n v="0"/>
  </r>
  <r>
    <n v="4515"/>
    <x v="175"/>
    <n v="1964"/>
    <x v="3"/>
    <x v="1"/>
    <x v="2"/>
    <n v="3"/>
    <n v="0"/>
    <s v="Card"/>
    <x v="2"/>
    <x v="2"/>
    <n v="3"/>
    <n v="0"/>
    <n v="1"/>
    <s v="New"/>
    <x v="5"/>
    <n v="31"/>
    <n v="0"/>
  </r>
  <r>
    <n v="4516"/>
    <x v="17"/>
    <n v="1640"/>
    <x v="1"/>
    <x v="2"/>
    <x v="1"/>
    <n v="5"/>
    <n v="1565"/>
    <s v="COD"/>
    <x v="0"/>
    <x v="3"/>
    <n v="4"/>
    <n v="0"/>
    <n v="1"/>
    <s v="Repeat"/>
    <x v="1"/>
    <n v="38"/>
    <n v="1"/>
  </r>
  <r>
    <n v="4517"/>
    <x v="139"/>
    <n v="1296"/>
    <x v="4"/>
    <x v="0"/>
    <x v="3"/>
    <n v="4"/>
    <n v="0"/>
    <s v="UPI"/>
    <x v="1"/>
    <x v="3"/>
    <n v="3"/>
    <n v="0"/>
    <n v="1"/>
    <s v="New"/>
    <x v="4"/>
    <n v="45"/>
    <n v="0"/>
  </r>
  <r>
    <n v="4518"/>
    <x v="44"/>
    <n v="1048"/>
    <x v="2"/>
    <x v="3"/>
    <x v="2"/>
    <n v="4"/>
    <n v="0"/>
    <s v="Wallet"/>
    <x v="2"/>
    <x v="1"/>
    <n v="6"/>
    <n v="1"/>
    <n v="0"/>
    <s v="Repeat"/>
    <x v="4"/>
    <n v="47"/>
    <n v="0"/>
  </r>
  <r>
    <n v="4519"/>
    <x v="91"/>
    <n v="1670"/>
    <x v="3"/>
    <x v="4"/>
    <x v="3"/>
    <n v="2"/>
    <n v="0"/>
    <s v="UPI"/>
    <x v="2"/>
    <x v="2"/>
    <n v="5"/>
    <n v="1"/>
    <n v="1"/>
    <s v="Repeat"/>
    <x v="3"/>
    <n v="52"/>
    <n v="0"/>
  </r>
  <r>
    <n v="4520"/>
    <x v="80"/>
    <n v="1015"/>
    <x v="1"/>
    <x v="1"/>
    <x v="0"/>
    <n v="4"/>
    <n v="0"/>
    <s v="Wallet"/>
    <x v="1"/>
    <x v="2"/>
    <n v="5"/>
    <n v="1"/>
    <n v="1"/>
    <s v="Repeat"/>
    <x v="6"/>
    <n v="2"/>
    <n v="0"/>
  </r>
  <r>
    <n v="4521"/>
    <x v="7"/>
    <n v="1051"/>
    <x v="3"/>
    <x v="3"/>
    <x v="0"/>
    <n v="4"/>
    <n v="10980"/>
    <s v="UPI"/>
    <x v="0"/>
    <x v="3"/>
    <n v="6"/>
    <n v="1"/>
    <n v="0"/>
    <s v="Repeat"/>
    <x v="3"/>
    <n v="49"/>
    <n v="1"/>
  </r>
  <r>
    <n v="4522"/>
    <x v="143"/>
    <n v="1586"/>
    <x v="3"/>
    <x v="3"/>
    <x v="1"/>
    <n v="3"/>
    <n v="0"/>
    <s v="UPI"/>
    <x v="1"/>
    <x v="1"/>
    <n v="7"/>
    <n v="0"/>
    <n v="1"/>
    <s v="New"/>
    <x v="2"/>
    <n v="43"/>
    <n v="0"/>
  </r>
  <r>
    <n v="4523"/>
    <x v="17"/>
    <n v="1800"/>
    <x v="2"/>
    <x v="1"/>
    <x v="3"/>
    <n v="3"/>
    <n v="14571"/>
    <s v="Card"/>
    <x v="0"/>
    <x v="0"/>
    <n v="3"/>
    <n v="1"/>
    <n v="1"/>
    <s v="Repeat"/>
    <x v="1"/>
    <n v="38"/>
    <n v="1"/>
  </r>
  <r>
    <n v="4524"/>
    <x v="74"/>
    <n v="1753"/>
    <x v="3"/>
    <x v="2"/>
    <x v="3"/>
    <n v="5"/>
    <n v="0"/>
    <s v="COD"/>
    <x v="1"/>
    <x v="1"/>
    <n v="3"/>
    <n v="1"/>
    <n v="0"/>
    <s v="New"/>
    <x v="5"/>
    <n v="29"/>
    <n v="0"/>
  </r>
  <r>
    <n v="4525"/>
    <x v="84"/>
    <n v="1359"/>
    <x v="1"/>
    <x v="3"/>
    <x v="1"/>
    <n v="2"/>
    <n v="0"/>
    <s v="Wallet"/>
    <x v="1"/>
    <x v="3"/>
    <n v="4"/>
    <n v="1"/>
    <n v="0"/>
    <s v="New"/>
    <x v="2"/>
    <n v="41"/>
    <n v="0"/>
  </r>
  <r>
    <n v="4526"/>
    <x v="164"/>
    <n v="1733"/>
    <x v="3"/>
    <x v="1"/>
    <x v="3"/>
    <n v="2"/>
    <n v="0"/>
    <s v="UPI"/>
    <x v="1"/>
    <x v="3"/>
    <n v="5"/>
    <n v="1"/>
    <n v="1"/>
    <s v="Repeat"/>
    <x v="0"/>
    <n v="34"/>
    <n v="0"/>
  </r>
  <r>
    <n v="4527"/>
    <x v="150"/>
    <n v="1498"/>
    <x v="1"/>
    <x v="4"/>
    <x v="0"/>
    <n v="2"/>
    <n v="0"/>
    <s v="UPI"/>
    <x v="2"/>
    <x v="1"/>
    <n v="7"/>
    <n v="0"/>
    <n v="0"/>
    <s v="New"/>
    <x v="0"/>
    <n v="35"/>
    <n v="0"/>
  </r>
  <r>
    <n v="4528"/>
    <x v="113"/>
    <n v="1590"/>
    <x v="4"/>
    <x v="3"/>
    <x v="3"/>
    <n v="4"/>
    <n v="0"/>
    <s v="UPI"/>
    <x v="2"/>
    <x v="1"/>
    <n v="3"/>
    <n v="0"/>
    <n v="0"/>
    <s v="New"/>
    <x v="0"/>
    <n v="33"/>
    <n v="0"/>
  </r>
  <r>
    <n v="4529"/>
    <x v="128"/>
    <n v="1181"/>
    <x v="4"/>
    <x v="4"/>
    <x v="2"/>
    <n v="1"/>
    <n v="0"/>
    <s v="COD"/>
    <x v="2"/>
    <x v="1"/>
    <n v="5"/>
    <n v="1"/>
    <n v="1"/>
    <s v="Repeat"/>
    <x v="1"/>
    <n v="39"/>
    <n v="0"/>
  </r>
  <r>
    <n v="4530"/>
    <x v="13"/>
    <n v="1533"/>
    <x v="2"/>
    <x v="2"/>
    <x v="0"/>
    <n v="3"/>
    <n v="0"/>
    <s v="UPI"/>
    <x v="1"/>
    <x v="3"/>
    <n v="9"/>
    <n v="1"/>
    <n v="1"/>
    <s v="New"/>
    <x v="2"/>
    <n v="41"/>
    <n v="0"/>
  </r>
  <r>
    <n v="4531"/>
    <x v="41"/>
    <n v="1538"/>
    <x v="3"/>
    <x v="4"/>
    <x v="1"/>
    <n v="3"/>
    <n v="0"/>
    <s v="UPI"/>
    <x v="1"/>
    <x v="1"/>
    <n v="4"/>
    <n v="1"/>
    <n v="1"/>
    <s v="Repeat"/>
    <x v="1"/>
    <n v="37"/>
    <n v="0"/>
  </r>
  <r>
    <n v="4532"/>
    <x v="37"/>
    <n v="1851"/>
    <x v="3"/>
    <x v="3"/>
    <x v="0"/>
    <n v="5"/>
    <n v="14550"/>
    <s v="Wallet"/>
    <x v="0"/>
    <x v="0"/>
    <n v="8"/>
    <n v="0"/>
    <n v="1"/>
    <s v="New"/>
    <x v="4"/>
    <n v="46"/>
    <n v="1"/>
  </r>
  <r>
    <n v="4533"/>
    <x v="71"/>
    <n v="1843"/>
    <x v="0"/>
    <x v="4"/>
    <x v="1"/>
    <n v="2"/>
    <n v="0"/>
    <s v="UPI"/>
    <x v="2"/>
    <x v="0"/>
    <n v="6"/>
    <n v="1"/>
    <n v="0"/>
    <s v="Repeat"/>
    <x v="3"/>
    <n v="49"/>
    <n v="0"/>
  </r>
  <r>
    <n v="4534"/>
    <x v="171"/>
    <n v="1808"/>
    <x v="3"/>
    <x v="0"/>
    <x v="1"/>
    <n v="3"/>
    <n v="0"/>
    <s v="UPI"/>
    <x v="1"/>
    <x v="0"/>
    <n v="5"/>
    <n v="0"/>
    <n v="1"/>
    <s v="New"/>
    <x v="1"/>
    <n v="36"/>
    <n v="0"/>
  </r>
  <r>
    <n v="4535"/>
    <x v="91"/>
    <n v="1353"/>
    <x v="2"/>
    <x v="0"/>
    <x v="1"/>
    <n v="2"/>
    <n v="0"/>
    <s v="UPI"/>
    <x v="1"/>
    <x v="2"/>
    <n v="4"/>
    <n v="0"/>
    <n v="1"/>
    <s v="Repeat"/>
    <x v="3"/>
    <n v="52"/>
    <n v="0"/>
  </r>
  <r>
    <n v="4536"/>
    <x v="59"/>
    <n v="1921"/>
    <x v="4"/>
    <x v="3"/>
    <x v="1"/>
    <n v="1"/>
    <n v="2816"/>
    <s v="UPI"/>
    <x v="0"/>
    <x v="1"/>
    <n v="4"/>
    <n v="0"/>
    <n v="1"/>
    <s v="New"/>
    <x v="0"/>
    <n v="34"/>
    <n v="1"/>
  </r>
  <r>
    <n v="4537"/>
    <x v="42"/>
    <n v="1183"/>
    <x v="4"/>
    <x v="0"/>
    <x v="0"/>
    <n v="4"/>
    <n v="0"/>
    <s v="COD"/>
    <x v="1"/>
    <x v="1"/>
    <n v="10"/>
    <n v="1"/>
    <n v="1"/>
    <s v="Repeat"/>
    <x v="2"/>
    <n v="44"/>
    <n v="0"/>
  </r>
  <r>
    <n v="4538"/>
    <x v="163"/>
    <n v="1649"/>
    <x v="3"/>
    <x v="4"/>
    <x v="2"/>
    <n v="3"/>
    <n v="1254"/>
    <s v="Card"/>
    <x v="0"/>
    <x v="0"/>
    <n v="1"/>
    <n v="1"/>
    <n v="1"/>
    <s v="New"/>
    <x v="4"/>
    <n v="45"/>
    <n v="1"/>
  </r>
  <r>
    <n v="4539"/>
    <x v="56"/>
    <n v="1716"/>
    <x v="1"/>
    <x v="0"/>
    <x v="2"/>
    <n v="2"/>
    <n v="0"/>
    <s v="COD"/>
    <x v="1"/>
    <x v="2"/>
    <n v="4"/>
    <n v="0"/>
    <n v="1"/>
    <s v="New"/>
    <x v="6"/>
    <n v="2"/>
    <n v="0"/>
  </r>
  <r>
    <n v="4540"/>
    <x v="62"/>
    <n v="1956"/>
    <x v="3"/>
    <x v="1"/>
    <x v="2"/>
    <n v="3"/>
    <n v="0"/>
    <s v="UPI"/>
    <x v="1"/>
    <x v="2"/>
    <n v="6"/>
    <n v="1"/>
    <n v="0"/>
    <s v="Repeat"/>
    <x v="2"/>
    <n v="43"/>
    <n v="0"/>
  </r>
  <r>
    <n v="4541"/>
    <x v="154"/>
    <n v="1292"/>
    <x v="2"/>
    <x v="4"/>
    <x v="0"/>
    <n v="2"/>
    <n v="950"/>
    <s v="UPI"/>
    <x v="0"/>
    <x v="2"/>
    <n v="5"/>
    <n v="1"/>
    <n v="1"/>
    <s v="Repeat"/>
    <x v="2"/>
    <n v="42"/>
    <n v="1"/>
  </r>
  <r>
    <n v="4542"/>
    <x v="147"/>
    <n v="1933"/>
    <x v="0"/>
    <x v="3"/>
    <x v="1"/>
    <n v="3"/>
    <n v="0"/>
    <s v="UPI"/>
    <x v="1"/>
    <x v="2"/>
    <n v="7"/>
    <n v="1"/>
    <n v="1"/>
    <s v="New"/>
    <x v="4"/>
    <n v="47"/>
    <n v="0"/>
  </r>
  <r>
    <n v="4543"/>
    <x v="102"/>
    <n v="1389"/>
    <x v="2"/>
    <x v="0"/>
    <x v="0"/>
    <n v="5"/>
    <n v="0"/>
    <s v="Card"/>
    <x v="1"/>
    <x v="3"/>
    <n v="4"/>
    <n v="0"/>
    <n v="1"/>
    <s v="New"/>
    <x v="3"/>
    <n v="50"/>
    <n v="0"/>
  </r>
  <r>
    <n v="4544"/>
    <x v="49"/>
    <n v="1281"/>
    <x v="4"/>
    <x v="4"/>
    <x v="1"/>
    <n v="5"/>
    <n v="0"/>
    <s v="COD"/>
    <x v="2"/>
    <x v="2"/>
    <n v="3"/>
    <n v="0"/>
    <n v="0"/>
    <s v="Repeat"/>
    <x v="0"/>
    <n v="36"/>
    <n v="0"/>
  </r>
  <r>
    <n v="4545"/>
    <x v="56"/>
    <n v="1887"/>
    <x v="4"/>
    <x v="1"/>
    <x v="1"/>
    <n v="2"/>
    <n v="0"/>
    <s v="Card"/>
    <x v="2"/>
    <x v="3"/>
    <n v="6"/>
    <n v="0"/>
    <n v="1"/>
    <s v="New"/>
    <x v="6"/>
    <n v="2"/>
    <n v="0"/>
  </r>
  <r>
    <n v="4546"/>
    <x v="171"/>
    <n v="1361"/>
    <x v="0"/>
    <x v="3"/>
    <x v="3"/>
    <n v="3"/>
    <n v="10167"/>
    <s v="UPI"/>
    <x v="0"/>
    <x v="3"/>
    <n v="3"/>
    <n v="0"/>
    <n v="0"/>
    <s v="Repeat"/>
    <x v="1"/>
    <n v="36"/>
    <n v="1"/>
  </r>
  <r>
    <n v="4547"/>
    <x v="33"/>
    <n v="1488"/>
    <x v="2"/>
    <x v="3"/>
    <x v="3"/>
    <n v="3"/>
    <n v="12954"/>
    <s v="COD"/>
    <x v="0"/>
    <x v="1"/>
    <n v="10"/>
    <n v="0"/>
    <n v="0"/>
    <s v="Repeat"/>
    <x v="5"/>
    <n v="31"/>
    <n v="1"/>
  </r>
  <r>
    <n v="4548"/>
    <x v="45"/>
    <n v="1688"/>
    <x v="1"/>
    <x v="3"/>
    <x v="2"/>
    <n v="5"/>
    <n v="14800"/>
    <s v="UPI"/>
    <x v="0"/>
    <x v="2"/>
    <n v="10"/>
    <n v="1"/>
    <n v="1"/>
    <s v="New"/>
    <x v="6"/>
    <n v="2"/>
    <n v="1"/>
  </r>
  <r>
    <n v="4549"/>
    <x v="135"/>
    <n v="1843"/>
    <x v="1"/>
    <x v="0"/>
    <x v="1"/>
    <n v="1"/>
    <n v="0"/>
    <s v="Wallet"/>
    <x v="2"/>
    <x v="0"/>
    <n v="7"/>
    <n v="1"/>
    <n v="1"/>
    <s v="Repeat"/>
    <x v="2"/>
    <n v="43"/>
    <n v="0"/>
  </r>
  <r>
    <n v="4550"/>
    <x v="40"/>
    <n v="1616"/>
    <x v="3"/>
    <x v="3"/>
    <x v="0"/>
    <n v="4"/>
    <n v="0"/>
    <s v="Card"/>
    <x v="2"/>
    <x v="2"/>
    <n v="8"/>
    <n v="1"/>
    <n v="0"/>
    <s v="Repeat"/>
    <x v="0"/>
    <n v="32"/>
    <n v="0"/>
  </r>
  <r>
    <n v="4551"/>
    <x v="72"/>
    <n v="1657"/>
    <x v="4"/>
    <x v="2"/>
    <x v="2"/>
    <n v="3"/>
    <n v="0"/>
    <s v="Wallet"/>
    <x v="1"/>
    <x v="2"/>
    <n v="1"/>
    <n v="0"/>
    <n v="1"/>
    <s v="New"/>
    <x v="2"/>
    <n v="41"/>
    <n v="0"/>
  </r>
  <r>
    <n v="4552"/>
    <x v="166"/>
    <n v="1805"/>
    <x v="2"/>
    <x v="0"/>
    <x v="3"/>
    <n v="4"/>
    <n v="17632"/>
    <s v="Card"/>
    <x v="0"/>
    <x v="1"/>
    <n v="3"/>
    <n v="1"/>
    <n v="1"/>
    <s v="Repeat"/>
    <x v="1"/>
    <n v="39"/>
    <n v="1"/>
  </r>
  <r>
    <n v="4553"/>
    <x v="64"/>
    <n v="1119"/>
    <x v="3"/>
    <x v="0"/>
    <x v="0"/>
    <n v="3"/>
    <n v="0"/>
    <s v="UPI"/>
    <x v="1"/>
    <x v="2"/>
    <n v="6"/>
    <n v="1"/>
    <n v="0"/>
    <s v="New"/>
    <x v="2"/>
    <n v="43"/>
    <n v="0"/>
  </r>
  <r>
    <n v="4554"/>
    <x v="123"/>
    <n v="1352"/>
    <x v="2"/>
    <x v="4"/>
    <x v="1"/>
    <n v="1"/>
    <n v="1566"/>
    <s v="UPI"/>
    <x v="0"/>
    <x v="1"/>
    <n v="6"/>
    <n v="0"/>
    <n v="0"/>
    <s v="New"/>
    <x v="0"/>
    <n v="34"/>
    <n v="1"/>
  </r>
  <r>
    <n v="4555"/>
    <x v="91"/>
    <n v="1535"/>
    <x v="0"/>
    <x v="4"/>
    <x v="0"/>
    <n v="4"/>
    <n v="0"/>
    <s v="COD"/>
    <x v="2"/>
    <x v="0"/>
    <n v="10"/>
    <n v="0"/>
    <n v="1"/>
    <s v="Repeat"/>
    <x v="3"/>
    <n v="52"/>
    <n v="0"/>
  </r>
  <r>
    <n v="4556"/>
    <x v="146"/>
    <n v="1414"/>
    <x v="0"/>
    <x v="2"/>
    <x v="2"/>
    <n v="4"/>
    <n v="0"/>
    <s v="COD"/>
    <x v="1"/>
    <x v="1"/>
    <n v="7"/>
    <n v="1"/>
    <n v="0"/>
    <s v="New"/>
    <x v="2"/>
    <n v="40"/>
    <n v="0"/>
  </r>
  <r>
    <n v="4557"/>
    <x v="28"/>
    <n v="1142"/>
    <x v="2"/>
    <x v="3"/>
    <x v="1"/>
    <n v="5"/>
    <n v="23465"/>
    <s v="Wallet"/>
    <x v="0"/>
    <x v="1"/>
    <n v="9"/>
    <n v="0"/>
    <n v="1"/>
    <s v="New"/>
    <x v="0"/>
    <n v="33"/>
    <n v="1"/>
  </r>
  <r>
    <n v="4558"/>
    <x v="7"/>
    <n v="1103"/>
    <x v="4"/>
    <x v="0"/>
    <x v="2"/>
    <n v="2"/>
    <n v="0"/>
    <s v="UPI"/>
    <x v="1"/>
    <x v="1"/>
    <n v="2"/>
    <n v="0"/>
    <n v="1"/>
    <s v="New"/>
    <x v="3"/>
    <n v="49"/>
    <n v="0"/>
  </r>
  <r>
    <n v="4559"/>
    <x v="12"/>
    <n v="1247"/>
    <x v="2"/>
    <x v="4"/>
    <x v="2"/>
    <n v="5"/>
    <n v="0"/>
    <s v="COD"/>
    <x v="1"/>
    <x v="1"/>
    <n v="1"/>
    <n v="0"/>
    <n v="1"/>
    <s v="New"/>
    <x v="1"/>
    <n v="38"/>
    <n v="0"/>
  </r>
  <r>
    <n v="4560"/>
    <x v="108"/>
    <n v="1442"/>
    <x v="4"/>
    <x v="3"/>
    <x v="3"/>
    <n v="3"/>
    <n v="0"/>
    <s v="Wallet"/>
    <x v="1"/>
    <x v="1"/>
    <n v="5"/>
    <n v="0"/>
    <n v="0"/>
    <s v="Repeat"/>
    <x v="2"/>
    <n v="44"/>
    <n v="0"/>
  </r>
  <r>
    <n v="4561"/>
    <x v="4"/>
    <n v="1151"/>
    <x v="0"/>
    <x v="2"/>
    <x v="1"/>
    <n v="3"/>
    <n v="8766"/>
    <s v="UPI"/>
    <x v="0"/>
    <x v="3"/>
    <n v="1"/>
    <n v="1"/>
    <n v="1"/>
    <s v="New"/>
    <x v="3"/>
    <n v="50"/>
    <n v="1"/>
  </r>
  <r>
    <n v="4562"/>
    <x v="15"/>
    <n v="1457"/>
    <x v="2"/>
    <x v="4"/>
    <x v="1"/>
    <n v="5"/>
    <n v="0"/>
    <s v="Wallet"/>
    <x v="1"/>
    <x v="0"/>
    <n v="5"/>
    <n v="1"/>
    <n v="1"/>
    <s v="Repeat"/>
    <x v="4"/>
    <n v="47"/>
    <n v="0"/>
  </r>
  <r>
    <n v="4563"/>
    <x v="174"/>
    <n v="1760"/>
    <x v="0"/>
    <x v="4"/>
    <x v="3"/>
    <n v="4"/>
    <n v="0"/>
    <s v="Card"/>
    <x v="2"/>
    <x v="1"/>
    <n v="5"/>
    <n v="0"/>
    <n v="0"/>
    <s v="Repeat"/>
    <x v="5"/>
    <n v="29"/>
    <n v="0"/>
  </r>
  <r>
    <n v="4564"/>
    <x v="58"/>
    <n v="1371"/>
    <x v="0"/>
    <x v="4"/>
    <x v="1"/>
    <n v="2"/>
    <n v="0"/>
    <s v="Card"/>
    <x v="2"/>
    <x v="0"/>
    <n v="3"/>
    <n v="1"/>
    <n v="1"/>
    <s v="New"/>
    <x v="5"/>
    <n v="31"/>
    <n v="0"/>
  </r>
  <r>
    <n v="4565"/>
    <x v="106"/>
    <n v="1706"/>
    <x v="4"/>
    <x v="1"/>
    <x v="0"/>
    <n v="5"/>
    <n v="0"/>
    <s v="Wallet"/>
    <x v="2"/>
    <x v="3"/>
    <n v="5"/>
    <n v="1"/>
    <n v="0"/>
    <s v="Repeat"/>
    <x v="5"/>
    <n v="30"/>
    <n v="0"/>
  </r>
  <r>
    <n v="4566"/>
    <x v="54"/>
    <n v="1448"/>
    <x v="4"/>
    <x v="2"/>
    <x v="0"/>
    <n v="5"/>
    <n v="19695"/>
    <s v="Card"/>
    <x v="0"/>
    <x v="0"/>
    <n v="2"/>
    <n v="1"/>
    <n v="0"/>
    <s v="New"/>
    <x v="0"/>
    <n v="34"/>
    <n v="1"/>
  </r>
  <r>
    <n v="4567"/>
    <x v="157"/>
    <n v="1643"/>
    <x v="1"/>
    <x v="4"/>
    <x v="2"/>
    <n v="4"/>
    <n v="0"/>
    <s v="Card"/>
    <x v="1"/>
    <x v="1"/>
    <n v="1"/>
    <n v="1"/>
    <n v="1"/>
    <s v="Repeat"/>
    <x v="2"/>
    <n v="41"/>
    <n v="0"/>
  </r>
  <r>
    <n v="4568"/>
    <x v="177"/>
    <n v="1002"/>
    <x v="3"/>
    <x v="0"/>
    <x v="2"/>
    <n v="1"/>
    <n v="0"/>
    <s v="COD"/>
    <x v="1"/>
    <x v="2"/>
    <n v="3"/>
    <n v="0"/>
    <n v="1"/>
    <s v="New"/>
    <x v="4"/>
    <n v="45"/>
    <n v="0"/>
  </r>
  <r>
    <n v="4569"/>
    <x v="108"/>
    <n v="1855"/>
    <x v="4"/>
    <x v="0"/>
    <x v="3"/>
    <n v="4"/>
    <n v="3872"/>
    <s v="UPI"/>
    <x v="0"/>
    <x v="2"/>
    <n v="10"/>
    <n v="0"/>
    <n v="0"/>
    <s v="New"/>
    <x v="2"/>
    <n v="44"/>
    <n v="1"/>
  </r>
  <r>
    <n v="4570"/>
    <x v="128"/>
    <n v="1936"/>
    <x v="2"/>
    <x v="3"/>
    <x v="0"/>
    <n v="1"/>
    <n v="0"/>
    <s v="COD"/>
    <x v="2"/>
    <x v="2"/>
    <n v="4"/>
    <n v="0"/>
    <n v="1"/>
    <s v="New"/>
    <x v="1"/>
    <n v="39"/>
    <n v="0"/>
  </r>
  <r>
    <n v="4571"/>
    <x v="8"/>
    <n v="1842"/>
    <x v="3"/>
    <x v="2"/>
    <x v="1"/>
    <n v="5"/>
    <n v="0"/>
    <s v="Card"/>
    <x v="2"/>
    <x v="0"/>
    <n v="2"/>
    <n v="0"/>
    <n v="1"/>
    <s v="New"/>
    <x v="0"/>
    <n v="32"/>
    <n v="0"/>
  </r>
  <r>
    <n v="4572"/>
    <x v="143"/>
    <n v="1092"/>
    <x v="2"/>
    <x v="4"/>
    <x v="1"/>
    <n v="4"/>
    <n v="19228"/>
    <s v="Wallet"/>
    <x v="0"/>
    <x v="3"/>
    <n v="4"/>
    <n v="1"/>
    <n v="0"/>
    <s v="New"/>
    <x v="2"/>
    <n v="43"/>
    <n v="1"/>
  </r>
  <r>
    <n v="4573"/>
    <x v="96"/>
    <n v="1601"/>
    <x v="4"/>
    <x v="3"/>
    <x v="0"/>
    <n v="1"/>
    <n v="0"/>
    <s v="Card"/>
    <x v="1"/>
    <x v="1"/>
    <n v="7"/>
    <n v="0"/>
    <n v="0"/>
    <s v="New"/>
    <x v="4"/>
    <n v="45"/>
    <n v="0"/>
  </r>
  <r>
    <n v="4574"/>
    <x v="27"/>
    <n v="1095"/>
    <x v="1"/>
    <x v="3"/>
    <x v="1"/>
    <n v="5"/>
    <n v="0"/>
    <s v="Wallet"/>
    <x v="1"/>
    <x v="1"/>
    <n v="5"/>
    <n v="0"/>
    <n v="0"/>
    <s v="Repeat"/>
    <x v="1"/>
    <n v="37"/>
    <n v="0"/>
  </r>
  <r>
    <n v="4575"/>
    <x v="71"/>
    <n v="1918"/>
    <x v="3"/>
    <x v="2"/>
    <x v="2"/>
    <n v="3"/>
    <n v="6975"/>
    <s v="UPI"/>
    <x v="0"/>
    <x v="0"/>
    <n v="3"/>
    <n v="0"/>
    <n v="1"/>
    <s v="New"/>
    <x v="3"/>
    <n v="49"/>
    <n v="1"/>
  </r>
  <r>
    <n v="4576"/>
    <x v="31"/>
    <n v="1879"/>
    <x v="1"/>
    <x v="0"/>
    <x v="1"/>
    <n v="2"/>
    <n v="0"/>
    <s v="UPI"/>
    <x v="2"/>
    <x v="1"/>
    <n v="3"/>
    <n v="0"/>
    <n v="0"/>
    <s v="New"/>
    <x v="2"/>
    <n v="44"/>
    <n v="0"/>
  </r>
  <r>
    <n v="4577"/>
    <x v="108"/>
    <n v="1703"/>
    <x v="4"/>
    <x v="0"/>
    <x v="0"/>
    <n v="1"/>
    <n v="2787"/>
    <s v="Wallet"/>
    <x v="0"/>
    <x v="3"/>
    <n v="6"/>
    <n v="0"/>
    <n v="1"/>
    <s v="Repeat"/>
    <x v="2"/>
    <n v="44"/>
    <n v="1"/>
  </r>
  <r>
    <n v="4578"/>
    <x v="130"/>
    <n v="1908"/>
    <x v="2"/>
    <x v="1"/>
    <x v="0"/>
    <n v="2"/>
    <n v="0"/>
    <s v="UPI"/>
    <x v="1"/>
    <x v="0"/>
    <n v="3"/>
    <n v="0"/>
    <n v="0"/>
    <s v="New"/>
    <x v="3"/>
    <n v="51"/>
    <n v="0"/>
  </r>
  <r>
    <n v="4579"/>
    <x v="36"/>
    <n v="1855"/>
    <x v="4"/>
    <x v="4"/>
    <x v="0"/>
    <n v="1"/>
    <n v="0"/>
    <s v="Wallet"/>
    <x v="2"/>
    <x v="1"/>
    <n v="9"/>
    <n v="0"/>
    <n v="1"/>
    <s v="Repeat"/>
    <x v="2"/>
    <n v="44"/>
    <n v="0"/>
  </r>
  <r>
    <n v="4580"/>
    <x v="74"/>
    <n v="1816"/>
    <x v="4"/>
    <x v="3"/>
    <x v="0"/>
    <n v="3"/>
    <n v="0"/>
    <s v="UPI"/>
    <x v="1"/>
    <x v="1"/>
    <n v="10"/>
    <n v="1"/>
    <n v="1"/>
    <s v="New"/>
    <x v="5"/>
    <n v="29"/>
    <n v="0"/>
  </r>
  <r>
    <n v="4581"/>
    <x v="150"/>
    <n v="1286"/>
    <x v="4"/>
    <x v="4"/>
    <x v="0"/>
    <n v="4"/>
    <n v="1752"/>
    <s v="UPI"/>
    <x v="0"/>
    <x v="1"/>
    <n v="4"/>
    <n v="1"/>
    <n v="1"/>
    <s v="Repeat"/>
    <x v="0"/>
    <n v="35"/>
    <n v="1"/>
  </r>
  <r>
    <n v="4582"/>
    <x v="104"/>
    <n v="1253"/>
    <x v="0"/>
    <x v="3"/>
    <x v="1"/>
    <n v="5"/>
    <n v="0"/>
    <s v="UPI"/>
    <x v="1"/>
    <x v="2"/>
    <n v="4"/>
    <n v="0"/>
    <n v="1"/>
    <s v="New"/>
    <x v="5"/>
    <n v="29"/>
    <n v="0"/>
  </r>
  <r>
    <n v="4583"/>
    <x v="125"/>
    <n v="1081"/>
    <x v="0"/>
    <x v="1"/>
    <x v="3"/>
    <n v="2"/>
    <n v="0"/>
    <s v="UPI"/>
    <x v="2"/>
    <x v="1"/>
    <n v="8"/>
    <n v="1"/>
    <n v="0"/>
    <s v="New"/>
    <x v="5"/>
    <n v="31"/>
    <n v="0"/>
  </r>
  <r>
    <n v="4584"/>
    <x v="58"/>
    <n v="1223"/>
    <x v="4"/>
    <x v="4"/>
    <x v="2"/>
    <n v="2"/>
    <n v="0"/>
    <s v="UPI"/>
    <x v="2"/>
    <x v="0"/>
    <n v="4"/>
    <n v="0"/>
    <n v="1"/>
    <s v="Repeat"/>
    <x v="5"/>
    <n v="31"/>
    <n v="0"/>
  </r>
  <r>
    <n v="4585"/>
    <x v="70"/>
    <n v="1581"/>
    <x v="1"/>
    <x v="0"/>
    <x v="1"/>
    <n v="4"/>
    <n v="0"/>
    <s v="COD"/>
    <x v="1"/>
    <x v="0"/>
    <n v="8"/>
    <n v="0"/>
    <n v="1"/>
    <s v="Repeat"/>
    <x v="2"/>
    <n v="40"/>
    <n v="0"/>
  </r>
  <r>
    <n v="4586"/>
    <x v="118"/>
    <n v="1352"/>
    <x v="2"/>
    <x v="3"/>
    <x v="0"/>
    <n v="3"/>
    <n v="2304"/>
    <s v="COD"/>
    <x v="0"/>
    <x v="3"/>
    <n v="7"/>
    <n v="1"/>
    <n v="1"/>
    <s v="New"/>
    <x v="0"/>
    <n v="35"/>
    <n v="1"/>
  </r>
  <r>
    <n v="4587"/>
    <x v="79"/>
    <n v="1401"/>
    <x v="2"/>
    <x v="0"/>
    <x v="1"/>
    <n v="4"/>
    <n v="0"/>
    <s v="COD"/>
    <x v="1"/>
    <x v="3"/>
    <n v="2"/>
    <n v="0"/>
    <n v="1"/>
    <s v="Repeat"/>
    <x v="1"/>
    <n v="36"/>
    <n v="0"/>
  </r>
  <r>
    <n v="4588"/>
    <x v="114"/>
    <n v="1285"/>
    <x v="1"/>
    <x v="2"/>
    <x v="3"/>
    <n v="4"/>
    <n v="0"/>
    <s v="COD"/>
    <x v="1"/>
    <x v="0"/>
    <n v="10"/>
    <n v="0"/>
    <n v="0"/>
    <s v="Repeat"/>
    <x v="3"/>
    <n v="50"/>
    <n v="0"/>
  </r>
  <r>
    <n v="4589"/>
    <x v="175"/>
    <n v="1852"/>
    <x v="1"/>
    <x v="4"/>
    <x v="0"/>
    <n v="4"/>
    <n v="3516"/>
    <s v="COD"/>
    <x v="0"/>
    <x v="0"/>
    <n v="4"/>
    <n v="0"/>
    <n v="1"/>
    <s v="New"/>
    <x v="5"/>
    <n v="31"/>
    <n v="1"/>
  </r>
  <r>
    <n v="4590"/>
    <x v="24"/>
    <n v="1075"/>
    <x v="4"/>
    <x v="4"/>
    <x v="2"/>
    <n v="5"/>
    <n v="0"/>
    <s v="Wallet"/>
    <x v="2"/>
    <x v="2"/>
    <n v="2"/>
    <n v="1"/>
    <n v="1"/>
    <s v="New"/>
    <x v="5"/>
    <n v="30"/>
    <n v="0"/>
  </r>
  <r>
    <n v="4591"/>
    <x v="57"/>
    <n v="1700"/>
    <x v="2"/>
    <x v="2"/>
    <x v="1"/>
    <n v="1"/>
    <n v="3645"/>
    <s v="COD"/>
    <x v="0"/>
    <x v="2"/>
    <n v="7"/>
    <n v="1"/>
    <n v="0"/>
    <s v="Repeat"/>
    <x v="4"/>
    <n v="48"/>
    <n v="1"/>
  </r>
  <r>
    <n v="4592"/>
    <x v="47"/>
    <n v="1192"/>
    <x v="2"/>
    <x v="3"/>
    <x v="1"/>
    <n v="3"/>
    <n v="0"/>
    <s v="Wallet"/>
    <x v="2"/>
    <x v="2"/>
    <n v="2"/>
    <n v="1"/>
    <n v="0"/>
    <s v="New"/>
    <x v="6"/>
    <n v="2"/>
    <n v="0"/>
  </r>
  <r>
    <n v="4593"/>
    <x v="83"/>
    <n v="1139"/>
    <x v="1"/>
    <x v="0"/>
    <x v="1"/>
    <n v="2"/>
    <n v="8104"/>
    <s v="Card"/>
    <x v="0"/>
    <x v="0"/>
    <n v="6"/>
    <n v="1"/>
    <n v="1"/>
    <s v="Repeat"/>
    <x v="1"/>
    <n v="36"/>
    <n v="1"/>
  </r>
  <r>
    <n v="4594"/>
    <x v="72"/>
    <n v="1219"/>
    <x v="4"/>
    <x v="2"/>
    <x v="0"/>
    <n v="4"/>
    <n v="0"/>
    <s v="UPI"/>
    <x v="1"/>
    <x v="3"/>
    <n v="5"/>
    <n v="0"/>
    <n v="1"/>
    <s v="New"/>
    <x v="2"/>
    <n v="41"/>
    <n v="0"/>
  </r>
  <r>
    <n v="4595"/>
    <x v="53"/>
    <n v="1299"/>
    <x v="2"/>
    <x v="2"/>
    <x v="2"/>
    <n v="2"/>
    <n v="3896"/>
    <s v="Card"/>
    <x v="0"/>
    <x v="1"/>
    <n v="6"/>
    <n v="0"/>
    <n v="1"/>
    <s v="New"/>
    <x v="2"/>
    <n v="42"/>
    <n v="1"/>
  </r>
  <r>
    <n v="4596"/>
    <x v="47"/>
    <n v="1540"/>
    <x v="2"/>
    <x v="0"/>
    <x v="3"/>
    <n v="3"/>
    <n v="0"/>
    <s v="Wallet"/>
    <x v="1"/>
    <x v="3"/>
    <n v="5"/>
    <n v="1"/>
    <n v="0"/>
    <s v="Repeat"/>
    <x v="6"/>
    <n v="2"/>
    <n v="0"/>
  </r>
  <r>
    <n v="4597"/>
    <x v="79"/>
    <n v="1606"/>
    <x v="1"/>
    <x v="1"/>
    <x v="1"/>
    <n v="2"/>
    <n v="0"/>
    <s v="Wallet"/>
    <x v="2"/>
    <x v="1"/>
    <n v="1"/>
    <n v="0"/>
    <n v="1"/>
    <s v="Repeat"/>
    <x v="1"/>
    <n v="36"/>
    <n v="0"/>
  </r>
  <r>
    <n v="4598"/>
    <x v="8"/>
    <n v="1844"/>
    <x v="3"/>
    <x v="0"/>
    <x v="0"/>
    <n v="2"/>
    <n v="0"/>
    <s v="Wallet"/>
    <x v="2"/>
    <x v="1"/>
    <n v="4"/>
    <n v="0"/>
    <n v="1"/>
    <s v="New"/>
    <x v="0"/>
    <n v="32"/>
    <n v="0"/>
  </r>
  <r>
    <n v="4599"/>
    <x v="79"/>
    <n v="1872"/>
    <x v="3"/>
    <x v="4"/>
    <x v="1"/>
    <n v="1"/>
    <n v="4834"/>
    <s v="Wallet"/>
    <x v="0"/>
    <x v="3"/>
    <n v="9"/>
    <n v="1"/>
    <n v="1"/>
    <s v="Repeat"/>
    <x v="1"/>
    <n v="36"/>
    <n v="1"/>
  </r>
  <r>
    <n v="4600"/>
    <x v="134"/>
    <n v="1645"/>
    <x v="4"/>
    <x v="1"/>
    <x v="1"/>
    <n v="2"/>
    <n v="550"/>
    <s v="Wallet"/>
    <x v="0"/>
    <x v="3"/>
    <n v="5"/>
    <n v="1"/>
    <n v="1"/>
    <s v="New"/>
    <x v="3"/>
    <n v="51"/>
    <n v="1"/>
  </r>
  <r>
    <n v="4601"/>
    <x v="66"/>
    <n v="1792"/>
    <x v="0"/>
    <x v="1"/>
    <x v="1"/>
    <n v="4"/>
    <n v="0"/>
    <s v="Wallet"/>
    <x v="2"/>
    <x v="1"/>
    <n v="3"/>
    <n v="0"/>
    <n v="0"/>
    <s v="New"/>
    <x v="1"/>
    <n v="39"/>
    <n v="0"/>
  </r>
  <r>
    <n v="4602"/>
    <x v="173"/>
    <n v="1469"/>
    <x v="3"/>
    <x v="0"/>
    <x v="2"/>
    <n v="5"/>
    <n v="12230"/>
    <s v="UPI"/>
    <x v="0"/>
    <x v="3"/>
    <n v="5"/>
    <n v="1"/>
    <n v="1"/>
    <s v="New"/>
    <x v="5"/>
    <n v="30"/>
    <n v="1"/>
  </r>
  <r>
    <n v="4603"/>
    <x v="9"/>
    <n v="1256"/>
    <x v="0"/>
    <x v="2"/>
    <x v="0"/>
    <n v="1"/>
    <n v="0"/>
    <s v="COD"/>
    <x v="2"/>
    <x v="1"/>
    <n v="8"/>
    <n v="1"/>
    <n v="0"/>
    <s v="New"/>
    <x v="5"/>
    <n v="30"/>
    <n v="0"/>
  </r>
  <r>
    <n v="4604"/>
    <x v="0"/>
    <n v="1301"/>
    <x v="0"/>
    <x v="0"/>
    <x v="2"/>
    <n v="5"/>
    <n v="0"/>
    <s v="Card"/>
    <x v="2"/>
    <x v="0"/>
    <n v="7"/>
    <n v="1"/>
    <n v="1"/>
    <s v="New"/>
    <x v="0"/>
    <n v="32"/>
    <n v="0"/>
  </r>
  <r>
    <n v="4605"/>
    <x v="85"/>
    <n v="1704"/>
    <x v="3"/>
    <x v="0"/>
    <x v="1"/>
    <n v="1"/>
    <n v="0"/>
    <s v="UPI"/>
    <x v="1"/>
    <x v="3"/>
    <n v="10"/>
    <n v="1"/>
    <n v="1"/>
    <s v="New"/>
    <x v="3"/>
    <n v="50"/>
    <n v="0"/>
  </r>
  <r>
    <n v="4606"/>
    <x v="22"/>
    <n v="1021"/>
    <x v="4"/>
    <x v="1"/>
    <x v="0"/>
    <n v="5"/>
    <n v="0"/>
    <s v="Card"/>
    <x v="2"/>
    <x v="2"/>
    <n v="5"/>
    <n v="1"/>
    <n v="1"/>
    <s v="Repeat"/>
    <x v="6"/>
    <n v="2"/>
    <n v="0"/>
  </r>
  <r>
    <n v="4607"/>
    <x v="172"/>
    <n v="1070"/>
    <x v="2"/>
    <x v="3"/>
    <x v="0"/>
    <n v="2"/>
    <n v="0"/>
    <s v="UPI"/>
    <x v="1"/>
    <x v="0"/>
    <n v="6"/>
    <n v="1"/>
    <n v="1"/>
    <s v="New"/>
    <x v="2"/>
    <n v="44"/>
    <n v="0"/>
  </r>
  <r>
    <n v="4608"/>
    <x v="140"/>
    <n v="1691"/>
    <x v="3"/>
    <x v="0"/>
    <x v="0"/>
    <n v="3"/>
    <n v="11859"/>
    <s v="Wallet"/>
    <x v="0"/>
    <x v="0"/>
    <n v="5"/>
    <n v="0"/>
    <n v="1"/>
    <s v="New"/>
    <x v="4"/>
    <n v="48"/>
    <n v="1"/>
  </r>
  <r>
    <n v="4609"/>
    <x v="91"/>
    <n v="1862"/>
    <x v="2"/>
    <x v="3"/>
    <x v="0"/>
    <n v="1"/>
    <n v="0"/>
    <s v="COD"/>
    <x v="2"/>
    <x v="0"/>
    <n v="3"/>
    <n v="0"/>
    <n v="1"/>
    <s v="Repeat"/>
    <x v="3"/>
    <n v="52"/>
    <n v="0"/>
  </r>
  <r>
    <n v="4610"/>
    <x v="76"/>
    <n v="1793"/>
    <x v="2"/>
    <x v="3"/>
    <x v="0"/>
    <n v="2"/>
    <n v="0"/>
    <s v="UPI"/>
    <x v="1"/>
    <x v="1"/>
    <n v="9"/>
    <n v="0"/>
    <n v="1"/>
    <s v="Repeat"/>
    <x v="3"/>
    <n v="50"/>
    <n v="0"/>
  </r>
  <r>
    <n v="4611"/>
    <x v="97"/>
    <n v="1077"/>
    <x v="1"/>
    <x v="2"/>
    <x v="3"/>
    <n v="1"/>
    <n v="0"/>
    <s v="Wallet"/>
    <x v="1"/>
    <x v="3"/>
    <n v="10"/>
    <n v="0"/>
    <n v="0"/>
    <s v="Repeat"/>
    <x v="1"/>
    <n v="40"/>
    <n v="0"/>
  </r>
  <r>
    <n v="4612"/>
    <x v="156"/>
    <n v="1286"/>
    <x v="1"/>
    <x v="0"/>
    <x v="0"/>
    <n v="4"/>
    <n v="0"/>
    <s v="COD"/>
    <x v="2"/>
    <x v="3"/>
    <n v="7"/>
    <n v="0"/>
    <n v="0"/>
    <s v="New"/>
    <x v="6"/>
    <n v="2"/>
    <n v="0"/>
  </r>
  <r>
    <n v="4613"/>
    <x v="162"/>
    <n v="1193"/>
    <x v="4"/>
    <x v="2"/>
    <x v="0"/>
    <n v="2"/>
    <n v="576"/>
    <s v="Wallet"/>
    <x v="0"/>
    <x v="0"/>
    <n v="2"/>
    <n v="1"/>
    <n v="1"/>
    <s v="Repeat"/>
    <x v="2"/>
    <n v="43"/>
    <n v="1"/>
  </r>
  <r>
    <n v="4614"/>
    <x v="18"/>
    <n v="1323"/>
    <x v="3"/>
    <x v="4"/>
    <x v="1"/>
    <n v="3"/>
    <n v="0"/>
    <s v="Card"/>
    <x v="2"/>
    <x v="0"/>
    <n v="1"/>
    <n v="0"/>
    <n v="1"/>
    <s v="Repeat"/>
    <x v="1"/>
    <n v="36"/>
    <n v="0"/>
  </r>
  <r>
    <n v="4615"/>
    <x v="124"/>
    <n v="1233"/>
    <x v="4"/>
    <x v="2"/>
    <x v="0"/>
    <n v="2"/>
    <n v="0"/>
    <s v="Card"/>
    <x v="2"/>
    <x v="2"/>
    <n v="1"/>
    <n v="1"/>
    <n v="1"/>
    <s v="Repeat"/>
    <x v="1"/>
    <n v="37"/>
    <n v="0"/>
  </r>
  <r>
    <n v="4616"/>
    <x v="100"/>
    <n v="1433"/>
    <x v="0"/>
    <x v="3"/>
    <x v="0"/>
    <n v="3"/>
    <n v="8451"/>
    <s v="UPI"/>
    <x v="0"/>
    <x v="0"/>
    <n v="7"/>
    <n v="1"/>
    <n v="0"/>
    <s v="New"/>
    <x v="1"/>
    <n v="37"/>
    <n v="1"/>
  </r>
  <r>
    <n v="4617"/>
    <x v="103"/>
    <n v="1647"/>
    <x v="3"/>
    <x v="2"/>
    <x v="0"/>
    <n v="2"/>
    <n v="0"/>
    <s v="Wallet"/>
    <x v="1"/>
    <x v="3"/>
    <n v="10"/>
    <n v="1"/>
    <n v="0"/>
    <s v="New"/>
    <x v="1"/>
    <n v="38"/>
    <n v="0"/>
  </r>
  <r>
    <n v="4618"/>
    <x v="106"/>
    <n v="1109"/>
    <x v="2"/>
    <x v="1"/>
    <x v="1"/>
    <n v="3"/>
    <n v="0"/>
    <s v="UPI"/>
    <x v="1"/>
    <x v="3"/>
    <n v="4"/>
    <n v="0"/>
    <n v="1"/>
    <s v="New"/>
    <x v="5"/>
    <n v="30"/>
    <n v="0"/>
  </r>
  <r>
    <n v="4619"/>
    <x v="174"/>
    <n v="1498"/>
    <x v="3"/>
    <x v="2"/>
    <x v="2"/>
    <n v="2"/>
    <n v="2496"/>
    <s v="Card"/>
    <x v="0"/>
    <x v="2"/>
    <n v="4"/>
    <n v="0"/>
    <n v="1"/>
    <s v="New"/>
    <x v="5"/>
    <n v="29"/>
    <n v="1"/>
  </r>
  <r>
    <n v="4620"/>
    <x v="65"/>
    <n v="1601"/>
    <x v="0"/>
    <x v="1"/>
    <x v="1"/>
    <n v="4"/>
    <n v="0"/>
    <s v="Card"/>
    <x v="2"/>
    <x v="2"/>
    <n v="10"/>
    <n v="1"/>
    <n v="1"/>
    <s v="New"/>
    <x v="1"/>
    <n v="38"/>
    <n v="0"/>
  </r>
  <r>
    <n v="4621"/>
    <x v="87"/>
    <n v="1135"/>
    <x v="3"/>
    <x v="0"/>
    <x v="0"/>
    <n v="2"/>
    <n v="1514"/>
    <s v="Card"/>
    <x v="0"/>
    <x v="2"/>
    <n v="2"/>
    <n v="0"/>
    <n v="1"/>
    <s v="New"/>
    <x v="2"/>
    <n v="42"/>
    <n v="1"/>
  </r>
  <r>
    <n v="4622"/>
    <x v="149"/>
    <n v="1151"/>
    <x v="1"/>
    <x v="4"/>
    <x v="2"/>
    <n v="4"/>
    <n v="0"/>
    <s v="COD"/>
    <x v="2"/>
    <x v="2"/>
    <n v="3"/>
    <n v="1"/>
    <n v="1"/>
    <s v="Repeat"/>
    <x v="3"/>
    <n v="49"/>
    <n v="0"/>
  </r>
  <r>
    <n v="4623"/>
    <x v="148"/>
    <n v="1319"/>
    <x v="0"/>
    <x v="1"/>
    <x v="1"/>
    <n v="1"/>
    <n v="628"/>
    <s v="COD"/>
    <x v="0"/>
    <x v="3"/>
    <n v="10"/>
    <n v="1"/>
    <n v="0"/>
    <s v="New"/>
    <x v="5"/>
    <n v="30"/>
    <n v="1"/>
  </r>
  <r>
    <n v="4624"/>
    <x v="135"/>
    <n v="1227"/>
    <x v="2"/>
    <x v="3"/>
    <x v="3"/>
    <n v="4"/>
    <n v="6884"/>
    <s v="UPI"/>
    <x v="0"/>
    <x v="3"/>
    <n v="2"/>
    <n v="1"/>
    <n v="1"/>
    <s v="Repeat"/>
    <x v="2"/>
    <n v="43"/>
    <n v="1"/>
  </r>
  <r>
    <n v="4625"/>
    <x v="84"/>
    <n v="1064"/>
    <x v="2"/>
    <x v="4"/>
    <x v="2"/>
    <n v="5"/>
    <n v="0"/>
    <s v="COD"/>
    <x v="1"/>
    <x v="3"/>
    <n v="7"/>
    <n v="1"/>
    <n v="1"/>
    <s v="Repeat"/>
    <x v="2"/>
    <n v="41"/>
    <n v="0"/>
  </r>
  <r>
    <n v="4626"/>
    <x v="145"/>
    <n v="1875"/>
    <x v="0"/>
    <x v="0"/>
    <x v="3"/>
    <n v="3"/>
    <n v="0"/>
    <s v="Card"/>
    <x v="2"/>
    <x v="3"/>
    <n v="8"/>
    <n v="1"/>
    <n v="0"/>
    <s v="New"/>
    <x v="4"/>
    <n v="48"/>
    <n v="0"/>
  </r>
  <r>
    <n v="4627"/>
    <x v="163"/>
    <n v="1850"/>
    <x v="2"/>
    <x v="4"/>
    <x v="1"/>
    <n v="4"/>
    <n v="0"/>
    <s v="UPI"/>
    <x v="1"/>
    <x v="2"/>
    <n v="9"/>
    <n v="1"/>
    <n v="0"/>
    <s v="Repeat"/>
    <x v="4"/>
    <n v="45"/>
    <n v="0"/>
  </r>
  <r>
    <n v="4628"/>
    <x v="4"/>
    <n v="1553"/>
    <x v="3"/>
    <x v="0"/>
    <x v="2"/>
    <n v="4"/>
    <n v="0"/>
    <s v="UPI"/>
    <x v="1"/>
    <x v="0"/>
    <n v="2"/>
    <n v="0"/>
    <n v="0"/>
    <s v="New"/>
    <x v="3"/>
    <n v="50"/>
    <n v="0"/>
  </r>
  <r>
    <n v="4629"/>
    <x v="21"/>
    <n v="1473"/>
    <x v="3"/>
    <x v="2"/>
    <x v="3"/>
    <n v="1"/>
    <n v="0"/>
    <s v="Wallet"/>
    <x v="1"/>
    <x v="3"/>
    <n v="2"/>
    <n v="0"/>
    <n v="1"/>
    <s v="Repeat"/>
    <x v="2"/>
    <n v="43"/>
    <n v="0"/>
  </r>
  <r>
    <n v="4630"/>
    <x v="167"/>
    <n v="1233"/>
    <x v="1"/>
    <x v="1"/>
    <x v="0"/>
    <n v="4"/>
    <n v="0"/>
    <s v="COD"/>
    <x v="2"/>
    <x v="3"/>
    <n v="1"/>
    <n v="1"/>
    <n v="0"/>
    <s v="New"/>
    <x v="0"/>
    <n v="35"/>
    <n v="0"/>
  </r>
  <r>
    <n v="4631"/>
    <x v="75"/>
    <n v="1572"/>
    <x v="4"/>
    <x v="4"/>
    <x v="0"/>
    <n v="5"/>
    <n v="0"/>
    <s v="Card"/>
    <x v="1"/>
    <x v="0"/>
    <n v="2"/>
    <n v="1"/>
    <n v="0"/>
    <s v="Repeat"/>
    <x v="3"/>
    <n v="52"/>
    <n v="0"/>
  </r>
  <r>
    <n v="4632"/>
    <x v="137"/>
    <n v="1470"/>
    <x v="4"/>
    <x v="0"/>
    <x v="1"/>
    <n v="5"/>
    <n v="0"/>
    <s v="UPI"/>
    <x v="2"/>
    <x v="1"/>
    <n v="4"/>
    <n v="0"/>
    <n v="1"/>
    <s v="New"/>
    <x v="1"/>
    <n v="40"/>
    <n v="0"/>
  </r>
  <r>
    <n v="4633"/>
    <x v="63"/>
    <n v="1248"/>
    <x v="0"/>
    <x v="1"/>
    <x v="3"/>
    <n v="4"/>
    <n v="0"/>
    <s v="Card"/>
    <x v="2"/>
    <x v="0"/>
    <n v="10"/>
    <n v="1"/>
    <n v="0"/>
    <s v="New"/>
    <x v="5"/>
    <n v="29"/>
    <n v="0"/>
  </r>
  <r>
    <n v="4634"/>
    <x v="141"/>
    <n v="1453"/>
    <x v="4"/>
    <x v="4"/>
    <x v="0"/>
    <n v="5"/>
    <n v="17260"/>
    <s v="Card"/>
    <x v="0"/>
    <x v="0"/>
    <n v="1"/>
    <n v="0"/>
    <n v="1"/>
    <s v="Repeat"/>
    <x v="1"/>
    <n v="39"/>
    <n v="1"/>
  </r>
  <r>
    <n v="4635"/>
    <x v="142"/>
    <n v="1099"/>
    <x v="4"/>
    <x v="0"/>
    <x v="1"/>
    <n v="2"/>
    <n v="0"/>
    <s v="Wallet"/>
    <x v="2"/>
    <x v="0"/>
    <n v="7"/>
    <n v="1"/>
    <n v="0"/>
    <s v="New"/>
    <x v="2"/>
    <n v="42"/>
    <n v="0"/>
  </r>
  <r>
    <n v="4636"/>
    <x v="4"/>
    <n v="1557"/>
    <x v="1"/>
    <x v="4"/>
    <x v="3"/>
    <n v="4"/>
    <n v="7892"/>
    <s v="Wallet"/>
    <x v="0"/>
    <x v="2"/>
    <n v="9"/>
    <n v="1"/>
    <n v="1"/>
    <s v="Repeat"/>
    <x v="3"/>
    <n v="50"/>
    <n v="1"/>
  </r>
  <r>
    <n v="4637"/>
    <x v="33"/>
    <n v="1924"/>
    <x v="0"/>
    <x v="1"/>
    <x v="0"/>
    <n v="4"/>
    <n v="0"/>
    <s v="Card"/>
    <x v="1"/>
    <x v="3"/>
    <n v="3"/>
    <n v="0"/>
    <n v="1"/>
    <s v="New"/>
    <x v="5"/>
    <n v="31"/>
    <n v="0"/>
  </r>
  <r>
    <n v="4638"/>
    <x v="131"/>
    <n v="1833"/>
    <x v="1"/>
    <x v="2"/>
    <x v="3"/>
    <n v="3"/>
    <n v="0"/>
    <s v="Card"/>
    <x v="2"/>
    <x v="0"/>
    <n v="6"/>
    <n v="0"/>
    <n v="0"/>
    <s v="Repeat"/>
    <x v="4"/>
    <n v="47"/>
    <n v="0"/>
  </r>
  <r>
    <n v="4639"/>
    <x v="2"/>
    <n v="1653"/>
    <x v="1"/>
    <x v="4"/>
    <x v="2"/>
    <n v="2"/>
    <n v="0"/>
    <s v="Wallet"/>
    <x v="2"/>
    <x v="3"/>
    <n v="10"/>
    <n v="1"/>
    <n v="0"/>
    <s v="New"/>
    <x v="2"/>
    <n v="41"/>
    <n v="0"/>
  </r>
  <r>
    <n v="4640"/>
    <x v="31"/>
    <n v="1423"/>
    <x v="4"/>
    <x v="1"/>
    <x v="3"/>
    <n v="2"/>
    <n v="6440"/>
    <s v="Card"/>
    <x v="0"/>
    <x v="1"/>
    <n v="5"/>
    <n v="0"/>
    <n v="0"/>
    <s v="New"/>
    <x v="2"/>
    <n v="44"/>
    <n v="1"/>
  </r>
  <r>
    <n v="4641"/>
    <x v="18"/>
    <n v="1311"/>
    <x v="3"/>
    <x v="1"/>
    <x v="0"/>
    <n v="2"/>
    <n v="0"/>
    <s v="Card"/>
    <x v="2"/>
    <x v="1"/>
    <n v="7"/>
    <n v="0"/>
    <n v="1"/>
    <s v="Repeat"/>
    <x v="1"/>
    <n v="36"/>
    <n v="0"/>
  </r>
  <r>
    <n v="4642"/>
    <x v="93"/>
    <n v="1082"/>
    <x v="1"/>
    <x v="3"/>
    <x v="0"/>
    <n v="4"/>
    <n v="14744"/>
    <s v="UPI"/>
    <x v="0"/>
    <x v="1"/>
    <n v="8"/>
    <n v="0"/>
    <n v="1"/>
    <s v="Repeat"/>
    <x v="3"/>
    <n v="53"/>
    <n v="1"/>
  </r>
  <r>
    <n v="4643"/>
    <x v="35"/>
    <n v="1036"/>
    <x v="1"/>
    <x v="2"/>
    <x v="1"/>
    <n v="2"/>
    <n v="0"/>
    <s v="COD"/>
    <x v="1"/>
    <x v="0"/>
    <n v="7"/>
    <n v="0"/>
    <n v="1"/>
    <s v="New"/>
    <x v="0"/>
    <n v="35"/>
    <n v="0"/>
  </r>
  <r>
    <n v="4644"/>
    <x v="13"/>
    <n v="1696"/>
    <x v="0"/>
    <x v="0"/>
    <x v="3"/>
    <n v="4"/>
    <n v="0"/>
    <s v="UPI"/>
    <x v="2"/>
    <x v="3"/>
    <n v="10"/>
    <n v="1"/>
    <n v="1"/>
    <s v="Repeat"/>
    <x v="2"/>
    <n v="41"/>
    <n v="0"/>
  </r>
  <r>
    <n v="4645"/>
    <x v="148"/>
    <n v="1765"/>
    <x v="2"/>
    <x v="1"/>
    <x v="0"/>
    <n v="4"/>
    <n v="0"/>
    <s v="COD"/>
    <x v="2"/>
    <x v="3"/>
    <n v="2"/>
    <n v="0"/>
    <n v="0"/>
    <s v="New"/>
    <x v="5"/>
    <n v="30"/>
    <n v="0"/>
  </r>
  <r>
    <n v="4646"/>
    <x v="160"/>
    <n v="1481"/>
    <x v="1"/>
    <x v="3"/>
    <x v="3"/>
    <n v="3"/>
    <n v="0"/>
    <s v="Card"/>
    <x v="2"/>
    <x v="1"/>
    <n v="6"/>
    <n v="0"/>
    <n v="0"/>
    <s v="New"/>
    <x v="4"/>
    <n v="47"/>
    <n v="0"/>
  </r>
  <r>
    <n v="4647"/>
    <x v="109"/>
    <n v="1353"/>
    <x v="0"/>
    <x v="4"/>
    <x v="1"/>
    <n v="2"/>
    <n v="0"/>
    <s v="COD"/>
    <x v="1"/>
    <x v="0"/>
    <n v="1"/>
    <n v="0"/>
    <n v="0"/>
    <s v="Repeat"/>
    <x v="4"/>
    <n v="46"/>
    <n v="0"/>
  </r>
  <r>
    <n v="4648"/>
    <x v="68"/>
    <n v="1917"/>
    <x v="4"/>
    <x v="0"/>
    <x v="3"/>
    <n v="3"/>
    <n v="0"/>
    <s v="Wallet"/>
    <x v="2"/>
    <x v="3"/>
    <n v="7"/>
    <n v="1"/>
    <n v="0"/>
    <s v="Repeat"/>
    <x v="0"/>
    <n v="32"/>
    <n v="0"/>
  </r>
  <r>
    <n v="4649"/>
    <x v="93"/>
    <n v="1112"/>
    <x v="3"/>
    <x v="3"/>
    <x v="3"/>
    <n v="5"/>
    <n v="0"/>
    <s v="COD"/>
    <x v="2"/>
    <x v="1"/>
    <n v="4"/>
    <n v="1"/>
    <n v="1"/>
    <s v="Repeat"/>
    <x v="3"/>
    <n v="53"/>
    <n v="0"/>
  </r>
  <r>
    <n v="4650"/>
    <x v="41"/>
    <n v="1717"/>
    <x v="2"/>
    <x v="0"/>
    <x v="0"/>
    <n v="4"/>
    <n v="0"/>
    <s v="COD"/>
    <x v="1"/>
    <x v="3"/>
    <n v="8"/>
    <n v="0"/>
    <n v="0"/>
    <s v="Repeat"/>
    <x v="1"/>
    <n v="37"/>
    <n v="0"/>
  </r>
  <r>
    <n v="4651"/>
    <x v="36"/>
    <n v="1742"/>
    <x v="0"/>
    <x v="0"/>
    <x v="1"/>
    <n v="2"/>
    <n v="0"/>
    <s v="Wallet"/>
    <x v="1"/>
    <x v="0"/>
    <n v="4"/>
    <n v="0"/>
    <n v="0"/>
    <s v="Repeat"/>
    <x v="2"/>
    <n v="44"/>
    <n v="0"/>
  </r>
  <r>
    <n v="4652"/>
    <x v="91"/>
    <n v="1399"/>
    <x v="4"/>
    <x v="0"/>
    <x v="0"/>
    <n v="5"/>
    <n v="0"/>
    <s v="Card"/>
    <x v="1"/>
    <x v="2"/>
    <n v="3"/>
    <n v="1"/>
    <n v="0"/>
    <s v="New"/>
    <x v="3"/>
    <n v="52"/>
    <n v="0"/>
  </r>
  <r>
    <n v="4653"/>
    <x v="65"/>
    <n v="1501"/>
    <x v="3"/>
    <x v="1"/>
    <x v="3"/>
    <n v="4"/>
    <n v="1712"/>
    <s v="Wallet"/>
    <x v="0"/>
    <x v="1"/>
    <n v="2"/>
    <n v="0"/>
    <n v="1"/>
    <s v="Repeat"/>
    <x v="1"/>
    <n v="38"/>
    <n v="1"/>
  </r>
  <r>
    <n v="4654"/>
    <x v="157"/>
    <n v="1232"/>
    <x v="3"/>
    <x v="0"/>
    <x v="2"/>
    <n v="2"/>
    <n v="0"/>
    <s v="UPI"/>
    <x v="2"/>
    <x v="3"/>
    <n v="9"/>
    <n v="1"/>
    <n v="1"/>
    <s v="New"/>
    <x v="2"/>
    <n v="41"/>
    <n v="0"/>
  </r>
  <r>
    <n v="4655"/>
    <x v="113"/>
    <n v="1304"/>
    <x v="0"/>
    <x v="2"/>
    <x v="3"/>
    <n v="3"/>
    <n v="0"/>
    <s v="Wallet"/>
    <x v="1"/>
    <x v="3"/>
    <n v="8"/>
    <n v="0"/>
    <n v="1"/>
    <s v="Repeat"/>
    <x v="0"/>
    <n v="33"/>
    <n v="0"/>
  </r>
  <r>
    <n v="4656"/>
    <x v="91"/>
    <n v="1949"/>
    <x v="2"/>
    <x v="0"/>
    <x v="2"/>
    <n v="1"/>
    <n v="2756"/>
    <s v="UPI"/>
    <x v="0"/>
    <x v="3"/>
    <n v="1"/>
    <n v="0"/>
    <n v="0"/>
    <s v="Repeat"/>
    <x v="3"/>
    <n v="52"/>
    <n v="1"/>
  </r>
  <r>
    <n v="4657"/>
    <x v="91"/>
    <n v="1075"/>
    <x v="4"/>
    <x v="3"/>
    <x v="1"/>
    <n v="2"/>
    <n v="0"/>
    <s v="UPI"/>
    <x v="1"/>
    <x v="3"/>
    <n v="7"/>
    <n v="0"/>
    <n v="0"/>
    <s v="Repeat"/>
    <x v="3"/>
    <n v="52"/>
    <n v="0"/>
  </r>
  <r>
    <n v="4658"/>
    <x v="140"/>
    <n v="1555"/>
    <x v="3"/>
    <x v="1"/>
    <x v="2"/>
    <n v="3"/>
    <n v="10947"/>
    <s v="Wallet"/>
    <x v="0"/>
    <x v="3"/>
    <n v="4"/>
    <n v="0"/>
    <n v="0"/>
    <s v="New"/>
    <x v="4"/>
    <n v="48"/>
    <n v="1"/>
  </r>
  <r>
    <n v="4659"/>
    <x v="143"/>
    <n v="1165"/>
    <x v="3"/>
    <x v="4"/>
    <x v="1"/>
    <n v="1"/>
    <n v="3336"/>
    <s v="Card"/>
    <x v="0"/>
    <x v="2"/>
    <n v="7"/>
    <n v="1"/>
    <n v="0"/>
    <s v="Repeat"/>
    <x v="2"/>
    <n v="43"/>
    <n v="1"/>
  </r>
  <r>
    <n v="4660"/>
    <x v="126"/>
    <n v="1014"/>
    <x v="2"/>
    <x v="1"/>
    <x v="1"/>
    <n v="5"/>
    <n v="0"/>
    <s v="UPI"/>
    <x v="2"/>
    <x v="2"/>
    <n v="1"/>
    <n v="1"/>
    <n v="0"/>
    <s v="New"/>
    <x v="4"/>
    <n v="46"/>
    <n v="0"/>
  </r>
  <r>
    <n v="4661"/>
    <x v="134"/>
    <n v="1703"/>
    <x v="0"/>
    <x v="4"/>
    <x v="3"/>
    <n v="4"/>
    <n v="0"/>
    <s v="COD"/>
    <x v="2"/>
    <x v="2"/>
    <n v="3"/>
    <n v="1"/>
    <n v="0"/>
    <s v="Repeat"/>
    <x v="3"/>
    <n v="51"/>
    <n v="0"/>
  </r>
  <r>
    <n v="4662"/>
    <x v="2"/>
    <n v="1089"/>
    <x v="0"/>
    <x v="3"/>
    <x v="0"/>
    <n v="1"/>
    <n v="0"/>
    <s v="Wallet"/>
    <x v="1"/>
    <x v="0"/>
    <n v="6"/>
    <n v="0"/>
    <n v="1"/>
    <s v="Repeat"/>
    <x v="2"/>
    <n v="41"/>
    <n v="0"/>
  </r>
  <r>
    <n v="4663"/>
    <x v="122"/>
    <n v="1407"/>
    <x v="1"/>
    <x v="1"/>
    <x v="0"/>
    <n v="1"/>
    <n v="0"/>
    <s v="UPI"/>
    <x v="1"/>
    <x v="2"/>
    <n v="8"/>
    <n v="0"/>
    <n v="0"/>
    <s v="New"/>
    <x v="3"/>
    <n v="53"/>
    <n v="0"/>
  </r>
  <r>
    <n v="4664"/>
    <x v="88"/>
    <n v="1200"/>
    <x v="4"/>
    <x v="3"/>
    <x v="2"/>
    <n v="3"/>
    <n v="0"/>
    <s v="UPI"/>
    <x v="2"/>
    <x v="0"/>
    <n v="8"/>
    <n v="1"/>
    <n v="1"/>
    <s v="Repeat"/>
    <x v="1"/>
    <n v="37"/>
    <n v="0"/>
  </r>
  <r>
    <n v="4665"/>
    <x v="163"/>
    <n v="1154"/>
    <x v="0"/>
    <x v="1"/>
    <x v="2"/>
    <n v="2"/>
    <n v="0"/>
    <s v="UPI"/>
    <x v="2"/>
    <x v="2"/>
    <n v="10"/>
    <n v="0"/>
    <n v="0"/>
    <s v="Repeat"/>
    <x v="4"/>
    <n v="45"/>
    <n v="0"/>
  </r>
  <r>
    <n v="4666"/>
    <x v="143"/>
    <n v="1915"/>
    <x v="4"/>
    <x v="3"/>
    <x v="1"/>
    <n v="1"/>
    <n v="0"/>
    <s v="UPI"/>
    <x v="1"/>
    <x v="0"/>
    <n v="5"/>
    <n v="1"/>
    <n v="0"/>
    <s v="New"/>
    <x v="2"/>
    <n v="43"/>
    <n v="0"/>
  </r>
  <r>
    <n v="4667"/>
    <x v="137"/>
    <n v="1590"/>
    <x v="0"/>
    <x v="4"/>
    <x v="3"/>
    <n v="1"/>
    <n v="4352"/>
    <s v="Card"/>
    <x v="0"/>
    <x v="1"/>
    <n v="1"/>
    <n v="0"/>
    <n v="0"/>
    <s v="New"/>
    <x v="1"/>
    <n v="40"/>
    <n v="1"/>
  </r>
  <r>
    <n v="4668"/>
    <x v="55"/>
    <n v="1073"/>
    <x v="4"/>
    <x v="3"/>
    <x v="3"/>
    <n v="4"/>
    <n v="17164"/>
    <s v="UPI"/>
    <x v="0"/>
    <x v="1"/>
    <n v="8"/>
    <n v="1"/>
    <n v="0"/>
    <s v="New"/>
    <x v="1"/>
    <n v="37"/>
    <n v="1"/>
  </r>
  <r>
    <n v="4669"/>
    <x v="79"/>
    <n v="1892"/>
    <x v="4"/>
    <x v="4"/>
    <x v="3"/>
    <n v="2"/>
    <n v="0"/>
    <s v="Wallet"/>
    <x v="2"/>
    <x v="0"/>
    <n v="10"/>
    <n v="1"/>
    <n v="0"/>
    <s v="Repeat"/>
    <x v="1"/>
    <n v="36"/>
    <n v="0"/>
  </r>
  <r>
    <n v="4670"/>
    <x v="22"/>
    <n v="1467"/>
    <x v="4"/>
    <x v="2"/>
    <x v="2"/>
    <n v="5"/>
    <n v="0"/>
    <s v="Wallet"/>
    <x v="1"/>
    <x v="0"/>
    <n v="4"/>
    <n v="1"/>
    <n v="0"/>
    <s v="Repeat"/>
    <x v="6"/>
    <n v="2"/>
    <n v="0"/>
  </r>
  <r>
    <n v="4671"/>
    <x v="86"/>
    <n v="1848"/>
    <x v="1"/>
    <x v="1"/>
    <x v="0"/>
    <n v="2"/>
    <n v="0"/>
    <s v="Card"/>
    <x v="1"/>
    <x v="1"/>
    <n v="6"/>
    <n v="1"/>
    <n v="0"/>
    <s v="New"/>
    <x v="6"/>
    <n v="1"/>
    <n v="0"/>
  </r>
  <r>
    <n v="4672"/>
    <x v="60"/>
    <n v="1849"/>
    <x v="4"/>
    <x v="0"/>
    <x v="1"/>
    <n v="5"/>
    <n v="0"/>
    <s v="UPI"/>
    <x v="2"/>
    <x v="3"/>
    <n v="2"/>
    <n v="1"/>
    <n v="1"/>
    <s v="Repeat"/>
    <x v="1"/>
    <n v="36"/>
    <n v="0"/>
  </r>
  <r>
    <n v="4673"/>
    <x v="43"/>
    <n v="1590"/>
    <x v="4"/>
    <x v="1"/>
    <x v="1"/>
    <n v="1"/>
    <n v="2007"/>
    <s v="Card"/>
    <x v="0"/>
    <x v="3"/>
    <n v="4"/>
    <n v="0"/>
    <n v="1"/>
    <s v="New"/>
    <x v="4"/>
    <n v="46"/>
    <n v="1"/>
  </r>
  <r>
    <n v="4674"/>
    <x v="70"/>
    <n v="1881"/>
    <x v="4"/>
    <x v="3"/>
    <x v="2"/>
    <n v="5"/>
    <n v="0"/>
    <s v="COD"/>
    <x v="1"/>
    <x v="0"/>
    <n v="5"/>
    <n v="1"/>
    <n v="0"/>
    <s v="Repeat"/>
    <x v="2"/>
    <n v="40"/>
    <n v="0"/>
  </r>
  <r>
    <n v="4675"/>
    <x v="18"/>
    <n v="1657"/>
    <x v="3"/>
    <x v="3"/>
    <x v="0"/>
    <n v="1"/>
    <n v="876"/>
    <s v="UPI"/>
    <x v="0"/>
    <x v="1"/>
    <n v="3"/>
    <n v="1"/>
    <n v="1"/>
    <s v="New"/>
    <x v="1"/>
    <n v="36"/>
    <n v="1"/>
  </r>
  <r>
    <n v="4676"/>
    <x v="50"/>
    <n v="1063"/>
    <x v="4"/>
    <x v="1"/>
    <x v="2"/>
    <n v="3"/>
    <n v="7959"/>
    <s v="Card"/>
    <x v="0"/>
    <x v="1"/>
    <n v="10"/>
    <n v="1"/>
    <n v="0"/>
    <s v="Repeat"/>
    <x v="3"/>
    <n v="53"/>
    <n v="1"/>
  </r>
  <r>
    <n v="4677"/>
    <x v="77"/>
    <n v="1024"/>
    <x v="2"/>
    <x v="0"/>
    <x v="3"/>
    <n v="3"/>
    <n v="0"/>
    <s v="COD"/>
    <x v="1"/>
    <x v="3"/>
    <n v="7"/>
    <n v="1"/>
    <n v="0"/>
    <s v="Repeat"/>
    <x v="1"/>
    <n v="38"/>
    <n v="0"/>
  </r>
  <r>
    <n v="4678"/>
    <x v="65"/>
    <n v="1581"/>
    <x v="2"/>
    <x v="1"/>
    <x v="1"/>
    <n v="4"/>
    <n v="0"/>
    <s v="UPI"/>
    <x v="2"/>
    <x v="3"/>
    <n v="6"/>
    <n v="0"/>
    <n v="0"/>
    <s v="Repeat"/>
    <x v="1"/>
    <n v="38"/>
    <n v="0"/>
  </r>
  <r>
    <n v="4679"/>
    <x v="72"/>
    <n v="1081"/>
    <x v="2"/>
    <x v="4"/>
    <x v="0"/>
    <n v="5"/>
    <n v="0"/>
    <s v="Wallet"/>
    <x v="1"/>
    <x v="2"/>
    <n v="1"/>
    <n v="1"/>
    <n v="0"/>
    <s v="Repeat"/>
    <x v="2"/>
    <n v="41"/>
    <n v="0"/>
  </r>
  <r>
    <n v="4680"/>
    <x v="172"/>
    <n v="1153"/>
    <x v="2"/>
    <x v="1"/>
    <x v="0"/>
    <n v="4"/>
    <n v="0"/>
    <s v="Wallet"/>
    <x v="1"/>
    <x v="3"/>
    <n v="8"/>
    <n v="1"/>
    <n v="1"/>
    <s v="Repeat"/>
    <x v="2"/>
    <n v="44"/>
    <n v="0"/>
  </r>
  <r>
    <n v="4681"/>
    <x v="92"/>
    <n v="1766"/>
    <x v="1"/>
    <x v="0"/>
    <x v="3"/>
    <n v="5"/>
    <n v="0"/>
    <s v="UPI"/>
    <x v="1"/>
    <x v="2"/>
    <n v="6"/>
    <n v="0"/>
    <n v="1"/>
    <s v="New"/>
    <x v="3"/>
    <n v="53"/>
    <n v="0"/>
  </r>
  <r>
    <n v="4682"/>
    <x v="161"/>
    <n v="1891"/>
    <x v="4"/>
    <x v="0"/>
    <x v="1"/>
    <n v="3"/>
    <n v="0"/>
    <s v="UPI"/>
    <x v="2"/>
    <x v="0"/>
    <n v="5"/>
    <n v="0"/>
    <n v="1"/>
    <s v="New"/>
    <x v="2"/>
    <n v="41"/>
    <n v="0"/>
  </r>
  <r>
    <n v="4683"/>
    <x v="42"/>
    <n v="1606"/>
    <x v="4"/>
    <x v="2"/>
    <x v="2"/>
    <n v="3"/>
    <n v="0"/>
    <s v="COD"/>
    <x v="2"/>
    <x v="3"/>
    <n v="7"/>
    <n v="1"/>
    <n v="0"/>
    <s v="Repeat"/>
    <x v="2"/>
    <n v="44"/>
    <n v="0"/>
  </r>
  <r>
    <n v="4684"/>
    <x v="152"/>
    <n v="1133"/>
    <x v="1"/>
    <x v="2"/>
    <x v="3"/>
    <n v="5"/>
    <n v="0"/>
    <s v="Card"/>
    <x v="2"/>
    <x v="3"/>
    <n v="10"/>
    <n v="1"/>
    <n v="1"/>
    <s v="New"/>
    <x v="2"/>
    <n v="42"/>
    <n v="0"/>
  </r>
  <r>
    <n v="4685"/>
    <x v="131"/>
    <n v="1759"/>
    <x v="1"/>
    <x v="2"/>
    <x v="3"/>
    <n v="4"/>
    <n v="0"/>
    <s v="COD"/>
    <x v="1"/>
    <x v="1"/>
    <n v="5"/>
    <n v="0"/>
    <n v="0"/>
    <s v="New"/>
    <x v="4"/>
    <n v="47"/>
    <n v="0"/>
  </r>
  <r>
    <n v="4686"/>
    <x v="9"/>
    <n v="1031"/>
    <x v="4"/>
    <x v="0"/>
    <x v="1"/>
    <n v="1"/>
    <n v="0"/>
    <s v="Wallet"/>
    <x v="2"/>
    <x v="2"/>
    <n v="2"/>
    <n v="1"/>
    <n v="1"/>
    <s v="Repeat"/>
    <x v="5"/>
    <n v="30"/>
    <n v="0"/>
  </r>
  <r>
    <n v="4687"/>
    <x v="126"/>
    <n v="1712"/>
    <x v="2"/>
    <x v="4"/>
    <x v="1"/>
    <n v="3"/>
    <n v="0"/>
    <s v="Card"/>
    <x v="2"/>
    <x v="3"/>
    <n v="6"/>
    <n v="0"/>
    <n v="1"/>
    <s v="New"/>
    <x v="4"/>
    <n v="46"/>
    <n v="0"/>
  </r>
  <r>
    <n v="4688"/>
    <x v="98"/>
    <n v="1230"/>
    <x v="0"/>
    <x v="4"/>
    <x v="2"/>
    <n v="3"/>
    <n v="1560"/>
    <s v="Wallet"/>
    <x v="0"/>
    <x v="1"/>
    <n v="2"/>
    <n v="0"/>
    <n v="1"/>
    <s v="New"/>
    <x v="3"/>
    <n v="51"/>
    <n v="1"/>
  </r>
  <r>
    <n v="4689"/>
    <x v="24"/>
    <n v="1734"/>
    <x v="4"/>
    <x v="3"/>
    <x v="0"/>
    <n v="1"/>
    <n v="0"/>
    <s v="UPI"/>
    <x v="1"/>
    <x v="2"/>
    <n v="6"/>
    <n v="0"/>
    <n v="0"/>
    <s v="Repeat"/>
    <x v="5"/>
    <n v="30"/>
    <n v="0"/>
  </r>
  <r>
    <n v="4690"/>
    <x v="80"/>
    <n v="1236"/>
    <x v="0"/>
    <x v="1"/>
    <x v="1"/>
    <n v="5"/>
    <n v="0"/>
    <s v="COD"/>
    <x v="1"/>
    <x v="1"/>
    <n v="7"/>
    <n v="1"/>
    <n v="1"/>
    <s v="Repeat"/>
    <x v="6"/>
    <n v="2"/>
    <n v="0"/>
  </r>
  <r>
    <n v="4691"/>
    <x v="140"/>
    <n v="1640"/>
    <x v="1"/>
    <x v="1"/>
    <x v="3"/>
    <n v="4"/>
    <n v="17732"/>
    <s v="Wallet"/>
    <x v="0"/>
    <x v="1"/>
    <n v="2"/>
    <n v="1"/>
    <n v="0"/>
    <s v="Repeat"/>
    <x v="4"/>
    <n v="48"/>
    <n v="1"/>
  </r>
  <r>
    <n v="4692"/>
    <x v="113"/>
    <n v="1766"/>
    <x v="1"/>
    <x v="2"/>
    <x v="0"/>
    <n v="5"/>
    <n v="0"/>
    <s v="Card"/>
    <x v="2"/>
    <x v="0"/>
    <n v="2"/>
    <n v="1"/>
    <n v="0"/>
    <s v="New"/>
    <x v="0"/>
    <n v="33"/>
    <n v="0"/>
  </r>
  <r>
    <n v="4693"/>
    <x v="20"/>
    <n v="1196"/>
    <x v="2"/>
    <x v="3"/>
    <x v="1"/>
    <n v="2"/>
    <n v="0"/>
    <s v="Card"/>
    <x v="2"/>
    <x v="0"/>
    <n v="3"/>
    <n v="0"/>
    <n v="0"/>
    <s v="New"/>
    <x v="0"/>
    <n v="32"/>
    <n v="0"/>
  </r>
  <r>
    <n v="4694"/>
    <x v="85"/>
    <n v="1446"/>
    <x v="3"/>
    <x v="0"/>
    <x v="2"/>
    <n v="5"/>
    <n v="0"/>
    <s v="Card"/>
    <x v="1"/>
    <x v="2"/>
    <n v="4"/>
    <n v="1"/>
    <n v="0"/>
    <s v="New"/>
    <x v="3"/>
    <n v="50"/>
    <n v="0"/>
  </r>
  <r>
    <n v="4695"/>
    <x v="103"/>
    <n v="1227"/>
    <x v="4"/>
    <x v="0"/>
    <x v="0"/>
    <n v="4"/>
    <n v="0"/>
    <s v="Wallet"/>
    <x v="1"/>
    <x v="2"/>
    <n v="10"/>
    <n v="0"/>
    <n v="1"/>
    <s v="New"/>
    <x v="1"/>
    <n v="38"/>
    <n v="0"/>
  </r>
  <r>
    <n v="4696"/>
    <x v="91"/>
    <n v="1579"/>
    <x v="1"/>
    <x v="3"/>
    <x v="3"/>
    <n v="5"/>
    <n v="0"/>
    <s v="UPI"/>
    <x v="2"/>
    <x v="0"/>
    <n v="7"/>
    <n v="1"/>
    <n v="1"/>
    <s v="New"/>
    <x v="3"/>
    <n v="52"/>
    <n v="0"/>
  </r>
  <r>
    <n v="4697"/>
    <x v="131"/>
    <n v="1154"/>
    <x v="2"/>
    <x v="4"/>
    <x v="2"/>
    <n v="3"/>
    <n v="960"/>
    <s v="Wallet"/>
    <x v="0"/>
    <x v="2"/>
    <n v="9"/>
    <n v="0"/>
    <n v="0"/>
    <s v="Repeat"/>
    <x v="4"/>
    <n v="47"/>
    <n v="1"/>
  </r>
  <r>
    <n v="4698"/>
    <x v="177"/>
    <n v="1026"/>
    <x v="4"/>
    <x v="4"/>
    <x v="2"/>
    <n v="3"/>
    <n v="0"/>
    <s v="Wallet"/>
    <x v="2"/>
    <x v="1"/>
    <n v="4"/>
    <n v="1"/>
    <n v="0"/>
    <s v="Repeat"/>
    <x v="4"/>
    <n v="45"/>
    <n v="0"/>
  </r>
  <r>
    <n v="4699"/>
    <x v="25"/>
    <n v="1588"/>
    <x v="1"/>
    <x v="0"/>
    <x v="3"/>
    <n v="3"/>
    <n v="0"/>
    <s v="Wallet"/>
    <x v="2"/>
    <x v="2"/>
    <n v="7"/>
    <n v="1"/>
    <n v="1"/>
    <s v="New"/>
    <x v="4"/>
    <n v="49"/>
    <n v="0"/>
  </r>
  <r>
    <n v="4700"/>
    <x v="86"/>
    <n v="1925"/>
    <x v="3"/>
    <x v="2"/>
    <x v="1"/>
    <n v="5"/>
    <n v="0"/>
    <s v="COD"/>
    <x v="1"/>
    <x v="0"/>
    <n v="10"/>
    <n v="1"/>
    <n v="0"/>
    <s v="Repeat"/>
    <x v="6"/>
    <n v="1"/>
    <n v="0"/>
  </r>
  <r>
    <n v="4701"/>
    <x v="42"/>
    <n v="1047"/>
    <x v="3"/>
    <x v="3"/>
    <x v="0"/>
    <n v="4"/>
    <n v="0"/>
    <s v="COD"/>
    <x v="2"/>
    <x v="2"/>
    <n v="10"/>
    <n v="1"/>
    <n v="1"/>
    <s v="Repeat"/>
    <x v="2"/>
    <n v="44"/>
    <n v="0"/>
  </r>
  <r>
    <n v="4702"/>
    <x v="114"/>
    <n v="1957"/>
    <x v="3"/>
    <x v="2"/>
    <x v="0"/>
    <n v="2"/>
    <n v="1230"/>
    <s v="Card"/>
    <x v="0"/>
    <x v="0"/>
    <n v="4"/>
    <n v="0"/>
    <n v="1"/>
    <s v="Repeat"/>
    <x v="3"/>
    <n v="50"/>
    <n v="1"/>
  </r>
  <r>
    <n v="4703"/>
    <x v="126"/>
    <n v="1873"/>
    <x v="4"/>
    <x v="2"/>
    <x v="2"/>
    <n v="2"/>
    <n v="0"/>
    <s v="UPI"/>
    <x v="2"/>
    <x v="3"/>
    <n v="9"/>
    <n v="0"/>
    <n v="0"/>
    <s v="Repeat"/>
    <x v="4"/>
    <n v="46"/>
    <n v="0"/>
  </r>
  <r>
    <n v="4704"/>
    <x v="68"/>
    <n v="1056"/>
    <x v="4"/>
    <x v="1"/>
    <x v="1"/>
    <n v="4"/>
    <n v="0"/>
    <s v="Card"/>
    <x v="2"/>
    <x v="2"/>
    <n v="4"/>
    <n v="1"/>
    <n v="0"/>
    <s v="Repeat"/>
    <x v="0"/>
    <n v="32"/>
    <n v="0"/>
  </r>
  <r>
    <n v="4705"/>
    <x v="64"/>
    <n v="1074"/>
    <x v="2"/>
    <x v="4"/>
    <x v="3"/>
    <n v="5"/>
    <n v="0"/>
    <s v="Card"/>
    <x v="1"/>
    <x v="0"/>
    <n v="4"/>
    <n v="0"/>
    <n v="0"/>
    <s v="Repeat"/>
    <x v="2"/>
    <n v="43"/>
    <n v="0"/>
  </r>
  <r>
    <n v="4706"/>
    <x v="27"/>
    <n v="1160"/>
    <x v="4"/>
    <x v="0"/>
    <x v="3"/>
    <n v="2"/>
    <n v="0"/>
    <s v="UPI"/>
    <x v="2"/>
    <x v="1"/>
    <n v="2"/>
    <n v="0"/>
    <n v="0"/>
    <s v="New"/>
    <x v="1"/>
    <n v="37"/>
    <n v="0"/>
  </r>
  <r>
    <n v="4707"/>
    <x v="156"/>
    <n v="1818"/>
    <x v="4"/>
    <x v="0"/>
    <x v="2"/>
    <n v="1"/>
    <n v="973"/>
    <s v="COD"/>
    <x v="0"/>
    <x v="0"/>
    <n v="7"/>
    <n v="1"/>
    <n v="1"/>
    <s v="New"/>
    <x v="6"/>
    <n v="2"/>
    <n v="1"/>
  </r>
  <r>
    <n v="4708"/>
    <x v="135"/>
    <n v="1530"/>
    <x v="4"/>
    <x v="0"/>
    <x v="2"/>
    <n v="3"/>
    <n v="6756"/>
    <s v="Card"/>
    <x v="0"/>
    <x v="2"/>
    <n v="5"/>
    <n v="0"/>
    <n v="1"/>
    <s v="Repeat"/>
    <x v="2"/>
    <n v="43"/>
    <n v="1"/>
  </r>
  <r>
    <n v="4709"/>
    <x v="82"/>
    <n v="1809"/>
    <x v="3"/>
    <x v="1"/>
    <x v="3"/>
    <n v="3"/>
    <n v="0"/>
    <s v="COD"/>
    <x v="1"/>
    <x v="0"/>
    <n v="3"/>
    <n v="0"/>
    <n v="0"/>
    <s v="Repeat"/>
    <x v="0"/>
    <n v="33"/>
    <n v="0"/>
  </r>
  <r>
    <n v="4710"/>
    <x v="37"/>
    <n v="1460"/>
    <x v="0"/>
    <x v="3"/>
    <x v="3"/>
    <n v="4"/>
    <n v="0"/>
    <s v="COD"/>
    <x v="2"/>
    <x v="3"/>
    <n v="1"/>
    <n v="1"/>
    <n v="0"/>
    <s v="New"/>
    <x v="4"/>
    <n v="46"/>
    <n v="0"/>
  </r>
  <r>
    <n v="4711"/>
    <x v="87"/>
    <n v="1423"/>
    <x v="0"/>
    <x v="1"/>
    <x v="2"/>
    <n v="3"/>
    <n v="0"/>
    <s v="UPI"/>
    <x v="2"/>
    <x v="0"/>
    <n v="9"/>
    <n v="1"/>
    <n v="0"/>
    <s v="Repeat"/>
    <x v="2"/>
    <n v="42"/>
    <n v="0"/>
  </r>
  <r>
    <n v="4712"/>
    <x v="56"/>
    <n v="1641"/>
    <x v="2"/>
    <x v="1"/>
    <x v="3"/>
    <n v="3"/>
    <n v="0"/>
    <s v="COD"/>
    <x v="1"/>
    <x v="3"/>
    <n v="1"/>
    <n v="0"/>
    <n v="0"/>
    <s v="Repeat"/>
    <x v="6"/>
    <n v="2"/>
    <n v="0"/>
  </r>
  <r>
    <n v="4713"/>
    <x v="158"/>
    <n v="1655"/>
    <x v="3"/>
    <x v="4"/>
    <x v="0"/>
    <n v="2"/>
    <n v="0"/>
    <s v="Card"/>
    <x v="2"/>
    <x v="2"/>
    <n v="6"/>
    <n v="0"/>
    <n v="0"/>
    <s v="Repeat"/>
    <x v="1"/>
    <n v="38"/>
    <n v="0"/>
  </r>
  <r>
    <n v="4714"/>
    <x v="130"/>
    <n v="1797"/>
    <x v="3"/>
    <x v="3"/>
    <x v="0"/>
    <n v="5"/>
    <n v="17685"/>
    <s v="Card"/>
    <x v="0"/>
    <x v="0"/>
    <n v="10"/>
    <n v="1"/>
    <n v="1"/>
    <s v="New"/>
    <x v="3"/>
    <n v="51"/>
    <n v="1"/>
  </r>
  <r>
    <n v="4715"/>
    <x v="37"/>
    <n v="1255"/>
    <x v="4"/>
    <x v="0"/>
    <x v="0"/>
    <n v="1"/>
    <n v="0"/>
    <s v="UPI"/>
    <x v="1"/>
    <x v="0"/>
    <n v="5"/>
    <n v="1"/>
    <n v="0"/>
    <s v="Repeat"/>
    <x v="4"/>
    <n v="46"/>
    <n v="0"/>
  </r>
  <r>
    <n v="4716"/>
    <x v="169"/>
    <n v="1072"/>
    <x v="2"/>
    <x v="1"/>
    <x v="1"/>
    <n v="5"/>
    <n v="0"/>
    <s v="Wallet"/>
    <x v="1"/>
    <x v="2"/>
    <n v="8"/>
    <n v="1"/>
    <n v="0"/>
    <s v="New"/>
    <x v="2"/>
    <n v="43"/>
    <n v="0"/>
  </r>
  <r>
    <n v="4717"/>
    <x v="57"/>
    <n v="1522"/>
    <x v="4"/>
    <x v="1"/>
    <x v="2"/>
    <n v="5"/>
    <n v="17085"/>
    <s v="UPI"/>
    <x v="0"/>
    <x v="0"/>
    <n v="8"/>
    <n v="1"/>
    <n v="1"/>
    <s v="New"/>
    <x v="4"/>
    <n v="48"/>
    <n v="1"/>
  </r>
  <r>
    <n v="4718"/>
    <x v="173"/>
    <n v="1479"/>
    <x v="0"/>
    <x v="3"/>
    <x v="1"/>
    <n v="2"/>
    <n v="2508"/>
    <s v="COD"/>
    <x v="0"/>
    <x v="1"/>
    <n v="2"/>
    <n v="1"/>
    <n v="0"/>
    <s v="New"/>
    <x v="5"/>
    <n v="30"/>
    <n v="1"/>
  </r>
  <r>
    <n v="4719"/>
    <x v="164"/>
    <n v="1551"/>
    <x v="4"/>
    <x v="3"/>
    <x v="0"/>
    <n v="1"/>
    <n v="0"/>
    <s v="COD"/>
    <x v="1"/>
    <x v="1"/>
    <n v="6"/>
    <n v="1"/>
    <n v="1"/>
    <s v="Repeat"/>
    <x v="0"/>
    <n v="34"/>
    <n v="0"/>
  </r>
  <r>
    <n v="4720"/>
    <x v="162"/>
    <n v="1691"/>
    <x v="4"/>
    <x v="3"/>
    <x v="3"/>
    <n v="2"/>
    <n v="9660"/>
    <s v="COD"/>
    <x v="0"/>
    <x v="3"/>
    <n v="4"/>
    <n v="1"/>
    <n v="0"/>
    <s v="New"/>
    <x v="2"/>
    <n v="43"/>
    <n v="1"/>
  </r>
  <r>
    <n v="4721"/>
    <x v="179"/>
    <n v="1845"/>
    <x v="4"/>
    <x v="1"/>
    <x v="0"/>
    <n v="2"/>
    <n v="0"/>
    <s v="Wallet"/>
    <x v="1"/>
    <x v="1"/>
    <n v="8"/>
    <n v="0"/>
    <n v="0"/>
    <s v="Repeat"/>
    <x v="5"/>
    <n v="29"/>
    <n v="0"/>
  </r>
  <r>
    <n v="4722"/>
    <x v="54"/>
    <n v="1016"/>
    <x v="2"/>
    <x v="2"/>
    <x v="1"/>
    <n v="5"/>
    <n v="0"/>
    <s v="Card"/>
    <x v="2"/>
    <x v="2"/>
    <n v="4"/>
    <n v="1"/>
    <n v="0"/>
    <s v="Repeat"/>
    <x v="0"/>
    <n v="34"/>
    <n v="0"/>
  </r>
  <r>
    <n v="4723"/>
    <x v="20"/>
    <n v="1130"/>
    <x v="4"/>
    <x v="0"/>
    <x v="3"/>
    <n v="4"/>
    <n v="0"/>
    <s v="Card"/>
    <x v="1"/>
    <x v="2"/>
    <n v="8"/>
    <n v="0"/>
    <n v="0"/>
    <s v="Repeat"/>
    <x v="0"/>
    <n v="32"/>
    <n v="0"/>
  </r>
  <r>
    <n v="4724"/>
    <x v="121"/>
    <n v="1546"/>
    <x v="1"/>
    <x v="2"/>
    <x v="2"/>
    <n v="3"/>
    <n v="0"/>
    <s v="UPI"/>
    <x v="1"/>
    <x v="2"/>
    <n v="5"/>
    <n v="0"/>
    <n v="1"/>
    <s v="New"/>
    <x v="1"/>
    <n v="37"/>
    <n v="0"/>
  </r>
  <r>
    <n v="4725"/>
    <x v="44"/>
    <n v="1777"/>
    <x v="4"/>
    <x v="3"/>
    <x v="2"/>
    <n v="3"/>
    <n v="0"/>
    <s v="COD"/>
    <x v="2"/>
    <x v="2"/>
    <n v="8"/>
    <n v="1"/>
    <n v="1"/>
    <s v="New"/>
    <x v="4"/>
    <n v="47"/>
    <n v="0"/>
  </r>
  <r>
    <n v="4726"/>
    <x v="109"/>
    <n v="1869"/>
    <x v="4"/>
    <x v="0"/>
    <x v="3"/>
    <n v="1"/>
    <n v="0"/>
    <s v="Wallet"/>
    <x v="1"/>
    <x v="2"/>
    <n v="8"/>
    <n v="0"/>
    <n v="0"/>
    <s v="New"/>
    <x v="4"/>
    <n v="46"/>
    <n v="0"/>
  </r>
  <r>
    <n v="4727"/>
    <x v="31"/>
    <n v="1619"/>
    <x v="1"/>
    <x v="1"/>
    <x v="2"/>
    <n v="4"/>
    <n v="4520"/>
    <s v="COD"/>
    <x v="0"/>
    <x v="0"/>
    <n v="7"/>
    <n v="0"/>
    <n v="1"/>
    <s v="Repeat"/>
    <x v="2"/>
    <n v="44"/>
    <n v="1"/>
  </r>
  <r>
    <n v="4728"/>
    <x v="176"/>
    <n v="1986"/>
    <x v="2"/>
    <x v="4"/>
    <x v="0"/>
    <n v="1"/>
    <n v="0"/>
    <s v="UPI"/>
    <x v="2"/>
    <x v="2"/>
    <n v="5"/>
    <n v="1"/>
    <n v="0"/>
    <s v="New"/>
    <x v="3"/>
    <n v="51"/>
    <n v="0"/>
  </r>
  <r>
    <n v="4729"/>
    <x v="169"/>
    <n v="1215"/>
    <x v="1"/>
    <x v="1"/>
    <x v="0"/>
    <n v="5"/>
    <n v="3065"/>
    <s v="COD"/>
    <x v="0"/>
    <x v="0"/>
    <n v="2"/>
    <n v="0"/>
    <n v="0"/>
    <s v="Repeat"/>
    <x v="2"/>
    <n v="43"/>
    <n v="1"/>
  </r>
  <r>
    <n v="4730"/>
    <x v="25"/>
    <n v="1569"/>
    <x v="4"/>
    <x v="2"/>
    <x v="2"/>
    <n v="1"/>
    <n v="0"/>
    <s v="COD"/>
    <x v="1"/>
    <x v="2"/>
    <n v="10"/>
    <n v="0"/>
    <n v="0"/>
    <s v="Repeat"/>
    <x v="4"/>
    <n v="49"/>
    <n v="0"/>
  </r>
  <r>
    <n v="4731"/>
    <x v="154"/>
    <n v="1201"/>
    <x v="3"/>
    <x v="2"/>
    <x v="1"/>
    <n v="2"/>
    <n v="5620"/>
    <s v="Wallet"/>
    <x v="0"/>
    <x v="3"/>
    <n v="10"/>
    <n v="1"/>
    <n v="0"/>
    <s v="New"/>
    <x v="2"/>
    <n v="42"/>
    <n v="1"/>
  </r>
  <r>
    <n v="4732"/>
    <x v="171"/>
    <n v="1073"/>
    <x v="1"/>
    <x v="3"/>
    <x v="2"/>
    <n v="4"/>
    <n v="900"/>
    <s v="COD"/>
    <x v="0"/>
    <x v="2"/>
    <n v="1"/>
    <n v="1"/>
    <n v="1"/>
    <s v="New"/>
    <x v="1"/>
    <n v="36"/>
    <n v="1"/>
  </r>
  <r>
    <n v="4733"/>
    <x v="160"/>
    <n v="1837"/>
    <x v="3"/>
    <x v="2"/>
    <x v="0"/>
    <n v="4"/>
    <n v="0"/>
    <s v="Card"/>
    <x v="2"/>
    <x v="0"/>
    <n v="8"/>
    <n v="0"/>
    <n v="0"/>
    <s v="New"/>
    <x v="4"/>
    <n v="47"/>
    <n v="0"/>
  </r>
  <r>
    <n v="4734"/>
    <x v="159"/>
    <n v="1298"/>
    <x v="0"/>
    <x v="2"/>
    <x v="1"/>
    <n v="4"/>
    <n v="0"/>
    <s v="UPI"/>
    <x v="2"/>
    <x v="1"/>
    <n v="5"/>
    <n v="1"/>
    <n v="0"/>
    <s v="New"/>
    <x v="3"/>
    <n v="49"/>
    <n v="0"/>
  </r>
  <r>
    <n v="4735"/>
    <x v="171"/>
    <n v="1334"/>
    <x v="0"/>
    <x v="2"/>
    <x v="0"/>
    <n v="4"/>
    <n v="0"/>
    <s v="UPI"/>
    <x v="1"/>
    <x v="2"/>
    <n v="2"/>
    <n v="1"/>
    <n v="0"/>
    <s v="Repeat"/>
    <x v="1"/>
    <n v="36"/>
    <n v="0"/>
  </r>
  <r>
    <n v="4736"/>
    <x v="25"/>
    <n v="1811"/>
    <x v="3"/>
    <x v="2"/>
    <x v="1"/>
    <n v="4"/>
    <n v="11984"/>
    <s v="Card"/>
    <x v="0"/>
    <x v="0"/>
    <n v="9"/>
    <n v="0"/>
    <n v="1"/>
    <s v="New"/>
    <x v="4"/>
    <n v="49"/>
    <n v="1"/>
  </r>
  <r>
    <n v="4737"/>
    <x v="40"/>
    <n v="1369"/>
    <x v="0"/>
    <x v="2"/>
    <x v="2"/>
    <n v="4"/>
    <n v="0"/>
    <s v="COD"/>
    <x v="1"/>
    <x v="2"/>
    <n v="8"/>
    <n v="0"/>
    <n v="1"/>
    <s v="Repeat"/>
    <x v="0"/>
    <n v="32"/>
    <n v="0"/>
  </r>
  <r>
    <n v="4738"/>
    <x v="177"/>
    <n v="1545"/>
    <x v="0"/>
    <x v="0"/>
    <x v="0"/>
    <n v="2"/>
    <n v="0"/>
    <s v="Card"/>
    <x v="2"/>
    <x v="2"/>
    <n v="1"/>
    <n v="0"/>
    <n v="1"/>
    <s v="Repeat"/>
    <x v="4"/>
    <n v="45"/>
    <n v="0"/>
  </r>
  <r>
    <n v="4739"/>
    <x v="16"/>
    <n v="1561"/>
    <x v="4"/>
    <x v="3"/>
    <x v="2"/>
    <n v="3"/>
    <n v="9261"/>
    <s v="Wallet"/>
    <x v="0"/>
    <x v="1"/>
    <n v="8"/>
    <n v="1"/>
    <n v="1"/>
    <s v="Repeat"/>
    <x v="0"/>
    <n v="32"/>
    <n v="1"/>
  </r>
  <r>
    <n v="4740"/>
    <x v="51"/>
    <n v="1998"/>
    <x v="2"/>
    <x v="1"/>
    <x v="2"/>
    <n v="3"/>
    <n v="0"/>
    <s v="Card"/>
    <x v="2"/>
    <x v="1"/>
    <n v="3"/>
    <n v="0"/>
    <n v="0"/>
    <s v="Repeat"/>
    <x v="5"/>
    <n v="29"/>
    <n v="0"/>
  </r>
  <r>
    <n v="4741"/>
    <x v="70"/>
    <n v="1801"/>
    <x v="3"/>
    <x v="3"/>
    <x v="1"/>
    <n v="2"/>
    <n v="0"/>
    <s v="Card"/>
    <x v="2"/>
    <x v="2"/>
    <n v="4"/>
    <n v="1"/>
    <n v="0"/>
    <s v="Repeat"/>
    <x v="2"/>
    <n v="40"/>
    <n v="0"/>
  </r>
  <r>
    <n v="4742"/>
    <x v="99"/>
    <n v="1279"/>
    <x v="4"/>
    <x v="0"/>
    <x v="0"/>
    <n v="2"/>
    <n v="0"/>
    <s v="Card"/>
    <x v="1"/>
    <x v="3"/>
    <n v="1"/>
    <n v="0"/>
    <n v="0"/>
    <s v="Repeat"/>
    <x v="4"/>
    <n v="48"/>
    <n v="0"/>
  </r>
  <r>
    <n v="4743"/>
    <x v="47"/>
    <n v="1451"/>
    <x v="2"/>
    <x v="0"/>
    <x v="1"/>
    <n v="1"/>
    <n v="3922"/>
    <s v="UPI"/>
    <x v="0"/>
    <x v="1"/>
    <n v="6"/>
    <n v="1"/>
    <n v="0"/>
    <s v="New"/>
    <x v="6"/>
    <n v="2"/>
    <n v="1"/>
  </r>
  <r>
    <n v="4744"/>
    <x v="123"/>
    <n v="1334"/>
    <x v="3"/>
    <x v="4"/>
    <x v="1"/>
    <n v="4"/>
    <n v="0"/>
    <s v="Wallet"/>
    <x v="1"/>
    <x v="2"/>
    <n v="5"/>
    <n v="1"/>
    <n v="0"/>
    <s v="Repeat"/>
    <x v="0"/>
    <n v="34"/>
    <n v="0"/>
  </r>
  <r>
    <n v="4745"/>
    <x v="132"/>
    <n v="1865"/>
    <x v="1"/>
    <x v="0"/>
    <x v="1"/>
    <n v="2"/>
    <n v="4304"/>
    <s v="UPI"/>
    <x v="0"/>
    <x v="2"/>
    <n v="6"/>
    <n v="0"/>
    <n v="1"/>
    <s v="New"/>
    <x v="2"/>
    <n v="42"/>
    <n v="1"/>
  </r>
  <r>
    <n v="4746"/>
    <x v="95"/>
    <n v="1842"/>
    <x v="4"/>
    <x v="2"/>
    <x v="2"/>
    <n v="3"/>
    <n v="0"/>
    <s v="Card"/>
    <x v="2"/>
    <x v="0"/>
    <n v="8"/>
    <n v="1"/>
    <n v="0"/>
    <s v="Repeat"/>
    <x v="4"/>
    <n v="47"/>
    <n v="0"/>
  </r>
  <r>
    <n v="4747"/>
    <x v="76"/>
    <n v="1027"/>
    <x v="1"/>
    <x v="1"/>
    <x v="3"/>
    <n v="4"/>
    <n v="0"/>
    <s v="UPI"/>
    <x v="2"/>
    <x v="3"/>
    <n v="4"/>
    <n v="0"/>
    <n v="1"/>
    <s v="Repeat"/>
    <x v="3"/>
    <n v="50"/>
    <n v="0"/>
  </r>
  <r>
    <n v="4748"/>
    <x v="131"/>
    <n v="1003"/>
    <x v="1"/>
    <x v="1"/>
    <x v="1"/>
    <n v="4"/>
    <n v="0"/>
    <s v="Card"/>
    <x v="1"/>
    <x v="1"/>
    <n v="5"/>
    <n v="0"/>
    <n v="0"/>
    <s v="New"/>
    <x v="4"/>
    <n v="47"/>
    <n v="0"/>
  </r>
  <r>
    <n v="4749"/>
    <x v="36"/>
    <n v="1428"/>
    <x v="2"/>
    <x v="3"/>
    <x v="2"/>
    <n v="2"/>
    <n v="0"/>
    <s v="Card"/>
    <x v="2"/>
    <x v="2"/>
    <n v="3"/>
    <n v="0"/>
    <n v="0"/>
    <s v="Repeat"/>
    <x v="2"/>
    <n v="44"/>
    <n v="0"/>
  </r>
  <r>
    <n v="4750"/>
    <x v="90"/>
    <n v="1660"/>
    <x v="0"/>
    <x v="4"/>
    <x v="1"/>
    <n v="2"/>
    <n v="0"/>
    <s v="COD"/>
    <x v="1"/>
    <x v="3"/>
    <n v="3"/>
    <n v="1"/>
    <n v="1"/>
    <s v="Repeat"/>
    <x v="0"/>
    <n v="31"/>
    <n v="0"/>
  </r>
  <r>
    <n v="4751"/>
    <x v="63"/>
    <n v="1539"/>
    <x v="0"/>
    <x v="2"/>
    <x v="0"/>
    <n v="1"/>
    <n v="1872"/>
    <s v="Card"/>
    <x v="0"/>
    <x v="2"/>
    <n v="2"/>
    <n v="0"/>
    <n v="0"/>
    <s v="New"/>
    <x v="5"/>
    <n v="29"/>
    <n v="1"/>
  </r>
  <r>
    <n v="4752"/>
    <x v="50"/>
    <n v="1847"/>
    <x v="4"/>
    <x v="4"/>
    <x v="2"/>
    <n v="5"/>
    <n v="11470"/>
    <s v="COD"/>
    <x v="0"/>
    <x v="0"/>
    <n v="6"/>
    <n v="0"/>
    <n v="1"/>
    <s v="Repeat"/>
    <x v="3"/>
    <n v="53"/>
    <n v="1"/>
  </r>
  <r>
    <n v="4753"/>
    <x v="35"/>
    <n v="1547"/>
    <x v="1"/>
    <x v="4"/>
    <x v="3"/>
    <n v="1"/>
    <n v="0"/>
    <s v="Card"/>
    <x v="2"/>
    <x v="2"/>
    <n v="8"/>
    <n v="0"/>
    <n v="1"/>
    <s v="Repeat"/>
    <x v="0"/>
    <n v="35"/>
    <n v="0"/>
  </r>
  <r>
    <n v="4754"/>
    <x v="92"/>
    <n v="1380"/>
    <x v="4"/>
    <x v="1"/>
    <x v="1"/>
    <n v="1"/>
    <n v="3014"/>
    <s v="COD"/>
    <x v="0"/>
    <x v="2"/>
    <n v="4"/>
    <n v="0"/>
    <n v="0"/>
    <s v="New"/>
    <x v="3"/>
    <n v="53"/>
    <n v="1"/>
  </r>
  <r>
    <n v="4755"/>
    <x v="117"/>
    <n v="1496"/>
    <x v="0"/>
    <x v="4"/>
    <x v="1"/>
    <n v="3"/>
    <n v="0"/>
    <s v="COD"/>
    <x v="1"/>
    <x v="1"/>
    <n v="8"/>
    <n v="1"/>
    <n v="1"/>
    <s v="Repeat"/>
    <x v="5"/>
    <n v="31"/>
    <n v="0"/>
  </r>
  <r>
    <n v="4756"/>
    <x v="103"/>
    <n v="1802"/>
    <x v="2"/>
    <x v="4"/>
    <x v="2"/>
    <n v="3"/>
    <n v="0"/>
    <s v="Card"/>
    <x v="2"/>
    <x v="1"/>
    <n v="2"/>
    <n v="1"/>
    <n v="0"/>
    <s v="New"/>
    <x v="1"/>
    <n v="38"/>
    <n v="0"/>
  </r>
  <r>
    <n v="4757"/>
    <x v="6"/>
    <n v="1768"/>
    <x v="2"/>
    <x v="4"/>
    <x v="2"/>
    <n v="1"/>
    <n v="1349"/>
    <s v="Wallet"/>
    <x v="0"/>
    <x v="3"/>
    <n v="10"/>
    <n v="0"/>
    <n v="0"/>
    <s v="New"/>
    <x v="4"/>
    <n v="47"/>
    <n v="1"/>
  </r>
  <r>
    <n v="4758"/>
    <x v="157"/>
    <n v="1563"/>
    <x v="2"/>
    <x v="3"/>
    <x v="2"/>
    <n v="1"/>
    <n v="0"/>
    <s v="COD"/>
    <x v="1"/>
    <x v="3"/>
    <n v="9"/>
    <n v="0"/>
    <n v="0"/>
    <s v="New"/>
    <x v="2"/>
    <n v="41"/>
    <n v="0"/>
  </r>
  <r>
    <n v="4759"/>
    <x v="109"/>
    <n v="1457"/>
    <x v="3"/>
    <x v="2"/>
    <x v="2"/>
    <n v="5"/>
    <n v="0"/>
    <s v="Wallet"/>
    <x v="2"/>
    <x v="2"/>
    <n v="5"/>
    <n v="0"/>
    <n v="1"/>
    <s v="Repeat"/>
    <x v="4"/>
    <n v="46"/>
    <n v="0"/>
  </r>
  <r>
    <n v="4760"/>
    <x v="45"/>
    <n v="1633"/>
    <x v="3"/>
    <x v="0"/>
    <x v="2"/>
    <n v="1"/>
    <n v="1888"/>
    <s v="Card"/>
    <x v="0"/>
    <x v="0"/>
    <n v="5"/>
    <n v="1"/>
    <n v="0"/>
    <s v="Repeat"/>
    <x v="6"/>
    <n v="2"/>
    <n v="1"/>
  </r>
  <r>
    <n v="4761"/>
    <x v="166"/>
    <n v="1753"/>
    <x v="0"/>
    <x v="4"/>
    <x v="0"/>
    <n v="1"/>
    <n v="0"/>
    <s v="Card"/>
    <x v="2"/>
    <x v="0"/>
    <n v="2"/>
    <n v="1"/>
    <n v="0"/>
    <s v="Repeat"/>
    <x v="1"/>
    <n v="39"/>
    <n v="0"/>
  </r>
  <r>
    <n v="4762"/>
    <x v="61"/>
    <n v="1186"/>
    <x v="1"/>
    <x v="0"/>
    <x v="1"/>
    <n v="1"/>
    <n v="0"/>
    <s v="COD"/>
    <x v="1"/>
    <x v="0"/>
    <n v="4"/>
    <n v="1"/>
    <n v="1"/>
    <s v="New"/>
    <x v="4"/>
    <n v="46"/>
    <n v="0"/>
  </r>
  <r>
    <n v="4763"/>
    <x v="129"/>
    <n v="1288"/>
    <x v="4"/>
    <x v="4"/>
    <x v="3"/>
    <n v="3"/>
    <n v="0"/>
    <s v="UPI"/>
    <x v="2"/>
    <x v="3"/>
    <n v="5"/>
    <n v="0"/>
    <n v="1"/>
    <s v="New"/>
    <x v="4"/>
    <n v="46"/>
    <n v="0"/>
  </r>
  <r>
    <n v="4764"/>
    <x v="109"/>
    <n v="1220"/>
    <x v="2"/>
    <x v="1"/>
    <x v="2"/>
    <n v="5"/>
    <n v="0"/>
    <s v="COD"/>
    <x v="1"/>
    <x v="0"/>
    <n v="4"/>
    <n v="1"/>
    <n v="1"/>
    <s v="New"/>
    <x v="4"/>
    <n v="46"/>
    <n v="0"/>
  </r>
  <r>
    <n v="4765"/>
    <x v="18"/>
    <n v="1892"/>
    <x v="2"/>
    <x v="3"/>
    <x v="1"/>
    <n v="4"/>
    <n v="0"/>
    <s v="UPI"/>
    <x v="1"/>
    <x v="2"/>
    <n v="7"/>
    <n v="1"/>
    <n v="0"/>
    <s v="New"/>
    <x v="1"/>
    <n v="36"/>
    <n v="0"/>
  </r>
  <r>
    <n v="4766"/>
    <x v="108"/>
    <n v="1354"/>
    <x v="0"/>
    <x v="0"/>
    <x v="0"/>
    <n v="3"/>
    <n v="0"/>
    <s v="Wallet"/>
    <x v="2"/>
    <x v="3"/>
    <n v="2"/>
    <n v="1"/>
    <n v="0"/>
    <s v="New"/>
    <x v="2"/>
    <n v="44"/>
    <n v="0"/>
  </r>
  <r>
    <n v="4767"/>
    <x v="73"/>
    <n v="1616"/>
    <x v="4"/>
    <x v="2"/>
    <x v="2"/>
    <n v="4"/>
    <n v="4864"/>
    <s v="Card"/>
    <x v="0"/>
    <x v="2"/>
    <n v="6"/>
    <n v="1"/>
    <n v="1"/>
    <s v="Repeat"/>
    <x v="4"/>
    <n v="45"/>
    <n v="1"/>
  </r>
  <r>
    <n v="4768"/>
    <x v="160"/>
    <n v="1999"/>
    <x v="1"/>
    <x v="4"/>
    <x v="3"/>
    <n v="5"/>
    <n v="0"/>
    <s v="Card"/>
    <x v="1"/>
    <x v="1"/>
    <n v="9"/>
    <n v="0"/>
    <n v="1"/>
    <s v="New"/>
    <x v="4"/>
    <n v="47"/>
    <n v="0"/>
  </r>
  <r>
    <n v="4769"/>
    <x v="7"/>
    <n v="1541"/>
    <x v="2"/>
    <x v="2"/>
    <x v="3"/>
    <n v="4"/>
    <n v="0"/>
    <s v="UPI"/>
    <x v="1"/>
    <x v="1"/>
    <n v="9"/>
    <n v="1"/>
    <n v="1"/>
    <s v="Repeat"/>
    <x v="3"/>
    <n v="49"/>
    <n v="0"/>
  </r>
  <r>
    <n v="4770"/>
    <x v="137"/>
    <n v="1163"/>
    <x v="3"/>
    <x v="4"/>
    <x v="3"/>
    <n v="1"/>
    <n v="0"/>
    <s v="COD"/>
    <x v="1"/>
    <x v="3"/>
    <n v="10"/>
    <n v="1"/>
    <n v="1"/>
    <s v="New"/>
    <x v="1"/>
    <n v="40"/>
    <n v="0"/>
  </r>
  <r>
    <n v="4771"/>
    <x v="170"/>
    <n v="1569"/>
    <x v="4"/>
    <x v="4"/>
    <x v="2"/>
    <n v="4"/>
    <n v="0"/>
    <s v="UPI"/>
    <x v="2"/>
    <x v="1"/>
    <n v="9"/>
    <n v="1"/>
    <n v="0"/>
    <s v="Repeat"/>
    <x v="4"/>
    <n v="48"/>
    <n v="0"/>
  </r>
  <r>
    <n v="4772"/>
    <x v="79"/>
    <n v="1382"/>
    <x v="4"/>
    <x v="4"/>
    <x v="2"/>
    <n v="4"/>
    <n v="0"/>
    <s v="COD"/>
    <x v="2"/>
    <x v="1"/>
    <n v="1"/>
    <n v="1"/>
    <n v="1"/>
    <s v="New"/>
    <x v="1"/>
    <n v="36"/>
    <n v="0"/>
  </r>
  <r>
    <n v="4773"/>
    <x v="66"/>
    <n v="1519"/>
    <x v="0"/>
    <x v="1"/>
    <x v="2"/>
    <n v="4"/>
    <n v="0"/>
    <s v="UPI"/>
    <x v="1"/>
    <x v="1"/>
    <n v="2"/>
    <n v="1"/>
    <n v="1"/>
    <s v="Repeat"/>
    <x v="1"/>
    <n v="39"/>
    <n v="0"/>
  </r>
  <r>
    <n v="4774"/>
    <x v="151"/>
    <n v="1287"/>
    <x v="4"/>
    <x v="0"/>
    <x v="3"/>
    <n v="2"/>
    <n v="0"/>
    <s v="UPI"/>
    <x v="2"/>
    <x v="3"/>
    <n v="1"/>
    <n v="1"/>
    <n v="1"/>
    <s v="New"/>
    <x v="3"/>
    <n v="52"/>
    <n v="0"/>
  </r>
  <r>
    <n v="4775"/>
    <x v="1"/>
    <n v="1387"/>
    <x v="4"/>
    <x v="3"/>
    <x v="0"/>
    <n v="1"/>
    <n v="0"/>
    <s v="Wallet"/>
    <x v="1"/>
    <x v="1"/>
    <n v="10"/>
    <n v="1"/>
    <n v="1"/>
    <s v="New"/>
    <x v="1"/>
    <n v="39"/>
    <n v="0"/>
  </r>
  <r>
    <n v="4776"/>
    <x v="140"/>
    <n v="1567"/>
    <x v="1"/>
    <x v="4"/>
    <x v="0"/>
    <n v="2"/>
    <n v="0"/>
    <s v="Card"/>
    <x v="1"/>
    <x v="1"/>
    <n v="9"/>
    <n v="1"/>
    <n v="0"/>
    <s v="New"/>
    <x v="4"/>
    <n v="48"/>
    <n v="0"/>
  </r>
  <r>
    <n v="4777"/>
    <x v="126"/>
    <n v="1522"/>
    <x v="1"/>
    <x v="3"/>
    <x v="3"/>
    <n v="3"/>
    <n v="0"/>
    <s v="COD"/>
    <x v="1"/>
    <x v="0"/>
    <n v="4"/>
    <n v="1"/>
    <n v="0"/>
    <s v="Repeat"/>
    <x v="4"/>
    <n v="46"/>
    <n v="0"/>
  </r>
  <r>
    <n v="4778"/>
    <x v="175"/>
    <n v="1976"/>
    <x v="3"/>
    <x v="3"/>
    <x v="0"/>
    <n v="5"/>
    <n v="0"/>
    <s v="UPI"/>
    <x v="2"/>
    <x v="3"/>
    <n v="6"/>
    <n v="1"/>
    <n v="1"/>
    <s v="Repeat"/>
    <x v="5"/>
    <n v="31"/>
    <n v="0"/>
  </r>
  <r>
    <n v="4779"/>
    <x v="111"/>
    <n v="1688"/>
    <x v="4"/>
    <x v="4"/>
    <x v="0"/>
    <n v="4"/>
    <n v="0"/>
    <s v="Card"/>
    <x v="2"/>
    <x v="2"/>
    <n v="4"/>
    <n v="0"/>
    <n v="0"/>
    <s v="New"/>
    <x v="4"/>
    <n v="48"/>
    <n v="0"/>
  </r>
  <r>
    <n v="4780"/>
    <x v="156"/>
    <n v="1710"/>
    <x v="0"/>
    <x v="3"/>
    <x v="3"/>
    <n v="3"/>
    <n v="0"/>
    <s v="COD"/>
    <x v="1"/>
    <x v="1"/>
    <n v="9"/>
    <n v="1"/>
    <n v="0"/>
    <s v="New"/>
    <x v="6"/>
    <n v="2"/>
    <n v="0"/>
  </r>
  <r>
    <n v="4781"/>
    <x v="67"/>
    <n v="1687"/>
    <x v="0"/>
    <x v="4"/>
    <x v="1"/>
    <n v="4"/>
    <n v="0"/>
    <s v="COD"/>
    <x v="2"/>
    <x v="3"/>
    <n v="1"/>
    <n v="1"/>
    <n v="1"/>
    <s v="Repeat"/>
    <x v="1"/>
    <n v="36"/>
    <n v="0"/>
  </r>
  <r>
    <n v="4782"/>
    <x v="158"/>
    <n v="1029"/>
    <x v="1"/>
    <x v="0"/>
    <x v="1"/>
    <n v="3"/>
    <n v="0"/>
    <s v="Wallet"/>
    <x v="1"/>
    <x v="3"/>
    <n v="10"/>
    <n v="1"/>
    <n v="1"/>
    <s v="Repeat"/>
    <x v="1"/>
    <n v="38"/>
    <n v="0"/>
  </r>
  <r>
    <n v="4783"/>
    <x v="0"/>
    <n v="1404"/>
    <x v="0"/>
    <x v="1"/>
    <x v="1"/>
    <n v="4"/>
    <n v="0"/>
    <s v="COD"/>
    <x v="2"/>
    <x v="1"/>
    <n v="3"/>
    <n v="0"/>
    <n v="0"/>
    <s v="Repeat"/>
    <x v="0"/>
    <n v="32"/>
    <n v="0"/>
  </r>
  <r>
    <n v="4784"/>
    <x v="34"/>
    <n v="1532"/>
    <x v="3"/>
    <x v="0"/>
    <x v="0"/>
    <n v="3"/>
    <n v="0"/>
    <s v="COD"/>
    <x v="1"/>
    <x v="0"/>
    <n v="1"/>
    <n v="0"/>
    <n v="1"/>
    <s v="Repeat"/>
    <x v="3"/>
    <n v="51"/>
    <n v="0"/>
  </r>
  <r>
    <n v="4785"/>
    <x v="23"/>
    <n v="1972"/>
    <x v="2"/>
    <x v="3"/>
    <x v="0"/>
    <n v="2"/>
    <n v="0"/>
    <s v="Card"/>
    <x v="2"/>
    <x v="2"/>
    <n v="3"/>
    <n v="0"/>
    <n v="0"/>
    <s v="New"/>
    <x v="3"/>
    <n v="51"/>
    <n v="0"/>
  </r>
  <r>
    <n v="4786"/>
    <x v="2"/>
    <n v="1069"/>
    <x v="2"/>
    <x v="0"/>
    <x v="1"/>
    <n v="4"/>
    <n v="0"/>
    <s v="Wallet"/>
    <x v="1"/>
    <x v="0"/>
    <n v="6"/>
    <n v="0"/>
    <n v="1"/>
    <s v="New"/>
    <x v="2"/>
    <n v="41"/>
    <n v="0"/>
  </r>
  <r>
    <n v="4787"/>
    <x v="167"/>
    <n v="1732"/>
    <x v="4"/>
    <x v="0"/>
    <x v="1"/>
    <n v="2"/>
    <n v="0"/>
    <s v="COD"/>
    <x v="2"/>
    <x v="1"/>
    <n v="1"/>
    <n v="0"/>
    <n v="1"/>
    <s v="New"/>
    <x v="0"/>
    <n v="35"/>
    <n v="0"/>
  </r>
  <r>
    <n v="4788"/>
    <x v="57"/>
    <n v="1118"/>
    <x v="1"/>
    <x v="0"/>
    <x v="0"/>
    <n v="2"/>
    <n v="5356"/>
    <s v="Wallet"/>
    <x v="0"/>
    <x v="2"/>
    <n v="4"/>
    <n v="0"/>
    <n v="0"/>
    <s v="Repeat"/>
    <x v="4"/>
    <n v="48"/>
    <n v="1"/>
  </r>
  <r>
    <n v="4789"/>
    <x v="98"/>
    <n v="1528"/>
    <x v="3"/>
    <x v="4"/>
    <x v="3"/>
    <n v="3"/>
    <n v="0"/>
    <s v="UPI"/>
    <x v="1"/>
    <x v="1"/>
    <n v="3"/>
    <n v="1"/>
    <n v="0"/>
    <s v="Repeat"/>
    <x v="3"/>
    <n v="51"/>
    <n v="0"/>
  </r>
  <r>
    <n v="4790"/>
    <x v="17"/>
    <n v="1200"/>
    <x v="1"/>
    <x v="3"/>
    <x v="1"/>
    <n v="5"/>
    <n v="0"/>
    <s v="COD"/>
    <x v="1"/>
    <x v="1"/>
    <n v="1"/>
    <n v="0"/>
    <n v="1"/>
    <s v="New"/>
    <x v="1"/>
    <n v="38"/>
    <n v="0"/>
  </r>
  <r>
    <n v="4791"/>
    <x v="120"/>
    <n v="1124"/>
    <x v="4"/>
    <x v="0"/>
    <x v="0"/>
    <n v="1"/>
    <n v="2660"/>
    <s v="COD"/>
    <x v="0"/>
    <x v="3"/>
    <n v="5"/>
    <n v="1"/>
    <n v="1"/>
    <s v="Repeat"/>
    <x v="6"/>
    <n v="1"/>
    <n v="1"/>
  </r>
  <r>
    <n v="4792"/>
    <x v="26"/>
    <n v="1273"/>
    <x v="0"/>
    <x v="2"/>
    <x v="1"/>
    <n v="3"/>
    <n v="0"/>
    <s v="Wallet"/>
    <x v="2"/>
    <x v="3"/>
    <n v="7"/>
    <n v="0"/>
    <n v="1"/>
    <s v="New"/>
    <x v="2"/>
    <n v="42"/>
    <n v="0"/>
  </r>
  <r>
    <n v="4793"/>
    <x v="42"/>
    <n v="1082"/>
    <x v="4"/>
    <x v="0"/>
    <x v="1"/>
    <n v="1"/>
    <n v="0"/>
    <s v="Wallet"/>
    <x v="1"/>
    <x v="0"/>
    <n v="2"/>
    <n v="1"/>
    <n v="0"/>
    <s v="Repeat"/>
    <x v="2"/>
    <n v="44"/>
    <n v="0"/>
  </r>
  <r>
    <n v="4794"/>
    <x v="15"/>
    <n v="1597"/>
    <x v="4"/>
    <x v="4"/>
    <x v="1"/>
    <n v="2"/>
    <n v="4550"/>
    <s v="Wallet"/>
    <x v="0"/>
    <x v="2"/>
    <n v="5"/>
    <n v="0"/>
    <n v="1"/>
    <s v="Repeat"/>
    <x v="4"/>
    <n v="47"/>
    <n v="1"/>
  </r>
  <r>
    <n v="4795"/>
    <x v="16"/>
    <n v="1796"/>
    <x v="3"/>
    <x v="1"/>
    <x v="2"/>
    <n v="5"/>
    <n v="0"/>
    <s v="Wallet"/>
    <x v="2"/>
    <x v="0"/>
    <n v="10"/>
    <n v="0"/>
    <n v="1"/>
    <s v="Repeat"/>
    <x v="0"/>
    <n v="32"/>
    <n v="0"/>
  </r>
  <r>
    <n v="4796"/>
    <x v="163"/>
    <n v="1301"/>
    <x v="4"/>
    <x v="3"/>
    <x v="0"/>
    <n v="1"/>
    <n v="0"/>
    <s v="Wallet"/>
    <x v="2"/>
    <x v="0"/>
    <n v="7"/>
    <n v="1"/>
    <n v="1"/>
    <s v="Repeat"/>
    <x v="4"/>
    <n v="45"/>
    <n v="0"/>
  </r>
  <r>
    <n v="4797"/>
    <x v="42"/>
    <n v="1690"/>
    <x v="1"/>
    <x v="1"/>
    <x v="0"/>
    <n v="4"/>
    <n v="0"/>
    <s v="UPI"/>
    <x v="1"/>
    <x v="3"/>
    <n v="5"/>
    <n v="1"/>
    <n v="0"/>
    <s v="New"/>
    <x v="2"/>
    <n v="44"/>
    <n v="0"/>
  </r>
  <r>
    <n v="4798"/>
    <x v="17"/>
    <n v="1540"/>
    <x v="4"/>
    <x v="2"/>
    <x v="0"/>
    <n v="3"/>
    <n v="0"/>
    <s v="COD"/>
    <x v="2"/>
    <x v="2"/>
    <n v="7"/>
    <n v="1"/>
    <n v="1"/>
    <s v="Repeat"/>
    <x v="1"/>
    <n v="38"/>
    <n v="0"/>
  </r>
  <r>
    <n v="4799"/>
    <x v="161"/>
    <n v="1680"/>
    <x v="3"/>
    <x v="3"/>
    <x v="2"/>
    <n v="2"/>
    <n v="0"/>
    <s v="Card"/>
    <x v="2"/>
    <x v="3"/>
    <n v="6"/>
    <n v="1"/>
    <n v="0"/>
    <s v="Repeat"/>
    <x v="2"/>
    <n v="41"/>
    <n v="0"/>
  </r>
  <r>
    <n v="4800"/>
    <x v="96"/>
    <n v="1082"/>
    <x v="4"/>
    <x v="1"/>
    <x v="0"/>
    <n v="5"/>
    <n v="0"/>
    <s v="Wallet"/>
    <x v="1"/>
    <x v="0"/>
    <n v="2"/>
    <n v="1"/>
    <n v="0"/>
    <s v="New"/>
    <x v="4"/>
    <n v="45"/>
    <n v="0"/>
  </r>
  <r>
    <n v="4801"/>
    <x v="33"/>
    <n v="1593"/>
    <x v="2"/>
    <x v="1"/>
    <x v="3"/>
    <n v="1"/>
    <n v="0"/>
    <s v="Card"/>
    <x v="1"/>
    <x v="1"/>
    <n v="4"/>
    <n v="1"/>
    <n v="0"/>
    <s v="New"/>
    <x v="5"/>
    <n v="31"/>
    <n v="0"/>
  </r>
  <r>
    <n v="4802"/>
    <x v="21"/>
    <n v="1982"/>
    <x v="1"/>
    <x v="1"/>
    <x v="1"/>
    <n v="5"/>
    <n v="12760"/>
    <s v="Card"/>
    <x v="0"/>
    <x v="0"/>
    <n v="1"/>
    <n v="1"/>
    <n v="0"/>
    <s v="Repeat"/>
    <x v="2"/>
    <n v="43"/>
    <n v="1"/>
  </r>
  <r>
    <n v="4803"/>
    <x v="3"/>
    <n v="1084"/>
    <x v="3"/>
    <x v="2"/>
    <x v="3"/>
    <n v="1"/>
    <n v="0"/>
    <s v="Card"/>
    <x v="2"/>
    <x v="0"/>
    <n v="9"/>
    <n v="1"/>
    <n v="0"/>
    <s v="Repeat"/>
    <x v="0"/>
    <n v="32"/>
    <n v="0"/>
  </r>
  <r>
    <n v="4804"/>
    <x v="132"/>
    <n v="1509"/>
    <x v="0"/>
    <x v="3"/>
    <x v="2"/>
    <n v="3"/>
    <n v="13983"/>
    <s v="COD"/>
    <x v="0"/>
    <x v="2"/>
    <n v="1"/>
    <n v="1"/>
    <n v="1"/>
    <s v="New"/>
    <x v="2"/>
    <n v="42"/>
    <n v="1"/>
  </r>
  <r>
    <n v="4805"/>
    <x v="30"/>
    <n v="1576"/>
    <x v="4"/>
    <x v="3"/>
    <x v="2"/>
    <n v="1"/>
    <n v="0"/>
    <s v="UPI"/>
    <x v="1"/>
    <x v="0"/>
    <n v="2"/>
    <n v="1"/>
    <n v="0"/>
    <s v="New"/>
    <x v="3"/>
    <n v="51"/>
    <n v="0"/>
  </r>
  <r>
    <n v="4806"/>
    <x v="154"/>
    <n v="1338"/>
    <x v="2"/>
    <x v="2"/>
    <x v="2"/>
    <n v="1"/>
    <n v="4541"/>
    <s v="Card"/>
    <x v="0"/>
    <x v="3"/>
    <n v="2"/>
    <n v="1"/>
    <n v="1"/>
    <s v="New"/>
    <x v="2"/>
    <n v="42"/>
    <n v="1"/>
  </r>
  <r>
    <n v="4807"/>
    <x v="16"/>
    <n v="1653"/>
    <x v="1"/>
    <x v="4"/>
    <x v="0"/>
    <n v="3"/>
    <n v="0"/>
    <s v="Wallet"/>
    <x v="1"/>
    <x v="3"/>
    <n v="7"/>
    <n v="1"/>
    <n v="1"/>
    <s v="Repeat"/>
    <x v="0"/>
    <n v="32"/>
    <n v="0"/>
  </r>
  <r>
    <n v="4808"/>
    <x v="146"/>
    <n v="1847"/>
    <x v="2"/>
    <x v="0"/>
    <x v="1"/>
    <n v="5"/>
    <n v="8065"/>
    <s v="COD"/>
    <x v="0"/>
    <x v="0"/>
    <n v="5"/>
    <n v="0"/>
    <n v="0"/>
    <s v="Repeat"/>
    <x v="2"/>
    <n v="40"/>
    <n v="1"/>
  </r>
  <r>
    <n v="4809"/>
    <x v="112"/>
    <n v="1516"/>
    <x v="1"/>
    <x v="4"/>
    <x v="2"/>
    <n v="4"/>
    <n v="0"/>
    <s v="UPI"/>
    <x v="2"/>
    <x v="0"/>
    <n v="9"/>
    <n v="1"/>
    <n v="0"/>
    <s v="New"/>
    <x v="5"/>
    <n v="30"/>
    <n v="0"/>
  </r>
  <r>
    <n v="4810"/>
    <x v="168"/>
    <n v="1777"/>
    <x v="1"/>
    <x v="3"/>
    <x v="2"/>
    <n v="4"/>
    <n v="0"/>
    <s v="Wallet"/>
    <x v="2"/>
    <x v="2"/>
    <n v="2"/>
    <n v="0"/>
    <n v="1"/>
    <s v="Repeat"/>
    <x v="6"/>
    <n v="1"/>
    <n v="0"/>
  </r>
  <r>
    <n v="4811"/>
    <x v="80"/>
    <n v="1248"/>
    <x v="4"/>
    <x v="4"/>
    <x v="2"/>
    <n v="3"/>
    <n v="0"/>
    <s v="UPI"/>
    <x v="1"/>
    <x v="3"/>
    <n v="8"/>
    <n v="0"/>
    <n v="1"/>
    <s v="New"/>
    <x v="6"/>
    <n v="2"/>
    <n v="0"/>
  </r>
  <r>
    <n v="4812"/>
    <x v="0"/>
    <n v="1230"/>
    <x v="4"/>
    <x v="1"/>
    <x v="0"/>
    <n v="3"/>
    <n v="0"/>
    <s v="Card"/>
    <x v="1"/>
    <x v="0"/>
    <n v="1"/>
    <n v="0"/>
    <n v="0"/>
    <s v="New"/>
    <x v="0"/>
    <n v="32"/>
    <n v="0"/>
  </r>
  <r>
    <n v="4813"/>
    <x v="72"/>
    <n v="1656"/>
    <x v="3"/>
    <x v="1"/>
    <x v="2"/>
    <n v="2"/>
    <n v="4714"/>
    <s v="UPI"/>
    <x v="0"/>
    <x v="2"/>
    <n v="4"/>
    <n v="1"/>
    <n v="0"/>
    <s v="Repeat"/>
    <x v="2"/>
    <n v="41"/>
    <n v="1"/>
  </r>
  <r>
    <n v="4814"/>
    <x v="161"/>
    <n v="1740"/>
    <x v="0"/>
    <x v="1"/>
    <x v="1"/>
    <n v="3"/>
    <n v="0"/>
    <s v="UPI"/>
    <x v="1"/>
    <x v="1"/>
    <n v="9"/>
    <n v="1"/>
    <n v="1"/>
    <s v="Repeat"/>
    <x v="2"/>
    <n v="41"/>
    <n v="0"/>
  </r>
  <r>
    <n v="4815"/>
    <x v="56"/>
    <n v="1079"/>
    <x v="3"/>
    <x v="1"/>
    <x v="3"/>
    <n v="4"/>
    <n v="0"/>
    <s v="COD"/>
    <x v="1"/>
    <x v="0"/>
    <n v="8"/>
    <n v="0"/>
    <n v="0"/>
    <s v="New"/>
    <x v="6"/>
    <n v="2"/>
    <n v="0"/>
  </r>
  <r>
    <n v="4816"/>
    <x v="17"/>
    <n v="1251"/>
    <x v="1"/>
    <x v="3"/>
    <x v="3"/>
    <n v="2"/>
    <n v="0"/>
    <s v="COD"/>
    <x v="2"/>
    <x v="0"/>
    <n v="8"/>
    <n v="1"/>
    <n v="1"/>
    <s v="New"/>
    <x v="1"/>
    <n v="38"/>
    <n v="0"/>
  </r>
  <r>
    <n v="4817"/>
    <x v="67"/>
    <n v="1174"/>
    <x v="3"/>
    <x v="2"/>
    <x v="0"/>
    <n v="5"/>
    <n v="16095"/>
    <s v="Wallet"/>
    <x v="0"/>
    <x v="2"/>
    <n v="1"/>
    <n v="1"/>
    <n v="0"/>
    <s v="Repeat"/>
    <x v="1"/>
    <n v="36"/>
    <n v="1"/>
  </r>
  <r>
    <n v="4818"/>
    <x v="84"/>
    <n v="1625"/>
    <x v="0"/>
    <x v="2"/>
    <x v="0"/>
    <n v="2"/>
    <n v="2058"/>
    <s v="Wallet"/>
    <x v="0"/>
    <x v="1"/>
    <n v="8"/>
    <n v="1"/>
    <n v="0"/>
    <s v="New"/>
    <x v="2"/>
    <n v="41"/>
    <n v="1"/>
  </r>
  <r>
    <n v="4819"/>
    <x v="147"/>
    <n v="1731"/>
    <x v="1"/>
    <x v="2"/>
    <x v="1"/>
    <n v="3"/>
    <n v="2877"/>
    <s v="Card"/>
    <x v="0"/>
    <x v="0"/>
    <n v="1"/>
    <n v="1"/>
    <n v="1"/>
    <s v="New"/>
    <x v="4"/>
    <n v="47"/>
    <n v="1"/>
  </r>
  <r>
    <n v="4820"/>
    <x v="4"/>
    <n v="1660"/>
    <x v="3"/>
    <x v="2"/>
    <x v="3"/>
    <n v="4"/>
    <n v="6300"/>
    <s v="COD"/>
    <x v="0"/>
    <x v="0"/>
    <n v="1"/>
    <n v="1"/>
    <n v="0"/>
    <s v="New"/>
    <x v="3"/>
    <n v="50"/>
    <n v="1"/>
  </r>
  <r>
    <n v="4821"/>
    <x v="10"/>
    <n v="1336"/>
    <x v="1"/>
    <x v="2"/>
    <x v="1"/>
    <n v="5"/>
    <n v="24160"/>
    <s v="Wallet"/>
    <x v="0"/>
    <x v="1"/>
    <n v="6"/>
    <n v="1"/>
    <n v="1"/>
    <s v="New"/>
    <x v="3"/>
    <n v="49"/>
    <n v="1"/>
  </r>
  <r>
    <n v="4822"/>
    <x v="30"/>
    <n v="1201"/>
    <x v="0"/>
    <x v="1"/>
    <x v="0"/>
    <n v="5"/>
    <n v="12750"/>
    <s v="UPI"/>
    <x v="0"/>
    <x v="2"/>
    <n v="5"/>
    <n v="1"/>
    <n v="0"/>
    <s v="Repeat"/>
    <x v="3"/>
    <n v="51"/>
    <n v="1"/>
  </r>
  <r>
    <n v="4823"/>
    <x v="2"/>
    <n v="1318"/>
    <x v="1"/>
    <x v="4"/>
    <x v="0"/>
    <n v="3"/>
    <n v="0"/>
    <s v="UPI"/>
    <x v="1"/>
    <x v="2"/>
    <n v="3"/>
    <n v="1"/>
    <n v="1"/>
    <s v="Repeat"/>
    <x v="2"/>
    <n v="41"/>
    <n v="0"/>
  </r>
  <r>
    <n v="4824"/>
    <x v="24"/>
    <n v="1307"/>
    <x v="1"/>
    <x v="1"/>
    <x v="3"/>
    <n v="1"/>
    <n v="4640"/>
    <s v="COD"/>
    <x v="0"/>
    <x v="2"/>
    <n v="8"/>
    <n v="0"/>
    <n v="0"/>
    <s v="New"/>
    <x v="5"/>
    <n v="30"/>
    <n v="1"/>
  </r>
  <r>
    <n v="4825"/>
    <x v="60"/>
    <n v="1106"/>
    <x v="0"/>
    <x v="3"/>
    <x v="2"/>
    <n v="2"/>
    <n v="8910"/>
    <s v="UPI"/>
    <x v="0"/>
    <x v="0"/>
    <n v="3"/>
    <n v="0"/>
    <n v="1"/>
    <s v="New"/>
    <x v="1"/>
    <n v="36"/>
    <n v="1"/>
  </r>
  <r>
    <n v="4826"/>
    <x v="86"/>
    <n v="1588"/>
    <x v="1"/>
    <x v="1"/>
    <x v="2"/>
    <n v="5"/>
    <n v="5975"/>
    <s v="Card"/>
    <x v="0"/>
    <x v="2"/>
    <n v="10"/>
    <n v="1"/>
    <n v="1"/>
    <s v="New"/>
    <x v="6"/>
    <n v="1"/>
    <n v="1"/>
  </r>
  <r>
    <n v="4827"/>
    <x v="116"/>
    <n v="1061"/>
    <x v="2"/>
    <x v="2"/>
    <x v="0"/>
    <n v="3"/>
    <n v="0"/>
    <s v="UPI"/>
    <x v="2"/>
    <x v="0"/>
    <n v="5"/>
    <n v="0"/>
    <n v="0"/>
    <s v="New"/>
    <x v="3"/>
    <n v="50"/>
    <n v="0"/>
  </r>
  <r>
    <n v="4828"/>
    <x v="81"/>
    <n v="1408"/>
    <x v="0"/>
    <x v="4"/>
    <x v="1"/>
    <n v="4"/>
    <n v="7772"/>
    <s v="COD"/>
    <x v="0"/>
    <x v="3"/>
    <n v="10"/>
    <n v="1"/>
    <n v="0"/>
    <s v="New"/>
    <x v="0"/>
    <n v="33"/>
    <n v="1"/>
  </r>
  <r>
    <n v="4829"/>
    <x v="110"/>
    <n v="1116"/>
    <x v="2"/>
    <x v="2"/>
    <x v="0"/>
    <n v="3"/>
    <n v="3726"/>
    <s v="Wallet"/>
    <x v="0"/>
    <x v="1"/>
    <n v="10"/>
    <n v="1"/>
    <n v="0"/>
    <s v="New"/>
    <x v="3"/>
    <n v="52"/>
    <n v="1"/>
  </r>
  <r>
    <n v="4830"/>
    <x v="8"/>
    <n v="1401"/>
    <x v="0"/>
    <x v="3"/>
    <x v="0"/>
    <n v="4"/>
    <n v="10684"/>
    <s v="Card"/>
    <x v="0"/>
    <x v="3"/>
    <n v="1"/>
    <n v="0"/>
    <n v="0"/>
    <s v="Repeat"/>
    <x v="0"/>
    <n v="32"/>
    <n v="1"/>
  </r>
  <r>
    <n v="4831"/>
    <x v="152"/>
    <n v="1705"/>
    <x v="0"/>
    <x v="3"/>
    <x v="2"/>
    <n v="1"/>
    <n v="740"/>
    <s v="COD"/>
    <x v="0"/>
    <x v="3"/>
    <n v="1"/>
    <n v="0"/>
    <n v="0"/>
    <s v="Repeat"/>
    <x v="2"/>
    <n v="42"/>
    <n v="1"/>
  </r>
  <r>
    <n v="4832"/>
    <x v="75"/>
    <n v="1925"/>
    <x v="3"/>
    <x v="2"/>
    <x v="0"/>
    <n v="3"/>
    <n v="0"/>
    <s v="Card"/>
    <x v="1"/>
    <x v="2"/>
    <n v="5"/>
    <n v="1"/>
    <n v="0"/>
    <s v="Repeat"/>
    <x v="3"/>
    <n v="52"/>
    <n v="0"/>
  </r>
  <r>
    <n v="4833"/>
    <x v="6"/>
    <n v="1727"/>
    <x v="0"/>
    <x v="2"/>
    <x v="3"/>
    <n v="4"/>
    <n v="0"/>
    <s v="COD"/>
    <x v="2"/>
    <x v="1"/>
    <n v="5"/>
    <n v="1"/>
    <n v="0"/>
    <s v="New"/>
    <x v="4"/>
    <n v="47"/>
    <n v="0"/>
  </r>
  <r>
    <n v="4834"/>
    <x v="160"/>
    <n v="1057"/>
    <x v="2"/>
    <x v="3"/>
    <x v="0"/>
    <n v="2"/>
    <n v="0"/>
    <s v="Wallet"/>
    <x v="1"/>
    <x v="3"/>
    <n v="5"/>
    <n v="1"/>
    <n v="0"/>
    <s v="Repeat"/>
    <x v="4"/>
    <n v="47"/>
    <n v="0"/>
  </r>
  <r>
    <n v="4835"/>
    <x v="177"/>
    <n v="1232"/>
    <x v="1"/>
    <x v="2"/>
    <x v="0"/>
    <n v="3"/>
    <n v="0"/>
    <s v="COD"/>
    <x v="2"/>
    <x v="2"/>
    <n v="5"/>
    <n v="1"/>
    <n v="1"/>
    <s v="Repeat"/>
    <x v="4"/>
    <n v="45"/>
    <n v="0"/>
  </r>
  <r>
    <n v="4836"/>
    <x v="147"/>
    <n v="1240"/>
    <x v="2"/>
    <x v="1"/>
    <x v="1"/>
    <n v="5"/>
    <n v="0"/>
    <s v="UPI"/>
    <x v="1"/>
    <x v="0"/>
    <n v="8"/>
    <n v="1"/>
    <n v="1"/>
    <s v="Repeat"/>
    <x v="4"/>
    <n v="47"/>
    <n v="0"/>
  </r>
  <r>
    <n v="4837"/>
    <x v="85"/>
    <n v="1175"/>
    <x v="4"/>
    <x v="4"/>
    <x v="0"/>
    <n v="2"/>
    <n v="0"/>
    <s v="Card"/>
    <x v="2"/>
    <x v="2"/>
    <n v="6"/>
    <n v="1"/>
    <n v="0"/>
    <s v="New"/>
    <x v="3"/>
    <n v="50"/>
    <n v="0"/>
  </r>
  <r>
    <n v="4838"/>
    <x v="3"/>
    <n v="1597"/>
    <x v="4"/>
    <x v="0"/>
    <x v="3"/>
    <n v="3"/>
    <n v="0"/>
    <s v="COD"/>
    <x v="2"/>
    <x v="1"/>
    <n v="7"/>
    <n v="1"/>
    <n v="0"/>
    <s v="Repeat"/>
    <x v="0"/>
    <n v="32"/>
    <n v="0"/>
  </r>
  <r>
    <n v="4839"/>
    <x v="145"/>
    <n v="1256"/>
    <x v="4"/>
    <x v="0"/>
    <x v="1"/>
    <n v="5"/>
    <n v="22510"/>
    <s v="UPI"/>
    <x v="0"/>
    <x v="3"/>
    <n v="1"/>
    <n v="1"/>
    <n v="0"/>
    <s v="New"/>
    <x v="4"/>
    <n v="48"/>
    <n v="1"/>
  </r>
  <r>
    <n v="4840"/>
    <x v="78"/>
    <n v="1457"/>
    <x v="0"/>
    <x v="2"/>
    <x v="2"/>
    <n v="3"/>
    <n v="0"/>
    <s v="COD"/>
    <x v="1"/>
    <x v="0"/>
    <n v="6"/>
    <n v="1"/>
    <n v="1"/>
    <s v="Repeat"/>
    <x v="3"/>
    <n v="52"/>
    <n v="0"/>
  </r>
  <r>
    <n v="4841"/>
    <x v="11"/>
    <n v="1951"/>
    <x v="1"/>
    <x v="3"/>
    <x v="0"/>
    <n v="3"/>
    <n v="0"/>
    <s v="Card"/>
    <x v="2"/>
    <x v="2"/>
    <n v="6"/>
    <n v="0"/>
    <n v="0"/>
    <s v="Repeat"/>
    <x v="0"/>
    <n v="35"/>
    <n v="0"/>
  </r>
  <r>
    <n v="4842"/>
    <x v="34"/>
    <n v="1841"/>
    <x v="3"/>
    <x v="2"/>
    <x v="0"/>
    <n v="3"/>
    <n v="0"/>
    <s v="COD"/>
    <x v="1"/>
    <x v="2"/>
    <n v="9"/>
    <n v="1"/>
    <n v="1"/>
    <s v="New"/>
    <x v="3"/>
    <n v="51"/>
    <n v="0"/>
  </r>
  <r>
    <n v="4843"/>
    <x v="179"/>
    <n v="1681"/>
    <x v="2"/>
    <x v="0"/>
    <x v="1"/>
    <n v="4"/>
    <n v="0"/>
    <s v="Wallet"/>
    <x v="2"/>
    <x v="0"/>
    <n v="4"/>
    <n v="1"/>
    <n v="0"/>
    <s v="Repeat"/>
    <x v="5"/>
    <n v="29"/>
    <n v="0"/>
  </r>
  <r>
    <n v="4844"/>
    <x v="151"/>
    <n v="1374"/>
    <x v="3"/>
    <x v="1"/>
    <x v="0"/>
    <n v="4"/>
    <n v="0"/>
    <s v="Card"/>
    <x v="2"/>
    <x v="1"/>
    <n v="4"/>
    <n v="1"/>
    <n v="0"/>
    <s v="Repeat"/>
    <x v="3"/>
    <n v="52"/>
    <n v="0"/>
  </r>
  <r>
    <n v="4845"/>
    <x v="98"/>
    <n v="1893"/>
    <x v="1"/>
    <x v="3"/>
    <x v="0"/>
    <n v="4"/>
    <n v="17200"/>
    <s v="UPI"/>
    <x v="0"/>
    <x v="0"/>
    <n v="5"/>
    <n v="1"/>
    <n v="0"/>
    <s v="New"/>
    <x v="3"/>
    <n v="51"/>
    <n v="1"/>
  </r>
  <r>
    <n v="4846"/>
    <x v="174"/>
    <n v="1591"/>
    <x v="3"/>
    <x v="1"/>
    <x v="1"/>
    <n v="2"/>
    <n v="0"/>
    <s v="UPI"/>
    <x v="2"/>
    <x v="0"/>
    <n v="5"/>
    <n v="1"/>
    <n v="0"/>
    <s v="New"/>
    <x v="5"/>
    <n v="29"/>
    <n v="0"/>
  </r>
  <r>
    <n v="4847"/>
    <x v="80"/>
    <n v="1880"/>
    <x v="1"/>
    <x v="0"/>
    <x v="2"/>
    <n v="3"/>
    <n v="0"/>
    <s v="UPI"/>
    <x v="2"/>
    <x v="3"/>
    <n v="2"/>
    <n v="1"/>
    <n v="0"/>
    <s v="Repeat"/>
    <x v="6"/>
    <n v="2"/>
    <n v="0"/>
  </r>
  <r>
    <n v="4848"/>
    <x v="179"/>
    <n v="1562"/>
    <x v="0"/>
    <x v="4"/>
    <x v="2"/>
    <n v="3"/>
    <n v="0"/>
    <s v="Card"/>
    <x v="1"/>
    <x v="0"/>
    <n v="10"/>
    <n v="0"/>
    <n v="0"/>
    <s v="New"/>
    <x v="5"/>
    <n v="29"/>
    <n v="0"/>
  </r>
  <r>
    <n v="4849"/>
    <x v="0"/>
    <n v="1443"/>
    <x v="2"/>
    <x v="1"/>
    <x v="2"/>
    <n v="3"/>
    <n v="10308"/>
    <s v="Wallet"/>
    <x v="0"/>
    <x v="2"/>
    <n v="8"/>
    <n v="0"/>
    <n v="0"/>
    <s v="Repeat"/>
    <x v="0"/>
    <n v="32"/>
    <n v="1"/>
  </r>
  <r>
    <n v="4850"/>
    <x v="179"/>
    <n v="1835"/>
    <x v="1"/>
    <x v="3"/>
    <x v="2"/>
    <n v="1"/>
    <n v="0"/>
    <s v="UPI"/>
    <x v="2"/>
    <x v="1"/>
    <n v="10"/>
    <n v="1"/>
    <n v="0"/>
    <s v="New"/>
    <x v="5"/>
    <n v="29"/>
    <n v="0"/>
  </r>
  <r>
    <n v="4851"/>
    <x v="62"/>
    <n v="1471"/>
    <x v="1"/>
    <x v="2"/>
    <x v="0"/>
    <n v="1"/>
    <n v="0"/>
    <s v="UPI"/>
    <x v="1"/>
    <x v="3"/>
    <n v="6"/>
    <n v="0"/>
    <n v="0"/>
    <s v="New"/>
    <x v="2"/>
    <n v="43"/>
    <n v="0"/>
  </r>
  <r>
    <n v="4852"/>
    <x v="142"/>
    <n v="1557"/>
    <x v="0"/>
    <x v="1"/>
    <x v="0"/>
    <n v="2"/>
    <n v="0"/>
    <s v="COD"/>
    <x v="1"/>
    <x v="2"/>
    <n v="2"/>
    <n v="0"/>
    <n v="1"/>
    <s v="New"/>
    <x v="2"/>
    <n v="42"/>
    <n v="0"/>
  </r>
  <r>
    <n v="4853"/>
    <x v="5"/>
    <n v="1587"/>
    <x v="2"/>
    <x v="3"/>
    <x v="1"/>
    <n v="5"/>
    <n v="0"/>
    <s v="COD"/>
    <x v="2"/>
    <x v="3"/>
    <n v="6"/>
    <n v="0"/>
    <n v="0"/>
    <s v="New"/>
    <x v="0"/>
    <n v="33"/>
    <n v="0"/>
  </r>
  <r>
    <n v="4854"/>
    <x v="40"/>
    <n v="1859"/>
    <x v="4"/>
    <x v="3"/>
    <x v="2"/>
    <n v="5"/>
    <n v="0"/>
    <s v="Card"/>
    <x v="2"/>
    <x v="2"/>
    <n v="2"/>
    <n v="0"/>
    <n v="0"/>
    <s v="New"/>
    <x v="0"/>
    <n v="32"/>
    <n v="0"/>
  </r>
  <r>
    <n v="4855"/>
    <x v="116"/>
    <n v="1376"/>
    <x v="1"/>
    <x v="1"/>
    <x v="2"/>
    <n v="3"/>
    <n v="11937"/>
    <s v="COD"/>
    <x v="0"/>
    <x v="1"/>
    <n v="4"/>
    <n v="0"/>
    <n v="0"/>
    <s v="New"/>
    <x v="3"/>
    <n v="50"/>
    <n v="1"/>
  </r>
  <r>
    <n v="4856"/>
    <x v="170"/>
    <n v="1335"/>
    <x v="1"/>
    <x v="0"/>
    <x v="2"/>
    <n v="5"/>
    <n v="0"/>
    <s v="Wallet"/>
    <x v="1"/>
    <x v="3"/>
    <n v="2"/>
    <n v="0"/>
    <n v="1"/>
    <s v="Repeat"/>
    <x v="4"/>
    <n v="48"/>
    <n v="0"/>
  </r>
  <r>
    <n v="4857"/>
    <x v="61"/>
    <n v="1214"/>
    <x v="4"/>
    <x v="4"/>
    <x v="2"/>
    <n v="2"/>
    <n v="2760"/>
    <s v="UPI"/>
    <x v="0"/>
    <x v="2"/>
    <n v="2"/>
    <n v="1"/>
    <n v="1"/>
    <s v="Repeat"/>
    <x v="4"/>
    <n v="46"/>
    <n v="1"/>
  </r>
  <r>
    <n v="4858"/>
    <x v="125"/>
    <n v="1621"/>
    <x v="3"/>
    <x v="2"/>
    <x v="0"/>
    <n v="2"/>
    <n v="2430"/>
    <s v="UPI"/>
    <x v="0"/>
    <x v="2"/>
    <n v="8"/>
    <n v="0"/>
    <n v="1"/>
    <s v="Repeat"/>
    <x v="5"/>
    <n v="31"/>
    <n v="1"/>
  </r>
  <r>
    <n v="4859"/>
    <x v="49"/>
    <n v="1096"/>
    <x v="2"/>
    <x v="2"/>
    <x v="1"/>
    <n v="4"/>
    <n v="0"/>
    <s v="Wallet"/>
    <x v="2"/>
    <x v="0"/>
    <n v="3"/>
    <n v="1"/>
    <n v="0"/>
    <s v="New"/>
    <x v="0"/>
    <n v="36"/>
    <n v="0"/>
  </r>
  <r>
    <n v="4860"/>
    <x v="123"/>
    <n v="1479"/>
    <x v="1"/>
    <x v="2"/>
    <x v="2"/>
    <n v="2"/>
    <n v="0"/>
    <s v="Card"/>
    <x v="2"/>
    <x v="2"/>
    <n v="10"/>
    <n v="0"/>
    <n v="0"/>
    <s v="Repeat"/>
    <x v="0"/>
    <n v="34"/>
    <n v="0"/>
  </r>
  <r>
    <n v="4861"/>
    <x v="22"/>
    <n v="1557"/>
    <x v="2"/>
    <x v="0"/>
    <x v="2"/>
    <n v="2"/>
    <n v="0"/>
    <s v="Card"/>
    <x v="2"/>
    <x v="2"/>
    <n v="6"/>
    <n v="0"/>
    <n v="0"/>
    <s v="New"/>
    <x v="6"/>
    <n v="2"/>
    <n v="0"/>
  </r>
  <r>
    <n v="4862"/>
    <x v="98"/>
    <n v="1597"/>
    <x v="4"/>
    <x v="3"/>
    <x v="1"/>
    <n v="2"/>
    <n v="0"/>
    <s v="Wallet"/>
    <x v="1"/>
    <x v="3"/>
    <n v="5"/>
    <n v="1"/>
    <n v="0"/>
    <s v="New"/>
    <x v="3"/>
    <n v="51"/>
    <n v="0"/>
  </r>
  <r>
    <n v="4863"/>
    <x v="29"/>
    <n v="1002"/>
    <x v="3"/>
    <x v="3"/>
    <x v="1"/>
    <n v="5"/>
    <n v="0"/>
    <s v="Wallet"/>
    <x v="1"/>
    <x v="1"/>
    <n v="6"/>
    <n v="0"/>
    <n v="0"/>
    <s v="New"/>
    <x v="1"/>
    <n v="39"/>
    <n v="0"/>
  </r>
  <r>
    <n v="4864"/>
    <x v="104"/>
    <n v="1412"/>
    <x v="1"/>
    <x v="0"/>
    <x v="2"/>
    <n v="2"/>
    <n v="0"/>
    <s v="Card"/>
    <x v="1"/>
    <x v="1"/>
    <n v="3"/>
    <n v="0"/>
    <n v="0"/>
    <s v="Repeat"/>
    <x v="5"/>
    <n v="29"/>
    <n v="0"/>
  </r>
  <r>
    <n v="4865"/>
    <x v="179"/>
    <n v="1796"/>
    <x v="1"/>
    <x v="2"/>
    <x v="1"/>
    <n v="4"/>
    <n v="0"/>
    <s v="Card"/>
    <x v="2"/>
    <x v="3"/>
    <n v="2"/>
    <n v="0"/>
    <n v="0"/>
    <s v="Repeat"/>
    <x v="5"/>
    <n v="29"/>
    <n v="0"/>
  </r>
  <r>
    <n v="4866"/>
    <x v="68"/>
    <n v="1894"/>
    <x v="0"/>
    <x v="2"/>
    <x v="3"/>
    <n v="2"/>
    <n v="2306"/>
    <s v="UPI"/>
    <x v="0"/>
    <x v="3"/>
    <n v="9"/>
    <n v="1"/>
    <n v="0"/>
    <s v="New"/>
    <x v="0"/>
    <n v="32"/>
    <n v="1"/>
  </r>
  <r>
    <n v="4867"/>
    <x v="172"/>
    <n v="1789"/>
    <x v="3"/>
    <x v="1"/>
    <x v="3"/>
    <n v="3"/>
    <n v="0"/>
    <s v="UPI"/>
    <x v="1"/>
    <x v="1"/>
    <n v="7"/>
    <n v="1"/>
    <n v="1"/>
    <s v="Repeat"/>
    <x v="2"/>
    <n v="44"/>
    <n v="0"/>
  </r>
  <r>
    <n v="4868"/>
    <x v="117"/>
    <n v="1236"/>
    <x v="3"/>
    <x v="1"/>
    <x v="0"/>
    <n v="3"/>
    <n v="0"/>
    <s v="UPI"/>
    <x v="1"/>
    <x v="2"/>
    <n v="7"/>
    <n v="1"/>
    <n v="0"/>
    <s v="New"/>
    <x v="5"/>
    <n v="31"/>
    <n v="0"/>
  </r>
  <r>
    <n v="4869"/>
    <x v="131"/>
    <n v="1297"/>
    <x v="4"/>
    <x v="1"/>
    <x v="2"/>
    <n v="2"/>
    <n v="0"/>
    <s v="UPI"/>
    <x v="1"/>
    <x v="0"/>
    <n v="4"/>
    <n v="1"/>
    <n v="1"/>
    <s v="New"/>
    <x v="4"/>
    <n v="47"/>
    <n v="0"/>
  </r>
  <r>
    <n v="4870"/>
    <x v="35"/>
    <n v="1671"/>
    <x v="1"/>
    <x v="1"/>
    <x v="3"/>
    <n v="4"/>
    <n v="0"/>
    <s v="Card"/>
    <x v="2"/>
    <x v="3"/>
    <n v="2"/>
    <n v="0"/>
    <n v="0"/>
    <s v="Repeat"/>
    <x v="0"/>
    <n v="35"/>
    <n v="0"/>
  </r>
  <r>
    <n v="4871"/>
    <x v="115"/>
    <n v="1340"/>
    <x v="1"/>
    <x v="4"/>
    <x v="0"/>
    <n v="3"/>
    <n v="0"/>
    <s v="Card"/>
    <x v="2"/>
    <x v="3"/>
    <n v="4"/>
    <n v="0"/>
    <n v="0"/>
    <s v="New"/>
    <x v="4"/>
    <n v="48"/>
    <n v="0"/>
  </r>
  <r>
    <n v="4872"/>
    <x v="34"/>
    <n v="1742"/>
    <x v="4"/>
    <x v="4"/>
    <x v="3"/>
    <n v="5"/>
    <n v="5775"/>
    <s v="Card"/>
    <x v="0"/>
    <x v="0"/>
    <n v="1"/>
    <n v="1"/>
    <n v="1"/>
    <s v="New"/>
    <x v="3"/>
    <n v="51"/>
    <n v="1"/>
  </r>
  <r>
    <n v="4873"/>
    <x v="14"/>
    <n v="1623"/>
    <x v="4"/>
    <x v="3"/>
    <x v="1"/>
    <n v="2"/>
    <n v="0"/>
    <s v="UPI"/>
    <x v="2"/>
    <x v="2"/>
    <n v="2"/>
    <n v="1"/>
    <n v="0"/>
    <s v="Repeat"/>
    <x v="0"/>
    <n v="34"/>
    <n v="0"/>
  </r>
  <r>
    <n v="4874"/>
    <x v="19"/>
    <n v="1236"/>
    <x v="3"/>
    <x v="3"/>
    <x v="3"/>
    <n v="4"/>
    <n v="0"/>
    <s v="COD"/>
    <x v="2"/>
    <x v="1"/>
    <n v="2"/>
    <n v="1"/>
    <n v="1"/>
    <s v="Repeat"/>
    <x v="0"/>
    <n v="33"/>
    <n v="0"/>
  </r>
  <r>
    <n v="4875"/>
    <x v="175"/>
    <n v="1915"/>
    <x v="3"/>
    <x v="4"/>
    <x v="1"/>
    <n v="5"/>
    <n v="0"/>
    <s v="COD"/>
    <x v="1"/>
    <x v="0"/>
    <n v="3"/>
    <n v="1"/>
    <n v="0"/>
    <s v="New"/>
    <x v="5"/>
    <n v="31"/>
    <n v="0"/>
  </r>
  <r>
    <n v="4876"/>
    <x v="136"/>
    <n v="1968"/>
    <x v="3"/>
    <x v="4"/>
    <x v="2"/>
    <n v="3"/>
    <n v="0"/>
    <s v="Wallet"/>
    <x v="1"/>
    <x v="3"/>
    <n v="4"/>
    <n v="0"/>
    <n v="1"/>
    <s v="Repeat"/>
    <x v="2"/>
    <n v="40"/>
    <n v="0"/>
  </r>
  <r>
    <n v="4877"/>
    <x v="108"/>
    <n v="1562"/>
    <x v="0"/>
    <x v="0"/>
    <x v="0"/>
    <n v="2"/>
    <n v="0"/>
    <s v="COD"/>
    <x v="1"/>
    <x v="2"/>
    <n v="10"/>
    <n v="0"/>
    <n v="0"/>
    <s v="New"/>
    <x v="2"/>
    <n v="44"/>
    <n v="0"/>
  </r>
  <r>
    <n v="4878"/>
    <x v="93"/>
    <n v="1982"/>
    <x v="2"/>
    <x v="2"/>
    <x v="1"/>
    <n v="3"/>
    <n v="0"/>
    <s v="Card"/>
    <x v="1"/>
    <x v="2"/>
    <n v="5"/>
    <n v="0"/>
    <n v="1"/>
    <s v="Repeat"/>
    <x v="3"/>
    <n v="53"/>
    <n v="0"/>
  </r>
  <r>
    <n v="4879"/>
    <x v="98"/>
    <n v="1636"/>
    <x v="3"/>
    <x v="4"/>
    <x v="2"/>
    <n v="1"/>
    <n v="0"/>
    <s v="Card"/>
    <x v="1"/>
    <x v="0"/>
    <n v="5"/>
    <n v="1"/>
    <n v="0"/>
    <s v="New"/>
    <x v="3"/>
    <n v="51"/>
    <n v="0"/>
  </r>
  <r>
    <n v="4880"/>
    <x v="77"/>
    <n v="1223"/>
    <x v="0"/>
    <x v="4"/>
    <x v="3"/>
    <n v="2"/>
    <n v="5232"/>
    <s v="COD"/>
    <x v="0"/>
    <x v="3"/>
    <n v="6"/>
    <n v="0"/>
    <n v="0"/>
    <s v="New"/>
    <x v="1"/>
    <n v="38"/>
    <n v="1"/>
  </r>
  <r>
    <n v="4881"/>
    <x v="62"/>
    <n v="1078"/>
    <x v="0"/>
    <x v="3"/>
    <x v="1"/>
    <n v="5"/>
    <n v="0"/>
    <s v="UPI"/>
    <x v="2"/>
    <x v="1"/>
    <n v="4"/>
    <n v="0"/>
    <n v="0"/>
    <s v="New"/>
    <x v="2"/>
    <n v="43"/>
    <n v="0"/>
  </r>
  <r>
    <n v="4882"/>
    <x v="46"/>
    <n v="1258"/>
    <x v="3"/>
    <x v="4"/>
    <x v="2"/>
    <n v="1"/>
    <n v="2613"/>
    <s v="UPI"/>
    <x v="0"/>
    <x v="2"/>
    <n v="4"/>
    <n v="1"/>
    <n v="0"/>
    <s v="New"/>
    <x v="5"/>
    <n v="30"/>
    <n v="1"/>
  </r>
  <r>
    <n v="4883"/>
    <x v="144"/>
    <n v="1862"/>
    <x v="3"/>
    <x v="2"/>
    <x v="3"/>
    <n v="3"/>
    <n v="3666"/>
    <s v="Wallet"/>
    <x v="0"/>
    <x v="3"/>
    <n v="6"/>
    <n v="0"/>
    <n v="0"/>
    <s v="Repeat"/>
    <x v="3"/>
    <n v="52"/>
    <n v="1"/>
  </r>
  <r>
    <n v="4884"/>
    <x v="156"/>
    <n v="1796"/>
    <x v="2"/>
    <x v="0"/>
    <x v="1"/>
    <n v="3"/>
    <n v="0"/>
    <s v="UPI"/>
    <x v="2"/>
    <x v="3"/>
    <n v="9"/>
    <n v="1"/>
    <n v="1"/>
    <s v="Repeat"/>
    <x v="6"/>
    <n v="2"/>
    <n v="0"/>
  </r>
  <r>
    <n v="4885"/>
    <x v="108"/>
    <n v="1033"/>
    <x v="0"/>
    <x v="4"/>
    <x v="3"/>
    <n v="3"/>
    <n v="0"/>
    <s v="UPI"/>
    <x v="2"/>
    <x v="2"/>
    <n v="9"/>
    <n v="1"/>
    <n v="0"/>
    <s v="Repeat"/>
    <x v="2"/>
    <n v="44"/>
    <n v="0"/>
  </r>
  <r>
    <n v="4886"/>
    <x v="179"/>
    <n v="1232"/>
    <x v="0"/>
    <x v="1"/>
    <x v="1"/>
    <n v="3"/>
    <n v="0"/>
    <s v="COD"/>
    <x v="2"/>
    <x v="2"/>
    <n v="10"/>
    <n v="0"/>
    <n v="1"/>
    <s v="New"/>
    <x v="5"/>
    <n v="29"/>
    <n v="0"/>
  </r>
  <r>
    <n v="4887"/>
    <x v="39"/>
    <n v="1379"/>
    <x v="4"/>
    <x v="4"/>
    <x v="2"/>
    <n v="3"/>
    <n v="7704"/>
    <s v="Wallet"/>
    <x v="0"/>
    <x v="3"/>
    <n v="3"/>
    <n v="1"/>
    <n v="1"/>
    <s v="New"/>
    <x v="0"/>
    <n v="34"/>
    <n v="1"/>
  </r>
  <r>
    <n v="4888"/>
    <x v="60"/>
    <n v="1027"/>
    <x v="3"/>
    <x v="2"/>
    <x v="3"/>
    <n v="2"/>
    <n v="9324"/>
    <s v="Wallet"/>
    <x v="0"/>
    <x v="3"/>
    <n v="9"/>
    <n v="0"/>
    <n v="1"/>
    <s v="New"/>
    <x v="1"/>
    <n v="36"/>
    <n v="1"/>
  </r>
  <r>
    <n v="4889"/>
    <x v="173"/>
    <n v="1313"/>
    <x v="0"/>
    <x v="2"/>
    <x v="0"/>
    <n v="2"/>
    <n v="0"/>
    <s v="Wallet"/>
    <x v="1"/>
    <x v="1"/>
    <n v="1"/>
    <n v="0"/>
    <n v="1"/>
    <s v="Repeat"/>
    <x v="5"/>
    <n v="30"/>
    <n v="0"/>
  </r>
  <r>
    <n v="4890"/>
    <x v="74"/>
    <n v="1197"/>
    <x v="2"/>
    <x v="1"/>
    <x v="1"/>
    <n v="4"/>
    <n v="0"/>
    <s v="UPI"/>
    <x v="2"/>
    <x v="2"/>
    <n v="4"/>
    <n v="0"/>
    <n v="1"/>
    <s v="New"/>
    <x v="5"/>
    <n v="29"/>
    <n v="0"/>
  </r>
  <r>
    <n v="4891"/>
    <x v="56"/>
    <n v="1943"/>
    <x v="4"/>
    <x v="3"/>
    <x v="2"/>
    <n v="3"/>
    <n v="0"/>
    <s v="UPI"/>
    <x v="2"/>
    <x v="2"/>
    <n v="5"/>
    <n v="0"/>
    <n v="0"/>
    <s v="Repeat"/>
    <x v="6"/>
    <n v="2"/>
    <n v="0"/>
  </r>
  <r>
    <n v="4892"/>
    <x v="19"/>
    <n v="1750"/>
    <x v="2"/>
    <x v="0"/>
    <x v="2"/>
    <n v="4"/>
    <n v="0"/>
    <s v="UPI"/>
    <x v="2"/>
    <x v="1"/>
    <n v="8"/>
    <n v="0"/>
    <n v="0"/>
    <s v="New"/>
    <x v="0"/>
    <n v="33"/>
    <n v="0"/>
  </r>
  <r>
    <n v="4893"/>
    <x v="100"/>
    <n v="1299"/>
    <x v="3"/>
    <x v="1"/>
    <x v="3"/>
    <n v="2"/>
    <n v="8436"/>
    <s v="Card"/>
    <x v="0"/>
    <x v="1"/>
    <n v="2"/>
    <n v="0"/>
    <n v="1"/>
    <s v="New"/>
    <x v="1"/>
    <n v="37"/>
    <n v="1"/>
  </r>
  <r>
    <n v="4894"/>
    <x v="42"/>
    <n v="1304"/>
    <x v="3"/>
    <x v="3"/>
    <x v="2"/>
    <n v="1"/>
    <n v="3142"/>
    <s v="COD"/>
    <x v="0"/>
    <x v="0"/>
    <n v="4"/>
    <n v="0"/>
    <n v="0"/>
    <s v="New"/>
    <x v="2"/>
    <n v="44"/>
    <n v="1"/>
  </r>
  <r>
    <n v="4895"/>
    <x v="99"/>
    <n v="1266"/>
    <x v="1"/>
    <x v="2"/>
    <x v="3"/>
    <n v="2"/>
    <n v="1994"/>
    <s v="UPI"/>
    <x v="0"/>
    <x v="1"/>
    <n v="1"/>
    <n v="0"/>
    <n v="0"/>
    <s v="Repeat"/>
    <x v="4"/>
    <n v="48"/>
    <n v="1"/>
  </r>
  <r>
    <n v="4896"/>
    <x v="48"/>
    <n v="1728"/>
    <x v="3"/>
    <x v="0"/>
    <x v="3"/>
    <n v="3"/>
    <n v="0"/>
    <s v="Card"/>
    <x v="2"/>
    <x v="0"/>
    <n v="2"/>
    <n v="0"/>
    <n v="0"/>
    <s v="New"/>
    <x v="3"/>
    <n v="50"/>
    <n v="0"/>
  </r>
  <r>
    <n v="4897"/>
    <x v="46"/>
    <n v="1960"/>
    <x v="1"/>
    <x v="4"/>
    <x v="3"/>
    <n v="4"/>
    <n v="0"/>
    <s v="COD"/>
    <x v="2"/>
    <x v="3"/>
    <n v="2"/>
    <n v="0"/>
    <n v="0"/>
    <s v="Repeat"/>
    <x v="5"/>
    <n v="30"/>
    <n v="0"/>
  </r>
  <r>
    <n v="4898"/>
    <x v="149"/>
    <n v="1621"/>
    <x v="4"/>
    <x v="3"/>
    <x v="3"/>
    <n v="3"/>
    <n v="0"/>
    <s v="COD"/>
    <x v="2"/>
    <x v="1"/>
    <n v="8"/>
    <n v="1"/>
    <n v="0"/>
    <s v="Repeat"/>
    <x v="3"/>
    <n v="49"/>
    <n v="0"/>
  </r>
  <r>
    <n v="4899"/>
    <x v="95"/>
    <n v="1367"/>
    <x v="0"/>
    <x v="3"/>
    <x v="3"/>
    <n v="4"/>
    <n v="932"/>
    <s v="Card"/>
    <x v="0"/>
    <x v="0"/>
    <n v="8"/>
    <n v="1"/>
    <n v="0"/>
    <s v="Repeat"/>
    <x v="4"/>
    <n v="47"/>
    <n v="1"/>
  </r>
  <r>
    <n v="4900"/>
    <x v="159"/>
    <n v="2000"/>
    <x v="2"/>
    <x v="3"/>
    <x v="3"/>
    <n v="3"/>
    <n v="0"/>
    <s v="COD"/>
    <x v="1"/>
    <x v="1"/>
    <n v="1"/>
    <n v="1"/>
    <n v="0"/>
    <s v="Repeat"/>
    <x v="3"/>
    <n v="49"/>
    <n v="0"/>
  </r>
  <r>
    <n v="4901"/>
    <x v="109"/>
    <n v="1062"/>
    <x v="2"/>
    <x v="4"/>
    <x v="2"/>
    <n v="2"/>
    <n v="8524"/>
    <s v="COD"/>
    <x v="0"/>
    <x v="0"/>
    <n v="7"/>
    <n v="1"/>
    <n v="0"/>
    <s v="Repeat"/>
    <x v="4"/>
    <n v="46"/>
    <n v="1"/>
  </r>
  <r>
    <n v="4902"/>
    <x v="129"/>
    <n v="1572"/>
    <x v="1"/>
    <x v="3"/>
    <x v="2"/>
    <n v="2"/>
    <n v="0"/>
    <s v="Wallet"/>
    <x v="1"/>
    <x v="3"/>
    <n v="1"/>
    <n v="0"/>
    <n v="0"/>
    <s v="New"/>
    <x v="4"/>
    <n v="46"/>
    <n v="0"/>
  </r>
  <r>
    <n v="4903"/>
    <x v="133"/>
    <n v="1473"/>
    <x v="2"/>
    <x v="1"/>
    <x v="3"/>
    <n v="2"/>
    <n v="0"/>
    <s v="UPI"/>
    <x v="2"/>
    <x v="3"/>
    <n v="10"/>
    <n v="1"/>
    <n v="0"/>
    <s v="New"/>
    <x v="0"/>
    <n v="35"/>
    <n v="0"/>
  </r>
  <r>
    <n v="4904"/>
    <x v="37"/>
    <n v="1737"/>
    <x v="1"/>
    <x v="4"/>
    <x v="3"/>
    <n v="2"/>
    <n v="0"/>
    <s v="UPI"/>
    <x v="1"/>
    <x v="3"/>
    <n v="4"/>
    <n v="1"/>
    <n v="0"/>
    <s v="Repeat"/>
    <x v="4"/>
    <n v="46"/>
    <n v="0"/>
  </r>
  <r>
    <n v="4905"/>
    <x v="73"/>
    <n v="1426"/>
    <x v="0"/>
    <x v="2"/>
    <x v="1"/>
    <n v="3"/>
    <n v="0"/>
    <s v="Card"/>
    <x v="1"/>
    <x v="3"/>
    <n v="1"/>
    <n v="1"/>
    <n v="0"/>
    <s v="New"/>
    <x v="4"/>
    <n v="45"/>
    <n v="0"/>
  </r>
  <r>
    <n v="4906"/>
    <x v="89"/>
    <n v="1243"/>
    <x v="1"/>
    <x v="2"/>
    <x v="0"/>
    <n v="4"/>
    <n v="0"/>
    <s v="COD"/>
    <x v="1"/>
    <x v="0"/>
    <n v="10"/>
    <n v="1"/>
    <n v="1"/>
    <s v="Repeat"/>
    <x v="0"/>
    <n v="35"/>
    <n v="0"/>
  </r>
  <r>
    <n v="4907"/>
    <x v="137"/>
    <n v="1492"/>
    <x v="0"/>
    <x v="1"/>
    <x v="2"/>
    <n v="3"/>
    <n v="0"/>
    <s v="COD"/>
    <x v="1"/>
    <x v="1"/>
    <n v="10"/>
    <n v="0"/>
    <n v="1"/>
    <s v="Repeat"/>
    <x v="1"/>
    <n v="40"/>
    <n v="0"/>
  </r>
  <r>
    <n v="4908"/>
    <x v="165"/>
    <n v="1289"/>
    <x v="4"/>
    <x v="2"/>
    <x v="0"/>
    <n v="1"/>
    <n v="4500"/>
    <s v="Card"/>
    <x v="0"/>
    <x v="3"/>
    <n v="5"/>
    <n v="1"/>
    <n v="0"/>
    <s v="Repeat"/>
    <x v="2"/>
    <n v="41"/>
    <n v="1"/>
  </r>
  <r>
    <n v="4909"/>
    <x v="112"/>
    <n v="1078"/>
    <x v="4"/>
    <x v="3"/>
    <x v="0"/>
    <n v="3"/>
    <n v="0"/>
    <s v="COD"/>
    <x v="1"/>
    <x v="2"/>
    <n v="2"/>
    <n v="0"/>
    <n v="0"/>
    <s v="Repeat"/>
    <x v="5"/>
    <n v="30"/>
    <n v="0"/>
  </r>
  <r>
    <n v="4910"/>
    <x v="36"/>
    <n v="1135"/>
    <x v="0"/>
    <x v="3"/>
    <x v="1"/>
    <n v="3"/>
    <n v="0"/>
    <s v="Card"/>
    <x v="1"/>
    <x v="3"/>
    <n v="2"/>
    <n v="1"/>
    <n v="0"/>
    <s v="New"/>
    <x v="2"/>
    <n v="44"/>
    <n v="0"/>
  </r>
  <r>
    <n v="4911"/>
    <x v="142"/>
    <n v="1129"/>
    <x v="3"/>
    <x v="4"/>
    <x v="2"/>
    <n v="2"/>
    <n v="0"/>
    <s v="Card"/>
    <x v="2"/>
    <x v="0"/>
    <n v="7"/>
    <n v="1"/>
    <n v="0"/>
    <s v="New"/>
    <x v="2"/>
    <n v="42"/>
    <n v="0"/>
  </r>
  <r>
    <n v="4912"/>
    <x v="173"/>
    <n v="1158"/>
    <x v="0"/>
    <x v="2"/>
    <x v="0"/>
    <n v="4"/>
    <n v="0"/>
    <s v="Card"/>
    <x v="1"/>
    <x v="2"/>
    <n v="6"/>
    <n v="0"/>
    <n v="0"/>
    <s v="Repeat"/>
    <x v="5"/>
    <n v="30"/>
    <n v="0"/>
  </r>
  <r>
    <n v="4913"/>
    <x v="105"/>
    <n v="1170"/>
    <x v="4"/>
    <x v="1"/>
    <x v="2"/>
    <n v="1"/>
    <n v="2330"/>
    <s v="UPI"/>
    <x v="0"/>
    <x v="1"/>
    <n v="1"/>
    <n v="1"/>
    <n v="0"/>
    <s v="Repeat"/>
    <x v="3"/>
    <n v="52"/>
    <n v="1"/>
  </r>
  <r>
    <n v="4914"/>
    <x v="155"/>
    <n v="1260"/>
    <x v="0"/>
    <x v="3"/>
    <x v="3"/>
    <n v="5"/>
    <n v="0"/>
    <s v="COD"/>
    <x v="1"/>
    <x v="3"/>
    <n v="10"/>
    <n v="0"/>
    <n v="1"/>
    <s v="Repeat"/>
    <x v="0"/>
    <n v="33"/>
    <n v="0"/>
  </r>
  <r>
    <n v="4915"/>
    <x v="171"/>
    <n v="1161"/>
    <x v="4"/>
    <x v="4"/>
    <x v="2"/>
    <n v="1"/>
    <n v="4007"/>
    <s v="UPI"/>
    <x v="0"/>
    <x v="2"/>
    <n v="4"/>
    <n v="0"/>
    <n v="0"/>
    <s v="New"/>
    <x v="1"/>
    <n v="36"/>
    <n v="1"/>
  </r>
  <r>
    <n v="4916"/>
    <x v="33"/>
    <n v="1464"/>
    <x v="2"/>
    <x v="0"/>
    <x v="0"/>
    <n v="1"/>
    <n v="3240"/>
    <s v="COD"/>
    <x v="0"/>
    <x v="3"/>
    <n v="8"/>
    <n v="1"/>
    <n v="1"/>
    <s v="Repeat"/>
    <x v="5"/>
    <n v="31"/>
    <n v="1"/>
  </r>
  <r>
    <n v="4917"/>
    <x v="134"/>
    <n v="1329"/>
    <x v="2"/>
    <x v="4"/>
    <x v="2"/>
    <n v="5"/>
    <n v="7865"/>
    <s v="UPI"/>
    <x v="0"/>
    <x v="3"/>
    <n v="6"/>
    <n v="1"/>
    <n v="1"/>
    <s v="Repeat"/>
    <x v="3"/>
    <n v="51"/>
    <n v="1"/>
  </r>
  <r>
    <n v="4918"/>
    <x v="13"/>
    <n v="1942"/>
    <x v="4"/>
    <x v="2"/>
    <x v="3"/>
    <n v="4"/>
    <n v="0"/>
    <s v="COD"/>
    <x v="1"/>
    <x v="0"/>
    <n v="2"/>
    <n v="1"/>
    <n v="0"/>
    <s v="New"/>
    <x v="2"/>
    <n v="41"/>
    <n v="0"/>
  </r>
  <r>
    <n v="4919"/>
    <x v="69"/>
    <n v="1714"/>
    <x v="3"/>
    <x v="4"/>
    <x v="3"/>
    <n v="2"/>
    <n v="0"/>
    <s v="UPI"/>
    <x v="2"/>
    <x v="0"/>
    <n v="9"/>
    <n v="0"/>
    <n v="1"/>
    <s v="Repeat"/>
    <x v="2"/>
    <n v="40"/>
    <n v="0"/>
  </r>
  <r>
    <n v="4920"/>
    <x v="1"/>
    <n v="1364"/>
    <x v="4"/>
    <x v="2"/>
    <x v="0"/>
    <n v="1"/>
    <n v="0"/>
    <s v="Card"/>
    <x v="1"/>
    <x v="0"/>
    <n v="4"/>
    <n v="0"/>
    <n v="1"/>
    <s v="Repeat"/>
    <x v="1"/>
    <n v="39"/>
    <n v="0"/>
  </r>
  <r>
    <n v="4921"/>
    <x v="43"/>
    <n v="1328"/>
    <x v="4"/>
    <x v="0"/>
    <x v="2"/>
    <n v="1"/>
    <n v="0"/>
    <s v="COD"/>
    <x v="2"/>
    <x v="3"/>
    <n v="2"/>
    <n v="1"/>
    <n v="1"/>
    <s v="New"/>
    <x v="4"/>
    <n v="46"/>
    <n v="0"/>
  </r>
  <r>
    <n v="4922"/>
    <x v="149"/>
    <n v="1718"/>
    <x v="0"/>
    <x v="1"/>
    <x v="1"/>
    <n v="3"/>
    <n v="0"/>
    <s v="COD"/>
    <x v="2"/>
    <x v="0"/>
    <n v="9"/>
    <n v="0"/>
    <n v="1"/>
    <s v="Repeat"/>
    <x v="3"/>
    <n v="49"/>
    <n v="0"/>
  </r>
  <r>
    <n v="4923"/>
    <x v="33"/>
    <n v="1425"/>
    <x v="0"/>
    <x v="4"/>
    <x v="3"/>
    <n v="4"/>
    <n v="12336"/>
    <s v="Card"/>
    <x v="0"/>
    <x v="0"/>
    <n v="5"/>
    <n v="0"/>
    <n v="0"/>
    <s v="Repeat"/>
    <x v="5"/>
    <n v="31"/>
    <n v="1"/>
  </r>
  <r>
    <n v="4924"/>
    <x v="106"/>
    <n v="1955"/>
    <x v="4"/>
    <x v="2"/>
    <x v="0"/>
    <n v="4"/>
    <n v="0"/>
    <s v="Wallet"/>
    <x v="2"/>
    <x v="0"/>
    <n v="3"/>
    <n v="1"/>
    <n v="1"/>
    <s v="Repeat"/>
    <x v="5"/>
    <n v="30"/>
    <n v="0"/>
  </r>
  <r>
    <n v="4925"/>
    <x v="103"/>
    <n v="1560"/>
    <x v="1"/>
    <x v="4"/>
    <x v="2"/>
    <n v="2"/>
    <n v="0"/>
    <s v="UPI"/>
    <x v="1"/>
    <x v="0"/>
    <n v="4"/>
    <n v="1"/>
    <n v="1"/>
    <s v="Repeat"/>
    <x v="1"/>
    <n v="38"/>
    <n v="0"/>
  </r>
  <r>
    <n v="4926"/>
    <x v="77"/>
    <n v="1793"/>
    <x v="4"/>
    <x v="4"/>
    <x v="1"/>
    <n v="5"/>
    <n v="0"/>
    <s v="Card"/>
    <x v="2"/>
    <x v="2"/>
    <n v="2"/>
    <n v="0"/>
    <n v="0"/>
    <s v="Repeat"/>
    <x v="1"/>
    <n v="38"/>
    <n v="0"/>
  </r>
  <r>
    <n v="4927"/>
    <x v="79"/>
    <n v="1518"/>
    <x v="3"/>
    <x v="1"/>
    <x v="3"/>
    <n v="2"/>
    <n v="904"/>
    <s v="COD"/>
    <x v="0"/>
    <x v="0"/>
    <n v="8"/>
    <n v="1"/>
    <n v="1"/>
    <s v="New"/>
    <x v="1"/>
    <n v="36"/>
    <n v="1"/>
  </r>
  <r>
    <n v="4928"/>
    <x v="173"/>
    <n v="1826"/>
    <x v="2"/>
    <x v="3"/>
    <x v="1"/>
    <n v="3"/>
    <n v="12498"/>
    <s v="Card"/>
    <x v="0"/>
    <x v="3"/>
    <n v="2"/>
    <n v="1"/>
    <n v="0"/>
    <s v="Repeat"/>
    <x v="5"/>
    <n v="30"/>
    <n v="1"/>
  </r>
  <r>
    <n v="4929"/>
    <x v="103"/>
    <n v="1842"/>
    <x v="4"/>
    <x v="4"/>
    <x v="1"/>
    <n v="5"/>
    <n v="23505"/>
    <s v="Wallet"/>
    <x v="0"/>
    <x v="2"/>
    <n v="5"/>
    <n v="1"/>
    <n v="1"/>
    <s v="New"/>
    <x v="1"/>
    <n v="38"/>
    <n v="1"/>
  </r>
  <r>
    <n v="4930"/>
    <x v="80"/>
    <n v="1855"/>
    <x v="1"/>
    <x v="0"/>
    <x v="1"/>
    <n v="4"/>
    <n v="0"/>
    <s v="COD"/>
    <x v="1"/>
    <x v="3"/>
    <n v="1"/>
    <n v="0"/>
    <n v="1"/>
    <s v="New"/>
    <x v="6"/>
    <n v="2"/>
    <n v="0"/>
  </r>
  <r>
    <n v="4931"/>
    <x v="105"/>
    <n v="1149"/>
    <x v="1"/>
    <x v="0"/>
    <x v="2"/>
    <n v="4"/>
    <n v="0"/>
    <s v="COD"/>
    <x v="1"/>
    <x v="1"/>
    <n v="9"/>
    <n v="1"/>
    <n v="0"/>
    <s v="New"/>
    <x v="3"/>
    <n v="52"/>
    <n v="0"/>
  </r>
  <r>
    <n v="4932"/>
    <x v="163"/>
    <n v="1033"/>
    <x v="0"/>
    <x v="2"/>
    <x v="2"/>
    <n v="3"/>
    <n v="11640"/>
    <s v="Wallet"/>
    <x v="0"/>
    <x v="2"/>
    <n v="4"/>
    <n v="0"/>
    <n v="0"/>
    <s v="New"/>
    <x v="4"/>
    <n v="45"/>
    <n v="1"/>
  </r>
  <r>
    <n v="4933"/>
    <x v="160"/>
    <n v="1353"/>
    <x v="3"/>
    <x v="4"/>
    <x v="2"/>
    <n v="5"/>
    <n v="0"/>
    <s v="Card"/>
    <x v="2"/>
    <x v="2"/>
    <n v="10"/>
    <n v="0"/>
    <n v="0"/>
    <s v="Repeat"/>
    <x v="4"/>
    <n v="47"/>
    <n v="0"/>
  </r>
  <r>
    <n v="4934"/>
    <x v="144"/>
    <n v="1522"/>
    <x v="2"/>
    <x v="2"/>
    <x v="3"/>
    <n v="5"/>
    <n v="0"/>
    <s v="Card"/>
    <x v="2"/>
    <x v="1"/>
    <n v="4"/>
    <n v="0"/>
    <n v="0"/>
    <s v="New"/>
    <x v="3"/>
    <n v="52"/>
    <n v="0"/>
  </r>
  <r>
    <n v="4935"/>
    <x v="46"/>
    <n v="1735"/>
    <x v="2"/>
    <x v="1"/>
    <x v="3"/>
    <n v="2"/>
    <n v="7746"/>
    <s v="UPI"/>
    <x v="0"/>
    <x v="1"/>
    <n v="1"/>
    <n v="0"/>
    <n v="1"/>
    <s v="Repeat"/>
    <x v="5"/>
    <n v="30"/>
    <n v="1"/>
  </r>
  <r>
    <n v="4936"/>
    <x v="87"/>
    <n v="1242"/>
    <x v="2"/>
    <x v="0"/>
    <x v="3"/>
    <n v="3"/>
    <n v="0"/>
    <s v="UPI"/>
    <x v="2"/>
    <x v="1"/>
    <n v="9"/>
    <n v="0"/>
    <n v="1"/>
    <s v="Repeat"/>
    <x v="2"/>
    <n v="42"/>
    <n v="0"/>
  </r>
  <r>
    <n v="4937"/>
    <x v="72"/>
    <n v="1898"/>
    <x v="0"/>
    <x v="1"/>
    <x v="3"/>
    <n v="1"/>
    <n v="0"/>
    <s v="Wallet"/>
    <x v="1"/>
    <x v="1"/>
    <n v="2"/>
    <n v="0"/>
    <n v="0"/>
    <s v="New"/>
    <x v="2"/>
    <n v="41"/>
    <n v="0"/>
  </r>
  <r>
    <n v="4938"/>
    <x v="50"/>
    <n v="1873"/>
    <x v="0"/>
    <x v="2"/>
    <x v="0"/>
    <n v="5"/>
    <n v="0"/>
    <s v="COD"/>
    <x v="1"/>
    <x v="3"/>
    <n v="6"/>
    <n v="0"/>
    <n v="1"/>
    <s v="Repeat"/>
    <x v="3"/>
    <n v="53"/>
    <n v="0"/>
  </r>
  <r>
    <n v="4939"/>
    <x v="72"/>
    <n v="1195"/>
    <x v="0"/>
    <x v="4"/>
    <x v="2"/>
    <n v="1"/>
    <n v="0"/>
    <s v="UPI"/>
    <x v="1"/>
    <x v="2"/>
    <n v="5"/>
    <n v="1"/>
    <n v="0"/>
    <s v="New"/>
    <x v="2"/>
    <n v="41"/>
    <n v="0"/>
  </r>
  <r>
    <n v="4940"/>
    <x v="27"/>
    <n v="1783"/>
    <x v="2"/>
    <x v="4"/>
    <x v="1"/>
    <n v="5"/>
    <n v="17925"/>
    <s v="COD"/>
    <x v="0"/>
    <x v="1"/>
    <n v="9"/>
    <n v="1"/>
    <n v="0"/>
    <s v="Repeat"/>
    <x v="1"/>
    <n v="37"/>
    <n v="1"/>
  </r>
  <r>
    <n v="4941"/>
    <x v="136"/>
    <n v="1694"/>
    <x v="3"/>
    <x v="3"/>
    <x v="3"/>
    <n v="2"/>
    <n v="0"/>
    <s v="UPI"/>
    <x v="2"/>
    <x v="3"/>
    <n v="7"/>
    <n v="1"/>
    <n v="1"/>
    <s v="New"/>
    <x v="2"/>
    <n v="40"/>
    <n v="0"/>
  </r>
  <r>
    <n v="4942"/>
    <x v="121"/>
    <n v="1470"/>
    <x v="2"/>
    <x v="0"/>
    <x v="0"/>
    <n v="1"/>
    <n v="0"/>
    <s v="Wallet"/>
    <x v="2"/>
    <x v="0"/>
    <n v="8"/>
    <n v="1"/>
    <n v="1"/>
    <s v="New"/>
    <x v="1"/>
    <n v="37"/>
    <n v="0"/>
  </r>
  <r>
    <n v="4943"/>
    <x v="73"/>
    <n v="1264"/>
    <x v="1"/>
    <x v="1"/>
    <x v="2"/>
    <n v="1"/>
    <n v="0"/>
    <s v="COD"/>
    <x v="2"/>
    <x v="3"/>
    <n v="1"/>
    <n v="0"/>
    <n v="0"/>
    <s v="Repeat"/>
    <x v="4"/>
    <n v="45"/>
    <n v="0"/>
  </r>
  <r>
    <n v="4944"/>
    <x v="132"/>
    <n v="1148"/>
    <x v="2"/>
    <x v="0"/>
    <x v="0"/>
    <n v="1"/>
    <n v="0"/>
    <s v="UPI"/>
    <x v="1"/>
    <x v="2"/>
    <n v="3"/>
    <n v="0"/>
    <n v="1"/>
    <s v="Repeat"/>
    <x v="2"/>
    <n v="42"/>
    <n v="0"/>
  </r>
  <r>
    <n v="4945"/>
    <x v="85"/>
    <n v="1292"/>
    <x v="3"/>
    <x v="1"/>
    <x v="2"/>
    <n v="4"/>
    <n v="0"/>
    <s v="Wallet"/>
    <x v="2"/>
    <x v="2"/>
    <n v="2"/>
    <n v="0"/>
    <n v="1"/>
    <s v="Repeat"/>
    <x v="3"/>
    <n v="50"/>
    <n v="0"/>
  </r>
  <r>
    <n v="4946"/>
    <x v="79"/>
    <n v="1883"/>
    <x v="4"/>
    <x v="2"/>
    <x v="1"/>
    <n v="3"/>
    <n v="11037"/>
    <s v="Card"/>
    <x v="0"/>
    <x v="3"/>
    <n v="2"/>
    <n v="0"/>
    <n v="1"/>
    <s v="New"/>
    <x v="1"/>
    <n v="36"/>
    <n v="1"/>
  </r>
  <r>
    <n v="4947"/>
    <x v="93"/>
    <n v="1715"/>
    <x v="4"/>
    <x v="3"/>
    <x v="1"/>
    <n v="1"/>
    <n v="0"/>
    <s v="Wallet"/>
    <x v="2"/>
    <x v="2"/>
    <n v="5"/>
    <n v="0"/>
    <n v="0"/>
    <s v="Repeat"/>
    <x v="3"/>
    <n v="53"/>
    <n v="0"/>
  </r>
  <r>
    <n v="4948"/>
    <x v="125"/>
    <n v="1056"/>
    <x v="0"/>
    <x v="0"/>
    <x v="3"/>
    <n v="1"/>
    <n v="0"/>
    <s v="Card"/>
    <x v="2"/>
    <x v="1"/>
    <n v="2"/>
    <n v="1"/>
    <n v="0"/>
    <s v="Repeat"/>
    <x v="5"/>
    <n v="31"/>
    <n v="0"/>
  </r>
  <r>
    <n v="4949"/>
    <x v="107"/>
    <n v="1922"/>
    <x v="0"/>
    <x v="4"/>
    <x v="0"/>
    <n v="3"/>
    <n v="0"/>
    <s v="COD"/>
    <x v="2"/>
    <x v="1"/>
    <n v="7"/>
    <n v="1"/>
    <n v="0"/>
    <s v="Repeat"/>
    <x v="4"/>
    <n v="45"/>
    <n v="0"/>
  </r>
  <r>
    <n v="4950"/>
    <x v="37"/>
    <n v="1211"/>
    <x v="4"/>
    <x v="4"/>
    <x v="2"/>
    <n v="1"/>
    <n v="0"/>
    <s v="UPI"/>
    <x v="2"/>
    <x v="0"/>
    <n v="8"/>
    <n v="0"/>
    <n v="0"/>
    <s v="New"/>
    <x v="4"/>
    <n v="46"/>
    <n v="0"/>
  </r>
  <r>
    <n v="4951"/>
    <x v="48"/>
    <n v="1224"/>
    <x v="0"/>
    <x v="0"/>
    <x v="2"/>
    <n v="5"/>
    <n v="0"/>
    <s v="COD"/>
    <x v="1"/>
    <x v="2"/>
    <n v="7"/>
    <n v="1"/>
    <n v="0"/>
    <s v="Repeat"/>
    <x v="3"/>
    <n v="50"/>
    <n v="0"/>
  </r>
  <r>
    <n v="4952"/>
    <x v="91"/>
    <n v="1427"/>
    <x v="2"/>
    <x v="3"/>
    <x v="3"/>
    <n v="2"/>
    <n v="0"/>
    <s v="Card"/>
    <x v="2"/>
    <x v="2"/>
    <n v="9"/>
    <n v="1"/>
    <n v="1"/>
    <s v="Repeat"/>
    <x v="3"/>
    <n v="52"/>
    <n v="0"/>
  </r>
  <r>
    <n v="4953"/>
    <x v="155"/>
    <n v="1796"/>
    <x v="3"/>
    <x v="2"/>
    <x v="2"/>
    <n v="4"/>
    <n v="0"/>
    <s v="Card"/>
    <x v="1"/>
    <x v="2"/>
    <n v="6"/>
    <n v="0"/>
    <n v="0"/>
    <s v="Repeat"/>
    <x v="0"/>
    <n v="33"/>
    <n v="0"/>
  </r>
  <r>
    <n v="4954"/>
    <x v="145"/>
    <n v="1511"/>
    <x v="0"/>
    <x v="1"/>
    <x v="0"/>
    <n v="4"/>
    <n v="17832"/>
    <s v="UPI"/>
    <x v="0"/>
    <x v="3"/>
    <n v="10"/>
    <n v="1"/>
    <n v="0"/>
    <s v="Repeat"/>
    <x v="4"/>
    <n v="48"/>
    <n v="1"/>
  </r>
  <r>
    <n v="4955"/>
    <x v="135"/>
    <n v="1575"/>
    <x v="2"/>
    <x v="1"/>
    <x v="2"/>
    <n v="2"/>
    <n v="1520"/>
    <s v="COD"/>
    <x v="0"/>
    <x v="3"/>
    <n v="10"/>
    <n v="1"/>
    <n v="0"/>
    <s v="Repeat"/>
    <x v="2"/>
    <n v="43"/>
    <n v="1"/>
  </r>
  <r>
    <n v="4956"/>
    <x v="156"/>
    <n v="1436"/>
    <x v="2"/>
    <x v="0"/>
    <x v="3"/>
    <n v="1"/>
    <n v="0"/>
    <s v="Wallet"/>
    <x v="1"/>
    <x v="3"/>
    <n v="7"/>
    <n v="0"/>
    <n v="1"/>
    <s v="New"/>
    <x v="6"/>
    <n v="2"/>
    <n v="0"/>
  </r>
  <r>
    <n v="4957"/>
    <x v="57"/>
    <n v="1488"/>
    <x v="2"/>
    <x v="2"/>
    <x v="1"/>
    <n v="2"/>
    <n v="0"/>
    <s v="UPI"/>
    <x v="2"/>
    <x v="1"/>
    <n v="4"/>
    <n v="1"/>
    <n v="0"/>
    <s v="Repeat"/>
    <x v="4"/>
    <n v="48"/>
    <n v="0"/>
  </r>
  <r>
    <n v="4958"/>
    <x v="160"/>
    <n v="1906"/>
    <x v="4"/>
    <x v="2"/>
    <x v="0"/>
    <n v="2"/>
    <n v="0"/>
    <s v="COD"/>
    <x v="1"/>
    <x v="3"/>
    <n v="8"/>
    <n v="0"/>
    <n v="1"/>
    <s v="Repeat"/>
    <x v="4"/>
    <n v="47"/>
    <n v="0"/>
  </r>
  <r>
    <n v="4959"/>
    <x v="87"/>
    <n v="1179"/>
    <x v="2"/>
    <x v="2"/>
    <x v="0"/>
    <n v="4"/>
    <n v="15524"/>
    <s v="UPI"/>
    <x v="0"/>
    <x v="0"/>
    <n v="2"/>
    <n v="1"/>
    <n v="0"/>
    <s v="Repeat"/>
    <x v="2"/>
    <n v="42"/>
    <n v="1"/>
  </r>
  <r>
    <n v="4960"/>
    <x v="150"/>
    <n v="1320"/>
    <x v="0"/>
    <x v="2"/>
    <x v="3"/>
    <n v="5"/>
    <n v="0"/>
    <s v="Wallet"/>
    <x v="1"/>
    <x v="1"/>
    <n v="1"/>
    <n v="0"/>
    <n v="1"/>
    <s v="New"/>
    <x v="0"/>
    <n v="35"/>
    <n v="0"/>
  </r>
  <r>
    <n v="4961"/>
    <x v="107"/>
    <n v="1903"/>
    <x v="3"/>
    <x v="0"/>
    <x v="2"/>
    <n v="4"/>
    <n v="0"/>
    <s v="Wallet"/>
    <x v="1"/>
    <x v="0"/>
    <n v="2"/>
    <n v="1"/>
    <n v="1"/>
    <s v="New"/>
    <x v="4"/>
    <n v="45"/>
    <n v="0"/>
  </r>
  <r>
    <n v="4962"/>
    <x v="76"/>
    <n v="1338"/>
    <x v="1"/>
    <x v="2"/>
    <x v="1"/>
    <n v="1"/>
    <n v="3666"/>
    <s v="UPI"/>
    <x v="0"/>
    <x v="3"/>
    <n v="5"/>
    <n v="1"/>
    <n v="0"/>
    <s v="Repeat"/>
    <x v="3"/>
    <n v="50"/>
    <n v="1"/>
  </r>
  <r>
    <n v="4963"/>
    <x v="65"/>
    <n v="1448"/>
    <x v="2"/>
    <x v="2"/>
    <x v="3"/>
    <n v="3"/>
    <n v="0"/>
    <s v="Card"/>
    <x v="2"/>
    <x v="2"/>
    <n v="4"/>
    <n v="1"/>
    <n v="0"/>
    <s v="New"/>
    <x v="1"/>
    <n v="38"/>
    <n v="0"/>
  </r>
  <r>
    <n v="4964"/>
    <x v="128"/>
    <n v="1577"/>
    <x v="2"/>
    <x v="2"/>
    <x v="2"/>
    <n v="4"/>
    <n v="10884"/>
    <s v="Wallet"/>
    <x v="0"/>
    <x v="1"/>
    <n v="4"/>
    <n v="0"/>
    <n v="0"/>
    <s v="New"/>
    <x v="1"/>
    <n v="39"/>
    <n v="1"/>
  </r>
  <r>
    <n v="4965"/>
    <x v="43"/>
    <n v="1686"/>
    <x v="4"/>
    <x v="0"/>
    <x v="0"/>
    <n v="2"/>
    <n v="9292"/>
    <s v="Wallet"/>
    <x v="0"/>
    <x v="1"/>
    <n v="3"/>
    <n v="1"/>
    <n v="1"/>
    <s v="New"/>
    <x v="4"/>
    <n v="46"/>
    <n v="1"/>
  </r>
  <r>
    <n v="4966"/>
    <x v="17"/>
    <n v="1691"/>
    <x v="3"/>
    <x v="0"/>
    <x v="3"/>
    <n v="4"/>
    <n v="0"/>
    <s v="Wallet"/>
    <x v="2"/>
    <x v="1"/>
    <n v="9"/>
    <n v="0"/>
    <n v="1"/>
    <s v="New"/>
    <x v="1"/>
    <n v="38"/>
    <n v="0"/>
  </r>
  <r>
    <n v="4967"/>
    <x v="164"/>
    <n v="1151"/>
    <x v="0"/>
    <x v="3"/>
    <x v="0"/>
    <n v="5"/>
    <n v="19405"/>
    <s v="COD"/>
    <x v="0"/>
    <x v="3"/>
    <n v="2"/>
    <n v="1"/>
    <n v="1"/>
    <s v="New"/>
    <x v="0"/>
    <n v="34"/>
    <n v="1"/>
  </r>
  <r>
    <n v="4968"/>
    <x v="118"/>
    <n v="1310"/>
    <x v="0"/>
    <x v="3"/>
    <x v="2"/>
    <n v="5"/>
    <n v="0"/>
    <s v="Card"/>
    <x v="1"/>
    <x v="2"/>
    <n v="8"/>
    <n v="1"/>
    <n v="1"/>
    <s v="New"/>
    <x v="0"/>
    <n v="35"/>
    <n v="0"/>
  </r>
  <r>
    <n v="4969"/>
    <x v="178"/>
    <n v="1607"/>
    <x v="1"/>
    <x v="0"/>
    <x v="1"/>
    <n v="4"/>
    <n v="17532"/>
    <s v="Wallet"/>
    <x v="0"/>
    <x v="3"/>
    <n v="6"/>
    <n v="0"/>
    <n v="0"/>
    <s v="New"/>
    <x v="4"/>
    <n v="45"/>
    <n v="1"/>
  </r>
  <r>
    <n v="4970"/>
    <x v="65"/>
    <n v="1657"/>
    <x v="1"/>
    <x v="4"/>
    <x v="3"/>
    <n v="3"/>
    <n v="0"/>
    <s v="UPI"/>
    <x v="2"/>
    <x v="0"/>
    <n v="9"/>
    <n v="0"/>
    <n v="1"/>
    <s v="New"/>
    <x v="1"/>
    <n v="38"/>
    <n v="0"/>
  </r>
  <r>
    <n v="4971"/>
    <x v="91"/>
    <n v="1896"/>
    <x v="2"/>
    <x v="0"/>
    <x v="0"/>
    <n v="3"/>
    <n v="4083"/>
    <s v="Wallet"/>
    <x v="0"/>
    <x v="2"/>
    <n v="8"/>
    <n v="0"/>
    <n v="1"/>
    <s v="Repeat"/>
    <x v="3"/>
    <n v="52"/>
    <n v="1"/>
  </r>
  <r>
    <n v="4972"/>
    <x v="7"/>
    <n v="1535"/>
    <x v="0"/>
    <x v="3"/>
    <x v="3"/>
    <n v="5"/>
    <n v="0"/>
    <s v="UPI"/>
    <x v="2"/>
    <x v="1"/>
    <n v="1"/>
    <n v="0"/>
    <n v="1"/>
    <s v="New"/>
    <x v="3"/>
    <n v="49"/>
    <n v="0"/>
  </r>
  <r>
    <n v="4973"/>
    <x v="121"/>
    <n v="1903"/>
    <x v="4"/>
    <x v="0"/>
    <x v="2"/>
    <n v="4"/>
    <n v="0"/>
    <s v="COD"/>
    <x v="2"/>
    <x v="1"/>
    <n v="2"/>
    <n v="0"/>
    <n v="0"/>
    <s v="New"/>
    <x v="1"/>
    <n v="37"/>
    <n v="0"/>
  </r>
  <r>
    <n v="4974"/>
    <x v="112"/>
    <n v="1683"/>
    <x v="4"/>
    <x v="1"/>
    <x v="2"/>
    <n v="2"/>
    <n v="0"/>
    <s v="Card"/>
    <x v="2"/>
    <x v="2"/>
    <n v="2"/>
    <n v="0"/>
    <n v="0"/>
    <s v="Repeat"/>
    <x v="5"/>
    <n v="30"/>
    <n v="0"/>
  </r>
  <r>
    <n v="4975"/>
    <x v="55"/>
    <n v="1851"/>
    <x v="0"/>
    <x v="1"/>
    <x v="2"/>
    <n v="1"/>
    <n v="0"/>
    <s v="Wallet"/>
    <x v="2"/>
    <x v="2"/>
    <n v="6"/>
    <n v="0"/>
    <n v="1"/>
    <s v="Repeat"/>
    <x v="1"/>
    <n v="37"/>
    <n v="0"/>
  </r>
  <r>
    <n v="4976"/>
    <x v="25"/>
    <n v="1753"/>
    <x v="4"/>
    <x v="4"/>
    <x v="1"/>
    <n v="2"/>
    <n v="0"/>
    <s v="COD"/>
    <x v="1"/>
    <x v="0"/>
    <n v="4"/>
    <n v="1"/>
    <n v="1"/>
    <s v="New"/>
    <x v="4"/>
    <n v="49"/>
    <n v="0"/>
  </r>
  <r>
    <n v="4977"/>
    <x v="97"/>
    <n v="1459"/>
    <x v="1"/>
    <x v="0"/>
    <x v="1"/>
    <n v="3"/>
    <n v="6363"/>
    <s v="COD"/>
    <x v="0"/>
    <x v="3"/>
    <n v="6"/>
    <n v="1"/>
    <n v="1"/>
    <s v="Repeat"/>
    <x v="1"/>
    <n v="40"/>
    <n v="1"/>
  </r>
  <r>
    <n v="4978"/>
    <x v="154"/>
    <n v="1216"/>
    <x v="4"/>
    <x v="4"/>
    <x v="2"/>
    <n v="5"/>
    <n v="0"/>
    <s v="COD"/>
    <x v="2"/>
    <x v="3"/>
    <n v="5"/>
    <n v="0"/>
    <n v="1"/>
    <s v="Repeat"/>
    <x v="2"/>
    <n v="42"/>
    <n v="0"/>
  </r>
  <r>
    <n v="4979"/>
    <x v="19"/>
    <n v="1598"/>
    <x v="3"/>
    <x v="3"/>
    <x v="2"/>
    <n v="4"/>
    <n v="18180"/>
    <s v="COD"/>
    <x v="0"/>
    <x v="1"/>
    <n v="2"/>
    <n v="0"/>
    <n v="0"/>
    <s v="New"/>
    <x v="0"/>
    <n v="33"/>
    <n v="1"/>
  </r>
  <r>
    <n v="4980"/>
    <x v="138"/>
    <n v="1473"/>
    <x v="1"/>
    <x v="3"/>
    <x v="3"/>
    <n v="2"/>
    <n v="5820"/>
    <s v="COD"/>
    <x v="0"/>
    <x v="2"/>
    <n v="2"/>
    <n v="1"/>
    <n v="1"/>
    <s v="Repeat"/>
    <x v="2"/>
    <n v="44"/>
    <n v="1"/>
  </r>
  <r>
    <n v="4981"/>
    <x v="127"/>
    <n v="1725"/>
    <x v="3"/>
    <x v="1"/>
    <x v="3"/>
    <n v="5"/>
    <n v="12605"/>
    <s v="Card"/>
    <x v="0"/>
    <x v="0"/>
    <n v="9"/>
    <n v="0"/>
    <n v="0"/>
    <s v="Repeat"/>
    <x v="5"/>
    <n v="29"/>
    <n v="1"/>
  </r>
  <r>
    <n v="4982"/>
    <x v="69"/>
    <n v="1211"/>
    <x v="4"/>
    <x v="1"/>
    <x v="0"/>
    <n v="3"/>
    <n v="0"/>
    <s v="Card"/>
    <x v="2"/>
    <x v="1"/>
    <n v="9"/>
    <n v="1"/>
    <n v="1"/>
    <s v="Repeat"/>
    <x v="2"/>
    <n v="40"/>
    <n v="0"/>
  </r>
  <r>
    <n v="4983"/>
    <x v="117"/>
    <n v="1044"/>
    <x v="4"/>
    <x v="3"/>
    <x v="1"/>
    <n v="5"/>
    <n v="0"/>
    <s v="Wallet"/>
    <x v="1"/>
    <x v="2"/>
    <n v="1"/>
    <n v="1"/>
    <n v="0"/>
    <s v="New"/>
    <x v="5"/>
    <n v="31"/>
    <n v="0"/>
  </r>
  <r>
    <n v="4984"/>
    <x v="74"/>
    <n v="1090"/>
    <x v="3"/>
    <x v="4"/>
    <x v="3"/>
    <n v="1"/>
    <n v="2845"/>
    <s v="COD"/>
    <x v="0"/>
    <x v="3"/>
    <n v="6"/>
    <n v="0"/>
    <n v="0"/>
    <s v="Repeat"/>
    <x v="5"/>
    <n v="29"/>
    <n v="1"/>
  </r>
  <r>
    <n v="4985"/>
    <x v="53"/>
    <n v="1124"/>
    <x v="1"/>
    <x v="3"/>
    <x v="2"/>
    <n v="1"/>
    <n v="0"/>
    <s v="Card"/>
    <x v="2"/>
    <x v="0"/>
    <n v="2"/>
    <n v="1"/>
    <n v="1"/>
    <s v="Repeat"/>
    <x v="2"/>
    <n v="42"/>
    <n v="0"/>
  </r>
  <r>
    <n v="4986"/>
    <x v="20"/>
    <n v="1612"/>
    <x v="1"/>
    <x v="0"/>
    <x v="2"/>
    <n v="2"/>
    <n v="0"/>
    <s v="Wallet"/>
    <x v="1"/>
    <x v="1"/>
    <n v="7"/>
    <n v="1"/>
    <n v="0"/>
    <s v="New"/>
    <x v="0"/>
    <n v="32"/>
    <n v="0"/>
  </r>
  <r>
    <n v="4987"/>
    <x v="2"/>
    <n v="1284"/>
    <x v="1"/>
    <x v="4"/>
    <x v="3"/>
    <n v="1"/>
    <n v="3770"/>
    <s v="UPI"/>
    <x v="0"/>
    <x v="2"/>
    <n v="1"/>
    <n v="0"/>
    <n v="0"/>
    <s v="New"/>
    <x v="2"/>
    <n v="41"/>
    <n v="1"/>
  </r>
  <r>
    <n v="4988"/>
    <x v="164"/>
    <n v="1197"/>
    <x v="0"/>
    <x v="1"/>
    <x v="1"/>
    <n v="3"/>
    <n v="12990"/>
    <s v="Wallet"/>
    <x v="0"/>
    <x v="0"/>
    <n v="6"/>
    <n v="0"/>
    <n v="1"/>
    <s v="New"/>
    <x v="0"/>
    <n v="34"/>
    <n v="1"/>
  </r>
  <r>
    <n v="4989"/>
    <x v="53"/>
    <n v="1293"/>
    <x v="4"/>
    <x v="4"/>
    <x v="2"/>
    <n v="3"/>
    <n v="0"/>
    <s v="COD"/>
    <x v="2"/>
    <x v="2"/>
    <n v="8"/>
    <n v="1"/>
    <n v="1"/>
    <s v="New"/>
    <x v="2"/>
    <n v="42"/>
    <n v="0"/>
  </r>
  <r>
    <n v="4990"/>
    <x v="47"/>
    <n v="1782"/>
    <x v="3"/>
    <x v="1"/>
    <x v="2"/>
    <n v="4"/>
    <n v="8424"/>
    <s v="COD"/>
    <x v="0"/>
    <x v="0"/>
    <n v="6"/>
    <n v="1"/>
    <n v="1"/>
    <s v="Repeat"/>
    <x v="6"/>
    <n v="2"/>
    <n v="1"/>
  </r>
  <r>
    <n v="4991"/>
    <x v="144"/>
    <n v="1308"/>
    <x v="0"/>
    <x v="2"/>
    <x v="0"/>
    <n v="3"/>
    <n v="0"/>
    <s v="Card"/>
    <x v="2"/>
    <x v="2"/>
    <n v="10"/>
    <n v="0"/>
    <n v="1"/>
    <s v="New"/>
    <x v="3"/>
    <n v="52"/>
    <n v="0"/>
  </r>
  <r>
    <n v="4992"/>
    <x v="149"/>
    <n v="1682"/>
    <x v="0"/>
    <x v="0"/>
    <x v="2"/>
    <n v="3"/>
    <n v="0"/>
    <s v="UPI"/>
    <x v="1"/>
    <x v="0"/>
    <n v="1"/>
    <n v="1"/>
    <n v="1"/>
    <s v="Repeat"/>
    <x v="3"/>
    <n v="49"/>
    <n v="0"/>
  </r>
  <r>
    <n v="4993"/>
    <x v="80"/>
    <n v="1492"/>
    <x v="3"/>
    <x v="4"/>
    <x v="0"/>
    <n v="4"/>
    <n v="0"/>
    <s v="UPI"/>
    <x v="1"/>
    <x v="0"/>
    <n v="8"/>
    <n v="1"/>
    <n v="1"/>
    <s v="New"/>
    <x v="6"/>
    <n v="2"/>
    <n v="0"/>
  </r>
  <r>
    <n v="4994"/>
    <x v="159"/>
    <n v="1637"/>
    <x v="4"/>
    <x v="4"/>
    <x v="0"/>
    <n v="1"/>
    <n v="0"/>
    <s v="UPI"/>
    <x v="1"/>
    <x v="2"/>
    <n v="8"/>
    <n v="0"/>
    <n v="1"/>
    <s v="New"/>
    <x v="3"/>
    <n v="49"/>
    <n v="0"/>
  </r>
  <r>
    <n v="4995"/>
    <x v="168"/>
    <n v="1589"/>
    <x v="0"/>
    <x v="0"/>
    <x v="0"/>
    <n v="4"/>
    <n v="0"/>
    <s v="Card"/>
    <x v="1"/>
    <x v="1"/>
    <n v="1"/>
    <n v="1"/>
    <n v="0"/>
    <s v="Repeat"/>
    <x v="6"/>
    <n v="1"/>
    <n v="0"/>
  </r>
  <r>
    <n v="4996"/>
    <x v="85"/>
    <n v="1951"/>
    <x v="0"/>
    <x v="4"/>
    <x v="3"/>
    <n v="5"/>
    <n v="0"/>
    <s v="Wallet"/>
    <x v="1"/>
    <x v="1"/>
    <n v="8"/>
    <n v="1"/>
    <n v="0"/>
    <s v="New"/>
    <x v="3"/>
    <n v="50"/>
    <n v="0"/>
  </r>
  <r>
    <n v="4997"/>
    <x v="103"/>
    <n v="1767"/>
    <x v="4"/>
    <x v="3"/>
    <x v="0"/>
    <n v="3"/>
    <n v="0"/>
    <s v="Card"/>
    <x v="1"/>
    <x v="1"/>
    <n v="7"/>
    <n v="0"/>
    <n v="1"/>
    <s v="Repeat"/>
    <x v="1"/>
    <n v="38"/>
    <n v="0"/>
  </r>
  <r>
    <n v="4998"/>
    <x v="175"/>
    <n v="1700"/>
    <x v="1"/>
    <x v="1"/>
    <x v="3"/>
    <n v="3"/>
    <n v="0"/>
    <s v="Card"/>
    <x v="1"/>
    <x v="2"/>
    <n v="1"/>
    <n v="1"/>
    <n v="1"/>
    <s v="New"/>
    <x v="5"/>
    <n v="31"/>
    <n v="0"/>
  </r>
  <r>
    <n v="4999"/>
    <x v="170"/>
    <n v="1624"/>
    <x v="4"/>
    <x v="1"/>
    <x v="1"/>
    <n v="3"/>
    <n v="2883"/>
    <s v="Card"/>
    <x v="0"/>
    <x v="2"/>
    <n v="7"/>
    <n v="1"/>
    <n v="1"/>
    <s v="Repeat"/>
    <x v="4"/>
    <n v="48"/>
    <n v="1"/>
  </r>
  <r>
    <n v="5000"/>
    <x v="79"/>
    <n v="1897"/>
    <x v="2"/>
    <x v="4"/>
    <x v="1"/>
    <n v="1"/>
    <n v="0"/>
    <s v="Card"/>
    <x v="2"/>
    <x v="2"/>
    <n v="10"/>
    <n v="1"/>
    <n v="0"/>
    <s v="Repeat"/>
    <x v="1"/>
    <n v="36"/>
    <n v="0"/>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C1F906D5-8783-4A89-98F1-3314C7EE9B6F}" name="PivotTable7" cacheId="1"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7" rowHeaderCaption="City">
  <location ref="A64:B70" firstHeaderRow="1" firstDataRow="1" firstDataCol="1"/>
  <pivotFields count="21">
    <pivotField showAll="0"/>
    <pivotField numFmtId="164" showAll="0">
      <items count="182">
        <item x="179"/>
        <item x="104"/>
        <item x="74"/>
        <item x="127"/>
        <item x="51"/>
        <item x="174"/>
        <item x="63"/>
        <item x="148"/>
        <item x="9"/>
        <item x="24"/>
        <item x="112"/>
        <item x="46"/>
        <item x="106"/>
        <item x="173"/>
        <item x="33"/>
        <item x="58"/>
        <item x="175"/>
        <item x="117"/>
        <item x="125"/>
        <item x="90"/>
        <item x="153"/>
        <item x="3"/>
        <item x="16"/>
        <item x="8"/>
        <item x="20"/>
        <item x="40"/>
        <item x="68"/>
        <item x="0"/>
        <item x="155"/>
        <item x="82"/>
        <item x="81"/>
        <item x="5"/>
        <item x="28"/>
        <item x="19"/>
        <item x="113"/>
        <item x="39"/>
        <item x="123"/>
        <item x="164"/>
        <item x="119"/>
        <item x="54"/>
        <item x="59"/>
        <item x="14"/>
        <item x="89"/>
        <item x="35"/>
        <item x="11"/>
        <item x="150"/>
        <item x="167"/>
        <item x="118"/>
        <item x="133"/>
        <item x="49"/>
        <item x="83"/>
        <item x="18"/>
        <item x="79"/>
        <item x="60"/>
        <item x="171"/>
        <item x="67"/>
        <item x="27"/>
        <item x="55"/>
        <item x="124"/>
        <item x="88"/>
        <item x="121"/>
        <item x="41"/>
        <item x="100"/>
        <item x="17"/>
        <item x="77"/>
        <item x="65"/>
        <item x="12"/>
        <item x="103"/>
        <item x="32"/>
        <item x="158"/>
        <item x="128"/>
        <item x="29"/>
        <item x="166"/>
        <item x="141"/>
        <item x="38"/>
        <item x="1"/>
        <item x="66"/>
        <item x="94"/>
        <item x="137"/>
        <item x="97"/>
        <item x="146"/>
        <item x="136"/>
        <item x="69"/>
        <item x="70"/>
        <item x="13"/>
        <item x="72"/>
        <item x="165"/>
        <item x="84"/>
        <item x="157"/>
        <item x="161"/>
        <item x="2"/>
        <item x="26"/>
        <item x="87"/>
        <item x="142"/>
        <item x="132"/>
        <item x="53"/>
        <item x="152"/>
        <item x="154"/>
        <item x="62"/>
        <item x="135"/>
        <item x="162"/>
        <item x="64"/>
        <item x="169"/>
        <item x="143"/>
        <item x="21"/>
        <item x="42"/>
        <item x="138"/>
        <item x="108"/>
        <item x="36"/>
        <item x="172"/>
        <item x="31"/>
        <item x="52"/>
        <item x="107"/>
        <item x="73"/>
        <item x="96"/>
        <item x="163"/>
        <item x="178"/>
        <item x="139"/>
        <item x="177"/>
        <item x="129"/>
        <item x="126"/>
        <item x="109"/>
        <item x="37"/>
        <item x="180"/>
        <item x="43"/>
        <item x="61"/>
        <item x="95"/>
        <item x="6"/>
        <item x="160"/>
        <item x="15"/>
        <item x="131"/>
        <item x="147"/>
        <item x="44"/>
        <item x="111"/>
        <item x="57"/>
        <item x="140"/>
        <item x="170"/>
        <item x="115"/>
        <item x="99"/>
        <item x="145"/>
        <item x="25"/>
        <item x="10"/>
        <item x="101"/>
        <item x="7"/>
        <item x="159"/>
        <item x="149"/>
        <item x="71"/>
        <item x="76"/>
        <item x="4"/>
        <item x="102"/>
        <item x="116"/>
        <item x="114"/>
        <item x="85"/>
        <item x="48"/>
        <item x="98"/>
        <item x="176"/>
        <item x="30"/>
        <item x="130"/>
        <item x="134"/>
        <item x="34"/>
        <item x="23"/>
        <item x="110"/>
        <item x="75"/>
        <item x="144"/>
        <item x="151"/>
        <item x="105"/>
        <item x="91"/>
        <item x="78"/>
        <item x="50"/>
        <item x="92"/>
        <item x="93"/>
        <item x="122"/>
        <item x="120"/>
        <item x="86"/>
        <item x="168"/>
        <item x="45"/>
        <item x="47"/>
        <item x="80"/>
        <item x="56"/>
        <item x="156"/>
        <item x="22"/>
        <item t="default"/>
      </items>
    </pivotField>
    <pivotField showAll="0"/>
    <pivotField axis="axisRow" showAll="0">
      <items count="6">
        <item x="0"/>
        <item x="1"/>
        <item x="4"/>
        <item x="2"/>
        <item x="3"/>
        <item t="default"/>
      </items>
    </pivotField>
    <pivotField showAll="0"/>
    <pivotField showAll="0"/>
    <pivotField showAll="0"/>
    <pivotField dataField="1" showAll="0"/>
    <pivotField showAll="0"/>
    <pivotField showAll="0"/>
    <pivotField showAll="0">
      <items count="5">
        <item x="1"/>
        <item x="2"/>
        <item x="3"/>
        <item x="0"/>
        <item t="default"/>
      </items>
    </pivotField>
    <pivotField showAll="0"/>
    <pivotField showAll="0"/>
    <pivotField showAll="0"/>
    <pivotField showAll="0"/>
    <pivotField showAll="0"/>
    <pivotField showAll="0"/>
    <pivotField showAll="0"/>
    <pivotField showAll="0">
      <items count="15">
        <item sd="0" x="0"/>
        <item sd="0" x="1"/>
        <item sd="0" x="2"/>
        <item sd="0" x="3"/>
        <item sd="0" x="4"/>
        <item sd="0" x="5"/>
        <item sd="0" x="6"/>
        <item sd="0" x="7"/>
        <item sd="0" x="8"/>
        <item sd="0" x="9"/>
        <item sd="0" x="10"/>
        <item sd="0" x="11"/>
        <item sd="0" x="12"/>
        <item sd="0" x="13"/>
        <item t="default"/>
      </items>
    </pivotField>
    <pivotField showAll="0">
      <items count="7">
        <item sd="0" x="0"/>
        <item sd="0" x="1"/>
        <item sd="0" x="2"/>
        <item sd="0" x="3"/>
        <item sd="0" x="4"/>
        <item sd="0" x="5"/>
        <item t="default"/>
      </items>
    </pivotField>
    <pivotField showAll="0">
      <items count="5">
        <item sd="0" x="0"/>
        <item sd="0" x="1"/>
        <item sd="0" x="2"/>
        <item sd="0" x="3"/>
        <item t="default"/>
      </items>
    </pivotField>
  </pivotFields>
  <rowFields count="1">
    <field x="3"/>
  </rowFields>
  <rowItems count="6">
    <i>
      <x/>
    </i>
    <i>
      <x v="1"/>
    </i>
    <i>
      <x v="2"/>
    </i>
    <i>
      <x v="3"/>
    </i>
    <i>
      <x v="4"/>
    </i>
    <i t="grand">
      <x/>
    </i>
  </rowItems>
  <colItems count="1">
    <i/>
  </colItems>
  <dataFields count="1">
    <dataField name="Sum of revenue" fld="7" baseField="0" baseItem="0"/>
  </dataFields>
  <chartFormats count="12">
    <chartFormat chart="4" format="0" series="1">
      <pivotArea type="data" outline="0" fieldPosition="0">
        <references count="1">
          <reference field="4294967294" count="1" selected="0">
            <x v="0"/>
          </reference>
        </references>
      </pivotArea>
    </chartFormat>
    <chartFormat chart="4" format="1">
      <pivotArea type="data" outline="0" fieldPosition="0">
        <references count="2">
          <reference field="4294967294" count="1" selected="0">
            <x v="0"/>
          </reference>
          <reference field="3" count="1" selected="0">
            <x v="0"/>
          </reference>
        </references>
      </pivotArea>
    </chartFormat>
    <chartFormat chart="4" format="2">
      <pivotArea type="data" outline="0" fieldPosition="0">
        <references count="2">
          <reference field="4294967294" count="1" selected="0">
            <x v="0"/>
          </reference>
          <reference field="3" count="1" selected="0">
            <x v="4"/>
          </reference>
        </references>
      </pivotArea>
    </chartFormat>
    <chartFormat chart="4" format="3">
      <pivotArea type="data" outline="0" fieldPosition="0">
        <references count="2">
          <reference field="4294967294" count="1" selected="0">
            <x v="0"/>
          </reference>
          <reference field="3" count="1" selected="0">
            <x v="3"/>
          </reference>
        </references>
      </pivotArea>
    </chartFormat>
    <chartFormat chart="4" format="4">
      <pivotArea type="data" outline="0" fieldPosition="0">
        <references count="2">
          <reference field="4294967294" count="1" selected="0">
            <x v="0"/>
          </reference>
          <reference field="3" count="1" selected="0">
            <x v="2"/>
          </reference>
        </references>
      </pivotArea>
    </chartFormat>
    <chartFormat chart="4" format="5">
      <pivotArea type="data" outline="0" fieldPosition="0">
        <references count="2">
          <reference field="4294967294" count="1" selected="0">
            <x v="0"/>
          </reference>
          <reference field="3" count="1" selected="0">
            <x v="1"/>
          </reference>
        </references>
      </pivotArea>
    </chartFormat>
    <chartFormat chart="6" format="12" series="1">
      <pivotArea type="data" outline="0" fieldPosition="0">
        <references count="1">
          <reference field="4294967294" count="1" selected="0">
            <x v="0"/>
          </reference>
        </references>
      </pivotArea>
    </chartFormat>
    <chartFormat chart="6" format="13">
      <pivotArea type="data" outline="0" fieldPosition="0">
        <references count="2">
          <reference field="4294967294" count="1" selected="0">
            <x v="0"/>
          </reference>
          <reference field="3" count="1" selected="0">
            <x v="0"/>
          </reference>
        </references>
      </pivotArea>
    </chartFormat>
    <chartFormat chart="6" format="14">
      <pivotArea type="data" outline="0" fieldPosition="0">
        <references count="2">
          <reference field="4294967294" count="1" selected="0">
            <x v="0"/>
          </reference>
          <reference field="3" count="1" selected="0">
            <x v="1"/>
          </reference>
        </references>
      </pivotArea>
    </chartFormat>
    <chartFormat chart="6" format="15">
      <pivotArea type="data" outline="0" fieldPosition="0">
        <references count="2">
          <reference field="4294967294" count="1" selected="0">
            <x v="0"/>
          </reference>
          <reference field="3" count="1" selected="0">
            <x v="2"/>
          </reference>
        </references>
      </pivotArea>
    </chartFormat>
    <chartFormat chart="6" format="16">
      <pivotArea type="data" outline="0" fieldPosition="0">
        <references count="2">
          <reference field="4294967294" count="1" selected="0">
            <x v="0"/>
          </reference>
          <reference field="3" count="1" selected="0">
            <x v="3"/>
          </reference>
        </references>
      </pivotArea>
    </chartFormat>
    <chartFormat chart="6" format="17">
      <pivotArea type="data" outline="0" fieldPosition="0">
        <references count="2">
          <reference field="4294967294" count="1" selected="0">
            <x v="0"/>
          </reference>
          <reference field="3" count="1" selected="0">
            <x v="4"/>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0DFB497B-B7F4-41CA-BF51-774DB9ED3784}" name="PivotTable6" cacheId="1" applyNumberFormats="0" applyBorderFormats="0" applyFontFormats="0" applyPatternFormats="0" applyAlignmentFormats="0" applyWidthHeightFormats="1" dataCaption="Values" updatedVersion="8" minRefreshableVersion="5" itemPrintTitles="1" createdVersion="8" indent="0" outline="1" outlineData="1" multipleFieldFilters="0" chartFormat="12" rowHeaderCaption="Marketing">
  <location ref="A52:E58" firstHeaderRow="1" firstDataRow="2" firstDataCol="1"/>
  <pivotFields count="21">
    <pivotField dataField="1" showAll="0"/>
    <pivotField numFmtId="164" showAll="0">
      <items count="182">
        <item x="179"/>
        <item x="104"/>
        <item x="74"/>
        <item x="127"/>
        <item x="51"/>
        <item x="174"/>
        <item x="63"/>
        <item x="148"/>
        <item x="9"/>
        <item x="24"/>
        <item x="112"/>
        <item x="46"/>
        <item x="106"/>
        <item x="173"/>
        <item x="33"/>
        <item x="58"/>
        <item x="175"/>
        <item x="117"/>
        <item x="125"/>
        <item x="90"/>
        <item x="153"/>
        <item x="3"/>
        <item x="16"/>
        <item x="8"/>
        <item x="20"/>
        <item x="40"/>
        <item x="68"/>
        <item x="0"/>
        <item x="155"/>
        <item x="82"/>
        <item x="81"/>
        <item x="5"/>
        <item x="28"/>
        <item x="19"/>
        <item x="113"/>
        <item x="39"/>
        <item x="123"/>
        <item x="164"/>
        <item x="119"/>
        <item x="54"/>
        <item x="59"/>
        <item x="14"/>
        <item x="89"/>
        <item x="35"/>
        <item x="11"/>
        <item x="150"/>
        <item x="167"/>
        <item x="118"/>
        <item x="133"/>
        <item x="49"/>
        <item x="83"/>
        <item x="18"/>
        <item x="79"/>
        <item x="60"/>
        <item x="171"/>
        <item x="67"/>
        <item x="27"/>
        <item x="55"/>
        <item x="124"/>
        <item x="88"/>
        <item x="121"/>
        <item x="41"/>
        <item x="100"/>
        <item x="17"/>
        <item x="77"/>
        <item x="65"/>
        <item x="12"/>
        <item x="103"/>
        <item x="32"/>
        <item x="158"/>
        <item x="128"/>
        <item x="29"/>
        <item x="166"/>
        <item x="141"/>
        <item x="38"/>
        <item x="1"/>
        <item x="66"/>
        <item x="94"/>
        <item x="137"/>
        <item x="97"/>
        <item x="146"/>
        <item x="136"/>
        <item x="69"/>
        <item x="70"/>
        <item x="13"/>
        <item x="72"/>
        <item x="165"/>
        <item x="84"/>
        <item x="157"/>
        <item x="161"/>
        <item x="2"/>
        <item x="26"/>
        <item x="87"/>
        <item x="142"/>
        <item x="132"/>
        <item x="53"/>
        <item x="152"/>
        <item x="154"/>
        <item x="62"/>
        <item x="135"/>
        <item x="162"/>
        <item x="64"/>
        <item x="169"/>
        <item x="143"/>
        <item x="21"/>
        <item x="42"/>
        <item x="138"/>
        <item x="108"/>
        <item x="36"/>
        <item x="172"/>
        <item x="31"/>
        <item x="52"/>
        <item x="107"/>
        <item x="73"/>
        <item x="96"/>
        <item x="163"/>
        <item x="178"/>
        <item x="139"/>
        <item x="177"/>
        <item x="129"/>
        <item x="126"/>
        <item x="109"/>
        <item x="37"/>
        <item x="180"/>
        <item x="43"/>
        <item x="61"/>
        <item x="95"/>
        <item x="6"/>
        <item x="160"/>
        <item x="15"/>
        <item x="131"/>
        <item x="147"/>
        <item x="44"/>
        <item x="111"/>
        <item x="57"/>
        <item x="140"/>
        <item x="170"/>
        <item x="115"/>
        <item x="99"/>
        <item x="145"/>
        <item x="25"/>
        <item x="10"/>
        <item x="101"/>
        <item x="7"/>
        <item x="159"/>
        <item x="149"/>
        <item x="71"/>
        <item x="76"/>
        <item x="4"/>
        <item x="102"/>
        <item x="116"/>
        <item x="114"/>
        <item x="85"/>
        <item x="48"/>
        <item x="98"/>
        <item x="176"/>
        <item x="30"/>
        <item x="130"/>
        <item x="134"/>
        <item x="34"/>
        <item x="23"/>
        <item x="110"/>
        <item x="75"/>
        <item x="144"/>
        <item x="151"/>
        <item x="105"/>
        <item x="91"/>
        <item x="78"/>
        <item x="50"/>
        <item x="92"/>
        <item x="93"/>
        <item x="122"/>
        <item x="120"/>
        <item x="86"/>
        <item x="168"/>
        <item x="45"/>
        <item x="47"/>
        <item x="80"/>
        <item x="56"/>
        <item x="156"/>
        <item x="22"/>
        <item t="default"/>
      </items>
    </pivotField>
    <pivotField showAll="0"/>
    <pivotField showAll="0"/>
    <pivotField showAll="0"/>
    <pivotField showAll="0"/>
    <pivotField showAll="0"/>
    <pivotField showAll="0"/>
    <pivotField showAll="0"/>
    <pivotField axis="axisCol" showAll="0" sortType="descending">
      <items count="4">
        <item x="2"/>
        <item x="0"/>
        <item x="1"/>
        <item t="default"/>
      </items>
    </pivotField>
    <pivotField axis="axisRow" showAll="0">
      <items count="5">
        <item x="1"/>
        <item x="2"/>
        <item x="3"/>
        <item x="0"/>
        <item t="default"/>
      </items>
    </pivotField>
    <pivotField showAll="0"/>
    <pivotField showAll="0"/>
    <pivotField showAll="0"/>
    <pivotField showAll="0"/>
    <pivotField showAll="0">
      <items count="8">
        <item x="5"/>
        <item x="0"/>
        <item x="1"/>
        <item x="2"/>
        <item x="4"/>
        <item x="3"/>
        <item x="6"/>
        <item t="default"/>
      </items>
    </pivotField>
    <pivotField showAll="0"/>
    <pivotField showAll="0"/>
    <pivotField showAll="0">
      <items count="15">
        <item sd="0" x="0"/>
        <item sd="0" x="1"/>
        <item sd="0" x="2"/>
        <item sd="0" x="3"/>
        <item sd="0" x="4"/>
        <item sd="0" x="5"/>
        <item sd="0" x="6"/>
        <item sd="0" x="7"/>
        <item sd="0" x="8"/>
        <item sd="0" x="9"/>
        <item sd="0" x="10"/>
        <item sd="0" x="11"/>
        <item sd="0" x="12"/>
        <item sd="0" x="13"/>
        <item t="default"/>
      </items>
    </pivotField>
    <pivotField showAll="0">
      <items count="7">
        <item sd="0" x="0"/>
        <item sd="0" x="1"/>
        <item sd="0" x="2"/>
        <item sd="0" x="3"/>
        <item sd="0" x="4"/>
        <item sd="0" x="5"/>
        <item t="default"/>
      </items>
    </pivotField>
    <pivotField showAll="0">
      <items count="5">
        <item sd="0" x="0"/>
        <item sd="0" x="1"/>
        <item sd="0" x="2"/>
        <item sd="0" x="3"/>
        <item t="default"/>
      </items>
    </pivotField>
  </pivotFields>
  <rowFields count="1">
    <field x="10"/>
  </rowFields>
  <rowItems count="5">
    <i>
      <x/>
    </i>
    <i>
      <x v="1"/>
    </i>
    <i>
      <x v="2"/>
    </i>
    <i>
      <x v="3"/>
    </i>
    <i t="grand">
      <x/>
    </i>
  </rowItems>
  <colFields count="1">
    <field x="9"/>
  </colFields>
  <colItems count="4">
    <i>
      <x/>
    </i>
    <i>
      <x v="1"/>
    </i>
    <i>
      <x v="2"/>
    </i>
    <i t="grand">
      <x/>
    </i>
  </colItems>
  <dataFields count="1">
    <dataField name="Count of order_id" fld="0" subtotal="count" showDataAs="percentOfTotal" baseField="10" baseItem="0" numFmtId="10"/>
  </dataFields>
  <chartFormats count="18">
    <chartFormat chart="4" format="10" series="1">
      <pivotArea type="data" outline="0" fieldPosition="0">
        <references count="1">
          <reference field="9" count="1" selected="0">
            <x v="2"/>
          </reference>
        </references>
      </pivotArea>
    </chartFormat>
    <chartFormat chart="4" format="11" series="1">
      <pivotArea type="data" outline="0" fieldPosition="0">
        <references count="1">
          <reference field="9" count="1" selected="0">
            <x v="1"/>
          </reference>
        </references>
      </pivotArea>
    </chartFormat>
    <chartFormat chart="4" format="12" series="1">
      <pivotArea type="data" outline="0" fieldPosition="0">
        <references count="1">
          <reference field="9" count="1" selected="0">
            <x v="0"/>
          </reference>
        </references>
      </pivotArea>
    </chartFormat>
    <chartFormat chart="1" format="21" series="1">
      <pivotArea type="data" outline="0" fieldPosition="0">
        <references count="1">
          <reference field="9" count="1" selected="0">
            <x v="2"/>
          </reference>
        </references>
      </pivotArea>
    </chartFormat>
    <chartFormat chart="1" format="22" series="1">
      <pivotArea type="data" outline="0" fieldPosition="0">
        <references count="1">
          <reference field="9" count="1" selected="0">
            <x v="1"/>
          </reference>
        </references>
      </pivotArea>
    </chartFormat>
    <chartFormat chart="1" format="23" series="1">
      <pivotArea type="data" outline="0" fieldPosition="0">
        <references count="1">
          <reference field="9" count="1" selected="0">
            <x v="0"/>
          </reference>
        </references>
      </pivotArea>
    </chartFormat>
    <chartFormat chart="4" format="13" series="1">
      <pivotArea type="data" outline="0" fieldPosition="0">
        <references count="2">
          <reference field="4294967294" count="1" selected="0">
            <x v="0"/>
          </reference>
          <reference field="9" count="1" selected="0">
            <x v="2"/>
          </reference>
        </references>
      </pivotArea>
    </chartFormat>
    <chartFormat chart="4" format="14" series="1">
      <pivotArea type="data" outline="0" fieldPosition="0">
        <references count="2">
          <reference field="4294967294" count="1" selected="0">
            <x v="0"/>
          </reference>
          <reference field="9" count="1" selected="0">
            <x v="1"/>
          </reference>
        </references>
      </pivotArea>
    </chartFormat>
    <chartFormat chart="4" format="15" series="1">
      <pivotArea type="data" outline="0" fieldPosition="0">
        <references count="2">
          <reference field="4294967294" count="1" selected="0">
            <x v="0"/>
          </reference>
          <reference field="9" count="1" selected="0">
            <x v="0"/>
          </reference>
        </references>
      </pivotArea>
    </chartFormat>
    <chartFormat chart="1" format="24" series="1">
      <pivotArea type="data" outline="0" fieldPosition="0">
        <references count="2">
          <reference field="4294967294" count="1" selected="0">
            <x v="0"/>
          </reference>
          <reference field="9" count="1" selected="0">
            <x v="2"/>
          </reference>
        </references>
      </pivotArea>
    </chartFormat>
    <chartFormat chart="1" format="25" series="1">
      <pivotArea type="data" outline="0" fieldPosition="0">
        <references count="2">
          <reference field="4294967294" count="1" selected="0">
            <x v="0"/>
          </reference>
          <reference field="9" count="1" selected="0">
            <x v="1"/>
          </reference>
        </references>
      </pivotArea>
    </chartFormat>
    <chartFormat chart="1" format="26" series="1">
      <pivotArea type="data" outline="0" fieldPosition="0">
        <references count="2">
          <reference field="4294967294" count="1" selected="0">
            <x v="0"/>
          </reference>
          <reference field="9" count="1" selected="0">
            <x v="0"/>
          </reference>
        </references>
      </pivotArea>
    </chartFormat>
    <chartFormat chart="7" format="0" series="1">
      <pivotArea type="data" outline="0" fieldPosition="0">
        <references count="2">
          <reference field="4294967294" count="1" selected="0">
            <x v="0"/>
          </reference>
          <reference field="9" count="1" selected="0">
            <x v="2"/>
          </reference>
        </references>
      </pivotArea>
    </chartFormat>
    <chartFormat chart="7" format="1" series="1">
      <pivotArea type="data" outline="0" fieldPosition="0">
        <references count="2">
          <reference field="4294967294" count="1" selected="0">
            <x v="0"/>
          </reference>
          <reference field="9" count="1" selected="0">
            <x v="1"/>
          </reference>
        </references>
      </pivotArea>
    </chartFormat>
    <chartFormat chart="7" format="2" series="1">
      <pivotArea type="data" outline="0" fieldPosition="0">
        <references count="2">
          <reference field="4294967294" count="1" selected="0">
            <x v="0"/>
          </reference>
          <reference field="9" count="1" selected="0">
            <x v="0"/>
          </reference>
        </references>
      </pivotArea>
    </chartFormat>
    <chartFormat chart="11" format="6" series="1">
      <pivotArea type="data" outline="0" fieldPosition="0">
        <references count="2">
          <reference field="4294967294" count="1" selected="0">
            <x v="0"/>
          </reference>
          <reference field="9" count="1" selected="0">
            <x v="0"/>
          </reference>
        </references>
      </pivotArea>
    </chartFormat>
    <chartFormat chart="11" format="7" series="1">
      <pivotArea type="data" outline="0" fieldPosition="0">
        <references count="2">
          <reference field="4294967294" count="1" selected="0">
            <x v="0"/>
          </reference>
          <reference field="9" count="1" selected="0">
            <x v="1"/>
          </reference>
        </references>
      </pivotArea>
    </chartFormat>
    <chartFormat chart="11" format="8" series="1">
      <pivotArea type="data" outline="0" fieldPosition="0">
        <references count="2">
          <reference field="4294967294" count="1" selected="0">
            <x v="0"/>
          </reference>
          <reference field="9" count="1" selected="0">
            <x v="2"/>
          </reference>
        </references>
      </pivotArea>
    </chartFormat>
  </chartFormats>
  <pivotTableStyleInfo name="PivotStyleLight16" showRowHeaders="1" showColHeaders="1" showRowStripes="0" showColStripes="0" showLastColumn="1"/>
  <filters count="1">
    <filter fld="1" type="dateBetween" evalOrder="-1" id="2" name="order_date">
      <autoFilter ref="A1">
        <filterColumn colId="0">
          <customFilters and="1">
            <customFilter operator="greaterThanOrEqual" val="46023"/>
            <customFilter operator="lessThanOrEqual" val="46053"/>
          </customFilters>
        </filterColumn>
      </autoFilter>
      <extLst>
        <ext xmlns:x15="http://schemas.microsoft.com/office/spreadsheetml/2010/11/main" uri="{0605FD5F-26C8-4aeb-8148-2DB25E43C511}">
          <x15:pivotFilter useWholeDay="1"/>
        </ext>
      </extLst>
    </filter>
  </filters>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C0CFE7EC-7020-4F0B-83D4-6675ECA4637C}" name="PivotTable5" cacheId="1"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3" rowHeaderCaption="Month">
  <location ref="A35:B43" firstHeaderRow="1" firstDataRow="1" firstDataCol="1"/>
  <pivotFields count="21">
    <pivotField dataField="1" showAll="0"/>
    <pivotField numFmtId="164" showAll="0">
      <items count="182">
        <item x="179"/>
        <item x="104"/>
        <item x="74"/>
        <item x="127"/>
        <item x="51"/>
        <item x="174"/>
        <item x="63"/>
        <item x="148"/>
        <item x="9"/>
        <item x="24"/>
        <item x="112"/>
        <item x="46"/>
        <item x="106"/>
        <item x="173"/>
        <item x="33"/>
        <item x="58"/>
        <item x="175"/>
        <item x="117"/>
        <item x="125"/>
        <item x="90"/>
        <item x="153"/>
        <item x="3"/>
        <item x="16"/>
        <item x="8"/>
        <item x="20"/>
        <item x="40"/>
        <item x="68"/>
        <item x="0"/>
        <item x="155"/>
        <item x="82"/>
        <item x="81"/>
        <item x="5"/>
        <item x="28"/>
        <item x="19"/>
        <item x="113"/>
        <item x="39"/>
        <item x="123"/>
        <item x="164"/>
        <item x="119"/>
        <item x="54"/>
        <item x="59"/>
        <item x="14"/>
        <item x="89"/>
        <item x="35"/>
        <item x="11"/>
        <item x="150"/>
        <item x="167"/>
        <item x="118"/>
        <item x="133"/>
        <item x="49"/>
        <item x="83"/>
        <item x="18"/>
        <item x="79"/>
        <item x="60"/>
        <item x="171"/>
        <item x="67"/>
        <item x="27"/>
        <item x="55"/>
        <item x="124"/>
        <item x="88"/>
        <item x="121"/>
        <item x="41"/>
        <item x="100"/>
        <item x="17"/>
        <item x="77"/>
        <item x="65"/>
        <item x="12"/>
        <item x="103"/>
        <item x="32"/>
        <item x="158"/>
        <item x="128"/>
        <item x="29"/>
        <item x="166"/>
        <item x="141"/>
        <item x="38"/>
        <item x="1"/>
        <item x="66"/>
        <item x="94"/>
        <item x="137"/>
        <item x="97"/>
        <item x="146"/>
        <item x="136"/>
        <item x="69"/>
        <item x="70"/>
        <item x="13"/>
        <item x="72"/>
        <item x="165"/>
        <item x="84"/>
        <item x="157"/>
        <item x="161"/>
        <item x="2"/>
        <item x="26"/>
        <item x="87"/>
        <item x="142"/>
        <item x="132"/>
        <item x="53"/>
        <item x="152"/>
        <item x="154"/>
        <item x="62"/>
        <item x="135"/>
        <item x="162"/>
        <item x="64"/>
        <item x="169"/>
        <item x="143"/>
        <item x="21"/>
        <item x="42"/>
        <item x="138"/>
        <item x="108"/>
        <item x="36"/>
        <item x="172"/>
        <item x="31"/>
        <item x="52"/>
        <item x="107"/>
        <item x="73"/>
        <item x="96"/>
        <item x="163"/>
        <item x="178"/>
        <item x="139"/>
        <item x="177"/>
        <item x="129"/>
        <item x="126"/>
        <item x="109"/>
        <item x="37"/>
        <item x="180"/>
        <item x="43"/>
        <item x="61"/>
        <item x="95"/>
        <item x="6"/>
        <item x="160"/>
        <item x="15"/>
        <item x="131"/>
        <item x="147"/>
        <item x="44"/>
        <item x="111"/>
        <item x="57"/>
        <item x="140"/>
        <item x="170"/>
        <item x="115"/>
        <item x="99"/>
        <item x="145"/>
        <item x="25"/>
        <item x="10"/>
        <item x="101"/>
        <item x="7"/>
        <item x="159"/>
        <item x="149"/>
        <item x="71"/>
        <item x="76"/>
        <item x="4"/>
        <item x="102"/>
        <item x="116"/>
        <item x="114"/>
        <item x="85"/>
        <item x="48"/>
        <item x="98"/>
        <item x="176"/>
        <item x="30"/>
        <item x="130"/>
        <item x="134"/>
        <item x="34"/>
        <item x="23"/>
        <item x="110"/>
        <item x="75"/>
        <item x="144"/>
        <item x="151"/>
        <item x="105"/>
        <item x="91"/>
        <item x="78"/>
        <item x="50"/>
        <item x="92"/>
        <item x="93"/>
        <item x="122"/>
        <item x="120"/>
        <item x="86"/>
        <item x="168"/>
        <item x="45"/>
        <item x="47"/>
        <item x="80"/>
        <item x="56"/>
        <item x="156"/>
        <item x="22"/>
        <item t="default"/>
      </items>
    </pivotField>
    <pivotField showAll="0"/>
    <pivotField showAll="0"/>
    <pivotField showAll="0"/>
    <pivotField showAll="0">
      <items count="5">
        <item x="3"/>
        <item x="2"/>
        <item x="0"/>
        <item x="1"/>
        <item t="default"/>
      </items>
    </pivotField>
    <pivotField showAll="0"/>
    <pivotField showAll="0"/>
    <pivotField showAll="0"/>
    <pivotField showAll="0"/>
    <pivotField showAll="0">
      <items count="5">
        <item x="1"/>
        <item x="2"/>
        <item x="3"/>
        <item x="0"/>
        <item t="default"/>
      </items>
    </pivotField>
    <pivotField showAll="0"/>
    <pivotField showAll="0"/>
    <pivotField showAll="0"/>
    <pivotField showAll="0"/>
    <pivotField axis="axisRow" showAll="0">
      <items count="8">
        <item x="5"/>
        <item x="0"/>
        <item x="1"/>
        <item x="2"/>
        <item x="4"/>
        <item x="3"/>
        <item x="6"/>
        <item t="default"/>
      </items>
    </pivotField>
    <pivotField showAll="0"/>
    <pivotField showAll="0"/>
    <pivotField showAll="0">
      <items count="15">
        <item sd="0" x="0"/>
        <item sd="0" x="1"/>
        <item sd="0" x="2"/>
        <item sd="0" x="3"/>
        <item sd="0" x="4"/>
        <item sd="0" x="5"/>
        <item sd="0" x="6"/>
        <item sd="0" x="7"/>
        <item sd="0" x="8"/>
        <item sd="0" x="9"/>
        <item sd="0" x="10"/>
        <item sd="0" x="11"/>
        <item sd="0" x="12"/>
        <item sd="0" x="13"/>
        <item t="default"/>
      </items>
    </pivotField>
    <pivotField showAll="0">
      <items count="7">
        <item sd="0" x="0"/>
        <item sd="0" x="1"/>
        <item sd="0" x="2"/>
        <item sd="0" x="3"/>
        <item sd="0" x="4"/>
        <item sd="0" x="5"/>
        <item t="default"/>
      </items>
    </pivotField>
    <pivotField showAll="0">
      <items count="5">
        <item sd="0" x="0"/>
        <item sd="0" x="1"/>
        <item sd="0" x="2"/>
        <item sd="0" x="3"/>
        <item t="default"/>
      </items>
    </pivotField>
  </pivotFields>
  <rowFields count="1">
    <field x="15"/>
  </rowFields>
  <rowItems count="8">
    <i>
      <x/>
    </i>
    <i>
      <x v="1"/>
    </i>
    <i>
      <x v="2"/>
    </i>
    <i>
      <x v="3"/>
    </i>
    <i>
      <x v="4"/>
    </i>
    <i>
      <x v="5"/>
    </i>
    <i>
      <x v="6"/>
    </i>
    <i t="grand">
      <x/>
    </i>
  </rowItems>
  <colItems count="1">
    <i/>
  </colItems>
  <dataFields count="1">
    <dataField name="No.of Orders" fld="0" subtotal="count" baseField="0" baseItem="1"/>
  </dataFields>
  <chartFormats count="2">
    <chartFormat chart="0" format="0" series="1">
      <pivotArea type="data" outline="0" fieldPosition="0">
        <references count="1">
          <reference field="4294967294" count="1" selected="0">
            <x v="0"/>
          </reference>
        </references>
      </pivotArea>
    </chartFormat>
    <chartFormat chart="2"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106BB94A-DA15-47DC-A726-1F4CCD6EF695}" name="PivotTable1" cacheId="1"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rowHeaderCaption="Channel">
  <location ref="A31:C32" firstHeaderRow="0" firstDataRow="1" firstDataCol="0"/>
  <pivotFields count="21">
    <pivotField dataField="1" showAll="0"/>
    <pivotField numFmtId="164" showAll="0">
      <items count="182">
        <item x="179"/>
        <item x="104"/>
        <item x="74"/>
        <item x="127"/>
        <item x="51"/>
        <item x="174"/>
        <item x="63"/>
        <item x="148"/>
        <item x="9"/>
        <item x="24"/>
        <item x="112"/>
        <item x="46"/>
        <item x="106"/>
        <item x="173"/>
        <item x="33"/>
        <item x="58"/>
        <item x="175"/>
        <item x="117"/>
        <item x="125"/>
        <item x="90"/>
        <item x="153"/>
        <item x="3"/>
        <item x="16"/>
        <item x="8"/>
        <item x="20"/>
        <item x="40"/>
        <item x="68"/>
        <item x="0"/>
        <item x="155"/>
        <item x="82"/>
        <item x="81"/>
        <item x="5"/>
        <item x="28"/>
        <item x="19"/>
        <item x="113"/>
        <item x="39"/>
        <item x="123"/>
        <item x="164"/>
        <item x="119"/>
        <item x="54"/>
        <item x="59"/>
        <item x="14"/>
        <item x="89"/>
        <item x="35"/>
        <item x="11"/>
        <item x="150"/>
        <item x="167"/>
        <item x="118"/>
        <item x="133"/>
        <item x="49"/>
        <item x="83"/>
        <item x="18"/>
        <item x="79"/>
        <item x="60"/>
        <item x="171"/>
        <item x="67"/>
        <item x="27"/>
        <item x="55"/>
        <item x="124"/>
        <item x="88"/>
        <item x="121"/>
        <item x="41"/>
        <item x="100"/>
        <item x="17"/>
        <item x="77"/>
        <item x="65"/>
        <item x="12"/>
        <item x="103"/>
        <item x="32"/>
        <item x="158"/>
        <item x="128"/>
        <item x="29"/>
        <item x="166"/>
        <item x="141"/>
        <item x="38"/>
        <item x="1"/>
        <item x="66"/>
        <item x="94"/>
        <item x="137"/>
        <item x="97"/>
        <item x="146"/>
        <item x="136"/>
        <item x="69"/>
        <item x="70"/>
        <item x="13"/>
        <item x="72"/>
        <item x="165"/>
        <item x="84"/>
        <item x="157"/>
        <item x="161"/>
        <item x="2"/>
        <item x="26"/>
        <item x="87"/>
        <item x="142"/>
        <item x="132"/>
        <item x="53"/>
        <item x="152"/>
        <item x="154"/>
        <item x="62"/>
        <item x="135"/>
        <item x="162"/>
        <item x="64"/>
        <item x="169"/>
        <item x="143"/>
        <item x="21"/>
        <item x="42"/>
        <item x="138"/>
        <item x="108"/>
        <item x="36"/>
        <item x="172"/>
        <item x="31"/>
        <item x="52"/>
        <item x="107"/>
        <item x="73"/>
        <item x="96"/>
        <item x="163"/>
        <item x="178"/>
        <item x="139"/>
        <item x="177"/>
        <item x="129"/>
        <item x="126"/>
        <item x="109"/>
        <item x="37"/>
        <item x="180"/>
        <item x="43"/>
        <item x="61"/>
        <item x="95"/>
        <item x="6"/>
        <item x="160"/>
        <item x="15"/>
        <item x="131"/>
        <item x="147"/>
        <item x="44"/>
        <item x="111"/>
        <item x="57"/>
        <item x="140"/>
        <item x="170"/>
        <item x="115"/>
        <item x="99"/>
        <item x="145"/>
        <item x="25"/>
        <item x="10"/>
        <item x="101"/>
        <item x="7"/>
        <item x="159"/>
        <item x="149"/>
        <item x="71"/>
        <item x="76"/>
        <item x="4"/>
        <item x="102"/>
        <item x="116"/>
        <item x="114"/>
        <item x="85"/>
        <item x="48"/>
        <item x="98"/>
        <item x="176"/>
        <item x="30"/>
        <item x="130"/>
        <item x="134"/>
        <item x="34"/>
        <item x="23"/>
        <item x="110"/>
        <item x="75"/>
        <item x="144"/>
        <item x="151"/>
        <item x="105"/>
        <item x="91"/>
        <item x="78"/>
        <item x="50"/>
        <item x="92"/>
        <item x="93"/>
        <item x="122"/>
        <item x="120"/>
        <item x="86"/>
        <item x="168"/>
        <item x="45"/>
        <item x="47"/>
        <item x="80"/>
        <item x="56"/>
        <item x="156"/>
        <item x="22"/>
        <item t="default"/>
      </items>
    </pivotField>
    <pivotField showAll="0"/>
    <pivotField showAll="0"/>
    <pivotField showAll="0"/>
    <pivotField showAll="0"/>
    <pivotField showAll="0"/>
    <pivotField dataField="1" showAll="0"/>
    <pivotField showAll="0"/>
    <pivotField showAll="0"/>
    <pivotField showAll="0">
      <items count="5">
        <item x="1"/>
        <item x="2"/>
        <item x="3"/>
        <item x="0"/>
        <item t="default"/>
      </items>
    </pivotField>
    <pivotField dataField="1" showAll="0"/>
    <pivotField showAll="0"/>
    <pivotField showAll="0"/>
    <pivotField showAll="0"/>
    <pivotField showAll="0"/>
    <pivotField showAll="0"/>
    <pivotField showAll="0"/>
    <pivotField showAll="0">
      <items count="15">
        <item sd="0" x="0"/>
        <item sd="0" x="1"/>
        <item sd="0" x="2"/>
        <item sd="0" x="3"/>
        <item sd="0" x="4"/>
        <item sd="0" x="5"/>
        <item sd="0" x="6"/>
        <item sd="0" x="7"/>
        <item sd="0" x="8"/>
        <item sd="0" x="9"/>
        <item sd="0" x="10"/>
        <item sd="0" x="11"/>
        <item sd="0" x="12"/>
        <item sd="0" x="13"/>
        <item t="default"/>
      </items>
    </pivotField>
    <pivotField showAll="0">
      <items count="7">
        <item sd="0" x="0"/>
        <item sd="0" x="1"/>
        <item sd="0" x="2"/>
        <item sd="0" x="3"/>
        <item sd="0" x="4"/>
        <item sd="0" x="5"/>
        <item t="default"/>
      </items>
    </pivotField>
    <pivotField showAll="0">
      <items count="5">
        <item sd="0" x="0"/>
        <item sd="0" x="1"/>
        <item sd="0" x="2"/>
        <item sd="0" x="3"/>
        <item t="default"/>
      </items>
    </pivotField>
  </pivotFields>
  <rowItems count="1">
    <i/>
  </rowItems>
  <colFields count="1">
    <field x="-2"/>
  </colFields>
  <colItems count="3">
    <i>
      <x/>
    </i>
    <i i="1">
      <x v="1"/>
    </i>
    <i i="2">
      <x v="2"/>
    </i>
  </colItems>
  <dataFields count="3">
    <dataField name="Count of order_id" fld="0" subtotal="count" baseField="0" baseItem="1"/>
    <dataField name="Sum of revenue" fld="7" baseField="0" baseItem="0"/>
    <dataField name="Average of delivery_days" fld="11" subtotal="average" baseField="0" baseItem="1" numFmtId="2"/>
  </dataFields>
  <formats count="1">
    <format dxfId="0">
      <pivotArea outline="0" collapsedLevelsAreSubtotals="1" fieldPosition="0">
        <references count="1">
          <reference field="4294967294" count="1" selected="0">
            <x v="2"/>
          </reference>
        </references>
      </pivotArea>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641999AE-3A40-42F7-839A-8180FF1BBD7D}" name="PivotTable4" cacheId="1"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3" rowHeaderCaption="Date">
  <location ref="A1:B9" firstHeaderRow="1" firstDataRow="1" firstDataCol="1"/>
  <pivotFields count="21">
    <pivotField showAll="0"/>
    <pivotField numFmtId="164" showAll="0">
      <items count="182">
        <item x="179"/>
        <item x="104"/>
        <item x="74"/>
        <item x="127"/>
        <item x="51"/>
        <item x="174"/>
        <item x="63"/>
        <item x="148"/>
        <item x="9"/>
        <item x="24"/>
        <item x="112"/>
        <item x="46"/>
        <item x="106"/>
        <item x="173"/>
        <item x="33"/>
        <item x="58"/>
        <item x="175"/>
        <item x="117"/>
        <item x="125"/>
        <item x="90"/>
        <item x="153"/>
        <item x="3"/>
        <item x="16"/>
        <item x="8"/>
        <item x="20"/>
        <item x="40"/>
        <item x="68"/>
        <item x="0"/>
        <item x="155"/>
        <item x="82"/>
        <item x="81"/>
        <item x="5"/>
        <item x="28"/>
        <item x="19"/>
        <item x="113"/>
        <item x="39"/>
        <item x="123"/>
        <item x="164"/>
        <item x="119"/>
        <item x="54"/>
        <item x="59"/>
        <item x="14"/>
        <item x="89"/>
        <item x="35"/>
        <item x="11"/>
        <item x="150"/>
        <item x="167"/>
        <item x="118"/>
        <item x="133"/>
        <item x="49"/>
        <item x="83"/>
        <item x="18"/>
        <item x="79"/>
        <item x="60"/>
        <item x="171"/>
        <item x="67"/>
        <item x="27"/>
        <item x="55"/>
        <item x="124"/>
        <item x="88"/>
        <item x="121"/>
        <item x="41"/>
        <item x="100"/>
        <item x="17"/>
        <item x="77"/>
        <item x="65"/>
        <item x="12"/>
        <item x="103"/>
        <item x="32"/>
        <item x="158"/>
        <item x="128"/>
        <item x="29"/>
        <item x="166"/>
        <item x="141"/>
        <item x="38"/>
        <item x="1"/>
        <item x="66"/>
        <item x="94"/>
        <item x="137"/>
        <item x="97"/>
        <item x="146"/>
        <item x="136"/>
        <item x="69"/>
        <item x="70"/>
        <item x="13"/>
        <item x="72"/>
        <item x="165"/>
        <item x="84"/>
        <item x="157"/>
        <item x="161"/>
        <item x="2"/>
        <item x="26"/>
        <item x="87"/>
        <item x="142"/>
        <item x="132"/>
        <item x="53"/>
        <item x="152"/>
        <item x="154"/>
        <item x="62"/>
        <item x="135"/>
        <item x="162"/>
        <item x="64"/>
        <item x="169"/>
        <item x="143"/>
        <item x="21"/>
        <item x="42"/>
        <item x="138"/>
        <item x="108"/>
        <item x="36"/>
        <item x="172"/>
        <item x="31"/>
        <item x="52"/>
        <item x="107"/>
        <item x="73"/>
        <item x="96"/>
        <item x="163"/>
        <item x="178"/>
        <item x="139"/>
        <item x="177"/>
        <item x="129"/>
        <item x="126"/>
        <item x="109"/>
        <item x="37"/>
        <item x="180"/>
        <item x="43"/>
        <item x="61"/>
        <item x="95"/>
        <item x="6"/>
        <item x="160"/>
        <item x="15"/>
        <item x="131"/>
        <item x="147"/>
        <item x="44"/>
        <item x="111"/>
        <item x="57"/>
        <item x="140"/>
        <item x="170"/>
        <item x="115"/>
        <item x="99"/>
        <item x="145"/>
        <item x="25"/>
        <item x="10"/>
        <item x="101"/>
        <item x="7"/>
        <item x="159"/>
        <item x="149"/>
        <item x="71"/>
        <item x="76"/>
        <item x="4"/>
        <item x="102"/>
        <item x="116"/>
        <item x="114"/>
        <item x="85"/>
        <item x="48"/>
        <item x="98"/>
        <item x="176"/>
        <item x="30"/>
        <item x="130"/>
        <item x="134"/>
        <item x="34"/>
        <item x="23"/>
        <item x="110"/>
        <item x="75"/>
        <item x="144"/>
        <item x="151"/>
        <item x="105"/>
        <item x="91"/>
        <item x="78"/>
        <item x="50"/>
        <item x="92"/>
        <item x="93"/>
        <item x="122"/>
        <item x="120"/>
        <item x="86"/>
        <item x="168"/>
        <item x="45"/>
        <item x="47"/>
        <item x="80"/>
        <item x="56"/>
        <item x="156"/>
        <item x="22"/>
        <item t="default"/>
      </items>
    </pivotField>
    <pivotField showAll="0"/>
    <pivotField showAll="0"/>
    <pivotField showAll="0">
      <items count="6">
        <item x="1"/>
        <item x="3"/>
        <item x="2"/>
        <item x="0"/>
        <item x="4"/>
        <item t="default"/>
      </items>
    </pivotField>
    <pivotField showAll="0"/>
    <pivotField showAll="0"/>
    <pivotField dataField="1" showAll="0"/>
    <pivotField showAll="0"/>
    <pivotField showAll="0"/>
    <pivotField showAll="0">
      <items count="5">
        <item x="1"/>
        <item x="2"/>
        <item x="3"/>
        <item x="0"/>
        <item t="default"/>
      </items>
    </pivotField>
    <pivotField showAll="0"/>
    <pivotField showAll="0"/>
    <pivotField showAll="0"/>
    <pivotField showAll="0"/>
    <pivotField axis="axisRow" showAll="0">
      <items count="8">
        <item x="5"/>
        <item x="0"/>
        <item x="1"/>
        <item x="2"/>
        <item x="4"/>
        <item x="3"/>
        <item x="6"/>
        <item t="default"/>
      </items>
    </pivotField>
    <pivotField showAll="0"/>
    <pivotField showAll="0"/>
    <pivotField showAll="0">
      <items count="15">
        <item sd="0" x="0"/>
        <item sd="0" x="1"/>
        <item sd="0" x="2"/>
        <item sd="0" x="3"/>
        <item sd="0" x="4"/>
        <item sd="0" x="5"/>
        <item sd="0" x="6"/>
        <item sd="0" x="7"/>
        <item sd="0" x="8"/>
        <item sd="0" x="9"/>
        <item sd="0" x="10"/>
        <item sd="0" x="11"/>
        <item sd="0" x="12"/>
        <item sd="0" x="13"/>
        <item t="default"/>
      </items>
    </pivotField>
    <pivotField showAll="0">
      <items count="7">
        <item sd="0" x="0"/>
        <item x="1"/>
        <item sd="0" x="2"/>
        <item sd="0" x="3"/>
        <item sd="0" x="4"/>
        <item sd="0" x="5"/>
        <item t="default"/>
      </items>
    </pivotField>
    <pivotField showAll="0">
      <items count="5">
        <item sd="0" x="0"/>
        <item x="1"/>
        <item x="2"/>
        <item sd="0" x="3"/>
        <item t="default"/>
      </items>
    </pivotField>
  </pivotFields>
  <rowFields count="1">
    <field x="15"/>
  </rowFields>
  <rowItems count="8">
    <i>
      <x/>
    </i>
    <i>
      <x v="1"/>
    </i>
    <i>
      <x v="2"/>
    </i>
    <i>
      <x v="3"/>
    </i>
    <i>
      <x v="4"/>
    </i>
    <i>
      <x v="5"/>
    </i>
    <i>
      <x v="6"/>
    </i>
    <i t="grand">
      <x/>
    </i>
  </rowItems>
  <colItems count="1">
    <i/>
  </colItems>
  <dataFields count="1">
    <dataField name="Amount" fld="7" baseField="0" baseItem="0"/>
  </dataFields>
  <chartFormats count="2">
    <chartFormat chart="0" format="0" series="1">
      <pivotArea type="data" outline="0" fieldPosition="0">
        <references count="1">
          <reference field="4294967294" count="1" selected="0">
            <x v="0"/>
          </reference>
        </references>
      </pivotArea>
    </chartFormat>
    <chartFormat chart="2" format="3"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8E00209F-5606-437A-BE7A-CB65D682AF0C}" name="PivotTable3" cacheId="1"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rowHeaderCaption="Channel">
  <location ref="A20:C25" firstHeaderRow="0" firstDataRow="1" firstDataCol="1"/>
  <pivotFields count="21">
    <pivotField showAll="0"/>
    <pivotField numFmtId="164" showAll="0">
      <items count="182">
        <item x="179"/>
        <item x="104"/>
        <item x="74"/>
        <item x="127"/>
        <item x="51"/>
        <item x="174"/>
        <item x="63"/>
        <item x="148"/>
        <item x="9"/>
        <item x="24"/>
        <item x="112"/>
        <item x="46"/>
        <item x="106"/>
        <item x="173"/>
        <item x="33"/>
        <item x="58"/>
        <item x="175"/>
        <item x="117"/>
        <item x="125"/>
        <item x="90"/>
        <item x="153"/>
        <item x="3"/>
        <item x="16"/>
        <item x="8"/>
        <item x="20"/>
        <item x="40"/>
        <item x="68"/>
        <item x="0"/>
        <item x="155"/>
        <item x="82"/>
        <item x="81"/>
        <item x="5"/>
        <item x="28"/>
        <item x="19"/>
        <item x="113"/>
        <item x="39"/>
        <item x="123"/>
        <item x="164"/>
        <item x="119"/>
        <item x="54"/>
        <item x="59"/>
        <item x="14"/>
        <item x="89"/>
        <item x="35"/>
        <item x="11"/>
        <item x="150"/>
        <item x="167"/>
        <item x="118"/>
        <item x="133"/>
        <item x="49"/>
        <item x="83"/>
        <item x="18"/>
        <item x="79"/>
        <item x="60"/>
        <item x="171"/>
        <item x="67"/>
        <item x="27"/>
        <item x="55"/>
        <item x="124"/>
        <item x="88"/>
        <item x="121"/>
        <item x="41"/>
        <item x="100"/>
        <item x="17"/>
        <item x="77"/>
        <item x="65"/>
        <item x="12"/>
        <item x="103"/>
        <item x="32"/>
        <item x="158"/>
        <item x="128"/>
        <item x="29"/>
        <item x="166"/>
        <item x="141"/>
        <item x="38"/>
        <item x="1"/>
        <item x="66"/>
        <item x="94"/>
        <item x="137"/>
        <item x="97"/>
        <item x="146"/>
        <item x="136"/>
        <item x="69"/>
        <item x="70"/>
        <item x="13"/>
        <item x="72"/>
        <item x="165"/>
        <item x="84"/>
        <item x="157"/>
        <item x="161"/>
        <item x="2"/>
        <item x="26"/>
        <item x="87"/>
        <item x="142"/>
        <item x="132"/>
        <item x="53"/>
        <item x="152"/>
        <item x="154"/>
        <item x="62"/>
        <item x="135"/>
        <item x="162"/>
        <item x="64"/>
        <item x="169"/>
        <item x="143"/>
        <item x="21"/>
        <item x="42"/>
        <item x="138"/>
        <item x="108"/>
        <item x="36"/>
        <item x="172"/>
        <item x="31"/>
        <item x="52"/>
        <item x="107"/>
        <item x="73"/>
        <item x="96"/>
        <item x="163"/>
        <item x="178"/>
        <item x="139"/>
        <item x="177"/>
        <item x="129"/>
        <item x="126"/>
        <item x="109"/>
        <item x="37"/>
        <item x="180"/>
        <item x="43"/>
        <item x="61"/>
        <item x="95"/>
        <item x="6"/>
        <item x="160"/>
        <item x="15"/>
        <item x="131"/>
        <item x="147"/>
        <item x="44"/>
        <item x="111"/>
        <item x="57"/>
        <item x="140"/>
        <item x="170"/>
        <item x="115"/>
        <item x="99"/>
        <item x="145"/>
        <item x="25"/>
        <item x="10"/>
        <item x="101"/>
        <item x="7"/>
        <item x="159"/>
        <item x="149"/>
        <item x="71"/>
        <item x="76"/>
        <item x="4"/>
        <item x="102"/>
        <item x="116"/>
        <item x="114"/>
        <item x="85"/>
        <item x="48"/>
        <item x="98"/>
        <item x="176"/>
        <item x="30"/>
        <item x="130"/>
        <item x="134"/>
        <item x="34"/>
        <item x="23"/>
        <item x="110"/>
        <item x="75"/>
        <item x="144"/>
        <item x="151"/>
        <item x="105"/>
        <item x="91"/>
        <item x="78"/>
        <item x="50"/>
        <item x="92"/>
        <item x="93"/>
        <item x="122"/>
        <item x="120"/>
        <item x="86"/>
        <item x="168"/>
        <item x="45"/>
        <item x="47"/>
        <item x="80"/>
        <item x="56"/>
        <item x="156"/>
        <item x="22"/>
        <item t="default"/>
      </items>
    </pivotField>
    <pivotField dataField="1" showAll="0"/>
    <pivotField showAll="0"/>
    <pivotField showAll="0"/>
    <pivotField showAll="0"/>
    <pivotField showAll="0"/>
    <pivotField dataField="1" showAll="0"/>
    <pivotField showAll="0"/>
    <pivotField showAll="0"/>
    <pivotField axis="axisRow" showAll="0" sortType="descending">
      <items count="5">
        <item x="1"/>
        <item x="2"/>
        <item x="3"/>
        <item x="0"/>
        <item t="default"/>
      </items>
      <autoSortScope>
        <pivotArea dataOnly="0" outline="0" fieldPosition="0">
          <references count="1">
            <reference field="4294967294" count="1" selected="0">
              <x v="0"/>
            </reference>
          </references>
        </pivotArea>
      </autoSortScope>
    </pivotField>
    <pivotField showAll="0"/>
    <pivotField showAll="0"/>
    <pivotField showAll="0"/>
    <pivotField showAll="0"/>
    <pivotField showAll="0"/>
    <pivotField showAll="0"/>
    <pivotField showAll="0"/>
    <pivotField showAll="0">
      <items count="15">
        <item sd="0" x="0"/>
        <item sd="0" x="1"/>
        <item sd="0" x="2"/>
        <item sd="0" x="3"/>
        <item sd="0" x="4"/>
        <item sd="0" x="5"/>
        <item sd="0" x="6"/>
        <item sd="0" x="7"/>
        <item sd="0" x="8"/>
        <item sd="0" x="9"/>
        <item sd="0" x="10"/>
        <item sd="0" x="11"/>
        <item sd="0" x="12"/>
        <item sd="0" x="13"/>
        <item t="default"/>
      </items>
    </pivotField>
    <pivotField showAll="0">
      <items count="7">
        <item sd="0" x="0"/>
        <item sd="0" x="1"/>
        <item sd="0" x="2"/>
        <item sd="0" x="3"/>
        <item sd="0" x="4"/>
        <item sd="0" x="5"/>
        <item t="default"/>
      </items>
    </pivotField>
    <pivotField showAll="0">
      <items count="5">
        <item sd="0" x="0"/>
        <item sd="0" x="1"/>
        <item sd="0" x="2"/>
        <item sd="0" x="3"/>
        <item t="default"/>
      </items>
    </pivotField>
  </pivotFields>
  <rowFields count="1">
    <field x="10"/>
  </rowFields>
  <rowItems count="5">
    <i>
      <x/>
    </i>
    <i>
      <x v="2"/>
    </i>
    <i>
      <x v="1"/>
    </i>
    <i>
      <x v="3"/>
    </i>
    <i t="grand">
      <x/>
    </i>
  </rowItems>
  <colFields count="1">
    <field x="-2"/>
  </colFields>
  <colItems count="2">
    <i>
      <x/>
    </i>
    <i i="1">
      <x v="1"/>
    </i>
  </colItems>
  <dataFields count="2">
    <dataField name="No.of users" fld="2" subtotal="count" baseField="10" baseItem="0"/>
    <dataField name="Sum of revenue" fld="7"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7.xml><?xml version="1.0" encoding="utf-8"?>
<pivotTableDefinition xmlns="http://schemas.openxmlformats.org/spreadsheetml/2006/main" xmlns:mc="http://schemas.openxmlformats.org/markup-compatibility/2006" xmlns:xr="http://schemas.microsoft.com/office/spreadsheetml/2014/revision" mc:Ignorable="xr" xr:uid="{714A367E-941F-4A1A-8857-8FC9543EA63C}" name="PivotTable2" cacheId="1"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0" rowHeaderCaption="Category">
  <location ref="A11:B17" firstHeaderRow="1" firstDataRow="1" firstDataCol="1"/>
  <pivotFields count="21">
    <pivotField showAll="0"/>
    <pivotField numFmtId="164" showAll="0">
      <items count="182">
        <item x="179"/>
        <item x="104"/>
        <item x="74"/>
        <item x="127"/>
        <item x="51"/>
        <item x="174"/>
        <item x="63"/>
        <item x="148"/>
        <item x="9"/>
        <item x="24"/>
        <item x="112"/>
        <item x="46"/>
        <item x="106"/>
        <item x="173"/>
        <item x="33"/>
        <item x="58"/>
        <item x="175"/>
        <item x="117"/>
        <item x="125"/>
        <item x="90"/>
        <item x="153"/>
        <item x="3"/>
        <item x="16"/>
        <item x="8"/>
        <item x="20"/>
        <item x="40"/>
        <item x="68"/>
        <item x="0"/>
        <item x="155"/>
        <item x="82"/>
        <item x="81"/>
        <item x="5"/>
        <item x="28"/>
        <item x="19"/>
        <item x="113"/>
        <item x="39"/>
        <item x="123"/>
        <item x="164"/>
        <item x="119"/>
        <item x="54"/>
        <item x="59"/>
        <item x="14"/>
        <item x="89"/>
        <item x="35"/>
        <item x="11"/>
        <item x="150"/>
        <item x="167"/>
        <item x="118"/>
        <item x="133"/>
        <item x="49"/>
        <item x="83"/>
        <item x="18"/>
        <item x="79"/>
        <item x="60"/>
        <item x="171"/>
        <item x="67"/>
        <item x="27"/>
        <item x="55"/>
        <item x="124"/>
        <item x="88"/>
        <item x="121"/>
        <item x="41"/>
        <item x="100"/>
        <item x="17"/>
        <item x="77"/>
        <item x="65"/>
        <item x="12"/>
        <item x="103"/>
        <item x="32"/>
        <item x="158"/>
        <item x="128"/>
        <item x="29"/>
        <item x="166"/>
        <item x="141"/>
        <item x="38"/>
        <item x="1"/>
        <item x="66"/>
        <item x="94"/>
        <item x="137"/>
        <item x="97"/>
        <item x="146"/>
        <item x="136"/>
        <item x="69"/>
        <item x="70"/>
        <item x="13"/>
        <item x="72"/>
        <item x="165"/>
        <item x="84"/>
        <item x="157"/>
        <item x="161"/>
        <item x="2"/>
        <item x="26"/>
        <item x="87"/>
        <item x="142"/>
        <item x="132"/>
        <item x="53"/>
        <item x="152"/>
        <item x="154"/>
        <item x="62"/>
        <item x="135"/>
        <item x="162"/>
        <item x="64"/>
        <item x="169"/>
        <item x="143"/>
        <item x="21"/>
        <item x="42"/>
        <item x="138"/>
        <item x="108"/>
        <item x="36"/>
        <item x="172"/>
        <item x="31"/>
        <item x="52"/>
        <item x="107"/>
        <item x="73"/>
        <item x="96"/>
        <item x="163"/>
        <item x="178"/>
        <item x="139"/>
        <item x="177"/>
        <item x="129"/>
        <item x="126"/>
        <item x="109"/>
        <item x="37"/>
        <item x="180"/>
        <item x="43"/>
        <item x="61"/>
        <item x="95"/>
        <item x="6"/>
        <item x="160"/>
        <item x="15"/>
        <item x="131"/>
        <item x="147"/>
        <item x="44"/>
        <item x="111"/>
        <item x="57"/>
        <item x="140"/>
        <item x="170"/>
        <item x="115"/>
        <item x="99"/>
        <item x="145"/>
        <item x="25"/>
        <item x="10"/>
        <item x="101"/>
        <item x="7"/>
        <item x="159"/>
        <item x="149"/>
        <item x="71"/>
        <item x="76"/>
        <item x="4"/>
        <item x="102"/>
        <item x="116"/>
        <item x="114"/>
        <item x="85"/>
        <item x="48"/>
        <item x="98"/>
        <item x="176"/>
        <item x="30"/>
        <item x="130"/>
        <item x="134"/>
        <item x="34"/>
        <item x="23"/>
        <item x="110"/>
        <item x="75"/>
        <item x="144"/>
        <item x="151"/>
        <item x="105"/>
        <item x="91"/>
        <item x="78"/>
        <item x="50"/>
        <item x="92"/>
        <item x="93"/>
        <item x="122"/>
        <item x="120"/>
        <item x="86"/>
        <item x="168"/>
        <item x="45"/>
        <item x="47"/>
        <item x="80"/>
        <item x="56"/>
        <item x="156"/>
        <item x="22"/>
        <item t="default"/>
      </items>
    </pivotField>
    <pivotField showAll="0"/>
    <pivotField showAll="0"/>
    <pivotField axis="axisRow" showAll="0" sortType="descending">
      <items count="6">
        <item x="1"/>
        <item x="3"/>
        <item x="2"/>
        <item x="0"/>
        <item x="4"/>
        <item t="default"/>
      </items>
      <autoSortScope>
        <pivotArea dataOnly="0" outline="0" fieldPosition="0">
          <references count="1">
            <reference field="4294967294" count="1" selected="0">
              <x v="0"/>
            </reference>
          </references>
        </pivotArea>
      </autoSortScope>
    </pivotField>
    <pivotField showAll="0"/>
    <pivotField showAll="0"/>
    <pivotField dataField="1" showAll="0"/>
    <pivotField showAll="0"/>
    <pivotField showAll="0"/>
    <pivotField showAll="0"/>
    <pivotField showAll="0"/>
    <pivotField showAll="0"/>
    <pivotField showAll="0"/>
    <pivotField showAll="0"/>
    <pivotField showAll="0"/>
    <pivotField showAll="0"/>
    <pivotField showAll="0"/>
    <pivotField showAll="0">
      <items count="15">
        <item sd="0" x="0"/>
        <item sd="0" x="1"/>
        <item sd="0" x="2"/>
        <item sd="0" x="3"/>
        <item sd="0" x="4"/>
        <item sd="0" x="5"/>
        <item sd="0" x="6"/>
        <item sd="0" x="7"/>
        <item sd="0" x="8"/>
        <item sd="0" x="9"/>
        <item sd="0" x="10"/>
        <item sd="0" x="11"/>
        <item sd="0" x="12"/>
        <item sd="0" x="13"/>
        <item t="default"/>
      </items>
    </pivotField>
    <pivotField showAll="0">
      <items count="7">
        <item sd="0" x="0"/>
        <item sd="0" x="1"/>
        <item sd="0" x="2"/>
        <item sd="0" x="3"/>
        <item sd="0" x="4"/>
        <item sd="0" x="5"/>
        <item t="default"/>
      </items>
    </pivotField>
    <pivotField showAll="0">
      <items count="5">
        <item sd="0" x="0"/>
        <item sd="0" x="1"/>
        <item sd="0" x="2"/>
        <item sd="0" x="3"/>
        <item t="default"/>
      </items>
    </pivotField>
  </pivotFields>
  <rowFields count="1">
    <field x="4"/>
  </rowFields>
  <rowItems count="6">
    <i>
      <x v="1"/>
    </i>
    <i>
      <x/>
    </i>
    <i>
      <x v="4"/>
    </i>
    <i>
      <x v="2"/>
    </i>
    <i>
      <x v="3"/>
    </i>
    <i t="grand">
      <x/>
    </i>
  </rowItems>
  <colItems count="1">
    <i/>
  </colItems>
  <dataFields count="1">
    <dataField name="Amount" fld="7" baseField="0" baseItem="0"/>
  </dataFields>
  <chartFormats count="5">
    <chartFormat chart="0" format="0" series="1">
      <pivotArea type="data" outline="0" fieldPosition="0">
        <references count="1">
          <reference field="4294967294" count="1" selected="0">
            <x v="0"/>
          </reference>
        </references>
      </pivotArea>
    </chartFormat>
    <chartFormat chart="4" format="0" series="1">
      <pivotArea type="data" outline="0" fieldPosition="0">
        <references count="1">
          <reference field="4294967294" count="1" selected="0">
            <x v="0"/>
          </reference>
        </references>
      </pivotArea>
    </chartFormat>
    <chartFormat chart="4" format="2">
      <pivotArea type="data" outline="0" fieldPosition="0">
        <references count="2">
          <reference field="4294967294" count="1" selected="0">
            <x v="0"/>
          </reference>
          <reference field="4" count="1" selected="0">
            <x v="0"/>
          </reference>
        </references>
      </pivotArea>
    </chartFormat>
    <chartFormat chart="4" format="3">
      <pivotArea type="data" outline="0" fieldPosition="0">
        <references count="2">
          <reference field="4294967294" count="1" selected="0">
            <x v="0"/>
          </reference>
          <reference field="4" count="1" selected="0">
            <x v="1"/>
          </reference>
        </references>
      </pivotArea>
    </chartFormat>
    <chartFormat chart="9" format="5"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order_month" xr10:uid="{9D16585A-570E-4260-A924-908E0FB06221}" sourceName="order_month">
  <pivotTables>
    <pivotTable tabId="3" name="PivotTable6"/>
  </pivotTables>
  <data>
    <tabular pivotCacheId="41450054">
      <items count="7">
        <i x="5" s="1"/>
        <i x="0" s="1"/>
        <i x="1" s="1"/>
        <i x="2" s="1"/>
        <i x="4" s="1"/>
        <i x="3" s="1"/>
        <i x="6" s="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product_name" xr10:uid="{B373302A-B514-43FD-94A5-DEC432D2C38F}" sourceName="product_name">
  <pivotTables>
    <pivotTable tabId="3" name="PivotTable5"/>
  </pivotTables>
  <data>
    <tabular pivotCacheId="41450054">
      <items count="4">
        <i x="3" s="1"/>
        <i x="2" s="1"/>
        <i x="0" s="1"/>
        <i x="1" s="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order_month" xr10:uid="{8A6EC287-FEB2-4DC8-95F1-DA80EAB76486}" cache="Slicer_order_month" caption="order_month" rowHeight="241300"/>
  <slicer name="product_name" xr10:uid="{3A7C92DA-6F48-4C2B-8A66-B282001704FE}" cache="Slicer_product_name" caption="product_name" showCaption="0" rowHeight="241300"/>
</slicer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0002880C-250F-4BF3-AEB9-F50CC8A3B569}" name="Table1" displayName="Table1" ref="A1:R5001" totalsRowShown="0" headerRowDxfId="5">
  <autoFilter ref="A1:R5001" xr:uid="{0002880C-250F-4BF3-AEB9-F50CC8A3B569}"/>
  <tableColumns count="18">
    <tableColumn id="1" xr3:uid="{069A1F1A-5649-4893-ADF5-436B36E6820D}" name="order_id"/>
    <tableColumn id="2" xr3:uid="{82325C9B-C85C-48AA-B8A5-BBD06456EA2E}" name="order_date" dataDxfId="4"/>
    <tableColumn id="3" xr3:uid="{C27FD632-A71E-42B7-A485-315BD357C8AC}" name="user_id"/>
    <tableColumn id="4" xr3:uid="{12D93656-BC85-45C5-A0A2-1370CB0EE528}" name="user_city"/>
    <tableColumn id="5" xr3:uid="{554A57A1-01A4-41C3-8500-18D3940C928B}" name="category"/>
    <tableColumn id="6" xr3:uid="{94921DEA-8A56-4610-9453-8B5999D72819}" name="product_name"/>
    <tableColumn id="7" xr3:uid="{0E3E16E6-1EC1-4FBE-8A08-C9125D6BB969}" name="quantity"/>
    <tableColumn id="8" xr3:uid="{A4F13AEA-3BBF-4E74-9ADA-4146D15D13C8}" name="revenue"/>
    <tableColumn id="9" xr3:uid="{069753DD-83A5-40E1-8B53-F821F21FFC23}" name="payment_method"/>
    <tableColumn id="10" xr3:uid="{758AB6FF-35A0-4A4B-8ABB-C46BE1822BB0}" name="order_status"/>
    <tableColumn id="11" xr3:uid="{E7618A1B-7724-42AA-84BE-275F858CE326}" name="marketing_channel"/>
    <tableColumn id="12" xr3:uid="{D71B484B-1C8E-4C54-B5D9-5B50F144B58D}" name="delivery_days"/>
    <tableColumn id="13" xr3:uid="{BE22913D-1C71-4AF2-B11E-0B8DE116ACAA}" name="is_returned"/>
    <tableColumn id="14" xr3:uid="{96293E40-0929-4B15-945E-C6970510197B}" name="discount_applied"/>
    <tableColumn id="15" xr3:uid="{58E909E0-A05A-4EF1-9C5A-F204A9475275}" name="customer_type"/>
    <tableColumn id="16" xr3:uid="{85285DCE-E44F-408F-A973-536C0C2625A7}" name="order_month" dataDxfId="3">
      <calculatedColumnFormula>TEXT(Table1[[#This Row],[order_date]],"yyyy-mm")</calculatedColumnFormula>
    </tableColumn>
    <tableColumn id="17" xr3:uid="{26864BEE-6CD2-4900-B042-0A4AB28BE11F}" name="order_week" dataDxfId="2">
      <calculatedColumnFormula>WEEKNUM(Table1[[#This Row],[order_date]])</calculatedColumnFormula>
    </tableColumn>
    <tableColumn id="18" xr3:uid="{4DBB3C1B-9250-4736-B1F7-A861ECC6BCDE}" name="is_completed" dataDxfId="1">
      <calculatedColumnFormula>IF(Table1[[#This Row],[order_status]]="completed",1,0)</calculatedColumnFormula>
    </tableColumn>
  </tableColumns>
  <tableStyleInfo name="TableStyleMedium9"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table" Target="../tables/table1.xml"/></Relationships>
</file>

<file path=xl/worksheets/_rels/sheet2.xml.rels><?xml version="1.0" encoding="UTF-8" standalone="yes"?>
<Relationships xmlns="http://schemas.openxmlformats.org/package/2006/relationships"><Relationship Id="rId8" Type="http://schemas.openxmlformats.org/officeDocument/2006/relationships/drawing" Target="../drawings/drawing1.xml"/><Relationship Id="rId3" Type="http://schemas.openxmlformats.org/officeDocument/2006/relationships/pivotTable" Target="../pivotTables/pivotTable3.xml"/><Relationship Id="rId7" Type="http://schemas.openxmlformats.org/officeDocument/2006/relationships/pivotTable" Target="../pivotTables/pivotTable7.xml"/><Relationship Id="rId2" Type="http://schemas.openxmlformats.org/officeDocument/2006/relationships/pivotTable" Target="../pivotTables/pivotTable2.xml"/><Relationship Id="rId1" Type="http://schemas.openxmlformats.org/officeDocument/2006/relationships/pivotTable" Target="../pivotTables/pivotTable1.xml"/><Relationship Id="rId6" Type="http://schemas.openxmlformats.org/officeDocument/2006/relationships/pivotTable" Target="../pivotTables/pivotTable6.xml"/><Relationship Id="rId5" Type="http://schemas.openxmlformats.org/officeDocument/2006/relationships/pivotTable" Target="../pivotTables/pivotTable5.xml"/><Relationship Id="rId4" Type="http://schemas.openxmlformats.org/officeDocument/2006/relationships/pivotTable" Target="../pivotTables/pivotTable4.xml"/></Relationships>
</file>

<file path=xl/worksheets/_rels/sheet3.xml.rels><?xml version="1.0" encoding="UTF-8" standalone="yes"?>
<Relationships xmlns="http://schemas.openxmlformats.org/package/2006/relationships"><Relationship Id="rId3" Type="http://schemas.microsoft.com/office/2007/relationships/slicer" Target="../slicers/slicer1.xml"/><Relationship Id="rId2" Type="http://schemas.openxmlformats.org/officeDocument/2006/relationships/drawing" Target="../drawings/drawing2.xml"/><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R5001"/>
  <sheetViews>
    <sheetView topLeftCell="G1" workbookViewId="0">
      <selection activeCell="D1" sqref="D1:R2"/>
    </sheetView>
  </sheetViews>
  <sheetFormatPr defaultRowHeight="14.5" x14ac:dyDescent="0.35"/>
  <cols>
    <col min="1" max="1" width="10" customWidth="1"/>
    <col min="2" max="2" width="13.54296875" customWidth="1"/>
    <col min="3" max="3" width="9" customWidth="1"/>
    <col min="4" max="4" width="10.36328125" customWidth="1"/>
    <col min="5" max="5" width="10" customWidth="1"/>
    <col min="6" max="6" width="15.1796875" customWidth="1"/>
    <col min="7" max="7" width="9.90625" customWidth="1"/>
    <col min="8" max="8" width="9.6328125" customWidth="1"/>
    <col min="9" max="9" width="17.90625" customWidth="1"/>
    <col min="10" max="10" width="13.6328125" customWidth="1"/>
    <col min="11" max="11" width="18.90625" customWidth="1"/>
    <col min="12" max="12" width="14.1796875" customWidth="1"/>
    <col min="13" max="13" width="12.54296875" customWidth="1"/>
    <col min="14" max="14" width="17.1796875" customWidth="1"/>
    <col min="15" max="15" width="15.453125" customWidth="1"/>
  </cols>
  <sheetData>
    <row r="1" spans="1:18" x14ac:dyDescent="0.35">
      <c r="A1" s="4" t="s">
        <v>0</v>
      </c>
      <c r="B1" s="4" t="s">
        <v>1</v>
      </c>
      <c r="C1" s="4" t="s">
        <v>2</v>
      </c>
      <c r="D1" s="4" t="s">
        <v>3</v>
      </c>
      <c r="E1" s="4" t="s">
        <v>4</v>
      </c>
      <c r="F1" s="4" t="s">
        <v>5</v>
      </c>
      <c r="G1" s="4" t="s">
        <v>6</v>
      </c>
      <c r="H1" s="4" t="s">
        <v>7</v>
      </c>
      <c r="I1" s="4" t="s">
        <v>8</v>
      </c>
      <c r="J1" s="4" t="s">
        <v>9</v>
      </c>
      <c r="K1" s="4" t="s">
        <v>10</v>
      </c>
      <c r="L1" s="4" t="s">
        <v>11</v>
      </c>
      <c r="M1" s="4" t="s">
        <v>12</v>
      </c>
      <c r="N1" s="4" t="s">
        <v>13</v>
      </c>
      <c r="O1" s="4" t="s">
        <v>14</v>
      </c>
      <c r="P1" s="4" t="s">
        <v>45</v>
      </c>
      <c r="Q1" s="4" t="s">
        <v>46</v>
      </c>
      <c r="R1" s="4" t="s">
        <v>47</v>
      </c>
    </row>
    <row r="2" spans="1:18" x14ac:dyDescent="0.35">
      <c r="A2">
        <v>1</v>
      </c>
      <c r="B2" s="1">
        <v>45878</v>
      </c>
      <c r="C2">
        <v>1283</v>
      </c>
      <c r="D2" t="s">
        <v>15</v>
      </c>
      <c r="E2" t="s">
        <v>16</v>
      </c>
      <c r="F2" t="s">
        <v>17</v>
      </c>
      <c r="G2">
        <v>4</v>
      </c>
      <c r="H2">
        <v>12856</v>
      </c>
      <c r="I2" t="s">
        <v>18</v>
      </c>
      <c r="J2" t="s">
        <v>19</v>
      </c>
      <c r="K2" t="s">
        <v>20</v>
      </c>
      <c r="L2">
        <v>3</v>
      </c>
      <c r="M2">
        <v>0</v>
      </c>
      <c r="N2">
        <v>1</v>
      </c>
      <c r="O2" t="s">
        <v>21</v>
      </c>
      <c r="P2" t="str">
        <f>TEXT(Table1[[#This Row],[order_date]],"yyyy-mm")</f>
        <v>2025-08</v>
      </c>
      <c r="Q2">
        <f>WEEKNUM(Table1[[#This Row],[order_date]])</f>
        <v>32</v>
      </c>
      <c r="R2">
        <f>IF(Table1[[#This Row],[order_status]]="completed",1,0)</f>
        <v>1</v>
      </c>
    </row>
    <row r="3" spans="1:18" x14ac:dyDescent="0.35">
      <c r="A3">
        <v>2</v>
      </c>
      <c r="B3" s="1">
        <v>45926</v>
      </c>
      <c r="C3">
        <v>1742</v>
      </c>
      <c r="D3" t="s">
        <v>22</v>
      </c>
      <c r="E3" t="s">
        <v>23</v>
      </c>
      <c r="F3" t="s">
        <v>24</v>
      </c>
      <c r="G3">
        <v>1</v>
      </c>
      <c r="H3">
        <v>2376</v>
      </c>
      <c r="I3" t="s">
        <v>25</v>
      </c>
      <c r="J3" t="s">
        <v>19</v>
      </c>
      <c r="K3" t="s">
        <v>26</v>
      </c>
      <c r="L3">
        <v>5</v>
      </c>
      <c r="M3">
        <v>0</v>
      </c>
      <c r="N3">
        <v>1</v>
      </c>
      <c r="O3" t="s">
        <v>27</v>
      </c>
      <c r="P3" t="str">
        <f>TEXT(Table1[[#This Row],[order_date]],"yyyy-mm")</f>
        <v>2025-09</v>
      </c>
      <c r="Q3">
        <f>WEEKNUM(Table1[[#This Row],[order_date]])</f>
        <v>39</v>
      </c>
      <c r="R3">
        <f>IF(Table1[[#This Row],[order_status]]="completed",1,0)</f>
        <v>1</v>
      </c>
    </row>
    <row r="4" spans="1:18" x14ac:dyDescent="0.35">
      <c r="A4">
        <v>3</v>
      </c>
      <c r="B4" s="1">
        <v>45941</v>
      </c>
      <c r="C4">
        <v>1207</v>
      </c>
      <c r="D4" t="s">
        <v>28</v>
      </c>
      <c r="E4" t="s">
        <v>29</v>
      </c>
      <c r="F4" t="s">
        <v>30</v>
      </c>
      <c r="G4">
        <v>4</v>
      </c>
      <c r="H4">
        <v>0</v>
      </c>
      <c r="I4" t="s">
        <v>18</v>
      </c>
      <c r="J4" t="s">
        <v>31</v>
      </c>
      <c r="K4" t="s">
        <v>20</v>
      </c>
      <c r="L4">
        <v>1</v>
      </c>
      <c r="M4">
        <v>1</v>
      </c>
      <c r="N4">
        <v>0</v>
      </c>
      <c r="O4" t="s">
        <v>21</v>
      </c>
      <c r="P4" t="str">
        <f>TEXT(Table1[[#This Row],[order_date]],"yyyy-mm")</f>
        <v>2025-10</v>
      </c>
      <c r="Q4">
        <f>WEEKNUM(Table1[[#This Row],[order_date]])</f>
        <v>41</v>
      </c>
      <c r="R4">
        <f>IF(Table1[[#This Row],[order_status]]="completed",1,0)</f>
        <v>0</v>
      </c>
    </row>
    <row r="5" spans="1:18" x14ac:dyDescent="0.35">
      <c r="A5">
        <v>4</v>
      </c>
      <c r="B5" s="1">
        <v>45872</v>
      </c>
      <c r="C5">
        <v>1806</v>
      </c>
      <c r="D5" t="s">
        <v>32</v>
      </c>
      <c r="E5" t="s">
        <v>33</v>
      </c>
      <c r="F5" t="s">
        <v>34</v>
      </c>
      <c r="G5">
        <v>3</v>
      </c>
      <c r="H5">
        <v>0</v>
      </c>
      <c r="I5" t="s">
        <v>35</v>
      </c>
      <c r="J5" t="s">
        <v>31</v>
      </c>
      <c r="K5" t="s">
        <v>26</v>
      </c>
      <c r="L5">
        <v>4</v>
      </c>
      <c r="M5">
        <v>1</v>
      </c>
      <c r="N5">
        <v>1</v>
      </c>
      <c r="O5" t="s">
        <v>21</v>
      </c>
      <c r="P5" t="str">
        <f>TEXT(Table1[[#This Row],[order_date]],"yyyy-mm")</f>
        <v>2025-08</v>
      </c>
      <c r="Q5">
        <f>WEEKNUM(Table1[[#This Row],[order_date]])</f>
        <v>32</v>
      </c>
      <c r="R5">
        <f>IF(Table1[[#This Row],[order_status]]="completed",1,0)</f>
        <v>0</v>
      </c>
    </row>
    <row r="6" spans="1:18" x14ac:dyDescent="0.35">
      <c r="A6">
        <v>5</v>
      </c>
      <c r="B6" s="1">
        <v>45999</v>
      </c>
      <c r="C6">
        <v>1529</v>
      </c>
      <c r="D6" t="s">
        <v>28</v>
      </c>
      <c r="E6" t="s">
        <v>36</v>
      </c>
      <c r="F6" t="s">
        <v>24</v>
      </c>
      <c r="G6">
        <v>5</v>
      </c>
      <c r="H6">
        <v>0</v>
      </c>
      <c r="I6" t="s">
        <v>25</v>
      </c>
      <c r="J6" t="s">
        <v>37</v>
      </c>
      <c r="K6" t="s">
        <v>38</v>
      </c>
      <c r="L6">
        <v>9</v>
      </c>
      <c r="M6">
        <v>1</v>
      </c>
      <c r="N6">
        <v>1</v>
      </c>
      <c r="O6" t="s">
        <v>27</v>
      </c>
      <c r="P6" t="str">
        <f>TEXT(Table1[[#This Row],[order_date]],"yyyy-mm")</f>
        <v>2025-12</v>
      </c>
      <c r="Q6">
        <f>WEEKNUM(Table1[[#This Row],[order_date]])</f>
        <v>50</v>
      </c>
      <c r="R6">
        <f>IF(Table1[[#This Row],[order_status]]="completed",1,0)</f>
        <v>0</v>
      </c>
    </row>
    <row r="7" spans="1:18" x14ac:dyDescent="0.35">
      <c r="A7">
        <v>6</v>
      </c>
      <c r="B7" s="1">
        <v>45882</v>
      </c>
      <c r="C7">
        <v>1663</v>
      </c>
      <c r="D7" t="s">
        <v>15</v>
      </c>
      <c r="E7" t="s">
        <v>36</v>
      </c>
      <c r="F7" t="s">
        <v>17</v>
      </c>
      <c r="G7">
        <v>4</v>
      </c>
      <c r="H7">
        <v>0</v>
      </c>
      <c r="I7" t="s">
        <v>39</v>
      </c>
      <c r="J7" t="s">
        <v>37</v>
      </c>
      <c r="K7" t="s">
        <v>38</v>
      </c>
      <c r="L7">
        <v>8</v>
      </c>
      <c r="M7">
        <v>1</v>
      </c>
      <c r="N7">
        <v>1</v>
      </c>
      <c r="O7" t="s">
        <v>21</v>
      </c>
      <c r="P7" t="str">
        <f>TEXT(Table1[[#This Row],[order_date]],"yyyy-mm")</f>
        <v>2025-08</v>
      </c>
      <c r="Q7">
        <f>WEEKNUM(Table1[[#This Row],[order_date]])</f>
        <v>33</v>
      </c>
      <c r="R7">
        <f>IF(Table1[[#This Row],[order_status]]="completed",1,0)</f>
        <v>0</v>
      </c>
    </row>
    <row r="8" spans="1:18" x14ac:dyDescent="0.35">
      <c r="A8">
        <v>7</v>
      </c>
      <c r="B8" s="1">
        <v>45978</v>
      </c>
      <c r="C8">
        <v>1124</v>
      </c>
      <c r="D8" t="s">
        <v>15</v>
      </c>
      <c r="E8" t="s">
        <v>29</v>
      </c>
      <c r="F8" t="s">
        <v>24</v>
      </c>
      <c r="G8">
        <v>5</v>
      </c>
      <c r="H8">
        <v>0</v>
      </c>
      <c r="I8" t="s">
        <v>18</v>
      </c>
      <c r="J8" t="s">
        <v>31</v>
      </c>
      <c r="K8" t="s">
        <v>40</v>
      </c>
      <c r="L8">
        <v>6</v>
      </c>
      <c r="M8">
        <v>1</v>
      </c>
      <c r="N8">
        <v>1</v>
      </c>
      <c r="O8" t="s">
        <v>27</v>
      </c>
      <c r="P8" t="str">
        <f>TEXT(Table1[[#This Row],[order_date]],"yyyy-mm")</f>
        <v>2025-11</v>
      </c>
      <c r="Q8">
        <f>WEEKNUM(Table1[[#This Row],[order_date]])</f>
        <v>47</v>
      </c>
      <c r="R8">
        <f>IF(Table1[[#This Row],[order_status]]="completed",1,0)</f>
        <v>0</v>
      </c>
    </row>
    <row r="9" spans="1:18" x14ac:dyDescent="0.35">
      <c r="A9">
        <v>8</v>
      </c>
      <c r="B9" s="1">
        <v>45994</v>
      </c>
      <c r="C9">
        <v>1367</v>
      </c>
      <c r="D9" t="s">
        <v>15</v>
      </c>
      <c r="E9" t="s">
        <v>29</v>
      </c>
      <c r="F9" t="s">
        <v>17</v>
      </c>
      <c r="G9">
        <v>1</v>
      </c>
      <c r="H9">
        <v>0</v>
      </c>
      <c r="I9" t="s">
        <v>18</v>
      </c>
      <c r="J9" t="s">
        <v>31</v>
      </c>
      <c r="K9" t="s">
        <v>38</v>
      </c>
      <c r="L9">
        <v>10</v>
      </c>
      <c r="M9">
        <v>0</v>
      </c>
      <c r="N9">
        <v>0</v>
      </c>
      <c r="O9" t="s">
        <v>21</v>
      </c>
      <c r="P9" t="str">
        <f>TEXT(Table1[[#This Row],[order_date]],"yyyy-mm")</f>
        <v>2025-12</v>
      </c>
      <c r="Q9">
        <f>WEEKNUM(Table1[[#This Row],[order_date]])</f>
        <v>49</v>
      </c>
      <c r="R9">
        <f>IF(Table1[[#This Row],[order_status]]="completed",1,0)</f>
        <v>0</v>
      </c>
    </row>
    <row r="10" spans="1:18" x14ac:dyDescent="0.35">
      <c r="A10">
        <v>9</v>
      </c>
      <c r="B10" s="1">
        <v>45874</v>
      </c>
      <c r="C10">
        <v>1782</v>
      </c>
      <c r="D10" t="s">
        <v>15</v>
      </c>
      <c r="E10" t="s">
        <v>33</v>
      </c>
      <c r="F10" t="s">
        <v>24</v>
      </c>
      <c r="G10">
        <v>3</v>
      </c>
      <c r="H10">
        <v>0</v>
      </c>
      <c r="I10" t="s">
        <v>35</v>
      </c>
      <c r="J10" t="s">
        <v>31</v>
      </c>
      <c r="K10" t="s">
        <v>38</v>
      </c>
      <c r="L10">
        <v>1</v>
      </c>
      <c r="M10">
        <v>0</v>
      </c>
      <c r="N10">
        <v>1</v>
      </c>
      <c r="O10" t="s">
        <v>21</v>
      </c>
      <c r="P10" t="str">
        <f>TEXT(Table1[[#This Row],[order_date]],"yyyy-mm")</f>
        <v>2025-08</v>
      </c>
      <c r="Q10">
        <f>WEEKNUM(Table1[[#This Row],[order_date]])</f>
        <v>32</v>
      </c>
      <c r="R10">
        <f>IF(Table1[[#This Row],[order_status]]="completed",1,0)</f>
        <v>0</v>
      </c>
    </row>
    <row r="11" spans="1:18" x14ac:dyDescent="0.35">
      <c r="A11">
        <v>10</v>
      </c>
      <c r="B11" s="1">
        <v>45859</v>
      </c>
      <c r="C11">
        <v>1920</v>
      </c>
      <c r="D11" t="s">
        <v>28</v>
      </c>
      <c r="E11" t="s">
        <v>36</v>
      </c>
      <c r="F11" t="s">
        <v>30</v>
      </c>
      <c r="G11">
        <v>3</v>
      </c>
      <c r="H11">
        <v>0</v>
      </c>
      <c r="I11" t="s">
        <v>25</v>
      </c>
      <c r="J11" t="s">
        <v>37</v>
      </c>
      <c r="K11" t="s">
        <v>20</v>
      </c>
      <c r="L11">
        <v>3</v>
      </c>
      <c r="M11">
        <v>1</v>
      </c>
      <c r="N11">
        <v>0</v>
      </c>
      <c r="O11" t="s">
        <v>27</v>
      </c>
      <c r="P11" t="str">
        <f>TEXT(Table1[[#This Row],[order_date]],"yyyy-mm")</f>
        <v>2025-07</v>
      </c>
      <c r="Q11">
        <f>WEEKNUM(Table1[[#This Row],[order_date]])</f>
        <v>30</v>
      </c>
      <c r="R11">
        <f>IF(Table1[[#This Row],[order_status]]="completed",1,0)</f>
        <v>0</v>
      </c>
    </row>
    <row r="12" spans="1:18" x14ac:dyDescent="0.35">
      <c r="A12">
        <v>11</v>
      </c>
      <c r="B12" s="1">
        <v>45992</v>
      </c>
      <c r="C12">
        <v>1570</v>
      </c>
      <c r="D12" t="s">
        <v>41</v>
      </c>
      <c r="E12" t="s">
        <v>36</v>
      </c>
      <c r="F12" t="s">
        <v>17</v>
      </c>
      <c r="G12">
        <v>3</v>
      </c>
      <c r="H12">
        <v>0</v>
      </c>
      <c r="I12" t="s">
        <v>35</v>
      </c>
      <c r="J12" t="s">
        <v>37</v>
      </c>
      <c r="K12" t="s">
        <v>20</v>
      </c>
      <c r="L12">
        <v>6</v>
      </c>
      <c r="M12">
        <v>1</v>
      </c>
      <c r="N12">
        <v>1</v>
      </c>
      <c r="O12" t="s">
        <v>21</v>
      </c>
      <c r="P12" t="str">
        <f>TEXT(Table1[[#This Row],[order_date]],"yyyy-mm")</f>
        <v>2025-12</v>
      </c>
      <c r="Q12">
        <f>WEEKNUM(Table1[[#This Row],[order_date]])</f>
        <v>49</v>
      </c>
      <c r="R12">
        <f>IF(Table1[[#This Row],[order_status]]="completed",1,0)</f>
        <v>0</v>
      </c>
    </row>
    <row r="13" spans="1:18" x14ac:dyDescent="0.35">
      <c r="A13">
        <v>12</v>
      </c>
      <c r="B13" s="1">
        <v>45895</v>
      </c>
      <c r="C13">
        <v>1683</v>
      </c>
      <c r="D13" t="s">
        <v>41</v>
      </c>
      <c r="E13" t="s">
        <v>36</v>
      </c>
      <c r="F13" t="s">
        <v>24</v>
      </c>
      <c r="G13">
        <v>2</v>
      </c>
      <c r="H13">
        <v>6296</v>
      </c>
      <c r="I13" t="s">
        <v>35</v>
      </c>
      <c r="J13" t="s">
        <v>19</v>
      </c>
      <c r="K13" t="s">
        <v>38</v>
      </c>
      <c r="L13">
        <v>2</v>
      </c>
      <c r="M13">
        <v>0</v>
      </c>
      <c r="N13">
        <v>0</v>
      </c>
      <c r="O13" t="s">
        <v>21</v>
      </c>
      <c r="P13" t="str">
        <f>TEXT(Table1[[#This Row],[order_date]],"yyyy-mm")</f>
        <v>2025-08</v>
      </c>
      <c r="Q13">
        <f>WEEKNUM(Table1[[#This Row],[order_date]])</f>
        <v>35</v>
      </c>
      <c r="R13">
        <f>IF(Table1[[#This Row],[order_status]]="completed",1,0)</f>
        <v>1</v>
      </c>
    </row>
    <row r="14" spans="1:18" x14ac:dyDescent="0.35">
      <c r="A14">
        <v>13</v>
      </c>
      <c r="B14" s="1">
        <v>45917</v>
      </c>
      <c r="C14">
        <v>1735</v>
      </c>
      <c r="D14" t="s">
        <v>32</v>
      </c>
      <c r="E14" t="s">
        <v>29</v>
      </c>
      <c r="F14" t="s">
        <v>17</v>
      </c>
      <c r="G14">
        <v>3</v>
      </c>
      <c r="H14">
        <v>0</v>
      </c>
      <c r="I14" t="s">
        <v>39</v>
      </c>
      <c r="J14" t="s">
        <v>37</v>
      </c>
      <c r="K14" t="s">
        <v>40</v>
      </c>
      <c r="L14">
        <v>6</v>
      </c>
      <c r="M14">
        <v>0</v>
      </c>
      <c r="N14">
        <v>0</v>
      </c>
      <c r="O14" t="s">
        <v>27</v>
      </c>
      <c r="P14" t="str">
        <f>TEXT(Table1[[#This Row],[order_date]],"yyyy-mm")</f>
        <v>2025-09</v>
      </c>
      <c r="Q14">
        <f>WEEKNUM(Table1[[#This Row],[order_date]])</f>
        <v>38</v>
      </c>
      <c r="R14">
        <f>IF(Table1[[#This Row],[order_status]]="completed",1,0)</f>
        <v>0</v>
      </c>
    </row>
    <row r="15" spans="1:18" x14ac:dyDescent="0.35">
      <c r="A15">
        <v>14</v>
      </c>
      <c r="B15" s="1">
        <v>45878</v>
      </c>
      <c r="C15">
        <v>1857</v>
      </c>
      <c r="D15" t="s">
        <v>32</v>
      </c>
      <c r="E15" t="s">
        <v>33</v>
      </c>
      <c r="F15" t="s">
        <v>17</v>
      </c>
      <c r="G15">
        <v>4</v>
      </c>
      <c r="H15">
        <v>11260</v>
      </c>
      <c r="I15" t="s">
        <v>25</v>
      </c>
      <c r="J15" t="s">
        <v>19</v>
      </c>
      <c r="K15" t="s">
        <v>38</v>
      </c>
      <c r="L15">
        <v>10</v>
      </c>
      <c r="M15">
        <v>0</v>
      </c>
      <c r="N15">
        <v>1</v>
      </c>
      <c r="O15" t="s">
        <v>21</v>
      </c>
      <c r="P15" t="str">
        <f>TEXT(Table1[[#This Row],[order_date]],"yyyy-mm")</f>
        <v>2025-08</v>
      </c>
      <c r="Q15">
        <f>WEEKNUM(Table1[[#This Row],[order_date]])</f>
        <v>32</v>
      </c>
      <c r="R15">
        <f>IF(Table1[[#This Row],[order_status]]="completed",1,0)</f>
        <v>1</v>
      </c>
    </row>
    <row r="16" spans="1:18" x14ac:dyDescent="0.35">
      <c r="A16">
        <v>15</v>
      </c>
      <c r="B16" s="1">
        <v>45859</v>
      </c>
      <c r="C16">
        <v>1285</v>
      </c>
      <c r="D16" t="s">
        <v>32</v>
      </c>
      <c r="E16" t="s">
        <v>33</v>
      </c>
      <c r="F16" t="s">
        <v>24</v>
      </c>
      <c r="G16">
        <v>2</v>
      </c>
      <c r="H16">
        <v>0</v>
      </c>
      <c r="I16" t="s">
        <v>35</v>
      </c>
      <c r="J16" t="s">
        <v>31</v>
      </c>
      <c r="K16" t="s">
        <v>40</v>
      </c>
      <c r="L16">
        <v>6</v>
      </c>
      <c r="M16">
        <v>0</v>
      </c>
      <c r="N16">
        <v>0</v>
      </c>
      <c r="O16" t="s">
        <v>21</v>
      </c>
      <c r="P16" t="str">
        <f>TEXT(Table1[[#This Row],[order_date]],"yyyy-mm")</f>
        <v>2025-07</v>
      </c>
      <c r="Q16">
        <f>WEEKNUM(Table1[[#This Row],[order_date]])</f>
        <v>30</v>
      </c>
      <c r="R16">
        <f>IF(Table1[[#This Row],[order_status]]="completed",1,0)</f>
        <v>0</v>
      </c>
    </row>
    <row r="17" spans="1:18" x14ac:dyDescent="0.35">
      <c r="A17">
        <v>16</v>
      </c>
      <c r="B17" s="1">
        <v>45935</v>
      </c>
      <c r="C17">
        <v>1240</v>
      </c>
      <c r="D17" t="s">
        <v>22</v>
      </c>
      <c r="E17" t="s">
        <v>36</v>
      </c>
      <c r="F17" t="s">
        <v>34</v>
      </c>
      <c r="G17">
        <v>1</v>
      </c>
      <c r="H17">
        <v>0</v>
      </c>
      <c r="I17" t="s">
        <v>35</v>
      </c>
      <c r="J17" t="s">
        <v>37</v>
      </c>
      <c r="K17" t="s">
        <v>40</v>
      </c>
      <c r="L17">
        <v>1</v>
      </c>
      <c r="M17">
        <v>1</v>
      </c>
      <c r="N17">
        <v>1</v>
      </c>
      <c r="O17" t="s">
        <v>27</v>
      </c>
      <c r="P17" t="str">
        <f>TEXT(Table1[[#This Row],[order_date]],"yyyy-mm")</f>
        <v>2025-10</v>
      </c>
      <c r="Q17">
        <f>WEEKNUM(Table1[[#This Row],[order_date]])</f>
        <v>41</v>
      </c>
      <c r="R17">
        <f>IF(Table1[[#This Row],[order_status]]="completed",1,0)</f>
        <v>0</v>
      </c>
    </row>
    <row r="18" spans="1:18" x14ac:dyDescent="0.35">
      <c r="A18">
        <v>17</v>
      </c>
      <c r="B18" s="1">
        <v>45892</v>
      </c>
      <c r="C18">
        <v>1057</v>
      </c>
      <c r="D18" t="s">
        <v>22</v>
      </c>
      <c r="E18" t="s">
        <v>33</v>
      </c>
      <c r="F18" t="s">
        <v>34</v>
      </c>
      <c r="G18">
        <v>3</v>
      </c>
      <c r="H18">
        <v>0</v>
      </c>
      <c r="I18" t="s">
        <v>25</v>
      </c>
      <c r="J18" t="s">
        <v>31</v>
      </c>
      <c r="K18" t="s">
        <v>26</v>
      </c>
      <c r="L18">
        <v>5</v>
      </c>
      <c r="M18">
        <v>0</v>
      </c>
      <c r="N18">
        <v>1</v>
      </c>
      <c r="O18" t="s">
        <v>27</v>
      </c>
      <c r="P18" t="str">
        <f>TEXT(Table1[[#This Row],[order_date]],"yyyy-mm")</f>
        <v>2025-08</v>
      </c>
      <c r="Q18">
        <f>WEEKNUM(Table1[[#This Row],[order_date]])</f>
        <v>34</v>
      </c>
      <c r="R18">
        <f>IF(Table1[[#This Row],[order_status]]="completed",1,0)</f>
        <v>0</v>
      </c>
    </row>
    <row r="19" spans="1:18" x14ac:dyDescent="0.35">
      <c r="A19">
        <v>18</v>
      </c>
      <c r="B19" s="1">
        <v>45980</v>
      </c>
      <c r="C19">
        <v>1383</v>
      </c>
      <c r="D19" t="s">
        <v>22</v>
      </c>
      <c r="E19" t="s">
        <v>36</v>
      </c>
      <c r="F19" t="s">
        <v>17</v>
      </c>
      <c r="G19">
        <v>3</v>
      </c>
      <c r="H19">
        <v>0</v>
      </c>
      <c r="I19" t="s">
        <v>18</v>
      </c>
      <c r="J19" t="s">
        <v>31</v>
      </c>
      <c r="K19" t="s">
        <v>26</v>
      </c>
      <c r="L19">
        <v>6</v>
      </c>
      <c r="M19">
        <v>0</v>
      </c>
      <c r="N19">
        <v>0</v>
      </c>
      <c r="O19" t="s">
        <v>21</v>
      </c>
      <c r="P19" t="str">
        <f>TEXT(Table1[[#This Row],[order_date]],"yyyy-mm")</f>
        <v>2025-11</v>
      </c>
      <c r="Q19">
        <f>WEEKNUM(Table1[[#This Row],[order_date]])</f>
        <v>47</v>
      </c>
      <c r="R19">
        <f>IF(Table1[[#This Row],[order_status]]="completed",1,0)</f>
        <v>0</v>
      </c>
    </row>
    <row r="20" spans="1:18" x14ac:dyDescent="0.35">
      <c r="A20">
        <v>19</v>
      </c>
      <c r="B20" s="1">
        <v>45873</v>
      </c>
      <c r="C20">
        <v>1608</v>
      </c>
      <c r="D20" t="s">
        <v>28</v>
      </c>
      <c r="E20" t="s">
        <v>33</v>
      </c>
      <c r="F20" t="s">
        <v>17</v>
      </c>
      <c r="G20">
        <v>4</v>
      </c>
      <c r="H20">
        <v>1352</v>
      </c>
      <c r="I20" t="s">
        <v>18</v>
      </c>
      <c r="J20" t="s">
        <v>19</v>
      </c>
      <c r="K20" t="s">
        <v>20</v>
      </c>
      <c r="L20">
        <v>3</v>
      </c>
      <c r="M20">
        <v>0</v>
      </c>
      <c r="N20">
        <v>0</v>
      </c>
      <c r="O20" t="s">
        <v>21</v>
      </c>
      <c r="P20" t="str">
        <f>TEXT(Table1[[#This Row],[order_date]],"yyyy-mm")</f>
        <v>2025-08</v>
      </c>
      <c r="Q20">
        <f>WEEKNUM(Table1[[#This Row],[order_date]])</f>
        <v>32</v>
      </c>
      <c r="R20">
        <f>IF(Table1[[#This Row],[order_status]]="completed",1,0)</f>
        <v>1</v>
      </c>
    </row>
    <row r="21" spans="1:18" x14ac:dyDescent="0.35">
      <c r="A21">
        <v>20</v>
      </c>
      <c r="B21" s="1">
        <v>45914</v>
      </c>
      <c r="C21">
        <v>1580</v>
      </c>
      <c r="D21" t="s">
        <v>41</v>
      </c>
      <c r="E21" t="s">
        <v>16</v>
      </c>
      <c r="F21" t="s">
        <v>24</v>
      </c>
      <c r="G21">
        <v>2</v>
      </c>
      <c r="H21">
        <v>0</v>
      </c>
      <c r="I21" t="s">
        <v>25</v>
      </c>
      <c r="J21" t="s">
        <v>31</v>
      </c>
      <c r="K21" t="s">
        <v>26</v>
      </c>
      <c r="L21">
        <v>6</v>
      </c>
      <c r="M21">
        <v>0</v>
      </c>
      <c r="N21">
        <v>1</v>
      </c>
      <c r="O21" t="s">
        <v>21</v>
      </c>
      <c r="P21" t="str">
        <f>TEXT(Table1[[#This Row],[order_date]],"yyyy-mm")</f>
        <v>2025-09</v>
      </c>
      <c r="Q21">
        <f>WEEKNUM(Table1[[#This Row],[order_date]])</f>
        <v>38</v>
      </c>
      <c r="R21">
        <f>IF(Table1[[#This Row],[order_status]]="completed",1,0)</f>
        <v>0</v>
      </c>
    </row>
    <row r="22" spans="1:18" x14ac:dyDescent="0.35">
      <c r="A22">
        <v>21</v>
      </c>
      <c r="B22" s="1">
        <v>45902</v>
      </c>
      <c r="C22">
        <v>1944</v>
      </c>
      <c r="D22" t="s">
        <v>15</v>
      </c>
      <c r="E22" t="s">
        <v>33</v>
      </c>
      <c r="F22" t="s">
        <v>34</v>
      </c>
      <c r="G22">
        <v>1</v>
      </c>
      <c r="H22">
        <v>0</v>
      </c>
      <c r="I22" t="s">
        <v>35</v>
      </c>
      <c r="J22" t="s">
        <v>31</v>
      </c>
      <c r="K22" t="s">
        <v>26</v>
      </c>
      <c r="L22">
        <v>4</v>
      </c>
      <c r="M22">
        <v>1</v>
      </c>
      <c r="N22">
        <v>1</v>
      </c>
      <c r="O22" t="s">
        <v>27</v>
      </c>
      <c r="P22" t="str">
        <f>TEXT(Table1[[#This Row],[order_date]],"yyyy-mm")</f>
        <v>2025-09</v>
      </c>
      <c r="Q22">
        <f>WEEKNUM(Table1[[#This Row],[order_date]])</f>
        <v>36</v>
      </c>
      <c r="R22">
        <f>IF(Table1[[#This Row],[order_status]]="completed",1,0)</f>
        <v>0</v>
      </c>
    </row>
    <row r="23" spans="1:18" x14ac:dyDescent="0.35">
      <c r="A23">
        <v>22</v>
      </c>
      <c r="B23" s="1">
        <v>45994</v>
      </c>
      <c r="C23">
        <v>1918</v>
      </c>
      <c r="D23" t="s">
        <v>15</v>
      </c>
      <c r="E23" t="s">
        <v>16</v>
      </c>
      <c r="F23" t="s">
        <v>17</v>
      </c>
      <c r="G23">
        <v>4</v>
      </c>
      <c r="H23">
        <v>0</v>
      </c>
      <c r="I23" t="s">
        <v>18</v>
      </c>
      <c r="J23" t="s">
        <v>31</v>
      </c>
      <c r="K23" t="s">
        <v>38</v>
      </c>
      <c r="L23">
        <v>1</v>
      </c>
      <c r="M23">
        <v>0</v>
      </c>
      <c r="N23">
        <v>0</v>
      </c>
      <c r="O23" t="s">
        <v>21</v>
      </c>
      <c r="P23" t="str">
        <f>TEXT(Table1[[#This Row],[order_date]],"yyyy-mm")</f>
        <v>2025-12</v>
      </c>
      <c r="Q23">
        <f>WEEKNUM(Table1[[#This Row],[order_date]])</f>
        <v>49</v>
      </c>
      <c r="R23">
        <f>IF(Table1[[#This Row],[order_status]]="completed",1,0)</f>
        <v>0</v>
      </c>
    </row>
    <row r="24" spans="1:18" x14ac:dyDescent="0.35">
      <c r="A24">
        <v>23</v>
      </c>
      <c r="B24" s="1">
        <v>45884</v>
      </c>
      <c r="C24">
        <v>1604</v>
      </c>
      <c r="D24" t="s">
        <v>28</v>
      </c>
      <c r="E24" t="s">
        <v>36</v>
      </c>
      <c r="F24" t="s">
        <v>30</v>
      </c>
      <c r="G24">
        <v>2</v>
      </c>
      <c r="H24">
        <v>4546</v>
      </c>
      <c r="I24" t="s">
        <v>35</v>
      </c>
      <c r="J24" t="s">
        <v>19</v>
      </c>
      <c r="K24" t="s">
        <v>38</v>
      </c>
      <c r="L24">
        <v>6</v>
      </c>
      <c r="M24">
        <v>0</v>
      </c>
      <c r="N24">
        <v>1</v>
      </c>
      <c r="O24" t="s">
        <v>27</v>
      </c>
      <c r="P24" t="str">
        <f>TEXT(Table1[[#This Row],[order_date]],"yyyy-mm")</f>
        <v>2025-08</v>
      </c>
      <c r="Q24">
        <f>WEEKNUM(Table1[[#This Row],[order_date]])</f>
        <v>33</v>
      </c>
      <c r="R24">
        <f>IF(Table1[[#This Row],[order_status]]="completed",1,0)</f>
        <v>1</v>
      </c>
    </row>
    <row r="25" spans="1:18" x14ac:dyDescent="0.35">
      <c r="A25">
        <v>24</v>
      </c>
      <c r="B25" s="1">
        <v>45875</v>
      </c>
      <c r="C25">
        <v>1369</v>
      </c>
      <c r="D25" t="s">
        <v>22</v>
      </c>
      <c r="E25" t="s">
        <v>29</v>
      </c>
      <c r="F25" t="s">
        <v>34</v>
      </c>
      <c r="G25">
        <v>2</v>
      </c>
      <c r="H25">
        <v>4482</v>
      </c>
      <c r="I25" t="s">
        <v>18</v>
      </c>
      <c r="J25" t="s">
        <v>19</v>
      </c>
      <c r="K25" t="s">
        <v>20</v>
      </c>
      <c r="L25">
        <v>1</v>
      </c>
      <c r="M25">
        <v>0</v>
      </c>
      <c r="N25">
        <v>0</v>
      </c>
      <c r="O25" t="s">
        <v>27</v>
      </c>
      <c r="P25" t="str">
        <f>TEXT(Table1[[#This Row],[order_date]],"yyyy-mm")</f>
        <v>2025-08</v>
      </c>
      <c r="Q25">
        <f>WEEKNUM(Table1[[#This Row],[order_date]])</f>
        <v>32</v>
      </c>
      <c r="R25">
        <f>IF(Table1[[#This Row],[order_status]]="completed",1,0)</f>
        <v>1</v>
      </c>
    </row>
    <row r="26" spans="1:18" x14ac:dyDescent="0.35">
      <c r="A26">
        <v>25</v>
      </c>
      <c r="B26" s="1">
        <v>45955</v>
      </c>
      <c r="C26">
        <v>1442</v>
      </c>
      <c r="D26" t="s">
        <v>22</v>
      </c>
      <c r="E26" t="s">
        <v>16</v>
      </c>
      <c r="F26" t="s">
        <v>34</v>
      </c>
      <c r="G26">
        <v>4</v>
      </c>
      <c r="H26">
        <v>0</v>
      </c>
      <c r="I26" t="s">
        <v>25</v>
      </c>
      <c r="J26" t="s">
        <v>37</v>
      </c>
      <c r="K26" t="s">
        <v>38</v>
      </c>
      <c r="L26">
        <v>8</v>
      </c>
      <c r="M26">
        <v>0</v>
      </c>
      <c r="N26">
        <v>1</v>
      </c>
      <c r="O26" t="s">
        <v>21</v>
      </c>
      <c r="P26" t="str">
        <f>TEXT(Table1[[#This Row],[order_date]],"yyyy-mm")</f>
        <v>2025-10</v>
      </c>
      <c r="Q26">
        <f>WEEKNUM(Table1[[#This Row],[order_date]])</f>
        <v>43</v>
      </c>
      <c r="R26">
        <f>IF(Table1[[#This Row],[order_status]]="completed",1,0)</f>
        <v>0</v>
      </c>
    </row>
    <row r="27" spans="1:18" x14ac:dyDescent="0.35">
      <c r="A27">
        <v>26</v>
      </c>
      <c r="B27" s="1">
        <v>46031</v>
      </c>
      <c r="C27">
        <v>1362</v>
      </c>
      <c r="D27" t="s">
        <v>41</v>
      </c>
      <c r="E27" t="s">
        <v>16</v>
      </c>
      <c r="F27" t="s">
        <v>17</v>
      </c>
      <c r="G27">
        <v>1</v>
      </c>
      <c r="H27">
        <v>0</v>
      </c>
      <c r="I27" t="s">
        <v>25</v>
      </c>
      <c r="J27" t="s">
        <v>31</v>
      </c>
      <c r="K27" t="s">
        <v>38</v>
      </c>
      <c r="L27">
        <v>7</v>
      </c>
      <c r="M27">
        <v>1</v>
      </c>
      <c r="N27">
        <v>1</v>
      </c>
      <c r="O27" t="s">
        <v>27</v>
      </c>
      <c r="P27" t="str">
        <f>TEXT(Table1[[#This Row],[order_date]],"yyyy-mm")</f>
        <v>2026-01</v>
      </c>
      <c r="Q27">
        <f>WEEKNUM(Table1[[#This Row],[order_date]])</f>
        <v>2</v>
      </c>
      <c r="R27">
        <f>IF(Table1[[#This Row],[order_status]]="completed",1,0)</f>
        <v>0</v>
      </c>
    </row>
    <row r="28" spans="1:18" x14ac:dyDescent="0.35">
      <c r="A28">
        <v>27</v>
      </c>
      <c r="B28" s="1">
        <v>46031</v>
      </c>
      <c r="C28">
        <v>1526</v>
      </c>
      <c r="D28" t="s">
        <v>28</v>
      </c>
      <c r="E28" t="s">
        <v>29</v>
      </c>
      <c r="F28" t="s">
        <v>34</v>
      </c>
      <c r="G28">
        <v>5</v>
      </c>
      <c r="H28">
        <v>0</v>
      </c>
      <c r="I28" t="s">
        <v>35</v>
      </c>
      <c r="J28" t="s">
        <v>31</v>
      </c>
      <c r="K28" t="s">
        <v>26</v>
      </c>
      <c r="L28">
        <v>2</v>
      </c>
      <c r="M28">
        <v>0</v>
      </c>
      <c r="N28">
        <v>0</v>
      </c>
      <c r="O28" t="s">
        <v>21</v>
      </c>
      <c r="P28" t="str">
        <f>TEXT(Table1[[#This Row],[order_date]],"yyyy-mm")</f>
        <v>2026-01</v>
      </c>
      <c r="Q28">
        <f>WEEKNUM(Table1[[#This Row],[order_date]])</f>
        <v>2</v>
      </c>
      <c r="R28">
        <f>IF(Table1[[#This Row],[order_status]]="completed",1,0)</f>
        <v>0</v>
      </c>
    </row>
    <row r="29" spans="1:18" x14ac:dyDescent="0.35">
      <c r="A29">
        <v>28</v>
      </c>
      <c r="B29" s="1">
        <v>45955</v>
      </c>
      <c r="C29">
        <v>1265</v>
      </c>
      <c r="D29" t="s">
        <v>15</v>
      </c>
      <c r="E29" t="s">
        <v>23</v>
      </c>
      <c r="F29" t="s">
        <v>17</v>
      </c>
      <c r="G29">
        <v>4</v>
      </c>
      <c r="H29">
        <v>0</v>
      </c>
      <c r="I29" t="s">
        <v>39</v>
      </c>
      <c r="J29" t="s">
        <v>37</v>
      </c>
      <c r="K29" t="s">
        <v>26</v>
      </c>
      <c r="L29">
        <v>10</v>
      </c>
      <c r="M29">
        <v>1</v>
      </c>
      <c r="N29">
        <v>1</v>
      </c>
      <c r="O29" t="s">
        <v>21</v>
      </c>
      <c r="P29" t="str">
        <f>TEXT(Table1[[#This Row],[order_date]],"yyyy-mm")</f>
        <v>2025-10</v>
      </c>
      <c r="Q29">
        <f>WEEKNUM(Table1[[#This Row],[order_date]])</f>
        <v>43</v>
      </c>
      <c r="R29">
        <f>IF(Table1[[#This Row],[order_status]]="completed",1,0)</f>
        <v>0</v>
      </c>
    </row>
    <row r="30" spans="1:18" x14ac:dyDescent="0.35">
      <c r="A30">
        <v>29</v>
      </c>
      <c r="B30" s="1">
        <v>45878</v>
      </c>
      <c r="C30">
        <v>1314</v>
      </c>
      <c r="D30" t="s">
        <v>28</v>
      </c>
      <c r="E30" t="s">
        <v>36</v>
      </c>
      <c r="F30" t="s">
        <v>24</v>
      </c>
      <c r="G30">
        <v>1</v>
      </c>
      <c r="H30">
        <v>4103</v>
      </c>
      <c r="I30" t="s">
        <v>39</v>
      </c>
      <c r="J30" t="s">
        <v>19</v>
      </c>
      <c r="K30" t="s">
        <v>38</v>
      </c>
      <c r="L30">
        <v>4</v>
      </c>
      <c r="M30">
        <v>1</v>
      </c>
      <c r="N30">
        <v>0</v>
      </c>
      <c r="O30" t="s">
        <v>21</v>
      </c>
      <c r="P30" t="str">
        <f>TEXT(Table1[[#This Row],[order_date]],"yyyy-mm")</f>
        <v>2025-08</v>
      </c>
      <c r="Q30">
        <f>WEEKNUM(Table1[[#This Row],[order_date]])</f>
        <v>32</v>
      </c>
      <c r="R30">
        <f>IF(Table1[[#This Row],[order_status]]="completed",1,0)</f>
        <v>1</v>
      </c>
    </row>
    <row r="31" spans="1:18" x14ac:dyDescent="0.35">
      <c r="A31">
        <v>30</v>
      </c>
      <c r="B31" s="1">
        <v>46011</v>
      </c>
      <c r="C31">
        <v>1413</v>
      </c>
      <c r="D31" t="s">
        <v>15</v>
      </c>
      <c r="E31" t="s">
        <v>33</v>
      </c>
      <c r="F31" t="s">
        <v>24</v>
      </c>
      <c r="G31">
        <v>4</v>
      </c>
      <c r="H31">
        <v>18300</v>
      </c>
      <c r="I31" t="s">
        <v>35</v>
      </c>
      <c r="J31" t="s">
        <v>19</v>
      </c>
      <c r="K31" t="s">
        <v>20</v>
      </c>
      <c r="L31">
        <v>8</v>
      </c>
      <c r="M31">
        <v>0</v>
      </c>
      <c r="N31">
        <v>0</v>
      </c>
      <c r="O31" t="s">
        <v>21</v>
      </c>
      <c r="P31" t="str">
        <f>TEXT(Table1[[#This Row],[order_date]],"yyyy-mm")</f>
        <v>2025-12</v>
      </c>
      <c r="Q31">
        <f>WEEKNUM(Table1[[#This Row],[order_date]])</f>
        <v>51</v>
      </c>
      <c r="R31">
        <f>IF(Table1[[#This Row],[order_status]]="completed",1,0)</f>
        <v>1</v>
      </c>
    </row>
    <row r="32" spans="1:18" x14ac:dyDescent="0.35">
      <c r="A32">
        <v>31</v>
      </c>
      <c r="B32" s="1">
        <v>45874</v>
      </c>
      <c r="C32">
        <v>1621</v>
      </c>
      <c r="D32" t="s">
        <v>28</v>
      </c>
      <c r="E32" t="s">
        <v>23</v>
      </c>
      <c r="F32" t="s">
        <v>17</v>
      </c>
      <c r="G32">
        <v>5</v>
      </c>
      <c r="H32">
        <v>0</v>
      </c>
      <c r="I32" t="s">
        <v>25</v>
      </c>
      <c r="J32" t="s">
        <v>31</v>
      </c>
      <c r="K32" t="s">
        <v>26</v>
      </c>
      <c r="L32">
        <v>5</v>
      </c>
      <c r="M32">
        <v>1</v>
      </c>
      <c r="N32">
        <v>1</v>
      </c>
      <c r="O32" t="s">
        <v>27</v>
      </c>
      <c r="P32" t="str">
        <f>TEXT(Table1[[#This Row],[order_date]],"yyyy-mm")</f>
        <v>2025-08</v>
      </c>
      <c r="Q32">
        <f>WEEKNUM(Table1[[#This Row],[order_date]])</f>
        <v>32</v>
      </c>
      <c r="R32">
        <f>IF(Table1[[#This Row],[order_status]]="completed",1,0)</f>
        <v>0</v>
      </c>
    </row>
    <row r="33" spans="1:18" x14ac:dyDescent="0.35">
      <c r="A33">
        <v>32</v>
      </c>
      <c r="B33" s="1">
        <v>45860</v>
      </c>
      <c r="C33">
        <v>1294</v>
      </c>
      <c r="D33" t="s">
        <v>15</v>
      </c>
      <c r="E33" t="s">
        <v>36</v>
      </c>
      <c r="F33" t="s">
        <v>34</v>
      </c>
      <c r="G33">
        <v>4</v>
      </c>
      <c r="H33">
        <v>15156</v>
      </c>
      <c r="I33" t="s">
        <v>35</v>
      </c>
      <c r="J33" t="s">
        <v>19</v>
      </c>
      <c r="K33" t="s">
        <v>38</v>
      </c>
      <c r="L33">
        <v>8</v>
      </c>
      <c r="M33">
        <v>1</v>
      </c>
      <c r="N33">
        <v>1</v>
      </c>
      <c r="O33" t="s">
        <v>27</v>
      </c>
      <c r="P33" t="str">
        <f>TEXT(Table1[[#This Row],[order_date]],"yyyy-mm")</f>
        <v>2025-07</v>
      </c>
      <c r="Q33">
        <f>WEEKNUM(Table1[[#This Row],[order_date]])</f>
        <v>30</v>
      </c>
      <c r="R33">
        <f>IF(Table1[[#This Row],[order_status]]="completed",1,0)</f>
        <v>1</v>
      </c>
    </row>
    <row r="34" spans="1:18" x14ac:dyDescent="0.35">
      <c r="A34">
        <v>33</v>
      </c>
      <c r="B34" s="1">
        <v>45859</v>
      </c>
      <c r="C34">
        <v>1625</v>
      </c>
      <c r="D34" t="s">
        <v>22</v>
      </c>
      <c r="E34" t="s">
        <v>36</v>
      </c>
      <c r="F34" t="s">
        <v>30</v>
      </c>
      <c r="G34">
        <v>2</v>
      </c>
      <c r="H34">
        <v>0</v>
      </c>
      <c r="I34" t="s">
        <v>35</v>
      </c>
      <c r="J34" t="s">
        <v>31</v>
      </c>
      <c r="K34" t="s">
        <v>38</v>
      </c>
      <c r="L34">
        <v>8</v>
      </c>
      <c r="M34">
        <v>1</v>
      </c>
      <c r="N34">
        <v>0</v>
      </c>
      <c r="O34" t="s">
        <v>21</v>
      </c>
      <c r="P34" t="str">
        <f>TEXT(Table1[[#This Row],[order_date]],"yyyy-mm")</f>
        <v>2025-07</v>
      </c>
      <c r="Q34">
        <f>WEEKNUM(Table1[[#This Row],[order_date]])</f>
        <v>30</v>
      </c>
      <c r="R34">
        <f>IF(Table1[[#This Row],[order_status]]="completed",1,0)</f>
        <v>0</v>
      </c>
    </row>
    <row r="35" spans="1:18" x14ac:dyDescent="0.35">
      <c r="A35">
        <v>34</v>
      </c>
      <c r="B35" s="1">
        <v>45991</v>
      </c>
      <c r="C35">
        <v>1843</v>
      </c>
      <c r="D35" t="s">
        <v>22</v>
      </c>
      <c r="E35" t="s">
        <v>33</v>
      </c>
      <c r="F35" t="s">
        <v>30</v>
      </c>
      <c r="G35">
        <v>1</v>
      </c>
      <c r="H35">
        <v>0</v>
      </c>
      <c r="I35" t="s">
        <v>18</v>
      </c>
      <c r="J35" t="s">
        <v>31</v>
      </c>
      <c r="K35" t="s">
        <v>38</v>
      </c>
      <c r="L35">
        <v>3</v>
      </c>
      <c r="M35">
        <v>0</v>
      </c>
      <c r="N35">
        <v>1</v>
      </c>
      <c r="O35" t="s">
        <v>21</v>
      </c>
      <c r="P35" t="str">
        <f>TEXT(Table1[[#This Row],[order_date]],"yyyy-mm")</f>
        <v>2025-11</v>
      </c>
      <c r="Q35">
        <f>WEEKNUM(Table1[[#This Row],[order_date]])</f>
        <v>49</v>
      </c>
      <c r="R35">
        <f>IF(Table1[[#This Row],[order_status]]="completed",1,0)</f>
        <v>0</v>
      </c>
    </row>
    <row r="36" spans="1:18" x14ac:dyDescent="0.35">
      <c r="A36">
        <v>35</v>
      </c>
      <c r="B36" s="1">
        <v>45942</v>
      </c>
      <c r="C36">
        <v>1634</v>
      </c>
      <c r="D36" t="s">
        <v>32</v>
      </c>
      <c r="E36" t="s">
        <v>36</v>
      </c>
      <c r="F36" t="s">
        <v>34</v>
      </c>
      <c r="G36">
        <v>2</v>
      </c>
      <c r="H36">
        <v>0</v>
      </c>
      <c r="I36" t="s">
        <v>39</v>
      </c>
      <c r="J36" t="s">
        <v>37</v>
      </c>
      <c r="K36" t="s">
        <v>38</v>
      </c>
      <c r="L36">
        <v>1</v>
      </c>
      <c r="M36">
        <v>1</v>
      </c>
      <c r="N36">
        <v>0</v>
      </c>
      <c r="O36" t="s">
        <v>27</v>
      </c>
      <c r="P36" t="str">
        <f>TEXT(Table1[[#This Row],[order_date]],"yyyy-mm")</f>
        <v>2025-10</v>
      </c>
      <c r="Q36">
        <f>WEEKNUM(Table1[[#This Row],[order_date]])</f>
        <v>42</v>
      </c>
      <c r="R36">
        <f>IF(Table1[[#This Row],[order_status]]="completed",1,0)</f>
        <v>0</v>
      </c>
    </row>
    <row r="37" spans="1:18" x14ac:dyDescent="0.35">
      <c r="A37">
        <v>36</v>
      </c>
      <c r="B37" s="1">
        <v>45907</v>
      </c>
      <c r="C37">
        <v>1720</v>
      </c>
      <c r="D37" t="s">
        <v>22</v>
      </c>
      <c r="E37" t="s">
        <v>33</v>
      </c>
      <c r="F37" t="s">
        <v>24</v>
      </c>
      <c r="G37">
        <v>5</v>
      </c>
      <c r="H37">
        <v>0</v>
      </c>
      <c r="I37" t="s">
        <v>35</v>
      </c>
      <c r="J37" t="s">
        <v>37</v>
      </c>
      <c r="K37" t="s">
        <v>26</v>
      </c>
      <c r="L37">
        <v>7</v>
      </c>
      <c r="M37">
        <v>1</v>
      </c>
      <c r="N37">
        <v>1</v>
      </c>
      <c r="O37" t="s">
        <v>21</v>
      </c>
      <c r="P37" t="str">
        <f>TEXT(Table1[[#This Row],[order_date]],"yyyy-mm")</f>
        <v>2025-09</v>
      </c>
      <c r="Q37">
        <f>WEEKNUM(Table1[[#This Row],[order_date]])</f>
        <v>37</v>
      </c>
      <c r="R37">
        <f>IF(Table1[[#This Row],[order_status]]="completed",1,0)</f>
        <v>0</v>
      </c>
    </row>
    <row r="38" spans="1:18" x14ac:dyDescent="0.35">
      <c r="A38">
        <v>37</v>
      </c>
      <c r="B38" s="1">
        <v>45883</v>
      </c>
      <c r="C38">
        <v>1937</v>
      </c>
      <c r="D38" t="s">
        <v>22</v>
      </c>
      <c r="E38" t="s">
        <v>33</v>
      </c>
      <c r="F38" t="s">
        <v>30</v>
      </c>
      <c r="G38">
        <v>3</v>
      </c>
      <c r="H38">
        <v>12627</v>
      </c>
      <c r="I38" t="s">
        <v>39</v>
      </c>
      <c r="J38" t="s">
        <v>19</v>
      </c>
      <c r="K38" t="s">
        <v>20</v>
      </c>
      <c r="L38">
        <v>2</v>
      </c>
      <c r="M38">
        <v>0</v>
      </c>
      <c r="N38">
        <v>0</v>
      </c>
      <c r="O38" t="s">
        <v>21</v>
      </c>
      <c r="P38" t="str">
        <f>TEXT(Table1[[#This Row],[order_date]],"yyyy-mm")</f>
        <v>2025-08</v>
      </c>
      <c r="Q38">
        <f>WEEKNUM(Table1[[#This Row],[order_date]])</f>
        <v>33</v>
      </c>
      <c r="R38">
        <f>IF(Table1[[#This Row],[order_status]]="completed",1,0)</f>
        <v>1</v>
      </c>
    </row>
    <row r="39" spans="1:18" x14ac:dyDescent="0.35">
      <c r="A39">
        <v>38</v>
      </c>
      <c r="B39" s="1">
        <v>45922</v>
      </c>
      <c r="C39">
        <v>1540</v>
      </c>
      <c r="D39" t="s">
        <v>28</v>
      </c>
      <c r="E39" t="s">
        <v>23</v>
      </c>
      <c r="F39" t="s">
        <v>30</v>
      </c>
      <c r="G39">
        <v>1</v>
      </c>
      <c r="H39">
        <v>460</v>
      </c>
      <c r="I39" t="s">
        <v>25</v>
      </c>
      <c r="J39" t="s">
        <v>19</v>
      </c>
      <c r="K39" t="s">
        <v>40</v>
      </c>
      <c r="L39">
        <v>9</v>
      </c>
      <c r="M39">
        <v>1</v>
      </c>
      <c r="N39">
        <v>0</v>
      </c>
      <c r="O39" t="s">
        <v>21</v>
      </c>
      <c r="P39" t="str">
        <f>TEXT(Table1[[#This Row],[order_date]],"yyyy-mm")</f>
        <v>2025-09</v>
      </c>
      <c r="Q39">
        <f>WEEKNUM(Table1[[#This Row],[order_date]])</f>
        <v>39</v>
      </c>
      <c r="R39">
        <f>IF(Table1[[#This Row],[order_status]]="completed",1,0)</f>
        <v>1</v>
      </c>
    </row>
    <row r="40" spans="1:18" x14ac:dyDescent="0.35">
      <c r="A40">
        <v>39</v>
      </c>
      <c r="B40" s="1">
        <v>45917</v>
      </c>
      <c r="C40">
        <v>1486</v>
      </c>
      <c r="D40" t="s">
        <v>22</v>
      </c>
      <c r="E40" t="s">
        <v>29</v>
      </c>
      <c r="F40" t="s">
        <v>34</v>
      </c>
      <c r="G40">
        <v>2</v>
      </c>
      <c r="H40">
        <v>0</v>
      </c>
      <c r="I40" t="s">
        <v>39</v>
      </c>
      <c r="J40" t="s">
        <v>37</v>
      </c>
      <c r="K40" t="s">
        <v>20</v>
      </c>
      <c r="L40">
        <v>5</v>
      </c>
      <c r="M40">
        <v>0</v>
      </c>
      <c r="N40">
        <v>1</v>
      </c>
      <c r="O40" t="s">
        <v>21</v>
      </c>
      <c r="P40" t="str">
        <f>TEXT(Table1[[#This Row],[order_date]],"yyyy-mm")</f>
        <v>2025-09</v>
      </c>
      <c r="Q40">
        <f>WEEKNUM(Table1[[#This Row],[order_date]])</f>
        <v>38</v>
      </c>
      <c r="R40">
        <f>IF(Table1[[#This Row],[order_status]]="completed",1,0)</f>
        <v>0</v>
      </c>
    </row>
    <row r="41" spans="1:18" x14ac:dyDescent="0.35">
      <c r="A41">
        <v>40</v>
      </c>
      <c r="B41" s="1">
        <v>46007</v>
      </c>
      <c r="C41">
        <v>1305</v>
      </c>
      <c r="D41" t="s">
        <v>22</v>
      </c>
      <c r="E41" t="s">
        <v>29</v>
      </c>
      <c r="F41" t="s">
        <v>34</v>
      </c>
      <c r="G41">
        <v>3</v>
      </c>
      <c r="H41">
        <v>6225</v>
      </c>
      <c r="I41" t="s">
        <v>39</v>
      </c>
      <c r="J41" t="s">
        <v>19</v>
      </c>
      <c r="K41" t="s">
        <v>38</v>
      </c>
      <c r="L41">
        <v>10</v>
      </c>
      <c r="M41">
        <v>1</v>
      </c>
      <c r="N41">
        <v>0</v>
      </c>
      <c r="O41" t="s">
        <v>27</v>
      </c>
      <c r="P41" t="str">
        <f>TEXT(Table1[[#This Row],[order_date]],"yyyy-mm")</f>
        <v>2025-12</v>
      </c>
      <c r="Q41">
        <f>WEEKNUM(Table1[[#This Row],[order_date]])</f>
        <v>51</v>
      </c>
      <c r="R41">
        <f>IF(Table1[[#This Row],[order_status]]="completed",1,0)</f>
        <v>1</v>
      </c>
    </row>
    <row r="42" spans="1:18" x14ac:dyDescent="0.35">
      <c r="A42">
        <v>41</v>
      </c>
      <c r="B42" s="1">
        <v>45961</v>
      </c>
      <c r="C42">
        <v>1550</v>
      </c>
      <c r="D42" t="s">
        <v>15</v>
      </c>
      <c r="E42" t="s">
        <v>36</v>
      </c>
      <c r="F42" t="s">
        <v>34</v>
      </c>
      <c r="G42">
        <v>5</v>
      </c>
      <c r="H42">
        <v>8335</v>
      </c>
      <c r="I42" t="s">
        <v>25</v>
      </c>
      <c r="J42" t="s">
        <v>19</v>
      </c>
      <c r="K42" t="s">
        <v>38</v>
      </c>
      <c r="L42">
        <v>3</v>
      </c>
      <c r="M42">
        <v>0</v>
      </c>
      <c r="N42">
        <v>1</v>
      </c>
      <c r="O42" t="s">
        <v>27</v>
      </c>
      <c r="P42" t="str">
        <f>TEXT(Table1[[#This Row],[order_date]],"yyyy-mm")</f>
        <v>2025-10</v>
      </c>
      <c r="Q42">
        <f>WEEKNUM(Table1[[#This Row],[order_date]])</f>
        <v>44</v>
      </c>
      <c r="R42">
        <f>IF(Table1[[#This Row],[order_status]]="completed",1,0)</f>
        <v>1</v>
      </c>
    </row>
    <row r="43" spans="1:18" x14ac:dyDescent="0.35">
      <c r="A43">
        <v>42</v>
      </c>
      <c r="B43" s="1">
        <v>45917</v>
      </c>
      <c r="C43">
        <v>1987</v>
      </c>
      <c r="D43" t="s">
        <v>28</v>
      </c>
      <c r="E43" t="s">
        <v>36</v>
      </c>
      <c r="F43" t="s">
        <v>17</v>
      </c>
      <c r="G43">
        <v>5</v>
      </c>
      <c r="H43">
        <v>12655</v>
      </c>
      <c r="I43" t="s">
        <v>35</v>
      </c>
      <c r="J43" t="s">
        <v>19</v>
      </c>
      <c r="K43" t="s">
        <v>20</v>
      </c>
      <c r="L43">
        <v>8</v>
      </c>
      <c r="M43">
        <v>0</v>
      </c>
      <c r="N43">
        <v>1</v>
      </c>
      <c r="O43" t="s">
        <v>27</v>
      </c>
      <c r="P43" t="str">
        <f>TEXT(Table1[[#This Row],[order_date]],"yyyy-mm")</f>
        <v>2025-09</v>
      </c>
      <c r="Q43">
        <f>WEEKNUM(Table1[[#This Row],[order_date]])</f>
        <v>38</v>
      </c>
      <c r="R43">
        <f>IF(Table1[[#This Row],[order_status]]="completed",1,0)</f>
        <v>1</v>
      </c>
    </row>
    <row r="44" spans="1:18" x14ac:dyDescent="0.35">
      <c r="A44">
        <v>43</v>
      </c>
      <c r="B44" s="1">
        <v>45978</v>
      </c>
      <c r="C44">
        <v>1428</v>
      </c>
      <c r="D44" t="s">
        <v>28</v>
      </c>
      <c r="E44" t="s">
        <v>16</v>
      </c>
      <c r="F44" t="s">
        <v>24</v>
      </c>
      <c r="G44">
        <v>2</v>
      </c>
      <c r="H44">
        <v>0</v>
      </c>
      <c r="I44" t="s">
        <v>18</v>
      </c>
      <c r="J44" t="s">
        <v>31</v>
      </c>
      <c r="K44" t="s">
        <v>38</v>
      </c>
      <c r="L44">
        <v>8</v>
      </c>
      <c r="M44">
        <v>0</v>
      </c>
      <c r="N44">
        <v>0</v>
      </c>
      <c r="O44" t="s">
        <v>21</v>
      </c>
      <c r="P44" t="str">
        <f>TEXT(Table1[[#This Row],[order_date]],"yyyy-mm")</f>
        <v>2025-11</v>
      </c>
      <c r="Q44">
        <f>WEEKNUM(Table1[[#This Row],[order_date]])</f>
        <v>47</v>
      </c>
      <c r="R44">
        <f>IF(Table1[[#This Row],[order_status]]="completed",1,0)</f>
        <v>0</v>
      </c>
    </row>
    <row r="45" spans="1:18" x14ac:dyDescent="0.35">
      <c r="A45">
        <v>44</v>
      </c>
      <c r="B45" s="1">
        <v>45919</v>
      </c>
      <c r="C45">
        <v>1066</v>
      </c>
      <c r="D45" t="s">
        <v>41</v>
      </c>
      <c r="E45" t="s">
        <v>29</v>
      </c>
      <c r="F45" t="s">
        <v>24</v>
      </c>
      <c r="G45">
        <v>4</v>
      </c>
      <c r="H45">
        <v>0</v>
      </c>
      <c r="I45" t="s">
        <v>25</v>
      </c>
      <c r="J45" t="s">
        <v>31</v>
      </c>
      <c r="K45" t="s">
        <v>40</v>
      </c>
      <c r="L45">
        <v>2</v>
      </c>
      <c r="M45">
        <v>0</v>
      </c>
      <c r="N45">
        <v>0</v>
      </c>
      <c r="O45" t="s">
        <v>21</v>
      </c>
      <c r="P45" t="str">
        <f>TEXT(Table1[[#This Row],[order_date]],"yyyy-mm")</f>
        <v>2025-09</v>
      </c>
      <c r="Q45">
        <f>WEEKNUM(Table1[[#This Row],[order_date]])</f>
        <v>38</v>
      </c>
      <c r="R45">
        <f>IF(Table1[[#This Row],[order_status]]="completed",1,0)</f>
        <v>0</v>
      </c>
    </row>
    <row r="46" spans="1:18" x14ac:dyDescent="0.35">
      <c r="A46">
        <v>45</v>
      </c>
      <c r="B46" s="1">
        <v>45865</v>
      </c>
      <c r="C46">
        <v>1812</v>
      </c>
      <c r="D46" t="s">
        <v>28</v>
      </c>
      <c r="E46" t="s">
        <v>33</v>
      </c>
      <c r="F46" t="s">
        <v>30</v>
      </c>
      <c r="G46">
        <v>2</v>
      </c>
      <c r="H46">
        <v>0</v>
      </c>
      <c r="I46" t="s">
        <v>35</v>
      </c>
      <c r="J46" t="s">
        <v>37</v>
      </c>
      <c r="K46" t="s">
        <v>38</v>
      </c>
      <c r="L46">
        <v>9</v>
      </c>
      <c r="M46">
        <v>0</v>
      </c>
      <c r="N46">
        <v>1</v>
      </c>
      <c r="O46" t="s">
        <v>21</v>
      </c>
      <c r="P46" t="str">
        <f>TEXT(Table1[[#This Row],[order_date]],"yyyy-mm")</f>
        <v>2025-07</v>
      </c>
      <c r="Q46">
        <f>WEEKNUM(Table1[[#This Row],[order_date]])</f>
        <v>31</v>
      </c>
      <c r="R46">
        <f>IF(Table1[[#This Row],[order_status]]="completed",1,0)</f>
        <v>0</v>
      </c>
    </row>
    <row r="47" spans="1:18" x14ac:dyDescent="0.35">
      <c r="A47">
        <v>46</v>
      </c>
      <c r="B47" s="1">
        <v>45994</v>
      </c>
      <c r="C47">
        <v>1979</v>
      </c>
      <c r="D47" t="s">
        <v>15</v>
      </c>
      <c r="E47" t="s">
        <v>33</v>
      </c>
      <c r="F47" t="s">
        <v>34</v>
      </c>
      <c r="G47">
        <v>3</v>
      </c>
      <c r="H47">
        <v>0</v>
      </c>
      <c r="I47" t="s">
        <v>35</v>
      </c>
      <c r="J47" t="s">
        <v>31</v>
      </c>
      <c r="K47" t="s">
        <v>40</v>
      </c>
      <c r="L47">
        <v>3</v>
      </c>
      <c r="M47">
        <v>1</v>
      </c>
      <c r="N47">
        <v>0</v>
      </c>
      <c r="O47" t="s">
        <v>27</v>
      </c>
      <c r="P47" t="str">
        <f>TEXT(Table1[[#This Row],[order_date]],"yyyy-mm")</f>
        <v>2025-12</v>
      </c>
      <c r="Q47">
        <f>WEEKNUM(Table1[[#This Row],[order_date]])</f>
        <v>49</v>
      </c>
      <c r="R47">
        <f>IF(Table1[[#This Row],[order_status]]="completed",1,0)</f>
        <v>0</v>
      </c>
    </row>
    <row r="48" spans="1:18" x14ac:dyDescent="0.35">
      <c r="A48">
        <v>47</v>
      </c>
      <c r="B48" s="1">
        <v>46010</v>
      </c>
      <c r="C48">
        <v>1707</v>
      </c>
      <c r="D48" t="s">
        <v>22</v>
      </c>
      <c r="E48" t="s">
        <v>29</v>
      </c>
      <c r="F48" t="s">
        <v>24</v>
      </c>
      <c r="G48">
        <v>3</v>
      </c>
      <c r="H48">
        <v>0</v>
      </c>
      <c r="I48" t="s">
        <v>39</v>
      </c>
      <c r="J48" t="s">
        <v>31</v>
      </c>
      <c r="K48" t="s">
        <v>40</v>
      </c>
      <c r="L48">
        <v>9</v>
      </c>
      <c r="M48">
        <v>0</v>
      </c>
      <c r="N48">
        <v>1</v>
      </c>
      <c r="O48" t="s">
        <v>27</v>
      </c>
      <c r="P48" t="str">
        <f>TEXT(Table1[[#This Row],[order_date]],"yyyy-mm")</f>
        <v>2025-12</v>
      </c>
      <c r="Q48">
        <f>WEEKNUM(Table1[[#This Row],[order_date]])</f>
        <v>51</v>
      </c>
      <c r="R48">
        <f>IF(Table1[[#This Row],[order_status]]="completed",1,0)</f>
        <v>0</v>
      </c>
    </row>
    <row r="49" spans="1:18" x14ac:dyDescent="0.35">
      <c r="A49">
        <v>48</v>
      </c>
      <c r="B49" s="1">
        <v>45894</v>
      </c>
      <c r="C49">
        <v>1125</v>
      </c>
      <c r="D49" t="s">
        <v>28</v>
      </c>
      <c r="E49" t="s">
        <v>33</v>
      </c>
      <c r="F49" t="s">
        <v>17</v>
      </c>
      <c r="G49">
        <v>5</v>
      </c>
      <c r="H49">
        <v>0</v>
      </c>
      <c r="I49" t="s">
        <v>18</v>
      </c>
      <c r="J49" t="s">
        <v>37</v>
      </c>
      <c r="K49" t="s">
        <v>38</v>
      </c>
      <c r="L49">
        <v>4</v>
      </c>
      <c r="M49">
        <v>0</v>
      </c>
      <c r="N49">
        <v>1</v>
      </c>
      <c r="O49" t="s">
        <v>27</v>
      </c>
      <c r="P49" t="str">
        <f>TEXT(Table1[[#This Row],[order_date]],"yyyy-mm")</f>
        <v>2025-08</v>
      </c>
      <c r="Q49">
        <f>WEEKNUM(Table1[[#This Row],[order_date]])</f>
        <v>35</v>
      </c>
      <c r="R49">
        <f>IF(Table1[[#This Row],[order_status]]="completed",1,0)</f>
        <v>0</v>
      </c>
    </row>
    <row r="50" spans="1:18" x14ac:dyDescent="0.35">
      <c r="A50">
        <v>49</v>
      </c>
      <c r="B50" s="1">
        <v>46007</v>
      </c>
      <c r="C50">
        <v>1109</v>
      </c>
      <c r="D50" t="s">
        <v>41</v>
      </c>
      <c r="E50" t="s">
        <v>23</v>
      </c>
      <c r="F50" t="s">
        <v>34</v>
      </c>
      <c r="G50">
        <v>5</v>
      </c>
      <c r="H50">
        <v>22110</v>
      </c>
      <c r="I50" t="s">
        <v>25</v>
      </c>
      <c r="J50" t="s">
        <v>19</v>
      </c>
      <c r="K50" t="s">
        <v>40</v>
      </c>
      <c r="L50">
        <v>3</v>
      </c>
      <c r="M50">
        <v>1</v>
      </c>
      <c r="N50">
        <v>0</v>
      </c>
      <c r="O50" t="s">
        <v>21</v>
      </c>
      <c r="P50" t="str">
        <f>TEXT(Table1[[#This Row],[order_date]],"yyyy-mm")</f>
        <v>2025-12</v>
      </c>
      <c r="Q50">
        <f>WEEKNUM(Table1[[#This Row],[order_date]])</f>
        <v>51</v>
      </c>
      <c r="R50">
        <f>IF(Table1[[#This Row],[order_status]]="completed",1,0)</f>
        <v>1</v>
      </c>
    </row>
    <row r="51" spans="1:18" x14ac:dyDescent="0.35">
      <c r="A51">
        <v>50</v>
      </c>
      <c r="B51" s="1">
        <v>45959</v>
      </c>
      <c r="C51">
        <v>1863</v>
      </c>
      <c r="D51" t="s">
        <v>32</v>
      </c>
      <c r="E51" t="s">
        <v>23</v>
      </c>
      <c r="F51" t="s">
        <v>24</v>
      </c>
      <c r="G51">
        <v>1</v>
      </c>
      <c r="H51">
        <v>1516</v>
      </c>
      <c r="I51" t="s">
        <v>39</v>
      </c>
      <c r="J51" t="s">
        <v>19</v>
      </c>
      <c r="K51" t="s">
        <v>20</v>
      </c>
      <c r="L51">
        <v>4</v>
      </c>
      <c r="M51">
        <v>1</v>
      </c>
      <c r="N51">
        <v>1</v>
      </c>
      <c r="O51" t="s">
        <v>21</v>
      </c>
      <c r="P51" t="str">
        <f>TEXT(Table1[[#This Row],[order_date]],"yyyy-mm")</f>
        <v>2025-10</v>
      </c>
      <c r="Q51">
        <f>WEEKNUM(Table1[[#This Row],[order_date]])</f>
        <v>44</v>
      </c>
      <c r="R51">
        <f>IF(Table1[[#This Row],[order_status]]="completed",1,0)</f>
        <v>1</v>
      </c>
    </row>
    <row r="52" spans="1:18" x14ac:dyDescent="0.35">
      <c r="A52">
        <v>51</v>
      </c>
      <c r="B52" s="1">
        <v>45973</v>
      </c>
      <c r="C52">
        <v>1850</v>
      </c>
      <c r="D52" t="s">
        <v>41</v>
      </c>
      <c r="E52" t="s">
        <v>16</v>
      </c>
      <c r="F52" t="s">
        <v>24</v>
      </c>
      <c r="G52">
        <v>2</v>
      </c>
      <c r="H52">
        <v>0</v>
      </c>
      <c r="I52" t="s">
        <v>39</v>
      </c>
      <c r="J52" t="s">
        <v>31</v>
      </c>
      <c r="K52" t="s">
        <v>38</v>
      </c>
      <c r="L52">
        <v>4</v>
      </c>
      <c r="M52">
        <v>0</v>
      </c>
      <c r="N52">
        <v>0</v>
      </c>
      <c r="O52" t="s">
        <v>21</v>
      </c>
      <c r="P52" t="str">
        <f>TEXT(Table1[[#This Row],[order_date]],"yyyy-mm")</f>
        <v>2025-11</v>
      </c>
      <c r="Q52">
        <f>WEEKNUM(Table1[[#This Row],[order_date]])</f>
        <v>46</v>
      </c>
      <c r="R52">
        <f>IF(Table1[[#This Row],[order_status]]="completed",1,0)</f>
        <v>0</v>
      </c>
    </row>
    <row r="53" spans="1:18" x14ac:dyDescent="0.35">
      <c r="A53">
        <v>52</v>
      </c>
      <c r="B53" s="1">
        <v>45925</v>
      </c>
      <c r="C53">
        <v>1830</v>
      </c>
      <c r="D53" t="s">
        <v>22</v>
      </c>
      <c r="E53" t="s">
        <v>36</v>
      </c>
      <c r="F53" t="s">
        <v>17</v>
      </c>
      <c r="G53">
        <v>3</v>
      </c>
      <c r="H53">
        <v>12195</v>
      </c>
      <c r="I53" t="s">
        <v>18</v>
      </c>
      <c r="J53" t="s">
        <v>19</v>
      </c>
      <c r="K53" t="s">
        <v>20</v>
      </c>
      <c r="L53">
        <v>4</v>
      </c>
      <c r="M53">
        <v>0</v>
      </c>
      <c r="N53">
        <v>1</v>
      </c>
      <c r="O53" t="s">
        <v>27</v>
      </c>
      <c r="P53" t="str">
        <f>TEXT(Table1[[#This Row],[order_date]],"yyyy-mm")</f>
        <v>2025-09</v>
      </c>
      <c r="Q53">
        <f>WEEKNUM(Table1[[#This Row],[order_date]])</f>
        <v>39</v>
      </c>
      <c r="R53">
        <f>IF(Table1[[#This Row],[order_status]]="completed",1,0)</f>
        <v>1</v>
      </c>
    </row>
    <row r="54" spans="1:18" x14ac:dyDescent="0.35">
      <c r="A54">
        <v>53</v>
      </c>
      <c r="B54" s="1">
        <v>45886</v>
      </c>
      <c r="C54">
        <v>1157</v>
      </c>
      <c r="D54" t="s">
        <v>41</v>
      </c>
      <c r="E54" t="s">
        <v>29</v>
      </c>
      <c r="F54" t="s">
        <v>24</v>
      </c>
      <c r="G54">
        <v>5</v>
      </c>
      <c r="H54">
        <v>10990</v>
      </c>
      <c r="I54" t="s">
        <v>18</v>
      </c>
      <c r="J54" t="s">
        <v>19</v>
      </c>
      <c r="K54" t="s">
        <v>26</v>
      </c>
      <c r="L54">
        <v>9</v>
      </c>
      <c r="M54">
        <v>0</v>
      </c>
      <c r="N54">
        <v>0</v>
      </c>
      <c r="O54" t="s">
        <v>27</v>
      </c>
      <c r="P54" t="str">
        <f>TEXT(Table1[[#This Row],[order_date]],"yyyy-mm")</f>
        <v>2025-08</v>
      </c>
      <c r="Q54">
        <f>WEEKNUM(Table1[[#This Row],[order_date]])</f>
        <v>34</v>
      </c>
      <c r="R54">
        <f>IF(Table1[[#This Row],[order_status]]="completed",1,0)</f>
        <v>1</v>
      </c>
    </row>
    <row r="55" spans="1:18" x14ac:dyDescent="0.35">
      <c r="A55">
        <v>54</v>
      </c>
      <c r="B55" s="1">
        <v>45876</v>
      </c>
      <c r="C55">
        <v>1895</v>
      </c>
      <c r="D55" t="s">
        <v>28</v>
      </c>
      <c r="E55" t="s">
        <v>29</v>
      </c>
      <c r="F55" t="s">
        <v>34</v>
      </c>
      <c r="G55">
        <v>3</v>
      </c>
      <c r="H55">
        <v>0</v>
      </c>
      <c r="I55" t="s">
        <v>35</v>
      </c>
      <c r="J55" t="s">
        <v>31</v>
      </c>
      <c r="K55" t="s">
        <v>38</v>
      </c>
      <c r="L55">
        <v>2</v>
      </c>
      <c r="M55">
        <v>1</v>
      </c>
      <c r="N55">
        <v>0</v>
      </c>
      <c r="O55" t="s">
        <v>27</v>
      </c>
      <c r="P55" t="str">
        <f>TEXT(Table1[[#This Row],[order_date]],"yyyy-mm")</f>
        <v>2025-08</v>
      </c>
      <c r="Q55">
        <f>WEEKNUM(Table1[[#This Row],[order_date]])</f>
        <v>32</v>
      </c>
      <c r="R55">
        <f>IF(Table1[[#This Row],[order_status]]="completed",1,0)</f>
        <v>0</v>
      </c>
    </row>
    <row r="56" spans="1:18" x14ac:dyDescent="0.35">
      <c r="A56">
        <v>55</v>
      </c>
      <c r="B56" s="1">
        <v>45912</v>
      </c>
      <c r="C56">
        <v>1834</v>
      </c>
      <c r="D56" t="s">
        <v>22</v>
      </c>
      <c r="E56" t="s">
        <v>23</v>
      </c>
      <c r="F56" t="s">
        <v>34</v>
      </c>
      <c r="G56">
        <v>4</v>
      </c>
      <c r="H56">
        <v>17024</v>
      </c>
      <c r="I56" t="s">
        <v>35</v>
      </c>
      <c r="J56" t="s">
        <v>19</v>
      </c>
      <c r="K56" t="s">
        <v>26</v>
      </c>
      <c r="L56">
        <v>7</v>
      </c>
      <c r="M56">
        <v>1</v>
      </c>
      <c r="N56">
        <v>0</v>
      </c>
      <c r="O56" t="s">
        <v>27</v>
      </c>
      <c r="P56" t="str">
        <f>TEXT(Table1[[#This Row],[order_date]],"yyyy-mm")</f>
        <v>2025-09</v>
      </c>
      <c r="Q56">
        <f>WEEKNUM(Table1[[#This Row],[order_date]])</f>
        <v>37</v>
      </c>
      <c r="R56">
        <f>IF(Table1[[#This Row],[order_status]]="completed",1,0)</f>
        <v>1</v>
      </c>
    </row>
    <row r="57" spans="1:18" x14ac:dyDescent="0.35">
      <c r="A57">
        <v>56</v>
      </c>
      <c r="B57" s="1">
        <v>45956</v>
      </c>
      <c r="C57">
        <v>1698</v>
      </c>
      <c r="D57" t="s">
        <v>41</v>
      </c>
      <c r="E57" t="s">
        <v>29</v>
      </c>
      <c r="F57" t="s">
        <v>30</v>
      </c>
      <c r="G57">
        <v>2</v>
      </c>
      <c r="H57">
        <v>5538</v>
      </c>
      <c r="I57" t="s">
        <v>35</v>
      </c>
      <c r="J57" t="s">
        <v>19</v>
      </c>
      <c r="K57" t="s">
        <v>26</v>
      </c>
      <c r="L57">
        <v>5</v>
      </c>
      <c r="M57">
        <v>1</v>
      </c>
      <c r="N57">
        <v>1</v>
      </c>
      <c r="O57" t="s">
        <v>21</v>
      </c>
      <c r="P57" t="str">
        <f>TEXT(Table1[[#This Row],[order_date]],"yyyy-mm")</f>
        <v>2025-10</v>
      </c>
      <c r="Q57">
        <f>WEEKNUM(Table1[[#This Row],[order_date]])</f>
        <v>44</v>
      </c>
      <c r="R57">
        <f>IF(Table1[[#This Row],[order_status]]="completed",1,0)</f>
        <v>1</v>
      </c>
    </row>
    <row r="58" spans="1:18" x14ac:dyDescent="0.35">
      <c r="A58">
        <v>57</v>
      </c>
      <c r="B58" s="1">
        <v>45878</v>
      </c>
      <c r="C58">
        <v>1476</v>
      </c>
      <c r="D58" t="s">
        <v>41</v>
      </c>
      <c r="E58" t="s">
        <v>16</v>
      </c>
      <c r="F58" t="s">
        <v>30</v>
      </c>
      <c r="G58">
        <v>4</v>
      </c>
      <c r="H58">
        <v>0</v>
      </c>
      <c r="I58" t="s">
        <v>35</v>
      </c>
      <c r="J58" t="s">
        <v>31</v>
      </c>
      <c r="K58" t="s">
        <v>26</v>
      </c>
      <c r="L58">
        <v>4</v>
      </c>
      <c r="M58">
        <v>0</v>
      </c>
      <c r="N58">
        <v>1</v>
      </c>
      <c r="O58" t="s">
        <v>21</v>
      </c>
      <c r="P58" t="str">
        <f>TEXT(Table1[[#This Row],[order_date]],"yyyy-mm")</f>
        <v>2025-08</v>
      </c>
      <c r="Q58">
        <f>WEEKNUM(Table1[[#This Row],[order_date]])</f>
        <v>32</v>
      </c>
      <c r="R58">
        <f>IF(Table1[[#This Row],[order_status]]="completed",1,0)</f>
        <v>0</v>
      </c>
    </row>
    <row r="59" spans="1:18" x14ac:dyDescent="0.35">
      <c r="A59">
        <v>58</v>
      </c>
      <c r="B59" s="1">
        <v>45975</v>
      </c>
      <c r="C59">
        <v>1185</v>
      </c>
      <c r="D59" t="s">
        <v>41</v>
      </c>
      <c r="E59" t="s">
        <v>16</v>
      </c>
      <c r="F59" t="s">
        <v>17</v>
      </c>
      <c r="G59">
        <v>2</v>
      </c>
      <c r="H59">
        <v>0</v>
      </c>
      <c r="I59" t="s">
        <v>18</v>
      </c>
      <c r="J59" t="s">
        <v>37</v>
      </c>
      <c r="K59" t="s">
        <v>40</v>
      </c>
      <c r="L59">
        <v>8</v>
      </c>
      <c r="M59">
        <v>0</v>
      </c>
      <c r="N59">
        <v>0</v>
      </c>
      <c r="O59" t="s">
        <v>27</v>
      </c>
      <c r="P59" t="str">
        <f>TEXT(Table1[[#This Row],[order_date]],"yyyy-mm")</f>
        <v>2025-11</v>
      </c>
      <c r="Q59">
        <f>WEEKNUM(Table1[[#This Row],[order_date]])</f>
        <v>46</v>
      </c>
      <c r="R59">
        <f>IF(Table1[[#This Row],[order_status]]="completed",1,0)</f>
        <v>0</v>
      </c>
    </row>
    <row r="60" spans="1:18" x14ac:dyDescent="0.35">
      <c r="A60">
        <v>59</v>
      </c>
      <c r="B60" s="1">
        <v>45983</v>
      </c>
      <c r="C60">
        <v>1582</v>
      </c>
      <c r="D60" t="s">
        <v>15</v>
      </c>
      <c r="E60" t="s">
        <v>36</v>
      </c>
      <c r="F60" t="s">
        <v>17</v>
      </c>
      <c r="G60">
        <v>5</v>
      </c>
      <c r="H60">
        <v>0</v>
      </c>
      <c r="I60" t="s">
        <v>35</v>
      </c>
      <c r="J60" t="s">
        <v>37</v>
      </c>
      <c r="K60" t="s">
        <v>20</v>
      </c>
      <c r="L60">
        <v>4</v>
      </c>
      <c r="M60">
        <v>0</v>
      </c>
      <c r="N60">
        <v>1</v>
      </c>
      <c r="O60" t="s">
        <v>27</v>
      </c>
      <c r="P60" t="str">
        <f>TEXT(Table1[[#This Row],[order_date]],"yyyy-mm")</f>
        <v>2025-11</v>
      </c>
      <c r="Q60">
        <f>WEEKNUM(Table1[[#This Row],[order_date]])</f>
        <v>47</v>
      </c>
      <c r="R60">
        <f>IF(Table1[[#This Row],[order_status]]="completed",1,0)</f>
        <v>0</v>
      </c>
    </row>
    <row r="61" spans="1:18" x14ac:dyDescent="0.35">
      <c r="A61">
        <v>60</v>
      </c>
      <c r="B61" s="1">
        <v>45941</v>
      </c>
      <c r="C61">
        <v>1850</v>
      </c>
      <c r="D61" t="s">
        <v>41</v>
      </c>
      <c r="E61" t="s">
        <v>36</v>
      </c>
      <c r="F61" t="s">
        <v>34</v>
      </c>
      <c r="G61">
        <v>1</v>
      </c>
      <c r="H61">
        <v>0</v>
      </c>
      <c r="I61" t="s">
        <v>35</v>
      </c>
      <c r="J61" t="s">
        <v>37</v>
      </c>
      <c r="K61" t="s">
        <v>40</v>
      </c>
      <c r="L61">
        <v>1</v>
      </c>
      <c r="M61">
        <v>1</v>
      </c>
      <c r="N61">
        <v>0</v>
      </c>
      <c r="O61" t="s">
        <v>21</v>
      </c>
      <c r="P61" t="str">
        <f>TEXT(Table1[[#This Row],[order_date]],"yyyy-mm")</f>
        <v>2025-10</v>
      </c>
      <c r="Q61">
        <f>WEEKNUM(Table1[[#This Row],[order_date]])</f>
        <v>41</v>
      </c>
      <c r="R61">
        <f>IF(Table1[[#This Row],[order_status]]="completed",1,0)</f>
        <v>0</v>
      </c>
    </row>
    <row r="62" spans="1:18" x14ac:dyDescent="0.35">
      <c r="A62">
        <v>61</v>
      </c>
      <c r="B62" s="1">
        <v>46026</v>
      </c>
      <c r="C62">
        <v>1653</v>
      </c>
      <c r="D62" t="s">
        <v>22</v>
      </c>
      <c r="E62" t="s">
        <v>36</v>
      </c>
      <c r="F62" t="s">
        <v>34</v>
      </c>
      <c r="G62">
        <v>5</v>
      </c>
      <c r="H62">
        <v>0</v>
      </c>
      <c r="I62" t="s">
        <v>35</v>
      </c>
      <c r="J62" t="s">
        <v>31</v>
      </c>
      <c r="K62" t="s">
        <v>38</v>
      </c>
      <c r="L62">
        <v>4</v>
      </c>
      <c r="M62">
        <v>0</v>
      </c>
      <c r="N62">
        <v>1</v>
      </c>
      <c r="O62" t="s">
        <v>27</v>
      </c>
      <c r="P62" t="str">
        <f>TEXT(Table1[[#This Row],[order_date]],"yyyy-mm")</f>
        <v>2026-01</v>
      </c>
      <c r="Q62">
        <f>WEEKNUM(Table1[[#This Row],[order_date]])</f>
        <v>2</v>
      </c>
      <c r="R62">
        <f>IF(Table1[[#This Row],[order_status]]="completed",1,0)</f>
        <v>0</v>
      </c>
    </row>
    <row r="63" spans="1:18" x14ac:dyDescent="0.35">
      <c r="A63">
        <v>62</v>
      </c>
      <c r="B63" s="1">
        <v>45862</v>
      </c>
      <c r="C63">
        <v>1128</v>
      </c>
      <c r="D63" t="s">
        <v>28</v>
      </c>
      <c r="E63" t="s">
        <v>23</v>
      </c>
      <c r="F63" t="s">
        <v>30</v>
      </c>
      <c r="G63">
        <v>4</v>
      </c>
      <c r="H63">
        <v>0</v>
      </c>
      <c r="I63" t="s">
        <v>25</v>
      </c>
      <c r="J63" t="s">
        <v>31</v>
      </c>
      <c r="K63" t="s">
        <v>20</v>
      </c>
      <c r="L63">
        <v>2</v>
      </c>
      <c r="M63">
        <v>1</v>
      </c>
      <c r="N63">
        <v>1</v>
      </c>
      <c r="O63" t="s">
        <v>21</v>
      </c>
      <c r="P63" t="str">
        <f>TEXT(Table1[[#This Row],[order_date]],"yyyy-mm")</f>
        <v>2025-07</v>
      </c>
      <c r="Q63">
        <f>WEEKNUM(Table1[[#This Row],[order_date]])</f>
        <v>30</v>
      </c>
      <c r="R63">
        <f>IF(Table1[[#This Row],[order_status]]="completed",1,0)</f>
        <v>0</v>
      </c>
    </row>
    <row r="64" spans="1:18" x14ac:dyDescent="0.35">
      <c r="A64">
        <v>63</v>
      </c>
      <c r="B64" s="1">
        <v>45942</v>
      </c>
      <c r="C64">
        <v>1256</v>
      </c>
      <c r="D64" t="s">
        <v>15</v>
      </c>
      <c r="E64" t="s">
        <v>33</v>
      </c>
      <c r="F64" t="s">
        <v>30</v>
      </c>
      <c r="G64">
        <v>3</v>
      </c>
      <c r="H64">
        <v>0</v>
      </c>
      <c r="I64" t="s">
        <v>39</v>
      </c>
      <c r="J64" t="s">
        <v>31</v>
      </c>
      <c r="K64" t="s">
        <v>26</v>
      </c>
      <c r="L64">
        <v>9</v>
      </c>
      <c r="M64">
        <v>0</v>
      </c>
      <c r="N64">
        <v>1</v>
      </c>
      <c r="O64" t="s">
        <v>27</v>
      </c>
      <c r="P64" t="str">
        <f>TEXT(Table1[[#This Row],[order_date]],"yyyy-mm")</f>
        <v>2025-10</v>
      </c>
      <c r="Q64">
        <f>WEEKNUM(Table1[[#This Row],[order_date]])</f>
        <v>42</v>
      </c>
      <c r="R64">
        <f>IF(Table1[[#This Row],[order_status]]="completed",1,0)</f>
        <v>0</v>
      </c>
    </row>
    <row r="65" spans="1:18" x14ac:dyDescent="0.35">
      <c r="A65">
        <v>64</v>
      </c>
      <c r="B65" s="1">
        <v>46027</v>
      </c>
      <c r="C65">
        <v>1023</v>
      </c>
      <c r="D65" t="s">
        <v>22</v>
      </c>
      <c r="E65" t="s">
        <v>33</v>
      </c>
      <c r="F65" t="s">
        <v>17</v>
      </c>
      <c r="G65">
        <v>2</v>
      </c>
      <c r="H65">
        <v>0</v>
      </c>
      <c r="I65" t="s">
        <v>39</v>
      </c>
      <c r="J65" t="s">
        <v>31</v>
      </c>
      <c r="K65" t="s">
        <v>40</v>
      </c>
      <c r="L65">
        <v>9</v>
      </c>
      <c r="M65">
        <v>0</v>
      </c>
      <c r="N65">
        <v>0</v>
      </c>
      <c r="O65" t="s">
        <v>21</v>
      </c>
      <c r="P65" t="str">
        <f>TEXT(Table1[[#This Row],[order_date]],"yyyy-mm")</f>
        <v>2026-01</v>
      </c>
      <c r="Q65">
        <f>WEEKNUM(Table1[[#This Row],[order_date]])</f>
        <v>2</v>
      </c>
      <c r="R65">
        <f>IF(Table1[[#This Row],[order_status]]="completed",1,0)</f>
        <v>0</v>
      </c>
    </row>
    <row r="66" spans="1:18" x14ac:dyDescent="0.35">
      <c r="A66">
        <v>65</v>
      </c>
      <c r="B66" s="1">
        <v>45914</v>
      </c>
      <c r="C66">
        <v>1240</v>
      </c>
      <c r="D66" t="s">
        <v>28</v>
      </c>
      <c r="E66" t="s">
        <v>16</v>
      </c>
      <c r="F66" t="s">
        <v>17</v>
      </c>
      <c r="G66">
        <v>5</v>
      </c>
      <c r="H66">
        <v>0</v>
      </c>
      <c r="I66" t="s">
        <v>18</v>
      </c>
      <c r="J66" t="s">
        <v>37</v>
      </c>
      <c r="K66" t="s">
        <v>26</v>
      </c>
      <c r="L66">
        <v>8</v>
      </c>
      <c r="M66">
        <v>1</v>
      </c>
      <c r="N66">
        <v>0</v>
      </c>
      <c r="O66" t="s">
        <v>21</v>
      </c>
      <c r="P66" t="str">
        <f>TEXT(Table1[[#This Row],[order_date]],"yyyy-mm")</f>
        <v>2025-09</v>
      </c>
      <c r="Q66">
        <f>WEEKNUM(Table1[[#This Row],[order_date]])</f>
        <v>38</v>
      </c>
      <c r="R66">
        <f>IF(Table1[[#This Row],[order_status]]="completed",1,0)</f>
        <v>0</v>
      </c>
    </row>
    <row r="67" spans="1:18" x14ac:dyDescent="0.35">
      <c r="A67">
        <v>66</v>
      </c>
      <c r="B67" s="1">
        <v>46004</v>
      </c>
      <c r="C67">
        <v>1065</v>
      </c>
      <c r="D67" t="s">
        <v>32</v>
      </c>
      <c r="E67" t="s">
        <v>36</v>
      </c>
      <c r="F67" t="s">
        <v>17</v>
      </c>
      <c r="G67">
        <v>4</v>
      </c>
      <c r="H67">
        <v>0</v>
      </c>
      <c r="I67" t="s">
        <v>35</v>
      </c>
      <c r="J67" t="s">
        <v>31</v>
      </c>
      <c r="K67" t="s">
        <v>40</v>
      </c>
      <c r="L67">
        <v>8</v>
      </c>
      <c r="M67">
        <v>1</v>
      </c>
      <c r="N67">
        <v>0</v>
      </c>
      <c r="O67" t="s">
        <v>27</v>
      </c>
      <c r="P67" t="str">
        <f>TEXT(Table1[[#This Row],[order_date]],"yyyy-mm")</f>
        <v>2025-12</v>
      </c>
      <c r="Q67">
        <f>WEEKNUM(Table1[[#This Row],[order_date]])</f>
        <v>50</v>
      </c>
      <c r="R67">
        <f>IF(Table1[[#This Row],[order_status]]="completed",1,0)</f>
        <v>0</v>
      </c>
    </row>
    <row r="68" spans="1:18" x14ac:dyDescent="0.35">
      <c r="A68">
        <v>67</v>
      </c>
      <c r="B68" s="1">
        <v>45900</v>
      </c>
      <c r="C68">
        <v>1403</v>
      </c>
      <c r="D68" t="s">
        <v>32</v>
      </c>
      <c r="E68" t="s">
        <v>29</v>
      </c>
      <c r="F68" t="s">
        <v>34</v>
      </c>
      <c r="G68">
        <v>4</v>
      </c>
      <c r="H68">
        <v>0</v>
      </c>
      <c r="I68" t="s">
        <v>18</v>
      </c>
      <c r="J68" t="s">
        <v>31</v>
      </c>
      <c r="K68" t="s">
        <v>40</v>
      </c>
      <c r="L68">
        <v>5</v>
      </c>
      <c r="M68">
        <v>0</v>
      </c>
      <c r="N68">
        <v>0</v>
      </c>
      <c r="O68" t="s">
        <v>27</v>
      </c>
      <c r="P68" t="str">
        <f>TEXT(Table1[[#This Row],[order_date]],"yyyy-mm")</f>
        <v>2025-08</v>
      </c>
      <c r="Q68">
        <f>WEEKNUM(Table1[[#This Row],[order_date]])</f>
        <v>36</v>
      </c>
      <c r="R68">
        <f>IF(Table1[[#This Row],[order_status]]="completed",1,0)</f>
        <v>0</v>
      </c>
    </row>
    <row r="69" spans="1:18" x14ac:dyDescent="0.35">
      <c r="A69">
        <v>68</v>
      </c>
      <c r="B69" s="1">
        <v>46019</v>
      </c>
      <c r="C69">
        <v>1325</v>
      </c>
      <c r="D69" t="s">
        <v>32</v>
      </c>
      <c r="E69" t="s">
        <v>16</v>
      </c>
      <c r="F69" t="s">
        <v>17</v>
      </c>
      <c r="G69">
        <v>3</v>
      </c>
      <c r="H69">
        <v>1419</v>
      </c>
      <c r="I69" t="s">
        <v>35</v>
      </c>
      <c r="J69" t="s">
        <v>19</v>
      </c>
      <c r="K69" t="s">
        <v>20</v>
      </c>
      <c r="L69">
        <v>6</v>
      </c>
      <c r="M69">
        <v>0</v>
      </c>
      <c r="N69">
        <v>1</v>
      </c>
      <c r="O69" t="s">
        <v>27</v>
      </c>
      <c r="P69" t="str">
        <f>TEXT(Table1[[#This Row],[order_date]],"yyyy-mm")</f>
        <v>2025-12</v>
      </c>
      <c r="Q69">
        <f>WEEKNUM(Table1[[#This Row],[order_date]])</f>
        <v>53</v>
      </c>
      <c r="R69">
        <f>IF(Table1[[#This Row],[order_status]]="completed",1,0)</f>
        <v>1</v>
      </c>
    </row>
    <row r="70" spans="1:18" x14ac:dyDescent="0.35">
      <c r="A70">
        <v>69</v>
      </c>
      <c r="B70" s="1">
        <v>45902</v>
      </c>
      <c r="C70">
        <v>1980</v>
      </c>
      <c r="D70" t="s">
        <v>32</v>
      </c>
      <c r="E70" t="s">
        <v>16</v>
      </c>
      <c r="F70" t="s">
        <v>34</v>
      </c>
      <c r="G70">
        <v>1</v>
      </c>
      <c r="H70">
        <v>4791</v>
      </c>
      <c r="I70" t="s">
        <v>39</v>
      </c>
      <c r="J70" t="s">
        <v>19</v>
      </c>
      <c r="K70" t="s">
        <v>26</v>
      </c>
      <c r="L70">
        <v>10</v>
      </c>
      <c r="M70">
        <v>0</v>
      </c>
      <c r="N70">
        <v>1</v>
      </c>
      <c r="O70" t="s">
        <v>27</v>
      </c>
      <c r="P70" t="str">
        <f>TEXT(Table1[[#This Row],[order_date]],"yyyy-mm")</f>
        <v>2025-09</v>
      </c>
      <c r="Q70">
        <f>WEEKNUM(Table1[[#This Row],[order_date]])</f>
        <v>36</v>
      </c>
      <c r="R70">
        <f>IF(Table1[[#This Row],[order_status]]="completed",1,0)</f>
        <v>1</v>
      </c>
    </row>
    <row r="71" spans="1:18" x14ac:dyDescent="0.35">
      <c r="A71">
        <v>70</v>
      </c>
      <c r="B71" s="1">
        <v>45917</v>
      </c>
      <c r="C71">
        <v>1791</v>
      </c>
      <c r="D71" t="s">
        <v>41</v>
      </c>
      <c r="E71" t="s">
        <v>33</v>
      </c>
      <c r="F71" t="s">
        <v>24</v>
      </c>
      <c r="G71">
        <v>2</v>
      </c>
      <c r="H71">
        <v>0</v>
      </c>
      <c r="I71" t="s">
        <v>25</v>
      </c>
      <c r="J71" t="s">
        <v>31</v>
      </c>
      <c r="K71" t="s">
        <v>26</v>
      </c>
      <c r="L71">
        <v>8</v>
      </c>
      <c r="M71">
        <v>1</v>
      </c>
      <c r="N71">
        <v>0</v>
      </c>
      <c r="O71" t="s">
        <v>21</v>
      </c>
      <c r="P71" t="str">
        <f>TEXT(Table1[[#This Row],[order_date]],"yyyy-mm")</f>
        <v>2025-09</v>
      </c>
      <c r="Q71">
        <f>WEEKNUM(Table1[[#This Row],[order_date]])</f>
        <v>38</v>
      </c>
      <c r="R71">
        <f>IF(Table1[[#This Row],[order_status]]="completed",1,0)</f>
        <v>0</v>
      </c>
    </row>
    <row r="72" spans="1:18" x14ac:dyDescent="0.35">
      <c r="A72">
        <v>71</v>
      </c>
      <c r="B72" s="1">
        <v>45860</v>
      </c>
      <c r="C72">
        <v>1892</v>
      </c>
      <c r="D72" t="s">
        <v>28</v>
      </c>
      <c r="E72" t="s">
        <v>23</v>
      </c>
      <c r="F72" t="s">
        <v>24</v>
      </c>
      <c r="G72">
        <v>2</v>
      </c>
      <c r="H72">
        <v>0</v>
      </c>
      <c r="I72" t="s">
        <v>18</v>
      </c>
      <c r="J72" t="s">
        <v>37</v>
      </c>
      <c r="K72" t="s">
        <v>38</v>
      </c>
      <c r="L72">
        <v>9</v>
      </c>
      <c r="M72">
        <v>1</v>
      </c>
      <c r="N72">
        <v>0</v>
      </c>
      <c r="O72" t="s">
        <v>21</v>
      </c>
      <c r="P72" t="str">
        <f>TEXT(Table1[[#This Row],[order_date]],"yyyy-mm")</f>
        <v>2025-07</v>
      </c>
      <c r="Q72">
        <f>WEEKNUM(Table1[[#This Row],[order_date]])</f>
        <v>30</v>
      </c>
      <c r="R72">
        <f>IF(Table1[[#This Row],[order_status]]="completed",1,0)</f>
        <v>0</v>
      </c>
    </row>
    <row r="73" spans="1:18" x14ac:dyDescent="0.35">
      <c r="A73">
        <v>72</v>
      </c>
      <c r="B73" s="1">
        <v>45892</v>
      </c>
      <c r="C73">
        <v>1050</v>
      </c>
      <c r="D73" t="s">
        <v>41</v>
      </c>
      <c r="E73" t="s">
        <v>16</v>
      </c>
      <c r="F73" t="s">
        <v>24</v>
      </c>
      <c r="G73">
        <v>5</v>
      </c>
      <c r="H73">
        <v>0</v>
      </c>
      <c r="I73" t="s">
        <v>35</v>
      </c>
      <c r="J73" t="s">
        <v>37</v>
      </c>
      <c r="K73" t="s">
        <v>26</v>
      </c>
      <c r="L73">
        <v>8</v>
      </c>
      <c r="M73">
        <v>1</v>
      </c>
      <c r="N73">
        <v>0</v>
      </c>
      <c r="O73" t="s">
        <v>21</v>
      </c>
      <c r="P73" t="str">
        <f>TEXT(Table1[[#This Row],[order_date]],"yyyy-mm")</f>
        <v>2025-08</v>
      </c>
      <c r="Q73">
        <f>WEEKNUM(Table1[[#This Row],[order_date]])</f>
        <v>34</v>
      </c>
      <c r="R73">
        <f>IF(Table1[[#This Row],[order_status]]="completed",1,0)</f>
        <v>0</v>
      </c>
    </row>
    <row r="74" spans="1:18" x14ac:dyDescent="0.35">
      <c r="A74">
        <v>73</v>
      </c>
      <c r="B74" s="1">
        <v>45955</v>
      </c>
      <c r="C74">
        <v>1126</v>
      </c>
      <c r="D74" t="s">
        <v>32</v>
      </c>
      <c r="E74" t="s">
        <v>33</v>
      </c>
      <c r="F74" t="s">
        <v>34</v>
      </c>
      <c r="G74">
        <v>3</v>
      </c>
      <c r="H74">
        <v>0</v>
      </c>
      <c r="I74" t="s">
        <v>18</v>
      </c>
      <c r="J74" t="s">
        <v>37</v>
      </c>
      <c r="K74" t="s">
        <v>38</v>
      </c>
      <c r="L74">
        <v>3</v>
      </c>
      <c r="M74">
        <v>1</v>
      </c>
      <c r="N74">
        <v>1</v>
      </c>
      <c r="O74" t="s">
        <v>27</v>
      </c>
      <c r="P74" t="str">
        <f>TEXT(Table1[[#This Row],[order_date]],"yyyy-mm")</f>
        <v>2025-10</v>
      </c>
      <c r="Q74">
        <f>WEEKNUM(Table1[[#This Row],[order_date]])</f>
        <v>43</v>
      </c>
      <c r="R74">
        <f>IF(Table1[[#This Row],[order_status]]="completed",1,0)</f>
        <v>0</v>
      </c>
    </row>
    <row r="75" spans="1:18" x14ac:dyDescent="0.35">
      <c r="A75">
        <v>74</v>
      </c>
      <c r="B75" s="1">
        <v>45855</v>
      </c>
      <c r="C75">
        <v>1151</v>
      </c>
      <c r="D75" t="s">
        <v>15</v>
      </c>
      <c r="E75" t="s">
        <v>36</v>
      </c>
      <c r="F75" t="s">
        <v>30</v>
      </c>
      <c r="G75">
        <v>5</v>
      </c>
      <c r="H75">
        <v>0</v>
      </c>
      <c r="I75" t="s">
        <v>25</v>
      </c>
      <c r="J75" t="s">
        <v>37</v>
      </c>
      <c r="K75" t="s">
        <v>26</v>
      </c>
      <c r="L75">
        <v>1</v>
      </c>
      <c r="M75">
        <v>0</v>
      </c>
      <c r="N75">
        <v>0</v>
      </c>
      <c r="O75" t="s">
        <v>21</v>
      </c>
      <c r="P75" t="str">
        <f>TEXT(Table1[[#This Row],[order_date]],"yyyy-mm")</f>
        <v>2025-07</v>
      </c>
      <c r="Q75">
        <f>WEEKNUM(Table1[[#This Row],[order_date]])</f>
        <v>29</v>
      </c>
      <c r="R75">
        <f>IF(Table1[[#This Row],[order_status]]="completed",1,0)</f>
        <v>0</v>
      </c>
    </row>
    <row r="76" spans="1:18" x14ac:dyDescent="0.35">
      <c r="A76">
        <v>75</v>
      </c>
      <c r="B76" s="1">
        <v>45962</v>
      </c>
      <c r="C76">
        <v>1994</v>
      </c>
      <c r="D76" t="s">
        <v>22</v>
      </c>
      <c r="E76" t="s">
        <v>16</v>
      </c>
      <c r="F76" t="s">
        <v>34</v>
      </c>
      <c r="G76">
        <v>2</v>
      </c>
      <c r="H76">
        <v>2622</v>
      </c>
      <c r="I76" t="s">
        <v>25</v>
      </c>
      <c r="J76" t="s">
        <v>19</v>
      </c>
      <c r="K76" t="s">
        <v>20</v>
      </c>
      <c r="L76">
        <v>6</v>
      </c>
      <c r="M76">
        <v>0</v>
      </c>
      <c r="N76">
        <v>1</v>
      </c>
      <c r="O76" t="s">
        <v>27</v>
      </c>
      <c r="P76" t="str">
        <f>TEXT(Table1[[#This Row],[order_date]],"yyyy-mm")</f>
        <v>2025-11</v>
      </c>
      <c r="Q76">
        <f>WEEKNUM(Table1[[#This Row],[order_date]])</f>
        <v>44</v>
      </c>
      <c r="R76">
        <f>IF(Table1[[#This Row],[order_status]]="completed",1,0)</f>
        <v>1</v>
      </c>
    </row>
    <row r="77" spans="1:18" x14ac:dyDescent="0.35">
      <c r="A77">
        <v>76</v>
      </c>
      <c r="B77" s="1">
        <v>45946</v>
      </c>
      <c r="C77">
        <v>1481</v>
      </c>
      <c r="D77" t="s">
        <v>15</v>
      </c>
      <c r="E77" t="s">
        <v>16</v>
      </c>
      <c r="F77" t="s">
        <v>24</v>
      </c>
      <c r="G77">
        <v>3</v>
      </c>
      <c r="H77">
        <v>0</v>
      </c>
      <c r="I77" t="s">
        <v>25</v>
      </c>
      <c r="J77" t="s">
        <v>37</v>
      </c>
      <c r="K77" t="s">
        <v>38</v>
      </c>
      <c r="L77">
        <v>7</v>
      </c>
      <c r="M77">
        <v>0</v>
      </c>
      <c r="N77">
        <v>0</v>
      </c>
      <c r="O77" t="s">
        <v>21</v>
      </c>
      <c r="P77" t="str">
        <f>TEXT(Table1[[#This Row],[order_date]],"yyyy-mm")</f>
        <v>2025-10</v>
      </c>
      <c r="Q77">
        <f>WEEKNUM(Table1[[#This Row],[order_date]])</f>
        <v>42</v>
      </c>
      <c r="R77">
        <f>IF(Table1[[#This Row],[order_status]]="completed",1,0)</f>
        <v>0</v>
      </c>
    </row>
    <row r="78" spans="1:18" x14ac:dyDescent="0.35">
      <c r="A78">
        <v>77</v>
      </c>
      <c r="B78" s="1">
        <v>45902</v>
      </c>
      <c r="C78">
        <v>1006</v>
      </c>
      <c r="D78" t="s">
        <v>15</v>
      </c>
      <c r="E78" t="s">
        <v>16</v>
      </c>
      <c r="F78" t="s">
        <v>24</v>
      </c>
      <c r="G78">
        <v>1</v>
      </c>
      <c r="H78">
        <v>1950</v>
      </c>
      <c r="I78" t="s">
        <v>35</v>
      </c>
      <c r="J78" t="s">
        <v>19</v>
      </c>
      <c r="K78" t="s">
        <v>40</v>
      </c>
      <c r="L78">
        <v>8</v>
      </c>
      <c r="M78">
        <v>1</v>
      </c>
      <c r="N78">
        <v>0</v>
      </c>
      <c r="O78" t="s">
        <v>21</v>
      </c>
      <c r="P78" t="str">
        <f>TEXT(Table1[[#This Row],[order_date]],"yyyy-mm")</f>
        <v>2025-09</v>
      </c>
      <c r="Q78">
        <f>WEEKNUM(Table1[[#This Row],[order_date]])</f>
        <v>36</v>
      </c>
      <c r="R78">
        <f>IF(Table1[[#This Row],[order_status]]="completed",1,0)</f>
        <v>1</v>
      </c>
    </row>
    <row r="79" spans="1:18" x14ac:dyDescent="0.35">
      <c r="A79">
        <v>78</v>
      </c>
      <c r="B79" s="1">
        <v>45890</v>
      </c>
      <c r="C79">
        <v>1694</v>
      </c>
      <c r="D79" t="s">
        <v>28</v>
      </c>
      <c r="E79" t="s">
        <v>36</v>
      </c>
      <c r="F79" t="s">
        <v>30</v>
      </c>
      <c r="G79">
        <v>3</v>
      </c>
      <c r="H79">
        <v>0</v>
      </c>
      <c r="I79" t="s">
        <v>18</v>
      </c>
      <c r="J79" t="s">
        <v>31</v>
      </c>
      <c r="K79" t="s">
        <v>38</v>
      </c>
      <c r="L79">
        <v>4</v>
      </c>
      <c r="M79">
        <v>1</v>
      </c>
      <c r="N79">
        <v>1</v>
      </c>
      <c r="O79" t="s">
        <v>21</v>
      </c>
      <c r="P79" t="str">
        <f>TEXT(Table1[[#This Row],[order_date]],"yyyy-mm")</f>
        <v>2025-08</v>
      </c>
      <c r="Q79">
        <f>WEEKNUM(Table1[[#This Row],[order_date]])</f>
        <v>34</v>
      </c>
      <c r="R79">
        <f>IF(Table1[[#This Row],[order_status]]="completed",1,0)</f>
        <v>0</v>
      </c>
    </row>
    <row r="80" spans="1:18" x14ac:dyDescent="0.35">
      <c r="A80">
        <v>79</v>
      </c>
      <c r="B80" s="1">
        <v>45908</v>
      </c>
      <c r="C80">
        <v>1395</v>
      </c>
      <c r="D80" t="s">
        <v>22</v>
      </c>
      <c r="E80" t="s">
        <v>36</v>
      </c>
      <c r="F80" t="s">
        <v>34</v>
      </c>
      <c r="G80">
        <v>2</v>
      </c>
      <c r="H80">
        <v>0</v>
      </c>
      <c r="I80" t="s">
        <v>39</v>
      </c>
      <c r="J80" t="s">
        <v>31</v>
      </c>
      <c r="K80" t="s">
        <v>20</v>
      </c>
      <c r="L80">
        <v>2</v>
      </c>
      <c r="M80">
        <v>1</v>
      </c>
      <c r="N80">
        <v>0</v>
      </c>
      <c r="O80" t="s">
        <v>27</v>
      </c>
      <c r="P80" t="str">
        <f>TEXT(Table1[[#This Row],[order_date]],"yyyy-mm")</f>
        <v>2025-09</v>
      </c>
      <c r="Q80">
        <f>WEEKNUM(Table1[[#This Row],[order_date]])</f>
        <v>37</v>
      </c>
      <c r="R80">
        <f>IF(Table1[[#This Row],[order_status]]="completed",1,0)</f>
        <v>0</v>
      </c>
    </row>
    <row r="81" spans="1:18" x14ac:dyDescent="0.35">
      <c r="A81">
        <v>80</v>
      </c>
      <c r="B81" s="1">
        <v>45917</v>
      </c>
      <c r="C81">
        <v>1431</v>
      </c>
      <c r="D81" t="s">
        <v>15</v>
      </c>
      <c r="E81" t="s">
        <v>23</v>
      </c>
      <c r="F81" t="s">
        <v>24</v>
      </c>
      <c r="G81">
        <v>2</v>
      </c>
      <c r="H81">
        <v>0</v>
      </c>
      <c r="I81" t="s">
        <v>18</v>
      </c>
      <c r="J81" t="s">
        <v>37</v>
      </c>
      <c r="K81" t="s">
        <v>38</v>
      </c>
      <c r="L81">
        <v>1</v>
      </c>
      <c r="M81">
        <v>1</v>
      </c>
      <c r="N81">
        <v>1</v>
      </c>
      <c r="O81" t="s">
        <v>21</v>
      </c>
      <c r="P81" t="str">
        <f>TEXT(Table1[[#This Row],[order_date]],"yyyy-mm")</f>
        <v>2025-09</v>
      </c>
      <c r="Q81">
        <f>WEEKNUM(Table1[[#This Row],[order_date]])</f>
        <v>38</v>
      </c>
      <c r="R81">
        <f>IF(Table1[[#This Row],[order_status]]="completed",1,0)</f>
        <v>0</v>
      </c>
    </row>
    <row r="82" spans="1:18" x14ac:dyDescent="0.35">
      <c r="A82">
        <v>81</v>
      </c>
      <c r="B82" s="1">
        <v>46029</v>
      </c>
      <c r="C82">
        <v>1237</v>
      </c>
      <c r="D82" t="s">
        <v>28</v>
      </c>
      <c r="E82" t="s">
        <v>36</v>
      </c>
      <c r="F82" t="s">
        <v>24</v>
      </c>
      <c r="G82">
        <v>5</v>
      </c>
      <c r="H82">
        <v>13975</v>
      </c>
      <c r="I82" t="s">
        <v>18</v>
      </c>
      <c r="J82" t="s">
        <v>19</v>
      </c>
      <c r="K82" t="s">
        <v>20</v>
      </c>
      <c r="L82">
        <v>1</v>
      </c>
      <c r="M82">
        <v>1</v>
      </c>
      <c r="N82">
        <v>0</v>
      </c>
      <c r="O82" t="s">
        <v>27</v>
      </c>
      <c r="P82" t="str">
        <f>TEXT(Table1[[#This Row],[order_date]],"yyyy-mm")</f>
        <v>2026-01</v>
      </c>
      <c r="Q82">
        <f>WEEKNUM(Table1[[#This Row],[order_date]])</f>
        <v>2</v>
      </c>
      <c r="R82">
        <f>IF(Table1[[#This Row],[order_status]]="completed",1,0)</f>
        <v>1</v>
      </c>
    </row>
    <row r="83" spans="1:18" x14ac:dyDescent="0.35">
      <c r="A83">
        <v>82</v>
      </c>
      <c r="B83" s="1">
        <v>45890</v>
      </c>
      <c r="C83">
        <v>1907</v>
      </c>
      <c r="D83" t="s">
        <v>28</v>
      </c>
      <c r="E83" t="s">
        <v>16</v>
      </c>
      <c r="F83" t="s">
        <v>30</v>
      </c>
      <c r="G83">
        <v>1</v>
      </c>
      <c r="H83">
        <v>1869</v>
      </c>
      <c r="I83" t="s">
        <v>39</v>
      </c>
      <c r="J83" t="s">
        <v>19</v>
      </c>
      <c r="K83" t="s">
        <v>20</v>
      </c>
      <c r="L83">
        <v>8</v>
      </c>
      <c r="M83">
        <v>1</v>
      </c>
      <c r="N83">
        <v>0</v>
      </c>
      <c r="O83" t="s">
        <v>21</v>
      </c>
      <c r="P83" t="str">
        <f>TEXT(Table1[[#This Row],[order_date]],"yyyy-mm")</f>
        <v>2025-08</v>
      </c>
      <c r="Q83">
        <f>WEEKNUM(Table1[[#This Row],[order_date]])</f>
        <v>34</v>
      </c>
      <c r="R83">
        <f>IF(Table1[[#This Row],[order_status]]="completed",1,0)</f>
        <v>1</v>
      </c>
    </row>
    <row r="84" spans="1:18" x14ac:dyDescent="0.35">
      <c r="A84">
        <v>83</v>
      </c>
      <c r="B84" s="1">
        <v>45985</v>
      </c>
      <c r="C84">
        <v>1498</v>
      </c>
      <c r="D84" t="s">
        <v>41</v>
      </c>
      <c r="E84" t="s">
        <v>33</v>
      </c>
      <c r="F84" t="s">
        <v>34</v>
      </c>
      <c r="G84">
        <v>2</v>
      </c>
      <c r="H84">
        <v>0</v>
      </c>
      <c r="I84" t="s">
        <v>18</v>
      </c>
      <c r="J84" t="s">
        <v>31</v>
      </c>
      <c r="K84" t="s">
        <v>20</v>
      </c>
      <c r="L84">
        <v>6</v>
      </c>
      <c r="M84">
        <v>0</v>
      </c>
      <c r="N84">
        <v>0</v>
      </c>
      <c r="O84" t="s">
        <v>21</v>
      </c>
      <c r="P84" t="str">
        <f>TEXT(Table1[[#This Row],[order_date]],"yyyy-mm")</f>
        <v>2025-11</v>
      </c>
      <c r="Q84">
        <f>WEEKNUM(Table1[[#This Row],[order_date]])</f>
        <v>48</v>
      </c>
      <c r="R84">
        <f>IF(Table1[[#This Row],[order_status]]="completed",1,0)</f>
        <v>0</v>
      </c>
    </row>
    <row r="85" spans="1:18" x14ac:dyDescent="0.35">
      <c r="A85">
        <v>84</v>
      </c>
      <c r="B85" s="1">
        <v>45866</v>
      </c>
      <c r="C85">
        <v>1062</v>
      </c>
      <c r="D85" t="s">
        <v>41</v>
      </c>
      <c r="E85" t="s">
        <v>36</v>
      </c>
      <c r="F85" t="s">
        <v>24</v>
      </c>
      <c r="G85">
        <v>3</v>
      </c>
      <c r="H85">
        <v>2610</v>
      </c>
      <c r="I85" t="s">
        <v>39</v>
      </c>
      <c r="J85" t="s">
        <v>19</v>
      </c>
      <c r="K85" t="s">
        <v>40</v>
      </c>
      <c r="L85">
        <v>8</v>
      </c>
      <c r="M85">
        <v>0</v>
      </c>
      <c r="N85">
        <v>1</v>
      </c>
      <c r="O85" t="s">
        <v>27</v>
      </c>
      <c r="P85" t="str">
        <f>TEXT(Table1[[#This Row],[order_date]],"yyyy-mm")</f>
        <v>2025-07</v>
      </c>
      <c r="Q85">
        <f>WEEKNUM(Table1[[#This Row],[order_date]])</f>
        <v>31</v>
      </c>
      <c r="R85">
        <f>IF(Table1[[#This Row],[order_status]]="completed",1,0)</f>
        <v>1</v>
      </c>
    </row>
    <row r="86" spans="1:18" x14ac:dyDescent="0.35">
      <c r="A86">
        <v>85</v>
      </c>
      <c r="B86" s="1">
        <v>45891</v>
      </c>
      <c r="C86">
        <v>1911</v>
      </c>
      <c r="D86" t="s">
        <v>32</v>
      </c>
      <c r="E86" t="s">
        <v>36</v>
      </c>
      <c r="F86" t="s">
        <v>17</v>
      </c>
      <c r="G86">
        <v>3</v>
      </c>
      <c r="H86">
        <v>0</v>
      </c>
      <c r="I86" t="s">
        <v>35</v>
      </c>
      <c r="J86" t="s">
        <v>31</v>
      </c>
      <c r="K86" t="s">
        <v>26</v>
      </c>
      <c r="L86">
        <v>8</v>
      </c>
      <c r="M86">
        <v>0</v>
      </c>
      <c r="N86">
        <v>1</v>
      </c>
      <c r="O86" t="s">
        <v>21</v>
      </c>
      <c r="P86" t="str">
        <f>TEXT(Table1[[#This Row],[order_date]],"yyyy-mm")</f>
        <v>2025-08</v>
      </c>
      <c r="Q86">
        <f>WEEKNUM(Table1[[#This Row],[order_date]])</f>
        <v>34</v>
      </c>
      <c r="R86">
        <f>IF(Table1[[#This Row],[order_status]]="completed",1,0)</f>
        <v>0</v>
      </c>
    </row>
    <row r="87" spans="1:18" x14ac:dyDescent="0.35">
      <c r="A87">
        <v>86</v>
      </c>
      <c r="B87" s="1">
        <v>45890</v>
      </c>
      <c r="C87">
        <v>1499</v>
      </c>
      <c r="D87" t="s">
        <v>41</v>
      </c>
      <c r="E87" t="s">
        <v>16</v>
      </c>
      <c r="F87" t="s">
        <v>34</v>
      </c>
      <c r="G87">
        <v>2</v>
      </c>
      <c r="H87">
        <v>0</v>
      </c>
      <c r="I87" t="s">
        <v>35</v>
      </c>
      <c r="J87" t="s">
        <v>37</v>
      </c>
      <c r="K87" t="s">
        <v>40</v>
      </c>
      <c r="L87">
        <v>4</v>
      </c>
      <c r="M87">
        <v>1</v>
      </c>
      <c r="N87">
        <v>0</v>
      </c>
      <c r="O87" t="s">
        <v>27</v>
      </c>
      <c r="P87" t="str">
        <f>TEXT(Table1[[#This Row],[order_date]],"yyyy-mm")</f>
        <v>2025-08</v>
      </c>
      <c r="Q87">
        <f>WEEKNUM(Table1[[#This Row],[order_date]])</f>
        <v>34</v>
      </c>
      <c r="R87">
        <f>IF(Table1[[#This Row],[order_status]]="completed",1,0)</f>
        <v>0</v>
      </c>
    </row>
    <row r="88" spans="1:18" x14ac:dyDescent="0.35">
      <c r="A88">
        <v>87</v>
      </c>
      <c r="B88" s="1">
        <v>45992</v>
      </c>
      <c r="C88">
        <v>1342</v>
      </c>
      <c r="D88" t="s">
        <v>28</v>
      </c>
      <c r="E88" t="s">
        <v>36</v>
      </c>
      <c r="F88" t="s">
        <v>30</v>
      </c>
      <c r="G88">
        <v>5</v>
      </c>
      <c r="H88">
        <v>0</v>
      </c>
      <c r="I88" t="s">
        <v>18</v>
      </c>
      <c r="J88" t="s">
        <v>37</v>
      </c>
      <c r="K88" t="s">
        <v>20</v>
      </c>
      <c r="L88">
        <v>6</v>
      </c>
      <c r="M88">
        <v>1</v>
      </c>
      <c r="N88">
        <v>0</v>
      </c>
      <c r="O88" t="s">
        <v>27</v>
      </c>
      <c r="P88" t="str">
        <f>TEXT(Table1[[#This Row],[order_date]],"yyyy-mm")</f>
        <v>2025-12</v>
      </c>
      <c r="Q88">
        <f>WEEKNUM(Table1[[#This Row],[order_date]])</f>
        <v>49</v>
      </c>
      <c r="R88">
        <f>IF(Table1[[#This Row],[order_status]]="completed",1,0)</f>
        <v>0</v>
      </c>
    </row>
    <row r="89" spans="1:18" x14ac:dyDescent="0.35">
      <c r="A89">
        <v>88</v>
      </c>
      <c r="B89" s="1">
        <v>45978</v>
      </c>
      <c r="C89">
        <v>1199</v>
      </c>
      <c r="D89" t="s">
        <v>41</v>
      </c>
      <c r="E89" t="s">
        <v>33</v>
      </c>
      <c r="F89" t="s">
        <v>30</v>
      </c>
      <c r="G89">
        <v>5</v>
      </c>
      <c r="H89">
        <v>5675</v>
      </c>
      <c r="I89" t="s">
        <v>18</v>
      </c>
      <c r="J89" t="s">
        <v>19</v>
      </c>
      <c r="K89" t="s">
        <v>26</v>
      </c>
      <c r="L89">
        <v>4</v>
      </c>
      <c r="M89">
        <v>0</v>
      </c>
      <c r="N89">
        <v>0</v>
      </c>
      <c r="O89" t="s">
        <v>21</v>
      </c>
      <c r="P89" t="str">
        <f>TEXT(Table1[[#This Row],[order_date]],"yyyy-mm")</f>
        <v>2025-11</v>
      </c>
      <c r="Q89">
        <f>WEEKNUM(Table1[[#This Row],[order_date]])</f>
        <v>47</v>
      </c>
      <c r="R89">
        <f>IF(Table1[[#This Row],[order_status]]="completed",1,0)</f>
        <v>1</v>
      </c>
    </row>
    <row r="90" spans="1:18" x14ac:dyDescent="0.35">
      <c r="A90">
        <v>89</v>
      </c>
      <c r="B90" s="1">
        <v>45904</v>
      </c>
      <c r="C90">
        <v>1715</v>
      </c>
      <c r="D90" t="s">
        <v>28</v>
      </c>
      <c r="E90" t="s">
        <v>36</v>
      </c>
      <c r="F90" t="s">
        <v>34</v>
      </c>
      <c r="G90">
        <v>1</v>
      </c>
      <c r="H90">
        <v>0</v>
      </c>
      <c r="I90" t="s">
        <v>18</v>
      </c>
      <c r="J90" t="s">
        <v>31</v>
      </c>
      <c r="K90" t="s">
        <v>38</v>
      </c>
      <c r="L90">
        <v>6</v>
      </c>
      <c r="M90">
        <v>0</v>
      </c>
      <c r="N90">
        <v>0</v>
      </c>
      <c r="O90" t="s">
        <v>27</v>
      </c>
      <c r="P90" t="str">
        <f>TEXT(Table1[[#This Row],[order_date]],"yyyy-mm")</f>
        <v>2025-09</v>
      </c>
      <c r="Q90">
        <f>WEEKNUM(Table1[[#This Row],[order_date]])</f>
        <v>36</v>
      </c>
      <c r="R90">
        <f>IF(Table1[[#This Row],[order_status]]="completed",1,0)</f>
        <v>0</v>
      </c>
    </row>
    <row r="91" spans="1:18" x14ac:dyDescent="0.35">
      <c r="A91">
        <v>90</v>
      </c>
      <c r="B91" s="1">
        <v>45976</v>
      </c>
      <c r="C91">
        <v>1748</v>
      </c>
      <c r="D91" t="s">
        <v>41</v>
      </c>
      <c r="E91" t="s">
        <v>23</v>
      </c>
      <c r="F91" t="s">
        <v>34</v>
      </c>
      <c r="G91">
        <v>1</v>
      </c>
      <c r="H91">
        <v>4891</v>
      </c>
      <c r="I91" t="s">
        <v>39</v>
      </c>
      <c r="J91" t="s">
        <v>19</v>
      </c>
      <c r="K91" t="s">
        <v>40</v>
      </c>
      <c r="L91">
        <v>1</v>
      </c>
      <c r="M91">
        <v>1</v>
      </c>
      <c r="N91">
        <v>0</v>
      </c>
      <c r="O91" t="s">
        <v>21</v>
      </c>
      <c r="P91" t="str">
        <f>TEXT(Table1[[#This Row],[order_date]],"yyyy-mm")</f>
        <v>2025-11</v>
      </c>
      <c r="Q91">
        <f>WEEKNUM(Table1[[#This Row],[order_date]])</f>
        <v>46</v>
      </c>
      <c r="R91">
        <f>IF(Table1[[#This Row],[order_status]]="completed",1,0)</f>
        <v>1</v>
      </c>
    </row>
    <row r="92" spans="1:18" x14ac:dyDescent="0.35">
      <c r="A92">
        <v>91</v>
      </c>
      <c r="B92" s="1">
        <v>45949</v>
      </c>
      <c r="C92">
        <v>1864</v>
      </c>
      <c r="D92" t="s">
        <v>41</v>
      </c>
      <c r="E92" t="s">
        <v>23</v>
      </c>
      <c r="F92" t="s">
        <v>34</v>
      </c>
      <c r="G92">
        <v>1</v>
      </c>
      <c r="H92">
        <v>0</v>
      </c>
      <c r="I92" t="s">
        <v>35</v>
      </c>
      <c r="J92" t="s">
        <v>37</v>
      </c>
      <c r="K92" t="s">
        <v>38</v>
      </c>
      <c r="L92">
        <v>8</v>
      </c>
      <c r="M92">
        <v>0</v>
      </c>
      <c r="N92">
        <v>1</v>
      </c>
      <c r="O92" t="s">
        <v>21</v>
      </c>
      <c r="P92" t="str">
        <f>TEXT(Table1[[#This Row],[order_date]],"yyyy-mm")</f>
        <v>2025-10</v>
      </c>
      <c r="Q92">
        <f>WEEKNUM(Table1[[#This Row],[order_date]])</f>
        <v>43</v>
      </c>
      <c r="R92">
        <f>IF(Table1[[#This Row],[order_status]]="completed",1,0)</f>
        <v>0</v>
      </c>
    </row>
    <row r="93" spans="1:18" x14ac:dyDescent="0.35">
      <c r="A93">
        <v>92</v>
      </c>
      <c r="B93" s="1">
        <v>45857</v>
      </c>
      <c r="C93">
        <v>1879</v>
      </c>
      <c r="D93" t="s">
        <v>15</v>
      </c>
      <c r="E93" t="s">
        <v>16</v>
      </c>
      <c r="F93" t="s">
        <v>17</v>
      </c>
      <c r="G93">
        <v>2</v>
      </c>
      <c r="H93">
        <v>0</v>
      </c>
      <c r="I93" t="s">
        <v>35</v>
      </c>
      <c r="J93" t="s">
        <v>31</v>
      </c>
      <c r="K93" t="s">
        <v>26</v>
      </c>
      <c r="L93">
        <v>9</v>
      </c>
      <c r="M93">
        <v>1</v>
      </c>
      <c r="N93">
        <v>1</v>
      </c>
      <c r="O93" t="s">
        <v>27</v>
      </c>
      <c r="P93" t="str">
        <f>TEXT(Table1[[#This Row],[order_date]],"yyyy-mm")</f>
        <v>2025-07</v>
      </c>
      <c r="Q93">
        <f>WEEKNUM(Table1[[#This Row],[order_date]])</f>
        <v>29</v>
      </c>
      <c r="R93">
        <f>IF(Table1[[#This Row],[order_status]]="completed",1,0)</f>
        <v>0</v>
      </c>
    </row>
    <row r="94" spans="1:18" x14ac:dyDescent="0.35">
      <c r="A94">
        <v>93</v>
      </c>
      <c r="B94" s="1">
        <v>45952</v>
      </c>
      <c r="C94">
        <v>1134</v>
      </c>
      <c r="D94" t="s">
        <v>41</v>
      </c>
      <c r="E94" t="s">
        <v>33</v>
      </c>
      <c r="F94" t="s">
        <v>24</v>
      </c>
      <c r="G94">
        <v>3</v>
      </c>
      <c r="H94">
        <v>4701</v>
      </c>
      <c r="I94" t="s">
        <v>39</v>
      </c>
      <c r="J94" t="s">
        <v>19</v>
      </c>
      <c r="K94" t="s">
        <v>20</v>
      </c>
      <c r="L94">
        <v>10</v>
      </c>
      <c r="M94">
        <v>1</v>
      </c>
      <c r="N94">
        <v>1</v>
      </c>
      <c r="O94" t="s">
        <v>21</v>
      </c>
      <c r="P94" t="str">
        <f>TEXT(Table1[[#This Row],[order_date]],"yyyy-mm")</f>
        <v>2025-10</v>
      </c>
      <c r="Q94">
        <f>WEEKNUM(Table1[[#This Row],[order_date]])</f>
        <v>43</v>
      </c>
      <c r="R94">
        <f>IF(Table1[[#This Row],[order_status]]="completed",1,0)</f>
        <v>1</v>
      </c>
    </row>
    <row r="95" spans="1:18" x14ac:dyDescent="0.35">
      <c r="A95">
        <v>94</v>
      </c>
      <c r="B95" s="1">
        <v>46029</v>
      </c>
      <c r="C95">
        <v>1389</v>
      </c>
      <c r="D95" t="s">
        <v>22</v>
      </c>
      <c r="E95" t="s">
        <v>36</v>
      </c>
      <c r="F95" t="s">
        <v>24</v>
      </c>
      <c r="G95">
        <v>3</v>
      </c>
      <c r="H95">
        <v>0</v>
      </c>
      <c r="I95" t="s">
        <v>25</v>
      </c>
      <c r="J95" t="s">
        <v>31</v>
      </c>
      <c r="K95" t="s">
        <v>38</v>
      </c>
      <c r="L95">
        <v>2</v>
      </c>
      <c r="M95">
        <v>1</v>
      </c>
      <c r="N95">
        <v>1</v>
      </c>
      <c r="O95" t="s">
        <v>27</v>
      </c>
      <c r="P95" t="str">
        <f>TEXT(Table1[[#This Row],[order_date]],"yyyy-mm")</f>
        <v>2026-01</v>
      </c>
      <c r="Q95">
        <f>WEEKNUM(Table1[[#This Row],[order_date]])</f>
        <v>2</v>
      </c>
      <c r="R95">
        <f>IF(Table1[[#This Row],[order_status]]="completed",1,0)</f>
        <v>0</v>
      </c>
    </row>
    <row r="96" spans="1:18" x14ac:dyDescent="0.35">
      <c r="A96">
        <v>95</v>
      </c>
      <c r="B96" s="1">
        <v>45916</v>
      </c>
      <c r="C96">
        <v>1623</v>
      </c>
      <c r="D96" t="s">
        <v>41</v>
      </c>
      <c r="E96" t="s">
        <v>33</v>
      </c>
      <c r="F96" t="s">
        <v>30</v>
      </c>
      <c r="G96">
        <v>3</v>
      </c>
      <c r="H96">
        <v>5277</v>
      </c>
      <c r="I96" t="s">
        <v>18</v>
      </c>
      <c r="J96" t="s">
        <v>19</v>
      </c>
      <c r="K96" t="s">
        <v>40</v>
      </c>
      <c r="L96">
        <v>2</v>
      </c>
      <c r="M96">
        <v>1</v>
      </c>
      <c r="N96">
        <v>0</v>
      </c>
      <c r="O96" t="s">
        <v>21</v>
      </c>
      <c r="P96" t="str">
        <f>TEXT(Table1[[#This Row],[order_date]],"yyyy-mm")</f>
        <v>2025-09</v>
      </c>
      <c r="Q96">
        <f>WEEKNUM(Table1[[#This Row],[order_date]])</f>
        <v>38</v>
      </c>
      <c r="R96">
        <f>IF(Table1[[#This Row],[order_status]]="completed",1,0)</f>
        <v>1</v>
      </c>
    </row>
    <row r="97" spans="1:18" x14ac:dyDescent="0.35">
      <c r="A97">
        <v>96</v>
      </c>
      <c r="B97" s="1">
        <v>45927</v>
      </c>
      <c r="C97">
        <v>1069</v>
      </c>
      <c r="D97" t="s">
        <v>32</v>
      </c>
      <c r="E97" t="s">
        <v>29</v>
      </c>
      <c r="F97" t="s">
        <v>34</v>
      </c>
      <c r="G97">
        <v>1</v>
      </c>
      <c r="H97">
        <v>0</v>
      </c>
      <c r="I97" t="s">
        <v>25</v>
      </c>
      <c r="J97" t="s">
        <v>37</v>
      </c>
      <c r="K97" t="s">
        <v>38</v>
      </c>
      <c r="L97">
        <v>1</v>
      </c>
      <c r="M97">
        <v>0</v>
      </c>
      <c r="N97">
        <v>0</v>
      </c>
      <c r="O97" t="s">
        <v>21</v>
      </c>
      <c r="P97" t="str">
        <f>TEXT(Table1[[#This Row],[order_date]],"yyyy-mm")</f>
        <v>2025-09</v>
      </c>
      <c r="Q97">
        <f>WEEKNUM(Table1[[#This Row],[order_date]])</f>
        <v>39</v>
      </c>
      <c r="R97">
        <f>IF(Table1[[#This Row],[order_status]]="completed",1,0)</f>
        <v>0</v>
      </c>
    </row>
    <row r="98" spans="1:18" x14ac:dyDescent="0.35">
      <c r="A98">
        <v>97</v>
      </c>
      <c r="B98" s="1">
        <v>45902</v>
      </c>
      <c r="C98">
        <v>1699</v>
      </c>
      <c r="D98" t="s">
        <v>15</v>
      </c>
      <c r="E98" t="s">
        <v>16</v>
      </c>
      <c r="F98" t="s">
        <v>30</v>
      </c>
      <c r="G98">
        <v>4</v>
      </c>
      <c r="H98">
        <v>11620</v>
      </c>
      <c r="I98" t="s">
        <v>25</v>
      </c>
      <c r="J98" t="s">
        <v>19</v>
      </c>
      <c r="K98" t="s">
        <v>26</v>
      </c>
      <c r="L98">
        <v>2</v>
      </c>
      <c r="M98">
        <v>0</v>
      </c>
      <c r="N98">
        <v>1</v>
      </c>
      <c r="O98" t="s">
        <v>21</v>
      </c>
      <c r="P98" t="str">
        <f>TEXT(Table1[[#This Row],[order_date]],"yyyy-mm")</f>
        <v>2025-09</v>
      </c>
      <c r="Q98">
        <f>WEEKNUM(Table1[[#This Row],[order_date]])</f>
        <v>36</v>
      </c>
      <c r="R98">
        <f>IF(Table1[[#This Row],[order_status]]="completed",1,0)</f>
        <v>1</v>
      </c>
    </row>
    <row r="99" spans="1:18" x14ac:dyDescent="0.35">
      <c r="A99">
        <v>98</v>
      </c>
      <c r="B99" s="1">
        <v>45859</v>
      </c>
      <c r="C99">
        <v>1719</v>
      </c>
      <c r="D99" t="s">
        <v>41</v>
      </c>
      <c r="E99" t="s">
        <v>29</v>
      </c>
      <c r="F99" t="s">
        <v>24</v>
      </c>
      <c r="G99">
        <v>3</v>
      </c>
      <c r="H99">
        <v>4584</v>
      </c>
      <c r="I99" t="s">
        <v>25</v>
      </c>
      <c r="J99" t="s">
        <v>19</v>
      </c>
      <c r="K99" t="s">
        <v>20</v>
      </c>
      <c r="L99">
        <v>6</v>
      </c>
      <c r="M99">
        <v>0</v>
      </c>
      <c r="N99">
        <v>1</v>
      </c>
      <c r="O99" t="s">
        <v>27</v>
      </c>
      <c r="P99" t="str">
        <f>TEXT(Table1[[#This Row],[order_date]],"yyyy-mm")</f>
        <v>2025-07</v>
      </c>
      <c r="Q99">
        <f>WEEKNUM(Table1[[#This Row],[order_date]])</f>
        <v>30</v>
      </c>
      <c r="R99">
        <f>IF(Table1[[#This Row],[order_status]]="completed",1,0)</f>
        <v>1</v>
      </c>
    </row>
    <row r="100" spans="1:18" x14ac:dyDescent="0.35">
      <c r="A100">
        <v>99</v>
      </c>
      <c r="B100" s="1">
        <v>45906</v>
      </c>
      <c r="C100">
        <v>1336</v>
      </c>
      <c r="D100" t="s">
        <v>22</v>
      </c>
      <c r="E100" t="s">
        <v>16</v>
      </c>
      <c r="F100" t="s">
        <v>30</v>
      </c>
      <c r="G100">
        <v>5</v>
      </c>
      <c r="H100">
        <v>0</v>
      </c>
      <c r="I100" t="s">
        <v>35</v>
      </c>
      <c r="J100" t="s">
        <v>31</v>
      </c>
      <c r="K100" t="s">
        <v>40</v>
      </c>
      <c r="L100">
        <v>8</v>
      </c>
      <c r="M100">
        <v>1</v>
      </c>
      <c r="N100">
        <v>0</v>
      </c>
      <c r="O100" t="s">
        <v>21</v>
      </c>
      <c r="P100" t="str">
        <f>TEXT(Table1[[#This Row],[order_date]],"yyyy-mm")</f>
        <v>2025-09</v>
      </c>
      <c r="Q100">
        <f>WEEKNUM(Table1[[#This Row],[order_date]])</f>
        <v>36</v>
      </c>
      <c r="R100">
        <f>IF(Table1[[#This Row],[order_status]]="completed",1,0)</f>
        <v>0</v>
      </c>
    </row>
    <row r="101" spans="1:18" x14ac:dyDescent="0.35">
      <c r="A101">
        <v>100</v>
      </c>
      <c r="B101" s="1">
        <v>45862</v>
      </c>
      <c r="C101">
        <v>1509</v>
      </c>
      <c r="D101" t="s">
        <v>22</v>
      </c>
      <c r="E101" t="s">
        <v>33</v>
      </c>
      <c r="F101" t="s">
        <v>30</v>
      </c>
      <c r="G101">
        <v>1</v>
      </c>
      <c r="H101">
        <v>1288</v>
      </c>
      <c r="I101" t="s">
        <v>39</v>
      </c>
      <c r="J101" t="s">
        <v>19</v>
      </c>
      <c r="K101" t="s">
        <v>20</v>
      </c>
      <c r="L101">
        <v>2</v>
      </c>
      <c r="M101">
        <v>0</v>
      </c>
      <c r="N101">
        <v>1</v>
      </c>
      <c r="O101" t="s">
        <v>21</v>
      </c>
      <c r="P101" t="str">
        <f>TEXT(Table1[[#This Row],[order_date]],"yyyy-mm")</f>
        <v>2025-07</v>
      </c>
      <c r="Q101">
        <f>WEEKNUM(Table1[[#This Row],[order_date]])</f>
        <v>30</v>
      </c>
      <c r="R101">
        <f>IF(Table1[[#This Row],[order_status]]="completed",1,0)</f>
        <v>1</v>
      </c>
    </row>
    <row r="102" spans="1:18" x14ac:dyDescent="0.35">
      <c r="A102">
        <v>101</v>
      </c>
      <c r="B102" s="1">
        <v>45877</v>
      </c>
      <c r="C102">
        <v>1130</v>
      </c>
      <c r="D102" t="s">
        <v>41</v>
      </c>
      <c r="E102" t="s">
        <v>23</v>
      </c>
      <c r="F102" t="s">
        <v>30</v>
      </c>
      <c r="G102">
        <v>4</v>
      </c>
      <c r="H102">
        <v>6920</v>
      </c>
      <c r="I102" t="s">
        <v>39</v>
      </c>
      <c r="J102" t="s">
        <v>19</v>
      </c>
      <c r="K102" t="s">
        <v>26</v>
      </c>
      <c r="L102">
        <v>6</v>
      </c>
      <c r="M102">
        <v>0</v>
      </c>
      <c r="N102">
        <v>0</v>
      </c>
      <c r="O102" t="s">
        <v>21</v>
      </c>
      <c r="P102" t="str">
        <f>TEXT(Table1[[#This Row],[order_date]],"yyyy-mm")</f>
        <v>2025-08</v>
      </c>
      <c r="Q102">
        <f>WEEKNUM(Table1[[#This Row],[order_date]])</f>
        <v>32</v>
      </c>
      <c r="R102">
        <f>IF(Table1[[#This Row],[order_status]]="completed",1,0)</f>
        <v>1</v>
      </c>
    </row>
    <row r="103" spans="1:18" x14ac:dyDescent="0.35">
      <c r="A103">
        <v>102</v>
      </c>
      <c r="B103" s="1">
        <v>45933</v>
      </c>
      <c r="C103">
        <v>1960</v>
      </c>
      <c r="D103" t="s">
        <v>28</v>
      </c>
      <c r="E103" t="s">
        <v>33</v>
      </c>
      <c r="F103" t="s">
        <v>17</v>
      </c>
      <c r="G103">
        <v>5</v>
      </c>
      <c r="H103">
        <v>15345</v>
      </c>
      <c r="I103" t="s">
        <v>25</v>
      </c>
      <c r="J103" t="s">
        <v>19</v>
      </c>
      <c r="K103" t="s">
        <v>20</v>
      </c>
      <c r="L103">
        <v>10</v>
      </c>
      <c r="M103">
        <v>0</v>
      </c>
      <c r="N103">
        <v>1</v>
      </c>
      <c r="O103" t="s">
        <v>21</v>
      </c>
      <c r="P103" t="str">
        <f>TEXT(Table1[[#This Row],[order_date]],"yyyy-mm")</f>
        <v>2025-10</v>
      </c>
      <c r="Q103">
        <f>WEEKNUM(Table1[[#This Row],[order_date]])</f>
        <v>40</v>
      </c>
      <c r="R103">
        <f>IF(Table1[[#This Row],[order_status]]="completed",1,0)</f>
        <v>1</v>
      </c>
    </row>
    <row r="104" spans="1:18" x14ac:dyDescent="0.35">
      <c r="A104">
        <v>103</v>
      </c>
      <c r="B104" s="1">
        <v>45872</v>
      </c>
      <c r="C104">
        <v>1579</v>
      </c>
      <c r="D104" t="s">
        <v>28</v>
      </c>
      <c r="E104" t="s">
        <v>29</v>
      </c>
      <c r="F104" t="s">
        <v>24</v>
      </c>
      <c r="G104">
        <v>3</v>
      </c>
      <c r="H104">
        <v>0</v>
      </c>
      <c r="I104" t="s">
        <v>35</v>
      </c>
      <c r="J104" t="s">
        <v>31</v>
      </c>
      <c r="K104" t="s">
        <v>26</v>
      </c>
      <c r="L104">
        <v>10</v>
      </c>
      <c r="M104">
        <v>0</v>
      </c>
      <c r="N104">
        <v>0</v>
      </c>
      <c r="O104" t="s">
        <v>27</v>
      </c>
      <c r="P104" t="str">
        <f>TEXT(Table1[[#This Row],[order_date]],"yyyy-mm")</f>
        <v>2025-08</v>
      </c>
      <c r="Q104">
        <f>WEEKNUM(Table1[[#This Row],[order_date]])</f>
        <v>32</v>
      </c>
      <c r="R104">
        <f>IF(Table1[[#This Row],[order_status]]="completed",1,0)</f>
        <v>0</v>
      </c>
    </row>
    <row r="105" spans="1:18" x14ac:dyDescent="0.35">
      <c r="A105">
        <v>104</v>
      </c>
      <c r="B105" s="1">
        <v>45934</v>
      </c>
      <c r="C105">
        <v>1317</v>
      </c>
      <c r="D105" t="s">
        <v>32</v>
      </c>
      <c r="E105" t="s">
        <v>29</v>
      </c>
      <c r="F105" t="s">
        <v>24</v>
      </c>
      <c r="G105">
        <v>4</v>
      </c>
      <c r="H105">
        <v>0</v>
      </c>
      <c r="I105" t="s">
        <v>39</v>
      </c>
      <c r="J105" t="s">
        <v>31</v>
      </c>
      <c r="K105" t="s">
        <v>40</v>
      </c>
      <c r="L105">
        <v>3</v>
      </c>
      <c r="M105">
        <v>0</v>
      </c>
      <c r="N105">
        <v>1</v>
      </c>
      <c r="O105" t="s">
        <v>21</v>
      </c>
      <c r="P105" t="str">
        <f>TEXT(Table1[[#This Row],[order_date]],"yyyy-mm")</f>
        <v>2025-10</v>
      </c>
      <c r="Q105">
        <f>WEEKNUM(Table1[[#This Row],[order_date]])</f>
        <v>40</v>
      </c>
      <c r="R105">
        <f>IF(Table1[[#This Row],[order_status]]="completed",1,0)</f>
        <v>0</v>
      </c>
    </row>
    <row r="106" spans="1:18" x14ac:dyDescent="0.35">
      <c r="A106">
        <v>105</v>
      </c>
      <c r="B106" s="1">
        <v>45997</v>
      </c>
      <c r="C106">
        <v>1988</v>
      </c>
      <c r="D106" t="s">
        <v>41</v>
      </c>
      <c r="E106" t="s">
        <v>29</v>
      </c>
      <c r="F106" t="s">
        <v>30</v>
      </c>
      <c r="G106">
        <v>4</v>
      </c>
      <c r="H106">
        <v>0</v>
      </c>
      <c r="I106" t="s">
        <v>39</v>
      </c>
      <c r="J106" t="s">
        <v>37</v>
      </c>
      <c r="K106" t="s">
        <v>26</v>
      </c>
      <c r="L106">
        <v>9</v>
      </c>
      <c r="M106">
        <v>1</v>
      </c>
      <c r="N106">
        <v>1</v>
      </c>
      <c r="O106" t="s">
        <v>21</v>
      </c>
      <c r="P106" t="str">
        <f>TEXT(Table1[[#This Row],[order_date]],"yyyy-mm")</f>
        <v>2025-12</v>
      </c>
      <c r="Q106">
        <f>WEEKNUM(Table1[[#This Row],[order_date]])</f>
        <v>49</v>
      </c>
      <c r="R106">
        <f>IF(Table1[[#This Row],[order_status]]="completed",1,0)</f>
        <v>0</v>
      </c>
    </row>
    <row r="107" spans="1:18" x14ac:dyDescent="0.35">
      <c r="A107">
        <v>106</v>
      </c>
      <c r="B107" s="1">
        <v>45936</v>
      </c>
      <c r="C107">
        <v>1295</v>
      </c>
      <c r="D107" t="s">
        <v>41</v>
      </c>
      <c r="E107" t="s">
        <v>16</v>
      </c>
      <c r="F107" t="s">
        <v>30</v>
      </c>
      <c r="G107">
        <v>2</v>
      </c>
      <c r="H107">
        <v>8568</v>
      </c>
      <c r="I107" t="s">
        <v>18</v>
      </c>
      <c r="J107" t="s">
        <v>19</v>
      </c>
      <c r="K107" t="s">
        <v>26</v>
      </c>
      <c r="L107">
        <v>2</v>
      </c>
      <c r="M107">
        <v>1</v>
      </c>
      <c r="N107">
        <v>1</v>
      </c>
      <c r="O107" t="s">
        <v>27</v>
      </c>
      <c r="P107" t="str">
        <f>TEXT(Table1[[#This Row],[order_date]],"yyyy-mm")</f>
        <v>2025-10</v>
      </c>
      <c r="Q107">
        <f>WEEKNUM(Table1[[#This Row],[order_date]])</f>
        <v>41</v>
      </c>
      <c r="R107">
        <f>IF(Table1[[#This Row],[order_status]]="completed",1,0)</f>
        <v>1</v>
      </c>
    </row>
    <row r="108" spans="1:18" x14ac:dyDescent="0.35">
      <c r="A108">
        <v>107</v>
      </c>
      <c r="B108" s="1">
        <v>45964</v>
      </c>
      <c r="C108">
        <v>1905</v>
      </c>
      <c r="D108" t="s">
        <v>41</v>
      </c>
      <c r="E108" t="s">
        <v>16</v>
      </c>
      <c r="F108" t="s">
        <v>17</v>
      </c>
      <c r="G108">
        <v>5</v>
      </c>
      <c r="H108">
        <v>0</v>
      </c>
      <c r="I108" t="s">
        <v>25</v>
      </c>
      <c r="J108" t="s">
        <v>31</v>
      </c>
      <c r="K108" t="s">
        <v>26</v>
      </c>
      <c r="L108">
        <v>4</v>
      </c>
      <c r="M108">
        <v>1</v>
      </c>
      <c r="N108">
        <v>1</v>
      </c>
      <c r="O108" t="s">
        <v>27</v>
      </c>
      <c r="P108" t="str">
        <f>TEXT(Table1[[#This Row],[order_date]],"yyyy-mm")</f>
        <v>2025-11</v>
      </c>
      <c r="Q108">
        <f>WEEKNUM(Table1[[#This Row],[order_date]])</f>
        <v>45</v>
      </c>
      <c r="R108">
        <f>IF(Table1[[#This Row],[order_status]]="completed",1,0)</f>
        <v>0</v>
      </c>
    </row>
    <row r="109" spans="1:18" x14ac:dyDescent="0.35">
      <c r="A109">
        <v>108</v>
      </c>
      <c r="B109" s="1">
        <v>45853</v>
      </c>
      <c r="C109">
        <v>1026</v>
      </c>
      <c r="D109" t="s">
        <v>32</v>
      </c>
      <c r="E109" t="s">
        <v>36</v>
      </c>
      <c r="F109" t="s">
        <v>34</v>
      </c>
      <c r="G109">
        <v>2</v>
      </c>
      <c r="H109">
        <v>0</v>
      </c>
      <c r="I109" t="s">
        <v>25</v>
      </c>
      <c r="J109" t="s">
        <v>37</v>
      </c>
      <c r="K109" t="s">
        <v>40</v>
      </c>
      <c r="L109">
        <v>10</v>
      </c>
      <c r="M109">
        <v>0</v>
      </c>
      <c r="N109">
        <v>1</v>
      </c>
      <c r="O109" t="s">
        <v>27</v>
      </c>
      <c r="P109" t="str">
        <f>TEXT(Table1[[#This Row],[order_date]],"yyyy-mm")</f>
        <v>2025-07</v>
      </c>
      <c r="Q109">
        <f>WEEKNUM(Table1[[#This Row],[order_date]])</f>
        <v>29</v>
      </c>
      <c r="R109">
        <f>IF(Table1[[#This Row],[order_status]]="completed",1,0)</f>
        <v>0</v>
      </c>
    </row>
    <row r="110" spans="1:18" x14ac:dyDescent="0.35">
      <c r="A110">
        <v>109</v>
      </c>
      <c r="B110" s="1">
        <v>45883</v>
      </c>
      <c r="C110">
        <v>1036</v>
      </c>
      <c r="D110" t="s">
        <v>15</v>
      </c>
      <c r="E110" t="s">
        <v>16</v>
      </c>
      <c r="F110" t="s">
        <v>30</v>
      </c>
      <c r="G110">
        <v>1</v>
      </c>
      <c r="H110">
        <v>0</v>
      </c>
      <c r="I110" t="s">
        <v>39</v>
      </c>
      <c r="J110" t="s">
        <v>37</v>
      </c>
      <c r="K110" t="s">
        <v>40</v>
      </c>
      <c r="L110">
        <v>5</v>
      </c>
      <c r="M110">
        <v>1</v>
      </c>
      <c r="N110">
        <v>0</v>
      </c>
      <c r="O110" t="s">
        <v>21</v>
      </c>
      <c r="P110" t="str">
        <f>TEXT(Table1[[#This Row],[order_date]],"yyyy-mm")</f>
        <v>2025-08</v>
      </c>
      <c r="Q110">
        <f>WEEKNUM(Table1[[#This Row],[order_date]])</f>
        <v>33</v>
      </c>
      <c r="R110">
        <f>IF(Table1[[#This Row],[order_status]]="completed",1,0)</f>
        <v>0</v>
      </c>
    </row>
    <row r="111" spans="1:18" x14ac:dyDescent="0.35">
      <c r="A111">
        <v>110</v>
      </c>
      <c r="B111" s="1">
        <v>46027</v>
      </c>
      <c r="C111">
        <v>1143</v>
      </c>
      <c r="D111" t="s">
        <v>22</v>
      </c>
      <c r="E111" t="s">
        <v>23</v>
      </c>
      <c r="F111" t="s">
        <v>24</v>
      </c>
      <c r="G111">
        <v>5</v>
      </c>
      <c r="H111">
        <v>13700</v>
      </c>
      <c r="I111" t="s">
        <v>18</v>
      </c>
      <c r="J111" t="s">
        <v>19</v>
      </c>
      <c r="K111" t="s">
        <v>40</v>
      </c>
      <c r="L111">
        <v>8</v>
      </c>
      <c r="M111">
        <v>0</v>
      </c>
      <c r="N111">
        <v>1</v>
      </c>
      <c r="O111" t="s">
        <v>27</v>
      </c>
      <c r="P111" t="str">
        <f>TEXT(Table1[[#This Row],[order_date]],"yyyy-mm")</f>
        <v>2026-01</v>
      </c>
      <c r="Q111">
        <f>WEEKNUM(Table1[[#This Row],[order_date]])</f>
        <v>2</v>
      </c>
      <c r="R111">
        <f>IF(Table1[[#This Row],[order_status]]="completed",1,0)</f>
        <v>1</v>
      </c>
    </row>
    <row r="112" spans="1:18" x14ac:dyDescent="0.35">
      <c r="A112">
        <v>111</v>
      </c>
      <c r="B112" s="1">
        <v>45935</v>
      </c>
      <c r="C112">
        <v>1364</v>
      </c>
      <c r="D112" t="s">
        <v>32</v>
      </c>
      <c r="E112" t="s">
        <v>23</v>
      </c>
      <c r="F112" t="s">
        <v>24</v>
      </c>
      <c r="G112">
        <v>4</v>
      </c>
      <c r="H112">
        <v>0</v>
      </c>
      <c r="I112" t="s">
        <v>35</v>
      </c>
      <c r="J112" t="s">
        <v>37</v>
      </c>
      <c r="K112" t="s">
        <v>26</v>
      </c>
      <c r="L112">
        <v>3</v>
      </c>
      <c r="M112">
        <v>1</v>
      </c>
      <c r="N112">
        <v>0</v>
      </c>
      <c r="O112" t="s">
        <v>21</v>
      </c>
      <c r="P112" t="str">
        <f>TEXT(Table1[[#This Row],[order_date]],"yyyy-mm")</f>
        <v>2025-10</v>
      </c>
      <c r="Q112">
        <f>WEEKNUM(Table1[[#This Row],[order_date]])</f>
        <v>41</v>
      </c>
      <c r="R112">
        <f>IF(Table1[[#This Row],[order_status]]="completed",1,0)</f>
        <v>0</v>
      </c>
    </row>
    <row r="113" spans="1:18" x14ac:dyDescent="0.35">
      <c r="A113">
        <v>112</v>
      </c>
      <c r="B113" s="1">
        <v>45916</v>
      </c>
      <c r="C113">
        <v>1564</v>
      </c>
      <c r="D113" t="s">
        <v>32</v>
      </c>
      <c r="E113" t="s">
        <v>16</v>
      </c>
      <c r="F113" t="s">
        <v>17</v>
      </c>
      <c r="G113">
        <v>2</v>
      </c>
      <c r="H113">
        <v>1622</v>
      </c>
      <c r="I113" t="s">
        <v>39</v>
      </c>
      <c r="J113" t="s">
        <v>19</v>
      </c>
      <c r="K113" t="s">
        <v>38</v>
      </c>
      <c r="L113">
        <v>2</v>
      </c>
      <c r="M113">
        <v>0</v>
      </c>
      <c r="N113">
        <v>1</v>
      </c>
      <c r="O113" t="s">
        <v>27</v>
      </c>
      <c r="P113" t="str">
        <f>TEXT(Table1[[#This Row],[order_date]],"yyyy-mm")</f>
        <v>2025-09</v>
      </c>
      <c r="Q113">
        <f>WEEKNUM(Table1[[#This Row],[order_date]])</f>
        <v>38</v>
      </c>
      <c r="R113">
        <f>IF(Table1[[#This Row],[order_status]]="completed",1,0)</f>
        <v>1</v>
      </c>
    </row>
    <row r="114" spans="1:18" x14ac:dyDescent="0.35">
      <c r="A114">
        <v>113</v>
      </c>
      <c r="B114" s="1">
        <v>45975</v>
      </c>
      <c r="C114">
        <v>1125</v>
      </c>
      <c r="D114" t="s">
        <v>41</v>
      </c>
      <c r="E114" t="s">
        <v>33</v>
      </c>
      <c r="F114" t="s">
        <v>34</v>
      </c>
      <c r="G114">
        <v>1</v>
      </c>
      <c r="H114">
        <v>4839</v>
      </c>
      <c r="I114" t="s">
        <v>35</v>
      </c>
      <c r="J114" t="s">
        <v>19</v>
      </c>
      <c r="K114" t="s">
        <v>20</v>
      </c>
      <c r="L114">
        <v>8</v>
      </c>
      <c r="M114">
        <v>1</v>
      </c>
      <c r="N114">
        <v>1</v>
      </c>
      <c r="O114" t="s">
        <v>21</v>
      </c>
      <c r="P114" t="str">
        <f>TEXT(Table1[[#This Row],[order_date]],"yyyy-mm")</f>
        <v>2025-11</v>
      </c>
      <c r="Q114">
        <f>WEEKNUM(Table1[[#This Row],[order_date]])</f>
        <v>46</v>
      </c>
      <c r="R114">
        <f>IF(Table1[[#This Row],[order_status]]="completed",1,0)</f>
        <v>1</v>
      </c>
    </row>
    <row r="115" spans="1:18" x14ac:dyDescent="0.35">
      <c r="A115">
        <v>114</v>
      </c>
      <c r="B115" s="1">
        <v>46013</v>
      </c>
      <c r="C115">
        <v>1236</v>
      </c>
      <c r="D115" t="s">
        <v>15</v>
      </c>
      <c r="E115" t="s">
        <v>33</v>
      </c>
      <c r="F115" t="s">
        <v>34</v>
      </c>
      <c r="G115">
        <v>1</v>
      </c>
      <c r="H115">
        <v>4516</v>
      </c>
      <c r="I115" t="s">
        <v>39</v>
      </c>
      <c r="J115" t="s">
        <v>19</v>
      </c>
      <c r="K115" t="s">
        <v>40</v>
      </c>
      <c r="L115">
        <v>6</v>
      </c>
      <c r="M115">
        <v>0</v>
      </c>
      <c r="N115">
        <v>1</v>
      </c>
      <c r="O115" t="s">
        <v>21</v>
      </c>
      <c r="P115" t="str">
        <f>TEXT(Table1[[#This Row],[order_date]],"yyyy-mm")</f>
        <v>2025-12</v>
      </c>
      <c r="Q115">
        <f>WEEKNUM(Table1[[#This Row],[order_date]])</f>
        <v>52</v>
      </c>
      <c r="R115">
        <f>IF(Table1[[#This Row],[order_status]]="completed",1,0)</f>
        <v>1</v>
      </c>
    </row>
    <row r="116" spans="1:18" x14ac:dyDescent="0.35">
      <c r="A116">
        <v>115</v>
      </c>
      <c r="B116" s="1">
        <v>45876</v>
      </c>
      <c r="C116">
        <v>1317</v>
      </c>
      <c r="D116" t="s">
        <v>32</v>
      </c>
      <c r="E116" t="s">
        <v>33</v>
      </c>
      <c r="F116" t="s">
        <v>30</v>
      </c>
      <c r="G116">
        <v>4</v>
      </c>
      <c r="H116">
        <v>1020</v>
      </c>
      <c r="I116" t="s">
        <v>35</v>
      </c>
      <c r="J116" t="s">
        <v>19</v>
      </c>
      <c r="K116" t="s">
        <v>40</v>
      </c>
      <c r="L116">
        <v>2</v>
      </c>
      <c r="M116">
        <v>0</v>
      </c>
      <c r="N116">
        <v>0</v>
      </c>
      <c r="O116" t="s">
        <v>21</v>
      </c>
      <c r="P116" t="str">
        <f>TEXT(Table1[[#This Row],[order_date]],"yyyy-mm")</f>
        <v>2025-08</v>
      </c>
      <c r="Q116">
        <f>WEEKNUM(Table1[[#This Row],[order_date]])</f>
        <v>32</v>
      </c>
      <c r="R116">
        <f>IF(Table1[[#This Row],[order_status]]="completed",1,0)</f>
        <v>1</v>
      </c>
    </row>
    <row r="117" spans="1:18" x14ac:dyDescent="0.35">
      <c r="A117">
        <v>116</v>
      </c>
      <c r="B117" s="1">
        <v>45998</v>
      </c>
      <c r="C117">
        <v>1481</v>
      </c>
      <c r="D117" t="s">
        <v>22</v>
      </c>
      <c r="E117" t="s">
        <v>16</v>
      </c>
      <c r="F117" t="s">
        <v>17</v>
      </c>
      <c r="G117">
        <v>3</v>
      </c>
      <c r="H117">
        <v>924</v>
      </c>
      <c r="I117" t="s">
        <v>39</v>
      </c>
      <c r="J117" t="s">
        <v>19</v>
      </c>
      <c r="K117" t="s">
        <v>26</v>
      </c>
      <c r="L117">
        <v>8</v>
      </c>
      <c r="M117">
        <v>0</v>
      </c>
      <c r="N117">
        <v>0</v>
      </c>
      <c r="O117" t="s">
        <v>21</v>
      </c>
      <c r="P117" t="str">
        <f>TEXT(Table1[[#This Row],[order_date]],"yyyy-mm")</f>
        <v>2025-12</v>
      </c>
      <c r="Q117">
        <f>WEEKNUM(Table1[[#This Row],[order_date]])</f>
        <v>50</v>
      </c>
      <c r="R117">
        <f>IF(Table1[[#This Row],[order_status]]="completed",1,0)</f>
        <v>1</v>
      </c>
    </row>
    <row r="118" spans="1:18" x14ac:dyDescent="0.35">
      <c r="A118">
        <v>117</v>
      </c>
      <c r="B118" s="1">
        <v>45915</v>
      </c>
      <c r="C118">
        <v>1329</v>
      </c>
      <c r="D118" t="s">
        <v>41</v>
      </c>
      <c r="E118" t="s">
        <v>33</v>
      </c>
      <c r="F118" t="s">
        <v>24</v>
      </c>
      <c r="G118">
        <v>5</v>
      </c>
      <c r="H118">
        <v>0</v>
      </c>
      <c r="I118" t="s">
        <v>35</v>
      </c>
      <c r="J118" t="s">
        <v>31</v>
      </c>
      <c r="K118" t="s">
        <v>26</v>
      </c>
      <c r="L118">
        <v>8</v>
      </c>
      <c r="M118">
        <v>1</v>
      </c>
      <c r="N118">
        <v>1</v>
      </c>
      <c r="O118" t="s">
        <v>21</v>
      </c>
      <c r="P118" t="str">
        <f>TEXT(Table1[[#This Row],[order_date]],"yyyy-mm")</f>
        <v>2025-09</v>
      </c>
      <c r="Q118">
        <f>WEEKNUM(Table1[[#This Row],[order_date]])</f>
        <v>38</v>
      </c>
      <c r="R118">
        <f>IF(Table1[[#This Row],[order_status]]="completed",1,0)</f>
        <v>0</v>
      </c>
    </row>
    <row r="119" spans="1:18" x14ac:dyDescent="0.35">
      <c r="A119">
        <v>118</v>
      </c>
      <c r="B119" s="1">
        <v>46011</v>
      </c>
      <c r="C119">
        <v>1313</v>
      </c>
      <c r="D119" t="s">
        <v>28</v>
      </c>
      <c r="E119" t="s">
        <v>36</v>
      </c>
      <c r="F119" t="s">
        <v>24</v>
      </c>
      <c r="G119">
        <v>4</v>
      </c>
      <c r="H119">
        <v>4736</v>
      </c>
      <c r="I119" t="s">
        <v>25</v>
      </c>
      <c r="J119" t="s">
        <v>19</v>
      </c>
      <c r="K119" t="s">
        <v>20</v>
      </c>
      <c r="L119">
        <v>9</v>
      </c>
      <c r="M119">
        <v>0</v>
      </c>
      <c r="N119">
        <v>1</v>
      </c>
      <c r="O119" t="s">
        <v>21</v>
      </c>
      <c r="P119" t="str">
        <f>TEXT(Table1[[#This Row],[order_date]],"yyyy-mm")</f>
        <v>2025-12</v>
      </c>
      <c r="Q119">
        <f>WEEKNUM(Table1[[#This Row],[order_date]])</f>
        <v>51</v>
      </c>
      <c r="R119">
        <f>IF(Table1[[#This Row],[order_status]]="completed",1,0)</f>
        <v>1</v>
      </c>
    </row>
    <row r="120" spans="1:18" x14ac:dyDescent="0.35">
      <c r="A120">
        <v>119</v>
      </c>
      <c r="B120" s="1">
        <v>46018</v>
      </c>
      <c r="C120">
        <v>1166</v>
      </c>
      <c r="D120" t="s">
        <v>22</v>
      </c>
      <c r="E120" t="s">
        <v>33</v>
      </c>
      <c r="F120" t="s">
        <v>30</v>
      </c>
      <c r="G120">
        <v>3</v>
      </c>
      <c r="H120">
        <v>0</v>
      </c>
      <c r="I120" t="s">
        <v>39</v>
      </c>
      <c r="J120" t="s">
        <v>31</v>
      </c>
      <c r="K120" t="s">
        <v>20</v>
      </c>
      <c r="L120">
        <v>2</v>
      </c>
      <c r="M120">
        <v>0</v>
      </c>
      <c r="N120">
        <v>0</v>
      </c>
      <c r="O120" t="s">
        <v>27</v>
      </c>
      <c r="P120" t="str">
        <f>TEXT(Table1[[#This Row],[order_date]],"yyyy-mm")</f>
        <v>2025-12</v>
      </c>
      <c r="Q120">
        <f>WEEKNUM(Table1[[#This Row],[order_date]])</f>
        <v>52</v>
      </c>
      <c r="R120">
        <f>IF(Table1[[#This Row],[order_status]]="completed",1,0)</f>
        <v>0</v>
      </c>
    </row>
    <row r="121" spans="1:18" x14ac:dyDescent="0.35">
      <c r="A121">
        <v>120</v>
      </c>
      <c r="B121" s="1">
        <v>45872</v>
      </c>
      <c r="C121">
        <v>1608</v>
      </c>
      <c r="D121" t="s">
        <v>28</v>
      </c>
      <c r="E121" t="s">
        <v>36</v>
      </c>
      <c r="F121" t="s">
        <v>17</v>
      </c>
      <c r="G121">
        <v>5</v>
      </c>
      <c r="H121">
        <v>6890</v>
      </c>
      <c r="I121" t="s">
        <v>39</v>
      </c>
      <c r="J121" t="s">
        <v>19</v>
      </c>
      <c r="K121" t="s">
        <v>38</v>
      </c>
      <c r="L121">
        <v>2</v>
      </c>
      <c r="M121">
        <v>0</v>
      </c>
      <c r="N121">
        <v>0</v>
      </c>
      <c r="O121" t="s">
        <v>21</v>
      </c>
      <c r="P121" t="str">
        <f>TEXT(Table1[[#This Row],[order_date]],"yyyy-mm")</f>
        <v>2025-08</v>
      </c>
      <c r="Q121">
        <f>WEEKNUM(Table1[[#This Row],[order_date]])</f>
        <v>32</v>
      </c>
      <c r="R121">
        <f>IF(Table1[[#This Row],[order_status]]="completed",1,0)</f>
        <v>1</v>
      </c>
    </row>
    <row r="122" spans="1:18" x14ac:dyDescent="0.35">
      <c r="A122">
        <v>121</v>
      </c>
      <c r="B122" s="1">
        <v>45903</v>
      </c>
      <c r="C122">
        <v>1264</v>
      </c>
      <c r="D122" t="s">
        <v>15</v>
      </c>
      <c r="E122" t="s">
        <v>29</v>
      </c>
      <c r="F122" t="s">
        <v>34</v>
      </c>
      <c r="G122">
        <v>2</v>
      </c>
      <c r="H122">
        <v>0</v>
      </c>
      <c r="I122" t="s">
        <v>35</v>
      </c>
      <c r="J122" t="s">
        <v>37</v>
      </c>
      <c r="K122" t="s">
        <v>20</v>
      </c>
      <c r="L122">
        <v>7</v>
      </c>
      <c r="M122">
        <v>1</v>
      </c>
      <c r="N122">
        <v>1</v>
      </c>
      <c r="O122" t="s">
        <v>27</v>
      </c>
      <c r="P122" t="str">
        <f>TEXT(Table1[[#This Row],[order_date]],"yyyy-mm")</f>
        <v>2025-09</v>
      </c>
      <c r="Q122">
        <f>WEEKNUM(Table1[[#This Row],[order_date]])</f>
        <v>36</v>
      </c>
      <c r="R122">
        <f>IF(Table1[[#This Row],[order_status]]="completed",1,0)</f>
        <v>0</v>
      </c>
    </row>
    <row r="123" spans="1:18" x14ac:dyDescent="0.35">
      <c r="A123">
        <v>122</v>
      </c>
      <c r="B123" s="1">
        <v>46028</v>
      </c>
      <c r="C123">
        <v>1117</v>
      </c>
      <c r="D123" t="s">
        <v>32</v>
      </c>
      <c r="E123" t="s">
        <v>33</v>
      </c>
      <c r="F123" t="s">
        <v>17</v>
      </c>
      <c r="G123">
        <v>2</v>
      </c>
      <c r="H123">
        <v>0</v>
      </c>
      <c r="I123" t="s">
        <v>25</v>
      </c>
      <c r="J123" t="s">
        <v>37</v>
      </c>
      <c r="K123" t="s">
        <v>26</v>
      </c>
      <c r="L123">
        <v>4</v>
      </c>
      <c r="M123">
        <v>1</v>
      </c>
      <c r="N123">
        <v>1</v>
      </c>
      <c r="O123" t="s">
        <v>27</v>
      </c>
      <c r="P123" t="str">
        <f>TEXT(Table1[[#This Row],[order_date]],"yyyy-mm")</f>
        <v>2026-01</v>
      </c>
      <c r="Q123">
        <f>WEEKNUM(Table1[[#This Row],[order_date]])</f>
        <v>2</v>
      </c>
      <c r="R123">
        <f>IF(Table1[[#This Row],[order_status]]="completed",1,0)</f>
        <v>0</v>
      </c>
    </row>
    <row r="124" spans="1:18" x14ac:dyDescent="0.35">
      <c r="A124">
        <v>123</v>
      </c>
      <c r="B124" s="1">
        <v>45874</v>
      </c>
      <c r="C124">
        <v>1881</v>
      </c>
      <c r="D124" t="s">
        <v>22</v>
      </c>
      <c r="E124" t="s">
        <v>36</v>
      </c>
      <c r="F124" t="s">
        <v>34</v>
      </c>
      <c r="G124">
        <v>1</v>
      </c>
      <c r="H124">
        <v>859</v>
      </c>
      <c r="I124" t="s">
        <v>18</v>
      </c>
      <c r="J124" t="s">
        <v>19</v>
      </c>
      <c r="K124" t="s">
        <v>38</v>
      </c>
      <c r="L124">
        <v>2</v>
      </c>
      <c r="M124">
        <v>1</v>
      </c>
      <c r="N124">
        <v>1</v>
      </c>
      <c r="O124" t="s">
        <v>27</v>
      </c>
      <c r="P124" t="str">
        <f>TEXT(Table1[[#This Row],[order_date]],"yyyy-mm")</f>
        <v>2025-08</v>
      </c>
      <c r="Q124">
        <f>WEEKNUM(Table1[[#This Row],[order_date]])</f>
        <v>32</v>
      </c>
      <c r="R124">
        <f>IF(Table1[[#This Row],[order_status]]="completed",1,0)</f>
        <v>1</v>
      </c>
    </row>
    <row r="125" spans="1:18" x14ac:dyDescent="0.35">
      <c r="A125">
        <v>124</v>
      </c>
      <c r="B125" s="1">
        <v>45881</v>
      </c>
      <c r="C125">
        <v>1929</v>
      </c>
      <c r="D125" t="s">
        <v>28</v>
      </c>
      <c r="E125" t="s">
        <v>23</v>
      </c>
      <c r="F125" t="s">
        <v>34</v>
      </c>
      <c r="G125">
        <v>4</v>
      </c>
      <c r="H125">
        <v>8136</v>
      </c>
      <c r="I125" t="s">
        <v>25</v>
      </c>
      <c r="J125" t="s">
        <v>19</v>
      </c>
      <c r="K125" t="s">
        <v>20</v>
      </c>
      <c r="L125">
        <v>3</v>
      </c>
      <c r="M125">
        <v>0</v>
      </c>
      <c r="N125">
        <v>0</v>
      </c>
      <c r="O125" t="s">
        <v>21</v>
      </c>
      <c r="P125" t="str">
        <f>TEXT(Table1[[#This Row],[order_date]],"yyyy-mm")</f>
        <v>2025-08</v>
      </c>
      <c r="Q125">
        <f>WEEKNUM(Table1[[#This Row],[order_date]])</f>
        <v>33</v>
      </c>
      <c r="R125">
        <f>IF(Table1[[#This Row],[order_status]]="completed",1,0)</f>
        <v>1</v>
      </c>
    </row>
    <row r="126" spans="1:18" x14ac:dyDescent="0.35">
      <c r="A126">
        <v>125</v>
      </c>
      <c r="B126" s="1">
        <v>45880</v>
      </c>
      <c r="C126">
        <v>1724</v>
      </c>
      <c r="D126" t="s">
        <v>32</v>
      </c>
      <c r="E126" t="s">
        <v>33</v>
      </c>
      <c r="F126" t="s">
        <v>30</v>
      </c>
      <c r="G126">
        <v>5</v>
      </c>
      <c r="H126">
        <v>13305</v>
      </c>
      <c r="I126" t="s">
        <v>39</v>
      </c>
      <c r="J126" t="s">
        <v>19</v>
      </c>
      <c r="K126" t="s">
        <v>38</v>
      </c>
      <c r="L126">
        <v>9</v>
      </c>
      <c r="M126">
        <v>0</v>
      </c>
      <c r="N126">
        <v>0</v>
      </c>
      <c r="O126" t="s">
        <v>27</v>
      </c>
      <c r="P126" t="str">
        <f>TEXT(Table1[[#This Row],[order_date]],"yyyy-mm")</f>
        <v>2025-08</v>
      </c>
      <c r="Q126">
        <f>WEEKNUM(Table1[[#This Row],[order_date]])</f>
        <v>33</v>
      </c>
      <c r="R126">
        <f>IF(Table1[[#This Row],[order_status]]="completed",1,0)</f>
        <v>1</v>
      </c>
    </row>
    <row r="127" spans="1:18" x14ac:dyDescent="0.35">
      <c r="A127">
        <v>126</v>
      </c>
      <c r="B127" s="1">
        <v>45873</v>
      </c>
      <c r="C127">
        <v>1151</v>
      </c>
      <c r="D127" t="s">
        <v>22</v>
      </c>
      <c r="E127" t="s">
        <v>33</v>
      </c>
      <c r="F127" t="s">
        <v>30</v>
      </c>
      <c r="G127">
        <v>5</v>
      </c>
      <c r="H127">
        <v>0</v>
      </c>
      <c r="I127" t="s">
        <v>35</v>
      </c>
      <c r="J127" t="s">
        <v>31</v>
      </c>
      <c r="K127" t="s">
        <v>26</v>
      </c>
      <c r="L127">
        <v>3</v>
      </c>
      <c r="M127">
        <v>1</v>
      </c>
      <c r="N127">
        <v>0</v>
      </c>
      <c r="O127" t="s">
        <v>27</v>
      </c>
      <c r="P127" t="str">
        <f>TEXT(Table1[[#This Row],[order_date]],"yyyy-mm")</f>
        <v>2025-08</v>
      </c>
      <c r="Q127">
        <f>WEEKNUM(Table1[[#This Row],[order_date]])</f>
        <v>32</v>
      </c>
      <c r="R127">
        <f>IF(Table1[[#This Row],[order_status]]="completed",1,0)</f>
        <v>0</v>
      </c>
    </row>
    <row r="128" spans="1:18" x14ac:dyDescent="0.35">
      <c r="A128">
        <v>127</v>
      </c>
      <c r="B128" s="1">
        <v>45901</v>
      </c>
      <c r="C128">
        <v>1170</v>
      </c>
      <c r="D128" t="s">
        <v>32</v>
      </c>
      <c r="E128" t="s">
        <v>33</v>
      </c>
      <c r="F128" t="s">
        <v>34</v>
      </c>
      <c r="G128">
        <v>3</v>
      </c>
      <c r="H128">
        <v>0</v>
      </c>
      <c r="I128" t="s">
        <v>25</v>
      </c>
      <c r="J128" t="s">
        <v>31</v>
      </c>
      <c r="K128" t="s">
        <v>26</v>
      </c>
      <c r="L128">
        <v>4</v>
      </c>
      <c r="M128">
        <v>1</v>
      </c>
      <c r="N128">
        <v>1</v>
      </c>
      <c r="O128" t="s">
        <v>21</v>
      </c>
      <c r="P128" t="str">
        <f>TEXT(Table1[[#This Row],[order_date]],"yyyy-mm")</f>
        <v>2025-09</v>
      </c>
      <c r="Q128">
        <f>WEEKNUM(Table1[[#This Row],[order_date]])</f>
        <v>36</v>
      </c>
      <c r="R128">
        <f>IF(Table1[[#This Row],[order_status]]="completed",1,0)</f>
        <v>0</v>
      </c>
    </row>
    <row r="129" spans="1:18" x14ac:dyDescent="0.35">
      <c r="A129">
        <v>128</v>
      </c>
      <c r="B129" s="1">
        <v>45894</v>
      </c>
      <c r="C129">
        <v>1735</v>
      </c>
      <c r="D129" t="s">
        <v>28</v>
      </c>
      <c r="E129" t="s">
        <v>33</v>
      </c>
      <c r="F129" t="s">
        <v>24</v>
      </c>
      <c r="G129">
        <v>5</v>
      </c>
      <c r="H129">
        <v>0</v>
      </c>
      <c r="I129" t="s">
        <v>25</v>
      </c>
      <c r="J129" t="s">
        <v>31</v>
      </c>
      <c r="K129" t="s">
        <v>26</v>
      </c>
      <c r="L129">
        <v>7</v>
      </c>
      <c r="M129">
        <v>1</v>
      </c>
      <c r="N129">
        <v>1</v>
      </c>
      <c r="O129" t="s">
        <v>21</v>
      </c>
      <c r="P129" t="str">
        <f>TEXT(Table1[[#This Row],[order_date]],"yyyy-mm")</f>
        <v>2025-08</v>
      </c>
      <c r="Q129">
        <f>WEEKNUM(Table1[[#This Row],[order_date]])</f>
        <v>35</v>
      </c>
      <c r="R129">
        <f>IF(Table1[[#This Row],[order_status]]="completed",1,0)</f>
        <v>0</v>
      </c>
    </row>
    <row r="130" spans="1:18" x14ac:dyDescent="0.35">
      <c r="A130">
        <v>129</v>
      </c>
      <c r="B130" s="1">
        <v>45938</v>
      </c>
      <c r="C130">
        <v>1249</v>
      </c>
      <c r="D130" t="s">
        <v>41</v>
      </c>
      <c r="E130" t="s">
        <v>29</v>
      </c>
      <c r="F130" t="s">
        <v>24</v>
      </c>
      <c r="G130">
        <v>2</v>
      </c>
      <c r="H130">
        <v>4846</v>
      </c>
      <c r="I130" t="s">
        <v>39</v>
      </c>
      <c r="J130" t="s">
        <v>19</v>
      </c>
      <c r="K130" t="s">
        <v>40</v>
      </c>
      <c r="L130">
        <v>5</v>
      </c>
      <c r="M130">
        <v>1</v>
      </c>
      <c r="N130">
        <v>1</v>
      </c>
      <c r="O130" t="s">
        <v>27</v>
      </c>
      <c r="P130" t="str">
        <f>TEXT(Table1[[#This Row],[order_date]],"yyyy-mm")</f>
        <v>2025-10</v>
      </c>
      <c r="Q130">
        <f>WEEKNUM(Table1[[#This Row],[order_date]])</f>
        <v>41</v>
      </c>
      <c r="R130">
        <f>IF(Table1[[#This Row],[order_status]]="completed",1,0)</f>
        <v>1</v>
      </c>
    </row>
    <row r="131" spans="1:18" x14ac:dyDescent="0.35">
      <c r="A131">
        <v>130</v>
      </c>
      <c r="B131" s="1">
        <v>45866</v>
      </c>
      <c r="C131">
        <v>1734</v>
      </c>
      <c r="D131" t="s">
        <v>22</v>
      </c>
      <c r="E131" t="s">
        <v>29</v>
      </c>
      <c r="F131" t="s">
        <v>17</v>
      </c>
      <c r="G131">
        <v>5</v>
      </c>
      <c r="H131">
        <v>0</v>
      </c>
      <c r="I131" t="s">
        <v>35</v>
      </c>
      <c r="J131" t="s">
        <v>31</v>
      </c>
      <c r="K131" t="s">
        <v>40</v>
      </c>
      <c r="L131">
        <v>4</v>
      </c>
      <c r="M131">
        <v>0</v>
      </c>
      <c r="N131">
        <v>0</v>
      </c>
      <c r="O131" t="s">
        <v>21</v>
      </c>
      <c r="P131" t="str">
        <f>TEXT(Table1[[#This Row],[order_date]],"yyyy-mm")</f>
        <v>2025-07</v>
      </c>
      <c r="Q131">
        <f>WEEKNUM(Table1[[#This Row],[order_date]])</f>
        <v>31</v>
      </c>
      <c r="R131">
        <f>IF(Table1[[#This Row],[order_status]]="completed",1,0)</f>
        <v>0</v>
      </c>
    </row>
    <row r="132" spans="1:18" x14ac:dyDescent="0.35">
      <c r="A132">
        <v>131</v>
      </c>
      <c r="B132" s="1">
        <v>46003</v>
      </c>
      <c r="C132">
        <v>1442</v>
      </c>
      <c r="D132" t="s">
        <v>28</v>
      </c>
      <c r="E132" t="s">
        <v>36</v>
      </c>
      <c r="F132" t="s">
        <v>17</v>
      </c>
      <c r="G132">
        <v>4</v>
      </c>
      <c r="H132">
        <v>0</v>
      </c>
      <c r="I132" t="s">
        <v>18</v>
      </c>
      <c r="J132" t="s">
        <v>31</v>
      </c>
      <c r="K132" t="s">
        <v>40</v>
      </c>
      <c r="L132">
        <v>8</v>
      </c>
      <c r="M132">
        <v>1</v>
      </c>
      <c r="N132">
        <v>0</v>
      </c>
      <c r="O132" t="s">
        <v>21</v>
      </c>
      <c r="P132" t="str">
        <f>TEXT(Table1[[#This Row],[order_date]],"yyyy-mm")</f>
        <v>2025-12</v>
      </c>
      <c r="Q132">
        <f>WEEKNUM(Table1[[#This Row],[order_date]])</f>
        <v>50</v>
      </c>
      <c r="R132">
        <f>IF(Table1[[#This Row],[order_status]]="completed",1,0)</f>
        <v>0</v>
      </c>
    </row>
    <row r="133" spans="1:18" x14ac:dyDescent="0.35">
      <c r="A133">
        <v>132</v>
      </c>
      <c r="B133" s="1">
        <v>46024</v>
      </c>
      <c r="C133">
        <v>1253</v>
      </c>
      <c r="D133" t="s">
        <v>15</v>
      </c>
      <c r="E133" t="s">
        <v>23</v>
      </c>
      <c r="F133" t="s">
        <v>24</v>
      </c>
      <c r="G133">
        <v>4</v>
      </c>
      <c r="H133">
        <v>0</v>
      </c>
      <c r="I133" t="s">
        <v>39</v>
      </c>
      <c r="J133" t="s">
        <v>31</v>
      </c>
      <c r="K133" t="s">
        <v>40</v>
      </c>
      <c r="L133">
        <v>8</v>
      </c>
      <c r="M133">
        <v>0</v>
      </c>
      <c r="N133">
        <v>1</v>
      </c>
      <c r="O133" t="s">
        <v>21</v>
      </c>
      <c r="P133" t="str">
        <f>TEXT(Table1[[#This Row],[order_date]],"yyyy-mm")</f>
        <v>2026-01</v>
      </c>
      <c r="Q133">
        <f>WEEKNUM(Table1[[#This Row],[order_date]])</f>
        <v>1</v>
      </c>
      <c r="R133">
        <f>IF(Table1[[#This Row],[order_status]]="completed",1,0)</f>
        <v>0</v>
      </c>
    </row>
    <row r="134" spans="1:18" x14ac:dyDescent="0.35">
      <c r="A134">
        <v>133</v>
      </c>
      <c r="B134" s="1">
        <v>45884</v>
      </c>
      <c r="C134">
        <v>1459</v>
      </c>
      <c r="D134" t="s">
        <v>41</v>
      </c>
      <c r="E134" t="s">
        <v>33</v>
      </c>
      <c r="F134" t="s">
        <v>34</v>
      </c>
      <c r="G134">
        <v>3</v>
      </c>
      <c r="H134">
        <v>7680</v>
      </c>
      <c r="I134" t="s">
        <v>18</v>
      </c>
      <c r="J134" t="s">
        <v>19</v>
      </c>
      <c r="K134" t="s">
        <v>38</v>
      </c>
      <c r="L134">
        <v>2</v>
      </c>
      <c r="M134">
        <v>0</v>
      </c>
      <c r="N134">
        <v>0</v>
      </c>
      <c r="O134" t="s">
        <v>21</v>
      </c>
      <c r="P134" t="str">
        <f>TEXT(Table1[[#This Row],[order_date]],"yyyy-mm")</f>
        <v>2025-08</v>
      </c>
      <c r="Q134">
        <f>WEEKNUM(Table1[[#This Row],[order_date]])</f>
        <v>33</v>
      </c>
      <c r="R134">
        <f>IF(Table1[[#This Row],[order_status]]="completed",1,0)</f>
        <v>1</v>
      </c>
    </row>
    <row r="135" spans="1:18" x14ac:dyDescent="0.35">
      <c r="A135">
        <v>134</v>
      </c>
      <c r="B135" s="1">
        <v>45855</v>
      </c>
      <c r="C135">
        <v>1768</v>
      </c>
      <c r="D135" t="s">
        <v>15</v>
      </c>
      <c r="E135" t="s">
        <v>36</v>
      </c>
      <c r="F135" t="s">
        <v>30</v>
      </c>
      <c r="G135">
        <v>2</v>
      </c>
      <c r="H135">
        <v>0</v>
      </c>
      <c r="I135" t="s">
        <v>39</v>
      </c>
      <c r="J135" t="s">
        <v>37</v>
      </c>
      <c r="K135" t="s">
        <v>26</v>
      </c>
      <c r="L135">
        <v>7</v>
      </c>
      <c r="M135">
        <v>0</v>
      </c>
      <c r="N135">
        <v>0</v>
      </c>
      <c r="O135" t="s">
        <v>21</v>
      </c>
      <c r="P135" t="str">
        <f>TEXT(Table1[[#This Row],[order_date]],"yyyy-mm")</f>
        <v>2025-07</v>
      </c>
      <c r="Q135">
        <f>WEEKNUM(Table1[[#This Row],[order_date]])</f>
        <v>29</v>
      </c>
      <c r="R135">
        <f>IF(Table1[[#This Row],[order_status]]="completed",1,0)</f>
        <v>0</v>
      </c>
    </row>
    <row r="136" spans="1:18" x14ac:dyDescent="0.35">
      <c r="A136">
        <v>135</v>
      </c>
      <c r="B136" s="1">
        <v>45942</v>
      </c>
      <c r="C136">
        <v>1778</v>
      </c>
      <c r="D136" t="s">
        <v>28</v>
      </c>
      <c r="E136" t="s">
        <v>23</v>
      </c>
      <c r="F136" t="s">
        <v>30</v>
      </c>
      <c r="G136">
        <v>2</v>
      </c>
      <c r="H136">
        <v>8556</v>
      </c>
      <c r="I136" t="s">
        <v>35</v>
      </c>
      <c r="J136" t="s">
        <v>19</v>
      </c>
      <c r="K136" t="s">
        <v>20</v>
      </c>
      <c r="L136">
        <v>4</v>
      </c>
      <c r="M136">
        <v>1</v>
      </c>
      <c r="N136">
        <v>1</v>
      </c>
      <c r="O136" t="s">
        <v>27</v>
      </c>
      <c r="P136" t="str">
        <f>TEXT(Table1[[#This Row],[order_date]],"yyyy-mm")</f>
        <v>2025-10</v>
      </c>
      <c r="Q136">
        <f>WEEKNUM(Table1[[#This Row],[order_date]])</f>
        <v>42</v>
      </c>
      <c r="R136">
        <f>IF(Table1[[#This Row],[order_status]]="completed",1,0)</f>
        <v>1</v>
      </c>
    </row>
    <row r="137" spans="1:18" x14ac:dyDescent="0.35">
      <c r="A137">
        <v>136</v>
      </c>
      <c r="B137" s="1">
        <v>46028</v>
      </c>
      <c r="C137">
        <v>1075</v>
      </c>
      <c r="D137" t="s">
        <v>22</v>
      </c>
      <c r="E137" t="s">
        <v>29</v>
      </c>
      <c r="F137" t="s">
        <v>34</v>
      </c>
      <c r="G137">
        <v>5</v>
      </c>
      <c r="H137">
        <v>0</v>
      </c>
      <c r="I137" t="s">
        <v>39</v>
      </c>
      <c r="J137" t="s">
        <v>31</v>
      </c>
      <c r="K137" t="s">
        <v>40</v>
      </c>
      <c r="L137">
        <v>3</v>
      </c>
      <c r="M137">
        <v>0</v>
      </c>
      <c r="N137">
        <v>0</v>
      </c>
      <c r="O137" t="s">
        <v>27</v>
      </c>
      <c r="P137" t="str">
        <f>TEXT(Table1[[#This Row],[order_date]],"yyyy-mm")</f>
        <v>2026-01</v>
      </c>
      <c r="Q137">
        <f>WEEKNUM(Table1[[#This Row],[order_date]])</f>
        <v>2</v>
      </c>
      <c r="R137">
        <f>IF(Table1[[#This Row],[order_status]]="completed",1,0)</f>
        <v>0</v>
      </c>
    </row>
    <row r="138" spans="1:18" x14ac:dyDescent="0.35">
      <c r="A138">
        <v>137</v>
      </c>
      <c r="B138" s="1">
        <v>45943</v>
      </c>
      <c r="C138">
        <v>1933</v>
      </c>
      <c r="D138" t="s">
        <v>15</v>
      </c>
      <c r="E138" t="s">
        <v>33</v>
      </c>
      <c r="F138" t="s">
        <v>17</v>
      </c>
      <c r="G138">
        <v>5</v>
      </c>
      <c r="H138">
        <v>4620</v>
      </c>
      <c r="I138" t="s">
        <v>18</v>
      </c>
      <c r="J138" t="s">
        <v>19</v>
      </c>
      <c r="K138" t="s">
        <v>26</v>
      </c>
      <c r="L138">
        <v>8</v>
      </c>
      <c r="M138">
        <v>0</v>
      </c>
      <c r="N138">
        <v>1</v>
      </c>
      <c r="O138" t="s">
        <v>27</v>
      </c>
      <c r="P138" t="str">
        <f>TEXT(Table1[[#This Row],[order_date]],"yyyy-mm")</f>
        <v>2025-10</v>
      </c>
      <c r="Q138">
        <f>WEEKNUM(Table1[[#This Row],[order_date]])</f>
        <v>42</v>
      </c>
      <c r="R138">
        <f>IF(Table1[[#This Row],[order_status]]="completed",1,0)</f>
        <v>1</v>
      </c>
    </row>
    <row r="139" spans="1:18" x14ac:dyDescent="0.35">
      <c r="A139">
        <v>138</v>
      </c>
      <c r="B139" s="1">
        <v>45910</v>
      </c>
      <c r="C139">
        <v>1942</v>
      </c>
      <c r="D139" t="s">
        <v>22</v>
      </c>
      <c r="E139" t="s">
        <v>36</v>
      </c>
      <c r="F139" t="s">
        <v>24</v>
      </c>
      <c r="G139">
        <v>4</v>
      </c>
      <c r="H139">
        <v>0</v>
      </c>
      <c r="I139" t="s">
        <v>25</v>
      </c>
      <c r="J139" t="s">
        <v>31</v>
      </c>
      <c r="K139" t="s">
        <v>40</v>
      </c>
      <c r="L139">
        <v>5</v>
      </c>
      <c r="M139">
        <v>1</v>
      </c>
      <c r="N139">
        <v>0</v>
      </c>
      <c r="O139" t="s">
        <v>21</v>
      </c>
      <c r="P139" t="str">
        <f>TEXT(Table1[[#This Row],[order_date]],"yyyy-mm")</f>
        <v>2025-09</v>
      </c>
      <c r="Q139">
        <f>WEEKNUM(Table1[[#This Row],[order_date]])</f>
        <v>37</v>
      </c>
      <c r="R139">
        <f>IF(Table1[[#This Row],[order_status]]="completed",1,0)</f>
        <v>0</v>
      </c>
    </row>
    <row r="140" spans="1:18" x14ac:dyDescent="0.35">
      <c r="A140">
        <v>139</v>
      </c>
      <c r="B140" s="1">
        <v>45893</v>
      </c>
      <c r="C140">
        <v>1875</v>
      </c>
      <c r="D140" t="s">
        <v>22</v>
      </c>
      <c r="E140" t="s">
        <v>23</v>
      </c>
      <c r="F140" t="s">
        <v>24</v>
      </c>
      <c r="G140">
        <v>3</v>
      </c>
      <c r="H140">
        <v>0</v>
      </c>
      <c r="I140" t="s">
        <v>25</v>
      </c>
      <c r="J140" t="s">
        <v>37</v>
      </c>
      <c r="K140" t="s">
        <v>20</v>
      </c>
      <c r="L140">
        <v>2</v>
      </c>
      <c r="M140">
        <v>1</v>
      </c>
      <c r="N140">
        <v>0</v>
      </c>
      <c r="O140" t="s">
        <v>21</v>
      </c>
      <c r="P140" t="str">
        <f>TEXT(Table1[[#This Row],[order_date]],"yyyy-mm")</f>
        <v>2025-08</v>
      </c>
      <c r="Q140">
        <f>WEEKNUM(Table1[[#This Row],[order_date]])</f>
        <v>35</v>
      </c>
      <c r="R140">
        <f>IF(Table1[[#This Row],[order_status]]="completed",1,0)</f>
        <v>0</v>
      </c>
    </row>
    <row r="141" spans="1:18" x14ac:dyDescent="0.35">
      <c r="A141">
        <v>140</v>
      </c>
      <c r="B141" s="1">
        <v>45925</v>
      </c>
      <c r="C141">
        <v>1970</v>
      </c>
      <c r="D141" t="s">
        <v>41</v>
      </c>
      <c r="E141" t="s">
        <v>23</v>
      </c>
      <c r="F141" t="s">
        <v>34</v>
      </c>
      <c r="G141">
        <v>1</v>
      </c>
      <c r="H141">
        <v>0</v>
      </c>
      <c r="I141" t="s">
        <v>39</v>
      </c>
      <c r="J141" t="s">
        <v>31</v>
      </c>
      <c r="K141" t="s">
        <v>20</v>
      </c>
      <c r="L141">
        <v>5</v>
      </c>
      <c r="M141">
        <v>0</v>
      </c>
      <c r="N141">
        <v>1</v>
      </c>
      <c r="O141" t="s">
        <v>27</v>
      </c>
      <c r="P141" t="str">
        <f>TEXT(Table1[[#This Row],[order_date]],"yyyy-mm")</f>
        <v>2025-09</v>
      </c>
      <c r="Q141">
        <f>WEEKNUM(Table1[[#This Row],[order_date]])</f>
        <v>39</v>
      </c>
      <c r="R141">
        <f>IF(Table1[[#This Row],[order_status]]="completed",1,0)</f>
        <v>0</v>
      </c>
    </row>
    <row r="142" spans="1:18" x14ac:dyDescent="0.35">
      <c r="A142">
        <v>141</v>
      </c>
      <c r="B142" s="1">
        <v>45870</v>
      </c>
      <c r="C142">
        <v>1788</v>
      </c>
      <c r="D142" t="s">
        <v>32</v>
      </c>
      <c r="E142" t="s">
        <v>23</v>
      </c>
      <c r="F142" t="s">
        <v>24</v>
      </c>
      <c r="G142">
        <v>3</v>
      </c>
      <c r="H142">
        <v>0</v>
      </c>
      <c r="I142" t="s">
        <v>39</v>
      </c>
      <c r="J142" t="s">
        <v>31</v>
      </c>
      <c r="K142" t="s">
        <v>40</v>
      </c>
      <c r="L142">
        <v>7</v>
      </c>
      <c r="M142">
        <v>1</v>
      </c>
      <c r="N142">
        <v>1</v>
      </c>
      <c r="O142" t="s">
        <v>27</v>
      </c>
      <c r="P142" t="str">
        <f>TEXT(Table1[[#This Row],[order_date]],"yyyy-mm")</f>
        <v>2025-08</v>
      </c>
      <c r="Q142">
        <f>WEEKNUM(Table1[[#This Row],[order_date]])</f>
        <v>31</v>
      </c>
      <c r="R142">
        <f>IF(Table1[[#This Row],[order_status]]="completed",1,0)</f>
        <v>0</v>
      </c>
    </row>
    <row r="143" spans="1:18" x14ac:dyDescent="0.35">
      <c r="A143">
        <v>142</v>
      </c>
      <c r="B143" s="1">
        <v>46017</v>
      </c>
      <c r="C143">
        <v>1237</v>
      </c>
      <c r="D143" t="s">
        <v>28</v>
      </c>
      <c r="E143" t="s">
        <v>29</v>
      </c>
      <c r="F143" t="s">
        <v>30</v>
      </c>
      <c r="G143">
        <v>2</v>
      </c>
      <c r="H143">
        <v>7296</v>
      </c>
      <c r="I143" t="s">
        <v>18</v>
      </c>
      <c r="J143" t="s">
        <v>19</v>
      </c>
      <c r="K143" t="s">
        <v>20</v>
      </c>
      <c r="L143">
        <v>2</v>
      </c>
      <c r="M143">
        <v>0</v>
      </c>
      <c r="N143">
        <v>0</v>
      </c>
      <c r="O143" t="s">
        <v>21</v>
      </c>
      <c r="P143" t="str">
        <f>TEXT(Table1[[#This Row],[order_date]],"yyyy-mm")</f>
        <v>2025-12</v>
      </c>
      <c r="Q143">
        <f>WEEKNUM(Table1[[#This Row],[order_date]])</f>
        <v>52</v>
      </c>
      <c r="R143">
        <f>IF(Table1[[#This Row],[order_status]]="completed",1,0)</f>
        <v>1</v>
      </c>
    </row>
    <row r="144" spans="1:18" x14ac:dyDescent="0.35">
      <c r="A144">
        <v>143</v>
      </c>
      <c r="B144" s="1">
        <v>46028</v>
      </c>
      <c r="C144">
        <v>1522</v>
      </c>
      <c r="D144" t="s">
        <v>41</v>
      </c>
      <c r="E144" t="s">
        <v>36</v>
      </c>
      <c r="F144" t="s">
        <v>17</v>
      </c>
      <c r="G144">
        <v>1</v>
      </c>
      <c r="H144">
        <v>0</v>
      </c>
      <c r="I144" t="s">
        <v>39</v>
      </c>
      <c r="J144" t="s">
        <v>37</v>
      </c>
      <c r="K144" t="s">
        <v>26</v>
      </c>
      <c r="L144">
        <v>5</v>
      </c>
      <c r="M144">
        <v>0</v>
      </c>
      <c r="N144">
        <v>0</v>
      </c>
      <c r="O144" t="s">
        <v>27</v>
      </c>
      <c r="P144" t="str">
        <f>TEXT(Table1[[#This Row],[order_date]],"yyyy-mm")</f>
        <v>2026-01</v>
      </c>
      <c r="Q144">
        <f>WEEKNUM(Table1[[#This Row],[order_date]])</f>
        <v>2</v>
      </c>
      <c r="R144">
        <f>IF(Table1[[#This Row],[order_status]]="completed",1,0)</f>
        <v>0</v>
      </c>
    </row>
    <row r="145" spans="1:18" x14ac:dyDescent="0.35">
      <c r="A145">
        <v>144</v>
      </c>
      <c r="B145" s="1">
        <v>45942</v>
      </c>
      <c r="C145">
        <v>1216</v>
      </c>
      <c r="D145" t="s">
        <v>41</v>
      </c>
      <c r="E145" t="s">
        <v>33</v>
      </c>
      <c r="F145" t="s">
        <v>17</v>
      </c>
      <c r="G145">
        <v>3</v>
      </c>
      <c r="H145">
        <v>0</v>
      </c>
      <c r="I145" t="s">
        <v>35</v>
      </c>
      <c r="J145" t="s">
        <v>31</v>
      </c>
      <c r="K145" t="s">
        <v>38</v>
      </c>
      <c r="L145">
        <v>4</v>
      </c>
      <c r="M145">
        <v>1</v>
      </c>
      <c r="N145">
        <v>1</v>
      </c>
      <c r="O145" t="s">
        <v>21</v>
      </c>
      <c r="P145" t="str">
        <f>TEXT(Table1[[#This Row],[order_date]],"yyyy-mm")</f>
        <v>2025-10</v>
      </c>
      <c r="Q145">
        <f>WEEKNUM(Table1[[#This Row],[order_date]])</f>
        <v>42</v>
      </c>
      <c r="R145">
        <f>IF(Table1[[#This Row],[order_status]]="completed",1,0)</f>
        <v>0</v>
      </c>
    </row>
    <row r="146" spans="1:18" x14ac:dyDescent="0.35">
      <c r="A146">
        <v>145</v>
      </c>
      <c r="B146" s="1">
        <v>45910</v>
      </c>
      <c r="C146">
        <v>1951</v>
      </c>
      <c r="D146" t="s">
        <v>41</v>
      </c>
      <c r="E146" t="s">
        <v>33</v>
      </c>
      <c r="F146" t="s">
        <v>24</v>
      </c>
      <c r="G146">
        <v>1</v>
      </c>
      <c r="H146">
        <v>2326</v>
      </c>
      <c r="I146" t="s">
        <v>18</v>
      </c>
      <c r="J146" t="s">
        <v>19</v>
      </c>
      <c r="K146" t="s">
        <v>38</v>
      </c>
      <c r="L146">
        <v>4</v>
      </c>
      <c r="M146">
        <v>0</v>
      </c>
      <c r="N146">
        <v>0</v>
      </c>
      <c r="O146" t="s">
        <v>21</v>
      </c>
      <c r="P146" t="str">
        <f>TEXT(Table1[[#This Row],[order_date]],"yyyy-mm")</f>
        <v>2025-09</v>
      </c>
      <c r="Q146">
        <f>WEEKNUM(Table1[[#This Row],[order_date]])</f>
        <v>37</v>
      </c>
      <c r="R146">
        <f>IF(Table1[[#This Row],[order_status]]="completed",1,0)</f>
        <v>1</v>
      </c>
    </row>
    <row r="147" spans="1:18" x14ac:dyDescent="0.35">
      <c r="A147">
        <v>146</v>
      </c>
      <c r="B147" s="1">
        <v>46003</v>
      </c>
      <c r="C147">
        <v>1724</v>
      </c>
      <c r="D147" t="s">
        <v>32</v>
      </c>
      <c r="E147" t="s">
        <v>33</v>
      </c>
      <c r="F147" t="s">
        <v>34</v>
      </c>
      <c r="G147">
        <v>2</v>
      </c>
      <c r="H147">
        <v>0</v>
      </c>
      <c r="I147" t="s">
        <v>18</v>
      </c>
      <c r="J147" t="s">
        <v>37</v>
      </c>
      <c r="K147" t="s">
        <v>20</v>
      </c>
      <c r="L147">
        <v>3</v>
      </c>
      <c r="M147">
        <v>1</v>
      </c>
      <c r="N147">
        <v>0</v>
      </c>
      <c r="O147" t="s">
        <v>21</v>
      </c>
      <c r="P147" t="str">
        <f>TEXT(Table1[[#This Row],[order_date]],"yyyy-mm")</f>
        <v>2025-12</v>
      </c>
      <c r="Q147">
        <f>WEEKNUM(Table1[[#This Row],[order_date]])</f>
        <v>50</v>
      </c>
      <c r="R147">
        <f>IF(Table1[[#This Row],[order_status]]="completed",1,0)</f>
        <v>0</v>
      </c>
    </row>
    <row r="148" spans="1:18" x14ac:dyDescent="0.35">
      <c r="A148">
        <v>147</v>
      </c>
      <c r="B148" s="1">
        <v>45884</v>
      </c>
      <c r="C148">
        <v>1173</v>
      </c>
      <c r="D148" t="s">
        <v>22</v>
      </c>
      <c r="E148" t="s">
        <v>33</v>
      </c>
      <c r="F148" t="s">
        <v>17</v>
      </c>
      <c r="G148">
        <v>5</v>
      </c>
      <c r="H148">
        <v>0</v>
      </c>
      <c r="I148" t="s">
        <v>25</v>
      </c>
      <c r="J148" t="s">
        <v>31</v>
      </c>
      <c r="K148" t="s">
        <v>38</v>
      </c>
      <c r="L148">
        <v>4</v>
      </c>
      <c r="M148">
        <v>1</v>
      </c>
      <c r="N148">
        <v>1</v>
      </c>
      <c r="O148" t="s">
        <v>27</v>
      </c>
      <c r="P148" t="str">
        <f>TEXT(Table1[[#This Row],[order_date]],"yyyy-mm")</f>
        <v>2025-08</v>
      </c>
      <c r="Q148">
        <f>WEEKNUM(Table1[[#This Row],[order_date]])</f>
        <v>33</v>
      </c>
      <c r="R148">
        <f>IF(Table1[[#This Row],[order_status]]="completed",1,0)</f>
        <v>0</v>
      </c>
    </row>
    <row r="149" spans="1:18" x14ac:dyDescent="0.35">
      <c r="A149">
        <v>148</v>
      </c>
      <c r="B149" s="1">
        <v>45994</v>
      </c>
      <c r="C149">
        <v>1890</v>
      </c>
      <c r="D149" t="s">
        <v>41</v>
      </c>
      <c r="E149" t="s">
        <v>33</v>
      </c>
      <c r="F149" t="s">
        <v>30</v>
      </c>
      <c r="G149">
        <v>4</v>
      </c>
      <c r="H149">
        <v>0</v>
      </c>
      <c r="I149" t="s">
        <v>39</v>
      </c>
      <c r="J149" t="s">
        <v>31</v>
      </c>
      <c r="K149" t="s">
        <v>38</v>
      </c>
      <c r="L149">
        <v>4</v>
      </c>
      <c r="M149">
        <v>0</v>
      </c>
      <c r="N149">
        <v>1</v>
      </c>
      <c r="O149" t="s">
        <v>21</v>
      </c>
      <c r="P149" t="str">
        <f>TEXT(Table1[[#This Row],[order_date]],"yyyy-mm")</f>
        <v>2025-12</v>
      </c>
      <c r="Q149">
        <f>WEEKNUM(Table1[[#This Row],[order_date]])</f>
        <v>49</v>
      </c>
      <c r="R149">
        <f>IF(Table1[[#This Row],[order_status]]="completed",1,0)</f>
        <v>0</v>
      </c>
    </row>
    <row r="150" spans="1:18" x14ac:dyDescent="0.35">
      <c r="A150">
        <v>149</v>
      </c>
      <c r="B150" s="1">
        <v>46020</v>
      </c>
      <c r="C150">
        <v>1082</v>
      </c>
      <c r="D150" t="s">
        <v>22</v>
      </c>
      <c r="E150" t="s">
        <v>36</v>
      </c>
      <c r="F150" t="s">
        <v>34</v>
      </c>
      <c r="G150">
        <v>5</v>
      </c>
      <c r="H150">
        <v>10980</v>
      </c>
      <c r="I150" t="s">
        <v>35</v>
      </c>
      <c r="J150" t="s">
        <v>19</v>
      </c>
      <c r="K150" t="s">
        <v>40</v>
      </c>
      <c r="L150">
        <v>2</v>
      </c>
      <c r="M150">
        <v>0</v>
      </c>
      <c r="N150">
        <v>1</v>
      </c>
      <c r="O150" t="s">
        <v>21</v>
      </c>
      <c r="P150" t="str">
        <f>TEXT(Table1[[#This Row],[order_date]],"yyyy-mm")</f>
        <v>2025-12</v>
      </c>
      <c r="Q150">
        <f>WEEKNUM(Table1[[#This Row],[order_date]])</f>
        <v>53</v>
      </c>
      <c r="R150">
        <f>IF(Table1[[#This Row],[order_status]]="completed",1,0)</f>
        <v>1</v>
      </c>
    </row>
    <row r="151" spans="1:18" x14ac:dyDescent="0.35">
      <c r="A151">
        <v>150</v>
      </c>
      <c r="B151" s="1">
        <v>45902</v>
      </c>
      <c r="C151">
        <v>1831</v>
      </c>
      <c r="D151" t="s">
        <v>32</v>
      </c>
      <c r="E151" t="s">
        <v>36</v>
      </c>
      <c r="F151" t="s">
        <v>17</v>
      </c>
      <c r="G151">
        <v>5</v>
      </c>
      <c r="H151">
        <v>0</v>
      </c>
      <c r="I151" t="s">
        <v>35</v>
      </c>
      <c r="J151" t="s">
        <v>37</v>
      </c>
      <c r="K151" t="s">
        <v>40</v>
      </c>
      <c r="L151">
        <v>3</v>
      </c>
      <c r="M151">
        <v>1</v>
      </c>
      <c r="N151">
        <v>1</v>
      </c>
      <c r="O151" t="s">
        <v>21</v>
      </c>
      <c r="P151" t="str">
        <f>TEXT(Table1[[#This Row],[order_date]],"yyyy-mm")</f>
        <v>2025-09</v>
      </c>
      <c r="Q151">
        <f>WEEKNUM(Table1[[#This Row],[order_date]])</f>
        <v>36</v>
      </c>
      <c r="R151">
        <f>IF(Table1[[#This Row],[order_status]]="completed",1,0)</f>
        <v>0</v>
      </c>
    </row>
    <row r="152" spans="1:18" x14ac:dyDescent="0.35">
      <c r="A152">
        <v>151</v>
      </c>
      <c r="B152" s="1">
        <v>45870</v>
      </c>
      <c r="C152">
        <v>1415</v>
      </c>
      <c r="D152" t="s">
        <v>15</v>
      </c>
      <c r="E152" t="s">
        <v>16</v>
      </c>
      <c r="F152" t="s">
        <v>34</v>
      </c>
      <c r="G152">
        <v>4</v>
      </c>
      <c r="H152">
        <v>15360</v>
      </c>
      <c r="I152" t="s">
        <v>25</v>
      </c>
      <c r="J152" t="s">
        <v>19</v>
      </c>
      <c r="K152" t="s">
        <v>20</v>
      </c>
      <c r="L152">
        <v>4</v>
      </c>
      <c r="M152">
        <v>1</v>
      </c>
      <c r="N152">
        <v>1</v>
      </c>
      <c r="O152" t="s">
        <v>27</v>
      </c>
      <c r="P152" t="str">
        <f>TEXT(Table1[[#This Row],[order_date]],"yyyy-mm")</f>
        <v>2025-08</v>
      </c>
      <c r="Q152">
        <f>WEEKNUM(Table1[[#This Row],[order_date]])</f>
        <v>31</v>
      </c>
      <c r="R152">
        <f>IF(Table1[[#This Row],[order_status]]="completed",1,0)</f>
        <v>1</v>
      </c>
    </row>
    <row r="153" spans="1:18" x14ac:dyDescent="0.35">
      <c r="A153">
        <v>152</v>
      </c>
      <c r="B153" s="1">
        <v>46021</v>
      </c>
      <c r="C153">
        <v>1495</v>
      </c>
      <c r="D153" t="s">
        <v>22</v>
      </c>
      <c r="E153" t="s">
        <v>23</v>
      </c>
      <c r="F153" t="s">
        <v>17</v>
      </c>
      <c r="G153">
        <v>2</v>
      </c>
      <c r="H153">
        <v>4048</v>
      </c>
      <c r="I153" t="s">
        <v>35</v>
      </c>
      <c r="J153" t="s">
        <v>19</v>
      </c>
      <c r="K153" t="s">
        <v>40</v>
      </c>
      <c r="L153">
        <v>9</v>
      </c>
      <c r="M153">
        <v>0</v>
      </c>
      <c r="N153">
        <v>0</v>
      </c>
      <c r="O153" t="s">
        <v>27</v>
      </c>
      <c r="P153" t="str">
        <f>TEXT(Table1[[#This Row],[order_date]],"yyyy-mm")</f>
        <v>2025-12</v>
      </c>
      <c r="Q153">
        <f>WEEKNUM(Table1[[#This Row],[order_date]])</f>
        <v>53</v>
      </c>
      <c r="R153">
        <f>IF(Table1[[#This Row],[order_status]]="completed",1,0)</f>
        <v>1</v>
      </c>
    </row>
    <row r="154" spans="1:18" x14ac:dyDescent="0.35">
      <c r="A154">
        <v>153</v>
      </c>
      <c r="B154" s="1">
        <v>45928</v>
      </c>
      <c r="C154">
        <v>1526</v>
      </c>
      <c r="D154" t="s">
        <v>22</v>
      </c>
      <c r="E154" t="s">
        <v>29</v>
      </c>
      <c r="F154" t="s">
        <v>30</v>
      </c>
      <c r="G154">
        <v>4</v>
      </c>
      <c r="H154">
        <v>14720</v>
      </c>
      <c r="I154" t="s">
        <v>18</v>
      </c>
      <c r="J154" t="s">
        <v>19</v>
      </c>
      <c r="K154" t="s">
        <v>40</v>
      </c>
      <c r="L154">
        <v>9</v>
      </c>
      <c r="M154">
        <v>0</v>
      </c>
      <c r="N154">
        <v>1</v>
      </c>
      <c r="O154" t="s">
        <v>27</v>
      </c>
      <c r="P154" t="str">
        <f>TEXT(Table1[[#This Row],[order_date]],"yyyy-mm")</f>
        <v>2025-09</v>
      </c>
      <c r="Q154">
        <f>WEEKNUM(Table1[[#This Row],[order_date]])</f>
        <v>40</v>
      </c>
      <c r="R154">
        <f>IF(Table1[[#This Row],[order_status]]="completed",1,0)</f>
        <v>1</v>
      </c>
    </row>
    <row r="155" spans="1:18" x14ac:dyDescent="0.35">
      <c r="A155">
        <v>154</v>
      </c>
      <c r="B155" s="1">
        <v>45977</v>
      </c>
      <c r="C155">
        <v>1720</v>
      </c>
      <c r="D155" t="s">
        <v>41</v>
      </c>
      <c r="E155" t="s">
        <v>29</v>
      </c>
      <c r="F155" t="s">
        <v>17</v>
      </c>
      <c r="G155">
        <v>4</v>
      </c>
      <c r="H155">
        <v>0</v>
      </c>
      <c r="I155" t="s">
        <v>35</v>
      </c>
      <c r="J155" t="s">
        <v>31</v>
      </c>
      <c r="K155" t="s">
        <v>40</v>
      </c>
      <c r="L155">
        <v>9</v>
      </c>
      <c r="M155">
        <v>0</v>
      </c>
      <c r="N155">
        <v>0</v>
      </c>
      <c r="O155" t="s">
        <v>21</v>
      </c>
      <c r="P155" t="str">
        <f>TEXT(Table1[[#This Row],[order_date]],"yyyy-mm")</f>
        <v>2025-11</v>
      </c>
      <c r="Q155">
        <f>WEEKNUM(Table1[[#This Row],[order_date]])</f>
        <v>47</v>
      </c>
      <c r="R155">
        <f>IF(Table1[[#This Row],[order_status]]="completed",1,0)</f>
        <v>0</v>
      </c>
    </row>
    <row r="156" spans="1:18" x14ac:dyDescent="0.35">
      <c r="A156">
        <v>155</v>
      </c>
      <c r="B156" s="1">
        <v>46017</v>
      </c>
      <c r="C156">
        <v>1904</v>
      </c>
      <c r="D156" t="s">
        <v>41</v>
      </c>
      <c r="E156" t="s">
        <v>33</v>
      </c>
      <c r="F156" t="s">
        <v>17</v>
      </c>
      <c r="G156">
        <v>5</v>
      </c>
      <c r="H156">
        <v>0</v>
      </c>
      <c r="I156" t="s">
        <v>25</v>
      </c>
      <c r="J156" t="s">
        <v>37</v>
      </c>
      <c r="K156" t="s">
        <v>20</v>
      </c>
      <c r="L156">
        <v>10</v>
      </c>
      <c r="M156">
        <v>1</v>
      </c>
      <c r="N156">
        <v>1</v>
      </c>
      <c r="O156" t="s">
        <v>27</v>
      </c>
      <c r="P156" t="str">
        <f>TEXT(Table1[[#This Row],[order_date]],"yyyy-mm")</f>
        <v>2025-12</v>
      </c>
      <c r="Q156">
        <f>WEEKNUM(Table1[[#This Row],[order_date]])</f>
        <v>52</v>
      </c>
      <c r="R156">
        <f>IF(Table1[[#This Row],[order_status]]="completed",1,0)</f>
        <v>0</v>
      </c>
    </row>
    <row r="157" spans="1:18" x14ac:dyDescent="0.35">
      <c r="A157">
        <v>156</v>
      </c>
      <c r="B157" s="1">
        <v>45941</v>
      </c>
      <c r="C157">
        <v>1674</v>
      </c>
      <c r="D157" t="s">
        <v>41</v>
      </c>
      <c r="E157" t="s">
        <v>33</v>
      </c>
      <c r="F157" t="s">
        <v>34</v>
      </c>
      <c r="G157">
        <v>1</v>
      </c>
      <c r="H157">
        <v>0</v>
      </c>
      <c r="I157" t="s">
        <v>18</v>
      </c>
      <c r="J157" t="s">
        <v>31</v>
      </c>
      <c r="K157" t="s">
        <v>26</v>
      </c>
      <c r="L157">
        <v>10</v>
      </c>
      <c r="M157">
        <v>0</v>
      </c>
      <c r="N157">
        <v>0</v>
      </c>
      <c r="O157" t="s">
        <v>21</v>
      </c>
      <c r="P157" t="str">
        <f>TEXT(Table1[[#This Row],[order_date]],"yyyy-mm")</f>
        <v>2025-10</v>
      </c>
      <c r="Q157">
        <f>WEEKNUM(Table1[[#This Row],[order_date]])</f>
        <v>41</v>
      </c>
      <c r="R157">
        <f>IF(Table1[[#This Row],[order_status]]="completed",1,0)</f>
        <v>0</v>
      </c>
    </row>
    <row r="158" spans="1:18" x14ac:dyDescent="0.35">
      <c r="A158">
        <v>157</v>
      </c>
      <c r="B158" s="1">
        <v>45965</v>
      </c>
      <c r="C158">
        <v>1140</v>
      </c>
      <c r="D158" t="s">
        <v>15</v>
      </c>
      <c r="E158" t="s">
        <v>29</v>
      </c>
      <c r="F158" t="s">
        <v>24</v>
      </c>
      <c r="G158">
        <v>1</v>
      </c>
      <c r="H158">
        <v>0</v>
      </c>
      <c r="I158" t="s">
        <v>35</v>
      </c>
      <c r="J158" t="s">
        <v>31</v>
      </c>
      <c r="K158" t="s">
        <v>38</v>
      </c>
      <c r="L158">
        <v>2</v>
      </c>
      <c r="M158">
        <v>0</v>
      </c>
      <c r="N158">
        <v>1</v>
      </c>
      <c r="O158" t="s">
        <v>21</v>
      </c>
      <c r="P158" t="str">
        <f>TEXT(Table1[[#This Row],[order_date]],"yyyy-mm")</f>
        <v>2025-11</v>
      </c>
      <c r="Q158">
        <f>WEEKNUM(Table1[[#This Row],[order_date]])</f>
        <v>45</v>
      </c>
      <c r="R158">
        <f>IF(Table1[[#This Row],[order_status]]="completed",1,0)</f>
        <v>0</v>
      </c>
    </row>
    <row r="159" spans="1:18" x14ac:dyDescent="0.35">
      <c r="A159">
        <v>158</v>
      </c>
      <c r="B159" s="1">
        <v>46003</v>
      </c>
      <c r="C159">
        <v>1205</v>
      </c>
      <c r="D159" t="s">
        <v>41</v>
      </c>
      <c r="E159" t="s">
        <v>33</v>
      </c>
      <c r="F159" t="s">
        <v>34</v>
      </c>
      <c r="G159">
        <v>5</v>
      </c>
      <c r="H159">
        <v>22590</v>
      </c>
      <c r="I159" t="s">
        <v>18</v>
      </c>
      <c r="J159" t="s">
        <v>19</v>
      </c>
      <c r="K159" t="s">
        <v>38</v>
      </c>
      <c r="L159">
        <v>4</v>
      </c>
      <c r="M159">
        <v>1</v>
      </c>
      <c r="N159">
        <v>0</v>
      </c>
      <c r="O159" t="s">
        <v>27</v>
      </c>
      <c r="P159" t="str">
        <f>TEXT(Table1[[#This Row],[order_date]],"yyyy-mm")</f>
        <v>2025-12</v>
      </c>
      <c r="Q159">
        <f>WEEKNUM(Table1[[#This Row],[order_date]])</f>
        <v>50</v>
      </c>
      <c r="R159">
        <f>IF(Table1[[#This Row],[order_status]]="completed",1,0)</f>
        <v>1</v>
      </c>
    </row>
    <row r="160" spans="1:18" x14ac:dyDescent="0.35">
      <c r="A160">
        <v>159</v>
      </c>
      <c r="B160" s="1">
        <v>45930</v>
      </c>
      <c r="C160">
        <v>1355</v>
      </c>
      <c r="D160" t="s">
        <v>22</v>
      </c>
      <c r="E160" t="s">
        <v>23</v>
      </c>
      <c r="F160" t="s">
        <v>30</v>
      </c>
      <c r="G160">
        <v>5</v>
      </c>
      <c r="H160">
        <v>0</v>
      </c>
      <c r="I160" t="s">
        <v>39</v>
      </c>
      <c r="J160" t="s">
        <v>37</v>
      </c>
      <c r="K160" t="s">
        <v>20</v>
      </c>
      <c r="L160">
        <v>5</v>
      </c>
      <c r="M160">
        <v>0</v>
      </c>
      <c r="N160">
        <v>0</v>
      </c>
      <c r="O160" t="s">
        <v>27</v>
      </c>
      <c r="P160" t="str">
        <f>TEXT(Table1[[#This Row],[order_date]],"yyyy-mm")</f>
        <v>2025-09</v>
      </c>
      <c r="Q160">
        <f>WEEKNUM(Table1[[#This Row],[order_date]])</f>
        <v>40</v>
      </c>
      <c r="R160">
        <f>IF(Table1[[#This Row],[order_status]]="completed",1,0)</f>
        <v>0</v>
      </c>
    </row>
    <row r="161" spans="1:18" x14ac:dyDescent="0.35">
      <c r="A161">
        <v>160</v>
      </c>
      <c r="B161" s="1">
        <v>46005</v>
      </c>
      <c r="C161">
        <v>1355</v>
      </c>
      <c r="D161" t="s">
        <v>32</v>
      </c>
      <c r="E161" t="s">
        <v>23</v>
      </c>
      <c r="F161" t="s">
        <v>34</v>
      </c>
      <c r="G161">
        <v>3</v>
      </c>
      <c r="H161">
        <v>1752</v>
      </c>
      <c r="I161" t="s">
        <v>35</v>
      </c>
      <c r="J161" t="s">
        <v>19</v>
      </c>
      <c r="K161" t="s">
        <v>26</v>
      </c>
      <c r="L161">
        <v>3</v>
      </c>
      <c r="M161">
        <v>0</v>
      </c>
      <c r="N161">
        <v>0</v>
      </c>
      <c r="O161" t="s">
        <v>27</v>
      </c>
      <c r="P161" t="str">
        <f>TEXT(Table1[[#This Row],[order_date]],"yyyy-mm")</f>
        <v>2025-12</v>
      </c>
      <c r="Q161">
        <f>WEEKNUM(Table1[[#This Row],[order_date]])</f>
        <v>51</v>
      </c>
      <c r="R161">
        <f>IF(Table1[[#This Row],[order_status]]="completed",1,0)</f>
        <v>1</v>
      </c>
    </row>
    <row r="162" spans="1:18" x14ac:dyDescent="0.35">
      <c r="A162">
        <v>161</v>
      </c>
      <c r="B162" s="1">
        <v>45999</v>
      </c>
      <c r="C162">
        <v>1051</v>
      </c>
      <c r="D162" t="s">
        <v>15</v>
      </c>
      <c r="E162" t="s">
        <v>16</v>
      </c>
      <c r="F162" t="s">
        <v>30</v>
      </c>
      <c r="G162">
        <v>5</v>
      </c>
      <c r="H162">
        <v>0</v>
      </c>
      <c r="I162" t="s">
        <v>25</v>
      </c>
      <c r="J162" t="s">
        <v>37</v>
      </c>
      <c r="K162" t="s">
        <v>26</v>
      </c>
      <c r="L162">
        <v>7</v>
      </c>
      <c r="M162">
        <v>1</v>
      </c>
      <c r="N162">
        <v>0</v>
      </c>
      <c r="O162" t="s">
        <v>21</v>
      </c>
      <c r="P162" t="str">
        <f>TEXT(Table1[[#This Row],[order_date]],"yyyy-mm")</f>
        <v>2025-12</v>
      </c>
      <c r="Q162">
        <f>WEEKNUM(Table1[[#This Row],[order_date]])</f>
        <v>50</v>
      </c>
      <c r="R162">
        <f>IF(Table1[[#This Row],[order_status]]="completed",1,0)</f>
        <v>0</v>
      </c>
    </row>
    <row r="163" spans="1:18" x14ac:dyDescent="0.35">
      <c r="A163">
        <v>162</v>
      </c>
      <c r="B163" s="1">
        <v>45989</v>
      </c>
      <c r="C163">
        <v>1438</v>
      </c>
      <c r="D163" t="s">
        <v>41</v>
      </c>
      <c r="E163" t="s">
        <v>36</v>
      </c>
      <c r="F163" t="s">
        <v>30</v>
      </c>
      <c r="G163">
        <v>1</v>
      </c>
      <c r="H163">
        <v>0</v>
      </c>
      <c r="I163" t="s">
        <v>18</v>
      </c>
      <c r="J163" t="s">
        <v>31</v>
      </c>
      <c r="K163" t="s">
        <v>38</v>
      </c>
      <c r="L163">
        <v>10</v>
      </c>
      <c r="M163">
        <v>0</v>
      </c>
      <c r="N163">
        <v>1</v>
      </c>
      <c r="O163" t="s">
        <v>27</v>
      </c>
      <c r="P163" t="str">
        <f>TEXT(Table1[[#This Row],[order_date]],"yyyy-mm")</f>
        <v>2025-11</v>
      </c>
      <c r="Q163">
        <f>WEEKNUM(Table1[[#This Row],[order_date]])</f>
        <v>48</v>
      </c>
      <c r="R163">
        <f>IF(Table1[[#This Row],[order_status]]="completed",1,0)</f>
        <v>0</v>
      </c>
    </row>
    <row r="164" spans="1:18" x14ac:dyDescent="0.35">
      <c r="A164">
        <v>163</v>
      </c>
      <c r="B164" s="1">
        <v>46024</v>
      </c>
      <c r="C164">
        <v>1210</v>
      </c>
      <c r="D164" t="s">
        <v>32</v>
      </c>
      <c r="E164" t="s">
        <v>33</v>
      </c>
      <c r="F164" t="s">
        <v>17</v>
      </c>
      <c r="G164">
        <v>5</v>
      </c>
      <c r="H164">
        <v>23140</v>
      </c>
      <c r="I164" t="s">
        <v>25</v>
      </c>
      <c r="J164" t="s">
        <v>19</v>
      </c>
      <c r="K164" t="s">
        <v>20</v>
      </c>
      <c r="L164">
        <v>6</v>
      </c>
      <c r="M164">
        <v>0</v>
      </c>
      <c r="N164">
        <v>1</v>
      </c>
      <c r="O164" t="s">
        <v>27</v>
      </c>
      <c r="P164" t="str">
        <f>TEXT(Table1[[#This Row],[order_date]],"yyyy-mm")</f>
        <v>2026-01</v>
      </c>
      <c r="Q164">
        <f>WEEKNUM(Table1[[#This Row],[order_date]])</f>
        <v>1</v>
      </c>
      <c r="R164">
        <f>IF(Table1[[#This Row],[order_status]]="completed",1,0)</f>
        <v>1</v>
      </c>
    </row>
    <row r="165" spans="1:18" x14ac:dyDescent="0.35">
      <c r="A165">
        <v>164</v>
      </c>
      <c r="B165" s="1">
        <v>45913</v>
      </c>
      <c r="C165">
        <v>1658</v>
      </c>
      <c r="D165" t="s">
        <v>28</v>
      </c>
      <c r="E165" t="s">
        <v>29</v>
      </c>
      <c r="F165" t="s">
        <v>24</v>
      </c>
      <c r="G165">
        <v>5</v>
      </c>
      <c r="H165">
        <v>10230</v>
      </c>
      <c r="I165" t="s">
        <v>18</v>
      </c>
      <c r="J165" t="s">
        <v>19</v>
      </c>
      <c r="K165" t="s">
        <v>40</v>
      </c>
      <c r="L165">
        <v>2</v>
      </c>
      <c r="M165">
        <v>0</v>
      </c>
      <c r="N165">
        <v>0</v>
      </c>
      <c r="O165" t="s">
        <v>27</v>
      </c>
      <c r="P165" t="str">
        <f>TEXT(Table1[[#This Row],[order_date]],"yyyy-mm")</f>
        <v>2025-09</v>
      </c>
      <c r="Q165">
        <f>WEEKNUM(Table1[[#This Row],[order_date]])</f>
        <v>37</v>
      </c>
      <c r="R165">
        <f>IF(Table1[[#This Row],[order_status]]="completed",1,0)</f>
        <v>1</v>
      </c>
    </row>
    <row r="166" spans="1:18" x14ac:dyDescent="0.35">
      <c r="A166">
        <v>165</v>
      </c>
      <c r="B166" s="1">
        <v>45930</v>
      </c>
      <c r="C166">
        <v>1603</v>
      </c>
      <c r="D166" t="s">
        <v>15</v>
      </c>
      <c r="E166" t="s">
        <v>36</v>
      </c>
      <c r="F166" t="s">
        <v>24</v>
      </c>
      <c r="G166">
        <v>1</v>
      </c>
      <c r="H166">
        <v>0</v>
      </c>
      <c r="I166" t="s">
        <v>25</v>
      </c>
      <c r="J166" t="s">
        <v>37</v>
      </c>
      <c r="K166" t="s">
        <v>38</v>
      </c>
      <c r="L166">
        <v>3</v>
      </c>
      <c r="M166">
        <v>1</v>
      </c>
      <c r="N166">
        <v>0</v>
      </c>
      <c r="O166" t="s">
        <v>27</v>
      </c>
      <c r="P166" t="str">
        <f>TEXT(Table1[[#This Row],[order_date]],"yyyy-mm")</f>
        <v>2025-09</v>
      </c>
      <c r="Q166">
        <f>WEEKNUM(Table1[[#This Row],[order_date]])</f>
        <v>40</v>
      </c>
      <c r="R166">
        <f>IF(Table1[[#This Row],[order_status]]="completed",1,0)</f>
        <v>0</v>
      </c>
    </row>
    <row r="167" spans="1:18" x14ac:dyDescent="0.35">
      <c r="A167">
        <v>166</v>
      </c>
      <c r="B167" s="1">
        <v>46027</v>
      </c>
      <c r="C167">
        <v>1306</v>
      </c>
      <c r="D167" t="s">
        <v>15</v>
      </c>
      <c r="E167" t="s">
        <v>23</v>
      </c>
      <c r="F167" t="s">
        <v>17</v>
      </c>
      <c r="G167">
        <v>2</v>
      </c>
      <c r="H167">
        <v>5404</v>
      </c>
      <c r="I167" t="s">
        <v>25</v>
      </c>
      <c r="J167" t="s">
        <v>19</v>
      </c>
      <c r="K167" t="s">
        <v>20</v>
      </c>
      <c r="L167">
        <v>4</v>
      </c>
      <c r="M167">
        <v>1</v>
      </c>
      <c r="N167">
        <v>0</v>
      </c>
      <c r="O167" t="s">
        <v>21</v>
      </c>
      <c r="P167" t="str">
        <f>TEXT(Table1[[#This Row],[order_date]],"yyyy-mm")</f>
        <v>2026-01</v>
      </c>
      <c r="Q167">
        <f>WEEKNUM(Table1[[#This Row],[order_date]])</f>
        <v>2</v>
      </c>
      <c r="R167">
        <f>IF(Table1[[#This Row],[order_status]]="completed",1,0)</f>
        <v>1</v>
      </c>
    </row>
    <row r="168" spans="1:18" x14ac:dyDescent="0.35">
      <c r="A168">
        <v>167</v>
      </c>
      <c r="B168" s="1">
        <v>45890</v>
      </c>
      <c r="C168">
        <v>1002</v>
      </c>
      <c r="D168" t="s">
        <v>41</v>
      </c>
      <c r="E168" t="s">
        <v>33</v>
      </c>
      <c r="F168" t="s">
        <v>24</v>
      </c>
      <c r="G168">
        <v>3</v>
      </c>
      <c r="H168">
        <v>0</v>
      </c>
      <c r="I168" t="s">
        <v>25</v>
      </c>
      <c r="J168" t="s">
        <v>31</v>
      </c>
      <c r="K168" t="s">
        <v>38</v>
      </c>
      <c r="L168">
        <v>2</v>
      </c>
      <c r="M168">
        <v>1</v>
      </c>
      <c r="N168">
        <v>0</v>
      </c>
      <c r="O168" t="s">
        <v>27</v>
      </c>
      <c r="P168" t="str">
        <f>TEXT(Table1[[#This Row],[order_date]],"yyyy-mm")</f>
        <v>2025-08</v>
      </c>
      <c r="Q168">
        <f>WEEKNUM(Table1[[#This Row],[order_date]])</f>
        <v>34</v>
      </c>
      <c r="R168">
        <f>IF(Table1[[#This Row],[order_status]]="completed",1,0)</f>
        <v>0</v>
      </c>
    </row>
    <row r="169" spans="1:18" x14ac:dyDescent="0.35">
      <c r="A169">
        <v>168</v>
      </c>
      <c r="B169" s="1">
        <v>45959</v>
      </c>
      <c r="C169">
        <v>1053</v>
      </c>
      <c r="D169" t="s">
        <v>22</v>
      </c>
      <c r="E169" t="s">
        <v>16</v>
      </c>
      <c r="F169" t="s">
        <v>34</v>
      </c>
      <c r="G169">
        <v>5</v>
      </c>
      <c r="H169">
        <v>0</v>
      </c>
      <c r="I169" t="s">
        <v>18</v>
      </c>
      <c r="J169" t="s">
        <v>31</v>
      </c>
      <c r="K169" t="s">
        <v>20</v>
      </c>
      <c r="L169">
        <v>10</v>
      </c>
      <c r="M169">
        <v>1</v>
      </c>
      <c r="N169">
        <v>0</v>
      </c>
      <c r="O169" t="s">
        <v>21</v>
      </c>
      <c r="P169" t="str">
        <f>TEXT(Table1[[#This Row],[order_date]],"yyyy-mm")</f>
        <v>2025-10</v>
      </c>
      <c r="Q169">
        <f>WEEKNUM(Table1[[#This Row],[order_date]])</f>
        <v>44</v>
      </c>
      <c r="R169">
        <f>IF(Table1[[#This Row],[order_status]]="completed",1,0)</f>
        <v>0</v>
      </c>
    </row>
    <row r="170" spans="1:18" x14ac:dyDescent="0.35">
      <c r="A170">
        <v>169</v>
      </c>
      <c r="B170" s="1">
        <v>45993</v>
      </c>
      <c r="C170">
        <v>1231</v>
      </c>
      <c r="D170" t="s">
        <v>22</v>
      </c>
      <c r="E170" t="s">
        <v>29</v>
      </c>
      <c r="F170" t="s">
        <v>30</v>
      </c>
      <c r="G170">
        <v>5</v>
      </c>
      <c r="H170">
        <v>0</v>
      </c>
      <c r="I170" t="s">
        <v>25</v>
      </c>
      <c r="J170" t="s">
        <v>31</v>
      </c>
      <c r="K170" t="s">
        <v>26</v>
      </c>
      <c r="L170">
        <v>1</v>
      </c>
      <c r="M170">
        <v>0</v>
      </c>
      <c r="N170">
        <v>0</v>
      </c>
      <c r="O170" t="s">
        <v>27</v>
      </c>
      <c r="P170" t="str">
        <f>TEXT(Table1[[#This Row],[order_date]],"yyyy-mm")</f>
        <v>2025-12</v>
      </c>
      <c r="Q170">
        <f>WEEKNUM(Table1[[#This Row],[order_date]])</f>
        <v>49</v>
      </c>
      <c r="R170">
        <f>IF(Table1[[#This Row],[order_status]]="completed",1,0)</f>
        <v>0</v>
      </c>
    </row>
    <row r="171" spans="1:18" x14ac:dyDescent="0.35">
      <c r="A171">
        <v>170</v>
      </c>
      <c r="B171" s="1">
        <v>45910</v>
      </c>
      <c r="C171">
        <v>1557</v>
      </c>
      <c r="D171" t="s">
        <v>15</v>
      </c>
      <c r="E171" t="s">
        <v>16</v>
      </c>
      <c r="F171" t="s">
        <v>24</v>
      </c>
      <c r="G171">
        <v>4</v>
      </c>
      <c r="H171">
        <v>1792</v>
      </c>
      <c r="I171" t="s">
        <v>35</v>
      </c>
      <c r="J171" t="s">
        <v>19</v>
      </c>
      <c r="K171" t="s">
        <v>26</v>
      </c>
      <c r="L171">
        <v>4</v>
      </c>
      <c r="M171">
        <v>0</v>
      </c>
      <c r="N171">
        <v>1</v>
      </c>
      <c r="O171" t="s">
        <v>27</v>
      </c>
      <c r="P171" t="str">
        <f>TEXT(Table1[[#This Row],[order_date]],"yyyy-mm")</f>
        <v>2025-09</v>
      </c>
      <c r="Q171">
        <f>WEEKNUM(Table1[[#This Row],[order_date]])</f>
        <v>37</v>
      </c>
      <c r="R171">
        <f>IF(Table1[[#This Row],[order_status]]="completed",1,0)</f>
        <v>1</v>
      </c>
    </row>
    <row r="172" spans="1:18" x14ac:dyDescent="0.35">
      <c r="A172">
        <v>171</v>
      </c>
      <c r="B172" s="1">
        <v>45916</v>
      </c>
      <c r="C172">
        <v>1744</v>
      </c>
      <c r="D172" t="s">
        <v>41</v>
      </c>
      <c r="E172" t="s">
        <v>23</v>
      </c>
      <c r="F172" t="s">
        <v>17</v>
      </c>
      <c r="G172">
        <v>5</v>
      </c>
      <c r="H172">
        <v>0</v>
      </c>
      <c r="I172" t="s">
        <v>39</v>
      </c>
      <c r="J172" t="s">
        <v>37</v>
      </c>
      <c r="K172" t="s">
        <v>38</v>
      </c>
      <c r="L172">
        <v>1</v>
      </c>
      <c r="M172">
        <v>1</v>
      </c>
      <c r="N172">
        <v>0</v>
      </c>
      <c r="O172" t="s">
        <v>27</v>
      </c>
      <c r="P172" t="str">
        <f>TEXT(Table1[[#This Row],[order_date]],"yyyy-mm")</f>
        <v>2025-09</v>
      </c>
      <c r="Q172">
        <f>WEEKNUM(Table1[[#This Row],[order_date]])</f>
        <v>38</v>
      </c>
      <c r="R172">
        <f>IF(Table1[[#This Row],[order_status]]="completed",1,0)</f>
        <v>0</v>
      </c>
    </row>
    <row r="173" spans="1:18" x14ac:dyDescent="0.35">
      <c r="A173">
        <v>172</v>
      </c>
      <c r="B173" s="1">
        <v>45928</v>
      </c>
      <c r="C173">
        <v>1053</v>
      </c>
      <c r="D173" t="s">
        <v>15</v>
      </c>
      <c r="E173" t="s">
        <v>16</v>
      </c>
      <c r="F173" t="s">
        <v>30</v>
      </c>
      <c r="G173">
        <v>5</v>
      </c>
      <c r="H173">
        <v>0</v>
      </c>
      <c r="I173" t="s">
        <v>39</v>
      </c>
      <c r="J173" t="s">
        <v>37</v>
      </c>
      <c r="K173" t="s">
        <v>38</v>
      </c>
      <c r="L173">
        <v>1</v>
      </c>
      <c r="M173">
        <v>1</v>
      </c>
      <c r="N173">
        <v>0</v>
      </c>
      <c r="O173" t="s">
        <v>21</v>
      </c>
      <c r="P173" t="str">
        <f>TEXT(Table1[[#This Row],[order_date]],"yyyy-mm")</f>
        <v>2025-09</v>
      </c>
      <c r="Q173">
        <f>WEEKNUM(Table1[[#This Row],[order_date]])</f>
        <v>40</v>
      </c>
      <c r="R173">
        <f>IF(Table1[[#This Row],[order_status]]="completed",1,0)</f>
        <v>0</v>
      </c>
    </row>
    <row r="174" spans="1:18" x14ac:dyDescent="0.35">
      <c r="A174">
        <v>173</v>
      </c>
      <c r="B174" s="1">
        <v>45927</v>
      </c>
      <c r="C174">
        <v>1614</v>
      </c>
      <c r="D174" t="s">
        <v>15</v>
      </c>
      <c r="E174" t="s">
        <v>23</v>
      </c>
      <c r="F174" t="s">
        <v>34</v>
      </c>
      <c r="G174">
        <v>2</v>
      </c>
      <c r="H174">
        <v>6750</v>
      </c>
      <c r="I174" t="s">
        <v>18</v>
      </c>
      <c r="J174" t="s">
        <v>19</v>
      </c>
      <c r="K174" t="s">
        <v>26</v>
      </c>
      <c r="L174">
        <v>5</v>
      </c>
      <c r="M174">
        <v>1</v>
      </c>
      <c r="N174">
        <v>0</v>
      </c>
      <c r="O174" t="s">
        <v>27</v>
      </c>
      <c r="P174" t="str">
        <f>TEXT(Table1[[#This Row],[order_date]],"yyyy-mm")</f>
        <v>2025-09</v>
      </c>
      <c r="Q174">
        <f>WEEKNUM(Table1[[#This Row],[order_date]])</f>
        <v>39</v>
      </c>
      <c r="R174">
        <f>IF(Table1[[#This Row],[order_status]]="completed",1,0)</f>
        <v>1</v>
      </c>
    </row>
    <row r="175" spans="1:18" x14ac:dyDescent="0.35">
      <c r="A175">
        <v>174</v>
      </c>
      <c r="B175" s="1">
        <v>46000</v>
      </c>
      <c r="C175">
        <v>1428</v>
      </c>
      <c r="D175" t="s">
        <v>28</v>
      </c>
      <c r="E175" t="s">
        <v>33</v>
      </c>
      <c r="F175" t="s">
        <v>30</v>
      </c>
      <c r="G175">
        <v>4</v>
      </c>
      <c r="H175">
        <v>0</v>
      </c>
      <c r="I175" t="s">
        <v>35</v>
      </c>
      <c r="J175" t="s">
        <v>31</v>
      </c>
      <c r="K175" t="s">
        <v>38</v>
      </c>
      <c r="L175">
        <v>6</v>
      </c>
      <c r="M175">
        <v>1</v>
      </c>
      <c r="N175">
        <v>1</v>
      </c>
      <c r="O175" t="s">
        <v>21</v>
      </c>
      <c r="P175" t="str">
        <f>TEXT(Table1[[#This Row],[order_date]],"yyyy-mm")</f>
        <v>2025-12</v>
      </c>
      <c r="Q175">
        <f>WEEKNUM(Table1[[#This Row],[order_date]])</f>
        <v>50</v>
      </c>
      <c r="R175">
        <f>IF(Table1[[#This Row],[order_status]]="completed",1,0)</f>
        <v>0</v>
      </c>
    </row>
    <row r="176" spans="1:18" x14ac:dyDescent="0.35">
      <c r="A176">
        <v>175</v>
      </c>
      <c r="B176" s="1">
        <v>45918</v>
      </c>
      <c r="C176">
        <v>1057</v>
      </c>
      <c r="D176" t="s">
        <v>32</v>
      </c>
      <c r="E176" t="s">
        <v>16</v>
      </c>
      <c r="F176" t="s">
        <v>17</v>
      </c>
      <c r="G176">
        <v>5</v>
      </c>
      <c r="H176">
        <v>17830</v>
      </c>
      <c r="I176" t="s">
        <v>39</v>
      </c>
      <c r="J176" t="s">
        <v>19</v>
      </c>
      <c r="K176" t="s">
        <v>38</v>
      </c>
      <c r="L176">
        <v>3</v>
      </c>
      <c r="M176">
        <v>1</v>
      </c>
      <c r="N176">
        <v>1</v>
      </c>
      <c r="O176" t="s">
        <v>21</v>
      </c>
      <c r="P176" t="str">
        <f>TEXT(Table1[[#This Row],[order_date]],"yyyy-mm")</f>
        <v>2025-09</v>
      </c>
      <c r="Q176">
        <f>WEEKNUM(Table1[[#This Row],[order_date]])</f>
        <v>38</v>
      </c>
      <c r="R176">
        <f>IF(Table1[[#This Row],[order_status]]="completed",1,0)</f>
        <v>1</v>
      </c>
    </row>
    <row r="177" spans="1:18" x14ac:dyDescent="0.35">
      <c r="A177">
        <v>176</v>
      </c>
      <c r="B177" s="1">
        <v>46010</v>
      </c>
      <c r="C177">
        <v>1936</v>
      </c>
      <c r="D177" t="s">
        <v>32</v>
      </c>
      <c r="E177" t="s">
        <v>33</v>
      </c>
      <c r="F177" t="s">
        <v>24</v>
      </c>
      <c r="G177">
        <v>1</v>
      </c>
      <c r="H177">
        <v>0</v>
      </c>
      <c r="I177" t="s">
        <v>35</v>
      </c>
      <c r="J177" t="s">
        <v>37</v>
      </c>
      <c r="K177" t="s">
        <v>38</v>
      </c>
      <c r="L177">
        <v>7</v>
      </c>
      <c r="M177">
        <v>1</v>
      </c>
      <c r="N177">
        <v>1</v>
      </c>
      <c r="O177" t="s">
        <v>27</v>
      </c>
      <c r="P177" t="str">
        <f>TEXT(Table1[[#This Row],[order_date]],"yyyy-mm")</f>
        <v>2025-12</v>
      </c>
      <c r="Q177">
        <f>WEEKNUM(Table1[[#This Row],[order_date]])</f>
        <v>51</v>
      </c>
      <c r="R177">
        <f>IF(Table1[[#This Row],[order_status]]="completed",1,0)</f>
        <v>0</v>
      </c>
    </row>
    <row r="178" spans="1:18" x14ac:dyDescent="0.35">
      <c r="A178">
        <v>177</v>
      </c>
      <c r="B178" s="1">
        <v>45866</v>
      </c>
      <c r="C178">
        <v>1838</v>
      </c>
      <c r="D178" t="s">
        <v>28</v>
      </c>
      <c r="E178" t="s">
        <v>33</v>
      </c>
      <c r="F178" t="s">
        <v>17</v>
      </c>
      <c r="G178">
        <v>5</v>
      </c>
      <c r="H178">
        <v>0</v>
      </c>
      <c r="I178" t="s">
        <v>25</v>
      </c>
      <c r="J178" t="s">
        <v>31</v>
      </c>
      <c r="K178" t="s">
        <v>40</v>
      </c>
      <c r="L178">
        <v>3</v>
      </c>
      <c r="M178">
        <v>1</v>
      </c>
      <c r="N178">
        <v>0</v>
      </c>
      <c r="O178" t="s">
        <v>21</v>
      </c>
      <c r="P178" t="str">
        <f>TEXT(Table1[[#This Row],[order_date]],"yyyy-mm")</f>
        <v>2025-07</v>
      </c>
      <c r="Q178">
        <f>WEEKNUM(Table1[[#This Row],[order_date]])</f>
        <v>31</v>
      </c>
      <c r="R178">
        <f>IF(Table1[[#This Row],[order_status]]="completed",1,0)</f>
        <v>0</v>
      </c>
    </row>
    <row r="179" spans="1:18" x14ac:dyDescent="0.35">
      <c r="A179">
        <v>178</v>
      </c>
      <c r="B179" s="1">
        <v>45952</v>
      </c>
      <c r="C179">
        <v>1924</v>
      </c>
      <c r="D179" t="s">
        <v>15</v>
      </c>
      <c r="E179" t="s">
        <v>36</v>
      </c>
      <c r="F179" t="s">
        <v>24</v>
      </c>
      <c r="G179">
        <v>3</v>
      </c>
      <c r="H179">
        <v>0</v>
      </c>
      <c r="I179" t="s">
        <v>39</v>
      </c>
      <c r="J179" t="s">
        <v>31</v>
      </c>
      <c r="K179" t="s">
        <v>20</v>
      </c>
      <c r="L179">
        <v>2</v>
      </c>
      <c r="M179">
        <v>1</v>
      </c>
      <c r="N179">
        <v>0</v>
      </c>
      <c r="O179" t="s">
        <v>21</v>
      </c>
      <c r="P179" t="str">
        <f>TEXT(Table1[[#This Row],[order_date]],"yyyy-mm")</f>
        <v>2025-10</v>
      </c>
      <c r="Q179">
        <f>WEEKNUM(Table1[[#This Row],[order_date]])</f>
        <v>43</v>
      </c>
      <c r="R179">
        <f>IF(Table1[[#This Row],[order_status]]="completed",1,0)</f>
        <v>0</v>
      </c>
    </row>
    <row r="180" spans="1:18" x14ac:dyDescent="0.35">
      <c r="A180">
        <v>179</v>
      </c>
      <c r="B180" s="1">
        <v>46003</v>
      </c>
      <c r="C180">
        <v>1250</v>
      </c>
      <c r="D180" t="s">
        <v>28</v>
      </c>
      <c r="E180" t="s">
        <v>36</v>
      </c>
      <c r="F180" t="s">
        <v>30</v>
      </c>
      <c r="G180">
        <v>3</v>
      </c>
      <c r="H180">
        <v>6102</v>
      </c>
      <c r="I180" t="s">
        <v>39</v>
      </c>
      <c r="J180" t="s">
        <v>19</v>
      </c>
      <c r="K180" t="s">
        <v>38</v>
      </c>
      <c r="L180">
        <v>8</v>
      </c>
      <c r="M180">
        <v>1</v>
      </c>
      <c r="N180">
        <v>0</v>
      </c>
      <c r="O180" t="s">
        <v>27</v>
      </c>
      <c r="P180" t="str">
        <f>TEXT(Table1[[#This Row],[order_date]],"yyyy-mm")</f>
        <v>2025-12</v>
      </c>
      <c r="Q180">
        <f>WEEKNUM(Table1[[#This Row],[order_date]])</f>
        <v>50</v>
      </c>
      <c r="R180">
        <f>IF(Table1[[#This Row],[order_status]]="completed",1,0)</f>
        <v>1</v>
      </c>
    </row>
    <row r="181" spans="1:18" x14ac:dyDescent="0.35">
      <c r="A181">
        <v>180</v>
      </c>
      <c r="B181" s="1">
        <v>45912</v>
      </c>
      <c r="C181">
        <v>1590</v>
      </c>
      <c r="D181" t="s">
        <v>28</v>
      </c>
      <c r="E181" t="s">
        <v>33</v>
      </c>
      <c r="F181" t="s">
        <v>30</v>
      </c>
      <c r="G181">
        <v>3</v>
      </c>
      <c r="H181">
        <v>0</v>
      </c>
      <c r="I181" t="s">
        <v>39</v>
      </c>
      <c r="J181" t="s">
        <v>37</v>
      </c>
      <c r="K181" t="s">
        <v>40</v>
      </c>
      <c r="L181">
        <v>8</v>
      </c>
      <c r="M181">
        <v>1</v>
      </c>
      <c r="N181">
        <v>0</v>
      </c>
      <c r="O181" t="s">
        <v>27</v>
      </c>
      <c r="P181" t="str">
        <f>TEXT(Table1[[#This Row],[order_date]],"yyyy-mm")</f>
        <v>2025-09</v>
      </c>
      <c r="Q181">
        <f>WEEKNUM(Table1[[#This Row],[order_date]])</f>
        <v>37</v>
      </c>
      <c r="R181">
        <f>IF(Table1[[#This Row],[order_status]]="completed",1,0)</f>
        <v>0</v>
      </c>
    </row>
    <row r="182" spans="1:18" x14ac:dyDescent="0.35">
      <c r="A182">
        <v>181</v>
      </c>
      <c r="B182" s="1">
        <v>45925</v>
      </c>
      <c r="C182">
        <v>1120</v>
      </c>
      <c r="D182" t="s">
        <v>22</v>
      </c>
      <c r="E182" t="s">
        <v>36</v>
      </c>
      <c r="F182" t="s">
        <v>34</v>
      </c>
      <c r="G182">
        <v>2</v>
      </c>
      <c r="H182">
        <v>932</v>
      </c>
      <c r="I182" t="s">
        <v>35</v>
      </c>
      <c r="J182" t="s">
        <v>19</v>
      </c>
      <c r="K182" t="s">
        <v>38</v>
      </c>
      <c r="L182">
        <v>3</v>
      </c>
      <c r="M182">
        <v>0</v>
      </c>
      <c r="N182">
        <v>1</v>
      </c>
      <c r="O182" t="s">
        <v>27</v>
      </c>
      <c r="P182" t="str">
        <f>TEXT(Table1[[#This Row],[order_date]],"yyyy-mm")</f>
        <v>2025-09</v>
      </c>
      <c r="Q182">
        <f>WEEKNUM(Table1[[#This Row],[order_date]])</f>
        <v>39</v>
      </c>
      <c r="R182">
        <f>IF(Table1[[#This Row],[order_status]]="completed",1,0)</f>
        <v>1</v>
      </c>
    </row>
    <row r="183" spans="1:18" x14ac:dyDescent="0.35">
      <c r="A183">
        <v>182</v>
      </c>
      <c r="B183" s="1">
        <v>45977</v>
      </c>
      <c r="C183">
        <v>1868</v>
      </c>
      <c r="D183" t="s">
        <v>15</v>
      </c>
      <c r="E183" t="s">
        <v>23</v>
      </c>
      <c r="F183" t="s">
        <v>24</v>
      </c>
      <c r="G183">
        <v>3</v>
      </c>
      <c r="H183">
        <v>0</v>
      </c>
      <c r="I183" t="s">
        <v>18</v>
      </c>
      <c r="J183" t="s">
        <v>31</v>
      </c>
      <c r="K183" t="s">
        <v>38</v>
      </c>
      <c r="L183">
        <v>1</v>
      </c>
      <c r="M183">
        <v>1</v>
      </c>
      <c r="N183">
        <v>0</v>
      </c>
      <c r="O183" t="s">
        <v>27</v>
      </c>
      <c r="P183" t="str">
        <f>TEXT(Table1[[#This Row],[order_date]],"yyyy-mm")</f>
        <v>2025-11</v>
      </c>
      <c r="Q183">
        <f>WEEKNUM(Table1[[#This Row],[order_date]])</f>
        <v>47</v>
      </c>
      <c r="R183">
        <f>IF(Table1[[#This Row],[order_status]]="completed",1,0)</f>
        <v>0</v>
      </c>
    </row>
    <row r="184" spans="1:18" x14ac:dyDescent="0.35">
      <c r="A184">
        <v>183</v>
      </c>
      <c r="B184" s="1">
        <v>45907</v>
      </c>
      <c r="C184">
        <v>1060</v>
      </c>
      <c r="D184" t="s">
        <v>28</v>
      </c>
      <c r="E184" t="s">
        <v>16</v>
      </c>
      <c r="F184" t="s">
        <v>24</v>
      </c>
      <c r="G184">
        <v>2</v>
      </c>
      <c r="H184">
        <v>0</v>
      </c>
      <c r="I184" t="s">
        <v>39</v>
      </c>
      <c r="J184" t="s">
        <v>31</v>
      </c>
      <c r="K184" t="s">
        <v>26</v>
      </c>
      <c r="L184">
        <v>2</v>
      </c>
      <c r="M184">
        <v>1</v>
      </c>
      <c r="N184">
        <v>0</v>
      </c>
      <c r="O184" t="s">
        <v>27</v>
      </c>
      <c r="P184" t="str">
        <f>TEXT(Table1[[#This Row],[order_date]],"yyyy-mm")</f>
        <v>2025-09</v>
      </c>
      <c r="Q184">
        <f>WEEKNUM(Table1[[#This Row],[order_date]])</f>
        <v>37</v>
      </c>
      <c r="R184">
        <f>IF(Table1[[#This Row],[order_status]]="completed",1,0)</f>
        <v>0</v>
      </c>
    </row>
    <row r="185" spans="1:18" x14ac:dyDescent="0.35">
      <c r="A185">
        <v>184</v>
      </c>
      <c r="B185" s="1">
        <v>45852</v>
      </c>
      <c r="C185">
        <v>1446</v>
      </c>
      <c r="D185" t="s">
        <v>15</v>
      </c>
      <c r="E185" t="s">
        <v>33</v>
      </c>
      <c r="F185" t="s">
        <v>24</v>
      </c>
      <c r="G185">
        <v>3</v>
      </c>
      <c r="H185">
        <v>0</v>
      </c>
      <c r="I185" t="s">
        <v>39</v>
      </c>
      <c r="J185" t="s">
        <v>37</v>
      </c>
      <c r="K185" t="s">
        <v>26</v>
      </c>
      <c r="L185">
        <v>6</v>
      </c>
      <c r="M185">
        <v>1</v>
      </c>
      <c r="N185">
        <v>0</v>
      </c>
      <c r="O185" t="s">
        <v>27</v>
      </c>
      <c r="P185" t="str">
        <f>TEXT(Table1[[#This Row],[order_date]],"yyyy-mm")</f>
        <v>2025-07</v>
      </c>
      <c r="Q185">
        <f>WEEKNUM(Table1[[#This Row],[order_date]])</f>
        <v>29</v>
      </c>
      <c r="R185">
        <f>IF(Table1[[#This Row],[order_status]]="completed",1,0)</f>
        <v>0</v>
      </c>
    </row>
    <row r="186" spans="1:18" x14ac:dyDescent="0.35">
      <c r="A186">
        <v>185</v>
      </c>
      <c r="B186" s="1">
        <v>45993</v>
      </c>
      <c r="C186">
        <v>1085</v>
      </c>
      <c r="D186" t="s">
        <v>41</v>
      </c>
      <c r="E186" t="s">
        <v>23</v>
      </c>
      <c r="F186" t="s">
        <v>34</v>
      </c>
      <c r="G186">
        <v>3</v>
      </c>
      <c r="H186">
        <v>0</v>
      </c>
      <c r="I186" t="s">
        <v>25</v>
      </c>
      <c r="J186" t="s">
        <v>37</v>
      </c>
      <c r="K186" t="s">
        <v>40</v>
      </c>
      <c r="L186">
        <v>8</v>
      </c>
      <c r="M186">
        <v>1</v>
      </c>
      <c r="N186">
        <v>0</v>
      </c>
      <c r="O186" t="s">
        <v>21</v>
      </c>
      <c r="P186" t="str">
        <f>TEXT(Table1[[#This Row],[order_date]],"yyyy-mm")</f>
        <v>2025-12</v>
      </c>
      <c r="Q186">
        <f>WEEKNUM(Table1[[#This Row],[order_date]])</f>
        <v>49</v>
      </c>
      <c r="R186">
        <f>IF(Table1[[#This Row],[order_status]]="completed",1,0)</f>
        <v>0</v>
      </c>
    </row>
    <row r="187" spans="1:18" x14ac:dyDescent="0.35">
      <c r="A187">
        <v>186</v>
      </c>
      <c r="B187" s="1">
        <v>46016</v>
      </c>
      <c r="C187">
        <v>1665</v>
      </c>
      <c r="D187" t="s">
        <v>32</v>
      </c>
      <c r="E187" t="s">
        <v>23</v>
      </c>
      <c r="F187" t="s">
        <v>30</v>
      </c>
      <c r="G187">
        <v>3</v>
      </c>
      <c r="H187">
        <v>0</v>
      </c>
      <c r="I187" t="s">
        <v>35</v>
      </c>
      <c r="J187" t="s">
        <v>31</v>
      </c>
      <c r="K187" t="s">
        <v>20</v>
      </c>
      <c r="L187">
        <v>8</v>
      </c>
      <c r="M187">
        <v>0</v>
      </c>
      <c r="N187">
        <v>0</v>
      </c>
      <c r="O187" t="s">
        <v>21</v>
      </c>
      <c r="P187" t="str">
        <f>TEXT(Table1[[#This Row],[order_date]],"yyyy-mm")</f>
        <v>2025-12</v>
      </c>
      <c r="Q187">
        <f>WEEKNUM(Table1[[#This Row],[order_date]])</f>
        <v>52</v>
      </c>
      <c r="R187">
        <f>IF(Table1[[#This Row],[order_status]]="completed",1,0)</f>
        <v>0</v>
      </c>
    </row>
    <row r="188" spans="1:18" x14ac:dyDescent="0.35">
      <c r="A188">
        <v>187</v>
      </c>
      <c r="B188" s="1">
        <v>45863</v>
      </c>
      <c r="C188">
        <v>1369</v>
      </c>
      <c r="D188" t="s">
        <v>15</v>
      </c>
      <c r="E188" t="s">
        <v>16</v>
      </c>
      <c r="F188" t="s">
        <v>17</v>
      </c>
      <c r="G188">
        <v>5</v>
      </c>
      <c r="H188">
        <v>0</v>
      </c>
      <c r="I188" t="s">
        <v>18</v>
      </c>
      <c r="J188" t="s">
        <v>31</v>
      </c>
      <c r="K188" t="s">
        <v>20</v>
      </c>
      <c r="L188">
        <v>4</v>
      </c>
      <c r="M188">
        <v>0</v>
      </c>
      <c r="N188">
        <v>0</v>
      </c>
      <c r="O188" t="s">
        <v>27</v>
      </c>
      <c r="P188" t="str">
        <f>TEXT(Table1[[#This Row],[order_date]],"yyyy-mm")</f>
        <v>2025-07</v>
      </c>
      <c r="Q188">
        <f>WEEKNUM(Table1[[#This Row],[order_date]])</f>
        <v>30</v>
      </c>
      <c r="R188">
        <f>IF(Table1[[#This Row],[order_status]]="completed",1,0)</f>
        <v>0</v>
      </c>
    </row>
    <row r="189" spans="1:18" x14ac:dyDescent="0.35">
      <c r="A189">
        <v>188</v>
      </c>
      <c r="B189" s="1">
        <v>45893</v>
      </c>
      <c r="C189">
        <v>1221</v>
      </c>
      <c r="D189" t="s">
        <v>32</v>
      </c>
      <c r="E189" t="s">
        <v>33</v>
      </c>
      <c r="F189" t="s">
        <v>34</v>
      </c>
      <c r="G189">
        <v>4</v>
      </c>
      <c r="H189">
        <v>11528</v>
      </c>
      <c r="I189" t="s">
        <v>39</v>
      </c>
      <c r="J189" t="s">
        <v>19</v>
      </c>
      <c r="K189" t="s">
        <v>20</v>
      </c>
      <c r="L189">
        <v>9</v>
      </c>
      <c r="M189">
        <v>0</v>
      </c>
      <c r="N189">
        <v>0</v>
      </c>
      <c r="O189" t="s">
        <v>21</v>
      </c>
      <c r="P189" t="str">
        <f>TEXT(Table1[[#This Row],[order_date]],"yyyy-mm")</f>
        <v>2025-08</v>
      </c>
      <c r="Q189">
        <f>WEEKNUM(Table1[[#This Row],[order_date]])</f>
        <v>35</v>
      </c>
      <c r="R189">
        <f>IF(Table1[[#This Row],[order_status]]="completed",1,0)</f>
        <v>1</v>
      </c>
    </row>
    <row r="190" spans="1:18" x14ac:dyDescent="0.35">
      <c r="A190">
        <v>189</v>
      </c>
      <c r="B190" s="1">
        <v>45963</v>
      </c>
      <c r="C190">
        <v>1103</v>
      </c>
      <c r="D190" t="s">
        <v>32</v>
      </c>
      <c r="E190" t="s">
        <v>33</v>
      </c>
      <c r="F190" t="s">
        <v>24</v>
      </c>
      <c r="G190">
        <v>2</v>
      </c>
      <c r="H190">
        <v>6466</v>
      </c>
      <c r="I190" t="s">
        <v>35</v>
      </c>
      <c r="J190" t="s">
        <v>19</v>
      </c>
      <c r="K190" t="s">
        <v>26</v>
      </c>
      <c r="L190">
        <v>1</v>
      </c>
      <c r="M190">
        <v>1</v>
      </c>
      <c r="N190">
        <v>0</v>
      </c>
      <c r="O190" t="s">
        <v>27</v>
      </c>
      <c r="P190" t="str">
        <f>TEXT(Table1[[#This Row],[order_date]],"yyyy-mm")</f>
        <v>2025-11</v>
      </c>
      <c r="Q190">
        <f>WEEKNUM(Table1[[#This Row],[order_date]])</f>
        <v>45</v>
      </c>
      <c r="R190">
        <f>IF(Table1[[#This Row],[order_status]]="completed",1,0)</f>
        <v>1</v>
      </c>
    </row>
    <row r="191" spans="1:18" x14ac:dyDescent="0.35">
      <c r="A191">
        <v>190</v>
      </c>
      <c r="B191" s="1">
        <v>45927</v>
      </c>
      <c r="C191">
        <v>1088</v>
      </c>
      <c r="D191" t="s">
        <v>28</v>
      </c>
      <c r="E191" t="s">
        <v>16</v>
      </c>
      <c r="F191" t="s">
        <v>30</v>
      </c>
      <c r="G191">
        <v>4</v>
      </c>
      <c r="H191">
        <v>5208</v>
      </c>
      <c r="I191" t="s">
        <v>18</v>
      </c>
      <c r="J191" t="s">
        <v>19</v>
      </c>
      <c r="K191" t="s">
        <v>38</v>
      </c>
      <c r="L191">
        <v>10</v>
      </c>
      <c r="M191">
        <v>0</v>
      </c>
      <c r="N191">
        <v>0</v>
      </c>
      <c r="O191" t="s">
        <v>21</v>
      </c>
      <c r="P191" t="str">
        <f>TEXT(Table1[[#This Row],[order_date]],"yyyy-mm")</f>
        <v>2025-09</v>
      </c>
      <c r="Q191">
        <f>WEEKNUM(Table1[[#This Row],[order_date]])</f>
        <v>39</v>
      </c>
      <c r="R191">
        <f>IF(Table1[[#This Row],[order_status]]="completed",1,0)</f>
        <v>1</v>
      </c>
    </row>
    <row r="192" spans="1:18" x14ac:dyDescent="0.35">
      <c r="A192">
        <v>191</v>
      </c>
      <c r="B192" s="1">
        <v>45958</v>
      </c>
      <c r="C192">
        <v>1924</v>
      </c>
      <c r="D192" t="s">
        <v>15</v>
      </c>
      <c r="E192" t="s">
        <v>16</v>
      </c>
      <c r="F192" t="s">
        <v>34</v>
      </c>
      <c r="G192">
        <v>5</v>
      </c>
      <c r="H192">
        <v>0</v>
      </c>
      <c r="I192" t="s">
        <v>39</v>
      </c>
      <c r="J192" t="s">
        <v>31</v>
      </c>
      <c r="K192" t="s">
        <v>40</v>
      </c>
      <c r="L192">
        <v>2</v>
      </c>
      <c r="M192">
        <v>0</v>
      </c>
      <c r="N192">
        <v>0</v>
      </c>
      <c r="O192" t="s">
        <v>21</v>
      </c>
      <c r="P192" t="str">
        <f>TEXT(Table1[[#This Row],[order_date]],"yyyy-mm")</f>
        <v>2025-10</v>
      </c>
      <c r="Q192">
        <f>WEEKNUM(Table1[[#This Row],[order_date]])</f>
        <v>44</v>
      </c>
      <c r="R192">
        <f>IF(Table1[[#This Row],[order_status]]="completed",1,0)</f>
        <v>0</v>
      </c>
    </row>
    <row r="193" spans="1:18" x14ac:dyDescent="0.35">
      <c r="A193">
        <v>192</v>
      </c>
      <c r="B193" s="1">
        <v>45972</v>
      </c>
      <c r="C193">
        <v>1696</v>
      </c>
      <c r="D193" t="s">
        <v>15</v>
      </c>
      <c r="E193" t="s">
        <v>16</v>
      </c>
      <c r="F193" t="s">
        <v>24</v>
      </c>
      <c r="G193">
        <v>3</v>
      </c>
      <c r="H193">
        <v>0</v>
      </c>
      <c r="I193" t="s">
        <v>25</v>
      </c>
      <c r="J193" t="s">
        <v>31</v>
      </c>
      <c r="K193" t="s">
        <v>26</v>
      </c>
      <c r="L193">
        <v>5</v>
      </c>
      <c r="M193">
        <v>1</v>
      </c>
      <c r="N193">
        <v>0</v>
      </c>
      <c r="O193" t="s">
        <v>27</v>
      </c>
      <c r="P193" t="str">
        <f>TEXT(Table1[[#This Row],[order_date]],"yyyy-mm")</f>
        <v>2025-11</v>
      </c>
      <c r="Q193">
        <f>WEEKNUM(Table1[[#This Row],[order_date]])</f>
        <v>46</v>
      </c>
      <c r="R193">
        <f>IF(Table1[[#This Row],[order_status]]="completed",1,0)</f>
        <v>0</v>
      </c>
    </row>
    <row r="194" spans="1:18" x14ac:dyDescent="0.35">
      <c r="A194">
        <v>193</v>
      </c>
      <c r="B194" s="1">
        <v>45936</v>
      </c>
      <c r="C194">
        <v>1641</v>
      </c>
      <c r="D194" t="s">
        <v>15</v>
      </c>
      <c r="E194" t="s">
        <v>29</v>
      </c>
      <c r="F194" t="s">
        <v>17</v>
      </c>
      <c r="G194">
        <v>4</v>
      </c>
      <c r="H194">
        <v>0</v>
      </c>
      <c r="I194" t="s">
        <v>25</v>
      </c>
      <c r="J194" t="s">
        <v>37</v>
      </c>
      <c r="K194" t="s">
        <v>38</v>
      </c>
      <c r="L194">
        <v>2</v>
      </c>
      <c r="M194">
        <v>1</v>
      </c>
      <c r="N194">
        <v>0</v>
      </c>
      <c r="O194" t="s">
        <v>21</v>
      </c>
      <c r="P194" t="str">
        <f>TEXT(Table1[[#This Row],[order_date]],"yyyy-mm")</f>
        <v>2025-10</v>
      </c>
      <c r="Q194">
        <f>WEEKNUM(Table1[[#This Row],[order_date]])</f>
        <v>41</v>
      </c>
      <c r="R194">
        <f>IF(Table1[[#This Row],[order_status]]="completed",1,0)</f>
        <v>0</v>
      </c>
    </row>
    <row r="195" spans="1:18" x14ac:dyDescent="0.35">
      <c r="A195">
        <v>194</v>
      </c>
      <c r="B195" s="1">
        <v>46019</v>
      </c>
      <c r="C195">
        <v>1807</v>
      </c>
      <c r="D195" t="s">
        <v>15</v>
      </c>
      <c r="E195" t="s">
        <v>36</v>
      </c>
      <c r="F195" t="s">
        <v>17</v>
      </c>
      <c r="G195">
        <v>3</v>
      </c>
      <c r="H195">
        <v>0</v>
      </c>
      <c r="I195" t="s">
        <v>18</v>
      </c>
      <c r="J195" t="s">
        <v>31</v>
      </c>
      <c r="K195" t="s">
        <v>26</v>
      </c>
      <c r="L195">
        <v>4</v>
      </c>
      <c r="M195">
        <v>1</v>
      </c>
      <c r="N195">
        <v>1</v>
      </c>
      <c r="O195" t="s">
        <v>21</v>
      </c>
      <c r="P195" t="str">
        <f>TEXT(Table1[[#This Row],[order_date]],"yyyy-mm")</f>
        <v>2025-12</v>
      </c>
      <c r="Q195">
        <f>WEEKNUM(Table1[[#This Row],[order_date]])</f>
        <v>53</v>
      </c>
      <c r="R195">
        <f>IF(Table1[[#This Row],[order_status]]="completed",1,0)</f>
        <v>0</v>
      </c>
    </row>
    <row r="196" spans="1:18" x14ac:dyDescent="0.35">
      <c r="A196">
        <v>195</v>
      </c>
      <c r="B196" s="1">
        <v>46012</v>
      </c>
      <c r="C196">
        <v>1603</v>
      </c>
      <c r="D196" t="s">
        <v>15</v>
      </c>
      <c r="E196" t="s">
        <v>23</v>
      </c>
      <c r="F196" t="s">
        <v>34</v>
      </c>
      <c r="G196">
        <v>5</v>
      </c>
      <c r="H196">
        <v>0</v>
      </c>
      <c r="I196" t="s">
        <v>25</v>
      </c>
      <c r="J196" t="s">
        <v>37</v>
      </c>
      <c r="K196" t="s">
        <v>26</v>
      </c>
      <c r="L196">
        <v>9</v>
      </c>
      <c r="M196">
        <v>1</v>
      </c>
      <c r="N196">
        <v>1</v>
      </c>
      <c r="O196" t="s">
        <v>27</v>
      </c>
      <c r="P196" t="str">
        <f>TEXT(Table1[[#This Row],[order_date]],"yyyy-mm")</f>
        <v>2025-12</v>
      </c>
      <c r="Q196">
        <f>WEEKNUM(Table1[[#This Row],[order_date]])</f>
        <v>52</v>
      </c>
      <c r="R196">
        <f>IF(Table1[[#This Row],[order_status]]="completed",1,0)</f>
        <v>0</v>
      </c>
    </row>
    <row r="197" spans="1:18" x14ac:dyDescent="0.35">
      <c r="A197">
        <v>196</v>
      </c>
      <c r="B197" s="1">
        <v>45891</v>
      </c>
      <c r="C197">
        <v>1664</v>
      </c>
      <c r="D197" t="s">
        <v>22</v>
      </c>
      <c r="E197" t="s">
        <v>16</v>
      </c>
      <c r="F197" t="s">
        <v>17</v>
      </c>
      <c r="G197">
        <v>5</v>
      </c>
      <c r="H197">
        <v>4110</v>
      </c>
      <c r="I197" t="s">
        <v>35</v>
      </c>
      <c r="J197" t="s">
        <v>19</v>
      </c>
      <c r="K197" t="s">
        <v>40</v>
      </c>
      <c r="L197">
        <v>8</v>
      </c>
      <c r="M197">
        <v>0</v>
      </c>
      <c r="N197">
        <v>1</v>
      </c>
      <c r="O197" t="s">
        <v>21</v>
      </c>
      <c r="P197" t="str">
        <f>TEXT(Table1[[#This Row],[order_date]],"yyyy-mm")</f>
        <v>2025-08</v>
      </c>
      <c r="Q197">
        <f>WEEKNUM(Table1[[#This Row],[order_date]])</f>
        <v>34</v>
      </c>
      <c r="R197">
        <f>IF(Table1[[#This Row],[order_status]]="completed",1,0)</f>
        <v>1</v>
      </c>
    </row>
    <row r="198" spans="1:18" x14ac:dyDescent="0.35">
      <c r="A198">
        <v>197</v>
      </c>
      <c r="B198" s="1">
        <v>45875</v>
      </c>
      <c r="C198">
        <v>1098</v>
      </c>
      <c r="D198" t="s">
        <v>32</v>
      </c>
      <c r="E198" t="s">
        <v>36</v>
      </c>
      <c r="F198" t="s">
        <v>34</v>
      </c>
      <c r="G198">
        <v>3</v>
      </c>
      <c r="H198">
        <v>0</v>
      </c>
      <c r="I198" t="s">
        <v>35</v>
      </c>
      <c r="J198" t="s">
        <v>31</v>
      </c>
      <c r="K198" t="s">
        <v>40</v>
      </c>
      <c r="L198">
        <v>5</v>
      </c>
      <c r="M198">
        <v>0</v>
      </c>
      <c r="N198">
        <v>0</v>
      </c>
      <c r="O198" t="s">
        <v>27</v>
      </c>
      <c r="P198" t="str">
        <f>TEXT(Table1[[#This Row],[order_date]],"yyyy-mm")</f>
        <v>2025-08</v>
      </c>
      <c r="Q198">
        <f>WEEKNUM(Table1[[#This Row],[order_date]])</f>
        <v>32</v>
      </c>
      <c r="R198">
        <f>IF(Table1[[#This Row],[order_status]]="completed",1,0)</f>
        <v>0</v>
      </c>
    </row>
    <row r="199" spans="1:18" x14ac:dyDescent="0.35">
      <c r="A199">
        <v>198</v>
      </c>
      <c r="B199" s="1">
        <v>45973</v>
      </c>
      <c r="C199">
        <v>1623</v>
      </c>
      <c r="D199" t="s">
        <v>22</v>
      </c>
      <c r="E199" t="s">
        <v>36</v>
      </c>
      <c r="F199" t="s">
        <v>34</v>
      </c>
      <c r="G199">
        <v>4</v>
      </c>
      <c r="H199">
        <v>0</v>
      </c>
      <c r="I199" t="s">
        <v>39</v>
      </c>
      <c r="J199" t="s">
        <v>31</v>
      </c>
      <c r="K199" t="s">
        <v>38</v>
      </c>
      <c r="L199">
        <v>7</v>
      </c>
      <c r="M199">
        <v>1</v>
      </c>
      <c r="N199">
        <v>0</v>
      </c>
      <c r="O199" t="s">
        <v>27</v>
      </c>
      <c r="P199" t="str">
        <f>TEXT(Table1[[#This Row],[order_date]],"yyyy-mm")</f>
        <v>2025-11</v>
      </c>
      <c r="Q199">
        <f>WEEKNUM(Table1[[#This Row],[order_date]])</f>
        <v>46</v>
      </c>
      <c r="R199">
        <f>IF(Table1[[#This Row],[order_status]]="completed",1,0)</f>
        <v>0</v>
      </c>
    </row>
    <row r="200" spans="1:18" x14ac:dyDescent="0.35">
      <c r="A200">
        <v>199</v>
      </c>
      <c r="B200" s="1">
        <v>45984</v>
      </c>
      <c r="C200">
        <v>1557</v>
      </c>
      <c r="D200" t="s">
        <v>15</v>
      </c>
      <c r="E200" t="s">
        <v>36</v>
      </c>
      <c r="F200" t="s">
        <v>24</v>
      </c>
      <c r="G200">
        <v>3</v>
      </c>
      <c r="H200">
        <v>1782</v>
      </c>
      <c r="I200" t="s">
        <v>25</v>
      </c>
      <c r="J200" t="s">
        <v>19</v>
      </c>
      <c r="K200" t="s">
        <v>38</v>
      </c>
      <c r="L200">
        <v>7</v>
      </c>
      <c r="M200">
        <v>0</v>
      </c>
      <c r="N200">
        <v>1</v>
      </c>
      <c r="O200" t="s">
        <v>21</v>
      </c>
      <c r="P200" t="str">
        <f>TEXT(Table1[[#This Row],[order_date]],"yyyy-mm")</f>
        <v>2025-11</v>
      </c>
      <c r="Q200">
        <f>WEEKNUM(Table1[[#This Row],[order_date]])</f>
        <v>48</v>
      </c>
      <c r="R200">
        <f>IF(Table1[[#This Row],[order_status]]="completed",1,0)</f>
        <v>1</v>
      </c>
    </row>
    <row r="201" spans="1:18" x14ac:dyDescent="0.35">
      <c r="A201">
        <v>200</v>
      </c>
      <c r="B201" s="1">
        <v>45891</v>
      </c>
      <c r="C201">
        <v>1407</v>
      </c>
      <c r="D201" t="s">
        <v>41</v>
      </c>
      <c r="E201" t="s">
        <v>36</v>
      </c>
      <c r="F201" t="s">
        <v>17</v>
      </c>
      <c r="G201">
        <v>1</v>
      </c>
      <c r="H201">
        <v>0</v>
      </c>
      <c r="I201" t="s">
        <v>25</v>
      </c>
      <c r="J201" t="s">
        <v>31</v>
      </c>
      <c r="K201" t="s">
        <v>38</v>
      </c>
      <c r="L201">
        <v>1</v>
      </c>
      <c r="M201">
        <v>1</v>
      </c>
      <c r="N201">
        <v>0</v>
      </c>
      <c r="O201" t="s">
        <v>21</v>
      </c>
      <c r="P201" t="str">
        <f>TEXT(Table1[[#This Row],[order_date]],"yyyy-mm")</f>
        <v>2025-08</v>
      </c>
      <c r="Q201">
        <f>WEEKNUM(Table1[[#This Row],[order_date]])</f>
        <v>34</v>
      </c>
      <c r="R201">
        <f>IF(Table1[[#This Row],[order_status]]="completed",1,0)</f>
        <v>0</v>
      </c>
    </row>
    <row r="202" spans="1:18" x14ac:dyDescent="0.35">
      <c r="A202">
        <v>201</v>
      </c>
      <c r="B202" s="1">
        <v>45861</v>
      </c>
      <c r="C202">
        <v>1116</v>
      </c>
      <c r="D202" t="s">
        <v>15</v>
      </c>
      <c r="E202" t="s">
        <v>16</v>
      </c>
      <c r="F202" t="s">
        <v>24</v>
      </c>
      <c r="G202">
        <v>3</v>
      </c>
      <c r="H202">
        <v>2112</v>
      </c>
      <c r="I202" t="s">
        <v>25</v>
      </c>
      <c r="J202" t="s">
        <v>19</v>
      </c>
      <c r="K202" t="s">
        <v>26</v>
      </c>
      <c r="L202">
        <v>5</v>
      </c>
      <c r="M202">
        <v>1</v>
      </c>
      <c r="N202">
        <v>0</v>
      </c>
      <c r="O202" t="s">
        <v>27</v>
      </c>
      <c r="P202" t="str">
        <f>TEXT(Table1[[#This Row],[order_date]],"yyyy-mm")</f>
        <v>2025-07</v>
      </c>
      <c r="Q202">
        <f>WEEKNUM(Table1[[#This Row],[order_date]])</f>
        <v>30</v>
      </c>
      <c r="R202">
        <f>IF(Table1[[#This Row],[order_status]]="completed",1,0)</f>
        <v>1</v>
      </c>
    </row>
    <row r="203" spans="1:18" x14ac:dyDescent="0.35">
      <c r="A203">
        <v>202</v>
      </c>
      <c r="B203" s="1">
        <v>45902</v>
      </c>
      <c r="C203">
        <v>1023</v>
      </c>
      <c r="D203" t="s">
        <v>28</v>
      </c>
      <c r="E203" t="s">
        <v>36</v>
      </c>
      <c r="F203" t="s">
        <v>24</v>
      </c>
      <c r="G203">
        <v>3</v>
      </c>
      <c r="H203">
        <v>0</v>
      </c>
      <c r="I203" t="s">
        <v>18</v>
      </c>
      <c r="J203" t="s">
        <v>31</v>
      </c>
      <c r="K203" t="s">
        <v>26</v>
      </c>
      <c r="L203">
        <v>1</v>
      </c>
      <c r="M203">
        <v>1</v>
      </c>
      <c r="N203">
        <v>0</v>
      </c>
      <c r="O203" t="s">
        <v>27</v>
      </c>
      <c r="P203" t="str">
        <f>TEXT(Table1[[#This Row],[order_date]],"yyyy-mm")</f>
        <v>2025-09</v>
      </c>
      <c r="Q203">
        <f>WEEKNUM(Table1[[#This Row],[order_date]])</f>
        <v>36</v>
      </c>
      <c r="R203">
        <f>IF(Table1[[#This Row],[order_status]]="completed",1,0)</f>
        <v>0</v>
      </c>
    </row>
    <row r="204" spans="1:18" x14ac:dyDescent="0.35">
      <c r="A204">
        <v>203</v>
      </c>
      <c r="B204" s="1">
        <v>45978</v>
      </c>
      <c r="C204">
        <v>1555</v>
      </c>
      <c r="D204" t="s">
        <v>41</v>
      </c>
      <c r="E204" t="s">
        <v>33</v>
      </c>
      <c r="F204" t="s">
        <v>30</v>
      </c>
      <c r="G204">
        <v>2</v>
      </c>
      <c r="H204">
        <v>0</v>
      </c>
      <c r="I204" t="s">
        <v>18</v>
      </c>
      <c r="J204" t="s">
        <v>37</v>
      </c>
      <c r="K204" t="s">
        <v>26</v>
      </c>
      <c r="L204">
        <v>8</v>
      </c>
      <c r="M204">
        <v>1</v>
      </c>
      <c r="N204">
        <v>1</v>
      </c>
      <c r="O204" t="s">
        <v>27</v>
      </c>
      <c r="P204" t="str">
        <f>TEXT(Table1[[#This Row],[order_date]],"yyyy-mm")</f>
        <v>2025-11</v>
      </c>
      <c r="Q204">
        <f>WEEKNUM(Table1[[#This Row],[order_date]])</f>
        <v>47</v>
      </c>
      <c r="R204">
        <f>IF(Table1[[#This Row],[order_status]]="completed",1,0)</f>
        <v>0</v>
      </c>
    </row>
    <row r="205" spans="1:18" x14ac:dyDescent="0.35">
      <c r="A205">
        <v>204</v>
      </c>
      <c r="B205" s="1">
        <v>45872</v>
      </c>
      <c r="C205">
        <v>1506</v>
      </c>
      <c r="D205" t="s">
        <v>22</v>
      </c>
      <c r="E205" t="s">
        <v>36</v>
      </c>
      <c r="F205" t="s">
        <v>17</v>
      </c>
      <c r="G205">
        <v>2</v>
      </c>
      <c r="H205">
        <v>4950</v>
      </c>
      <c r="I205" t="s">
        <v>18</v>
      </c>
      <c r="J205" t="s">
        <v>19</v>
      </c>
      <c r="K205" t="s">
        <v>40</v>
      </c>
      <c r="L205">
        <v>9</v>
      </c>
      <c r="M205">
        <v>0</v>
      </c>
      <c r="N205">
        <v>0</v>
      </c>
      <c r="O205" t="s">
        <v>21</v>
      </c>
      <c r="P205" t="str">
        <f>TEXT(Table1[[#This Row],[order_date]],"yyyy-mm")</f>
        <v>2025-08</v>
      </c>
      <c r="Q205">
        <f>WEEKNUM(Table1[[#This Row],[order_date]])</f>
        <v>32</v>
      </c>
      <c r="R205">
        <f>IF(Table1[[#This Row],[order_status]]="completed",1,0)</f>
        <v>1</v>
      </c>
    </row>
    <row r="206" spans="1:18" x14ac:dyDescent="0.35">
      <c r="A206">
        <v>205</v>
      </c>
      <c r="B206" s="1">
        <v>45885</v>
      </c>
      <c r="C206">
        <v>1823</v>
      </c>
      <c r="D206" t="s">
        <v>28</v>
      </c>
      <c r="E206" t="s">
        <v>33</v>
      </c>
      <c r="F206" t="s">
        <v>24</v>
      </c>
      <c r="G206">
        <v>4</v>
      </c>
      <c r="H206">
        <v>18708</v>
      </c>
      <c r="I206" t="s">
        <v>39</v>
      </c>
      <c r="J206" t="s">
        <v>19</v>
      </c>
      <c r="K206" t="s">
        <v>26</v>
      </c>
      <c r="L206">
        <v>10</v>
      </c>
      <c r="M206">
        <v>1</v>
      </c>
      <c r="N206">
        <v>0</v>
      </c>
      <c r="O206" t="s">
        <v>21</v>
      </c>
      <c r="P206" t="str">
        <f>TEXT(Table1[[#This Row],[order_date]],"yyyy-mm")</f>
        <v>2025-08</v>
      </c>
      <c r="Q206">
        <f>WEEKNUM(Table1[[#This Row],[order_date]])</f>
        <v>33</v>
      </c>
      <c r="R206">
        <f>IF(Table1[[#This Row],[order_status]]="completed",1,0)</f>
        <v>1</v>
      </c>
    </row>
    <row r="207" spans="1:18" x14ac:dyDescent="0.35">
      <c r="A207">
        <v>206</v>
      </c>
      <c r="B207" s="1">
        <v>46002</v>
      </c>
      <c r="C207">
        <v>1377</v>
      </c>
      <c r="D207" t="s">
        <v>28</v>
      </c>
      <c r="E207" t="s">
        <v>23</v>
      </c>
      <c r="F207" t="s">
        <v>34</v>
      </c>
      <c r="G207">
        <v>1</v>
      </c>
      <c r="H207">
        <v>3216</v>
      </c>
      <c r="I207" t="s">
        <v>39</v>
      </c>
      <c r="J207" t="s">
        <v>19</v>
      </c>
      <c r="K207" t="s">
        <v>40</v>
      </c>
      <c r="L207">
        <v>5</v>
      </c>
      <c r="M207">
        <v>0</v>
      </c>
      <c r="N207">
        <v>1</v>
      </c>
      <c r="O207" t="s">
        <v>21</v>
      </c>
      <c r="P207" t="str">
        <f>TEXT(Table1[[#This Row],[order_date]],"yyyy-mm")</f>
        <v>2025-12</v>
      </c>
      <c r="Q207">
        <f>WEEKNUM(Table1[[#This Row],[order_date]])</f>
        <v>50</v>
      </c>
      <c r="R207">
        <f>IF(Table1[[#This Row],[order_status]]="completed",1,0)</f>
        <v>1</v>
      </c>
    </row>
    <row r="208" spans="1:18" x14ac:dyDescent="0.35">
      <c r="A208">
        <v>207</v>
      </c>
      <c r="B208" s="1">
        <v>45988</v>
      </c>
      <c r="C208">
        <v>1443</v>
      </c>
      <c r="D208" t="s">
        <v>32</v>
      </c>
      <c r="E208" t="s">
        <v>29</v>
      </c>
      <c r="F208" t="s">
        <v>17</v>
      </c>
      <c r="G208">
        <v>3</v>
      </c>
      <c r="H208">
        <v>0</v>
      </c>
      <c r="I208" t="s">
        <v>35</v>
      </c>
      <c r="J208" t="s">
        <v>31</v>
      </c>
      <c r="K208" t="s">
        <v>26</v>
      </c>
      <c r="L208">
        <v>9</v>
      </c>
      <c r="M208">
        <v>1</v>
      </c>
      <c r="N208">
        <v>0</v>
      </c>
      <c r="O208" t="s">
        <v>27</v>
      </c>
      <c r="P208" t="str">
        <f>TEXT(Table1[[#This Row],[order_date]],"yyyy-mm")</f>
        <v>2025-11</v>
      </c>
      <c r="Q208">
        <f>WEEKNUM(Table1[[#This Row],[order_date]])</f>
        <v>48</v>
      </c>
      <c r="R208">
        <f>IF(Table1[[#This Row],[order_status]]="completed",1,0)</f>
        <v>0</v>
      </c>
    </row>
    <row r="209" spans="1:18" x14ac:dyDescent="0.35">
      <c r="A209">
        <v>208</v>
      </c>
      <c r="B209" s="1">
        <v>45857</v>
      </c>
      <c r="C209">
        <v>1564</v>
      </c>
      <c r="D209" t="s">
        <v>32</v>
      </c>
      <c r="E209" t="s">
        <v>16</v>
      </c>
      <c r="F209" t="s">
        <v>24</v>
      </c>
      <c r="G209">
        <v>3</v>
      </c>
      <c r="H209">
        <v>0</v>
      </c>
      <c r="I209" t="s">
        <v>39</v>
      </c>
      <c r="J209" t="s">
        <v>31</v>
      </c>
      <c r="K209" t="s">
        <v>40</v>
      </c>
      <c r="L209">
        <v>2</v>
      </c>
      <c r="M209">
        <v>0</v>
      </c>
      <c r="N209">
        <v>1</v>
      </c>
      <c r="O209" t="s">
        <v>21</v>
      </c>
      <c r="P209" t="str">
        <f>TEXT(Table1[[#This Row],[order_date]],"yyyy-mm")</f>
        <v>2025-07</v>
      </c>
      <c r="Q209">
        <f>WEEKNUM(Table1[[#This Row],[order_date]])</f>
        <v>29</v>
      </c>
      <c r="R209">
        <f>IF(Table1[[#This Row],[order_status]]="completed",1,0)</f>
        <v>0</v>
      </c>
    </row>
    <row r="210" spans="1:18" x14ac:dyDescent="0.35">
      <c r="A210">
        <v>209</v>
      </c>
      <c r="B210" s="1">
        <v>45972</v>
      </c>
      <c r="C210">
        <v>1688</v>
      </c>
      <c r="D210" t="s">
        <v>28</v>
      </c>
      <c r="E210" t="s">
        <v>16</v>
      </c>
      <c r="F210" t="s">
        <v>34</v>
      </c>
      <c r="G210">
        <v>3</v>
      </c>
      <c r="H210">
        <v>0</v>
      </c>
      <c r="I210" t="s">
        <v>18</v>
      </c>
      <c r="J210" t="s">
        <v>37</v>
      </c>
      <c r="K210" t="s">
        <v>20</v>
      </c>
      <c r="L210">
        <v>5</v>
      </c>
      <c r="M210">
        <v>0</v>
      </c>
      <c r="N210">
        <v>0</v>
      </c>
      <c r="O210" t="s">
        <v>21</v>
      </c>
      <c r="P210" t="str">
        <f>TEXT(Table1[[#This Row],[order_date]],"yyyy-mm")</f>
        <v>2025-11</v>
      </c>
      <c r="Q210">
        <f>WEEKNUM(Table1[[#This Row],[order_date]])</f>
        <v>46</v>
      </c>
      <c r="R210">
        <f>IF(Table1[[#This Row],[order_status]]="completed",1,0)</f>
        <v>0</v>
      </c>
    </row>
    <row r="211" spans="1:18" x14ac:dyDescent="0.35">
      <c r="A211">
        <v>210</v>
      </c>
      <c r="B211" s="1">
        <v>45965</v>
      </c>
      <c r="C211">
        <v>1812</v>
      </c>
      <c r="D211" t="s">
        <v>41</v>
      </c>
      <c r="E211" t="s">
        <v>23</v>
      </c>
      <c r="F211" t="s">
        <v>30</v>
      </c>
      <c r="G211">
        <v>3</v>
      </c>
      <c r="H211">
        <v>0</v>
      </c>
      <c r="I211" t="s">
        <v>18</v>
      </c>
      <c r="J211" t="s">
        <v>37</v>
      </c>
      <c r="K211" t="s">
        <v>26</v>
      </c>
      <c r="L211">
        <v>6</v>
      </c>
      <c r="M211">
        <v>0</v>
      </c>
      <c r="N211">
        <v>1</v>
      </c>
      <c r="O211" t="s">
        <v>21</v>
      </c>
      <c r="P211" t="str">
        <f>TEXT(Table1[[#This Row],[order_date]],"yyyy-mm")</f>
        <v>2025-11</v>
      </c>
      <c r="Q211">
        <f>WEEKNUM(Table1[[#This Row],[order_date]])</f>
        <v>45</v>
      </c>
      <c r="R211">
        <f>IF(Table1[[#This Row],[order_status]]="completed",1,0)</f>
        <v>0</v>
      </c>
    </row>
    <row r="212" spans="1:18" x14ac:dyDescent="0.35">
      <c r="A212">
        <v>211</v>
      </c>
      <c r="B212" s="1">
        <v>46001</v>
      </c>
      <c r="C212">
        <v>1715</v>
      </c>
      <c r="D212" t="s">
        <v>15</v>
      </c>
      <c r="E212" t="s">
        <v>16</v>
      </c>
      <c r="F212" t="s">
        <v>17</v>
      </c>
      <c r="G212">
        <v>1</v>
      </c>
      <c r="H212">
        <v>0</v>
      </c>
      <c r="I212" t="s">
        <v>25</v>
      </c>
      <c r="J212" t="s">
        <v>31</v>
      </c>
      <c r="K212" t="s">
        <v>38</v>
      </c>
      <c r="L212">
        <v>2</v>
      </c>
      <c r="M212">
        <v>1</v>
      </c>
      <c r="N212">
        <v>1</v>
      </c>
      <c r="O212" t="s">
        <v>21</v>
      </c>
      <c r="P212" t="str">
        <f>TEXT(Table1[[#This Row],[order_date]],"yyyy-mm")</f>
        <v>2025-12</v>
      </c>
      <c r="Q212">
        <f>WEEKNUM(Table1[[#This Row],[order_date]])</f>
        <v>50</v>
      </c>
      <c r="R212">
        <f>IF(Table1[[#This Row],[order_status]]="completed",1,0)</f>
        <v>0</v>
      </c>
    </row>
    <row r="213" spans="1:18" x14ac:dyDescent="0.35">
      <c r="A213">
        <v>212</v>
      </c>
      <c r="B213" s="1">
        <v>46005</v>
      </c>
      <c r="C213">
        <v>1662</v>
      </c>
      <c r="D213" t="s">
        <v>22</v>
      </c>
      <c r="E213" t="s">
        <v>23</v>
      </c>
      <c r="F213" t="s">
        <v>30</v>
      </c>
      <c r="G213">
        <v>1</v>
      </c>
      <c r="H213">
        <v>501</v>
      </c>
      <c r="I213" t="s">
        <v>39</v>
      </c>
      <c r="J213" t="s">
        <v>19</v>
      </c>
      <c r="K213" t="s">
        <v>20</v>
      </c>
      <c r="L213">
        <v>2</v>
      </c>
      <c r="M213">
        <v>1</v>
      </c>
      <c r="N213">
        <v>0</v>
      </c>
      <c r="O213" t="s">
        <v>21</v>
      </c>
      <c r="P213" t="str">
        <f>TEXT(Table1[[#This Row],[order_date]],"yyyy-mm")</f>
        <v>2025-12</v>
      </c>
      <c r="Q213">
        <f>WEEKNUM(Table1[[#This Row],[order_date]])</f>
        <v>51</v>
      </c>
      <c r="R213">
        <f>IF(Table1[[#This Row],[order_status]]="completed",1,0)</f>
        <v>1</v>
      </c>
    </row>
    <row r="214" spans="1:18" x14ac:dyDescent="0.35">
      <c r="A214">
        <v>213</v>
      </c>
      <c r="B214" s="1">
        <v>45868</v>
      </c>
      <c r="C214">
        <v>1165</v>
      </c>
      <c r="D214" t="s">
        <v>22</v>
      </c>
      <c r="E214" t="s">
        <v>23</v>
      </c>
      <c r="F214" t="s">
        <v>30</v>
      </c>
      <c r="G214">
        <v>3</v>
      </c>
      <c r="H214">
        <v>0</v>
      </c>
      <c r="I214" t="s">
        <v>25</v>
      </c>
      <c r="J214" t="s">
        <v>31</v>
      </c>
      <c r="K214" t="s">
        <v>26</v>
      </c>
      <c r="L214">
        <v>10</v>
      </c>
      <c r="M214">
        <v>0</v>
      </c>
      <c r="N214">
        <v>0</v>
      </c>
      <c r="O214" t="s">
        <v>27</v>
      </c>
      <c r="P214" t="str">
        <f>TEXT(Table1[[#This Row],[order_date]],"yyyy-mm")</f>
        <v>2025-07</v>
      </c>
      <c r="Q214">
        <f>WEEKNUM(Table1[[#This Row],[order_date]])</f>
        <v>31</v>
      </c>
      <c r="R214">
        <f>IF(Table1[[#This Row],[order_status]]="completed",1,0)</f>
        <v>0</v>
      </c>
    </row>
    <row r="215" spans="1:18" x14ac:dyDescent="0.35">
      <c r="A215">
        <v>214</v>
      </c>
      <c r="B215" s="1">
        <v>45860</v>
      </c>
      <c r="C215">
        <v>1586</v>
      </c>
      <c r="D215" t="s">
        <v>15</v>
      </c>
      <c r="E215" t="s">
        <v>36</v>
      </c>
      <c r="F215" t="s">
        <v>34</v>
      </c>
      <c r="G215">
        <v>1</v>
      </c>
      <c r="H215">
        <v>2187</v>
      </c>
      <c r="I215" t="s">
        <v>25</v>
      </c>
      <c r="J215" t="s">
        <v>19</v>
      </c>
      <c r="K215" t="s">
        <v>38</v>
      </c>
      <c r="L215">
        <v>5</v>
      </c>
      <c r="M215">
        <v>1</v>
      </c>
      <c r="N215">
        <v>0</v>
      </c>
      <c r="O215" t="s">
        <v>27</v>
      </c>
      <c r="P215" t="str">
        <f>TEXT(Table1[[#This Row],[order_date]],"yyyy-mm")</f>
        <v>2025-07</v>
      </c>
      <c r="Q215">
        <f>WEEKNUM(Table1[[#This Row],[order_date]])</f>
        <v>30</v>
      </c>
      <c r="R215">
        <f>IF(Table1[[#This Row],[order_status]]="completed",1,0)</f>
        <v>1</v>
      </c>
    </row>
    <row r="216" spans="1:18" x14ac:dyDescent="0.35">
      <c r="A216">
        <v>215</v>
      </c>
      <c r="B216" s="1">
        <v>45898</v>
      </c>
      <c r="C216">
        <v>1349</v>
      </c>
      <c r="D216" t="s">
        <v>15</v>
      </c>
      <c r="E216" t="s">
        <v>16</v>
      </c>
      <c r="F216" t="s">
        <v>17</v>
      </c>
      <c r="G216">
        <v>3</v>
      </c>
      <c r="H216">
        <v>0</v>
      </c>
      <c r="I216" t="s">
        <v>25</v>
      </c>
      <c r="J216" t="s">
        <v>37</v>
      </c>
      <c r="K216" t="s">
        <v>38</v>
      </c>
      <c r="L216">
        <v>6</v>
      </c>
      <c r="M216">
        <v>1</v>
      </c>
      <c r="N216">
        <v>0</v>
      </c>
      <c r="O216" t="s">
        <v>27</v>
      </c>
      <c r="P216" t="str">
        <f>TEXT(Table1[[#This Row],[order_date]],"yyyy-mm")</f>
        <v>2025-08</v>
      </c>
      <c r="Q216">
        <f>WEEKNUM(Table1[[#This Row],[order_date]])</f>
        <v>35</v>
      </c>
      <c r="R216">
        <f>IF(Table1[[#This Row],[order_status]]="completed",1,0)</f>
        <v>0</v>
      </c>
    </row>
    <row r="217" spans="1:18" x14ac:dyDescent="0.35">
      <c r="A217">
        <v>216</v>
      </c>
      <c r="B217" s="1">
        <v>46007</v>
      </c>
      <c r="C217">
        <v>1175</v>
      </c>
      <c r="D217" t="s">
        <v>28</v>
      </c>
      <c r="E217" t="s">
        <v>23</v>
      </c>
      <c r="F217" t="s">
        <v>34</v>
      </c>
      <c r="G217">
        <v>3</v>
      </c>
      <c r="H217">
        <v>10923</v>
      </c>
      <c r="I217" t="s">
        <v>18</v>
      </c>
      <c r="J217" t="s">
        <v>19</v>
      </c>
      <c r="K217" t="s">
        <v>20</v>
      </c>
      <c r="L217">
        <v>1</v>
      </c>
      <c r="M217">
        <v>1</v>
      </c>
      <c r="N217">
        <v>1</v>
      </c>
      <c r="O217" t="s">
        <v>27</v>
      </c>
      <c r="P217" t="str">
        <f>TEXT(Table1[[#This Row],[order_date]],"yyyy-mm")</f>
        <v>2025-12</v>
      </c>
      <c r="Q217">
        <f>WEEKNUM(Table1[[#This Row],[order_date]])</f>
        <v>51</v>
      </c>
      <c r="R217">
        <f>IF(Table1[[#This Row],[order_status]]="completed",1,0)</f>
        <v>1</v>
      </c>
    </row>
    <row r="218" spans="1:18" x14ac:dyDescent="0.35">
      <c r="A218">
        <v>217</v>
      </c>
      <c r="B218" s="1">
        <v>45874</v>
      </c>
      <c r="C218">
        <v>1243</v>
      </c>
      <c r="D218" t="s">
        <v>22</v>
      </c>
      <c r="E218" t="s">
        <v>16</v>
      </c>
      <c r="F218" t="s">
        <v>17</v>
      </c>
      <c r="G218">
        <v>1</v>
      </c>
      <c r="H218">
        <v>0</v>
      </c>
      <c r="I218" t="s">
        <v>18</v>
      </c>
      <c r="J218" t="s">
        <v>31</v>
      </c>
      <c r="K218" t="s">
        <v>38</v>
      </c>
      <c r="L218">
        <v>2</v>
      </c>
      <c r="M218">
        <v>1</v>
      </c>
      <c r="N218">
        <v>0</v>
      </c>
      <c r="O218" t="s">
        <v>27</v>
      </c>
      <c r="P218" t="str">
        <f>TEXT(Table1[[#This Row],[order_date]],"yyyy-mm")</f>
        <v>2025-08</v>
      </c>
      <c r="Q218">
        <f>WEEKNUM(Table1[[#This Row],[order_date]])</f>
        <v>32</v>
      </c>
      <c r="R218">
        <f>IF(Table1[[#This Row],[order_status]]="completed",1,0)</f>
        <v>0</v>
      </c>
    </row>
    <row r="219" spans="1:18" x14ac:dyDescent="0.35">
      <c r="A219">
        <v>218</v>
      </c>
      <c r="B219" s="1">
        <v>45870</v>
      </c>
      <c r="C219">
        <v>1362</v>
      </c>
      <c r="D219" t="s">
        <v>32</v>
      </c>
      <c r="E219" t="s">
        <v>29</v>
      </c>
      <c r="F219" t="s">
        <v>34</v>
      </c>
      <c r="G219">
        <v>3</v>
      </c>
      <c r="H219">
        <v>0</v>
      </c>
      <c r="I219" t="s">
        <v>18</v>
      </c>
      <c r="J219" t="s">
        <v>37</v>
      </c>
      <c r="K219" t="s">
        <v>38</v>
      </c>
      <c r="L219">
        <v>9</v>
      </c>
      <c r="M219">
        <v>0</v>
      </c>
      <c r="N219">
        <v>1</v>
      </c>
      <c r="O219" t="s">
        <v>27</v>
      </c>
      <c r="P219" t="str">
        <f>TEXT(Table1[[#This Row],[order_date]],"yyyy-mm")</f>
        <v>2025-08</v>
      </c>
      <c r="Q219">
        <f>WEEKNUM(Table1[[#This Row],[order_date]])</f>
        <v>31</v>
      </c>
      <c r="R219">
        <f>IF(Table1[[#This Row],[order_status]]="completed",1,0)</f>
        <v>0</v>
      </c>
    </row>
    <row r="220" spans="1:18" x14ac:dyDescent="0.35">
      <c r="A220">
        <v>219</v>
      </c>
      <c r="B220" s="1">
        <v>45898</v>
      </c>
      <c r="C220">
        <v>1070</v>
      </c>
      <c r="D220" t="s">
        <v>32</v>
      </c>
      <c r="E220" t="s">
        <v>29</v>
      </c>
      <c r="F220" t="s">
        <v>24</v>
      </c>
      <c r="G220">
        <v>3</v>
      </c>
      <c r="H220">
        <v>0</v>
      </c>
      <c r="I220" t="s">
        <v>35</v>
      </c>
      <c r="J220" t="s">
        <v>31</v>
      </c>
      <c r="K220" t="s">
        <v>38</v>
      </c>
      <c r="L220">
        <v>5</v>
      </c>
      <c r="M220">
        <v>1</v>
      </c>
      <c r="N220">
        <v>0</v>
      </c>
      <c r="O220" t="s">
        <v>27</v>
      </c>
      <c r="P220" t="str">
        <f>TEXT(Table1[[#This Row],[order_date]],"yyyy-mm")</f>
        <v>2025-08</v>
      </c>
      <c r="Q220">
        <f>WEEKNUM(Table1[[#This Row],[order_date]])</f>
        <v>35</v>
      </c>
      <c r="R220">
        <f>IF(Table1[[#This Row],[order_status]]="completed",1,0)</f>
        <v>0</v>
      </c>
    </row>
    <row r="221" spans="1:18" x14ac:dyDescent="0.35">
      <c r="A221">
        <v>220</v>
      </c>
      <c r="B221" s="1">
        <v>45889</v>
      </c>
      <c r="C221">
        <v>1007</v>
      </c>
      <c r="D221" t="s">
        <v>28</v>
      </c>
      <c r="E221" t="s">
        <v>36</v>
      </c>
      <c r="F221" t="s">
        <v>30</v>
      </c>
      <c r="G221">
        <v>5</v>
      </c>
      <c r="H221">
        <v>0</v>
      </c>
      <c r="I221" t="s">
        <v>39</v>
      </c>
      <c r="J221" t="s">
        <v>31</v>
      </c>
      <c r="K221" t="s">
        <v>26</v>
      </c>
      <c r="L221">
        <v>6</v>
      </c>
      <c r="M221">
        <v>0</v>
      </c>
      <c r="N221">
        <v>1</v>
      </c>
      <c r="O221" t="s">
        <v>21</v>
      </c>
      <c r="P221" t="str">
        <f>TEXT(Table1[[#This Row],[order_date]],"yyyy-mm")</f>
        <v>2025-08</v>
      </c>
      <c r="Q221">
        <f>WEEKNUM(Table1[[#This Row],[order_date]])</f>
        <v>34</v>
      </c>
      <c r="R221">
        <f>IF(Table1[[#This Row],[order_status]]="completed",1,0)</f>
        <v>0</v>
      </c>
    </row>
    <row r="222" spans="1:18" x14ac:dyDescent="0.35">
      <c r="A222">
        <v>221</v>
      </c>
      <c r="B222" s="1">
        <v>45925</v>
      </c>
      <c r="C222">
        <v>1632</v>
      </c>
      <c r="D222" t="s">
        <v>22</v>
      </c>
      <c r="E222" t="s">
        <v>23</v>
      </c>
      <c r="F222" t="s">
        <v>17</v>
      </c>
      <c r="G222">
        <v>1</v>
      </c>
      <c r="H222">
        <v>0</v>
      </c>
      <c r="I222" t="s">
        <v>18</v>
      </c>
      <c r="J222" t="s">
        <v>37</v>
      </c>
      <c r="K222" t="s">
        <v>38</v>
      </c>
      <c r="L222">
        <v>9</v>
      </c>
      <c r="M222">
        <v>0</v>
      </c>
      <c r="N222">
        <v>1</v>
      </c>
      <c r="O222" t="s">
        <v>27</v>
      </c>
      <c r="P222" t="str">
        <f>TEXT(Table1[[#This Row],[order_date]],"yyyy-mm")</f>
        <v>2025-09</v>
      </c>
      <c r="Q222">
        <f>WEEKNUM(Table1[[#This Row],[order_date]])</f>
        <v>39</v>
      </c>
      <c r="R222">
        <f>IF(Table1[[#This Row],[order_status]]="completed",1,0)</f>
        <v>0</v>
      </c>
    </row>
    <row r="223" spans="1:18" x14ac:dyDescent="0.35">
      <c r="A223">
        <v>222</v>
      </c>
      <c r="B223" s="1">
        <v>46023</v>
      </c>
      <c r="C223">
        <v>1027</v>
      </c>
      <c r="D223" t="s">
        <v>28</v>
      </c>
      <c r="E223" t="s">
        <v>36</v>
      </c>
      <c r="F223" t="s">
        <v>24</v>
      </c>
      <c r="G223">
        <v>3</v>
      </c>
      <c r="H223">
        <v>0</v>
      </c>
      <c r="I223" t="s">
        <v>39</v>
      </c>
      <c r="J223" t="s">
        <v>31</v>
      </c>
      <c r="K223" t="s">
        <v>26</v>
      </c>
      <c r="L223">
        <v>5</v>
      </c>
      <c r="M223">
        <v>0</v>
      </c>
      <c r="N223">
        <v>1</v>
      </c>
      <c r="O223" t="s">
        <v>21</v>
      </c>
      <c r="P223" t="str">
        <f>TEXT(Table1[[#This Row],[order_date]],"yyyy-mm")</f>
        <v>2026-01</v>
      </c>
      <c r="Q223">
        <f>WEEKNUM(Table1[[#This Row],[order_date]])</f>
        <v>1</v>
      </c>
      <c r="R223">
        <f>IF(Table1[[#This Row],[order_status]]="completed",1,0)</f>
        <v>0</v>
      </c>
    </row>
    <row r="224" spans="1:18" x14ac:dyDescent="0.35">
      <c r="A224">
        <v>223</v>
      </c>
      <c r="B224" s="1">
        <v>45928</v>
      </c>
      <c r="C224">
        <v>1406</v>
      </c>
      <c r="D224" t="s">
        <v>22</v>
      </c>
      <c r="E224" t="s">
        <v>36</v>
      </c>
      <c r="F224" t="s">
        <v>34</v>
      </c>
      <c r="G224">
        <v>3</v>
      </c>
      <c r="H224">
        <v>0</v>
      </c>
      <c r="I224" t="s">
        <v>25</v>
      </c>
      <c r="J224" t="s">
        <v>37</v>
      </c>
      <c r="K224" t="s">
        <v>40</v>
      </c>
      <c r="L224">
        <v>1</v>
      </c>
      <c r="M224">
        <v>0</v>
      </c>
      <c r="N224">
        <v>0</v>
      </c>
      <c r="O224" t="s">
        <v>27</v>
      </c>
      <c r="P224" t="str">
        <f>TEXT(Table1[[#This Row],[order_date]],"yyyy-mm")</f>
        <v>2025-09</v>
      </c>
      <c r="Q224">
        <f>WEEKNUM(Table1[[#This Row],[order_date]])</f>
        <v>40</v>
      </c>
      <c r="R224">
        <f>IF(Table1[[#This Row],[order_status]]="completed",1,0)</f>
        <v>0</v>
      </c>
    </row>
    <row r="225" spans="1:18" x14ac:dyDescent="0.35">
      <c r="A225">
        <v>224</v>
      </c>
      <c r="B225" s="1">
        <v>45964</v>
      </c>
      <c r="C225">
        <v>1988</v>
      </c>
      <c r="D225" t="s">
        <v>32</v>
      </c>
      <c r="E225" t="s">
        <v>33</v>
      </c>
      <c r="F225" t="s">
        <v>34</v>
      </c>
      <c r="G225">
        <v>3</v>
      </c>
      <c r="H225">
        <v>10929</v>
      </c>
      <c r="I225" t="s">
        <v>25</v>
      </c>
      <c r="J225" t="s">
        <v>19</v>
      </c>
      <c r="K225" t="s">
        <v>40</v>
      </c>
      <c r="L225">
        <v>7</v>
      </c>
      <c r="M225">
        <v>1</v>
      </c>
      <c r="N225">
        <v>0</v>
      </c>
      <c r="O225" t="s">
        <v>27</v>
      </c>
      <c r="P225" t="str">
        <f>TEXT(Table1[[#This Row],[order_date]],"yyyy-mm")</f>
        <v>2025-11</v>
      </c>
      <c r="Q225">
        <f>WEEKNUM(Table1[[#This Row],[order_date]])</f>
        <v>45</v>
      </c>
      <c r="R225">
        <f>IF(Table1[[#This Row],[order_status]]="completed",1,0)</f>
        <v>1</v>
      </c>
    </row>
    <row r="226" spans="1:18" x14ac:dyDescent="0.35">
      <c r="A226">
        <v>225</v>
      </c>
      <c r="B226" s="1">
        <v>45911</v>
      </c>
      <c r="C226">
        <v>1137</v>
      </c>
      <c r="D226" t="s">
        <v>28</v>
      </c>
      <c r="E226" t="s">
        <v>33</v>
      </c>
      <c r="F226" t="s">
        <v>30</v>
      </c>
      <c r="G226">
        <v>5</v>
      </c>
      <c r="H226">
        <v>20065</v>
      </c>
      <c r="I226" t="s">
        <v>35</v>
      </c>
      <c r="J226" t="s">
        <v>19</v>
      </c>
      <c r="K226" t="s">
        <v>26</v>
      </c>
      <c r="L226">
        <v>2</v>
      </c>
      <c r="M226">
        <v>0</v>
      </c>
      <c r="N226">
        <v>1</v>
      </c>
      <c r="O226" t="s">
        <v>21</v>
      </c>
      <c r="P226" t="str">
        <f>TEXT(Table1[[#This Row],[order_date]],"yyyy-mm")</f>
        <v>2025-09</v>
      </c>
      <c r="Q226">
        <f>WEEKNUM(Table1[[#This Row],[order_date]])</f>
        <v>37</v>
      </c>
      <c r="R226">
        <f>IF(Table1[[#This Row],[order_status]]="completed",1,0)</f>
        <v>1</v>
      </c>
    </row>
    <row r="227" spans="1:18" x14ac:dyDescent="0.35">
      <c r="A227">
        <v>226</v>
      </c>
      <c r="B227" s="1">
        <v>45927</v>
      </c>
      <c r="C227">
        <v>1334</v>
      </c>
      <c r="D227" t="s">
        <v>15</v>
      </c>
      <c r="E227" t="s">
        <v>36</v>
      </c>
      <c r="F227" t="s">
        <v>34</v>
      </c>
      <c r="G227">
        <v>5</v>
      </c>
      <c r="H227">
        <v>0</v>
      </c>
      <c r="I227" t="s">
        <v>25</v>
      </c>
      <c r="J227" t="s">
        <v>31</v>
      </c>
      <c r="K227" t="s">
        <v>40</v>
      </c>
      <c r="L227">
        <v>2</v>
      </c>
      <c r="M227">
        <v>1</v>
      </c>
      <c r="N227">
        <v>1</v>
      </c>
      <c r="O227" t="s">
        <v>27</v>
      </c>
      <c r="P227" t="str">
        <f>TEXT(Table1[[#This Row],[order_date]],"yyyy-mm")</f>
        <v>2025-09</v>
      </c>
      <c r="Q227">
        <f>WEEKNUM(Table1[[#This Row],[order_date]])</f>
        <v>39</v>
      </c>
      <c r="R227">
        <f>IF(Table1[[#This Row],[order_status]]="completed",1,0)</f>
        <v>0</v>
      </c>
    </row>
    <row r="228" spans="1:18" x14ac:dyDescent="0.35">
      <c r="A228">
        <v>227</v>
      </c>
      <c r="B228" s="1">
        <v>45911</v>
      </c>
      <c r="C228">
        <v>1930</v>
      </c>
      <c r="D228" t="s">
        <v>32</v>
      </c>
      <c r="E228" t="s">
        <v>29</v>
      </c>
      <c r="F228" t="s">
        <v>17</v>
      </c>
      <c r="G228">
        <v>1</v>
      </c>
      <c r="H228">
        <v>0</v>
      </c>
      <c r="I228" t="s">
        <v>39</v>
      </c>
      <c r="J228" t="s">
        <v>31</v>
      </c>
      <c r="K228" t="s">
        <v>38</v>
      </c>
      <c r="L228">
        <v>5</v>
      </c>
      <c r="M228">
        <v>0</v>
      </c>
      <c r="N228">
        <v>0</v>
      </c>
      <c r="O228" t="s">
        <v>21</v>
      </c>
      <c r="P228" t="str">
        <f>TEXT(Table1[[#This Row],[order_date]],"yyyy-mm")</f>
        <v>2025-09</v>
      </c>
      <c r="Q228">
        <f>WEEKNUM(Table1[[#This Row],[order_date]])</f>
        <v>37</v>
      </c>
      <c r="R228">
        <f>IF(Table1[[#This Row],[order_status]]="completed",1,0)</f>
        <v>0</v>
      </c>
    </row>
    <row r="229" spans="1:18" x14ac:dyDescent="0.35">
      <c r="A229">
        <v>228</v>
      </c>
      <c r="B229" s="1">
        <v>46022</v>
      </c>
      <c r="C229">
        <v>1883</v>
      </c>
      <c r="D229" t="s">
        <v>32</v>
      </c>
      <c r="E229" t="s">
        <v>29</v>
      </c>
      <c r="F229" t="s">
        <v>17</v>
      </c>
      <c r="G229">
        <v>4</v>
      </c>
      <c r="H229">
        <v>0</v>
      </c>
      <c r="I229" t="s">
        <v>25</v>
      </c>
      <c r="J229" t="s">
        <v>31</v>
      </c>
      <c r="K229" t="s">
        <v>26</v>
      </c>
      <c r="L229">
        <v>4</v>
      </c>
      <c r="M229">
        <v>1</v>
      </c>
      <c r="N229">
        <v>0</v>
      </c>
      <c r="O229" t="s">
        <v>27</v>
      </c>
      <c r="P229" t="str">
        <f>TEXT(Table1[[#This Row],[order_date]],"yyyy-mm")</f>
        <v>2025-12</v>
      </c>
      <c r="Q229">
        <f>WEEKNUM(Table1[[#This Row],[order_date]])</f>
        <v>53</v>
      </c>
      <c r="R229">
        <f>IF(Table1[[#This Row],[order_status]]="completed",1,0)</f>
        <v>0</v>
      </c>
    </row>
    <row r="230" spans="1:18" x14ac:dyDescent="0.35">
      <c r="A230">
        <v>229</v>
      </c>
      <c r="B230" s="1">
        <v>45865</v>
      </c>
      <c r="C230">
        <v>1778</v>
      </c>
      <c r="D230" t="s">
        <v>15</v>
      </c>
      <c r="E230" t="s">
        <v>29</v>
      </c>
      <c r="F230" t="s">
        <v>30</v>
      </c>
      <c r="G230">
        <v>1</v>
      </c>
      <c r="H230">
        <v>0</v>
      </c>
      <c r="I230" t="s">
        <v>39</v>
      </c>
      <c r="J230" t="s">
        <v>37</v>
      </c>
      <c r="K230" t="s">
        <v>26</v>
      </c>
      <c r="L230">
        <v>1</v>
      </c>
      <c r="M230">
        <v>1</v>
      </c>
      <c r="N230">
        <v>0</v>
      </c>
      <c r="O230" t="s">
        <v>27</v>
      </c>
      <c r="P230" t="str">
        <f>TEXT(Table1[[#This Row],[order_date]],"yyyy-mm")</f>
        <v>2025-07</v>
      </c>
      <c r="Q230">
        <f>WEEKNUM(Table1[[#This Row],[order_date]])</f>
        <v>31</v>
      </c>
      <c r="R230">
        <f>IF(Table1[[#This Row],[order_status]]="completed",1,0)</f>
        <v>0</v>
      </c>
    </row>
    <row r="231" spans="1:18" x14ac:dyDescent="0.35">
      <c r="A231">
        <v>230</v>
      </c>
      <c r="B231" s="1">
        <v>45890</v>
      </c>
      <c r="C231">
        <v>1406</v>
      </c>
      <c r="D231" t="s">
        <v>32</v>
      </c>
      <c r="E231" t="s">
        <v>16</v>
      </c>
      <c r="F231" t="s">
        <v>34</v>
      </c>
      <c r="G231">
        <v>5</v>
      </c>
      <c r="H231">
        <v>11525</v>
      </c>
      <c r="I231" t="s">
        <v>25</v>
      </c>
      <c r="J231" t="s">
        <v>19</v>
      </c>
      <c r="K231" t="s">
        <v>20</v>
      </c>
      <c r="L231">
        <v>10</v>
      </c>
      <c r="M231">
        <v>0</v>
      </c>
      <c r="N231">
        <v>0</v>
      </c>
      <c r="O231" t="s">
        <v>27</v>
      </c>
      <c r="P231" t="str">
        <f>TEXT(Table1[[#This Row],[order_date]],"yyyy-mm")</f>
        <v>2025-08</v>
      </c>
      <c r="Q231">
        <f>WEEKNUM(Table1[[#This Row],[order_date]])</f>
        <v>34</v>
      </c>
      <c r="R231">
        <f>IF(Table1[[#This Row],[order_status]]="completed",1,0)</f>
        <v>1</v>
      </c>
    </row>
    <row r="232" spans="1:18" x14ac:dyDescent="0.35">
      <c r="A232">
        <v>231</v>
      </c>
      <c r="B232" s="1">
        <v>45946</v>
      </c>
      <c r="C232">
        <v>1830</v>
      </c>
      <c r="D232" t="s">
        <v>15</v>
      </c>
      <c r="E232" t="s">
        <v>33</v>
      </c>
      <c r="F232" t="s">
        <v>34</v>
      </c>
      <c r="G232">
        <v>5</v>
      </c>
      <c r="H232">
        <v>23895</v>
      </c>
      <c r="I232" t="s">
        <v>18</v>
      </c>
      <c r="J232" t="s">
        <v>19</v>
      </c>
      <c r="K232" t="s">
        <v>20</v>
      </c>
      <c r="L232">
        <v>5</v>
      </c>
      <c r="M232">
        <v>1</v>
      </c>
      <c r="N232">
        <v>1</v>
      </c>
      <c r="O232" t="s">
        <v>21</v>
      </c>
      <c r="P232" t="str">
        <f>TEXT(Table1[[#This Row],[order_date]],"yyyy-mm")</f>
        <v>2025-10</v>
      </c>
      <c r="Q232">
        <f>WEEKNUM(Table1[[#This Row],[order_date]])</f>
        <v>42</v>
      </c>
      <c r="R232">
        <f>IF(Table1[[#This Row],[order_status]]="completed",1,0)</f>
        <v>1</v>
      </c>
    </row>
    <row r="233" spans="1:18" x14ac:dyDescent="0.35">
      <c r="A233">
        <v>232</v>
      </c>
      <c r="B233" s="1">
        <v>45977</v>
      </c>
      <c r="C233">
        <v>1999</v>
      </c>
      <c r="D233" t="s">
        <v>28</v>
      </c>
      <c r="E233" t="s">
        <v>36</v>
      </c>
      <c r="F233" t="s">
        <v>34</v>
      </c>
      <c r="G233">
        <v>3</v>
      </c>
      <c r="H233">
        <v>0</v>
      </c>
      <c r="I233" t="s">
        <v>25</v>
      </c>
      <c r="J233" t="s">
        <v>31</v>
      </c>
      <c r="K233" t="s">
        <v>40</v>
      </c>
      <c r="L233">
        <v>10</v>
      </c>
      <c r="M233">
        <v>0</v>
      </c>
      <c r="N233">
        <v>0</v>
      </c>
      <c r="O233" t="s">
        <v>27</v>
      </c>
      <c r="P233" t="str">
        <f>TEXT(Table1[[#This Row],[order_date]],"yyyy-mm")</f>
        <v>2025-11</v>
      </c>
      <c r="Q233">
        <f>WEEKNUM(Table1[[#This Row],[order_date]])</f>
        <v>47</v>
      </c>
      <c r="R233">
        <f>IF(Table1[[#This Row],[order_status]]="completed",1,0)</f>
        <v>0</v>
      </c>
    </row>
    <row r="234" spans="1:18" x14ac:dyDescent="0.35">
      <c r="A234">
        <v>233</v>
      </c>
      <c r="B234" s="1">
        <v>46018</v>
      </c>
      <c r="C234">
        <v>1782</v>
      </c>
      <c r="D234" t="s">
        <v>22</v>
      </c>
      <c r="E234" t="s">
        <v>23</v>
      </c>
      <c r="F234" t="s">
        <v>30</v>
      </c>
      <c r="G234">
        <v>3</v>
      </c>
      <c r="H234">
        <v>960</v>
      </c>
      <c r="I234" t="s">
        <v>25</v>
      </c>
      <c r="J234" t="s">
        <v>19</v>
      </c>
      <c r="K234" t="s">
        <v>40</v>
      </c>
      <c r="L234">
        <v>8</v>
      </c>
      <c r="M234">
        <v>1</v>
      </c>
      <c r="N234">
        <v>0</v>
      </c>
      <c r="O234" t="s">
        <v>21</v>
      </c>
      <c r="P234" t="str">
        <f>TEXT(Table1[[#This Row],[order_date]],"yyyy-mm")</f>
        <v>2025-12</v>
      </c>
      <c r="Q234">
        <f>WEEKNUM(Table1[[#This Row],[order_date]])</f>
        <v>52</v>
      </c>
      <c r="R234">
        <f>IF(Table1[[#This Row],[order_status]]="completed",1,0)</f>
        <v>1</v>
      </c>
    </row>
    <row r="235" spans="1:18" x14ac:dyDescent="0.35">
      <c r="A235">
        <v>234</v>
      </c>
      <c r="B235" s="1">
        <v>45887</v>
      </c>
      <c r="C235">
        <v>1271</v>
      </c>
      <c r="D235" t="s">
        <v>32</v>
      </c>
      <c r="E235" t="s">
        <v>33</v>
      </c>
      <c r="F235" t="s">
        <v>17</v>
      </c>
      <c r="G235">
        <v>4</v>
      </c>
      <c r="H235">
        <v>0</v>
      </c>
      <c r="I235" t="s">
        <v>18</v>
      </c>
      <c r="J235" t="s">
        <v>31</v>
      </c>
      <c r="K235" t="s">
        <v>26</v>
      </c>
      <c r="L235">
        <v>2</v>
      </c>
      <c r="M235">
        <v>0</v>
      </c>
      <c r="N235">
        <v>0</v>
      </c>
      <c r="O235" t="s">
        <v>21</v>
      </c>
      <c r="P235" t="str">
        <f>TEXT(Table1[[#This Row],[order_date]],"yyyy-mm")</f>
        <v>2025-08</v>
      </c>
      <c r="Q235">
        <f>WEEKNUM(Table1[[#This Row],[order_date]])</f>
        <v>34</v>
      </c>
      <c r="R235">
        <f>IF(Table1[[#This Row],[order_status]]="completed",1,0)</f>
        <v>0</v>
      </c>
    </row>
    <row r="236" spans="1:18" x14ac:dyDescent="0.35">
      <c r="A236">
        <v>235</v>
      </c>
      <c r="B236" s="1">
        <v>45909</v>
      </c>
      <c r="C236">
        <v>1594</v>
      </c>
      <c r="D236" t="s">
        <v>15</v>
      </c>
      <c r="E236" t="s">
        <v>16</v>
      </c>
      <c r="F236" t="s">
        <v>17</v>
      </c>
      <c r="G236">
        <v>2</v>
      </c>
      <c r="H236">
        <v>0</v>
      </c>
      <c r="I236" t="s">
        <v>25</v>
      </c>
      <c r="J236" t="s">
        <v>31</v>
      </c>
      <c r="K236" t="s">
        <v>38</v>
      </c>
      <c r="L236">
        <v>8</v>
      </c>
      <c r="M236">
        <v>1</v>
      </c>
      <c r="N236">
        <v>0</v>
      </c>
      <c r="O236" t="s">
        <v>21</v>
      </c>
      <c r="P236" t="str">
        <f>TEXT(Table1[[#This Row],[order_date]],"yyyy-mm")</f>
        <v>2025-09</v>
      </c>
      <c r="Q236">
        <f>WEEKNUM(Table1[[#This Row],[order_date]])</f>
        <v>37</v>
      </c>
      <c r="R236">
        <f>IF(Table1[[#This Row],[order_status]]="completed",1,0)</f>
        <v>0</v>
      </c>
    </row>
    <row r="237" spans="1:18" x14ac:dyDescent="0.35">
      <c r="A237">
        <v>236</v>
      </c>
      <c r="B237" s="1">
        <v>46016</v>
      </c>
      <c r="C237">
        <v>1518</v>
      </c>
      <c r="D237" t="s">
        <v>41</v>
      </c>
      <c r="E237" t="s">
        <v>29</v>
      </c>
      <c r="F237" t="s">
        <v>30</v>
      </c>
      <c r="G237">
        <v>4</v>
      </c>
      <c r="H237">
        <v>0</v>
      </c>
      <c r="I237" t="s">
        <v>18</v>
      </c>
      <c r="J237" t="s">
        <v>37</v>
      </c>
      <c r="K237" t="s">
        <v>26</v>
      </c>
      <c r="L237">
        <v>3</v>
      </c>
      <c r="M237">
        <v>0</v>
      </c>
      <c r="N237">
        <v>0</v>
      </c>
      <c r="O237" t="s">
        <v>21</v>
      </c>
      <c r="P237" t="str">
        <f>TEXT(Table1[[#This Row],[order_date]],"yyyy-mm")</f>
        <v>2025-12</v>
      </c>
      <c r="Q237">
        <f>WEEKNUM(Table1[[#This Row],[order_date]])</f>
        <v>52</v>
      </c>
      <c r="R237">
        <f>IF(Table1[[#This Row],[order_status]]="completed",1,0)</f>
        <v>0</v>
      </c>
    </row>
    <row r="238" spans="1:18" x14ac:dyDescent="0.35">
      <c r="A238">
        <v>237</v>
      </c>
      <c r="B238" s="1">
        <v>45958</v>
      </c>
      <c r="C238">
        <v>1387</v>
      </c>
      <c r="D238" t="s">
        <v>15</v>
      </c>
      <c r="E238" t="s">
        <v>36</v>
      </c>
      <c r="F238" t="s">
        <v>30</v>
      </c>
      <c r="G238">
        <v>5</v>
      </c>
      <c r="H238">
        <v>0</v>
      </c>
      <c r="I238" t="s">
        <v>39</v>
      </c>
      <c r="J238" t="s">
        <v>31</v>
      </c>
      <c r="K238" t="s">
        <v>40</v>
      </c>
      <c r="L238">
        <v>6</v>
      </c>
      <c r="M238">
        <v>1</v>
      </c>
      <c r="N238">
        <v>1</v>
      </c>
      <c r="O238" t="s">
        <v>21</v>
      </c>
      <c r="P238" t="str">
        <f>TEXT(Table1[[#This Row],[order_date]],"yyyy-mm")</f>
        <v>2025-10</v>
      </c>
      <c r="Q238">
        <f>WEEKNUM(Table1[[#This Row],[order_date]])</f>
        <v>44</v>
      </c>
      <c r="R238">
        <f>IF(Table1[[#This Row],[order_status]]="completed",1,0)</f>
        <v>0</v>
      </c>
    </row>
    <row r="239" spans="1:18" x14ac:dyDescent="0.35">
      <c r="A239">
        <v>238</v>
      </c>
      <c r="B239" s="1">
        <v>45878</v>
      </c>
      <c r="C239">
        <v>1612</v>
      </c>
      <c r="D239" t="s">
        <v>32</v>
      </c>
      <c r="E239" t="s">
        <v>23</v>
      </c>
      <c r="F239" t="s">
        <v>34</v>
      </c>
      <c r="G239">
        <v>5</v>
      </c>
      <c r="H239">
        <v>0</v>
      </c>
      <c r="I239" t="s">
        <v>35</v>
      </c>
      <c r="J239" t="s">
        <v>37</v>
      </c>
      <c r="K239" t="s">
        <v>20</v>
      </c>
      <c r="L239">
        <v>3</v>
      </c>
      <c r="M239">
        <v>1</v>
      </c>
      <c r="N239">
        <v>1</v>
      </c>
      <c r="O239" t="s">
        <v>21</v>
      </c>
      <c r="P239" t="str">
        <f>TEXT(Table1[[#This Row],[order_date]],"yyyy-mm")</f>
        <v>2025-08</v>
      </c>
      <c r="Q239">
        <f>WEEKNUM(Table1[[#This Row],[order_date]])</f>
        <v>32</v>
      </c>
      <c r="R239">
        <f>IF(Table1[[#This Row],[order_status]]="completed",1,0)</f>
        <v>0</v>
      </c>
    </row>
    <row r="240" spans="1:18" x14ac:dyDescent="0.35">
      <c r="A240">
        <v>239</v>
      </c>
      <c r="B240" s="1">
        <v>46003</v>
      </c>
      <c r="C240">
        <v>1727</v>
      </c>
      <c r="D240" t="s">
        <v>41</v>
      </c>
      <c r="E240" t="s">
        <v>36</v>
      </c>
      <c r="F240" t="s">
        <v>24</v>
      </c>
      <c r="G240">
        <v>4</v>
      </c>
      <c r="H240">
        <v>8588</v>
      </c>
      <c r="I240" t="s">
        <v>35</v>
      </c>
      <c r="J240" t="s">
        <v>19</v>
      </c>
      <c r="K240" t="s">
        <v>40</v>
      </c>
      <c r="L240">
        <v>7</v>
      </c>
      <c r="M240">
        <v>0</v>
      </c>
      <c r="N240">
        <v>0</v>
      </c>
      <c r="O240" t="s">
        <v>21</v>
      </c>
      <c r="P240" t="str">
        <f>TEXT(Table1[[#This Row],[order_date]],"yyyy-mm")</f>
        <v>2025-12</v>
      </c>
      <c r="Q240">
        <f>WEEKNUM(Table1[[#This Row],[order_date]])</f>
        <v>50</v>
      </c>
      <c r="R240">
        <f>IF(Table1[[#This Row],[order_status]]="completed",1,0)</f>
        <v>1</v>
      </c>
    </row>
    <row r="241" spans="1:18" x14ac:dyDescent="0.35">
      <c r="A241">
        <v>240</v>
      </c>
      <c r="B241" s="1">
        <v>45884</v>
      </c>
      <c r="C241">
        <v>1552</v>
      </c>
      <c r="D241" t="s">
        <v>28</v>
      </c>
      <c r="E241" t="s">
        <v>36</v>
      </c>
      <c r="F241" t="s">
        <v>30</v>
      </c>
      <c r="G241">
        <v>2</v>
      </c>
      <c r="H241">
        <v>0</v>
      </c>
      <c r="I241" t="s">
        <v>18</v>
      </c>
      <c r="J241" t="s">
        <v>37</v>
      </c>
      <c r="K241" t="s">
        <v>40</v>
      </c>
      <c r="L241">
        <v>9</v>
      </c>
      <c r="M241">
        <v>1</v>
      </c>
      <c r="N241">
        <v>0</v>
      </c>
      <c r="O241" t="s">
        <v>21</v>
      </c>
      <c r="P241" t="str">
        <f>TEXT(Table1[[#This Row],[order_date]],"yyyy-mm")</f>
        <v>2025-08</v>
      </c>
      <c r="Q241">
        <f>WEEKNUM(Table1[[#This Row],[order_date]])</f>
        <v>33</v>
      </c>
      <c r="R241">
        <f>IF(Table1[[#This Row],[order_status]]="completed",1,0)</f>
        <v>0</v>
      </c>
    </row>
    <row r="242" spans="1:18" x14ac:dyDescent="0.35">
      <c r="A242">
        <v>241</v>
      </c>
      <c r="B242" s="1">
        <v>45886</v>
      </c>
      <c r="C242">
        <v>1613</v>
      </c>
      <c r="D242" t="s">
        <v>32</v>
      </c>
      <c r="E242" t="s">
        <v>33</v>
      </c>
      <c r="F242" t="s">
        <v>24</v>
      </c>
      <c r="G242">
        <v>5</v>
      </c>
      <c r="H242">
        <v>7575</v>
      </c>
      <c r="I242" t="s">
        <v>39</v>
      </c>
      <c r="J242" t="s">
        <v>19</v>
      </c>
      <c r="K242" t="s">
        <v>26</v>
      </c>
      <c r="L242">
        <v>7</v>
      </c>
      <c r="M242">
        <v>0</v>
      </c>
      <c r="N242">
        <v>0</v>
      </c>
      <c r="O242" t="s">
        <v>21</v>
      </c>
      <c r="P242" t="str">
        <f>TEXT(Table1[[#This Row],[order_date]],"yyyy-mm")</f>
        <v>2025-08</v>
      </c>
      <c r="Q242">
        <f>WEEKNUM(Table1[[#This Row],[order_date]])</f>
        <v>34</v>
      </c>
      <c r="R242">
        <f>IF(Table1[[#This Row],[order_status]]="completed",1,0)</f>
        <v>1</v>
      </c>
    </row>
    <row r="243" spans="1:18" x14ac:dyDescent="0.35">
      <c r="A243">
        <v>242</v>
      </c>
      <c r="B243" s="1">
        <v>45869</v>
      </c>
      <c r="C243">
        <v>1722</v>
      </c>
      <c r="D243" t="s">
        <v>41</v>
      </c>
      <c r="E243" t="s">
        <v>23</v>
      </c>
      <c r="F243" t="s">
        <v>24</v>
      </c>
      <c r="G243">
        <v>3</v>
      </c>
      <c r="H243">
        <v>0</v>
      </c>
      <c r="I243" t="s">
        <v>18</v>
      </c>
      <c r="J243" t="s">
        <v>31</v>
      </c>
      <c r="K243" t="s">
        <v>40</v>
      </c>
      <c r="L243">
        <v>7</v>
      </c>
      <c r="M243">
        <v>0</v>
      </c>
      <c r="N243">
        <v>0</v>
      </c>
      <c r="O243" t="s">
        <v>21</v>
      </c>
      <c r="P243" t="str">
        <f>TEXT(Table1[[#This Row],[order_date]],"yyyy-mm")</f>
        <v>2025-07</v>
      </c>
      <c r="Q243">
        <f>WEEKNUM(Table1[[#This Row],[order_date]])</f>
        <v>31</v>
      </c>
      <c r="R243">
        <f>IF(Table1[[#This Row],[order_status]]="completed",1,0)</f>
        <v>0</v>
      </c>
    </row>
    <row r="244" spans="1:18" x14ac:dyDescent="0.35">
      <c r="A244">
        <v>243</v>
      </c>
      <c r="B244" s="1">
        <v>45900</v>
      </c>
      <c r="C244">
        <v>1076</v>
      </c>
      <c r="D244" t="s">
        <v>22</v>
      </c>
      <c r="E244" t="s">
        <v>36</v>
      </c>
      <c r="F244" t="s">
        <v>17</v>
      </c>
      <c r="G244">
        <v>4</v>
      </c>
      <c r="H244">
        <v>18788</v>
      </c>
      <c r="I244" t="s">
        <v>18</v>
      </c>
      <c r="J244" t="s">
        <v>19</v>
      </c>
      <c r="K244" t="s">
        <v>26</v>
      </c>
      <c r="L244">
        <v>8</v>
      </c>
      <c r="M244">
        <v>1</v>
      </c>
      <c r="N244">
        <v>0</v>
      </c>
      <c r="O244" t="s">
        <v>27</v>
      </c>
      <c r="P244" t="str">
        <f>TEXT(Table1[[#This Row],[order_date]],"yyyy-mm")</f>
        <v>2025-08</v>
      </c>
      <c r="Q244">
        <f>WEEKNUM(Table1[[#This Row],[order_date]])</f>
        <v>36</v>
      </c>
      <c r="R244">
        <f>IF(Table1[[#This Row],[order_status]]="completed",1,0)</f>
        <v>1</v>
      </c>
    </row>
    <row r="245" spans="1:18" x14ac:dyDescent="0.35">
      <c r="A245">
        <v>244</v>
      </c>
      <c r="B245" s="1">
        <v>46019</v>
      </c>
      <c r="C245">
        <v>1663</v>
      </c>
      <c r="D245" t="s">
        <v>41</v>
      </c>
      <c r="E245" t="s">
        <v>23</v>
      </c>
      <c r="F245" t="s">
        <v>17</v>
      </c>
      <c r="G245">
        <v>2</v>
      </c>
      <c r="H245">
        <v>0</v>
      </c>
      <c r="I245" t="s">
        <v>25</v>
      </c>
      <c r="J245" t="s">
        <v>37</v>
      </c>
      <c r="K245" t="s">
        <v>26</v>
      </c>
      <c r="L245">
        <v>4</v>
      </c>
      <c r="M245">
        <v>1</v>
      </c>
      <c r="N245">
        <v>1</v>
      </c>
      <c r="O245" t="s">
        <v>27</v>
      </c>
      <c r="P245" t="str">
        <f>TEXT(Table1[[#This Row],[order_date]],"yyyy-mm")</f>
        <v>2025-12</v>
      </c>
      <c r="Q245">
        <f>WEEKNUM(Table1[[#This Row],[order_date]])</f>
        <v>53</v>
      </c>
      <c r="R245">
        <f>IF(Table1[[#This Row],[order_status]]="completed",1,0)</f>
        <v>0</v>
      </c>
    </row>
    <row r="246" spans="1:18" x14ac:dyDescent="0.35">
      <c r="A246">
        <v>245</v>
      </c>
      <c r="B246" s="1">
        <v>45971</v>
      </c>
      <c r="C246">
        <v>1282</v>
      </c>
      <c r="D246" t="s">
        <v>22</v>
      </c>
      <c r="E246" t="s">
        <v>16</v>
      </c>
      <c r="F246" t="s">
        <v>34</v>
      </c>
      <c r="G246">
        <v>2</v>
      </c>
      <c r="H246">
        <v>0</v>
      </c>
      <c r="I246" t="s">
        <v>35</v>
      </c>
      <c r="J246" t="s">
        <v>31</v>
      </c>
      <c r="K246" t="s">
        <v>26</v>
      </c>
      <c r="L246">
        <v>4</v>
      </c>
      <c r="M246">
        <v>1</v>
      </c>
      <c r="N246">
        <v>1</v>
      </c>
      <c r="O246" t="s">
        <v>21</v>
      </c>
      <c r="P246" t="str">
        <f>TEXT(Table1[[#This Row],[order_date]],"yyyy-mm")</f>
        <v>2025-11</v>
      </c>
      <c r="Q246">
        <f>WEEKNUM(Table1[[#This Row],[order_date]])</f>
        <v>46</v>
      </c>
      <c r="R246">
        <f>IF(Table1[[#This Row],[order_status]]="completed",1,0)</f>
        <v>0</v>
      </c>
    </row>
    <row r="247" spans="1:18" x14ac:dyDescent="0.35">
      <c r="A247">
        <v>246</v>
      </c>
      <c r="B247" s="1">
        <v>45972</v>
      </c>
      <c r="C247">
        <v>1636</v>
      </c>
      <c r="D247" t="s">
        <v>15</v>
      </c>
      <c r="E247" t="s">
        <v>36</v>
      </c>
      <c r="F247" t="s">
        <v>30</v>
      </c>
      <c r="G247">
        <v>5</v>
      </c>
      <c r="H247">
        <v>0</v>
      </c>
      <c r="I247" t="s">
        <v>35</v>
      </c>
      <c r="J247" t="s">
        <v>37</v>
      </c>
      <c r="K247" t="s">
        <v>20</v>
      </c>
      <c r="L247">
        <v>1</v>
      </c>
      <c r="M247">
        <v>1</v>
      </c>
      <c r="N247">
        <v>0</v>
      </c>
      <c r="O247" t="s">
        <v>21</v>
      </c>
      <c r="P247" t="str">
        <f>TEXT(Table1[[#This Row],[order_date]],"yyyy-mm")</f>
        <v>2025-11</v>
      </c>
      <c r="Q247">
        <f>WEEKNUM(Table1[[#This Row],[order_date]])</f>
        <v>46</v>
      </c>
      <c r="R247">
        <f>IF(Table1[[#This Row],[order_status]]="completed",1,0)</f>
        <v>0</v>
      </c>
    </row>
    <row r="248" spans="1:18" x14ac:dyDescent="0.35">
      <c r="A248">
        <v>247</v>
      </c>
      <c r="B248" s="1">
        <v>46024</v>
      </c>
      <c r="C248">
        <v>1307</v>
      </c>
      <c r="D248" t="s">
        <v>15</v>
      </c>
      <c r="E248" t="s">
        <v>33</v>
      </c>
      <c r="F248" t="s">
        <v>34</v>
      </c>
      <c r="G248">
        <v>1</v>
      </c>
      <c r="H248">
        <v>0</v>
      </c>
      <c r="I248" t="s">
        <v>18</v>
      </c>
      <c r="J248" t="s">
        <v>37</v>
      </c>
      <c r="K248" t="s">
        <v>40</v>
      </c>
      <c r="L248">
        <v>5</v>
      </c>
      <c r="M248">
        <v>1</v>
      </c>
      <c r="N248">
        <v>0</v>
      </c>
      <c r="O248" t="s">
        <v>21</v>
      </c>
      <c r="P248" t="str">
        <f>TEXT(Table1[[#This Row],[order_date]],"yyyy-mm")</f>
        <v>2026-01</v>
      </c>
      <c r="Q248">
        <f>WEEKNUM(Table1[[#This Row],[order_date]])</f>
        <v>1</v>
      </c>
      <c r="R248">
        <f>IF(Table1[[#This Row],[order_status]]="completed",1,0)</f>
        <v>0</v>
      </c>
    </row>
    <row r="249" spans="1:18" x14ac:dyDescent="0.35">
      <c r="A249">
        <v>248</v>
      </c>
      <c r="B249" s="1">
        <v>45943</v>
      </c>
      <c r="C249">
        <v>1814</v>
      </c>
      <c r="D249" t="s">
        <v>32</v>
      </c>
      <c r="E249" t="s">
        <v>29</v>
      </c>
      <c r="F249" t="s">
        <v>17</v>
      </c>
      <c r="G249">
        <v>5</v>
      </c>
      <c r="H249">
        <v>0</v>
      </c>
      <c r="I249" t="s">
        <v>35</v>
      </c>
      <c r="J249" t="s">
        <v>31</v>
      </c>
      <c r="K249" t="s">
        <v>20</v>
      </c>
      <c r="L249">
        <v>1</v>
      </c>
      <c r="M249">
        <v>0</v>
      </c>
      <c r="N249">
        <v>0</v>
      </c>
      <c r="O249" t="s">
        <v>27</v>
      </c>
      <c r="P249" t="str">
        <f>TEXT(Table1[[#This Row],[order_date]],"yyyy-mm")</f>
        <v>2025-10</v>
      </c>
      <c r="Q249">
        <f>WEEKNUM(Table1[[#This Row],[order_date]])</f>
        <v>42</v>
      </c>
      <c r="R249">
        <f>IF(Table1[[#This Row],[order_status]]="completed",1,0)</f>
        <v>0</v>
      </c>
    </row>
    <row r="250" spans="1:18" x14ac:dyDescent="0.35">
      <c r="A250">
        <v>249</v>
      </c>
      <c r="B250" s="1">
        <v>46000</v>
      </c>
      <c r="C250">
        <v>1713</v>
      </c>
      <c r="D250" t="s">
        <v>22</v>
      </c>
      <c r="E250" t="s">
        <v>33</v>
      </c>
      <c r="F250" t="s">
        <v>34</v>
      </c>
      <c r="G250">
        <v>1</v>
      </c>
      <c r="H250">
        <v>3936</v>
      </c>
      <c r="I250" t="s">
        <v>39</v>
      </c>
      <c r="J250" t="s">
        <v>19</v>
      </c>
      <c r="K250" t="s">
        <v>40</v>
      </c>
      <c r="L250">
        <v>8</v>
      </c>
      <c r="M250">
        <v>0</v>
      </c>
      <c r="N250">
        <v>0</v>
      </c>
      <c r="O250" t="s">
        <v>21</v>
      </c>
      <c r="P250" t="str">
        <f>TEXT(Table1[[#This Row],[order_date]],"yyyy-mm")</f>
        <v>2025-12</v>
      </c>
      <c r="Q250">
        <f>WEEKNUM(Table1[[#This Row],[order_date]])</f>
        <v>50</v>
      </c>
      <c r="R250">
        <f>IF(Table1[[#This Row],[order_status]]="completed",1,0)</f>
        <v>1</v>
      </c>
    </row>
    <row r="251" spans="1:18" x14ac:dyDescent="0.35">
      <c r="A251">
        <v>250</v>
      </c>
      <c r="B251" s="1">
        <v>45854</v>
      </c>
      <c r="C251">
        <v>1986</v>
      </c>
      <c r="D251" t="s">
        <v>41</v>
      </c>
      <c r="E251" t="s">
        <v>16</v>
      </c>
      <c r="F251" t="s">
        <v>34</v>
      </c>
      <c r="G251">
        <v>5</v>
      </c>
      <c r="H251">
        <v>0</v>
      </c>
      <c r="I251" t="s">
        <v>35</v>
      </c>
      <c r="J251" t="s">
        <v>37</v>
      </c>
      <c r="K251" t="s">
        <v>20</v>
      </c>
      <c r="L251">
        <v>10</v>
      </c>
      <c r="M251">
        <v>1</v>
      </c>
      <c r="N251">
        <v>0</v>
      </c>
      <c r="O251" t="s">
        <v>21</v>
      </c>
      <c r="P251" t="str">
        <f>TEXT(Table1[[#This Row],[order_date]],"yyyy-mm")</f>
        <v>2025-07</v>
      </c>
      <c r="Q251">
        <f>WEEKNUM(Table1[[#This Row],[order_date]])</f>
        <v>29</v>
      </c>
      <c r="R251">
        <f>IF(Table1[[#This Row],[order_status]]="completed",1,0)</f>
        <v>0</v>
      </c>
    </row>
    <row r="252" spans="1:18" x14ac:dyDescent="0.35">
      <c r="A252">
        <v>251</v>
      </c>
      <c r="B252" s="1">
        <v>45962</v>
      </c>
      <c r="C252">
        <v>1193</v>
      </c>
      <c r="D252" t="s">
        <v>41</v>
      </c>
      <c r="E252" t="s">
        <v>33</v>
      </c>
      <c r="F252" t="s">
        <v>24</v>
      </c>
      <c r="G252">
        <v>5</v>
      </c>
      <c r="H252">
        <v>11675</v>
      </c>
      <c r="I252" t="s">
        <v>39</v>
      </c>
      <c r="J252" t="s">
        <v>19</v>
      </c>
      <c r="K252" t="s">
        <v>20</v>
      </c>
      <c r="L252">
        <v>10</v>
      </c>
      <c r="M252">
        <v>1</v>
      </c>
      <c r="N252">
        <v>1</v>
      </c>
      <c r="O252" t="s">
        <v>27</v>
      </c>
      <c r="P252" t="str">
        <f>TEXT(Table1[[#This Row],[order_date]],"yyyy-mm")</f>
        <v>2025-11</v>
      </c>
      <c r="Q252">
        <f>WEEKNUM(Table1[[#This Row],[order_date]])</f>
        <v>44</v>
      </c>
      <c r="R252">
        <f>IF(Table1[[#This Row],[order_status]]="completed",1,0)</f>
        <v>1</v>
      </c>
    </row>
    <row r="253" spans="1:18" x14ac:dyDescent="0.35">
      <c r="A253">
        <v>252</v>
      </c>
      <c r="B253" s="1">
        <v>45894</v>
      </c>
      <c r="C253">
        <v>1476</v>
      </c>
      <c r="D253" t="s">
        <v>41</v>
      </c>
      <c r="E253" t="s">
        <v>16</v>
      </c>
      <c r="F253" t="s">
        <v>17</v>
      </c>
      <c r="G253">
        <v>1</v>
      </c>
      <c r="H253">
        <v>0</v>
      </c>
      <c r="I253" t="s">
        <v>18</v>
      </c>
      <c r="J253" t="s">
        <v>31</v>
      </c>
      <c r="K253" t="s">
        <v>26</v>
      </c>
      <c r="L253">
        <v>10</v>
      </c>
      <c r="M253">
        <v>1</v>
      </c>
      <c r="N253">
        <v>0</v>
      </c>
      <c r="O253" t="s">
        <v>21</v>
      </c>
      <c r="P253" t="str">
        <f>TEXT(Table1[[#This Row],[order_date]],"yyyy-mm")</f>
        <v>2025-08</v>
      </c>
      <c r="Q253">
        <f>WEEKNUM(Table1[[#This Row],[order_date]])</f>
        <v>35</v>
      </c>
      <c r="R253">
        <f>IF(Table1[[#This Row],[order_status]]="completed",1,0)</f>
        <v>0</v>
      </c>
    </row>
    <row r="254" spans="1:18" x14ac:dyDescent="0.35">
      <c r="A254">
        <v>253</v>
      </c>
      <c r="B254" s="1">
        <v>46027</v>
      </c>
      <c r="C254">
        <v>1362</v>
      </c>
      <c r="D254" t="s">
        <v>22</v>
      </c>
      <c r="E254" t="s">
        <v>16</v>
      </c>
      <c r="F254" t="s">
        <v>17</v>
      </c>
      <c r="G254">
        <v>2</v>
      </c>
      <c r="H254">
        <v>0</v>
      </c>
      <c r="I254" t="s">
        <v>35</v>
      </c>
      <c r="J254" t="s">
        <v>31</v>
      </c>
      <c r="K254" t="s">
        <v>26</v>
      </c>
      <c r="L254">
        <v>6</v>
      </c>
      <c r="M254">
        <v>1</v>
      </c>
      <c r="N254">
        <v>1</v>
      </c>
      <c r="O254" t="s">
        <v>21</v>
      </c>
      <c r="P254" t="str">
        <f>TEXT(Table1[[#This Row],[order_date]],"yyyy-mm")</f>
        <v>2026-01</v>
      </c>
      <c r="Q254">
        <f>WEEKNUM(Table1[[#This Row],[order_date]])</f>
        <v>2</v>
      </c>
      <c r="R254">
        <f>IF(Table1[[#This Row],[order_status]]="completed",1,0)</f>
        <v>0</v>
      </c>
    </row>
    <row r="255" spans="1:18" x14ac:dyDescent="0.35">
      <c r="A255">
        <v>254</v>
      </c>
      <c r="B255" s="1">
        <v>45903</v>
      </c>
      <c r="C255">
        <v>1314</v>
      </c>
      <c r="D255" t="s">
        <v>41</v>
      </c>
      <c r="E255" t="s">
        <v>36</v>
      </c>
      <c r="F255" t="s">
        <v>24</v>
      </c>
      <c r="G255">
        <v>5</v>
      </c>
      <c r="H255">
        <v>0</v>
      </c>
      <c r="I255" t="s">
        <v>25</v>
      </c>
      <c r="J255" t="s">
        <v>31</v>
      </c>
      <c r="K255" t="s">
        <v>40</v>
      </c>
      <c r="L255">
        <v>9</v>
      </c>
      <c r="M255">
        <v>1</v>
      </c>
      <c r="N255">
        <v>0</v>
      </c>
      <c r="O255" t="s">
        <v>27</v>
      </c>
      <c r="P255" t="str">
        <f>TEXT(Table1[[#This Row],[order_date]],"yyyy-mm")</f>
        <v>2025-09</v>
      </c>
      <c r="Q255">
        <f>WEEKNUM(Table1[[#This Row],[order_date]])</f>
        <v>36</v>
      </c>
      <c r="R255">
        <f>IF(Table1[[#This Row],[order_status]]="completed",1,0)</f>
        <v>0</v>
      </c>
    </row>
    <row r="256" spans="1:18" x14ac:dyDescent="0.35">
      <c r="A256">
        <v>255</v>
      </c>
      <c r="B256" s="1">
        <v>45977</v>
      </c>
      <c r="C256">
        <v>1483</v>
      </c>
      <c r="D256" t="s">
        <v>15</v>
      </c>
      <c r="E256" t="s">
        <v>36</v>
      </c>
      <c r="F256" t="s">
        <v>34</v>
      </c>
      <c r="G256">
        <v>2</v>
      </c>
      <c r="H256">
        <v>0</v>
      </c>
      <c r="I256" t="s">
        <v>18</v>
      </c>
      <c r="J256" t="s">
        <v>37</v>
      </c>
      <c r="K256" t="s">
        <v>40</v>
      </c>
      <c r="L256">
        <v>4</v>
      </c>
      <c r="M256">
        <v>0</v>
      </c>
      <c r="N256">
        <v>0</v>
      </c>
      <c r="O256" t="s">
        <v>21</v>
      </c>
      <c r="P256" t="str">
        <f>TEXT(Table1[[#This Row],[order_date]],"yyyy-mm")</f>
        <v>2025-11</v>
      </c>
      <c r="Q256">
        <f>WEEKNUM(Table1[[#This Row],[order_date]])</f>
        <v>47</v>
      </c>
      <c r="R256">
        <f>IF(Table1[[#This Row],[order_status]]="completed",1,0)</f>
        <v>0</v>
      </c>
    </row>
    <row r="257" spans="1:18" x14ac:dyDescent="0.35">
      <c r="A257">
        <v>256</v>
      </c>
      <c r="B257" s="1">
        <v>45933</v>
      </c>
      <c r="C257">
        <v>1699</v>
      </c>
      <c r="D257" t="s">
        <v>32</v>
      </c>
      <c r="E257" t="s">
        <v>33</v>
      </c>
      <c r="F257" t="s">
        <v>24</v>
      </c>
      <c r="G257">
        <v>4</v>
      </c>
      <c r="H257">
        <v>10204</v>
      </c>
      <c r="I257" t="s">
        <v>18</v>
      </c>
      <c r="J257" t="s">
        <v>19</v>
      </c>
      <c r="K257" t="s">
        <v>40</v>
      </c>
      <c r="L257">
        <v>10</v>
      </c>
      <c r="M257">
        <v>1</v>
      </c>
      <c r="N257">
        <v>0</v>
      </c>
      <c r="O257" t="s">
        <v>21</v>
      </c>
      <c r="P257" t="str">
        <f>TEXT(Table1[[#This Row],[order_date]],"yyyy-mm")</f>
        <v>2025-10</v>
      </c>
      <c r="Q257">
        <f>WEEKNUM(Table1[[#This Row],[order_date]])</f>
        <v>40</v>
      </c>
      <c r="R257">
        <f>IF(Table1[[#This Row],[order_status]]="completed",1,0)</f>
        <v>1</v>
      </c>
    </row>
    <row r="258" spans="1:18" x14ac:dyDescent="0.35">
      <c r="A258">
        <v>257</v>
      </c>
      <c r="B258" s="1">
        <v>45921</v>
      </c>
      <c r="C258">
        <v>1736</v>
      </c>
      <c r="D258" t="s">
        <v>28</v>
      </c>
      <c r="E258" t="s">
        <v>29</v>
      </c>
      <c r="F258" t="s">
        <v>24</v>
      </c>
      <c r="G258">
        <v>5</v>
      </c>
      <c r="H258">
        <v>0</v>
      </c>
      <c r="I258" t="s">
        <v>25</v>
      </c>
      <c r="J258" t="s">
        <v>37</v>
      </c>
      <c r="K258" t="s">
        <v>20</v>
      </c>
      <c r="L258">
        <v>5</v>
      </c>
      <c r="M258">
        <v>0</v>
      </c>
      <c r="N258">
        <v>1</v>
      </c>
      <c r="O258" t="s">
        <v>21</v>
      </c>
      <c r="P258" t="str">
        <f>TEXT(Table1[[#This Row],[order_date]],"yyyy-mm")</f>
        <v>2025-09</v>
      </c>
      <c r="Q258">
        <f>WEEKNUM(Table1[[#This Row],[order_date]])</f>
        <v>39</v>
      </c>
      <c r="R258">
        <f>IF(Table1[[#This Row],[order_status]]="completed",1,0)</f>
        <v>0</v>
      </c>
    </row>
    <row r="259" spans="1:18" x14ac:dyDescent="0.35">
      <c r="A259">
        <v>258</v>
      </c>
      <c r="B259" s="1">
        <v>45970</v>
      </c>
      <c r="C259">
        <v>1155</v>
      </c>
      <c r="D259" t="s">
        <v>15</v>
      </c>
      <c r="E259" t="s">
        <v>36</v>
      </c>
      <c r="F259" t="s">
        <v>34</v>
      </c>
      <c r="G259">
        <v>1</v>
      </c>
      <c r="H259">
        <v>4626</v>
      </c>
      <c r="I259" t="s">
        <v>39</v>
      </c>
      <c r="J259" t="s">
        <v>19</v>
      </c>
      <c r="K259" t="s">
        <v>26</v>
      </c>
      <c r="L259">
        <v>4</v>
      </c>
      <c r="M259">
        <v>0</v>
      </c>
      <c r="N259">
        <v>0</v>
      </c>
      <c r="O259" t="s">
        <v>21</v>
      </c>
      <c r="P259" t="str">
        <f>TEXT(Table1[[#This Row],[order_date]],"yyyy-mm")</f>
        <v>2025-11</v>
      </c>
      <c r="Q259">
        <f>WEEKNUM(Table1[[#This Row],[order_date]])</f>
        <v>46</v>
      </c>
      <c r="R259">
        <f>IF(Table1[[#This Row],[order_status]]="completed",1,0)</f>
        <v>1</v>
      </c>
    </row>
    <row r="260" spans="1:18" x14ac:dyDescent="0.35">
      <c r="A260">
        <v>259</v>
      </c>
      <c r="B260" s="1">
        <v>45930</v>
      </c>
      <c r="C260">
        <v>1475</v>
      </c>
      <c r="D260" t="s">
        <v>15</v>
      </c>
      <c r="E260" t="s">
        <v>16</v>
      </c>
      <c r="F260" t="s">
        <v>34</v>
      </c>
      <c r="G260">
        <v>5</v>
      </c>
      <c r="H260">
        <v>0</v>
      </c>
      <c r="I260" t="s">
        <v>18</v>
      </c>
      <c r="J260" t="s">
        <v>37</v>
      </c>
      <c r="K260" t="s">
        <v>20</v>
      </c>
      <c r="L260">
        <v>9</v>
      </c>
      <c r="M260">
        <v>0</v>
      </c>
      <c r="N260">
        <v>1</v>
      </c>
      <c r="O260" t="s">
        <v>27</v>
      </c>
      <c r="P260" t="str">
        <f>TEXT(Table1[[#This Row],[order_date]],"yyyy-mm")</f>
        <v>2025-09</v>
      </c>
      <c r="Q260">
        <f>WEEKNUM(Table1[[#This Row],[order_date]])</f>
        <v>40</v>
      </c>
      <c r="R260">
        <f>IF(Table1[[#This Row],[order_status]]="completed",1,0)</f>
        <v>0</v>
      </c>
    </row>
    <row r="261" spans="1:18" x14ac:dyDescent="0.35">
      <c r="A261">
        <v>260</v>
      </c>
      <c r="B261" s="1">
        <v>46008</v>
      </c>
      <c r="C261">
        <v>1168</v>
      </c>
      <c r="D261" t="s">
        <v>28</v>
      </c>
      <c r="E261" t="s">
        <v>23</v>
      </c>
      <c r="F261" t="s">
        <v>17</v>
      </c>
      <c r="G261">
        <v>5</v>
      </c>
      <c r="H261">
        <v>8515</v>
      </c>
      <c r="I261" t="s">
        <v>39</v>
      </c>
      <c r="J261" t="s">
        <v>19</v>
      </c>
      <c r="K261" t="s">
        <v>20</v>
      </c>
      <c r="L261">
        <v>8</v>
      </c>
      <c r="M261">
        <v>1</v>
      </c>
      <c r="N261">
        <v>0</v>
      </c>
      <c r="O261" t="s">
        <v>21</v>
      </c>
      <c r="P261" t="str">
        <f>TEXT(Table1[[#This Row],[order_date]],"yyyy-mm")</f>
        <v>2025-12</v>
      </c>
      <c r="Q261">
        <f>WEEKNUM(Table1[[#This Row],[order_date]])</f>
        <v>51</v>
      </c>
      <c r="R261">
        <f>IF(Table1[[#This Row],[order_status]]="completed",1,0)</f>
        <v>1</v>
      </c>
    </row>
    <row r="262" spans="1:18" x14ac:dyDescent="0.35">
      <c r="A262">
        <v>261</v>
      </c>
      <c r="B262" s="1">
        <v>45981</v>
      </c>
      <c r="C262">
        <v>1760</v>
      </c>
      <c r="D262" t="s">
        <v>28</v>
      </c>
      <c r="E262" t="s">
        <v>29</v>
      </c>
      <c r="F262" t="s">
        <v>34</v>
      </c>
      <c r="G262">
        <v>5</v>
      </c>
      <c r="H262">
        <v>0</v>
      </c>
      <c r="I262" t="s">
        <v>25</v>
      </c>
      <c r="J262" t="s">
        <v>31</v>
      </c>
      <c r="K262" t="s">
        <v>40</v>
      </c>
      <c r="L262">
        <v>3</v>
      </c>
      <c r="M262">
        <v>0</v>
      </c>
      <c r="N262">
        <v>1</v>
      </c>
      <c r="O262" t="s">
        <v>27</v>
      </c>
      <c r="P262" t="str">
        <f>TEXT(Table1[[#This Row],[order_date]],"yyyy-mm")</f>
        <v>2025-11</v>
      </c>
      <c r="Q262">
        <f>WEEKNUM(Table1[[#This Row],[order_date]])</f>
        <v>47</v>
      </c>
      <c r="R262">
        <f>IF(Table1[[#This Row],[order_status]]="completed",1,0)</f>
        <v>0</v>
      </c>
    </row>
    <row r="263" spans="1:18" x14ac:dyDescent="0.35">
      <c r="A263">
        <v>262</v>
      </c>
      <c r="B263" s="1">
        <v>45956</v>
      </c>
      <c r="C263">
        <v>1239</v>
      </c>
      <c r="D263" t="s">
        <v>41</v>
      </c>
      <c r="E263" t="s">
        <v>29</v>
      </c>
      <c r="F263" t="s">
        <v>24</v>
      </c>
      <c r="G263">
        <v>2</v>
      </c>
      <c r="H263">
        <v>0</v>
      </c>
      <c r="I263" t="s">
        <v>25</v>
      </c>
      <c r="J263" t="s">
        <v>31</v>
      </c>
      <c r="K263" t="s">
        <v>26</v>
      </c>
      <c r="L263">
        <v>6</v>
      </c>
      <c r="M263">
        <v>0</v>
      </c>
      <c r="N263">
        <v>0</v>
      </c>
      <c r="O263" t="s">
        <v>27</v>
      </c>
      <c r="P263" t="str">
        <f>TEXT(Table1[[#This Row],[order_date]],"yyyy-mm")</f>
        <v>2025-10</v>
      </c>
      <c r="Q263">
        <f>WEEKNUM(Table1[[#This Row],[order_date]])</f>
        <v>44</v>
      </c>
      <c r="R263">
        <f>IF(Table1[[#This Row],[order_status]]="completed",1,0)</f>
        <v>0</v>
      </c>
    </row>
    <row r="264" spans="1:18" x14ac:dyDescent="0.35">
      <c r="A264">
        <v>263</v>
      </c>
      <c r="B264" s="1">
        <v>45877</v>
      </c>
      <c r="C264">
        <v>1007</v>
      </c>
      <c r="D264" t="s">
        <v>15</v>
      </c>
      <c r="E264" t="s">
        <v>23</v>
      </c>
      <c r="F264" t="s">
        <v>17</v>
      </c>
      <c r="G264">
        <v>1</v>
      </c>
      <c r="H264">
        <v>0</v>
      </c>
      <c r="I264" t="s">
        <v>18</v>
      </c>
      <c r="J264" t="s">
        <v>37</v>
      </c>
      <c r="K264" t="s">
        <v>38</v>
      </c>
      <c r="L264">
        <v>4</v>
      </c>
      <c r="M264">
        <v>1</v>
      </c>
      <c r="N264">
        <v>1</v>
      </c>
      <c r="O264" t="s">
        <v>21</v>
      </c>
      <c r="P264" t="str">
        <f>TEXT(Table1[[#This Row],[order_date]],"yyyy-mm")</f>
        <v>2025-08</v>
      </c>
      <c r="Q264">
        <f>WEEKNUM(Table1[[#This Row],[order_date]])</f>
        <v>32</v>
      </c>
      <c r="R264">
        <f>IF(Table1[[#This Row],[order_status]]="completed",1,0)</f>
        <v>0</v>
      </c>
    </row>
    <row r="265" spans="1:18" x14ac:dyDescent="0.35">
      <c r="A265">
        <v>264</v>
      </c>
      <c r="B265" s="1">
        <v>45872</v>
      </c>
      <c r="C265">
        <v>1518</v>
      </c>
      <c r="D265" t="s">
        <v>32</v>
      </c>
      <c r="E265" t="s">
        <v>33</v>
      </c>
      <c r="F265" t="s">
        <v>24</v>
      </c>
      <c r="G265">
        <v>3</v>
      </c>
      <c r="H265">
        <v>0</v>
      </c>
      <c r="I265" t="s">
        <v>39</v>
      </c>
      <c r="J265" t="s">
        <v>31</v>
      </c>
      <c r="K265" t="s">
        <v>38</v>
      </c>
      <c r="L265">
        <v>5</v>
      </c>
      <c r="M265">
        <v>1</v>
      </c>
      <c r="N265">
        <v>1</v>
      </c>
      <c r="O265" t="s">
        <v>21</v>
      </c>
      <c r="P265" t="str">
        <f>TEXT(Table1[[#This Row],[order_date]],"yyyy-mm")</f>
        <v>2025-08</v>
      </c>
      <c r="Q265">
        <f>WEEKNUM(Table1[[#This Row],[order_date]])</f>
        <v>32</v>
      </c>
      <c r="R265">
        <f>IF(Table1[[#This Row],[order_status]]="completed",1,0)</f>
        <v>0</v>
      </c>
    </row>
    <row r="266" spans="1:18" x14ac:dyDescent="0.35">
      <c r="A266">
        <v>265</v>
      </c>
      <c r="B266" s="1">
        <v>45921</v>
      </c>
      <c r="C266">
        <v>1950</v>
      </c>
      <c r="D266" t="s">
        <v>22</v>
      </c>
      <c r="E266" t="s">
        <v>33</v>
      </c>
      <c r="F266" t="s">
        <v>17</v>
      </c>
      <c r="G266">
        <v>3</v>
      </c>
      <c r="H266">
        <v>10104</v>
      </c>
      <c r="I266" t="s">
        <v>39</v>
      </c>
      <c r="J266" t="s">
        <v>19</v>
      </c>
      <c r="K266" t="s">
        <v>40</v>
      </c>
      <c r="L266">
        <v>6</v>
      </c>
      <c r="M266">
        <v>0</v>
      </c>
      <c r="N266">
        <v>1</v>
      </c>
      <c r="O266" t="s">
        <v>21</v>
      </c>
      <c r="P266" t="str">
        <f>TEXT(Table1[[#This Row],[order_date]],"yyyy-mm")</f>
        <v>2025-09</v>
      </c>
      <c r="Q266">
        <f>WEEKNUM(Table1[[#This Row],[order_date]])</f>
        <v>39</v>
      </c>
      <c r="R266">
        <f>IF(Table1[[#This Row],[order_status]]="completed",1,0)</f>
        <v>1</v>
      </c>
    </row>
    <row r="267" spans="1:18" x14ac:dyDescent="0.35">
      <c r="A267">
        <v>266</v>
      </c>
      <c r="B267" s="1">
        <v>45945</v>
      </c>
      <c r="C267">
        <v>1514</v>
      </c>
      <c r="D267" t="s">
        <v>32</v>
      </c>
      <c r="E267" t="s">
        <v>23</v>
      </c>
      <c r="F267" t="s">
        <v>24</v>
      </c>
      <c r="G267">
        <v>5</v>
      </c>
      <c r="H267">
        <v>0</v>
      </c>
      <c r="I267" t="s">
        <v>39</v>
      </c>
      <c r="J267" t="s">
        <v>31</v>
      </c>
      <c r="K267" t="s">
        <v>26</v>
      </c>
      <c r="L267">
        <v>3</v>
      </c>
      <c r="M267">
        <v>1</v>
      </c>
      <c r="N267">
        <v>0</v>
      </c>
      <c r="O267" t="s">
        <v>21</v>
      </c>
      <c r="P267" t="str">
        <f>TEXT(Table1[[#This Row],[order_date]],"yyyy-mm")</f>
        <v>2025-10</v>
      </c>
      <c r="Q267">
        <f>WEEKNUM(Table1[[#This Row],[order_date]])</f>
        <v>42</v>
      </c>
      <c r="R267">
        <f>IF(Table1[[#This Row],[order_status]]="completed",1,0)</f>
        <v>0</v>
      </c>
    </row>
    <row r="268" spans="1:18" x14ac:dyDescent="0.35">
      <c r="A268">
        <v>267</v>
      </c>
      <c r="B268" s="1">
        <v>45899</v>
      </c>
      <c r="C268">
        <v>1474</v>
      </c>
      <c r="D268" t="s">
        <v>32</v>
      </c>
      <c r="E268" t="s">
        <v>29</v>
      </c>
      <c r="F268" t="s">
        <v>17</v>
      </c>
      <c r="G268">
        <v>3</v>
      </c>
      <c r="H268">
        <v>0</v>
      </c>
      <c r="I268" t="s">
        <v>25</v>
      </c>
      <c r="J268" t="s">
        <v>31</v>
      </c>
      <c r="K268" t="s">
        <v>20</v>
      </c>
      <c r="L268">
        <v>5</v>
      </c>
      <c r="M268">
        <v>0</v>
      </c>
      <c r="N268">
        <v>0</v>
      </c>
      <c r="O268" t="s">
        <v>27</v>
      </c>
      <c r="P268" t="str">
        <f>TEXT(Table1[[#This Row],[order_date]],"yyyy-mm")</f>
        <v>2025-08</v>
      </c>
      <c r="Q268">
        <f>WEEKNUM(Table1[[#This Row],[order_date]])</f>
        <v>35</v>
      </c>
      <c r="R268">
        <f>IF(Table1[[#This Row],[order_status]]="completed",1,0)</f>
        <v>0</v>
      </c>
    </row>
    <row r="269" spans="1:18" x14ac:dyDescent="0.35">
      <c r="A269">
        <v>268</v>
      </c>
      <c r="B269" s="1">
        <v>45857</v>
      </c>
      <c r="C269">
        <v>1769</v>
      </c>
      <c r="D269" t="s">
        <v>22</v>
      </c>
      <c r="E269" t="s">
        <v>16</v>
      </c>
      <c r="F269" t="s">
        <v>17</v>
      </c>
      <c r="G269">
        <v>3</v>
      </c>
      <c r="H269">
        <v>0</v>
      </c>
      <c r="I269" t="s">
        <v>18</v>
      </c>
      <c r="J269" t="s">
        <v>37</v>
      </c>
      <c r="K269" t="s">
        <v>38</v>
      </c>
      <c r="L269">
        <v>6</v>
      </c>
      <c r="M269">
        <v>0</v>
      </c>
      <c r="N269">
        <v>0</v>
      </c>
      <c r="O269" t="s">
        <v>21</v>
      </c>
      <c r="P269" t="str">
        <f>TEXT(Table1[[#This Row],[order_date]],"yyyy-mm")</f>
        <v>2025-07</v>
      </c>
      <c r="Q269">
        <f>WEEKNUM(Table1[[#This Row],[order_date]])</f>
        <v>29</v>
      </c>
      <c r="R269">
        <f>IF(Table1[[#This Row],[order_status]]="completed",1,0)</f>
        <v>0</v>
      </c>
    </row>
    <row r="270" spans="1:18" x14ac:dyDescent="0.35">
      <c r="A270">
        <v>269</v>
      </c>
      <c r="B270" s="1">
        <v>45875</v>
      </c>
      <c r="C270">
        <v>1568</v>
      </c>
      <c r="D270" t="s">
        <v>22</v>
      </c>
      <c r="E270" t="s">
        <v>16</v>
      </c>
      <c r="F270" t="s">
        <v>34</v>
      </c>
      <c r="G270">
        <v>3</v>
      </c>
      <c r="H270">
        <v>0</v>
      </c>
      <c r="I270" t="s">
        <v>18</v>
      </c>
      <c r="J270" t="s">
        <v>37</v>
      </c>
      <c r="K270" t="s">
        <v>26</v>
      </c>
      <c r="L270">
        <v>8</v>
      </c>
      <c r="M270">
        <v>0</v>
      </c>
      <c r="N270">
        <v>1</v>
      </c>
      <c r="O270" t="s">
        <v>27</v>
      </c>
      <c r="P270" t="str">
        <f>TEXT(Table1[[#This Row],[order_date]],"yyyy-mm")</f>
        <v>2025-08</v>
      </c>
      <c r="Q270">
        <f>WEEKNUM(Table1[[#This Row],[order_date]])</f>
        <v>32</v>
      </c>
      <c r="R270">
        <f>IF(Table1[[#This Row],[order_status]]="completed",1,0)</f>
        <v>0</v>
      </c>
    </row>
    <row r="271" spans="1:18" x14ac:dyDescent="0.35">
      <c r="A271">
        <v>270</v>
      </c>
      <c r="B271" s="1">
        <v>46009</v>
      </c>
      <c r="C271">
        <v>1784</v>
      </c>
      <c r="D271" t="s">
        <v>22</v>
      </c>
      <c r="E271" t="s">
        <v>16</v>
      </c>
      <c r="F271" t="s">
        <v>30</v>
      </c>
      <c r="G271">
        <v>3</v>
      </c>
      <c r="H271">
        <v>8778</v>
      </c>
      <c r="I271" t="s">
        <v>35</v>
      </c>
      <c r="J271" t="s">
        <v>19</v>
      </c>
      <c r="K271" t="s">
        <v>40</v>
      </c>
      <c r="L271">
        <v>8</v>
      </c>
      <c r="M271">
        <v>1</v>
      </c>
      <c r="N271">
        <v>1</v>
      </c>
      <c r="O271" t="s">
        <v>21</v>
      </c>
      <c r="P271" t="str">
        <f>TEXT(Table1[[#This Row],[order_date]],"yyyy-mm")</f>
        <v>2025-12</v>
      </c>
      <c r="Q271">
        <f>WEEKNUM(Table1[[#This Row],[order_date]])</f>
        <v>51</v>
      </c>
      <c r="R271">
        <f>IF(Table1[[#This Row],[order_status]]="completed",1,0)</f>
        <v>1</v>
      </c>
    </row>
    <row r="272" spans="1:18" x14ac:dyDescent="0.35">
      <c r="A272">
        <v>271</v>
      </c>
      <c r="B272" s="1">
        <v>45908</v>
      </c>
      <c r="C272">
        <v>1740</v>
      </c>
      <c r="D272" t="s">
        <v>28</v>
      </c>
      <c r="E272" t="s">
        <v>29</v>
      </c>
      <c r="F272" t="s">
        <v>34</v>
      </c>
      <c r="G272">
        <v>1</v>
      </c>
      <c r="H272">
        <v>3138</v>
      </c>
      <c r="I272" t="s">
        <v>18</v>
      </c>
      <c r="J272" t="s">
        <v>19</v>
      </c>
      <c r="K272" t="s">
        <v>38</v>
      </c>
      <c r="L272">
        <v>9</v>
      </c>
      <c r="M272">
        <v>0</v>
      </c>
      <c r="N272">
        <v>0</v>
      </c>
      <c r="O272" t="s">
        <v>27</v>
      </c>
      <c r="P272" t="str">
        <f>TEXT(Table1[[#This Row],[order_date]],"yyyy-mm")</f>
        <v>2025-09</v>
      </c>
      <c r="Q272">
        <f>WEEKNUM(Table1[[#This Row],[order_date]])</f>
        <v>37</v>
      </c>
      <c r="R272">
        <f>IF(Table1[[#This Row],[order_status]]="completed",1,0)</f>
        <v>1</v>
      </c>
    </row>
    <row r="273" spans="1:18" x14ac:dyDescent="0.35">
      <c r="A273">
        <v>272</v>
      </c>
      <c r="B273" s="1">
        <v>45909</v>
      </c>
      <c r="C273">
        <v>1679</v>
      </c>
      <c r="D273" t="s">
        <v>22</v>
      </c>
      <c r="E273" t="s">
        <v>23</v>
      </c>
      <c r="F273" t="s">
        <v>34</v>
      </c>
      <c r="G273">
        <v>4</v>
      </c>
      <c r="H273">
        <v>0</v>
      </c>
      <c r="I273" t="s">
        <v>35</v>
      </c>
      <c r="J273" t="s">
        <v>37</v>
      </c>
      <c r="K273" t="s">
        <v>40</v>
      </c>
      <c r="L273">
        <v>4</v>
      </c>
      <c r="M273">
        <v>1</v>
      </c>
      <c r="N273">
        <v>1</v>
      </c>
      <c r="O273" t="s">
        <v>27</v>
      </c>
      <c r="P273" t="str">
        <f>TEXT(Table1[[#This Row],[order_date]],"yyyy-mm")</f>
        <v>2025-09</v>
      </c>
      <c r="Q273">
        <f>WEEKNUM(Table1[[#This Row],[order_date]])</f>
        <v>37</v>
      </c>
      <c r="R273">
        <f>IF(Table1[[#This Row],[order_status]]="completed",1,0)</f>
        <v>0</v>
      </c>
    </row>
    <row r="274" spans="1:18" x14ac:dyDescent="0.35">
      <c r="A274">
        <v>273</v>
      </c>
      <c r="B274" s="1">
        <v>45949</v>
      </c>
      <c r="C274">
        <v>1393</v>
      </c>
      <c r="D274" t="s">
        <v>15</v>
      </c>
      <c r="E274" t="s">
        <v>29</v>
      </c>
      <c r="F274" t="s">
        <v>30</v>
      </c>
      <c r="G274">
        <v>1</v>
      </c>
      <c r="H274">
        <v>1365</v>
      </c>
      <c r="I274" t="s">
        <v>25</v>
      </c>
      <c r="J274" t="s">
        <v>19</v>
      </c>
      <c r="K274" t="s">
        <v>40</v>
      </c>
      <c r="L274">
        <v>3</v>
      </c>
      <c r="M274">
        <v>1</v>
      </c>
      <c r="N274">
        <v>1</v>
      </c>
      <c r="O274" t="s">
        <v>21</v>
      </c>
      <c r="P274" t="str">
        <f>TEXT(Table1[[#This Row],[order_date]],"yyyy-mm")</f>
        <v>2025-10</v>
      </c>
      <c r="Q274">
        <f>WEEKNUM(Table1[[#This Row],[order_date]])</f>
        <v>43</v>
      </c>
      <c r="R274">
        <f>IF(Table1[[#This Row],[order_status]]="completed",1,0)</f>
        <v>1</v>
      </c>
    </row>
    <row r="275" spans="1:18" x14ac:dyDescent="0.35">
      <c r="A275">
        <v>274</v>
      </c>
      <c r="B275" s="1">
        <v>46022</v>
      </c>
      <c r="C275">
        <v>1887</v>
      </c>
      <c r="D275" t="s">
        <v>41</v>
      </c>
      <c r="E275" t="s">
        <v>36</v>
      </c>
      <c r="F275" t="s">
        <v>34</v>
      </c>
      <c r="G275">
        <v>2</v>
      </c>
      <c r="H275">
        <v>0</v>
      </c>
      <c r="I275" t="s">
        <v>25</v>
      </c>
      <c r="J275" t="s">
        <v>31</v>
      </c>
      <c r="K275" t="s">
        <v>20</v>
      </c>
      <c r="L275">
        <v>1</v>
      </c>
      <c r="M275">
        <v>1</v>
      </c>
      <c r="N275">
        <v>1</v>
      </c>
      <c r="O275" t="s">
        <v>27</v>
      </c>
      <c r="P275" t="str">
        <f>TEXT(Table1[[#This Row],[order_date]],"yyyy-mm")</f>
        <v>2025-12</v>
      </c>
      <c r="Q275">
        <f>WEEKNUM(Table1[[#This Row],[order_date]])</f>
        <v>53</v>
      </c>
      <c r="R275">
        <f>IF(Table1[[#This Row],[order_status]]="completed",1,0)</f>
        <v>0</v>
      </c>
    </row>
    <row r="276" spans="1:18" x14ac:dyDescent="0.35">
      <c r="A276">
        <v>275</v>
      </c>
      <c r="B276" s="1">
        <v>46013</v>
      </c>
      <c r="C276">
        <v>1561</v>
      </c>
      <c r="D276" t="s">
        <v>28</v>
      </c>
      <c r="E276" t="s">
        <v>29</v>
      </c>
      <c r="F276" t="s">
        <v>17</v>
      </c>
      <c r="G276">
        <v>1</v>
      </c>
      <c r="H276">
        <v>1792</v>
      </c>
      <c r="I276" t="s">
        <v>39</v>
      </c>
      <c r="J276" t="s">
        <v>19</v>
      </c>
      <c r="K276" t="s">
        <v>40</v>
      </c>
      <c r="L276">
        <v>4</v>
      </c>
      <c r="M276">
        <v>0</v>
      </c>
      <c r="N276">
        <v>1</v>
      </c>
      <c r="O276" t="s">
        <v>27</v>
      </c>
      <c r="P276" t="str">
        <f>TEXT(Table1[[#This Row],[order_date]],"yyyy-mm")</f>
        <v>2025-12</v>
      </c>
      <c r="Q276">
        <f>WEEKNUM(Table1[[#This Row],[order_date]])</f>
        <v>52</v>
      </c>
      <c r="R276">
        <f>IF(Table1[[#This Row],[order_status]]="completed",1,0)</f>
        <v>1</v>
      </c>
    </row>
    <row r="277" spans="1:18" x14ac:dyDescent="0.35">
      <c r="A277">
        <v>276</v>
      </c>
      <c r="B277" s="1">
        <v>45950</v>
      </c>
      <c r="C277">
        <v>1651</v>
      </c>
      <c r="D277" t="s">
        <v>28</v>
      </c>
      <c r="E277" t="s">
        <v>33</v>
      </c>
      <c r="F277" t="s">
        <v>30</v>
      </c>
      <c r="G277">
        <v>1</v>
      </c>
      <c r="H277">
        <v>0</v>
      </c>
      <c r="I277" t="s">
        <v>18</v>
      </c>
      <c r="J277" t="s">
        <v>31</v>
      </c>
      <c r="K277" t="s">
        <v>26</v>
      </c>
      <c r="L277">
        <v>1</v>
      </c>
      <c r="M277">
        <v>0</v>
      </c>
      <c r="N277">
        <v>1</v>
      </c>
      <c r="O277" t="s">
        <v>27</v>
      </c>
      <c r="P277" t="str">
        <f>TEXT(Table1[[#This Row],[order_date]],"yyyy-mm")</f>
        <v>2025-10</v>
      </c>
      <c r="Q277">
        <f>WEEKNUM(Table1[[#This Row],[order_date]])</f>
        <v>43</v>
      </c>
      <c r="R277">
        <f>IF(Table1[[#This Row],[order_status]]="completed",1,0)</f>
        <v>0</v>
      </c>
    </row>
    <row r="278" spans="1:18" x14ac:dyDescent="0.35">
      <c r="A278">
        <v>277</v>
      </c>
      <c r="B278" s="1">
        <v>45877</v>
      </c>
      <c r="C278">
        <v>1420</v>
      </c>
      <c r="D278" t="s">
        <v>32</v>
      </c>
      <c r="E278" t="s">
        <v>36</v>
      </c>
      <c r="F278" t="s">
        <v>34</v>
      </c>
      <c r="G278">
        <v>3</v>
      </c>
      <c r="H278">
        <v>0</v>
      </c>
      <c r="I278" t="s">
        <v>18</v>
      </c>
      <c r="J278" t="s">
        <v>37</v>
      </c>
      <c r="K278" t="s">
        <v>26</v>
      </c>
      <c r="L278">
        <v>8</v>
      </c>
      <c r="M278">
        <v>0</v>
      </c>
      <c r="N278">
        <v>0</v>
      </c>
      <c r="O278" t="s">
        <v>27</v>
      </c>
      <c r="P278" t="str">
        <f>TEXT(Table1[[#This Row],[order_date]],"yyyy-mm")</f>
        <v>2025-08</v>
      </c>
      <c r="Q278">
        <f>WEEKNUM(Table1[[#This Row],[order_date]])</f>
        <v>32</v>
      </c>
      <c r="R278">
        <f>IF(Table1[[#This Row],[order_status]]="completed",1,0)</f>
        <v>0</v>
      </c>
    </row>
    <row r="279" spans="1:18" x14ac:dyDescent="0.35">
      <c r="A279">
        <v>278</v>
      </c>
      <c r="B279" s="1">
        <v>45932</v>
      </c>
      <c r="C279">
        <v>1981</v>
      </c>
      <c r="D279" t="s">
        <v>15</v>
      </c>
      <c r="E279" t="s">
        <v>23</v>
      </c>
      <c r="F279" t="s">
        <v>34</v>
      </c>
      <c r="G279">
        <v>3</v>
      </c>
      <c r="H279">
        <v>0</v>
      </c>
      <c r="I279" t="s">
        <v>18</v>
      </c>
      <c r="J279" t="s">
        <v>31</v>
      </c>
      <c r="K279" t="s">
        <v>20</v>
      </c>
      <c r="L279">
        <v>5</v>
      </c>
      <c r="M279">
        <v>0</v>
      </c>
      <c r="N279">
        <v>0</v>
      </c>
      <c r="O279" t="s">
        <v>21</v>
      </c>
      <c r="P279" t="str">
        <f>TEXT(Table1[[#This Row],[order_date]],"yyyy-mm")</f>
        <v>2025-10</v>
      </c>
      <c r="Q279">
        <f>WEEKNUM(Table1[[#This Row],[order_date]])</f>
        <v>40</v>
      </c>
      <c r="R279">
        <f>IF(Table1[[#This Row],[order_status]]="completed",1,0)</f>
        <v>0</v>
      </c>
    </row>
    <row r="280" spans="1:18" x14ac:dyDescent="0.35">
      <c r="A280">
        <v>279</v>
      </c>
      <c r="B280" s="1">
        <v>45929</v>
      </c>
      <c r="C280">
        <v>1353</v>
      </c>
      <c r="D280" t="s">
        <v>22</v>
      </c>
      <c r="E280" t="s">
        <v>36</v>
      </c>
      <c r="F280" t="s">
        <v>34</v>
      </c>
      <c r="G280">
        <v>1</v>
      </c>
      <c r="H280">
        <v>2569</v>
      </c>
      <c r="I280" t="s">
        <v>39</v>
      </c>
      <c r="J280" t="s">
        <v>19</v>
      </c>
      <c r="K280" t="s">
        <v>20</v>
      </c>
      <c r="L280">
        <v>2</v>
      </c>
      <c r="M280">
        <v>1</v>
      </c>
      <c r="N280">
        <v>0</v>
      </c>
      <c r="O280" t="s">
        <v>27</v>
      </c>
      <c r="P280" t="str">
        <f>TEXT(Table1[[#This Row],[order_date]],"yyyy-mm")</f>
        <v>2025-09</v>
      </c>
      <c r="Q280">
        <f>WEEKNUM(Table1[[#This Row],[order_date]])</f>
        <v>40</v>
      </c>
      <c r="R280">
        <f>IF(Table1[[#This Row],[order_status]]="completed",1,0)</f>
        <v>1</v>
      </c>
    </row>
    <row r="281" spans="1:18" x14ac:dyDescent="0.35">
      <c r="A281">
        <v>280</v>
      </c>
      <c r="B281" s="1">
        <v>45861</v>
      </c>
      <c r="C281">
        <v>1295</v>
      </c>
      <c r="D281" t="s">
        <v>28</v>
      </c>
      <c r="E281" t="s">
        <v>29</v>
      </c>
      <c r="F281" t="s">
        <v>34</v>
      </c>
      <c r="G281">
        <v>5</v>
      </c>
      <c r="H281">
        <v>5230</v>
      </c>
      <c r="I281" t="s">
        <v>25</v>
      </c>
      <c r="J281" t="s">
        <v>19</v>
      </c>
      <c r="K281" t="s">
        <v>38</v>
      </c>
      <c r="L281">
        <v>3</v>
      </c>
      <c r="M281">
        <v>0</v>
      </c>
      <c r="N281">
        <v>1</v>
      </c>
      <c r="O281" t="s">
        <v>21</v>
      </c>
      <c r="P281" t="str">
        <f>TEXT(Table1[[#This Row],[order_date]],"yyyy-mm")</f>
        <v>2025-07</v>
      </c>
      <c r="Q281">
        <f>WEEKNUM(Table1[[#This Row],[order_date]])</f>
        <v>30</v>
      </c>
      <c r="R281">
        <f>IF(Table1[[#This Row],[order_status]]="completed",1,0)</f>
        <v>1</v>
      </c>
    </row>
    <row r="282" spans="1:18" x14ac:dyDescent="0.35">
      <c r="A282">
        <v>281</v>
      </c>
      <c r="B282" s="1">
        <v>45957</v>
      </c>
      <c r="C282">
        <v>1867</v>
      </c>
      <c r="D282" t="s">
        <v>28</v>
      </c>
      <c r="E282" t="s">
        <v>36</v>
      </c>
      <c r="F282" t="s">
        <v>30</v>
      </c>
      <c r="G282">
        <v>2</v>
      </c>
      <c r="H282">
        <v>0</v>
      </c>
      <c r="I282" t="s">
        <v>39</v>
      </c>
      <c r="J282" t="s">
        <v>37</v>
      </c>
      <c r="K282" t="s">
        <v>40</v>
      </c>
      <c r="L282">
        <v>4</v>
      </c>
      <c r="M282">
        <v>1</v>
      </c>
      <c r="N282">
        <v>0</v>
      </c>
      <c r="O282" t="s">
        <v>21</v>
      </c>
      <c r="P282" t="str">
        <f>TEXT(Table1[[#This Row],[order_date]],"yyyy-mm")</f>
        <v>2025-10</v>
      </c>
      <c r="Q282">
        <f>WEEKNUM(Table1[[#This Row],[order_date]])</f>
        <v>44</v>
      </c>
      <c r="R282">
        <f>IF(Table1[[#This Row],[order_status]]="completed",1,0)</f>
        <v>0</v>
      </c>
    </row>
    <row r="283" spans="1:18" x14ac:dyDescent="0.35">
      <c r="A283">
        <v>282</v>
      </c>
      <c r="B283" s="1">
        <v>45977</v>
      </c>
      <c r="C283">
        <v>1423</v>
      </c>
      <c r="D283" t="s">
        <v>28</v>
      </c>
      <c r="E283" t="s">
        <v>33</v>
      </c>
      <c r="F283" t="s">
        <v>24</v>
      </c>
      <c r="G283">
        <v>5</v>
      </c>
      <c r="H283">
        <v>0</v>
      </c>
      <c r="I283" t="s">
        <v>18</v>
      </c>
      <c r="J283" t="s">
        <v>37</v>
      </c>
      <c r="K283" t="s">
        <v>20</v>
      </c>
      <c r="L283">
        <v>9</v>
      </c>
      <c r="M283">
        <v>1</v>
      </c>
      <c r="N283">
        <v>1</v>
      </c>
      <c r="O283" t="s">
        <v>21</v>
      </c>
      <c r="P283" t="str">
        <f>TEXT(Table1[[#This Row],[order_date]],"yyyy-mm")</f>
        <v>2025-11</v>
      </c>
      <c r="Q283">
        <f>WEEKNUM(Table1[[#This Row],[order_date]])</f>
        <v>47</v>
      </c>
      <c r="R283">
        <f>IF(Table1[[#This Row],[order_status]]="completed",1,0)</f>
        <v>0</v>
      </c>
    </row>
    <row r="284" spans="1:18" x14ac:dyDescent="0.35">
      <c r="A284">
        <v>283</v>
      </c>
      <c r="B284" s="1">
        <v>45968</v>
      </c>
      <c r="C284">
        <v>1329</v>
      </c>
      <c r="D284" t="s">
        <v>28</v>
      </c>
      <c r="E284" t="s">
        <v>33</v>
      </c>
      <c r="F284" t="s">
        <v>34</v>
      </c>
      <c r="G284">
        <v>4</v>
      </c>
      <c r="H284">
        <v>0</v>
      </c>
      <c r="I284" t="s">
        <v>25</v>
      </c>
      <c r="J284" t="s">
        <v>37</v>
      </c>
      <c r="K284" t="s">
        <v>40</v>
      </c>
      <c r="L284">
        <v>4</v>
      </c>
      <c r="M284">
        <v>1</v>
      </c>
      <c r="N284">
        <v>0</v>
      </c>
      <c r="O284" t="s">
        <v>21</v>
      </c>
      <c r="P284" t="str">
        <f>TEXT(Table1[[#This Row],[order_date]],"yyyy-mm")</f>
        <v>2025-11</v>
      </c>
      <c r="Q284">
        <f>WEEKNUM(Table1[[#This Row],[order_date]])</f>
        <v>45</v>
      </c>
      <c r="R284">
        <f>IF(Table1[[#This Row],[order_status]]="completed",1,0)</f>
        <v>0</v>
      </c>
    </row>
    <row r="285" spans="1:18" x14ac:dyDescent="0.35">
      <c r="A285">
        <v>284</v>
      </c>
      <c r="B285" s="1">
        <v>45959</v>
      </c>
      <c r="C285">
        <v>1843</v>
      </c>
      <c r="D285" t="s">
        <v>22</v>
      </c>
      <c r="E285" t="s">
        <v>29</v>
      </c>
      <c r="F285" t="s">
        <v>34</v>
      </c>
      <c r="G285">
        <v>4</v>
      </c>
      <c r="H285">
        <v>0</v>
      </c>
      <c r="I285" t="s">
        <v>18</v>
      </c>
      <c r="J285" t="s">
        <v>31</v>
      </c>
      <c r="K285" t="s">
        <v>40</v>
      </c>
      <c r="L285">
        <v>10</v>
      </c>
      <c r="M285">
        <v>0</v>
      </c>
      <c r="N285">
        <v>1</v>
      </c>
      <c r="O285" t="s">
        <v>27</v>
      </c>
      <c r="P285" t="str">
        <f>TEXT(Table1[[#This Row],[order_date]],"yyyy-mm")</f>
        <v>2025-10</v>
      </c>
      <c r="Q285">
        <f>WEEKNUM(Table1[[#This Row],[order_date]])</f>
        <v>44</v>
      </c>
      <c r="R285">
        <f>IF(Table1[[#This Row],[order_status]]="completed",1,0)</f>
        <v>0</v>
      </c>
    </row>
    <row r="286" spans="1:18" x14ac:dyDescent="0.35">
      <c r="A286">
        <v>285</v>
      </c>
      <c r="B286" s="1">
        <v>45972</v>
      </c>
      <c r="C286">
        <v>1501</v>
      </c>
      <c r="D286" t="s">
        <v>15</v>
      </c>
      <c r="E286" t="s">
        <v>16</v>
      </c>
      <c r="F286" t="s">
        <v>30</v>
      </c>
      <c r="G286">
        <v>1</v>
      </c>
      <c r="H286">
        <v>0</v>
      </c>
      <c r="I286" t="s">
        <v>35</v>
      </c>
      <c r="J286" t="s">
        <v>31</v>
      </c>
      <c r="K286" t="s">
        <v>20</v>
      </c>
      <c r="L286">
        <v>10</v>
      </c>
      <c r="M286">
        <v>0</v>
      </c>
      <c r="N286">
        <v>0</v>
      </c>
      <c r="O286" t="s">
        <v>21</v>
      </c>
      <c r="P286" t="str">
        <f>TEXT(Table1[[#This Row],[order_date]],"yyyy-mm")</f>
        <v>2025-11</v>
      </c>
      <c r="Q286">
        <f>WEEKNUM(Table1[[#This Row],[order_date]])</f>
        <v>46</v>
      </c>
      <c r="R286">
        <f>IF(Table1[[#This Row],[order_status]]="completed",1,0)</f>
        <v>0</v>
      </c>
    </row>
    <row r="287" spans="1:18" x14ac:dyDescent="0.35">
      <c r="A287">
        <v>286</v>
      </c>
      <c r="B287" s="1">
        <v>45992</v>
      </c>
      <c r="C287">
        <v>1364</v>
      </c>
      <c r="D287" t="s">
        <v>15</v>
      </c>
      <c r="E287" t="s">
        <v>16</v>
      </c>
      <c r="F287" t="s">
        <v>34</v>
      </c>
      <c r="G287">
        <v>3</v>
      </c>
      <c r="H287">
        <v>0</v>
      </c>
      <c r="I287" t="s">
        <v>18</v>
      </c>
      <c r="J287" t="s">
        <v>37</v>
      </c>
      <c r="K287" t="s">
        <v>38</v>
      </c>
      <c r="L287">
        <v>7</v>
      </c>
      <c r="M287">
        <v>0</v>
      </c>
      <c r="N287">
        <v>1</v>
      </c>
      <c r="O287" t="s">
        <v>27</v>
      </c>
      <c r="P287" t="str">
        <f>TEXT(Table1[[#This Row],[order_date]],"yyyy-mm")</f>
        <v>2025-12</v>
      </c>
      <c r="Q287">
        <f>WEEKNUM(Table1[[#This Row],[order_date]])</f>
        <v>49</v>
      </c>
      <c r="R287">
        <f>IF(Table1[[#This Row],[order_status]]="completed",1,0)</f>
        <v>0</v>
      </c>
    </row>
    <row r="288" spans="1:18" x14ac:dyDescent="0.35">
      <c r="A288">
        <v>287</v>
      </c>
      <c r="B288" s="1">
        <v>45986</v>
      </c>
      <c r="C288">
        <v>1338</v>
      </c>
      <c r="D288" t="s">
        <v>28</v>
      </c>
      <c r="E288" t="s">
        <v>16</v>
      </c>
      <c r="F288" t="s">
        <v>34</v>
      </c>
      <c r="G288">
        <v>2</v>
      </c>
      <c r="H288">
        <v>1854</v>
      </c>
      <c r="I288" t="s">
        <v>35</v>
      </c>
      <c r="J288" t="s">
        <v>19</v>
      </c>
      <c r="K288" t="s">
        <v>20</v>
      </c>
      <c r="L288">
        <v>7</v>
      </c>
      <c r="M288">
        <v>0</v>
      </c>
      <c r="N288">
        <v>1</v>
      </c>
      <c r="O288" t="s">
        <v>27</v>
      </c>
      <c r="P288" t="str">
        <f>TEXT(Table1[[#This Row],[order_date]],"yyyy-mm")</f>
        <v>2025-11</v>
      </c>
      <c r="Q288">
        <f>WEEKNUM(Table1[[#This Row],[order_date]])</f>
        <v>48</v>
      </c>
      <c r="R288">
        <f>IF(Table1[[#This Row],[order_status]]="completed",1,0)</f>
        <v>1</v>
      </c>
    </row>
    <row r="289" spans="1:18" x14ac:dyDescent="0.35">
      <c r="A289">
        <v>288</v>
      </c>
      <c r="B289" s="1">
        <v>46013</v>
      </c>
      <c r="C289">
        <v>1403</v>
      </c>
      <c r="D289" t="s">
        <v>41</v>
      </c>
      <c r="E289" t="s">
        <v>23</v>
      </c>
      <c r="F289" t="s">
        <v>24</v>
      </c>
      <c r="G289">
        <v>1</v>
      </c>
      <c r="H289">
        <v>0</v>
      </c>
      <c r="I289" t="s">
        <v>25</v>
      </c>
      <c r="J289" t="s">
        <v>31</v>
      </c>
      <c r="K289" t="s">
        <v>20</v>
      </c>
      <c r="L289">
        <v>9</v>
      </c>
      <c r="M289">
        <v>1</v>
      </c>
      <c r="N289">
        <v>0</v>
      </c>
      <c r="O289" t="s">
        <v>21</v>
      </c>
      <c r="P289" t="str">
        <f>TEXT(Table1[[#This Row],[order_date]],"yyyy-mm")</f>
        <v>2025-12</v>
      </c>
      <c r="Q289">
        <f>WEEKNUM(Table1[[#This Row],[order_date]])</f>
        <v>52</v>
      </c>
      <c r="R289">
        <f>IF(Table1[[#This Row],[order_status]]="completed",1,0)</f>
        <v>0</v>
      </c>
    </row>
    <row r="290" spans="1:18" x14ac:dyDescent="0.35">
      <c r="A290">
        <v>289</v>
      </c>
      <c r="B290" s="1">
        <v>45928</v>
      </c>
      <c r="C290">
        <v>1434</v>
      </c>
      <c r="D290" t="s">
        <v>22</v>
      </c>
      <c r="E290" t="s">
        <v>16</v>
      </c>
      <c r="F290" t="s">
        <v>34</v>
      </c>
      <c r="G290">
        <v>3</v>
      </c>
      <c r="H290">
        <v>8151</v>
      </c>
      <c r="I290" t="s">
        <v>35</v>
      </c>
      <c r="J290" t="s">
        <v>19</v>
      </c>
      <c r="K290" t="s">
        <v>40</v>
      </c>
      <c r="L290">
        <v>2</v>
      </c>
      <c r="M290">
        <v>0</v>
      </c>
      <c r="N290">
        <v>0</v>
      </c>
      <c r="O290" t="s">
        <v>21</v>
      </c>
      <c r="P290" t="str">
        <f>TEXT(Table1[[#This Row],[order_date]],"yyyy-mm")</f>
        <v>2025-09</v>
      </c>
      <c r="Q290">
        <f>WEEKNUM(Table1[[#This Row],[order_date]])</f>
        <v>40</v>
      </c>
      <c r="R290">
        <f>IF(Table1[[#This Row],[order_status]]="completed",1,0)</f>
        <v>1</v>
      </c>
    </row>
    <row r="291" spans="1:18" x14ac:dyDescent="0.35">
      <c r="A291">
        <v>290</v>
      </c>
      <c r="B291" s="1">
        <v>45924</v>
      </c>
      <c r="C291">
        <v>1984</v>
      </c>
      <c r="D291" t="s">
        <v>22</v>
      </c>
      <c r="E291" t="s">
        <v>33</v>
      </c>
      <c r="F291" t="s">
        <v>34</v>
      </c>
      <c r="G291">
        <v>5</v>
      </c>
      <c r="H291">
        <v>4050</v>
      </c>
      <c r="I291" t="s">
        <v>35</v>
      </c>
      <c r="J291" t="s">
        <v>19</v>
      </c>
      <c r="K291" t="s">
        <v>20</v>
      </c>
      <c r="L291">
        <v>6</v>
      </c>
      <c r="M291">
        <v>1</v>
      </c>
      <c r="N291">
        <v>1</v>
      </c>
      <c r="O291" t="s">
        <v>21</v>
      </c>
      <c r="P291" t="str">
        <f>TEXT(Table1[[#This Row],[order_date]],"yyyy-mm")</f>
        <v>2025-09</v>
      </c>
      <c r="Q291">
        <f>WEEKNUM(Table1[[#This Row],[order_date]])</f>
        <v>39</v>
      </c>
      <c r="R291">
        <f>IF(Table1[[#This Row],[order_status]]="completed",1,0)</f>
        <v>1</v>
      </c>
    </row>
    <row r="292" spans="1:18" x14ac:dyDescent="0.35">
      <c r="A292">
        <v>291</v>
      </c>
      <c r="B292" s="1">
        <v>45861</v>
      </c>
      <c r="C292">
        <v>1839</v>
      </c>
      <c r="D292" t="s">
        <v>28</v>
      </c>
      <c r="E292" t="s">
        <v>29</v>
      </c>
      <c r="F292" t="s">
        <v>24</v>
      </c>
      <c r="G292">
        <v>5</v>
      </c>
      <c r="H292">
        <v>6650</v>
      </c>
      <c r="I292" t="s">
        <v>39</v>
      </c>
      <c r="J292" t="s">
        <v>19</v>
      </c>
      <c r="K292" t="s">
        <v>38</v>
      </c>
      <c r="L292">
        <v>10</v>
      </c>
      <c r="M292">
        <v>0</v>
      </c>
      <c r="N292">
        <v>1</v>
      </c>
      <c r="O292" t="s">
        <v>21</v>
      </c>
      <c r="P292" t="str">
        <f>TEXT(Table1[[#This Row],[order_date]],"yyyy-mm")</f>
        <v>2025-07</v>
      </c>
      <c r="Q292">
        <f>WEEKNUM(Table1[[#This Row],[order_date]])</f>
        <v>30</v>
      </c>
      <c r="R292">
        <f>IF(Table1[[#This Row],[order_status]]="completed",1,0)</f>
        <v>1</v>
      </c>
    </row>
    <row r="293" spans="1:18" x14ac:dyDescent="0.35">
      <c r="A293">
        <v>292</v>
      </c>
      <c r="B293" s="1">
        <v>45946</v>
      </c>
      <c r="C293">
        <v>1347</v>
      </c>
      <c r="D293" t="s">
        <v>15</v>
      </c>
      <c r="E293" t="s">
        <v>33</v>
      </c>
      <c r="F293" t="s">
        <v>34</v>
      </c>
      <c r="G293">
        <v>5</v>
      </c>
      <c r="H293">
        <v>0</v>
      </c>
      <c r="I293" t="s">
        <v>39</v>
      </c>
      <c r="J293" t="s">
        <v>31</v>
      </c>
      <c r="K293" t="s">
        <v>20</v>
      </c>
      <c r="L293">
        <v>2</v>
      </c>
      <c r="M293">
        <v>1</v>
      </c>
      <c r="N293">
        <v>0</v>
      </c>
      <c r="O293" t="s">
        <v>27</v>
      </c>
      <c r="P293" t="str">
        <f>TEXT(Table1[[#This Row],[order_date]],"yyyy-mm")</f>
        <v>2025-10</v>
      </c>
      <c r="Q293">
        <f>WEEKNUM(Table1[[#This Row],[order_date]])</f>
        <v>42</v>
      </c>
      <c r="R293">
        <f>IF(Table1[[#This Row],[order_status]]="completed",1,0)</f>
        <v>0</v>
      </c>
    </row>
    <row r="294" spans="1:18" x14ac:dyDescent="0.35">
      <c r="A294">
        <v>293</v>
      </c>
      <c r="B294" s="1">
        <v>45961</v>
      </c>
      <c r="C294">
        <v>1239</v>
      </c>
      <c r="D294" t="s">
        <v>15</v>
      </c>
      <c r="E294" t="s">
        <v>36</v>
      </c>
      <c r="F294" t="s">
        <v>17</v>
      </c>
      <c r="G294">
        <v>1</v>
      </c>
      <c r="H294">
        <v>0</v>
      </c>
      <c r="I294" t="s">
        <v>25</v>
      </c>
      <c r="J294" t="s">
        <v>37</v>
      </c>
      <c r="K294" t="s">
        <v>26</v>
      </c>
      <c r="L294">
        <v>5</v>
      </c>
      <c r="M294">
        <v>1</v>
      </c>
      <c r="N294">
        <v>0</v>
      </c>
      <c r="O294" t="s">
        <v>21</v>
      </c>
      <c r="P294" t="str">
        <f>TEXT(Table1[[#This Row],[order_date]],"yyyy-mm")</f>
        <v>2025-10</v>
      </c>
      <c r="Q294">
        <f>WEEKNUM(Table1[[#This Row],[order_date]])</f>
        <v>44</v>
      </c>
      <c r="R294">
        <f>IF(Table1[[#This Row],[order_status]]="completed",1,0)</f>
        <v>0</v>
      </c>
    </row>
    <row r="295" spans="1:18" x14ac:dyDescent="0.35">
      <c r="A295">
        <v>294</v>
      </c>
      <c r="B295" s="1">
        <v>45930</v>
      </c>
      <c r="C295">
        <v>1035</v>
      </c>
      <c r="D295" t="s">
        <v>28</v>
      </c>
      <c r="E295" t="s">
        <v>16</v>
      </c>
      <c r="F295" t="s">
        <v>24</v>
      </c>
      <c r="G295">
        <v>4</v>
      </c>
      <c r="H295">
        <v>0</v>
      </c>
      <c r="I295" t="s">
        <v>18</v>
      </c>
      <c r="J295" t="s">
        <v>31</v>
      </c>
      <c r="K295" t="s">
        <v>20</v>
      </c>
      <c r="L295">
        <v>3</v>
      </c>
      <c r="M295">
        <v>0</v>
      </c>
      <c r="N295">
        <v>1</v>
      </c>
      <c r="O295" t="s">
        <v>27</v>
      </c>
      <c r="P295" t="str">
        <f>TEXT(Table1[[#This Row],[order_date]],"yyyy-mm")</f>
        <v>2025-09</v>
      </c>
      <c r="Q295">
        <f>WEEKNUM(Table1[[#This Row],[order_date]])</f>
        <v>40</v>
      </c>
      <c r="R295">
        <f>IF(Table1[[#This Row],[order_status]]="completed",1,0)</f>
        <v>0</v>
      </c>
    </row>
    <row r="296" spans="1:18" x14ac:dyDescent="0.35">
      <c r="A296">
        <v>295</v>
      </c>
      <c r="B296" s="1">
        <v>45921</v>
      </c>
      <c r="C296">
        <v>1304</v>
      </c>
      <c r="D296" t="s">
        <v>15</v>
      </c>
      <c r="E296" t="s">
        <v>23</v>
      </c>
      <c r="F296" t="s">
        <v>30</v>
      </c>
      <c r="G296">
        <v>1</v>
      </c>
      <c r="H296">
        <v>4824</v>
      </c>
      <c r="I296" t="s">
        <v>18</v>
      </c>
      <c r="J296" t="s">
        <v>19</v>
      </c>
      <c r="K296" t="s">
        <v>26</v>
      </c>
      <c r="L296">
        <v>7</v>
      </c>
      <c r="M296">
        <v>1</v>
      </c>
      <c r="N296">
        <v>1</v>
      </c>
      <c r="O296" t="s">
        <v>27</v>
      </c>
      <c r="P296" t="str">
        <f>TEXT(Table1[[#This Row],[order_date]],"yyyy-mm")</f>
        <v>2025-09</v>
      </c>
      <c r="Q296">
        <f>WEEKNUM(Table1[[#This Row],[order_date]])</f>
        <v>39</v>
      </c>
      <c r="R296">
        <f>IF(Table1[[#This Row],[order_status]]="completed",1,0)</f>
        <v>1</v>
      </c>
    </row>
    <row r="297" spans="1:18" x14ac:dyDescent="0.35">
      <c r="A297">
        <v>296</v>
      </c>
      <c r="B297" s="1">
        <v>45944</v>
      </c>
      <c r="C297">
        <v>1822</v>
      </c>
      <c r="D297" t="s">
        <v>28</v>
      </c>
      <c r="E297" t="s">
        <v>36</v>
      </c>
      <c r="F297" t="s">
        <v>34</v>
      </c>
      <c r="G297">
        <v>1</v>
      </c>
      <c r="H297">
        <v>0</v>
      </c>
      <c r="I297" t="s">
        <v>25</v>
      </c>
      <c r="J297" t="s">
        <v>37</v>
      </c>
      <c r="K297" t="s">
        <v>20</v>
      </c>
      <c r="L297">
        <v>8</v>
      </c>
      <c r="M297">
        <v>1</v>
      </c>
      <c r="N297">
        <v>1</v>
      </c>
      <c r="O297" t="s">
        <v>27</v>
      </c>
      <c r="P297" t="str">
        <f>TEXT(Table1[[#This Row],[order_date]],"yyyy-mm")</f>
        <v>2025-10</v>
      </c>
      <c r="Q297">
        <f>WEEKNUM(Table1[[#This Row],[order_date]])</f>
        <v>42</v>
      </c>
      <c r="R297">
        <f>IF(Table1[[#This Row],[order_status]]="completed",1,0)</f>
        <v>0</v>
      </c>
    </row>
    <row r="298" spans="1:18" x14ac:dyDescent="0.35">
      <c r="A298">
        <v>297</v>
      </c>
      <c r="B298" s="1">
        <v>45954</v>
      </c>
      <c r="C298">
        <v>1341</v>
      </c>
      <c r="D298" t="s">
        <v>32</v>
      </c>
      <c r="E298" t="s">
        <v>36</v>
      </c>
      <c r="F298" t="s">
        <v>30</v>
      </c>
      <c r="G298">
        <v>3</v>
      </c>
      <c r="H298">
        <v>0</v>
      </c>
      <c r="I298" t="s">
        <v>18</v>
      </c>
      <c r="J298" t="s">
        <v>37</v>
      </c>
      <c r="K298" t="s">
        <v>38</v>
      </c>
      <c r="L298">
        <v>5</v>
      </c>
      <c r="M298">
        <v>0</v>
      </c>
      <c r="N298">
        <v>0</v>
      </c>
      <c r="O298" t="s">
        <v>27</v>
      </c>
      <c r="P298" t="str">
        <f>TEXT(Table1[[#This Row],[order_date]],"yyyy-mm")</f>
        <v>2025-10</v>
      </c>
      <c r="Q298">
        <f>WEEKNUM(Table1[[#This Row],[order_date]])</f>
        <v>43</v>
      </c>
      <c r="R298">
        <f>IF(Table1[[#This Row],[order_status]]="completed",1,0)</f>
        <v>0</v>
      </c>
    </row>
    <row r="299" spans="1:18" x14ac:dyDescent="0.35">
      <c r="A299">
        <v>298</v>
      </c>
      <c r="B299" s="1">
        <v>45970</v>
      </c>
      <c r="C299">
        <v>1657</v>
      </c>
      <c r="D299" t="s">
        <v>22</v>
      </c>
      <c r="E299" t="s">
        <v>16</v>
      </c>
      <c r="F299" t="s">
        <v>30</v>
      </c>
      <c r="G299">
        <v>5</v>
      </c>
      <c r="H299">
        <v>0</v>
      </c>
      <c r="I299" t="s">
        <v>25</v>
      </c>
      <c r="J299" t="s">
        <v>31</v>
      </c>
      <c r="K299" t="s">
        <v>40</v>
      </c>
      <c r="L299">
        <v>4</v>
      </c>
      <c r="M299">
        <v>0</v>
      </c>
      <c r="N299">
        <v>1</v>
      </c>
      <c r="O299" t="s">
        <v>21</v>
      </c>
      <c r="P299" t="str">
        <f>TEXT(Table1[[#This Row],[order_date]],"yyyy-mm")</f>
        <v>2025-11</v>
      </c>
      <c r="Q299">
        <f>WEEKNUM(Table1[[#This Row],[order_date]])</f>
        <v>46</v>
      </c>
      <c r="R299">
        <f>IF(Table1[[#This Row],[order_status]]="completed",1,0)</f>
        <v>0</v>
      </c>
    </row>
    <row r="300" spans="1:18" x14ac:dyDescent="0.35">
      <c r="A300">
        <v>299</v>
      </c>
      <c r="B300" s="1">
        <v>46017</v>
      </c>
      <c r="C300">
        <v>1699</v>
      </c>
      <c r="D300" t="s">
        <v>32</v>
      </c>
      <c r="E300" t="s">
        <v>29</v>
      </c>
      <c r="F300" t="s">
        <v>30</v>
      </c>
      <c r="G300">
        <v>2</v>
      </c>
      <c r="H300">
        <v>0</v>
      </c>
      <c r="I300" t="s">
        <v>18</v>
      </c>
      <c r="J300" t="s">
        <v>37</v>
      </c>
      <c r="K300" t="s">
        <v>26</v>
      </c>
      <c r="L300">
        <v>9</v>
      </c>
      <c r="M300">
        <v>0</v>
      </c>
      <c r="N300">
        <v>0</v>
      </c>
      <c r="O300" t="s">
        <v>27</v>
      </c>
      <c r="P300" t="str">
        <f>TEXT(Table1[[#This Row],[order_date]],"yyyy-mm")</f>
        <v>2025-12</v>
      </c>
      <c r="Q300">
        <f>WEEKNUM(Table1[[#This Row],[order_date]])</f>
        <v>52</v>
      </c>
      <c r="R300">
        <f>IF(Table1[[#This Row],[order_status]]="completed",1,0)</f>
        <v>0</v>
      </c>
    </row>
    <row r="301" spans="1:18" x14ac:dyDescent="0.35">
      <c r="A301">
        <v>300</v>
      </c>
      <c r="B301" s="1">
        <v>46014</v>
      </c>
      <c r="C301">
        <v>1993</v>
      </c>
      <c r="D301" t="s">
        <v>28</v>
      </c>
      <c r="E301" t="s">
        <v>16</v>
      </c>
      <c r="F301" t="s">
        <v>24</v>
      </c>
      <c r="G301">
        <v>5</v>
      </c>
      <c r="H301">
        <v>0</v>
      </c>
      <c r="I301" t="s">
        <v>39</v>
      </c>
      <c r="J301" t="s">
        <v>31</v>
      </c>
      <c r="K301" t="s">
        <v>20</v>
      </c>
      <c r="L301">
        <v>8</v>
      </c>
      <c r="M301">
        <v>0</v>
      </c>
      <c r="N301">
        <v>1</v>
      </c>
      <c r="O301" t="s">
        <v>21</v>
      </c>
      <c r="P301" t="str">
        <f>TEXT(Table1[[#This Row],[order_date]],"yyyy-mm")</f>
        <v>2025-12</v>
      </c>
      <c r="Q301">
        <f>WEEKNUM(Table1[[#This Row],[order_date]])</f>
        <v>52</v>
      </c>
      <c r="R301">
        <f>IF(Table1[[#This Row],[order_status]]="completed",1,0)</f>
        <v>0</v>
      </c>
    </row>
    <row r="302" spans="1:18" x14ac:dyDescent="0.35">
      <c r="A302">
        <v>301</v>
      </c>
      <c r="B302" s="1">
        <v>45942</v>
      </c>
      <c r="C302">
        <v>1502</v>
      </c>
      <c r="D302" t="s">
        <v>28</v>
      </c>
      <c r="E302" t="s">
        <v>33</v>
      </c>
      <c r="F302" t="s">
        <v>17</v>
      </c>
      <c r="G302">
        <v>1</v>
      </c>
      <c r="H302">
        <v>3441</v>
      </c>
      <c r="I302" t="s">
        <v>35</v>
      </c>
      <c r="J302" t="s">
        <v>19</v>
      </c>
      <c r="K302" t="s">
        <v>38</v>
      </c>
      <c r="L302">
        <v>9</v>
      </c>
      <c r="M302">
        <v>1</v>
      </c>
      <c r="N302">
        <v>0</v>
      </c>
      <c r="O302" t="s">
        <v>21</v>
      </c>
      <c r="P302" t="str">
        <f>TEXT(Table1[[#This Row],[order_date]],"yyyy-mm")</f>
        <v>2025-10</v>
      </c>
      <c r="Q302">
        <f>WEEKNUM(Table1[[#This Row],[order_date]])</f>
        <v>42</v>
      </c>
      <c r="R302">
        <f>IF(Table1[[#This Row],[order_status]]="completed",1,0)</f>
        <v>1</v>
      </c>
    </row>
    <row r="303" spans="1:18" x14ac:dyDescent="0.35">
      <c r="A303">
        <v>302</v>
      </c>
      <c r="B303" s="1">
        <v>45911</v>
      </c>
      <c r="C303">
        <v>1803</v>
      </c>
      <c r="D303" t="s">
        <v>28</v>
      </c>
      <c r="E303" t="s">
        <v>16</v>
      </c>
      <c r="F303" t="s">
        <v>17</v>
      </c>
      <c r="G303">
        <v>1</v>
      </c>
      <c r="H303">
        <v>0</v>
      </c>
      <c r="I303" t="s">
        <v>18</v>
      </c>
      <c r="J303" t="s">
        <v>31</v>
      </c>
      <c r="K303" t="s">
        <v>40</v>
      </c>
      <c r="L303">
        <v>4</v>
      </c>
      <c r="M303">
        <v>1</v>
      </c>
      <c r="N303">
        <v>0</v>
      </c>
      <c r="O303" t="s">
        <v>21</v>
      </c>
      <c r="P303" t="str">
        <f>TEXT(Table1[[#This Row],[order_date]],"yyyy-mm")</f>
        <v>2025-09</v>
      </c>
      <c r="Q303">
        <f>WEEKNUM(Table1[[#This Row],[order_date]])</f>
        <v>37</v>
      </c>
      <c r="R303">
        <f>IF(Table1[[#This Row],[order_status]]="completed",1,0)</f>
        <v>0</v>
      </c>
    </row>
    <row r="304" spans="1:18" x14ac:dyDescent="0.35">
      <c r="A304">
        <v>303</v>
      </c>
      <c r="B304" s="1">
        <v>45956</v>
      </c>
      <c r="C304">
        <v>1126</v>
      </c>
      <c r="D304" t="s">
        <v>22</v>
      </c>
      <c r="E304" t="s">
        <v>36</v>
      </c>
      <c r="F304" t="s">
        <v>17</v>
      </c>
      <c r="G304">
        <v>2</v>
      </c>
      <c r="H304">
        <v>0</v>
      </c>
      <c r="I304" t="s">
        <v>39</v>
      </c>
      <c r="J304" t="s">
        <v>37</v>
      </c>
      <c r="K304" t="s">
        <v>40</v>
      </c>
      <c r="L304">
        <v>10</v>
      </c>
      <c r="M304">
        <v>1</v>
      </c>
      <c r="N304">
        <v>0</v>
      </c>
      <c r="O304" t="s">
        <v>21</v>
      </c>
      <c r="P304" t="str">
        <f>TEXT(Table1[[#This Row],[order_date]],"yyyy-mm")</f>
        <v>2025-10</v>
      </c>
      <c r="Q304">
        <f>WEEKNUM(Table1[[#This Row],[order_date]])</f>
        <v>44</v>
      </c>
      <c r="R304">
        <f>IF(Table1[[#This Row],[order_status]]="completed",1,0)</f>
        <v>0</v>
      </c>
    </row>
    <row r="305" spans="1:18" x14ac:dyDescent="0.35">
      <c r="A305">
        <v>304</v>
      </c>
      <c r="B305" s="1">
        <v>45893</v>
      </c>
      <c r="C305">
        <v>1052</v>
      </c>
      <c r="D305" t="s">
        <v>32</v>
      </c>
      <c r="E305" t="s">
        <v>23</v>
      </c>
      <c r="F305" t="s">
        <v>34</v>
      </c>
      <c r="G305">
        <v>4</v>
      </c>
      <c r="H305">
        <v>0</v>
      </c>
      <c r="I305" t="s">
        <v>39</v>
      </c>
      <c r="J305" t="s">
        <v>31</v>
      </c>
      <c r="K305" t="s">
        <v>20</v>
      </c>
      <c r="L305">
        <v>3</v>
      </c>
      <c r="M305">
        <v>0</v>
      </c>
      <c r="N305">
        <v>0</v>
      </c>
      <c r="O305" t="s">
        <v>21</v>
      </c>
      <c r="P305" t="str">
        <f>TEXT(Table1[[#This Row],[order_date]],"yyyy-mm")</f>
        <v>2025-08</v>
      </c>
      <c r="Q305">
        <f>WEEKNUM(Table1[[#This Row],[order_date]])</f>
        <v>35</v>
      </c>
      <c r="R305">
        <f>IF(Table1[[#This Row],[order_status]]="completed",1,0)</f>
        <v>0</v>
      </c>
    </row>
    <row r="306" spans="1:18" x14ac:dyDescent="0.35">
      <c r="A306">
        <v>305</v>
      </c>
      <c r="B306" s="1">
        <v>45933</v>
      </c>
      <c r="C306">
        <v>1538</v>
      </c>
      <c r="D306" t="s">
        <v>32</v>
      </c>
      <c r="E306" t="s">
        <v>33</v>
      </c>
      <c r="F306" t="s">
        <v>30</v>
      </c>
      <c r="G306">
        <v>5</v>
      </c>
      <c r="H306">
        <v>0</v>
      </c>
      <c r="I306" t="s">
        <v>35</v>
      </c>
      <c r="J306" t="s">
        <v>37</v>
      </c>
      <c r="K306" t="s">
        <v>26</v>
      </c>
      <c r="L306">
        <v>10</v>
      </c>
      <c r="M306">
        <v>0</v>
      </c>
      <c r="N306">
        <v>0</v>
      </c>
      <c r="O306" t="s">
        <v>27</v>
      </c>
      <c r="P306" t="str">
        <f>TEXT(Table1[[#This Row],[order_date]],"yyyy-mm")</f>
        <v>2025-10</v>
      </c>
      <c r="Q306">
        <f>WEEKNUM(Table1[[#This Row],[order_date]])</f>
        <v>40</v>
      </c>
      <c r="R306">
        <f>IF(Table1[[#This Row],[order_status]]="completed",1,0)</f>
        <v>0</v>
      </c>
    </row>
    <row r="307" spans="1:18" x14ac:dyDescent="0.35">
      <c r="A307">
        <v>306</v>
      </c>
      <c r="B307" s="1">
        <v>46011</v>
      </c>
      <c r="C307">
        <v>1956</v>
      </c>
      <c r="D307" t="s">
        <v>15</v>
      </c>
      <c r="E307" t="s">
        <v>16</v>
      </c>
      <c r="F307" t="s">
        <v>24</v>
      </c>
      <c r="G307">
        <v>1</v>
      </c>
      <c r="H307">
        <v>0</v>
      </c>
      <c r="I307" t="s">
        <v>39</v>
      </c>
      <c r="J307" t="s">
        <v>31</v>
      </c>
      <c r="K307" t="s">
        <v>38</v>
      </c>
      <c r="L307">
        <v>6</v>
      </c>
      <c r="M307">
        <v>0</v>
      </c>
      <c r="N307">
        <v>0</v>
      </c>
      <c r="O307" t="s">
        <v>21</v>
      </c>
      <c r="P307" t="str">
        <f>TEXT(Table1[[#This Row],[order_date]],"yyyy-mm")</f>
        <v>2025-12</v>
      </c>
      <c r="Q307">
        <f>WEEKNUM(Table1[[#This Row],[order_date]])</f>
        <v>51</v>
      </c>
      <c r="R307">
        <f>IF(Table1[[#This Row],[order_status]]="completed",1,0)</f>
        <v>0</v>
      </c>
    </row>
    <row r="308" spans="1:18" x14ac:dyDescent="0.35">
      <c r="A308">
        <v>307</v>
      </c>
      <c r="B308" s="1">
        <v>46027</v>
      </c>
      <c r="C308">
        <v>1421</v>
      </c>
      <c r="D308" t="s">
        <v>22</v>
      </c>
      <c r="E308" t="s">
        <v>36</v>
      </c>
      <c r="F308" t="s">
        <v>30</v>
      </c>
      <c r="G308">
        <v>4</v>
      </c>
      <c r="H308">
        <v>0</v>
      </c>
      <c r="I308" t="s">
        <v>25</v>
      </c>
      <c r="J308" t="s">
        <v>31</v>
      </c>
      <c r="K308" t="s">
        <v>40</v>
      </c>
      <c r="L308">
        <v>5</v>
      </c>
      <c r="M308">
        <v>1</v>
      </c>
      <c r="N308">
        <v>0</v>
      </c>
      <c r="O308" t="s">
        <v>27</v>
      </c>
      <c r="P308" t="str">
        <f>TEXT(Table1[[#This Row],[order_date]],"yyyy-mm")</f>
        <v>2026-01</v>
      </c>
      <c r="Q308">
        <f>WEEKNUM(Table1[[#This Row],[order_date]])</f>
        <v>2</v>
      </c>
      <c r="R308">
        <f>IF(Table1[[#This Row],[order_status]]="completed",1,0)</f>
        <v>0</v>
      </c>
    </row>
    <row r="309" spans="1:18" x14ac:dyDescent="0.35">
      <c r="A309">
        <v>308</v>
      </c>
      <c r="B309" s="1">
        <v>45973</v>
      </c>
      <c r="C309">
        <v>1628</v>
      </c>
      <c r="D309" t="s">
        <v>28</v>
      </c>
      <c r="E309" t="s">
        <v>36</v>
      </c>
      <c r="F309" t="s">
        <v>17</v>
      </c>
      <c r="G309">
        <v>4</v>
      </c>
      <c r="H309">
        <v>7916</v>
      </c>
      <c r="I309" t="s">
        <v>35</v>
      </c>
      <c r="J309" t="s">
        <v>19</v>
      </c>
      <c r="K309" t="s">
        <v>38</v>
      </c>
      <c r="L309">
        <v>6</v>
      </c>
      <c r="M309">
        <v>1</v>
      </c>
      <c r="N309">
        <v>0</v>
      </c>
      <c r="O309" t="s">
        <v>27</v>
      </c>
      <c r="P309" t="str">
        <f>TEXT(Table1[[#This Row],[order_date]],"yyyy-mm")</f>
        <v>2025-11</v>
      </c>
      <c r="Q309">
        <f>WEEKNUM(Table1[[#This Row],[order_date]])</f>
        <v>46</v>
      </c>
      <c r="R309">
        <f>IF(Table1[[#This Row],[order_status]]="completed",1,0)</f>
        <v>1</v>
      </c>
    </row>
    <row r="310" spans="1:18" x14ac:dyDescent="0.35">
      <c r="A310">
        <v>309</v>
      </c>
      <c r="B310" s="1">
        <v>45990</v>
      </c>
      <c r="C310">
        <v>1974</v>
      </c>
      <c r="D310" t="s">
        <v>32</v>
      </c>
      <c r="E310" t="s">
        <v>23</v>
      </c>
      <c r="F310" t="s">
        <v>17</v>
      </c>
      <c r="G310">
        <v>1</v>
      </c>
      <c r="H310">
        <v>0</v>
      </c>
      <c r="I310" t="s">
        <v>39</v>
      </c>
      <c r="J310" t="s">
        <v>37</v>
      </c>
      <c r="K310" t="s">
        <v>26</v>
      </c>
      <c r="L310">
        <v>2</v>
      </c>
      <c r="M310">
        <v>1</v>
      </c>
      <c r="N310">
        <v>1</v>
      </c>
      <c r="O310" t="s">
        <v>27</v>
      </c>
      <c r="P310" t="str">
        <f>TEXT(Table1[[#This Row],[order_date]],"yyyy-mm")</f>
        <v>2025-11</v>
      </c>
      <c r="Q310">
        <f>WEEKNUM(Table1[[#This Row],[order_date]])</f>
        <v>48</v>
      </c>
      <c r="R310">
        <f>IF(Table1[[#This Row],[order_status]]="completed",1,0)</f>
        <v>0</v>
      </c>
    </row>
    <row r="311" spans="1:18" x14ac:dyDescent="0.35">
      <c r="A311">
        <v>310</v>
      </c>
      <c r="B311" s="1">
        <v>45875</v>
      </c>
      <c r="C311">
        <v>1676</v>
      </c>
      <c r="D311" t="s">
        <v>22</v>
      </c>
      <c r="E311" t="s">
        <v>29</v>
      </c>
      <c r="F311" t="s">
        <v>24</v>
      </c>
      <c r="G311">
        <v>1</v>
      </c>
      <c r="H311">
        <v>0</v>
      </c>
      <c r="I311" t="s">
        <v>18</v>
      </c>
      <c r="J311" t="s">
        <v>37</v>
      </c>
      <c r="K311" t="s">
        <v>38</v>
      </c>
      <c r="L311">
        <v>1</v>
      </c>
      <c r="M311">
        <v>0</v>
      </c>
      <c r="N311">
        <v>1</v>
      </c>
      <c r="O311" t="s">
        <v>27</v>
      </c>
      <c r="P311" t="str">
        <f>TEXT(Table1[[#This Row],[order_date]],"yyyy-mm")</f>
        <v>2025-08</v>
      </c>
      <c r="Q311">
        <f>WEEKNUM(Table1[[#This Row],[order_date]])</f>
        <v>32</v>
      </c>
      <c r="R311">
        <f>IF(Table1[[#This Row],[order_status]]="completed",1,0)</f>
        <v>0</v>
      </c>
    </row>
    <row r="312" spans="1:18" x14ac:dyDescent="0.35">
      <c r="A312">
        <v>311</v>
      </c>
      <c r="B312" s="1">
        <v>45958</v>
      </c>
      <c r="C312">
        <v>1583</v>
      </c>
      <c r="D312" t="s">
        <v>41</v>
      </c>
      <c r="E312" t="s">
        <v>29</v>
      </c>
      <c r="F312" t="s">
        <v>30</v>
      </c>
      <c r="G312">
        <v>1</v>
      </c>
      <c r="H312">
        <v>0</v>
      </c>
      <c r="I312" t="s">
        <v>39</v>
      </c>
      <c r="J312" t="s">
        <v>31</v>
      </c>
      <c r="K312" t="s">
        <v>38</v>
      </c>
      <c r="L312">
        <v>6</v>
      </c>
      <c r="M312">
        <v>1</v>
      </c>
      <c r="N312">
        <v>1</v>
      </c>
      <c r="O312" t="s">
        <v>21</v>
      </c>
      <c r="P312" t="str">
        <f>TEXT(Table1[[#This Row],[order_date]],"yyyy-mm")</f>
        <v>2025-10</v>
      </c>
      <c r="Q312">
        <f>WEEKNUM(Table1[[#This Row],[order_date]])</f>
        <v>44</v>
      </c>
      <c r="R312">
        <f>IF(Table1[[#This Row],[order_status]]="completed",1,0)</f>
        <v>0</v>
      </c>
    </row>
    <row r="313" spans="1:18" x14ac:dyDescent="0.35">
      <c r="A313">
        <v>312</v>
      </c>
      <c r="B313" s="1">
        <v>46005</v>
      </c>
      <c r="C313">
        <v>1753</v>
      </c>
      <c r="D313" t="s">
        <v>22</v>
      </c>
      <c r="E313" t="s">
        <v>33</v>
      </c>
      <c r="F313" t="s">
        <v>30</v>
      </c>
      <c r="G313">
        <v>1</v>
      </c>
      <c r="H313">
        <v>0</v>
      </c>
      <c r="I313" t="s">
        <v>35</v>
      </c>
      <c r="J313" t="s">
        <v>37</v>
      </c>
      <c r="K313" t="s">
        <v>40</v>
      </c>
      <c r="L313">
        <v>5</v>
      </c>
      <c r="M313">
        <v>0</v>
      </c>
      <c r="N313">
        <v>1</v>
      </c>
      <c r="O313" t="s">
        <v>27</v>
      </c>
      <c r="P313" t="str">
        <f>TEXT(Table1[[#This Row],[order_date]],"yyyy-mm")</f>
        <v>2025-12</v>
      </c>
      <c r="Q313">
        <f>WEEKNUM(Table1[[#This Row],[order_date]])</f>
        <v>51</v>
      </c>
      <c r="R313">
        <f>IF(Table1[[#This Row],[order_status]]="completed",1,0)</f>
        <v>0</v>
      </c>
    </row>
    <row r="314" spans="1:18" x14ac:dyDescent="0.35">
      <c r="A314">
        <v>313</v>
      </c>
      <c r="B314" s="1">
        <v>45882</v>
      </c>
      <c r="C314">
        <v>1691</v>
      </c>
      <c r="D314" t="s">
        <v>22</v>
      </c>
      <c r="E314" t="s">
        <v>33</v>
      </c>
      <c r="F314" t="s">
        <v>24</v>
      </c>
      <c r="G314">
        <v>5</v>
      </c>
      <c r="H314">
        <v>1375</v>
      </c>
      <c r="I314" t="s">
        <v>39</v>
      </c>
      <c r="J314" t="s">
        <v>19</v>
      </c>
      <c r="K314" t="s">
        <v>20</v>
      </c>
      <c r="L314">
        <v>2</v>
      </c>
      <c r="M314">
        <v>1</v>
      </c>
      <c r="N314">
        <v>0</v>
      </c>
      <c r="O314" t="s">
        <v>27</v>
      </c>
      <c r="P314" t="str">
        <f>TEXT(Table1[[#This Row],[order_date]],"yyyy-mm")</f>
        <v>2025-08</v>
      </c>
      <c r="Q314">
        <f>WEEKNUM(Table1[[#This Row],[order_date]])</f>
        <v>33</v>
      </c>
      <c r="R314">
        <f>IF(Table1[[#This Row],[order_status]]="completed",1,0)</f>
        <v>1</v>
      </c>
    </row>
    <row r="315" spans="1:18" x14ac:dyDescent="0.35">
      <c r="A315">
        <v>314</v>
      </c>
      <c r="B315" s="1">
        <v>46029</v>
      </c>
      <c r="C315">
        <v>1485</v>
      </c>
      <c r="D315" t="s">
        <v>22</v>
      </c>
      <c r="E315" t="s">
        <v>16</v>
      </c>
      <c r="F315" t="s">
        <v>17</v>
      </c>
      <c r="G315">
        <v>2</v>
      </c>
      <c r="H315">
        <v>0</v>
      </c>
      <c r="I315" t="s">
        <v>25</v>
      </c>
      <c r="J315" t="s">
        <v>37</v>
      </c>
      <c r="K315" t="s">
        <v>20</v>
      </c>
      <c r="L315">
        <v>3</v>
      </c>
      <c r="M315">
        <v>1</v>
      </c>
      <c r="N315">
        <v>1</v>
      </c>
      <c r="O315" t="s">
        <v>21</v>
      </c>
      <c r="P315" t="str">
        <f>TEXT(Table1[[#This Row],[order_date]],"yyyy-mm")</f>
        <v>2026-01</v>
      </c>
      <c r="Q315">
        <f>WEEKNUM(Table1[[#This Row],[order_date]])</f>
        <v>2</v>
      </c>
      <c r="R315">
        <f>IF(Table1[[#This Row],[order_status]]="completed",1,0)</f>
        <v>0</v>
      </c>
    </row>
    <row r="316" spans="1:18" x14ac:dyDescent="0.35">
      <c r="A316">
        <v>315</v>
      </c>
      <c r="B316" s="1">
        <v>45874</v>
      </c>
      <c r="C316">
        <v>1947</v>
      </c>
      <c r="D316" t="s">
        <v>41</v>
      </c>
      <c r="E316" t="s">
        <v>23</v>
      </c>
      <c r="F316" t="s">
        <v>30</v>
      </c>
      <c r="G316">
        <v>4</v>
      </c>
      <c r="H316">
        <v>0</v>
      </c>
      <c r="I316" t="s">
        <v>35</v>
      </c>
      <c r="J316" t="s">
        <v>37</v>
      </c>
      <c r="K316" t="s">
        <v>26</v>
      </c>
      <c r="L316">
        <v>7</v>
      </c>
      <c r="M316">
        <v>0</v>
      </c>
      <c r="N316">
        <v>0</v>
      </c>
      <c r="O316" t="s">
        <v>27</v>
      </c>
      <c r="P316" t="str">
        <f>TEXT(Table1[[#This Row],[order_date]],"yyyy-mm")</f>
        <v>2025-08</v>
      </c>
      <c r="Q316">
        <f>WEEKNUM(Table1[[#This Row],[order_date]])</f>
        <v>32</v>
      </c>
      <c r="R316">
        <f>IF(Table1[[#This Row],[order_status]]="completed",1,0)</f>
        <v>0</v>
      </c>
    </row>
    <row r="317" spans="1:18" x14ac:dyDescent="0.35">
      <c r="A317">
        <v>316</v>
      </c>
      <c r="B317" s="1">
        <v>45931</v>
      </c>
      <c r="C317">
        <v>1950</v>
      </c>
      <c r="D317" t="s">
        <v>28</v>
      </c>
      <c r="E317" t="s">
        <v>16</v>
      </c>
      <c r="F317" t="s">
        <v>30</v>
      </c>
      <c r="G317">
        <v>3</v>
      </c>
      <c r="H317">
        <v>0</v>
      </c>
      <c r="I317" t="s">
        <v>39</v>
      </c>
      <c r="J317" t="s">
        <v>37</v>
      </c>
      <c r="K317" t="s">
        <v>38</v>
      </c>
      <c r="L317">
        <v>10</v>
      </c>
      <c r="M317">
        <v>1</v>
      </c>
      <c r="N317">
        <v>0</v>
      </c>
      <c r="O317" t="s">
        <v>27</v>
      </c>
      <c r="P317" t="str">
        <f>TEXT(Table1[[#This Row],[order_date]],"yyyy-mm")</f>
        <v>2025-10</v>
      </c>
      <c r="Q317">
        <f>WEEKNUM(Table1[[#This Row],[order_date]])</f>
        <v>40</v>
      </c>
      <c r="R317">
        <f>IF(Table1[[#This Row],[order_status]]="completed",1,0)</f>
        <v>0</v>
      </c>
    </row>
    <row r="318" spans="1:18" x14ac:dyDescent="0.35">
      <c r="A318">
        <v>317</v>
      </c>
      <c r="B318" s="1">
        <v>45884</v>
      </c>
      <c r="C318">
        <v>1272</v>
      </c>
      <c r="D318" t="s">
        <v>22</v>
      </c>
      <c r="E318" t="s">
        <v>29</v>
      </c>
      <c r="F318" t="s">
        <v>34</v>
      </c>
      <c r="G318">
        <v>4</v>
      </c>
      <c r="H318">
        <v>18628</v>
      </c>
      <c r="I318" t="s">
        <v>35</v>
      </c>
      <c r="J318" t="s">
        <v>19</v>
      </c>
      <c r="K318" t="s">
        <v>26</v>
      </c>
      <c r="L318">
        <v>7</v>
      </c>
      <c r="M318">
        <v>1</v>
      </c>
      <c r="N318">
        <v>0</v>
      </c>
      <c r="O318" t="s">
        <v>27</v>
      </c>
      <c r="P318" t="str">
        <f>TEXT(Table1[[#This Row],[order_date]],"yyyy-mm")</f>
        <v>2025-08</v>
      </c>
      <c r="Q318">
        <f>WEEKNUM(Table1[[#This Row],[order_date]])</f>
        <v>33</v>
      </c>
      <c r="R318">
        <f>IF(Table1[[#This Row],[order_status]]="completed",1,0)</f>
        <v>1</v>
      </c>
    </row>
    <row r="319" spans="1:18" x14ac:dyDescent="0.35">
      <c r="A319">
        <v>318</v>
      </c>
      <c r="B319" s="1">
        <v>46020</v>
      </c>
      <c r="C319">
        <v>1866</v>
      </c>
      <c r="D319" t="s">
        <v>15</v>
      </c>
      <c r="E319" t="s">
        <v>29</v>
      </c>
      <c r="F319" t="s">
        <v>34</v>
      </c>
      <c r="G319">
        <v>5</v>
      </c>
      <c r="H319">
        <v>0</v>
      </c>
      <c r="I319" t="s">
        <v>25</v>
      </c>
      <c r="J319" t="s">
        <v>31</v>
      </c>
      <c r="K319" t="s">
        <v>38</v>
      </c>
      <c r="L319">
        <v>6</v>
      </c>
      <c r="M319">
        <v>1</v>
      </c>
      <c r="N319">
        <v>0</v>
      </c>
      <c r="O319" t="s">
        <v>21</v>
      </c>
      <c r="P319" t="str">
        <f>TEXT(Table1[[#This Row],[order_date]],"yyyy-mm")</f>
        <v>2025-12</v>
      </c>
      <c r="Q319">
        <f>WEEKNUM(Table1[[#This Row],[order_date]])</f>
        <v>53</v>
      </c>
      <c r="R319">
        <f>IF(Table1[[#This Row],[order_status]]="completed",1,0)</f>
        <v>0</v>
      </c>
    </row>
    <row r="320" spans="1:18" x14ac:dyDescent="0.35">
      <c r="A320">
        <v>319</v>
      </c>
      <c r="B320" s="1">
        <v>45915</v>
      </c>
      <c r="C320">
        <v>1760</v>
      </c>
      <c r="D320" t="s">
        <v>32</v>
      </c>
      <c r="E320" t="s">
        <v>16</v>
      </c>
      <c r="F320" t="s">
        <v>34</v>
      </c>
      <c r="G320">
        <v>5</v>
      </c>
      <c r="H320">
        <v>0</v>
      </c>
      <c r="I320" t="s">
        <v>18</v>
      </c>
      <c r="J320" t="s">
        <v>31</v>
      </c>
      <c r="K320" t="s">
        <v>40</v>
      </c>
      <c r="L320">
        <v>10</v>
      </c>
      <c r="M320">
        <v>1</v>
      </c>
      <c r="N320">
        <v>1</v>
      </c>
      <c r="O320" t="s">
        <v>27</v>
      </c>
      <c r="P320" t="str">
        <f>TEXT(Table1[[#This Row],[order_date]],"yyyy-mm")</f>
        <v>2025-09</v>
      </c>
      <c r="Q320">
        <f>WEEKNUM(Table1[[#This Row],[order_date]])</f>
        <v>38</v>
      </c>
      <c r="R320">
        <f>IF(Table1[[#This Row],[order_status]]="completed",1,0)</f>
        <v>0</v>
      </c>
    </row>
    <row r="321" spans="1:18" x14ac:dyDescent="0.35">
      <c r="A321">
        <v>320</v>
      </c>
      <c r="B321" s="1">
        <v>45982</v>
      </c>
      <c r="C321">
        <v>1132</v>
      </c>
      <c r="D321" t="s">
        <v>15</v>
      </c>
      <c r="E321" t="s">
        <v>23</v>
      </c>
      <c r="F321" t="s">
        <v>30</v>
      </c>
      <c r="G321">
        <v>2</v>
      </c>
      <c r="H321">
        <v>0</v>
      </c>
      <c r="I321" t="s">
        <v>25</v>
      </c>
      <c r="J321" t="s">
        <v>31</v>
      </c>
      <c r="K321" t="s">
        <v>38</v>
      </c>
      <c r="L321">
        <v>2</v>
      </c>
      <c r="M321">
        <v>1</v>
      </c>
      <c r="N321">
        <v>0</v>
      </c>
      <c r="O321" t="s">
        <v>21</v>
      </c>
      <c r="P321" t="str">
        <f>TEXT(Table1[[#This Row],[order_date]],"yyyy-mm")</f>
        <v>2025-11</v>
      </c>
      <c r="Q321">
        <f>WEEKNUM(Table1[[#This Row],[order_date]])</f>
        <v>47</v>
      </c>
      <c r="R321">
        <f>IF(Table1[[#This Row],[order_status]]="completed",1,0)</f>
        <v>0</v>
      </c>
    </row>
    <row r="322" spans="1:18" x14ac:dyDescent="0.35">
      <c r="A322">
        <v>321</v>
      </c>
      <c r="B322" s="1">
        <v>45858</v>
      </c>
      <c r="C322">
        <v>1622</v>
      </c>
      <c r="D322" t="s">
        <v>41</v>
      </c>
      <c r="E322" t="s">
        <v>16</v>
      </c>
      <c r="F322" t="s">
        <v>24</v>
      </c>
      <c r="G322">
        <v>4</v>
      </c>
      <c r="H322">
        <v>0</v>
      </c>
      <c r="I322" t="s">
        <v>18</v>
      </c>
      <c r="J322" t="s">
        <v>31</v>
      </c>
      <c r="K322" t="s">
        <v>20</v>
      </c>
      <c r="L322">
        <v>7</v>
      </c>
      <c r="M322">
        <v>1</v>
      </c>
      <c r="N322">
        <v>0</v>
      </c>
      <c r="O322" t="s">
        <v>27</v>
      </c>
      <c r="P322" t="str">
        <f>TEXT(Table1[[#This Row],[order_date]],"yyyy-mm")</f>
        <v>2025-07</v>
      </c>
      <c r="Q322">
        <f>WEEKNUM(Table1[[#This Row],[order_date]])</f>
        <v>30</v>
      </c>
      <c r="R322">
        <f>IF(Table1[[#This Row],[order_status]]="completed",1,0)</f>
        <v>0</v>
      </c>
    </row>
    <row r="323" spans="1:18" x14ac:dyDescent="0.35">
      <c r="A323">
        <v>322</v>
      </c>
      <c r="B323" s="1">
        <v>45988</v>
      </c>
      <c r="C323">
        <v>1886</v>
      </c>
      <c r="D323" t="s">
        <v>32</v>
      </c>
      <c r="E323" t="s">
        <v>36</v>
      </c>
      <c r="F323" t="s">
        <v>30</v>
      </c>
      <c r="G323">
        <v>4</v>
      </c>
      <c r="H323">
        <v>0</v>
      </c>
      <c r="I323" t="s">
        <v>39</v>
      </c>
      <c r="J323" t="s">
        <v>37</v>
      </c>
      <c r="K323" t="s">
        <v>26</v>
      </c>
      <c r="L323">
        <v>7</v>
      </c>
      <c r="M323">
        <v>0</v>
      </c>
      <c r="N323">
        <v>0</v>
      </c>
      <c r="O323" t="s">
        <v>21</v>
      </c>
      <c r="P323" t="str">
        <f>TEXT(Table1[[#This Row],[order_date]],"yyyy-mm")</f>
        <v>2025-11</v>
      </c>
      <c r="Q323">
        <f>WEEKNUM(Table1[[#This Row],[order_date]])</f>
        <v>48</v>
      </c>
      <c r="R323">
        <f>IF(Table1[[#This Row],[order_status]]="completed",1,0)</f>
        <v>0</v>
      </c>
    </row>
    <row r="324" spans="1:18" x14ac:dyDescent="0.35">
      <c r="A324">
        <v>323</v>
      </c>
      <c r="B324" s="1">
        <v>46013</v>
      </c>
      <c r="C324">
        <v>1576</v>
      </c>
      <c r="D324" t="s">
        <v>32</v>
      </c>
      <c r="E324" t="s">
        <v>16</v>
      </c>
      <c r="F324" t="s">
        <v>34</v>
      </c>
      <c r="G324">
        <v>2</v>
      </c>
      <c r="H324">
        <v>4110</v>
      </c>
      <c r="I324" t="s">
        <v>25</v>
      </c>
      <c r="J324" t="s">
        <v>19</v>
      </c>
      <c r="K324" t="s">
        <v>40</v>
      </c>
      <c r="L324">
        <v>6</v>
      </c>
      <c r="M324">
        <v>0</v>
      </c>
      <c r="N324">
        <v>1</v>
      </c>
      <c r="O324" t="s">
        <v>27</v>
      </c>
      <c r="P324" t="str">
        <f>TEXT(Table1[[#This Row],[order_date]],"yyyy-mm")</f>
        <v>2025-12</v>
      </c>
      <c r="Q324">
        <f>WEEKNUM(Table1[[#This Row],[order_date]])</f>
        <v>52</v>
      </c>
      <c r="R324">
        <f>IF(Table1[[#This Row],[order_status]]="completed",1,0)</f>
        <v>1</v>
      </c>
    </row>
    <row r="325" spans="1:18" x14ac:dyDescent="0.35">
      <c r="A325">
        <v>324</v>
      </c>
      <c r="B325" s="1">
        <v>45855</v>
      </c>
      <c r="C325">
        <v>1177</v>
      </c>
      <c r="D325" t="s">
        <v>15</v>
      </c>
      <c r="E325" t="s">
        <v>33</v>
      </c>
      <c r="F325" t="s">
        <v>24</v>
      </c>
      <c r="G325">
        <v>1</v>
      </c>
      <c r="H325">
        <v>1915</v>
      </c>
      <c r="I325" t="s">
        <v>25</v>
      </c>
      <c r="J325" t="s">
        <v>19</v>
      </c>
      <c r="K325" t="s">
        <v>26</v>
      </c>
      <c r="L325">
        <v>2</v>
      </c>
      <c r="M325">
        <v>1</v>
      </c>
      <c r="N325">
        <v>1</v>
      </c>
      <c r="O325" t="s">
        <v>21</v>
      </c>
      <c r="P325" t="str">
        <f>TEXT(Table1[[#This Row],[order_date]],"yyyy-mm")</f>
        <v>2025-07</v>
      </c>
      <c r="Q325">
        <f>WEEKNUM(Table1[[#This Row],[order_date]])</f>
        <v>29</v>
      </c>
      <c r="R325">
        <f>IF(Table1[[#This Row],[order_status]]="completed",1,0)</f>
        <v>1</v>
      </c>
    </row>
    <row r="326" spans="1:18" x14ac:dyDescent="0.35">
      <c r="A326">
        <v>325</v>
      </c>
      <c r="B326" s="1">
        <v>45998</v>
      </c>
      <c r="C326">
        <v>1262</v>
      </c>
      <c r="D326" t="s">
        <v>15</v>
      </c>
      <c r="E326" t="s">
        <v>36</v>
      </c>
      <c r="F326" t="s">
        <v>34</v>
      </c>
      <c r="G326">
        <v>4</v>
      </c>
      <c r="H326">
        <v>0</v>
      </c>
      <c r="I326" t="s">
        <v>39</v>
      </c>
      <c r="J326" t="s">
        <v>31</v>
      </c>
      <c r="K326" t="s">
        <v>20</v>
      </c>
      <c r="L326">
        <v>5</v>
      </c>
      <c r="M326">
        <v>0</v>
      </c>
      <c r="N326">
        <v>0</v>
      </c>
      <c r="O326" t="s">
        <v>27</v>
      </c>
      <c r="P326" t="str">
        <f>TEXT(Table1[[#This Row],[order_date]],"yyyy-mm")</f>
        <v>2025-12</v>
      </c>
      <c r="Q326">
        <f>WEEKNUM(Table1[[#This Row],[order_date]])</f>
        <v>50</v>
      </c>
      <c r="R326">
        <f>IF(Table1[[#This Row],[order_status]]="completed",1,0)</f>
        <v>0</v>
      </c>
    </row>
    <row r="327" spans="1:18" x14ac:dyDescent="0.35">
      <c r="A327">
        <v>326</v>
      </c>
      <c r="B327" s="1">
        <v>46004</v>
      </c>
      <c r="C327">
        <v>1151</v>
      </c>
      <c r="D327" t="s">
        <v>22</v>
      </c>
      <c r="E327" t="s">
        <v>23</v>
      </c>
      <c r="F327" t="s">
        <v>34</v>
      </c>
      <c r="G327">
        <v>3</v>
      </c>
      <c r="H327">
        <v>0</v>
      </c>
      <c r="I327" t="s">
        <v>25</v>
      </c>
      <c r="J327" t="s">
        <v>37</v>
      </c>
      <c r="K327" t="s">
        <v>38</v>
      </c>
      <c r="L327">
        <v>8</v>
      </c>
      <c r="M327">
        <v>0</v>
      </c>
      <c r="N327">
        <v>1</v>
      </c>
      <c r="O327" t="s">
        <v>21</v>
      </c>
      <c r="P327" t="str">
        <f>TEXT(Table1[[#This Row],[order_date]],"yyyy-mm")</f>
        <v>2025-12</v>
      </c>
      <c r="Q327">
        <f>WEEKNUM(Table1[[#This Row],[order_date]])</f>
        <v>50</v>
      </c>
      <c r="R327">
        <f>IF(Table1[[#This Row],[order_status]]="completed",1,0)</f>
        <v>0</v>
      </c>
    </row>
    <row r="328" spans="1:18" x14ac:dyDescent="0.35">
      <c r="A328">
        <v>327</v>
      </c>
      <c r="B328" s="1">
        <v>45996</v>
      </c>
      <c r="C328">
        <v>1506</v>
      </c>
      <c r="D328" t="s">
        <v>15</v>
      </c>
      <c r="E328" t="s">
        <v>33</v>
      </c>
      <c r="F328" t="s">
        <v>17</v>
      </c>
      <c r="G328">
        <v>4</v>
      </c>
      <c r="H328">
        <v>0</v>
      </c>
      <c r="I328" t="s">
        <v>25</v>
      </c>
      <c r="J328" t="s">
        <v>31</v>
      </c>
      <c r="K328" t="s">
        <v>26</v>
      </c>
      <c r="L328">
        <v>6</v>
      </c>
      <c r="M328">
        <v>1</v>
      </c>
      <c r="N328">
        <v>0</v>
      </c>
      <c r="O328" t="s">
        <v>21</v>
      </c>
      <c r="P328" t="str">
        <f>TEXT(Table1[[#This Row],[order_date]],"yyyy-mm")</f>
        <v>2025-12</v>
      </c>
      <c r="Q328">
        <f>WEEKNUM(Table1[[#This Row],[order_date]])</f>
        <v>49</v>
      </c>
      <c r="R328">
        <f>IF(Table1[[#This Row],[order_status]]="completed",1,0)</f>
        <v>0</v>
      </c>
    </row>
    <row r="329" spans="1:18" x14ac:dyDescent="0.35">
      <c r="A329">
        <v>328</v>
      </c>
      <c r="B329" s="1">
        <v>45954</v>
      </c>
      <c r="C329">
        <v>1560</v>
      </c>
      <c r="D329" t="s">
        <v>41</v>
      </c>
      <c r="E329" t="s">
        <v>23</v>
      </c>
      <c r="F329" t="s">
        <v>24</v>
      </c>
      <c r="G329">
        <v>1</v>
      </c>
      <c r="H329">
        <v>4057</v>
      </c>
      <c r="I329" t="s">
        <v>35</v>
      </c>
      <c r="J329" t="s">
        <v>19</v>
      </c>
      <c r="K329" t="s">
        <v>26</v>
      </c>
      <c r="L329">
        <v>4</v>
      </c>
      <c r="M329">
        <v>0</v>
      </c>
      <c r="N329">
        <v>0</v>
      </c>
      <c r="O329" t="s">
        <v>27</v>
      </c>
      <c r="P329" t="str">
        <f>TEXT(Table1[[#This Row],[order_date]],"yyyy-mm")</f>
        <v>2025-10</v>
      </c>
      <c r="Q329">
        <f>WEEKNUM(Table1[[#This Row],[order_date]])</f>
        <v>43</v>
      </c>
      <c r="R329">
        <f>IF(Table1[[#This Row],[order_status]]="completed",1,0)</f>
        <v>1</v>
      </c>
    </row>
    <row r="330" spans="1:18" x14ac:dyDescent="0.35">
      <c r="A330">
        <v>329</v>
      </c>
      <c r="B330" s="1">
        <v>45989</v>
      </c>
      <c r="C330">
        <v>1028</v>
      </c>
      <c r="D330" t="s">
        <v>15</v>
      </c>
      <c r="E330" t="s">
        <v>23</v>
      </c>
      <c r="F330" t="s">
        <v>24</v>
      </c>
      <c r="G330">
        <v>3</v>
      </c>
      <c r="H330">
        <v>10959</v>
      </c>
      <c r="I330" t="s">
        <v>39</v>
      </c>
      <c r="J330" t="s">
        <v>19</v>
      </c>
      <c r="K330" t="s">
        <v>26</v>
      </c>
      <c r="L330">
        <v>1</v>
      </c>
      <c r="M330">
        <v>1</v>
      </c>
      <c r="N330">
        <v>0</v>
      </c>
      <c r="O330" t="s">
        <v>27</v>
      </c>
      <c r="P330" t="str">
        <f>TEXT(Table1[[#This Row],[order_date]],"yyyy-mm")</f>
        <v>2025-11</v>
      </c>
      <c r="Q330">
        <f>WEEKNUM(Table1[[#This Row],[order_date]])</f>
        <v>48</v>
      </c>
      <c r="R330">
        <f>IF(Table1[[#This Row],[order_status]]="completed",1,0)</f>
        <v>1</v>
      </c>
    </row>
    <row r="331" spans="1:18" x14ac:dyDescent="0.35">
      <c r="A331">
        <v>330</v>
      </c>
      <c r="B331" s="1">
        <v>45945</v>
      </c>
      <c r="C331">
        <v>1803</v>
      </c>
      <c r="D331" t="s">
        <v>28</v>
      </c>
      <c r="E331" t="s">
        <v>36</v>
      </c>
      <c r="F331" t="s">
        <v>30</v>
      </c>
      <c r="G331">
        <v>1</v>
      </c>
      <c r="H331">
        <v>0</v>
      </c>
      <c r="I331" t="s">
        <v>25</v>
      </c>
      <c r="J331" t="s">
        <v>37</v>
      </c>
      <c r="K331" t="s">
        <v>40</v>
      </c>
      <c r="L331">
        <v>8</v>
      </c>
      <c r="M331">
        <v>0</v>
      </c>
      <c r="N331">
        <v>0</v>
      </c>
      <c r="O331" t="s">
        <v>21</v>
      </c>
      <c r="P331" t="str">
        <f>TEXT(Table1[[#This Row],[order_date]],"yyyy-mm")</f>
        <v>2025-10</v>
      </c>
      <c r="Q331">
        <f>WEEKNUM(Table1[[#This Row],[order_date]])</f>
        <v>42</v>
      </c>
      <c r="R331">
        <f>IF(Table1[[#This Row],[order_status]]="completed",1,0)</f>
        <v>0</v>
      </c>
    </row>
    <row r="332" spans="1:18" x14ac:dyDescent="0.35">
      <c r="A332">
        <v>331</v>
      </c>
      <c r="B332" s="1">
        <v>45907</v>
      </c>
      <c r="C332">
        <v>1253</v>
      </c>
      <c r="D332" t="s">
        <v>41</v>
      </c>
      <c r="E332" t="s">
        <v>29</v>
      </c>
      <c r="F332" t="s">
        <v>34</v>
      </c>
      <c r="G332">
        <v>3</v>
      </c>
      <c r="H332">
        <v>0</v>
      </c>
      <c r="I332" t="s">
        <v>35</v>
      </c>
      <c r="J332" t="s">
        <v>31</v>
      </c>
      <c r="K332" t="s">
        <v>20</v>
      </c>
      <c r="L332">
        <v>9</v>
      </c>
      <c r="M332">
        <v>1</v>
      </c>
      <c r="N332">
        <v>0</v>
      </c>
      <c r="O332" t="s">
        <v>27</v>
      </c>
      <c r="P332" t="str">
        <f>TEXT(Table1[[#This Row],[order_date]],"yyyy-mm")</f>
        <v>2025-09</v>
      </c>
      <c r="Q332">
        <f>WEEKNUM(Table1[[#This Row],[order_date]])</f>
        <v>37</v>
      </c>
      <c r="R332">
        <f>IF(Table1[[#This Row],[order_status]]="completed",1,0)</f>
        <v>0</v>
      </c>
    </row>
    <row r="333" spans="1:18" x14ac:dyDescent="0.35">
      <c r="A333">
        <v>332</v>
      </c>
      <c r="B333" s="1">
        <v>45913</v>
      </c>
      <c r="C333">
        <v>1600</v>
      </c>
      <c r="D333" t="s">
        <v>28</v>
      </c>
      <c r="E333" t="s">
        <v>29</v>
      </c>
      <c r="F333" t="s">
        <v>17</v>
      </c>
      <c r="G333">
        <v>4</v>
      </c>
      <c r="H333">
        <v>0</v>
      </c>
      <c r="I333" t="s">
        <v>35</v>
      </c>
      <c r="J333" t="s">
        <v>37</v>
      </c>
      <c r="K333" t="s">
        <v>38</v>
      </c>
      <c r="L333">
        <v>6</v>
      </c>
      <c r="M333">
        <v>0</v>
      </c>
      <c r="N333">
        <v>0</v>
      </c>
      <c r="O333" t="s">
        <v>21</v>
      </c>
      <c r="P333" t="str">
        <f>TEXT(Table1[[#This Row],[order_date]],"yyyy-mm")</f>
        <v>2025-09</v>
      </c>
      <c r="Q333">
        <f>WEEKNUM(Table1[[#This Row],[order_date]])</f>
        <v>37</v>
      </c>
      <c r="R333">
        <f>IF(Table1[[#This Row],[order_status]]="completed",1,0)</f>
        <v>0</v>
      </c>
    </row>
    <row r="334" spans="1:18" x14ac:dyDescent="0.35">
      <c r="A334">
        <v>333</v>
      </c>
      <c r="B334" s="1">
        <v>45852</v>
      </c>
      <c r="C334">
        <v>1067</v>
      </c>
      <c r="D334" t="s">
        <v>41</v>
      </c>
      <c r="E334" t="s">
        <v>33</v>
      </c>
      <c r="F334" t="s">
        <v>34</v>
      </c>
      <c r="G334">
        <v>4</v>
      </c>
      <c r="H334">
        <v>0</v>
      </c>
      <c r="I334" t="s">
        <v>18</v>
      </c>
      <c r="J334" t="s">
        <v>31</v>
      </c>
      <c r="K334" t="s">
        <v>20</v>
      </c>
      <c r="L334">
        <v>4</v>
      </c>
      <c r="M334">
        <v>0</v>
      </c>
      <c r="N334">
        <v>1</v>
      </c>
      <c r="O334" t="s">
        <v>27</v>
      </c>
      <c r="P334" t="str">
        <f>TEXT(Table1[[#This Row],[order_date]],"yyyy-mm")</f>
        <v>2025-07</v>
      </c>
      <c r="Q334">
        <f>WEEKNUM(Table1[[#This Row],[order_date]])</f>
        <v>29</v>
      </c>
      <c r="R334">
        <f>IF(Table1[[#This Row],[order_status]]="completed",1,0)</f>
        <v>0</v>
      </c>
    </row>
    <row r="335" spans="1:18" x14ac:dyDescent="0.35">
      <c r="A335">
        <v>334</v>
      </c>
      <c r="B335" s="1">
        <v>45896</v>
      </c>
      <c r="C335">
        <v>1039</v>
      </c>
      <c r="D335" t="s">
        <v>28</v>
      </c>
      <c r="E335" t="s">
        <v>23</v>
      </c>
      <c r="F335" t="s">
        <v>34</v>
      </c>
      <c r="G335">
        <v>3</v>
      </c>
      <c r="H335">
        <v>0</v>
      </c>
      <c r="I335" t="s">
        <v>35</v>
      </c>
      <c r="J335" t="s">
        <v>31</v>
      </c>
      <c r="K335" t="s">
        <v>38</v>
      </c>
      <c r="L335">
        <v>1</v>
      </c>
      <c r="M335">
        <v>0</v>
      </c>
      <c r="N335">
        <v>0</v>
      </c>
      <c r="O335" t="s">
        <v>27</v>
      </c>
      <c r="P335" t="str">
        <f>TEXT(Table1[[#This Row],[order_date]],"yyyy-mm")</f>
        <v>2025-08</v>
      </c>
      <c r="Q335">
        <f>WEEKNUM(Table1[[#This Row],[order_date]])</f>
        <v>35</v>
      </c>
      <c r="R335">
        <f>IF(Table1[[#This Row],[order_status]]="completed",1,0)</f>
        <v>0</v>
      </c>
    </row>
    <row r="336" spans="1:18" x14ac:dyDescent="0.35">
      <c r="A336">
        <v>335</v>
      </c>
      <c r="B336" s="1">
        <v>46015</v>
      </c>
      <c r="C336">
        <v>1991</v>
      </c>
      <c r="D336" t="s">
        <v>15</v>
      </c>
      <c r="E336" t="s">
        <v>23</v>
      </c>
      <c r="F336" t="s">
        <v>30</v>
      </c>
      <c r="G336">
        <v>2</v>
      </c>
      <c r="H336">
        <v>0</v>
      </c>
      <c r="I336" t="s">
        <v>25</v>
      </c>
      <c r="J336" t="s">
        <v>37</v>
      </c>
      <c r="K336" t="s">
        <v>20</v>
      </c>
      <c r="L336">
        <v>3</v>
      </c>
      <c r="M336">
        <v>1</v>
      </c>
      <c r="N336">
        <v>1</v>
      </c>
      <c r="O336" t="s">
        <v>27</v>
      </c>
      <c r="P336" t="str">
        <f>TEXT(Table1[[#This Row],[order_date]],"yyyy-mm")</f>
        <v>2025-12</v>
      </c>
      <c r="Q336">
        <f>WEEKNUM(Table1[[#This Row],[order_date]])</f>
        <v>52</v>
      </c>
      <c r="R336">
        <f>IF(Table1[[#This Row],[order_status]]="completed",1,0)</f>
        <v>0</v>
      </c>
    </row>
    <row r="337" spans="1:18" x14ac:dyDescent="0.35">
      <c r="A337">
        <v>336</v>
      </c>
      <c r="B337" s="1">
        <v>45980</v>
      </c>
      <c r="C337">
        <v>1581</v>
      </c>
      <c r="D337" t="s">
        <v>22</v>
      </c>
      <c r="E337" t="s">
        <v>29</v>
      </c>
      <c r="F337" t="s">
        <v>17</v>
      </c>
      <c r="G337">
        <v>1</v>
      </c>
      <c r="H337">
        <v>0</v>
      </c>
      <c r="I337" t="s">
        <v>25</v>
      </c>
      <c r="J337" t="s">
        <v>37</v>
      </c>
      <c r="K337" t="s">
        <v>26</v>
      </c>
      <c r="L337">
        <v>3</v>
      </c>
      <c r="M337">
        <v>1</v>
      </c>
      <c r="N337">
        <v>1</v>
      </c>
      <c r="O337" t="s">
        <v>27</v>
      </c>
      <c r="P337" t="str">
        <f>TEXT(Table1[[#This Row],[order_date]],"yyyy-mm")</f>
        <v>2025-11</v>
      </c>
      <c r="Q337">
        <f>WEEKNUM(Table1[[#This Row],[order_date]])</f>
        <v>47</v>
      </c>
      <c r="R337">
        <f>IF(Table1[[#This Row],[order_status]]="completed",1,0)</f>
        <v>0</v>
      </c>
    </row>
    <row r="338" spans="1:18" x14ac:dyDescent="0.35">
      <c r="A338">
        <v>337</v>
      </c>
      <c r="B338" s="1">
        <v>45965</v>
      </c>
      <c r="C338">
        <v>1826</v>
      </c>
      <c r="D338" t="s">
        <v>15</v>
      </c>
      <c r="E338" t="s">
        <v>36</v>
      </c>
      <c r="F338" t="s">
        <v>24</v>
      </c>
      <c r="G338">
        <v>4</v>
      </c>
      <c r="H338">
        <v>0</v>
      </c>
      <c r="I338" t="s">
        <v>35</v>
      </c>
      <c r="J338" t="s">
        <v>37</v>
      </c>
      <c r="K338" t="s">
        <v>40</v>
      </c>
      <c r="L338">
        <v>9</v>
      </c>
      <c r="M338">
        <v>0</v>
      </c>
      <c r="N338">
        <v>1</v>
      </c>
      <c r="O338" t="s">
        <v>21</v>
      </c>
      <c r="P338" t="str">
        <f>TEXT(Table1[[#This Row],[order_date]],"yyyy-mm")</f>
        <v>2025-11</v>
      </c>
      <c r="Q338">
        <f>WEEKNUM(Table1[[#This Row],[order_date]])</f>
        <v>45</v>
      </c>
      <c r="R338">
        <f>IF(Table1[[#This Row],[order_status]]="completed",1,0)</f>
        <v>0</v>
      </c>
    </row>
    <row r="339" spans="1:18" x14ac:dyDescent="0.35">
      <c r="A339">
        <v>338</v>
      </c>
      <c r="B339" s="1">
        <v>45977</v>
      </c>
      <c r="C339">
        <v>1007</v>
      </c>
      <c r="D339" t="s">
        <v>15</v>
      </c>
      <c r="E339" t="s">
        <v>36</v>
      </c>
      <c r="F339" t="s">
        <v>17</v>
      </c>
      <c r="G339">
        <v>5</v>
      </c>
      <c r="H339">
        <v>2845</v>
      </c>
      <c r="I339" t="s">
        <v>35</v>
      </c>
      <c r="J339" t="s">
        <v>19</v>
      </c>
      <c r="K339" t="s">
        <v>20</v>
      </c>
      <c r="L339">
        <v>7</v>
      </c>
      <c r="M339">
        <v>0</v>
      </c>
      <c r="N339">
        <v>0</v>
      </c>
      <c r="O339" t="s">
        <v>21</v>
      </c>
      <c r="P339" t="str">
        <f>TEXT(Table1[[#This Row],[order_date]],"yyyy-mm")</f>
        <v>2025-11</v>
      </c>
      <c r="Q339">
        <f>WEEKNUM(Table1[[#This Row],[order_date]])</f>
        <v>47</v>
      </c>
      <c r="R339">
        <f>IF(Table1[[#This Row],[order_status]]="completed",1,0)</f>
        <v>1</v>
      </c>
    </row>
    <row r="340" spans="1:18" x14ac:dyDescent="0.35">
      <c r="A340">
        <v>339</v>
      </c>
      <c r="B340" s="1">
        <v>45881</v>
      </c>
      <c r="C340">
        <v>1439</v>
      </c>
      <c r="D340" t="s">
        <v>32</v>
      </c>
      <c r="E340" t="s">
        <v>29</v>
      </c>
      <c r="F340" t="s">
        <v>34</v>
      </c>
      <c r="G340">
        <v>1</v>
      </c>
      <c r="H340">
        <v>3538</v>
      </c>
      <c r="I340" t="s">
        <v>35</v>
      </c>
      <c r="J340" t="s">
        <v>19</v>
      </c>
      <c r="K340" t="s">
        <v>38</v>
      </c>
      <c r="L340">
        <v>3</v>
      </c>
      <c r="M340">
        <v>1</v>
      </c>
      <c r="N340">
        <v>0</v>
      </c>
      <c r="O340" t="s">
        <v>21</v>
      </c>
      <c r="P340" t="str">
        <f>TEXT(Table1[[#This Row],[order_date]],"yyyy-mm")</f>
        <v>2025-08</v>
      </c>
      <c r="Q340">
        <f>WEEKNUM(Table1[[#This Row],[order_date]])</f>
        <v>33</v>
      </c>
      <c r="R340">
        <f>IF(Table1[[#This Row],[order_status]]="completed",1,0)</f>
        <v>1</v>
      </c>
    </row>
    <row r="341" spans="1:18" x14ac:dyDescent="0.35">
      <c r="A341">
        <v>340</v>
      </c>
      <c r="B341" s="1">
        <v>46009</v>
      </c>
      <c r="C341">
        <v>1350</v>
      </c>
      <c r="D341" t="s">
        <v>41</v>
      </c>
      <c r="E341" t="s">
        <v>29</v>
      </c>
      <c r="F341" t="s">
        <v>30</v>
      </c>
      <c r="G341">
        <v>4</v>
      </c>
      <c r="H341">
        <v>4412</v>
      </c>
      <c r="I341" t="s">
        <v>39</v>
      </c>
      <c r="J341" t="s">
        <v>19</v>
      </c>
      <c r="K341" t="s">
        <v>26</v>
      </c>
      <c r="L341">
        <v>9</v>
      </c>
      <c r="M341">
        <v>1</v>
      </c>
      <c r="N341">
        <v>0</v>
      </c>
      <c r="O341" t="s">
        <v>21</v>
      </c>
      <c r="P341" t="str">
        <f>TEXT(Table1[[#This Row],[order_date]],"yyyy-mm")</f>
        <v>2025-12</v>
      </c>
      <c r="Q341">
        <f>WEEKNUM(Table1[[#This Row],[order_date]])</f>
        <v>51</v>
      </c>
      <c r="R341">
        <f>IF(Table1[[#This Row],[order_status]]="completed",1,0)</f>
        <v>1</v>
      </c>
    </row>
    <row r="342" spans="1:18" x14ac:dyDescent="0.35">
      <c r="A342">
        <v>341</v>
      </c>
      <c r="B342" s="1">
        <v>45947</v>
      </c>
      <c r="C342">
        <v>1007</v>
      </c>
      <c r="D342" t="s">
        <v>15</v>
      </c>
      <c r="E342" t="s">
        <v>36</v>
      </c>
      <c r="F342" t="s">
        <v>17</v>
      </c>
      <c r="G342">
        <v>3</v>
      </c>
      <c r="H342">
        <v>4008</v>
      </c>
      <c r="I342" t="s">
        <v>25</v>
      </c>
      <c r="J342" t="s">
        <v>19</v>
      </c>
      <c r="K342" t="s">
        <v>40</v>
      </c>
      <c r="L342">
        <v>10</v>
      </c>
      <c r="M342">
        <v>0</v>
      </c>
      <c r="N342">
        <v>0</v>
      </c>
      <c r="O342" t="s">
        <v>21</v>
      </c>
      <c r="P342" t="str">
        <f>TEXT(Table1[[#This Row],[order_date]],"yyyy-mm")</f>
        <v>2025-10</v>
      </c>
      <c r="Q342">
        <f>WEEKNUM(Table1[[#This Row],[order_date]])</f>
        <v>42</v>
      </c>
      <c r="R342">
        <f>IF(Table1[[#This Row],[order_status]]="completed",1,0)</f>
        <v>1</v>
      </c>
    </row>
    <row r="343" spans="1:18" x14ac:dyDescent="0.35">
      <c r="A343">
        <v>342</v>
      </c>
      <c r="B343" s="1">
        <v>45891</v>
      </c>
      <c r="C343">
        <v>1189</v>
      </c>
      <c r="D343" t="s">
        <v>41</v>
      </c>
      <c r="E343" t="s">
        <v>33</v>
      </c>
      <c r="F343" t="s">
        <v>24</v>
      </c>
      <c r="G343">
        <v>4</v>
      </c>
      <c r="H343">
        <v>12644</v>
      </c>
      <c r="I343" t="s">
        <v>25</v>
      </c>
      <c r="J343" t="s">
        <v>19</v>
      </c>
      <c r="K343" t="s">
        <v>26</v>
      </c>
      <c r="L343">
        <v>4</v>
      </c>
      <c r="M343">
        <v>0</v>
      </c>
      <c r="N343">
        <v>1</v>
      </c>
      <c r="O343" t="s">
        <v>27</v>
      </c>
      <c r="P343" t="str">
        <f>TEXT(Table1[[#This Row],[order_date]],"yyyy-mm")</f>
        <v>2025-08</v>
      </c>
      <c r="Q343">
        <f>WEEKNUM(Table1[[#This Row],[order_date]])</f>
        <v>34</v>
      </c>
      <c r="R343">
        <f>IF(Table1[[#This Row],[order_status]]="completed",1,0)</f>
        <v>1</v>
      </c>
    </row>
    <row r="344" spans="1:18" x14ac:dyDescent="0.35">
      <c r="A344">
        <v>343</v>
      </c>
      <c r="B344" s="1">
        <v>45871</v>
      </c>
      <c r="C344">
        <v>1734</v>
      </c>
      <c r="D344" t="s">
        <v>22</v>
      </c>
      <c r="E344" t="s">
        <v>23</v>
      </c>
      <c r="F344" t="s">
        <v>30</v>
      </c>
      <c r="G344">
        <v>4</v>
      </c>
      <c r="H344">
        <v>19256</v>
      </c>
      <c r="I344" t="s">
        <v>18</v>
      </c>
      <c r="J344" t="s">
        <v>19</v>
      </c>
      <c r="K344" t="s">
        <v>40</v>
      </c>
      <c r="L344">
        <v>9</v>
      </c>
      <c r="M344">
        <v>1</v>
      </c>
      <c r="N344">
        <v>1</v>
      </c>
      <c r="O344" t="s">
        <v>27</v>
      </c>
      <c r="P344" t="str">
        <f>TEXT(Table1[[#This Row],[order_date]],"yyyy-mm")</f>
        <v>2025-08</v>
      </c>
      <c r="Q344">
        <f>WEEKNUM(Table1[[#This Row],[order_date]])</f>
        <v>31</v>
      </c>
      <c r="R344">
        <f>IF(Table1[[#This Row],[order_status]]="completed",1,0)</f>
        <v>1</v>
      </c>
    </row>
    <row r="345" spans="1:18" x14ac:dyDescent="0.35">
      <c r="A345">
        <v>344</v>
      </c>
      <c r="B345" s="1">
        <v>45948</v>
      </c>
      <c r="C345">
        <v>1815</v>
      </c>
      <c r="D345" t="s">
        <v>15</v>
      </c>
      <c r="E345" t="s">
        <v>36</v>
      </c>
      <c r="F345" t="s">
        <v>34</v>
      </c>
      <c r="G345">
        <v>3</v>
      </c>
      <c r="H345">
        <v>0</v>
      </c>
      <c r="I345" t="s">
        <v>39</v>
      </c>
      <c r="J345" t="s">
        <v>37</v>
      </c>
      <c r="K345" t="s">
        <v>26</v>
      </c>
      <c r="L345">
        <v>9</v>
      </c>
      <c r="M345">
        <v>1</v>
      </c>
      <c r="N345">
        <v>0</v>
      </c>
      <c r="O345" t="s">
        <v>27</v>
      </c>
      <c r="P345" t="str">
        <f>TEXT(Table1[[#This Row],[order_date]],"yyyy-mm")</f>
        <v>2025-10</v>
      </c>
      <c r="Q345">
        <f>WEEKNUM(Table1[[#This Row],[order_date]])</f>
        <v>42</v>
      </c>
      <c r="R345">
        <f>IF(Table1[[#This Row],[order_status]]="completed",1,0)</f>
        <v>0</v>
      </c>
    </row>
    <row r="346" spans="1:18" x14ac:dyDescent="0.35">
      <c r="A346">
        <v>345</v>
      </c>
      <c r="B346" s="1">
        <v>45965</v>
      </c>
      <c r="C346">
        <v>1744</v>
      </c>
      <c r="D346" t="s">
        <v>28</v>
      </c>
      <c r="E346" t="s">
        <v>36</v>
      </c>
      <c r="F346" t="s">
        <v>17</v>
      </c>
      <c r="G346">
        <v>4</v>
      </c>
      <c r="H346">
        <v>0</v>
      </c>
      <c r="I346" t="s">
        <v>39</v>
      </c>
      <c r="J346" t="s">
        <v>31</v>
      </c>
      <c r="K346" t="s">
        <v>38</v>
      </c>
      <c r="L346">
        <v>6</v>
      </c>
      <c r="M346">
        <v>1</v>
      </c>
      <c r="N346">
        <v>1</v>
      </c>
      <c r="O346" t="s">
        <v>27</v>
      </c>
      <c r="P346" t="str">
        <f>TEXT(Table1[[#This Row],[order_date]],"yyyy-mm")</f>
        <v>2025-11</v>
      </c>
      <c r="Q346">
        <f>WEEKNUM(Table1[[#This Row],[order_date]])</f>
        <v>45</v>
      </c>
      <c r="R346">
        <f>IF(Table1[[#This Row],[order_status]]="completed",1,0)</f>
        <v>0</v>
      </c>
    </row>
    <row r="347" spans="1:18" x14ac:dyDescent="0.35">
      <c r="A347">
        <v>346</v>
      </c>
      <c r="B347" s="1">
        <v>45948</v>
      </c>
      <c r="C347">
        <v>1854</v>
      </c>
      <c r="D347" t="s">
        <v>41</v>
      </c>
      <c r="E347" t="s">
        <v>16</v>
      </c>
      <c r="F347" t="s">
        <v>34</v>
      </c>
      <c r="G347">
        <v>5</v>
      </c>
      <c r="H347">
        <v>0</v>
      </c>
      <c r="I347" t="s">
        <v>25</v>
      </c>
      <c r="J347" t="s">
        <v>37</v>
      </c>
      <c r="K347" t="s">
        <v>26</v>
      </c>
      <c r="L347">
        <v>7</v>
      </c>
      <c r="M347">
        <v>1</v>
      </c>
      <c r="N347">
        <v>0</v>
      </c>
      <c r="O347" t="s">
        <v>27</v>
      </c>
      <c r="P347" t="str">
        <f>TEXT(Table1[[#This Row],[order_date]],"yyyy-mm")</f>
        <v>2025-10</v>
      </c>
      <c r="Q347">
        <f>WEEKNUM(Table1[[#This Row],[order_date]])</f>
        <v>42</v>
      </c>
      <c r="R347">
        <f>IF(Table1[[#This Row],[order_status]]="completed",1,0)</f>
        <v>0</v>
      </c>
    </row>
    <row r="348" spans="1:18" x14ac:dyDescent="0.35">
      <c r="A348">
        <v>347</v>
      </c>
      <c r="B348" s="1">
        <v>45904</v>
      </c>
      <c r="C348">
        <v>1532</v>
      </c>
      <c r="D348" t="s">
        <v>32</v>
      </c>
      <c r="E348" t="s">
        <v>33</v>
      </c>
      <c r="F348" t="s">
        <v>34</v>
      </c>
      <c r="G348">
        <v>2</v>
      </c>
      <c r="H348">
        <v>0</v>
      </c>
      <c r="I348" t="s">
        <v>35</v>
      </c>
      <c r="J348" t="s">
        <v>31</v>
      </c>
      <c r="K348" t="s">
        <v>40</v>
      </c>
      <c r="L348">
        <v>7</v>
      </c>
      <c r="M348">
        <v>0</v>
      </c>
      <c r="N348">
        <v>1</v>
      </c>
      <c r="O348" t="s">
        <v>21</v>
      </c>
      <c r="P348" t="str">
        <f>TEXT(Table1[[#This Row],[order_date]],"yyyy-mm")</f>
        <v>2025-09</v>
      </c>
      <c r="Q348">
        <f>WEEKNUM(Table1[[#This Row],[order_date]])</f>
        <v>36</v>
      </c>
      <c r="R348">
        <f>IF(Table1[[#This Row],[order_status]]="completed",1,0)</f>
        <v>0</v>
      </c>
    </row>
    <row r="349" spans="1:18" x14ac:dyDescent="0.35">
      <c r="A349">
        <v>348</v>
      </c>
      <c r="B349" s="1">
        <v>45982</v>
      </c>
      <c r="C349">
        <v>1143</v>
      </c>
      <c r="D349" t="s">
        <v>41</v>
      </c>
      <c r="E349" t="s">
        <v>36</v>
      </c>
      <c r="F349" t="s">
        <v>30</v>
      </c>
      <c r="G349">
        <v>3</v>
      </c>
      <c r="H349">
        <v>6693</v>
      </c>
      <c r="I349" t="s">
        <v>25</v>
      </c>
      <c r="J349" t="s">
        <v>19</v>
      </c>
      <c r="K349" t="s">
        <v>40</v>
      </c>
      <c r="L349">
        <v>9</v>
      </c>
      <c r="M349">
        <v>1</v>
      </c>
      <c r="N349">
        <v>0</v>
      </c>
      <c r="O349" t="s">
        <v>27</v>
      </c>
      <c r="P349" t="str">
        <f>TEXT(Table1[[#This Row],[order_date]],"yyyy-mm")</f>
        <v>2025-11</v>
      </c>
      <c r="Q349">
        <f>WEEKNUM(Table1[[#This Row],[order_date]])</f>
        <v>47</v>
      </c>
      <c r="R349">
        <f>IF(Table1[[#This Row],[order_status]]="completed",1,0)</f>
        <v>1</v>
      </c>
    </row>
    <row r="350" spans="1:18" x14ac:dyDescent="0.35">
      <c r="A350">
        <v>349</v>
      </c>
      <c r="B350" s="1">
        <v>45996</v>
      </c>
      <c r="C350">
        <v>1155</v>
      </c>
      <c r="D350" t="s">
        <v>22</v>
      </c>
      <c r="E350" t="s">
        <v>23</v>
      </c>
      <c r="F350" t="s">
        <v>24</v>
      </c>
      <c r="G350">
        <v>1</v>
      </c>
      <c r="H350">
        <v>0</v>
      </c>
      <c r="I350" t="s">
        <v>35</v>
      </c>
      <c r="J350" t="s">
        <v>37</v>
      </c>
      <c r="K350" t="s">
        <v>38</v>
      </c>
      <c r="L350">
        <v>2</v>
      </c>
      <c r="M350">
        <v>0</v>
      </c>
      <c r="N350">
        <v>0</v>
      </c>
      <c r="O350" t="s">
        <v>21</v>
      </c>
      <c r="P350" t="str">
        <f>TEXT(Table1[[#This Row],[order_date]],"yyyy-mm")</f>
        <v>2025-12</v>
      </c>
      <c r="Q350">
        <f>WEEKNUM(Table1[[#This Row],[order_date]])</f>
        <v>49</v>
      </c>
      <c r="R350">
        <f>IF(Table1[[#This Row],[order_status]]="completed",1,0)</f>
        <v>0</v>
      </c>
    </row>
    <row r="351" spans="1:18" x14ac:dyDescent="0.35">
      <c r="A351">
        <v>350</v>
      </c>
      <c r="B351" s="1">
        <v>45958</v>
      </c>
      <c r="C351">
        <v>1752</v>
      </c>
      <c r="D351" t="s">
        <v>41</v>
      </c>
      <c r="E351" t="s">
        <v>23</v>
      </c>
      <c r="F351" t="s">
        <v>24</v>
      </c>
      <c r="G351">
        <v>2</v>
      </c>
      <c r="H351">
        <v>0</v>
      </c>
      <c r="I351" t="s">
        <v>39</v>
      </c>
      <c r="J351" t="s">
        <v>37</v>
      </c>
      <c r="K351" t="s">
        <v>40</v>
      </c>
      <c r="L351">
        <v>8</v>
      </c>
      <c r="M351">
        <v>0</v>
      </c>
      <c r="N351">
        <v>1</v>
      </c>
      <c r="O351" t="s">
        <v>21</v>
      </c>
      <c r="P351" t="str">
        <f>TEXT(Table1[[#This Row],[order_date]],"yyyy-mm")</f>
        <v>2025-10</v>
      </c>
      <c r="Q351">
        <f>WEEKNUM(Table1[[#This Row],[order_date]])</f>
        <v>44</v>
      </c>
      <c r="R351">
        <f>IF(Table1[[#This Row],[order_status]]="completed",1,0)</f>
        <v>0</v>
      </c>
    </row>
    <row r="352" spans="1:18" x14ac:dyDescent="0.35">
      <c r="A352">
        <v>351</v>
      </c>
      <c r="B352" s="1">
        <v>45965</v>
      </c>
      <c r="C352">
        <v>1771</v>
      </c>
      <c r="D352" t="s">
        <v>22</v>
      </c>
      <c r="E352" t="s">
        <v>16</v>
      </c>
      <c r="F352" t="s">
        <v>34</v>
      </c>
      <c r="G352">
        <v>5</v>
      </c>
      <c r="H352">
        <v>0</v>
      </c>
      <c r="I352" t="s">
        <v>39</v>
      </c>
      <c r="J352" t="s">
        <v>37</v>
      </c>
      <c r="K352" t="s">
        <v>38</v>
      </c>
      <c r="L352">
        <v>8</v>
      </c>
      <c r="M352">
        <v>0</v>
      </c>
      <c r="N352">
        <v>1</v>
      </c>
      <c r="O352" t="s">
        <v>21</v>
      </c>
      <c r="P352" t="str">
        <f>TEXT(Table1[[#This Row],[order_date]],"yyyy-mm")</f>
        <v>2025-11</v>
      </c>
      <c r="Q352">
        <f>WEEKNUM(Table1[[#This Row],[order_date]])</f>
        <v>45</v>
      </c>
      <c r="R352">
        <f>IF(Table1[[#This Row],[order_status]]="completed",1,0)</f>
        <v>0</v>
      </c>
    </row>
    <row r="353" spans="1:18" x14ac:dyDescent="0.35">
      <c r="A353">
        <v>352</v>
      </c>
      <c r="B353" s="1">
        <v>45879</v>
      </c>
      <c r="C353">
        <v>1798</v>
      </c>
      <c r="D353" t="s">
        <v>32</v>
      </c>
      <c r="E353" t="s">
        <v>29</v>
      </c>
      <c r="F353" t="s">
        <v>30</v>
      </c>
      <c r="G353">
        <v>1</v>
      </c>
      <c r="H353">
        <v>0</v>
      </c>
      <c r="I353" t="s">
        <v>18</v>
      </c>
      <c r="J353" t="s">
        <v>37</v>
      </c>
      <c r="K353" t="s">
        <v>26</v>
      </c>
      <c r="L353">
        <v>10</v>
      </c>
      <c r="M353">
        <v>0</v>
      </c>
      <c r="N353">
        <v>0</v>
      </c>
      <c r="O353" t="s">
        <v>21</v>
      </c>
      <c r="P353" t="str">
        <f>TEXT(Table1[[#This Row],[order_date]],"yyyy-mm")</f>
        <v>2025-08</v>
      </c>
      <c r="Q353">
        <f>WEEKNUM(Table1[[#This Row],[order_date]])</f>
        <v>33</v>
      </c>
      <c r="R353">
        <f>IF(Table1[[#This Row],[order_status]]="completed",1,0)</f>
        <v>0</v>
      </c>
    </row>
    <row r="354" spans="1:18" x14ac:dyDescent="0.35">
      <c r="A354">
        <v>353</v>
      </c>
      <c r="B354" s="1">
        <v>45984</v>
      </c>
      <c r="C354">
        <v>1445</v>
      </c>
      <c r="D354" t="s">
        <v>28</v>
      </c>
      <c r="E354" t="s">
        <v>33</v>
      </c>
      <c r="F354" t="s">
        <v>17</v>
      </c>
      <c r="G354">
        <v>3</v>
      </c>
      <c r="H354">
        <v>5478</v>
      </c>
      <c r="I354" t="s">
        <v>35</v>
      </c>
      <c r="J354" t="s">
        <v>19</v>
      </c>
      <c r="K354" t="s">
        <v>26</v>
      </c>
      <c r="L354">
        <v>7</v>
      </c>
      <c r="M354">
        <v>1</v>
      </c>
      <c r="N354">
        <v>1</v>
      </c>
      <c r="O354" t="s">
        <v>27</v>
      </c>
      <c r="P354" t="str">
        <f>TEXT(Table1[[#This Row],[order_date]],"yyyy-mm")</f>
        <v>2025-11</v>
      </c>
      <c r="Q354">
        <f>WEEKNUM(Table1[[#This Row],[order_date]])</f>
        <v>48</v>
      </c>
      <c r="R354">
        <f>IF(Table1[[#This Row],[order_status]]="completed",1,0)</f>
        <v>1</v>
      </c>
    </row>
    <row r="355" spans="1:18" x14ac:dyDescent="0.35">
      <c r="A355">
        <v>354</v>
      </c>
      <c r="B355" s="1">
        <v>45980</v>
      </c>
      <c r="C355">
        <v>1636</v>
      </c>
      <c r="D355" t="s">
        <v>15</v>
      </c>
      <c r="E355" t="s">
        <v>29</v>
      </c>
      <c r="F355" t="s">
        <v>24</v>
      </c>
      <c r="G355">
        <v>2</v>
      </c>
      <c r="H355">
        <v>0</v>
      </c>
      <c r="I355" t="s">
        <v>18</v>
      </c>
      <c r="J355" t="s">
        <v>31</v>
      </c>
      <c r="K355" t="s">
        <v>38</v>
      </c>
      <c r="L355">
        <v>4</v>
      </c>
      <c r="M355">
        <v>0</v>
      </c>
      <c r="N355">
        <v>1</v>
      </c>
      <c r="O355" t="s">
        <v>21</v>
      </c>
      <c r="P355" t="str">
        <f>TEXT(Table1[[#This Row],[order_date]],"yyyy-mm")</f>
        <v>2025-11</v>
      </c>
      <c r="Q355">
        <f>WEEKNUM(Table1[[#This Row],[order_date]])</f>
        <v>47</v>
      </c>
      <c r="R355">
        <f>IF(Table1[[#This Row],[order_status]]="completed",1,0)</f>
        <v>0</v>
      </c>
    </row>
    <row r="356" spans="1:18" x14ac:dyDescent="0.35">
      <c r="A356">
        <v>355</v>
      </c>
      <c r="B356" s="1">
        <v>46012</v>
      </c>
      <c r="C356">
        <v>1609</v>
      </c>
      <c r="D356" t="s">
        <v>15</v>
      </c>
      <c r="E356" t="s">
        <v>16</v>
      </c>
      <c r="F356" t="s">
        <v>17</v>
      </c>
      <c r="G356">
        <v>5</v>
      </c>
      <c r="H356">
        <v>0</v>
      </c>
      <c r="I356" t="s">
        <v>35</v>
      </c>
      <c r="J356" t="s">
        <v>37</v>
      </c>
      <c r="K356" t="s">
        <v>40</v>
      </c>
      <c r="L356">
        <v>10</v>
      </c>
      <c r="M356">
        <v>0</v>
      </c>
      <c r="N356">
        <v>1</v>
      </c>
      <c r="O356" t="s">
        <v>21</v>
      </c>
      <c r="P356" t="str">
        <f>TEXT(Table1[[#This Row],[order_date]],"yyyy-mm")</f>
        <v>2025-12</v>
      </c>
      <c r="Q356">
        <f>WEEKNUM(Table1[[#This Row],[order_date]])</f>
        <v>52</v>
      </c>
      <c r="R356">
        <f>IF(Table1[[#This Row],[order_status]]="completed",1,0)</f>
        <v>0</v>
      </c>
    </row>
    <row r="357" spans="1:18" x14ac:dyDescent="0.35">
      <c r="A357">
        <v>356</v>
      </c>
      <c r="B357" s="1">
        <v>45858</v>
      </c>
      <c r="C357">
        <v>1246</v>
      </c>
      <c r="D357" t="s">
        <v>28</v>
      </c>
      <c r="E357" t="s">
        <v>36</v>
      </c>
      <c r="F357" t="s">
        <v>30</v>
      </c>
      <c r="G357">
        <v>2</v>
      </c>
      <c r="H357">
        <v>0</v>
      </c>
      <c r="I357" t="s">
        <v>39</v>
      </c>
      <c r="J357" t="s">
        <v>37</v>
      </c>
      <c r="K357" t="s">
        <v>20</v>
      </c>
      <c r="L357">
        <v>9</v>
      </c>
      <c r="M357">
        <v>0</v>
      </c>
      <c r="N357">
        <v>1</v>
      </c>
      <c r="O357" t="s">
        <v>27</v>
      </c>
      <c r="P357" t="str">
        <f>TEXT(Table1[[#This Row],[order_date]],"yyyy-mm")</f>
        <v>2025-07</v>
      </c>
      <c r="Q357">
        <f>WEEKNUM(Table1[[#This Row],[order_date]])</f>
        <v>30</v>
      </c>
      <c r="R357">
        <f>IF(Table1[[#This Row],[order_status]]="completed",1,0)</f>
        <v>0</v>
      </c>
    </row>
    <row r="358" spans="1:18" x14ac:dyDescent="0.35">
      <c r="A358">
        <v>357</v>
      </c>
      <c r="B358" s="1">
        <v>46030</v>
      </c>
      <c r="C358">
        <v>1924</v>
      </c>
      <c r="D358" t="s">
        <v>41</v>
      </c>
      <c r="E358" t="s">
        <v>16</v>
      </c>
      <c r="F358" t="s">
        <v>34</v>
      </c>
      <c r="G358">
        <v>1</v>
      </c>
      <c r="H358">
        <v>1959</v>
      </c>
      <c r="I358" t="s">
        <v>18</v>
      </c>
      <c r="J358" t="s">
        <v>19</v>
      </c>
      <c r="K358" t="s">
        <v>38</v>
      </c>
      <c r="L358">
        <v>6</v>
      </c>
      <c r="M358">
        <v>1</v>
      </c>
      <c r="N358">
        <v>1</v>
      </c>
      <c r="O358" t="s">
        <v>21</v>
      </c>
      <c r="P358" t="str">
        <f>TEXT(Table1[[#This Row],[order_date]],"yyyy-mm")</f>
        <v>2026-01</v>
      </c>
      <c r="Q358">
        <f>WEEKNUM(Table1[[#This Row],[order_date]])</f>
        <v>2</v>
      </c>
      <c r="R358">
        <f>IF(Table1[[#This Row],[order_status]]="completed",1,0)</f>
        <v>1</v>
      </c>
    </row>
    <row r="359" spans="1:18" x14ac:dyDescent="0.35">
      <c r="A359">
        <v>358</v>
      </c>
      <c r="B359" s="1">
        <v>45939</v>
      </c>
      <c r="C359">
        <v>1154</v>
      </c>
      <c r="D359" t="s">
        <v>22</v>
      </c>
      <c r="E359" t="s">
        <v>29</v>
      </c>
      <c r="F359" t="s">
        <v>30</v>
      </c>
      <c r="G359">
        <v>1</v>
      </c>
      <c r="H359">
        <v>0</v>
      </c>
      <c r="I359" t="s">
        <v>35</v>
      </c>
      <c r="J359" t="s">
        <v>31</v>
      </c>
      <c r="K359" t="s">
        <v>40</v>
      </c>
      <c r="L359">
        <v>3</v>
      </c>
      <c r="M359">
        <v>0</v>
      </c>
      <c r="N359">
        <v>1</v>
      </c>
      <c r="O359" t="s">
        <v>21</v>
      </c>
      <c r="P359" t="str">
        <f>TEXT(Table1[[#This Row],[order_date]],"yyyy-mm")</f>
        <v>2025-10</v>
      </c>
      <c r="Q359">
        <f>WEEKNUM(Table1[[#This Row],[order_date]])</f>
        <v>41</v>
      </c>
      <c r="R359">
        <f>IF(Table1[[#This Row],[order_status]]="completed",1,0)</f>
        <v>0</v>
      </c>
    </row>
    <row r="360" spans="1:18" x14ac:dyDescent="0.35">
      <c r="A360">
        <v>359</v>
      </c>
      <c r="B360" s="1">
        <v>45959</v>
      </c>
      <c r="C360">
        <v>1985</v>
      </c>
      <c r="D360" t="s">
        <v>28</v>
      </c>
      <c r="E360" t="s">
        <v>16</v>
      </c>
      <c r="F360" t="s">
        <v>34</v>
      </c>
      <c r="G360">
        <v>1</v>
      </c>
      <c r="H360">
        <v>0</v>
      </c>
      <c r="I360" t="s">
        <v>35</v>
      </c>
      <c r="J360" t="s">
        <v>31</v>
      </c>
      <c r="K360" t="s">
        <v>26</v>
      </c>
      <c r="L360">
        <v>10</v>
      </c>
      <c r="M360">
        <v>0</v>
      </c>
      <c r="N360">
        <v>1</v>
      </c>
      <c r="O360" t="s">
        <v>21</v>
      </c>
      <c r="P360" t="str">
        <f>TEXT(Table1[[#This Row],[order_date]],"yyyy-mm")</f>
        <v>2025-10</v>
      </c>
      <c r="Q360">
        <f>WEEKNUM(Table1[[#This Row],[order_date]])</f>
        <v>44</v>
      </c>
      <c r="R360">
        <f>IF(Table1[[#This Row],[order_status]]="completed",1,0)</f>
        <v>0</v>
      </c>
    </row>
    <row r="361" spans="1:18" x14ac:dyDescent="0.35">
      <c r="A361">
        <v>360</v>
      </c>
      <c r="B361" s="1">
        <v>45972</v>
      </c>
      <c r="C361">
        <v>1802</v>
      </c>
      <c r="D361" t="s">
        <v>32</v>
      </c>
      <c r="E361" t="s">
        <v>36</v>
      </c>
      <c r="F361" t="s">
        <v>30</v>
      </c>
      <c r="G361">
        <v>1</v>
      </c>
      <c r="H361">
        <v>0</v>
      </c>
      <c r="I361" t="s">
        <v>39</v>
      </c>
      <c r="J361" t="s">
        <v>37</v>
      </c>
      <c r="K361" t="s">
        <v>38</v>
      </c>
      <c r="L361">
        <v>10</v>
      </c>
      <c r="M361">
        <v>0</v>
      </c>
      <c r="N361">
        <v>1</v>
      </c>
      <c r="O361" t="s">
        <v>21</v>
      </c>
      <c r="P361" t="str">
        <f>TEXT(Table1[[#This Row],[order_date]],"yyyy-mm")</f>
        <v>2025-11</v>
      </c>
      <c r="Q361">
        <f>WEEKNUM(Table1[[#This Row],[order_date]])</f>
        <v>46</v>
      </c>
      <c r="R361">
        <f>IF(Table1[[#This Row],[order_status]]="completed",1,0)</f>
        <v>0</v>
      </c>
    </row>
    <row r="362" spans="1:18" x14ac:dyDescent="0.35">
      <c r="A362">
        <v>361</v>
      </c>
      <c r="B362" s="1">
        <v>46016</v>
      </c>
      <c r="C362">
        <v>1210</v>
      </c>
      <c r="D362" t="s">
        <v>32</v>
      </c>
      <c r="E362" t="s">
        <v>36</v>
      </c>
      <c r="F362" t="s">
        <v>34</v>
      </c>
      <c r="G362">
        <v>4</v>
      </c>
      <c r="H362">
        <v>0</v>
      </c>
      <c r="I362" t="s">
        <v>39</v>
      </c>
      <c r="J362" t="s">
        <v>37</v>
      </c>
      <c r="K362" t="s">
        <v>40</v>
      </c>
      <c r="L362">
        <v>2</v>
      </c>
      <c r="M362">
        <v>1</v>
      </c>
      <c r="N362">
        <v>0</v>
      </c>
      <c r="O362" t="s">
        <v>21</v>
      </c>
      <c r="P362" t="str">
        <f>TEXT(Table1[[#This Row],[order_date]],"yyyy-mm")</f>
        <v>2025-12</v>
      </c>
      <c r="Q362">
        <f>WEEKNUM(Table1[[#This Row],[order_date]])</f>
        <v>52</v>
      </c>
      <c r="R362">
        <f>IF(Table1[[#This Row],[order_status]]="completed",1,0)</f>
        <v>0</v>
      </c>
    </row>
    <row r="363" spans="1:18" x14ac:dyDescent="0.35">
      <c r="A363">
        <v>362</v>
      </c>
      <c r="B363" s="1">
        <v>45997</v>
      </c>
      <c r="C363">
        <v>1888</v>
      </c>
      <c r="D363" t="s">
        <v>32</v>
      </c>
      <c r="E363" t="s">
        <v>29</v>
      </c>
      <c r="F363" t="s">
        <v>24</v>
      </c>
      <c r="G363">
        <v>1</v>
      </c>
      <c r="H363">
        <v>1034</v>
      </c>
      <c r="I363" t="s">
        <v>35</v>
      </c>
      <c r="J363" t="s">
        <v>19</v>
      </c>
      <c r="K363" t="s">
        <v>26</v>
      </c>
      <c r="L363">
        <v>10</v>
      </c>
      <c r="M363">
        <v>0</v>
      </c>
      <c r="N363">
        <v>1</v>
      </c>
      <c r="O363" t="s">
        <v>27</v>
      </c>
      <c r="P363" t="str">
        <f>TEXT(Table1[[#This Row],[order_date]],"yyyy-mm")</f>
        <v>2025-12</v>
      </c>
      <c r="Q363">
        <f>WEEKNUM(Table1[[#This Row],[order_date]])</f>
        <v>49</v>
      </c>
      <c r="R363">
        <f>IF(Table1[[#This Row],[order_status]]="completed",1,0)</f>
        <v>1</v>
      </c>
    </row>
    <row r="364" spans="1:18" x14ac:dyDescent="0.35">
      <c r="A364">
        <v>363</v>
      </c>
      <c r="B364" s="1">
        <v>45859</v>
      </c>
      <c r="C364">
        <v>1423</v>
      </c>
      <c r="D364" t="s">
        <v>41</v>
      </c>
      <c r="E364" t="s">
        <v>16</v>
      </c>
      <c r="F364" t="s">
        <v>34</v>
      </c>
      <c r="G364">
        <v>3</v>
      </c>
      <c r="H364">
        <v>0</v>
      </c>
      <c r="I364" t="s">
        <v>25</v>
      </c>
      <c r="J364" t="s">
        <v>37</v>
      </c>
      <c r="K364" t="s">
        <v>38</v>
      </c>
      <c r="L364">
        <v>6</v>
      </c>
      <c r="M364">
        <v>1</v>
      </c>
      <c r="N364">
        <v>0</v>
      </c>
      <c r="O364" t="s">
        <v>27</v>
      </c>
      <c r="P364" t="str">
        <f>TEXT(Table1[[#This Row],[order_date]],"yyyy-mm")</f>
        <v>2025-07</v>
      </c>
      <c r="Q364">
        <f>WEEKNUM(Table1[[#This Row],[order_date]])</f>
        <v>30</v>
      </c>
      <c r="R364">
        <f>IF(Table1[[#This Row],[order_status]]="completed",1,0)</f>
        <v>0</v>
      </c>
    </row>
    <row r="365" spans="1:18" x14ac:dyDescent="0.35">
      <c r="A365">
        <v>364</v>
      </c>
      <c r="B365" s="1">
        <v>45989</v>
      </c>
      <c r="C365">
        <v>1657</v>
      </c>
      <c r="D365" t="s">
        <v>22</v>
      </c>
      <c r="E365" t="s">
        <v>16</v>
      </c>
      <c r="F365" t="s">
        <v>30</v>
      </c>
      <c r="G365">
        <v>2</v>
      </c>
      <c r="H365">
        <v>0</v>
      </c>
      <c r="I365" t="s">
        <v>25</v>
      </c>
      <c r="J365" t="s">
        <v>37</v>
      </c>
      <c r="K365" t="s">
        <v>40</v>
      </c>
      <c r="L365">
        <v>9</v>
      </c>
      <c r="M365">
        <v>1</v>
      </c>
      <c r="N365">
        <v>0</v>
      </c>
      <c r="O365" t="s">
        <v>21</v>
      </c>
      <c r="P365" t="str">
        <f>TEXT(Table1[[#This Row],[order_date]],"yyyy-mm")</f>
        <v>2025-11</v>
      </c>
      <c r="Q365">
        <f>WEEKNUM(Table1[[#This Row],[order_date]])</f>
        <v>48</v>
      </c>
      <c r="R365">
        <f>IF(Table1[[#This Row],[order_status]]="completed",1,0)</f>
        <v>0</v>
      </c>
    </row>
    <row r="366" spans="1:18" x14ac:dyDescent="0.35">
      <c r="A366">
        <v>365</v>
      </c>
      <c r="B366" s="1">
        <v>45913</v>
      </c>
      <c r="C366">
        <v>1138</v>
      </c>
      <c r="D366" t="s">
        <v>32</v>
      </c>
      <c r="E366" t="s">
        <v>33</v>
      </c>
      <c r="F366" t="s">
        <v>17</v>
      </c>
      <c r="G366">
        <v>5</v>
      </c>
      <c r="H366">
        <v>0</v>
      </c>
      <c r="I366" t="s">
        <v>39</v>
      </c>
      <c r="J366" t="s">
        <v>31</v>
      </c>
      <c r="K366" t="s">
        <v>20</v>
      </c>
      <c r="L366">
        <v>4</v>
      </c>
      <c r="M366">
        <v>0</v>
      </c>
      <c r="N366">
        <v>1</v>
      </c>
      <c r="O366" t="s">
        <v>21</v>
      </c>
      <c r="P366" t="str">
        <f>TEXT(Table1[[#This Row],[order_date]],"yyyy-mm")</f>
        <v>2025-09</v>
      </c>
      <c r="Q366">
        <f>WEEKNUM(Table1[[#This Row],[order_date]])</f>
        <v>37</v>
      </c>
      <c r="R366">
        <f>IF(Table1[[#This Row],[order_status]]="completed",1,0)</f>
        <v>0</v>
      </c>
    </row>
    <row r="367" spans="1:18" x14ac:dyDescent="0.35">
      <c r="A367">
        <v>366</v>
      </c>
      <c r="B367" s="1">
        <v>45978</v>
      </c>
      <c r="C367">
        <v>1813</v>
      </c>
      <c r="D367" t="s">
        <v>41</v>
      </c>
      <c r="E367" t="s">
        <v>16</v>
      </c>
      <c r="F367" t="s">
        <v>24</v>
      </c>
      <c r="G367">
        <v>4</v>
      </c>
      <c r="H367">
        <v>0</v>
      </c>
      <c r="I367" t="s">
        <v>18</v>
      </c>
      <c r="J367" t="s">
        <v>37</v>
      </c>
      <c r="K367" t="s">
        <v>26</v>
      </c>
      <c r="L367">
        <v>9</v>
      </c>
      <c r="M367">
        <v>0</v>
      </c>
      <c r="N367">
        <v>0</v>
      </c>
      <c r="O367" t="s">
        <v>21</v>
      </c>
      <c r="P367" t="str">
        <f>TEXT(Table1[[#This Row],[order_date]],"yyyy-mm")</f>
        <v>2025-11</v>
      </c>
      <c r="Q367">
        <f>WEEKNUM(Table1[[#This Row],[order_date]])</f>
        <v>47</v>
      </c>
      <c r="R367">
        <f>IF(Table1[[#This Row],[order_status]]="completed",1,0)</f>
        <v>0</v>
      </c>
    </row>
    <row r="368" spans="1:18" x14ac:dyDescent="0.35">
      <c r="A368">
        <v>367</v>
      </c>
      <c r="B368" s="1">
        <v>45863</v>
      </c>
      <c r="C368">
        <v>1053</v>
      </c>
      <c r="D368" t="s">
        <v>32</v>
      </c>
      <c r="E368" t="s">
        <v>33</v>
      </c>
      <c r="F368" t="s">
        <v>17</v>
      </c>
      <c r="G368">
        <v>2</v>
      </c>
      <c r="H368">
        <v>3500</v>
      </c>
      <c r="I368" t="s">
        <v>25</v>
      </c>
      <c r="J368" t="s">
        <v>19</v>
      </c>
      <c r="K368" t="s">
        <v>26</v>
      </c>
      <c r="L368">
        <v>2</v>
      </c>
      <c r="M368">
        <v>1</v>
      </c>
      <c r="N368">
        <v>0</v>
      </c>
      <c r="O368" t="s">
        <v>21</v>
      </c>
      <c r="P368" t="str">
        <f>TEXT(Table1[[#This Row],[order_date]],"yyyy-mm")</f>
        <v>2025-07</v>
      </c>
      <c r="Q368">
        <f>WEEKNUM(Table1[[#This Row],[order_date]])</f>
        <v>30</v>
      </c>
      <c r="R368">
        <f>IF(Table1[[#This Row],[order_status]]="completed",1,0)</f>
        <v>1</v>
      </c>
    </row>
    <row r="369" spans="1:18" x14ac:dyDescent="0.35">
      <c r="A369">
        <v>368</v>
      </c>
      <c r="B369" s="1">
        <v>45878</v>
      </c>
      <c r="C369">
        <v>1702</v>
      </c>
      <c r="D369" t="s">
        <v>15</v>
      </c>
      <c r="E369" t="s">
        <v>36</v>
      </c>
      <c r="F369" t="s">
        <v>24</v>
      </c>
      <c r="G369">
        <v>2</v>
      </c>
      <c r="H369">
        <v>0</v>
      </c>
      <c r="I369" t="s">
        <v>18</v>
      </c>
      <c r="J369" t="s">
        <v>37</v>
      </c>
      <c r="K369" t="s">
        <v>20</v>
      </c>
      <c r="L369">
        <v>9</v>
      </c>
      <c r="M369">
        <v>0</v>
      </c>
      <c r="N369">
        <v>0</v>
      </c>
      <c r="O369" t="s">
        <v>27</v>
      </c>
      <c r="P369" t="str">
        <f>TEXT(Table1[[#This Row],[order_date]],"yyyy-mm")</f>
        <v>2025-08</v>
      </c>
      <c r="Q369">
        <f>WEEKNUM(Table1[[#This Row],[order_date]])</f>
        <v>32</v>
      </c>
      <c r="R369">
        <f>IF(Table1[[#This Row],[order_status]]="completed",1,0)</f>
        <v>0</v>
      </c>
    </row>
    <row r="370" spans="1:18" x14ac:dyDescent="0.35">
      <c r="A370">
        <v>369</v>
      </c>
      <c r="B370" s="1">
        <v>45879</v>
      </c>
      <c r="C370">
        <v>1961</v>
      </c>
      <c r="D370" t="s">
        <v>41</v>
      </c>
      <c r="E370" t="s">
        <v>29</v>
      </c>
      <c r="F370" t="s">
        <v>24</v>
      </c>
      <c r="G370">
        <v>3</v>
      </c>
      <c r="H370">
        <v>10812</v>
      </c>
      <c r="I370" t="s">
        <v>18</v>
      </c>
      <c r="J370" t="s">
        <v>19</v>
      </c>
      <c r="K370" t="s">
        <v>20</v>
      </c>
      <c r="L370">
        <v>6</v>
      </c>
      <c r="M370">
        <v>1</v>
      </c>
      <c r="N370">
        <v>0</v>
      </c>
      <c r="O370" t="s">
        <v>21</v>
      </c>
      <c r="P370" t="str">
        <f>TEXT(Table1[[#This Row],[order_date]],"yyyy-mm")</f>
        <v>2025-08</v>
      </c>
      <c r="Q370">
        <f>WEEKNUM(Table1[[#This Row],[order_date]])</f>
        <v>33</v>
      </c>
      <c r="R370">
        <f>IF(Table1[[#This Row],[order_status]]="completed",1,0)</f>
        <v>1</v>
      </c>
    </row>
    <row r="371" spans="1:18" x14ac:dyDescent="0.35">
      <c r="A371">
        <v>370</v>
      </c>
      <c r="B371" s="1">
        <v>46002</v>
      </c>
      <c r="C371">
        <v>1580</v>
      </c>
      <c r="D371" t="s">
        <v>22</v>
      </c>
      <c r="E371" t="s">
        <v>36</v>
      </c>
      <c r="F371" t="s">
        <v>30</v>
      </c>
      <c r="G371">
        <v>1</v>
      </c>
      <c r="H371">
        <v>0</v>
      </c>
      <c r="I371" t="s">
        <v>25</v>
      </c>
      <c r="J371" t="s">
        <v>31</v>
      </c>
      <c r="K371" t="s">
        <v>26</v>
      </c>
      <c r="L371">
        <v>10</v>
      </c>
      <c r="M371">
        <v>0</v>
      </c>
      <c r="N371">
        <v>1</v>
      </c>
      <c r="O371" t="s">
        <v>27</v>
      </c>
      <c r="P371" t="str">
        <f>TEXT(Table1[[#This Row],[order_date]],"yyyy-mm")</f>
        <v>2025-12</v>
      </c>
      <c r="Q371">
        <f>WEEKNUM(Table1[[#This Row],[order_date]])</f>
        <v>50</v>
      </c>
      <c r="R371">
        <f>IF(Table1[[#This Row],[order_status]]="completed",1,0)</f>
        <v>0</v>
      </c>
    </row>
    <row r="372" spans="1:18" x14ac:dyDescent="0.35">
      <c r="A372">
        <v>371</v>
      </c>
      <c r="B372" s="1">
        <v>45988</v>
      </c>
      <c r="C372">
        <v>1116</v>
      </c>
      <c r="D372" t="s">
        <v>22</v>
      </c>
      <c r="E372" t="s">
        <v>36</v>
      </c>
      <c r="F372" t="s">
        <v>30</v>
      </c>
      <c r="G372">
        <v>1</v>
      </c>
      <c r="H372">
        <v>3201</v>
      </c>
      <c r="I372" t="s">
        <v>39</v>
      </c>
      <c r="J372" t="s">
        <v>19</v>
      </c>
      <c r="K372" t="s">
        <v>38</v>
      </c>
      <c r="L372">
        <v>4</v>
      </c>
      <c r="M372">
        <v>0</v>
      </c>
      <c r="N372">
        <v>0</v>
      </c>
      <c r="O372" t="s">
        <v>21</v>
      </c>
      <c r="P372" t="str">
        <f>TEXT(Table1[[#This Row],[order_date]],"yyyy-mm")</f>
        <v>2025-11</v>
      </c>
      <c r="Q372">
        <f>WEEKNUM(Table1[[#This Row],[order_date]])</f>
        <v>48</v>
      </c>
      <c r="R372">
        <f>IF(Table1[[#This Row],[order_status]]="completed",1,0)</f>
        <v>1</v>
      </c>
    </row>
    <row r="373" spans="1:18" x14ac:dyDescent="0.35">
      <c r="A373">
        <v>372</v>
      </c>
      <c r="B373" s="1">
        <v>46010</v>
      </c>
      <c r="C373">
        <v>1449</v>
      </c>
      <c r="D373" t="s">
        <v>32</v>
      </c>
      <c r="E373" t="s">
        <v>33</v>
      </c>
      <c r="F373" t="s">
        <v>24</v>
      </c>
      <c r="G373">
        <v>2</v>
      </c>
      <c r="H373">
        <v>0</v>
      </c>
      <c r="I373" t="s">
        <v>25</v>
      </c>
      <c r="J373" t="s">
        <v>31</v>
      </c>
      <c r="K373" t="s">
        <v>40</v>
      </c>
      <c r="L373">
        <v>4</v>
      </c>
      <c r="M373">
        <v>1</v>
      </c>
      <c r="N373">
        <v>1</v>
      </c>
      <c r="O373" t="s">
        <v>27</v>
      </c>
      <c r="P373" t="str">
        <f>TEXT(Table1[[#This Row],[order_date]],"yyyy-mm")</f>
        <v>2025-12</v>
      </c>
      <c r="Q373">
        <f>WEEKNUM(Table1[[#This Row],[order_date]])</f>
        <v>51</v>
      </c>
      <c r="R373">
        <f>IF(Table1[[#This Row],[order_status]]="completed",1,0)</f>
        <v>0</v>
      </c>
    </row>
    <row r="374" spans="1:18" x14ac:dyDescent="0.35">
      <c r="A374">
        <v>373</v>
      </c>
      <c r="B374" s="1">
        <v>46011</v>
      </c>
      <c r="C374">
        <v>1082</v>
      </c>
      <c r="D374" t="s">
        <v>41</v>
      </c>
      <c r="E374" t="s">
        <v>16</v>
      </c>
      <c r="F374" t="s">
        <v>17</v>
      </c>
      <c r="G374">
        <v>5</v>
      </c>
      <c r="H374">
        <v>1265</v>
      </c>
      <c r="I374" t="s">
        <v>25</v>
      </c>
      <c r="J374" t="s">
        <v>19</v>
      </c>
      <c r="K374" t="s">
        <v>26</v>
      </c>
      <c r="L374">
        <v>10</v>
      </c>
      <c r="M374">
        <v>0</v>
      </c>
      <c r="N374">
        <v>1</v>
      </c>
      <c r="O374" t="s">
        <v>21</v>
      </c>
      <c r="P374" t="str">
        <f>TEXT(Table1[[#This Row],[order_date]],"yyyy-mm")</f>
        <v>2025-12</v>
      </c>
      <c r="Q374">
        <f>WEEKNUM(Table1[[#This Row],[order_date]])</f>
        <v>51</v>
      </c>
      <c r="R374">
        <f>IF(Table1[[#This Row],[order_status]]="completed",1,0)</f>
        <v>1</v>
      </c>
    </row>
    <row r="375" spans="1:18" x14ac:dyDescent="0.35">
      <c r="A375">
        <v>374</v>
      </c>
      <c r="B375" s="1">
        <v>45988</v>
      </c>
      <c r="C375">
        <v>1809</v>
      </c>
      <c r="D375" t="s">
        <v>32</v>
      </c>
      <c r="E375" t="s">
        <v>33</v>
      </c>
      <c r="F375" t="s">
        <v>24</v>
      </c>
      <c r="G375">
        <v>1</v>
      </c>
      <c r="H375">
        <v>0</v>
      </c>
      <c r="I375" t="s">
        <v>35</v>
      </c>
      <c r="J375" t="s">
        <v>31</v>
      </c>
      <c r="K375" t="s">
        <v>40</v>
      </c>
      <c r="L375">
        <v>9</v>
      </c>
      <c r="M375">
        <v>0</v>
      </c>
      <c r="N375">
        <v>0</v>
      </c>
      <c r="O375" t="s">
        <v>21</v>
      </c>
      <c r="P375" t="str">
        <f>TEXT(Table1[[#This Row],[order_date]],"yyyy-mm")</f>
        <v>2025-11</v>
      </c>
      <c r="Q375">
        <f>WEEKNUM(Table1[[#This Row],[order_date]])</f>
        <v>48</v>
      </c>
      <c r="R375">
        <f>IF(Table1[[#This Row],[order_status]]="completed",1,0)</f>
        <v>0</v>
      </c>
    </row>
    <row r="376" spans="1:18" x14ac:dyDescent="0.35">
      <c r="A376">
        <v>375</v>
      </c>
      <c r="B376" s="1">
        <v>45920</v>
      </c>
      <c r="C376">
        <v>1034</v>
      </c>
      <c r="D376" t="s">
        <v>28</v>
      </c>
      <c r="E376" t="s">
        <v>33</v>
      </c>
      <c r="F376" t="s">
        <v>34</v>
      </c>
      <c r="G376">
        <v>5</v>
      </c>
      <c r="H376">
        <v>0</v>
      </c>
      <c r="I376" t="s">
        <v>25</v>
      </c>
      <c r="J376" t="s">
        <v>37</v>
      </c>
      <c r="K376" t="s">
        <v>26</v>
      </c>
      <c r="L376">
        <v>8</v>
      </c>
      <c r="M376">
        <v>1</v>
      </c>
      <c r="N376">
        <v>0</v>
      </c>
      <c r="O376" t="s">
        <v>21</v>
      </c>
      <c r="P376" t="str">
        <f>TEXT(Table1[[#This Row],[order_date]],"yyyy-mm")</f>
        <v>2025-09</v>
      </c>
      <c r="Q376">
        <f>WEEKNUM(Table1[[#This Row],[order_date]])</f>
        <v>38</v>
      </c>
      <c r="R376">
        <f>IF(Table1[[#This Row],[order_status]]="completed",1,0)</f>
        <v>0</v>
      </c>
    </row>
    <row r="377" spans="1:18" x14ac:dyDescent="0.35">
      <c r="A377">
        <v>376</v>
      </c>
      <c r="B377" s="1">
        <v>45997</v>
      </c>
      <c r="C377">
        <v>1761</v>
      </c>
      <c r="D377" t="s">
        <v>32</v>
      </c>
      <c r="E377" t="s">
        <v>33</v>
      </c>
      <c r="F377" t="s">
        <v>17</v>
      </c>
      <c r="G377">
        <v>3</v>
      </c>
      <c r="H377">
        <v>5919</v>
      </c>
      <c r="I377" t="s">
        <v>35</v>
      </c>
      <c r="J377" t="s">
        <v>19</v>
      </c>
      <c r="K377" t="s">
        <v>26</v>
      </c>
      <c r="L377">
        <v>4</v>
      </c>
      <c r="M377">
        <v>1</v>
      </c>
      <c r="N377">
        <v>0</v>
      </c>
      <c r="O377" t="s">
        <v>21</v>
      </c>
      <c r="P377" t="str">
        <f>TEXT(Table1[[#This Row],[order_date]],"yyyy-mm")</f>
        <v>2025-12</v>
      </c>
      <c r="Q377">
        <f>WEEKNUM(Table1[[#This Row],[order_date]])</f>
        <v>49</v>
      </c>
      <c r="R377">
        <f>IF(Table1[[#This Row],[order_status]]="completed",1,0)</f>
        <v>1</v>
      </c>
    </row>
    <row r="378" spans="1:18" x14ac:dyDescent="0.35">
      <c r="A378">
        <v>377</v>
      </c>
      <c r="B378" s="1">
        <v>45995</v>
      </c>
      <c r="C378">
        <v>1809</v>
      </c>
      <c r="D378" t="s">
        <v>32</v>
      </c>
      <c r="E378" t="s">
        <v>23</v>
      </c>
      <c r="F378" t="s">
        <v>34</v>
      </c>
      <c r="G378">
        <v>2</v>
      </c>
      <c r="H378">
        <v>9164</v>
      </c>
      <c r="I378" t="s">
        <v>39</v>
      </c>
      <c r="J378" t="s">
        <v>19</v>
      </c>
      <c r="K378" t="s">
        <v>20</v>
      </c>
      <c r="L378">
        <v>5</v>
      </c>
      <c r="M378">
        <v>0</v>
      </c>
      <c r="N378">
        <v>0</v>
      </c>
      <c r="O378" t="s">
        <v>27</v>
      </c>
      <c r="P378" t="str">
        <f>TEXT(Table1[[#This Row],[order_date]],"yyyy-mm")</f>
        <v>2025-12</v>
      </c>
      <c r="Q378">
        <f>WEEKNUM(Table1[[#This Row],[order_date]])</f>
        <v>49</v>
      </c>
      <c r="R378">
        <f>IF(Table1[[#This Row],[order_status]]="completed",1,0)</f>
        <v>1</v>
      </c>
    </row>
    <row r="379" spans="1:18" x14ac:dyDescent="0.35">
      <c r="A379">
        <v>378</v>
      </c>
      <c r="B379" s="1">
        <v>45979</v>
      </c>
      <c r="C379">
        <v>1880</v>
      </c>
      <c r="D379" t="s">
        <v>28</v>
      </c>
      <c r="E379" t="s">
        <v>33</v>
      </c>
      <c r="F379" t="s">
        <v>34</v>
      </c>
      <c r="G379">
        <v>5</v>
      </c>
      <c r="H379">
        <v>9170</v>
      </c>
      <c r="I379" t="s">
        <v>35</v>
      </c>
      <c r="J379" t="s">
        <v>19</v>
      </c>
      <c r="K379" t="s">
        <v>26</v>
      </c>
      <c r="L379">
        <v>10</v>
      </c>
      <c r="M379">
        <v>0</v>
      </c>
      <c r="N379">
        <v>1</v>
      </c>
      <c r="O379" t="s">
        <v>21</v>
      </c>
      <c r="P379" t="str">
        <f>TEXT(Table1[[#This Row],[order_date]],"yyyy-mm")</f>
        <v>2025-11</v>
      </c>
      <c r="Q379">
        <f>WEEKNUM(Table1[[#This Row],[order_date]])</f>
        <v>47</v>
      </c>
      <c r="R379">
        <f>IF(Table1[[#This Row],[order_status]]="completed",1,0)</f>
        <v>1</v>
      </c>
    </row>
    <row r="380" spans="1:18" x14ac:dyDescent="0.35">
      <c r="A380">
        <v>379</v>
      </c>
      <c r="B380" s="1">
        <v>45887</v>
      </c>
      <c r="C380">
        <v>1673</v>
      </c>
      <c r="D380" t="s">
        <v>28</v>
      </c>
      <c r="E380" t="s">
        <v>23</v>
      </c>
      <c r="F380" t="s">
        <v>17</v>
      </c>
      <c r="G380">
        <v>1</v>
      </c>
      <c r="H380">
        <v>2155</v>
      </c>
      <c r="I380" t="s">
        <v>25</v>
      </c>
      <c r="J380" t="s">
        <v>19</v>
      </c>
      <c r="K380" t="s">
        <v>38</v>
      </c>
      <c r="L380">
        <v>6</v>
      </c>
      <c r="M380">
        <v>0</v>
      </c>
      <c r="N380">
        <v>1</v>
      </c>
      <c r="O380" t="s">
        <v>21</v>
      </c>
      <c r="P380" t="str">
        <f>TEXT(Table1[[#This Row],[order_date]],"yyyy-mm")</f>
        <v>2025-08</v>
      </c>
      <c r="Q380">
        <f>WEEKNUM(Table1[[#This Row],[order_date]])</f>
        <v>34</v>
      </c>
      <c r="R380">
        <f>IF(Table1[[#This Row],[order_status]]="completed",1,0)</f>
        <v>1</v>
      </c>
    </row>
    <row r="381" spans="1:18" x14ac:dyDescent="0.35">
      <c r="A381">
        <v>380</v>
      </c>
      <c r="B381" s="1">
        <v>45997</v>
      </c>
      <c r="C381">
        <v>1345</v>
      </c>
      <c r="D381" t="s">
        <v>15</v>
      </c>
      <c r="E381" t="s">
        <v>33</v>
      </c>
      <c r="F381" t="s">
        <v>30</v>
      </c>
      <c r="G381">
        <v>1</v>
      </c>
      <c r="H381">
        <v>0</v>
      </c>
      <c r="I381" t="s">
        <v>18</v>
      </c>
      <c r="J381" t="s">
        <v>37</v>
      </c>
      <c r="K381" t="s">
        <v>38</v>
      </c>
      <c r="L381">
        <v>2</v>
      </c>
      <c r="M381">
        <v>1</v>
      </c>
      <c r="N381">
        <v>1</v>
      </c>
      <c r="O381" t="s">
        <v>21</v>
      </c>
      <c r="P381" t="str">
        <f>TEXT(Table1[[#This Row],[order_date]],"yyyy-mm")</f>
        <v>2025-12</v>
      </c>
      <c r="Q381">
        <f>WEEKNUM(Table1[[#This Row],[order_date]])</f>
        <v>49</v>
      </c>
      <c r="R381">
        <f>IF(Table1[[#This Row],[order_status]]="completed",1,0)</f>
        <v>0</v>
      </c>
    </row>
    <row r="382" spans="1:18" x14ac:dyDescent="0.35">
      <c r="A382">
        <v>381</v>
      </c>
      <c r="B382" s="1">
        <v>45898</v>
      </c>
      <c r="C382">
        <v>1616</v>
      </c>
      <c r="D382" t="s">
        <v>28</v>
      </c>
      <c r="E382" t="s">
        <v>33</v>
      </c>
      <c r="F382" t="s">
        <v>17</v>
      </c>
      <c r="G382">
        <v>4</v>
      </c>
      <c r="H382">
        <v>0</v>
      </c>
      <c r="I382" t="s">
        <v>39</v>
      </c>
      <c r="J382" t="s">
        <v>37</v>
      </c>
      <c r="K382" t="s">
        <v>40</v>
      </c>
      <c r="L382">
        <v>2</v>
      </c>
      <c r="M382">
        <v>1</v>
      </c>
      <c r="N382">
        <v>0</v>
      </c>
      <c r="O382" t="s">
        <v>21</v>
      </c>
      <c r="P382" t="str">
        <f>TEXT(Table1[[#This Row],[order_date]],"yyyy-mm")</f>
        <v>2025-08</v>
      </c>
      <c r="Q382">
        <f>WEEKNUM(Table1[[#This Row],[order_date]])</f>
        <v>35</v>
      </c>
      <c r="R382">
        <f>IF(Table1[[#This Row],[order_status]]="completed",1,0)</f>
        <v>0</v>
      </c>
    </row>
    <row r="383" spans="1:18" x14ac:dyDescent="0.35">
      <c r="A383">
        <v>382</v>
      </c>
      <c r="B383" s="1">
        <v>45879</v>
      </c>
      <c r="C383">
        <v>1839</v>
      </c>
      <c r="D383" t="s">
        <v>41</v>
      </c>
      <c r="E383" t="s">
        <v>33</v>
      </c>
      <c r="F383" t="s">
        <v>30</v>
      </c>
      <c r="G383">
        <v>1</v>
      </c>
      <c r="H383">
        <v>0</v>
      </c>
      <c r="I383" t="s">
        <v>35</v>
      </c>
      <c r="J383" t="s">
        <v>37</v>
      </c>
      <c r="K383" t="s">
        <v>26</v>
      </c>
      <c r="L383">
        <v>9</v>
      </c>
      <c r="M383">
        <v>0</v>
      </c>
      <c r="N383">
        <v>0</v>
      </c>
      <c r="O383" t="s">
        <v>21</v>
      </c>
      <c r="P383" t="str">
        <f>TEXT(Table1[[#This Row],[order_date]],"yyyy-mm")</f>
        <v>2025-08</v>
      </c>
      <c r="Q383">
        <f>WEEKNUM(Table1[[#This Row],[order_date]])</f>
        <v>33</v>
      </c>
      <c r="R383">
        <f>IF(Table1[[#This Row],[order_status]]="completed",1,0)</f>
        <v>0</v>
      </c>
    </row>
    <row r="384" spans="1:18" x14ac:dyDescent="0.35">
      <c r="A384">
        <v>383</v>
      </c>
      <c r="B384" s="1">
        <v>45940</v>
      </c>
      <c r="C384">
        <v>1143</v>
      </c>
      <c r="D384" t="s">
        <v>41</v>
      </c>
      <c r="E384" t="s">
        <v>36</v>
      </c>
      <c r="F384" t="s">
        <v>24</v>
      </c>
      <c r="G384">
        <v>3</v>
      </c>
      <c r="H384">
        <v>0</v>
      </c>
      <c r="I384" t="s">
        <v>39</v>
      </c>
      <c r="J384" t="s">
        <v>37</v>
      </c>
      <c r="K384" t="s">
        <v>26</v>
      </c>
      <c r="L384">
        <v>9</v>
      </c>
      <c r="M384">
        <v>0</v>
      </c>
      <c r="N384">
        <v>1</v>
      </c>
      <c r="O384" t="s">
        <v>21</v>
      </c>
      <c r="P384" t="str">
        <f>TEXT(Table1[[#This Row],[order_date]],"yyyy-mm")</f>
        <v>2025-10</v>
      </c>
      <c r="Q384">
        <f>WEEKNUM(Table1[[#This Row],[order_date]])</f>
        <v>41</v>
      </c>
      <c r="R384">
        <f>IF(Table1[[#This Row],[order_status]]="completed",1,0)</f>
        <v>0</v>
      </c>
    </row>
    <row r="385" spans="1:18" x14ac:dyDescent="0.35">
      <c r="A385">
        <v>384</v>
      </c>
      <c r="B385" s="1">
        <v>45968</v>
      </c>
      <c r="C385">
        <v>1150</v>
      </c>
      <c r="D385" t="s">
        <v>15</v>
      </c>
      <c r="E385" t="s">
        <v>16</v>
      </c>
      <c r="F385" t="s">
        <v>24</v>
      </c>
      <c r="G385">
        <v>4</v>
      </c>
      <c r="H385">
        <v>2268</v>
      </c>
      <c r="I385" t="s">
        <v>25</v>
      </c>
      <c r="J385" t="s">
        <v>19</v>
      </c>
      <c r="K385" t="s">
        <v>26</v>
      </c>
      <c r="L385">
        <v>5</v>
      </c>
      <c r="M385">
        <v>0</v>
      </c>
      <c r="N385">
        <v>1</v>
      </c>
      <c r="O385" t="s">
        <v>27</v>
      </c>
      <c r="P385" t="str">
        <f>TEXT(Table1[[#This Row],[order_date]],"yyyy-mm")</f>
        <v>2025-11</v>
      </c>
      <c r="Q385">
        <f>WEEKNUM(Table1[[#This Row],[order_date]])</f>
        <v>45</v>
      </c>
      <c r="R385">
        <f>IF(Table1[[#This Row],[order_status]]="completed",1,0)</f>
        <v>1</v>
      </c>
    </row>
    <row r="386" spans="1:18" x14ac:dyDescent="0.35">
      <c r="A386">
        <v>385</v>
      </c>
      <c r="B386" s="1">
        <v>46003</v>
      </c>
      <c r="C386">
        <v>1137</v>
      </c>
      <c r="D386" t="s">
        <v>41</v>
      </c>
      <c r="E386" t="s">
        <v>16</v>
      </c>
      <c r="F386" t="s">
        <v>17</v>
      </c>
      <c r="G386">
        <v>4</v>
      </c>
      <c r="H386">
        <v>4096</v>
      </c>
      <c r="I386" t="s">
        <v>35</v>
      </c>
      <c r="J386" t="s">
        <v>19</v>
      </c>
      <c r="K386" t="s">
        <v>20</v>
      </c>
      <c r="L386">
        <v>2</v>
      </c>
      <c r="M386">
        <v>1</v>
      </c>
      <c r="N386">
        <v>0</v>
      </c>
      <c r="O386" t="s">
        <v>27</v>
      </c>
      <c r="P386" t="str">
        <f>TEXT(Table1[[#This Row],[order_date]],"yyyy-mm")</f>
        <v>2025-12</v>
      </c>
      <c r="Q386">
        <f>WEEKNUM(Table1[[#This Row],[order_date]])</f>
        <v>50</v>
      </c>
      <c r="R386">
        <f>IF(Table1[[#This Row],[order_status]]="completed",1,0)</f>
        <v>1</v>
      </c>
    </row>
    <row r="387" spans="1:18" x14ac:dyDescent="0.35">
      <c r="A387">
        <v>386</v>
      </c>
      <c r="B387" s="1">
        <v>45951</v>
      </c>
      <c r="C387">
        <v>1484</v>
      </c>
      <c r="D387" t="s">
        <v>41</v>
      </c>
      <c r="E387" t="s">
        <v>33</v>
      </c>
      <c r="F387" t="s">
        <v>34</v>
      </c>
      <c r="G387">
        <v>1</v>
      </c>
      <c r="H387">
        <v>0</v>
      </c>
      <c r="I387" t="s">
        <v>39</v>
      </c>
      <c r="J387" t="s">
        <v>31</v>
      </c>
      <c r="K387" t="s">
        <v>20</v>
      </c>
      <c r="L387">
        <v>9</v>
      </c>
      <c r="M387">
        <v>0</v>
      </c>
      <c r="N387">
        <v>0</v>
      </c>
      <c r="O387" t="s">
        <v>27</v>
      </c>
      <c r="P387" t="str">
        <f>TEXT(Table1[[#This Row],[order_date]],"yyyy-mm")</f>
        <v>2025-10</v>
      </c>
      <c r="Q387">
        <f>WEEKNUM(Table1[[#This Row],[order_date]])</f>
        <v>43</v>
      </c>
      <c r="R387">
        <f>IF(Table1[[#This Row],[order_status]]="completed",1,0)</f>
        <v>0</v>
      </c>
    </row>
    <row r="388" spans="1:18" x14ac:dyDescent="0.35">
      <c r="A388">
        <v>387</v>
      </c>
      <c r="B388" s="1">
        <v>45886</v>
      </c>
      <c r="C388">
        <v>1562</v>
      </c>
      <c r="D388" t="s">
        <v>41</v>
      </c>
      <c r="E388" t="s">
        <v>29</v>
      </c>
      <c r="F388" t="s">
        <v>24</v>
      </c>
      <c r="G388">
        <v>1</v>
      </c>
      <c r="H388">
        <v>3163</v>
      </c>
      <c r="I388" t="s">
        <v>35</v>
      </c>
      <c r="J388" t="s">
        <v>19</v>
      </c>
      <c r="K388" t="s">
        <v>38</v>
      </c>
      <c r="L388">
        <v>6</v>
      </c>
      <c r="M388">
        <v>0</v>
      </c>
      <c r="N388">
        <v>1</v>
      </c>
      <c r="O388" t="s">
        <v>21</v>
      </c>
      <c r="P388" t="str">
        <f>TEXT(Table1[[#This Row],[order_date]],"yyyy-mm")</f>
        <v>2025-08</v>
      </c>
      <c r="Q388">
        <f>WEEKNUM(Table1[[#This Row],[order_date]])</f>
        <v>34</v>
      </c>
      <c r="R388">
        <f>IF(Table1[[#This Row],[order_status]]="completed",1,0)</f>
        <v>1</v>
      </c>
    </row>
    <row r="389" spans="1:18" x14ac:dyDescent="0.35">
      <c r="A389">
        <v>388</v>
      </c>
      <c r="B389" s="1">
        <v>45935</v>
      </c>
      <c r="C389">
        <v>1873</v>
      </c>
      <c r="D389" t="s">
        <v>15</v>
      </c>
      <c r="E389" t="s">
        <v>23</v>
      </c>
      <c r="F389" t="s">
        <v>34</v>
      </c>
      <c r="G389">
        <v>2</v>
      </c>
      <c r="H389">
        <v>8454</v>
      </c>
      <c r="I389" t="s">
        <v>39</v>
      </c>
      <c r="J389" t="s">
        <v>19</v>
      </c>
      <c r="K389" t="s">
        <v>20</v>
      </c>
      <c r="L389">
        <v>2</v>
      </c>
      <c r="M389">
        <v>1</v>
      </c>
      <c r="N389">
        <v>0</v>
      </c>
      <c r="O389" t="s">
        <v>21</v>
      </c>
      <c r="P389" t="str">
        <f>TEXT(Table1[[#This Row],[order_date]],"yyyy-mm")</f>
        <v>2025-10</v>
      </c>
      <c r="Q389">
        <f>WEEKNUM(Table1[[#This Row],[order_date]])</f>
        <v>41</v>
      </c>
      <c r="R389">
        <f>IF(Table1[[#This Row],[order_status]]="completed",1,0)</f>
        <v>1</v>
      </c>
    </row>
    <row r="390" spans="1:18" x14ac:dyDescent="0.35">
      <c r="A390">
        <v>389</v>
      </c>
      <c r="B390" s="1">
        <v>46027</v>
      </c>
      <c r="C390">
        <v>1993</v>
      </c>
      <c r="D390" t="s">
        <v>32</v>
      </c>
      <c r="E390" t="s">
        <v>23</v>
      </c>
      <c r="F390" t="s">
        <v>17</v>
      </c>
      <c r="G390">
        <v>1</v>
      </c>
      <c r="H390">
        <v>0</v>
      </c>
      <c r="I390" t="s">
        <v>18</v>
      </c>
      <c r="J390" t="s">
        <v>37</v>
      </c>
      <c r="K390" t="s">
        <v>40</v>
      </c>
      <c r="L390">
        <v>6</v>
      </c>
      <c r="M390">
        <v>0</v>
      </c>
      <c r="N390">
        <v>1</v>
      </c>
      <c r="O390" t="s">
        <v>27</v>
      </c>
      <c r="P390" t="str">
        <f>TEXT(Table1[[#This Row],[order_date]],"yyyy-mm")</f>
        <v>2026-01</v>
      </c>
      <c r="Q390">
        <f>WEEKNUM(Table1[[#This Row],[order_date]])</f>
        <v>2</v>
      </c>
      <c r="R390">
        <f>IF(Table1[[#This Row],[order_status]]="completed",1,0)</f>
        <v>0</v>
      </c>
    </row>
    <row r="391" spans="1:18" x14ac:dyDescent="0.35">
      <c r="A391">
        <v>390</v>
      </c>
      <c r="B391" s="1">
        <v>45958</v>
      </c>
      <c r="C391">
        <v>1451</v>
      </c>
      <c r="D391" t="s">
        <v>22</v>
      </c>
      <c r="E391" t="s">
        <v>36</v>
      </c>
      <c r="F391" t="s">
        <v>30</v>
      </c>
      <c r="G391">
        <v>1</v>
      </c>
      <c r="H391">
        <v>0</v>
      </c>
      <c r="I391" t="s">
        <v>39</v>
      </c>
      <c r="J391" t="s">
        <v>37</v>
      </c>
      <c r="K391" t="s">
        <v>26</v>
      </c>
      <c r="L391">
        <v>6</v>
      </c>
      <c r="M391">
        <v>0</v>
      </c>
      <c r="N391">
        <v>1</v>
      </c>
      <c r="O391" t="s">
        <v>21</v>
      </c>
      <c r="P391" t="str">
        <f>TEXT(Table1[[#This Row],[order_date]],"yyyy-mm")</f>
        <v>2025-10</v>
      </c>
      <c r="Q391">
        <f>WEEKNUM(Table1[[#This Row],[order_date]])</f>
        <v>44</v>
      </c>
      <c r="R391">
        <f>IF(Table1[[#This Row],[order_status]]="completed",1,0)</f>
        <v>0</v>
      </c>
    </row>
    <row r="392" spans="1:18" x14ac:dyDescent="0.35">
      <c r="A392">
        <v>391</v>
      </c>
      <c r="B392" s="1">
        <v>45970</v>
      </c>
      <c r="C392">
        <v>1488</v>
      </c>
      <c r="D392" t="s">
        <v>15</v>
      </c>
      <c r="E392" t="s">
        <v>36</v>
      </c>
      <c r="F392" t="s">
        <v>24</v>
      </c>
      <c r="G392">
        <v>4</v>
      </c>
      <c r="H392">
        <v>11872</v>
      </c>
      <c r="I392" t="s">
        <v>35</v>
      </c>
      <c r="J392" t="s">
        <v>19</v>
      </c>
      <c r="K392" t="s">
        <v>26</v>
      </c>
      <c r="L392">
        <v>2</v>
      </c>
      <c r="M392">
        <v>1</v>
      </c>
      <c r="N392">
        <v>1</v>
      </c>
      <c r="O392" t="s">
        <v>21</v>
      </c>
      <c r="P392" t="str">
        <f>TEXT(Table1[[#This Row],[order_date]],"yyyy-mm")</f>
        <v>2025-11</v>
      </c>
      <c r="Q392">
        <f>WEEKNUM(Table1[[#This Row],[order_date]])</f>
        <v>46</v>
      </c>
      <c r="R392">
        <f>IF(Table1[[#This Row],[order_status]]="completed",1,0)</f>
        <v>1</v>
      </c>
    </row>
    <row r="393" spans="1:18" x14ac:dyDescent="0.35">
      <c r="A393">
        <v>392</v>
      </c>
      <c r="B393" s="1">
        <v>46013</v>
      </c>
      <c r="C393">
        <v>1632</v>
      </c>
      <c r="D393" t="s">
        <v>28</v>
      </c>
      <c r="E393" t="s">
        <v>23</v>
      </c>
      <c r="F393" t="s">
        <v>34</v>
      </c>
      <c r="G393">
        <v>1</v>
      </c>
      <c r="H393">
        <v>0</v>
      </c>
      <c r="I393" t="s">
        <v>39</v>
      </c>
      <c r="J393" t="s">
        <v>37</v>
      </c>
      <c r="K393" t="s">
        <v>38</v>
      </c>
      <c r="L393">
        <v>9</v>
      </c>
      <c r="M393">
        <v>0</v>
      </c>
      <c r="N393">
        <v>0</v>
      </c>
      <c r="O393" t="s">
        <v>21</v>
      </c>
      <c r="P393" t="str">
        <f>TEXT(Table1[[#This Row],[order_date]],"yyyy-mm")</f>
        <v>2025-12</v>
      </c>
      <c r="Q393">
        <f>WEEKNUM(Table1[[#This Row],[order_date]])</f>
        <v>52</v>
      </c>
      <c r="R393">
        <f>IF(Table1[[#This Row],[order_status]]="completed",1,0)</f>
        <v>0</v>
      </c>
    </row>
    <row r="394" spans="1:18" x14ac:dyDescent="0.35">
      <c r="A394">
        <v>393</v>
      </c>
      <c r="B394" s="1">
        <v>45919</v>
      </c>
      <c r="C394">
        <v>1887</v>
      </c>
      <c r="D394" t="s">
        <v>22</v>
      </c>
      <c r="E394" t="s">
        <v>29</v>
      </c>
      <c r="F394" t="s">
        <v>24</v>
      </c>
      <c r="G394">
        <v>4</v>
      </c>
      <c r="H394">
        <v>5400</v>
      </c>
      <c r="I394" t="s">
        <v>39</v>
      </c>
      <c r="J394" t="s">
        <v>19</v>
      </c>
      <c r="K394" t="s">
        <v>20</v>
      </c>
      <c r="L394">
        <v>7</v>
      </c>
      <c r="M394">
        <v>0</v>
      </c>
      <c r="N394">
        <v>1</v>
      </c>
      <c r="O394" t="s">
        <v>21</v>
      </c>
      <c r="P394" t="str">
        <f>TEXT(Table1[[#This Row],[order_date]],"yyyy-mm")</f>
        <v>2025-09</v>
      </c>
      <c r="Q394">
        <f>WEEKNUM(Table1[[#This Row],[order_date]])</f>
        <v>38</v>
      </c>
      <c r="R394">
        <f>IF(Table1[[#This Row],[order_status]]="completed",1,0)</f>
        <v>1</v>
      </c>
    </row>
    <row r="395" spans="1:18" x14ac:dyDescent="0.35">
      <c r="A395">
        <v>394</v>
      </c>
      <c r="B395" s="1">
        <v>45879</v>
      </c>
      <c r="C395">
        <v>1316</v>
      </c>
      <c r="D395" t="s">
        <v>28</v>
      </c>
      <c r="E395" t="s">
        <v>36</v>
      </c>
      <c r="F395" t="s">
        <v>34</v>
      </c>
      <c r="G395">
        <v>5</v>
      </c>
      <c r="H395">
        <v>0</v>
      </c>
      <c r="I395" t="s">
        <v>35</v>
      </c>
      <c r="J395" t="s">
        <v>37</v>
      </c>
      <c r="K395" t="s">
        <v>40</v>
      </c>
      <c r="L395">
        <v>9</v>
      </c>
      <c r="M395">
        <v>1</v>
      </c>
      <c r="N395">
        <v>1</v>
      </c>
      <c r="O395" t="s">
        <v>27</v>
      </c>
      <c r="P395" t="str">
        <f>TEXT(Table1[[#This Row],[order_date]],"yyyy-mm")</f>
        <v>2025-08</v>
      </c>
      <c r="Q395">
        <f>WEEKNUM(Table1[[#This Row],[order_date]])</f>
        <v>33</v>
      </c>
      <c r="R395">
        <f>IF(Table1[[#This Row],[order_status]]="completed",1,0)</f>
        <v>0</v>
      </c>
    </row>
    <row r="396" spans="1:18" x14ac:dyDescent="0.35">
      <c r="A396">
        <v>395</v>
      </c>
      <c r="B396" s="1">
        <v>45959</v>
      </c>
      <c r="C396">
        <v>1657</v>
      </c>
      <c r="D396" t="s">
        <v>32</v>
      </c>
      <c r="E396" t="s">
        <v>29</v>
      </c>
      <c r="F396" t="s">
        <v>34</v>
      </c>
      <c r="G396">
        <v>3</v>
      </c>
      <c r="H396">
        <v>1944</v>
      </c>
      <c r="I396" t="s">
        <v>25</v>
      </c>
      <c r="J396" t="s">
        <v>19</v>
      </c>
      <c r="K396" t="s">
        <v>20</v>
      </c>
      <c r="L396">
        <v>4</v>
      </c>
      <c r="M396">
        <v>1</v>
      </c>
      <c r="N396">
        <v>0</v>
      </c>
      <c r="O396" t="s">
        <v>27</v>
      </c>
      <c r="P396" t="str">
        <f>TEXT(Table1[[#This Row],[order_date]],"yyyy-mm")</f>
        <v>2025-10</v>
      </c>
      <c r="Q396">
        <f>WEEKNUM(Table1[[#This Row],[order_date]])</f>
        <v>44</v>
      </c>
      <c r="R396">
        <f>IF(Table1[[#This Row],[order_status]]="completed",1,0)</f>
        <v>1</v>
      </c>
    </row>
    <row r="397" spans="1:18" x14ac:dyDescent="0.35">
      <c r="A397">
        <v>396</v>
      </c>
      <c r="B397" s="1">
        <v>46031</v>
      </c>
      <c r="C397">
        <v>1006</v>
      </c>
      <c r="D397" t="s">
        <v>32</v>
      </c>
      <c r="E397" t="s">
        <v>33</v>
      </c>
      <c r="F397" t="s">
        <v>30</v>
      </c>
      <c r="G397">
        <v>4</v>
      </c>
      <c r="H397">
        <v>0</v>
      </c>
      <c r="I397" t="s">
        <v>39</v>
      </c>
      <c r="J397" t="s">
        <v>37</v>
      </c>
      <c r="K397" t="s">
        <v>20</v>
      </c>
      <c r="L397">
        <v>5</v>
      </c>
      <c r="M397">
        <v>0</v>
      </c>
      <c r="N397">
        <v>1</v>
      </c>
      <c r="O397" t="s">
        <v>27</v>
      </c>
      <c r="P397" t="str">
        <f>TEXT(Table1[[#This Row],[order_date]],"yyyy-mm")</f>
        <v>2026-01</v>
      </c>
      <c r="Q397">
        <f>WEEKNUM(Table1[[#This Row],[order_date]])</f>
        <v>2</v>
      </c>
      <c r="R397">
        <f>IF(Table1[[#This Row],[order_status]]="completed",1,0)</f>
        <v>0</v>
      </c>
    </row>
    <row r="398" spans="1:18" x14ac:dyDescent="0.35">
      <c r="A398">
        <v>397</v>
      </c>
      <c r="B398" s="1">
        <v>45981</v>
      </c>
      <c r="C398">
        <v>1602</v>
      </c>
      <c r="D398" t="s">
        <v>41</v>
      </c>
      <c r="E398" t="s">
        <v>29</v>
      </c>
      <c r="F398" t="s">
        <v>34</v>
      </c>
      <c r="G398">
        <v>3</v>
      </c>
      <c r="H398">
        <v>0</v>
      </c>
      <c r="I398" t="s">
        <v>18</v>
      </c>
      <c r="J398" t="s">
        <v>37</v>
      </c>
      <c r="K398" t="s">
        <v>38</v>
      </c>
      <c r="L398">
        <v>3</v>
      </c>
      <c r="M398">
        <v>1</v>
      </c>
      <c r="N398">
        <v>1</v>
      </c>
      <c r="O398" t="s">
        <v>27</v>
      </c>
      <c r="P398" t="str">
        <f>TEXT(Table1[[#This Row],[order_date]],"yyyy-mm")</f>
        <v>2025-11</v>
      </c>
      <c r="Q398">
        <f>WEEKNUM(Table1[[#This Row],[order_date]])</f>
        <v>47</v>
      </c>
      <c r="R398">
        <f>IF(Table1[[#This Row],[order_status]]="completed",1,0)</f>
        <v>0</v>
      </c>
    </row>
    <row r="399" spans="1:18" x14ac:dyDescent="0.35">
      <c r="A399">
        <v>398</v>
      </c>
      <c r="B399" s="1">
        <v>45986</v>
      </c>
      <c r="C399">
        <v>1875</v>
      </c>
      <c r="D399" t="s">
        <v>41</v>
      </c>
      <c r="E399" t="s">
        <v>36</v>
      </c>
      <c r="F399" t="s">
        <v>24</v>
      </c>
      <c r="G399">
        <v>5</v>
      </c>
      <c r="H399">
        <v>0</v>
      </c>
      <c r="I399" t="s">
        <v>35</v>
      </c>
      <c r="J399" t="s">
        <v>31</v>
      </c>
      <c r="K399" t="s">
        <v>38</v>
      </c>
      <c r="L399">
        <v>9</v>
      </c>
      <c r="M399">
        <v>0</v>
      </c>
      <c r="N399">
        <v>0</v>
      </c>
      <c r="O399" t="s">
        <v>27</v>
      </c>
      <c r="P399" t="str">
        <f>TEXT(Table1[[#This Row],[order_date]],"yyyy-mm")</f>
        <v>2025-11</v>
      </c>
      <c r="Q399">
        <f>WEEKNUM(Table1[[#This Row],[order_date]])</f>
        <v>48</v>
      </c>
      <c r="R399">
        <f>IF(Table1[[#This Row],[order_status]]="completed",1,0)</f>
        <v>0</v>
      </c>
    </row>
    <row r="400" spans="1:18" x14ac:dyDescent="0.35">
      <c r="A400">
        <v>399</v>
      </c>
      <c r="B400" s="1">
        <v>45865</v>
      </c>
      <c r="C400">
        <v>1494</v>
      </c>
      <c r="D400" t="s">
        <v>15</v>
      </c>
      <c r="E400" t="s">
        <v>23</v>
      </c>
      <c r="F400" t="s">
        <v>17</v>
      </c>
      <c r="G400">
        <v>2</v>
      </c>
      <c r="H400">
        <v>0</v>
      </c>
      <c r="I400" t="s">
        <v>18</v>
      </c>
      <c r="J400" t="s">
        <v>31</v>
      </c>
      <c r="K400" t="s">
        <v>40</v>
      </c>
      <c r="L400">
        <v>10</v>
      </c>
      <c r="M400">
        <v>1</v>
      </c>
      <c r="N400">
        <v>1</v>
      </c>
      <c r="O400" t="s">
        <v>21</v>
      </c>
      <c r="P400" t="str">
        <f>TEXT(Table1[[#This Row],[order_date]],"yyyy-mm")</f>
        <v>2025-07</v>
      </c>
      <c r="Q400">
        <f>WEEKNUM(Table1[[#This Row],[order_date]])</f>
        <v>31</v>
      </c>
      <c r="R400">
        <f>IF(Table1[[#This Row],[order_status]]="completed",1,0)</f>
        <v>0</v>
      </c>
    </row>
    <row r="401" spans="1:18" x14ac:dyDescent="0.35">
      <c r="A401">
        <v>400</v>
      </c>
      <c r="B401" s="1">
        <v>45941</v>
      </c>
      <c r="C401">
        <v>1462</v>
      </c>
      <c r="D401" t="s">
        <v>28</v>
      </c>
      <c r="E401" t="s">
        <v>16</v>
      </c>
      <c r="F401" t="s">
        <v>34</v>
      </c>
      <c r="G401">
        <v>2</v>
      </c>
      <c r="H401">
        <v>0</v>
      </c>
      <c r="I401" t="s">
        <v>35</v>
      </c>
      <c r="J401" t="s">
        <v>31</v>
      </c>
      <c r="K401" t="s">
        <v>40</v>
      </c>
      <c r="L401">
        <v>2</v>
      </c>
      <c r="M401">
        <v>0</v>
      </c>
      <c r="N401">
        <v>1</v>
      </c>
      <c r="O401" t="s">
        <v>21</v>
      </c>
      <c r="P401" t="str">
        <f>TEXT(Table1[[#This Row],[order_date]],"yyyy-mm")</f>
        <v>2025-10</v>
      </c>
      <c r="Q401">
        <f>WEEKNUM(Table1[[#This Row],[order_date]])</f>
        <v>41</v>
      </c>
      <c r="R401">
        <f>IF(Table1[[#This Row],[order_status]]="completed",1,0)</f>
        <v>0</v>
      </c>
    </row>
    <row r="402" spans="1:18" x14ac:dyDescent="0.35">
      <c r="A402">
        <v>401</v>
      </c>
      <c r="B402" s="1">
        <v>45860</v>
      </c>
      <c r="C402">
        <v>1865</v>
      </c>
      <c r="D402" t="s">
        <v>32</v>
      </c>
      <c r="E402" t="s">
        <v>33</v>
      </c>
      <c r="F402" t="s">
        <v>34</v>
      </c>
      <c r="G402">
        <v>5</v>
      </c>
      <c r="H402">
        <v>0</v>
      </c>
      <c r="I402" t="s">
        <v>18</v>
      </c>
      <c r="J402" t="s">
        <v>31</v>
      </c>
      <c r="K402" t="s">
        <v>20</v>
      </c>
      <c r="L402">
        <v>8</v>
      </c>
      <c r="M402">
        <v>0</v>
      </c>
      <c r="N402">
        <v>1</v>
      </c>
      <c r="O402" t="s">
        <v>27</v>
      </c>
      <c r="P402" t="str">
        <f>TEXT(Table1[[#This Row],[order_date]],"yyyy-mm")</f>
        <v>2025-07</v>
      </c>
      <c r="Q402">
        <f>WEEKNUM(Table1[[#This Row],[order_date]])</f>
        <v>30</v>
      </c>
      <c r="R402">
        <f>IF(Table1[[#This Row],[order_status]]="completed",1,0)</f>
        <v>0</v>
      </c>
    </row>
    <row r="403" spans="1:18" x14ac:dyDescent="0.35">
      <c r="A403">
        <v>402</v>
      </c>
      <c r="B403" s="1">
        <v>46018</v>
      </c>
      <c r="C403">
        <v>1149</v>
      </c>
      <c r="D403" t="s">
        <v>15</v>
      </c>
      <c r="E403" t="s">
        <v>33</v>
      </c>
      <c r="F403" t="s">
        <v>30</v>
      </c>
      <c r="G403">
        <v>3</v>
      </c>
      <c r="H403">
        <v>0</v>
      </c>
      <c r="I403" t="s">
        <v>39</v>
      </c>
      <c r="J403" t="s">
        <v>37</v>
      </c>
      <c r="K403" t="s">
        <v>20</v>
      </c>
      <c r="L403">
        <v>2</v>
      </c>
      <c r="M403">
        <v>1</v>
      </c>
      <c r="N403">
        <v>1</v>
      </c>
      <c r="O403" t="s">
        <v>27</v>
      </c>
      <c r="P403" t="str">
        <f>TEXT(Table1[[#This Row],[order_date]],"yyyy-mm")</f>
        <v>2025-12</v>
      </c>
      <c r="Q403">
        <f>WEEKNUM(Table1[[#This Row],[order_date]])</f>
        <v>52</v>
      </c>
      <c r="R403">
        <f>IF(Table1[[#This Row],[order_status]]="completed",1,0)</f>
        <v>0</v>
      </c>
    </row>
    <row r="404" spans="1:18" x14ac:dyDescent="0.35">
      <c r="A404">
        <v>403</v>
      </c>
      <c r="B404" s="1">
        <v>45892</v>
      </c>
      <c r="C404">
        <v>1626</v>
      </c>
      <c r="D404" t="s">
        <v>41</v>
      </c>
      <c r="E404" t="s">
        <v>33</v>
      </c>
      <c r="F404" t="s">
        <v>34</v>
      </c>
      <c r="G404">
        <v>5</v>
      </c>
      <c r="H404">
        <v>0</v>
      </c>
      <c r="I404" t="s">
        <v>35</v>
      </c>
      <c r="J404" t="s">
        <v>37</v>
      </c>
      <c r="K404" t="s">
        <v>20</v>
      </c>
      <c r="L404">
        <v>6</v>
      </c>
      <c r="M404">
        <v>1</v>
      </c>
      <c r="N404">
        <v>0</v>
      </c>
      <c r="O404" t="s">
        <v>27</v>
      </c>
      <c r="P404" t="str">
        <f>TEXT(Table1[[#This Row],[order_date]],"yyyy-mm")</f>
        <v>2025-08</v>
      </c>
      <c r="Q404">
        <f>WEEKNUM(Table1[[#This Row],[order_date]])</f>
        <v>34</v>
      </c>
      <c r="R404">
        <f>IF(Table1[[#This Row],[order_status]]="completed",1,0)</f>
        <v>0</v>
      </c>
    </row>
    <row r="405" spans="1:18" x14ac:dyDescent="0.35">
      <c r="A405">
        <v>404</v>
      </c>
      <c r="B405" s="1">
        <v>45938</v>
      </c>
      <c r="C405">
        <v>1512</v>
      </c>
      <c r="D405" t="s">
        <v>28</v>
      </c>
      <c r="E405" t="s">
        <v>29</v>
      </c>
      <c r="F405" t="s">
        <v>24</v>
      </c>
      <c r="G405">
        <v>2</v>
      </c>
      <c r="H405">
        <v>0</v>
      </c>
      <c r="I405" t="s">
        <v>25</v>
      </c>
      <c r="J405" t="s">
        <v>31</v>
      </c>
      <c r="K405" t="s">
        <v>20</v>
      </c>
      <c r="L405">
        <v>3</v>
      </c>
      <c r="M405">
        <v>1</v>
      </c>
      <c r="N405">
        <v>1</v>
      </c>
      <c r="O405" t="s">
        <v>27</v>
      </c>
      <c r="P405" t="str">
        <f>TEXT(Table1[[#This Row],[order_date]],"yyyy-mm")</f>
        <v>2025-10</v>
      </c>
      <c r="Q405">
        <f>WEEKNUM(Table1[[#This Row],[order_date]])</f>
        <v>41</v>
      </c>
      <c r="R405">
        <f>IF(Table1[[#This Row],[order_status]]="completed",1,0)</f>
        <v>0</v>
      </c>
    </row>
    <row r="406" spans="1:18" x14ac:dyDescent="0.35">
      <c r="A406">
        <v>405</v>
      </c>
      <c r="B406" s="1">
        <v>45860</v>
      </c>
      <c r="C406">
        <v>1569</v>
      </c>
      <c r="D406" t="s">
        <v>15</v>
      </c>
      <c r="E406" t="s">
        <v>29</v>
      </c>
      <c r="F406" t="s">
        <v>17</v>
      </c>
      <c r="G406">
        <v>5</v>
      </c>
      <c r="H406">
        <v>21600</v>
      </c>
      <c r="I406" t="s">
        <v>35</v>
      </c>
      <c r="J406" t="s">
        <v>19</v>
      </c>
      <c r="K406" t="s">
        <v>26</v>
      </c>
      <c r="L406">
        <v>5</v>
      </c>
      <c r="M406">
        <v>0</v>
      </c>
      <c r="N406">
        <v>0</v>
      </c>
      <c r="O406" t="s">
        <v>27</v>
      </c>
      <c r="P406" t="str">
        <f>TEXT(Table1[[#This Row],[order_date]],"yyyy-mm")</f>
        <v>2025-07</v>
      </c>
      <c r="Q406">
        <f>WEEKNUM(Table1[[#This Row],[order_date]])</f>
        <v>30</v>
      </c>
      <c r="R406">
        <f>IF(Table1[[#This Row],[order_status]]="completed",1,0)</f>
        <v>1</v>
      </c>
    </row>
    <row r="407" spans="1:18" x14ac:dyDescent="0.35">
      <c r="A407">
        <v>406</v>
      </c>
      <c r="B407" s="1">
        <v>45855</v>
      </c>
      <c r="C407">
        <v>1443</v>
      </c>
      <c r="D407" t="s">
        <v>22</v>
      </c>
      <c r="E407" t="s">
        <v>23</v>
      </c>
      <c r="F407" t="s">
        <v>17</v>
      </c>
      <c r="G407">
        <v>3</v>
      </c>
      <c r="H407">
        <v>0</v>
      </c>
      <c r="I407" t="s">
        <v>39</v>
      </c>
      <c r="J407" t="s">
        <v>37</v>
      </c>
      <c r="K407" t="s">
        <v>20</v>
      </c>
      <c r="L407">
        <v>1</v>
      </c>
      <c r="M407">
        <v>0</v>
      </c>
      <c r="N407">
        <v>1</v>
      </c>
      <c r="O407" t="s">
        <v>27</v>
      </c>
      <c r="P407" t="str">
        <f>TEXT(Table1[[#This Row],[order_date]],"yyyy-mm")</f>
        <v>2025-07</v>
      </c>
      <c r="Q407">
        <f>WEEKNUM(Table1[[#This Row],[order_date]])</f>
        <v>29</v>
      </c>
      <c r="R407">
        <f>IF(Table1[[#This Row],[order_status]]="completed",1,0)</f>
        <v>0</v>
      </c>
    </row>
    <row r="408" spans="1:18" x14ac:dyDescent="0.35">
      <c r="A408">
        <v>407</v>
      </c>
      <c r="B408" s="1">
        <v>45965</v>
      </c>
      <c r="C408">
        <v>1501</v>
      </c>
      <c r="D408" t="s">
        <v>28</v>
      </c>
      <c r="E408" t="s">
        <v>33</v>
      </c>
      <c r="F408" t="s">
        <v>34</v>
      </c>
      <c r="G408">
        <v>2</v>
      </c>
      <c r="H408">
        <v>0</v>
      </c>
      <c r="I408" t="s">
        <v>35</v>
      </c>
      <c r="J408" t="s">
        <v>37</v>
      </c>
      <c r="K408" t="s">
        <v>40</v>
      </c>
      <c r="L408">
        <v>1</v>
      </c>
      <c r="M408">
        <v>1</v>
      </c>
      <c r="N408">
        <v>0</v>
      </c>
      <c r="O408" t="s">
        <v>27</v>
      </c>
      <c r="P408" t="str">
        <f>TEXT(Table1[[#This Row],[order_date]],"yyyy-mm")</f>
        <v>2025-11</v>
      </c>
      <c r="Q408">
        <f>WEEKNUM(Table1[[#This Row],[order_date]])</f>
        <v>45</v>
      </c>
      <c r="R408">
        <f>IF(Table1[[#This Row],[order_status]]="completed",1,0)</f>
        <v>0</v>
      </c>
    </row>
    <row r="409" spans="1:18" x14ac:dyDescent="0.35">
      <c r="A409">
        <v>408</v>
      </c>
      <c r="B409" s="1">
        <v>45877</v>
      </c>
      <c r="C409">
        <v>1474</v>
      </c>
      <c r="D409" t="s">
        <v>28</v>
      </c>
      <c r="E409" t="s">
        <v>29</v>
      </c>
      <c r="F409" t="s">
        <v>17</v>
      </c>
      <c r="G409">
        <v>5</v>
      </c>
      <c r="H409">
        <v>0</v>
      </c>
      <c r="I409" t="s">
        <v>39</v>
      </c>
      <c r="J409" t="s">
        <v>37</v>
      </c>
      <c r="K409" t="s">
        <v>26</v>
      </c>
      <c r="L409">
        <v>4</v>
      </c>
      <c r="M409">
        <v>1</v>
      </c>
      <c r="N409">
        <v>1</v>
      </c>
      <c r="O409" t="s">
        <v>27</v>
      </c>
      <c r="P409" t="str">
        <f>TEXT(Table1[[#This Row],[order_date]],"yyyy-mm")</f>
        <v>2025-08</v>
      </c>
      <c r="Q409">
        <f>WEEKNUM(Table1[[#This Row],[order_date]])</f>
        <v>32</v>
      </c>
      <c r="R409">
        <f>IF(Table1[[#This Row],[order_status]]="completed",1,0)</f>
        <v>0</v>
      </c>
    </row>
    <row r="410" spans="1:18" x14ac:dyDescent="0.35">
      <c r="A410">
        <v>409</v>
      </c>
      <c r="B410" s="1">
        <v>45853</v>
      </c>
      <c r="C410">
        <v>1040</v>
      </c>
      <c r="D410" t="s">
        <v>15</v>
      </c>
      <c r="E410" t="s">
        <v>33</v>
      </c>
      <c r="F410" t="s">
        <v>30</v>
      </c>
      <c r="G410">
        <v>2</v>
      </c>
      <c r="H410">
        <v>3812</v>
      </c>
      <c r="I410" t="s">
        <v>39</v>
      </c>
      <c r="J410" t="s">
        <v>19</v>
      </c>
      <c r="K410" t="s">
        <v>38</v>
      </c>
      <c r="L410">
        <v>5</v>
      </c>
      <c r="M410">
        <v>0</v>
      </c>
      <c r="N410">
        <v>0</v>
      </c>
      <c r="O410" t="s">
        <v>21</v>
      </c>
      <c r="P410" t="str">
        <f>TEXT(Table1[[#This Row],[order_date]],"yyyy-mm")</f>
        <v>2025-07</v>
      </c>
      <c r="Q410">
        <f>WEEKNUM(Table1[[#This Row],[order_date]])</f>
        <v>29</v>
      </c>
      <c r="R410">
        <f>IF(Table1[[#This Row],[order_status]]="completed",1,0)</f>
        <v>1</v>
      </c>
    </row>
    <row r="411" spans="1:18" x14ac:dyDescent="0.35">
      <c r="A411">
        <v>410</v>
      </c>
      <c r="B411" s="1">
        <v>45968</v>
      </c>
      <c r="C411">
        <v>1022</v>
      </c>
      <c r="D411" t="s">
        <v>15</v>
      </c>
      <c r="E411" t="s">
        <v>36</v>
      </c>
      <c r="F411" t="s">
        <v>17</v>
      </c>
      <c r="G411">
        <v>4</v>
      </c>
      <c r="H411">
        <v>15528</v>
      </c>
      <c r="I411" t="s">
        <v>25</v>
      </c>
      <c r="J411" t="s">
        <v>19</v>
      </c>
      <c r="K411" t="s">
        <v>40</v>
      </c>
      <c r="L411">
        <v>1</v>
      </c>
      <c r="M411">
        <v>0</v>
      </c>
      <c r="N411">
        <v>1</v>
      </c>
      <c r="O411" t="s">
        <v>27</v>
      </c>
      <c r="P411" t="str">
        <f>TEXT(Table1[[#This Row],[order_date]],"yyyy-mm")</f>
        <v>2025-11</v>
      </c>
      <c r="Q411">
        <f>WEEKNUM(Table1[[#This Row],[order_date]])</f>
        <v>45</v>
      </c>
      <c r="R411">
        <f>IF(Table1[[#This Row],[order_status]]="completed",1,0)</f>
        <v>1</v>
      </c>
    </row>
    <row r="412" spans="1:18" x14ac:dyDescent="0.35">
      <c r="A412">
        <v>411</v>
      </c>
      <c r="B412" s="1">
        <v>46021</v>
      </c>
      <c r="C412">
        <v>1045</v>
      </c>
      <c r="D412" t="s">
        <v>41</v>
      </c>
      <c r="E412" t="s">
        <v>29</v>
      </c>
      <c r="F412" t="s">
        <v>34</v>
      </c>
      <c r="G412">
        <v>2</v>
      </c>
      <c r="H412">
        <v>7194</v>
      </c>
      <c r="I412" t="s">
        <v>35</v>
      </c>
      <c r="J412" t="s">
        <v>19</v>
      </c>
      <c r="K412" t="s">
        <v>26</v>
      </c>
      <c r="L412">
        <v>10</v>
      </c>
      <c r="M412">
        <v>0</v>
      </c>
      <c r="N412">
        <v>1</v>
      </c>
      <c r="O412" t="s">
        <v>27</v>
      </c>
      <c r="P412" t="str">
        <f>TEXT(Table1[[#This Row],[order_date]],"yyyy-mm")</f>
        <v>2025-12</v>
      </c>
      <c r="Q412">
        <f>WEEKNUM(Table1[[#This Row],[order_date]])</f>
        <v>53</v>
      </c>
      <c r="R412">
        <f>IF(Table1[[#This Row],[order_status]]="completed",1,0)</f>
        <v>1</v>
      </c>
    </row>
    <row r="413" spans="1:18" x14ac:dyDescent="0.35">
      <c r="A413">
        <v>412</v>
      </c>
      <c r="B413" s="1">
        <v>45870</v>
      </c>
      <c r="C413">
        <v>1974</v>
      </c>
      <c r="D413" t="s">
        <v>15</v>
      </c>
      <c r="E413" t="s">
        <v>23</v>
      </c>
      <c r="F413" t="s">
        <v>30</v>
      </c>
      <c r="G413">
        <v>2</v>
      </c>
      <c r="H413">
        <v>0</v>
      </c>
      <c r="I413" t="s">
        <v>35</v>
      </c>
      <c r="J413" t="s">
        <v>37</v>
      </c>
      <c r="K413" t="s">
        <v>40</v>
      </c>
      <c r="L413">
        <v>10</v>
      </c>
      <c r="M413">
        <v>1</v>
      </c>
      <c r="N413">
        <v>0</v>
      </c>
      <c r="O413" t="s">
        <v>21</v>
      </c>
      <c r="P413" t="str">
        <f>TEXT(Table1[[#This Row],[order_date]],"yyyy-mm")</f>
        <v>2025-08</v>
      </c>
      <c r="Q413">
        <f>WEEKNUM(Table1[[#This Row],[order_date]])</f>
        <v>31</v>
      </c>
      <c r="R413">
        <f>IF(Table1[[#This Row],[order_status]]="completed",1,0)</f>
        <v>0</v>
      </c>
    </row>
    <row r="414" spans="1:18" x14ac:dyDescent="0.35">
      <c r="A414">
        <v>413</v>
      </c>
      <c r="B414" s="1">
        <v>46021</v>
      </c>
      <c r="C414">
        <v>1051</v>
      </c>
      <c r="D414" t="s">
        <v>22</v>
      </c>
      <c r="E414" t="s">
        <v>23</v>
      </c>
      <c r="F414" t="s">
        <v>24</v>
      </c>
      <c r="G414">
        <v>4</v>
      </c>
      <c r="H414">
        <v>0</v>
      </c>
      <c r="I414" t="s">
        <v>18</v>
      </c>
      <c r="J414" t="s">
        <v>31</v>
      </c>
      <c r="K414" t="s">
        <v>20</v>
      </c>
      <c r="L414">
        <v>7</v>
      </c>
      <c r="M414">
        <v>0</v>
      </c>
      <c r="N414">
        <v>0</v>
      </c>
      <c r="O414" t="s">
        <v>21</v>
      </c>
      <c r="P414" t="str">
        <f>TEXT(Table1[[#This Row],[order_date]],"yyyy-mm")</f>
        <v>2025-12</v>
      </c>
      <c r="Q414">
        <f>WEEKNUM(Table1[[#This Row],[order_date]])</f>
        <v>53</v>
      </c>
      <c r="R414">
        <f>IF(Table1[[#This Row],[order_status]]="completed",1,0)</f>
        <v>0</v>
      </c>
    </row>
    <row r="415" spans="1:18" x14ac:dyDescent="0.35">
      <c r="A415">
        <v>414</v>
      </c>
      <c r="B415" s="1">
        <v>45991</v>
      </c>
      <c r="C415">
        <v>1992</v>
      </c>
      <c r="D415" t="s">
        <v>22</v>
      </c>
      <c r="E415" t="s">
        <v>29</v>
      </c>
      <c r="F415" t="s">
        <v>30</v>
      </c>
      <c r="G415">
        <v>4</v>
      </c>
      <c r="H415">
        <v>14876</v>
      </c>
      <c r="I415" t="s">
        <v>25</v>
      </c>
      <c r="J415" t="s">
        <v>19</v>
      </c>
      <c r="K415" t="s">
        <v>38</v>
      </c>
      <c r="L415">
        <v>5</v>
      </c>
      <c r="M415">
        <v>0</v>
      </c>
      <c r="N415">
        <v>0</v>
      </c>
      <c r="O415" t="s">
        <v>21</v>
      </c>
      <c r="P415" t="str">
        <f>TEXT(Table1[[#This Row],[order_date]],"yyyy-mm")</f>
        <v>2025-11</v>
      </c>
      <c r="Q415">
        <f>WEEKNUM(Table1[[#This Row],[order_date]])</f>
        <v>49</v>
      </c>
      <c r="R415">
        <f>IF(Table1[[#This Row],[order_status]]="completed",1,0)</f>
        <v>1</v>
      </c>
    </row>
    <row r="416" spans="1:18" x14ac:dyDescent="0.35">
      <c r="A416">
        <v>415</v>
      </c>
      <c r="B416" s="1">
        <v>46019</v>
      </c>
      <c r="C416">
        <v>1352</v>
      </c>
      <c r="D416" t="s">
        <v>28</v>
      </c>
      <c r="E416" t="s">
        <v>23</v>
      </c>
      <c r="F416" t="s">
        <v>30</v>
      </c>
      <c r="G416">
        <v>1</v>
      </c>
      <c r="H416">
        <v>0</v>
      </c>
      <c r="I416" t="s">
        <v>18</v>
      </c>
      <c r="J416" t="s">
        <v>37</v>
      </c>
      <c r="K416" t="s">
        <v>38</v>
      </c>
      <c r="L416">
        <v>9</v>
      </c>
      <c r="M416">
        <v>0</v>
      </c>
      <c r="N416">
        <v>0</v>
      </c>
      <c r="O416" t="s">
        <v>21</v>
      </c>
      <c r="P416" t="str">
        <f>TEXT(Table1[[#This Row],[order_date]],"yyyy-mm")</f>
        <v>2025-12</v>
      </c>
      <c r="Q416">
        <f>WEEKNUM(Table1[[#This Row],[order_date]])</f>
        <v>53</v>
      </c>
      <c r="R416">
        <f>IF(Table1[[#This Row],[order_status]]="completed",1,0)</f>
        <v>0</v>
      </c>
    </row>
    <row r="417" spans="1:18" x14ac:dyDescent="0.35">
      <c r="A417">
        <v>416</v>
      </c>
      <c r="B417" s="1">
        <v>45858</v>
      </c>
      <c r="C417">
        <v>1700</v>
      </c>
      <c r="D417" t="s">
        <v>41</v>
      </c>
      <c r="E417" t="s">
        <v>33</v>
      </c>
      <c r="F417" t="s">
        <v>30</v>
      </c>
      <c r="G417">
        <v>4</v>
      </c>
      <c r="H417">
        <v>7400</v>
      </c>
      <c r="I417" t="s">
        <v>18</v>
      </c>
      <c r="J417" t="s">
        <v>19</v>
      </c>
      <c r="K417" t="s">
        <v>26</v>
      </c>
      <c r="L417">
        <v>1</v>
      </c>
      <c r="M417">
        <v>0</v>
      </c>
      <c r="N417">
        <v>0</v>
      </c>
      <c r="O417" t="s">
        <v>27</v>
      </c>
      <c r="P417" t="str">
        <f>TEXT(Table1[[#This Row],[order_date]],"yyyy-mm")</f>
        <v>2025-07</v>
      </c>
      <c r="Q417">
        <f>WEEKNUM(Table1[[#This Row],[order_date]])</f>
        <v>30</v>
      </c>
      <c r="R417">
        <f>IF(Table1[[#This Row],[order_status]]="completed",1,0)</f>
        <v>1</v>
      </c>
    </row>
    <row r="418" spans="1:18" x14ac:dyDescent="0.35">
      <c r="A418">
        <v>417</v>
      </c>
      <c r="B418" s="1">
        <v>45928</v>
      </c>
      <c r="C418">
        <v>1643</v>
      </c>
      <c r="D418" t="s">
        <v>32</v>
      </c>
      <c r="E418" t="s">
        <v>33</v>
      </c>
      <c r="F418" t="s">
        <v>34</v>
      </c>
      <c r="G418">
        <v>5</v>
      </c>
      <c r="H418">
        <v>0</v>
      </c>
      <c r="I418" t="s">
        <v>18</v>
      </c>
      <c r="J418" t="s">
        <v>37</v>
      </c>
      <c r="K418" t="s">
        <v>40</v>
      </c>
      <c r="L418">
        <v>5</v>
      </c>
      <c r="M418">
        <v>1</v>
      </c>
      <c r="N418">
        <v>0</v>
      </c>
      <c r="O418" t="s">
        <v>27</v>
      </c>
      <c r="P418" t="str">
        <f>TEXT(Table1[[#This Row],[order_date]],"yyyy-mm")</f>
        <v>2025-09</v>
      </c>
      <c r="Q418">
        <f>WEEKNUM(Table1[[#This Row],[order_date]])</f>
        <v>40</v>
      </c>
      <c r="R418">
        <f>IF(Table1[[#This Row],[order_status]]="completed",1,0)</f>
        <v>0</v>
      </c>
    </row>
    <row r="419" spans="1:18" x14ac:dyDescent="0.35">
      <c r="A419">
        <v>418</v>
      </c>
      <c r="B419" s="1">
        <v>46016</v>
      </c>
      <c r="C419">
        <v>1685</v>
      </c>
      <c r="D419" t="s">
        <v>15</v>
      </c>
      <c r="E419" t="s">
        <v>29</v>
      </c>
      <c r="F419" t="s">
        <v>34</v>
      </c>
      <c r="G419">
        <v>2</v>
      </c>
      <c r="H419">
        <v>0</v>
      </c>
      <c r="I419" t="s">
        <v>39</v>
      </c>
      <c r="J419" t="s">
        <v>31</v>
      </c>
      <c r="K419" t="s">
        <v>40</v>
      </c>
      <c r="L419">
        <v>2</v>
      </c>
      <c r="M419">
        <v>0</v>
      </c>
      <c r="N419">
        <v>0</v>
      </c>
      <c r="O419" t="s">
        <v>21</v>
      </c>
      <c r="P419" t="str">
        <f>TEXT(Table1[[#This Row],[order_date]],"yyyy-mm")</f>
        <v>2025-12</v>
      </c>
      <c r="Q419">
        <f>WEEKNUM(Table1[[#This Row],[order_date]])</f>
        <v>52</v>
      </c>
      <c r="R419">
        <f>IF(Table1[[#This Row],[order_status]]="completed",1,0)</f>
        <v>0</v>
      </c>
    </row>
    <row r="420" spans="1:18" x14ac:dyDescent="0.35">
      <c r="A420">
        <v>419</v>
      </c>
      <c r="B420" s="1">
        <v>45910</v>
      </c>
      <c r="C420">
        <v>1906</v>
      </c>
      <c r="D420" t="s">
        <v>32</v>
      </c>
      <c r="E420" t="s">
        <v>23</v>
      </c>
      <c r="F420" t="s">
        <v>24</v>
      </c>
      <c r="G420">
        <v>5</v>
      </c>
      <c r="H420">
        <v>0</v>
      </c>
      <c r="I420" t="s">
        <v>18</v>
      </c>
      <c r="J420" t="s">
        <v>31</v>
      </c>
      <c r="K420" t="s">
        <v>40</v>
      </c>
      <c r="L420">
        <v>5</v>
      </c>
      <c r="M420">
        <v>1</v>
      </c>
      <c r="N420">
        <v>1</v>
      </c>
      <c r="O420" t="s">
        <v>21</v>
      </c>
      <c r="P420" t="str">
        <f>TEXT(Table1[[#This Row],[order_date]],"yyyy-mm")</f>
        <v>2025-09</v>
      </c>
      <c r="Q420">
        <f>WEEKNUM(Table1[[#This Row],[order_date]])</f>
        <v>37</v>
      </c>
      <c r="R420">
        <f>IF(Table1[[#This Row],[order_status]]="completed",1,0)</f>
        <v>0</v>
      </c>
    </row>
    <row r="421" spans="1:18" x14ac:dyDescent="0.35">
      <c r="A421">
        <v>420</v>
      </c>
      <c r="B421" s="1">
        <v>45898</v>
      </c>
      <c r="C421">
        <v>1496</v>
      </c>
      <c r="D421" t="s">
        <v>15</v>
      </c>
      <c r="E421" t="s">
        <v>16</v>
      </c>
      <c r="F421" t="s">
        <v>30</v>
      </c>
      <c r="G421">
        <v>3</v>
      </c>
      <c r="H421">
        <v>0</v>
      </c>
      <c r="I421" t="s">
        <v>35</v>
      </c>
      <c r="J421" t="s">
        <v>37</v>
      </c>
      <c r="K421" t="s">
        <v>38</v>
      </c>
      <c r="L421">
        <v>2</v>
      </c>
      <c r="M421">
        <v>1</v>
      </c>
      <c r="N421">
        <v>0</v>
      </c>
      <c r="O421" t="s">
        <v>21</v>
      </c>
      <c r="P421" t="str">
        <f>TEXT(Table1[[#This Row],[order_date]],"yyyy-mm")</f>
        <v>2025-08</v>
      </c>
      <c r="Q421">
        <f>WEEKNUM(Table1[[#This Row],[order_date]])</f>
        <v>35</v>
      </c>
      <c r="R421">
        <f>IF(Table1[[#This Row],[order_status]]="completed",1,0)</f>
        <v>0</v>
      </c>
    </row>
    <row r="422" spans="1:18" x14ac:dyDescent="0.35">
      <c r="A422">
        <v>421</v>
      </c>
      <c r="B422" s="1">
        <v>45966</v>
      </c>
      <c r="C422">
        <v>1849</v>
      </c>
      <c r="D422" t="s">
        <v>32</v>
      </c>
      <c r="E422" t="s">
        <v>29</v>
      </c>
      <c r="F422" t="s">
        <v>30</v>
      </c>
      <c r="G422">
        <v>2</v>
      </c>
      <c r="H422">
        <v>0</v>
      </c>
      <c r="I422" t="s">
        <v>18</v>
      </c>
      <c r="J422" t="s">
        <v>37</v>
      </c>
      <c r="K422" t="s">
        <v>40</v>
      </c>
      <c r="L422">
        <v>5</v>
      </c>
      <c r="M422">
        <v>0</v>
      </c>
      <c r="N422">
        <v>1</v>
      </c>
      <c r="O422" t="s">
        <v>27</v>
      </c>
      <c r="P422" t="str">
        <f>TEXT(Table1[[#This Row],[order_date]],"yyyy-mm")</f>
        <v>2025-11</v>
      </c>
      <c r="Q422">
        <f>WEEKNUM(Table1[[#This Row],[order_date]])</f>
        <v>45</v>
      </c>
      <c r="R422">
        <f>IF(Table1[[#This Row],[order_status]]="completed",1,0)</f>
        <v>0</v>
      </c>
    </row>
    <row r="423" spans="1:18" x14ac:dyDescent="0.35">
      <c r="A423">
        <v>422</v>
      </c>
      <c r="B423" s="1">
        <v>46015</v>
      </c>
      <c r="C423">
        <v>1099</v>
      </c>
      <c r="D423" t="s">
        <v>15</v>
      </c>
      <c r="E423" t="s">
        <v>16</v>
      </c>
      <c r="F423" t="s">
        <v>34</v>
      </c>
      <c r="G423">
        <v>1</v>
      </c>
      <c r="H423">
        <v>0</v>
      </c>
      <c r="I423" t="s">
        <v>39</v>
      </c>
      <c r="J423" t="s">
        <v>31</v>
      </c>
      <c r="K423" t="s">
        <v>38</v>
      </c>
      <c r="L423">
        <v>4</v>
      </c>
      <c r="M423">
        <v>0</v>
      </c>
      <c r="N423">
        <v>1</v>
      </c>
      <c r="O423" t="s">
        <v>27</v>
      </c>
      <c r="P423" t="str">
        <f>TEXT(Table1[[#This Row],[order_date]],"yyyy-mm")</f>
        <v>2025-12</v>
      </c>
      <c r="Q423">
        <f>WEEKNUM(Table1[[#This Row],[order_date]])</f>
        <v>52</v>
      </c>
      <c r="R423">
        <f>IF(Table1[[#This Row],[order_status]]="completed",1,0)</f>
        <v>0</v>
      </c>
    </row>
    <row r="424" spans="1:18" x14ac:dyDescent="0.35">
      <c r="A424">
        <v>423</v>
      </c>
      <c r="B424" s="1">
        <v>45950</v>
      </c>
      <c r="C424">
        <v>1533</v>
      </c>
      <c r="D424" t="s">
        <v>28</v>
      </c>
      <c r="E424" t="s">
        <v>23</v>
      </c>
      <c r="F424" t="s">
        <v>24</v>
      </c>
      <c r="G424">
        <v>5</v>
      </c>
      <c r="H424">
        <v>3690</v>
      </c>
      <c r="I424" t="s">
        <v>35</v>
      </c>
      <c r="J424" t="s">
        <v>19</v>
      </c>
      <c r="K424" t="s">
        <v>20</v>
      </c>
      <c r="L424">
        <v>5</v>
      </c>
      <c r="M424">
        <v>1</v>
      </c>
      <c r="N424">
        <v>0</v>
      </c>
      <c r="O424" t="s">
        <v>27</v>
      </c>
      <c r="P424" t="str">
        <f>TEXT(Table1[[#This Row],[order_date]],"yyyy-mm")</f>
        <v>2025-10</v>
      </c>
      <c r="Q424">
        <f>WEEKNUM(Table1[[#This Row],[order_date]])</f>
        <v>43</v>
      </c>
      <c r="R424">
        <f>IF(Table1[[#This Row],[order_status]]="completed",1,0)</f>
        <v>1</v>
      </c>
    </row>
    <row r="425" spans="1:18" x14ac:dyDescent="0.35">
      <c r="A425">
        <v>424</v>
      </c>
      <c r="B425" s="1">
        <v>45879</v>
      </c>
      <c r="C425">
        <v>1294</v>
      </c>
      <c r="D425" t="s">
        <v>41</v>
      </c>
      <c r="E425" t="s">
        <v>29</v>
      </c>
      <c r="F425" t="s">
        <v>24</v>
      </c>
      <c r="G425">
        <v>1</v>
      </c>
      <c r="H425">
        <v>0</v>
      </c>
      <c r="I425" t="s">
        <v>35</v>
      </c>
      <c r="J425" t="s">
        <v>37</v>
      </c>
      <c r="K425" t="s">
        <v>38</v>
      </c>
      <c r="L425">
        <v>7</v>
      </c>
      <c r="M425">
        <v>1</v>
      </c>
      <c r="N425">
        <v>0</v>
      </c>
      <c r="O425" t="s">
        <v>27</v>
      </c>
      <c r="P425" t="str">
        <f>TEXT(Table1[[#This Row],[order_date]],"yyyy-mm")</f>
        <v>2025-08</v>
      </c>
      <c r="Q425">
        <f>WEEKNUM(Table1[[#This Row],[order_date]])</f>
        <v>33</v>
      </c>
      <c r="R425">
        <f>IF(Table1[[#This Row],[order_status]]="completed",1,0)</f>
        <v>0</v>
      </c>
    </row>
    <row r="426" spans="1:18" x14ac:dyDescent="0.35">
      <c r="A426">
        <v>425</v>
      </c>
      <c r="B426" s="1">
        <v>45879</v>
      </c>
      <c r="C426">
        <v>1222</v>
      </c>
      <c r="D426" t="s">
        <v>22</v>
      </c>
      <c r="E426" t="s">
        <v>23</v>
      </c>
      <c r="F426" t="s">
        <v>34</v>
      </c>
      <c r="G426">
        <v>1</v>
      </c>
      <c r="H426">
        <v>2870</v>
      </c>
      <c r="I426" t="s">
        <v>25</v>
      </c>
      <c r="J426" t="s">
        <v>19</v>
      </c>
      <c r="K426" t="s">
        <v>38</v>
      </c>
      <c r="L426">
        <v>2</v>
      </c>
      <c r="M426">
        <v>1</v>
      </c>
      <c r="N426">
        <v>1</v>
      </c>
      <c r="O426" t="s">
        <v>27</v>
      </c>
      <c r="P426" t="str">
        <f>TEXT(Table1[[#This Row],[order_date]],"yyyy-mm")</f>
        <v>2025-08</v>
      </c>
      <c r="Q426">
        <f>WEEKNUM(Table1[[#This Row],[order_date]])</f>
        <v>33</v>
      </c>
      <c r="R426">
        <f>IF(Table1[[#This Row],[order_status]]="completed",1,0)</f>
        <v>1</v>
      </c>
    </row>
    <row r="427" spans="1:18" x14ac:dyDescent="0.35">
      <c r="A427">
        <v>426</v>
      </c>
      <c r="B427" s="1">
        <v>45948</v>
      </c>
      <c r="C427">
        <v>1934</v>
      </c>
      <c r="D427" t="s">
        <v>32</v>
      </c>
      <c r="E427" t="s">
        <v>33</v>
      </c>
      <c r="F427" t="s">
        <v>34</v>
      </c>
      <c r="G427">
        <v>1</v>
      </c>
      <c r="H427">
        <v>4916</v>
      </c>
      <c r="I427" t="s">
        <v>18</v>
      </c>
      <c r="J427" t="s">
        <v>19</v>
      </c>
      <c r="K427" t="s">
        <v>40</v>
      </c>
      <c r="L427">
        <v>7</v>
      </c>
      <c r="M427">
        <v>0</v>
      </c>
      <c r="N427">
        <v>0</v>
      </c>
      <c r="O427" t="s">
        <v>21</v>
      </c>
      <c r="P427" t="str">
        <f>TEXT(Table1[[#This Row],[order_date]],"yyyy-mm")</f>
        <v>2025-10</v>
      </c>
      <c r="Q427">
        <f>WEEKNUM(Table1[[#This Row],[order_date]])</f>
        <v>42</v>
      </c>
      <c r="R427">
        <f>IF(Table1[[#This Row],[order_status]]="completed",1,0)</f>
        <v>1</v>
      </c>
    </row>
    <row r="428" spans="1:18" x14ac:dyDescent="0.35">
      <c r="A428">
        <v>427</v>
      </c>
      <c r="B428" s="1">
        <v>45878</v>
      </c>
      <c r="C428">
        <v>1716</v>
      </c>
      <c r="D428" t="s">
        <v>32</v>
      </c>
      <c r="E428" t="s">
        <v>16</v>
      </c>
      <c r="F428" t="s">
        <v>17</v>
      </c>
      <c r="G428">
        <v>5</v>
      </c>
      <c r="H428">
        <v>0</v>
      </c>
      <c r="I428" t="s">
        <v>18</v>
      </c>
      <c r="J428" t="s">
        <v>37</v>
      </c>
      <c r="K428" t="s">
        <v>20</v>
      </c>
      <c r="L428">
        <v>4</v>
      </c>
      <c r="M428">
        <v>1</v>
      </c>
      <c r="N428">
        <v>0</v>
      </c>
      <c r="O428" t="s">
        <v>21</v>
      </c>
      <c r="P428" t="str">
        <f>TEXT(Table1[[#This Row],[order_date]],"yyyy-mm")</f>
        <v>2025-08</v>
      </c>
      <c r="Q428">
        <f>WEEKNUM(Table1[[#This Row],[order_date]])</f>
        <v>32</v>
      </c>
      <c r="R428">
        <f>IF(Table1[[#This Row],[order_status]]="completed",1,0)</f>
        <v>0</v>
      </c>
    </row>
    <row r="429" spans="1:18" x14ac:dyDescent="0.35">
      <c r="A429">
        <v>428</v>
      </c>
      <c r="B429" s="1">
        <v>45882</v>
      </c>
      <c r="C429">
        <v>1694</v>
      </c>
      <c r="D429" t="s">
        <v>15</v>
      </c>
      <c r="E429" t="s">
        <v>16</v>
      </c>
      <c r="F429" t="s">
        <v>30</v>
      </c>
      <c r="G429">
        <v>5</v>
      </c>
      <c r="H429">
        <v>0</v>
      </c>
      <c r="I429" t="s">
        <v>39</v>
      </c>
      <c r="J429" t="s">
        <v>31</v>
      </c>
      <c r="K429" t="s">
        <v>40</v>
      </c>
      <c r="L429">
        <v>1</v>
      </c>
      <c r="M429">
        <v>0</v>
      </c>
      <c r="N429">
        <v>0</v>
      </c>
      <c r="O429" t="s">
        <v>27</v>
      </c>
      <c r="P429" t="str">
        <f>TEXT(Table1[[#This Row],[order_date]],"yyyy-mm")</f>
        <v>2025-08</v>
      </c>
      <c r="Q429">
        <f>WEEKNUM(Table1[[#This Row],[order_date]])</f>
        <v>33</v>
      </c>
      <c r="R429">
        <f>IF(Table1[[#This Row],[order_status]]="completed",1,0)</f>
        <v>0</v>
      </c>
    </row>
    <row r="430" spans="1:18" x14ac:dyDescent="0.35">
      <c r="A430">
        <v>429</v>
      </c>
      <c r="B430" s="1">
        <v>45917</v>
      </c>
      <c r="C430">
        <v>1198</v>
      </c>
      <c r="D430" t="s">
        <v>15</v>
      </c>
      <c r="E430" t="s">
        <v>33</v>
      </c>
      <c r="F430" t="s">
        <v>34</v>
      </c>
      <c r="G430">
        <v>1</v>
      </c>
      <c r="H430">
        <v>4091</v>
      </c>
      <c r="I430" t="s">
        <v>18</v>
      </c>
      <c r="J430" t="s">
        <v>19</v>
      </c>
      <c r="K430" t="s">
        <v>40</v>
      </c>
      <c r="L430">
        <v>3</v>
      </c>
      <c r="M430">
        <v>0</v>
      </c>
      <c r="N430">
        <v>0</v>
      </c>
      <c r="O430" t="s">
        <v>27</v>
      </c>
      <c r="P430" t="str">
        <f>TEXT(Table1[[#This Row],[order_date]],"yyyy-mm")</f>
        <v>2025-09</v>
      </c>
      <c r="Q430">
        <f>WEEKNUM(Table1[[#This Row],[order_date]])</f>
        <v>38</v>
      </c>
      <c r="R430">
        <f>IF(Table1[[#This Row],[order_status]]="completed",1,0)</f>
        <v>1</v>
      </c>
    </row>
    <row r="431" spans="1:18" x14ac:dyDescent="0.35">
      <c r="A431">
        <v>430</v>
      </c>
      <c r="B431" s="1">
        <v>45895</v>
      </c>
      <c r="C431">
        <v>1115</v>
      </c>
      <c r="D431" t="s">
        <v>28</v>
      </c>
      <c r="E431" t="s">
        <v>16</v>
      </c>
      <c r="F431" t="s">
        <v>34</v>
      </c>
      <c r="G431">
        <v>4</v>
      </c>
      <c r="H431">
        <v>0</v>
      </c>
      <c r="I431" t="s">
        <v>39</v>
      </c>
      <c r="J431" t="s">
        <v>37</v>
      </c>
      <c r="K431" t="s">
        <v>40</v>
      </c>
      <c r="L431">
        <v>7</v>
      </c>
      <c r="M431">
        <v>1</v>
      </c>
      <c r="N431">
        <v>0</v>
      </c>
      <c r="O431" t="s">
        <v>27</v>
      </c>
      <c r="P431" t="str">
        <f>TEXT(Table1[[#This Row],[order_date]],"yyyy-mm")</f>
        <v>2025-08</v>
      </c>
      <c r="Q431">
        <f>WEEKNUM(Table1[[#This Row],[order_date]])</f>
        <v>35</v>
      </c>
      <c r="R431">
        <f>IF(Table1[[#This Row],[order_status]]="completed",1,0)</f>
        <v>0</v>
      </c>
    </row>
    <row r="432" spans="1:18" x14ac:dyDescent="0.35">
      <c r="A432">
        <v>431</v>
      </c>
      <c r="B432" s="1">
        <v>45956</v>
      </c>
      <c r="C432">
        <v>1305</v>
      </c>
      <c r="D432" t="s">
        <v>32</v>
      </c>
      <c r="E432" t="s">
        <v>23</v>
      </c>
      <c r="F432" t="s">
        <v>17</v>
      </c>
      <c r="G432">
        <v>3</v>
      </c>
      <c r="H432">
        <v>0</v>
      </c>
      <c r="I432" t="s">
        <v>25</v>
      </c>
      <c r="J432" t="s">
        <v>37</v>
      </c>
      <c r="K432" t="s">
        <v>40</v>
      </c>
      <c r="L432">
        <v>6</v>
      </c>
      <c r="M432">
        <v>0</v>
      </c>
      <c r="N432">
        <v>0</v>
      </c>
      <c r="O432" t="s">
        <v>27</v>
      </c>
      <c r="P432" t="str">
        <f>TEXT(Table1[[#This Row],[order_date]],"yyyy-mm")</f>
        <v>2025-10</v>
      </c>
      <c r="Q432">
        <f>WEEKNUM(Table1[[#This Row],[order_date]])</f>
        <v>44</v>
      </c>
      <c r="R432">
        <f>IF(Table1[[#This Row],[order_status]]="completed",1,0)</f>
        <v>0</v>
      </c>
    </row>
    <row r="433" spans="1:18" x14ac:dyDescent="0.35">
      <c r="A433">
        <v>432</v>
      </c>
      <c r="B433" s="1">
        <v>45916</v>
      </c>
      <c r="C433">
        <v>1709</v>
      </c>
      <c r="D433" t="s">
        <v>28</v>
      </c>
      <c r="E433" t="s">
        <v>36</v>
      </c>
      <c r="F433" t="s">
        <v>30</v>
      </c>
      <c r="G433">
        <v>1</v>
      </c>
      <c r="H433">
        <v>0</v>
      </c>
      <c r="I433" t="s">
        <v>25</v>
      </c>
      <c r="J433" t="s">
        <v>37</v>
      </c>
      <c r="K433" t="s">
        <v>26</v>
      </c>
      <c r="L433">
        <v>10</v>
      </c>
      <c r="M433">
        <v>1</v>
      </c>
      <c r="N433">
        <v>0</v>
      </c>
      <c r="O433" t="s">
        <v>27</v>
      </c>
      <c r="P433" t="str">
        <f>TEXT(Table1[[#This Row],[order_date]],"yyyy-mm")</f>
        <v>2025-09</v>
      </c>
      <c r="Q433">
        <f>WEEKNUM(Table1[[#This Row],[order_date]])</f>
        <v>38</v>
      </c>
      <c r="R433">
        <f>IF(Table1[[#This Row],[order_status]]="completed",1,0)</f>
        <v>0</v>
      </c>
    </row>
    <row r="434" spans="1:18" x14ac:dyDescent="0.35">
      <c r="A434">
        <v>433</v>
      </c>
      <c r="B434" s="1">
        <v>45906</v>
      </c>
      <c r="C434">
        <v>1834</v>
      </c>
      <c r="D434" t="s">
        <v>15</v>
      </c>
      <c r="E434" t="s">
        <v>33</v>
      </c>
      <c r="F434" t="s">
        <v>34</v>
      </c>
      <c r="G434">
        <v>5</v>
      </c>
      <c r="H434">
        <v>22110</v>
      </c>
      <c r="I434" t="s">
        <v>39</v>
      </c>
      <c r="J434" t="s">
        <v>19</v>
      </c>
      <c r="K434" t="s">
        <v>26</v>
      </c>
      <c r="L434">
        <v>1</v>
      </c>
      <c r="M434">
        <v>0</v>
      </c>
      <c r="N434">
        <v>1</v>
      </c>
      <c r="O434" t="s">
        <v>27</v>
      </c>
      <c r="P434" t="str">
        <f>TEXT(Table1[[#This Row],[order_date]],"yyyy-mm")</f>
        <v>2025-09</v>
      </c>
      <c r="Q434">
        <f>WEEKNUM(Table1[[#This Row],[order_date]])</f>
        <v>36</v>
      </c>
      <c r="R434">
        <f>IF(Table1[[#This Row],[order_status]]="completed",1,0)</f>
        <v>1</v>
      </c>
    </row>
    <row r="435" spans="1:18" x14ac:dyDescent="0.35">
      <c r="A435">
        <v>434</v>
      </c>
      <c r="B435" s="1">
        <v>45914</v>
      </c>
      <c r="C435">
        <v>1154</v>
      </c>
      <c r="D435" t="s">
        <v>32</v>
      </c>
      <c r="E435" t="s">
        <v>33</v>
      </c>
      <c r="F435" t="s">
        <v>34</v>
      </c>
      <c r="G435">
        <v>5</v>
      </c>
      <c r="H435">
        <v>0</v>
      </c>
      <c r="I435" t="s">
        <v>25</v>
      </c>
      <c r="J435" t="s">
        <v>37</v>
      </c>
      <c r="K435" t="s">
        <v>38</v>
      </c>
      <c r="L435">
        <v>6</v>
      </c>
      <c r="M435">
        <v>1</v>
      </c>
      <c r="N435">
        <v>1</v>
      </c>
      <c r="O435" t="s">
        <v>27</v>
      </c>
      <c r="P435" t="str">
        <f>TEXT(Table1[[#This Row],[order_date]],"yyyy-mm")</f>
        <v>2025-09</v>
      </c>
      <c r="Q435">
        <f>WEEKNUM(Table1[[#This Row],[order_date]])</f>
        <v>38</v>
      </c>
      <c r="R435">
        <f>IF(Table1[[#This Row],[order_status]]="completed",1,0)</f>
        <v>0</v>
      </c>
    </row>
    <row r="436" spans="1:18" x14ac:dyDescent="0.35">
      <c r="A436">
        <v>435</v>
      </c>
      <c r="B436" s="1">
        <v>46017</v>
      </c>
      <c r="C436">
        <v>1283</v>
      </c>
      <c r="D436" t="s">
        <v>22</v>
      </c>
      <c r="E436" t="s">
        <v>33</v>
      </c>
      <c r="F436" t="s">
        <v>30</v>
      </c>
      <c r="G436">
        <v>4</v>
      </c>
      <c r="H436">
        <v>2204</v>
      </c>
      <c r="I436" t="s">
        <v>25</v>
      </c>
      <c r="J436" t="s">
        <v>19</v>
      </c>
      <c r="K436" t="s">
        <v>20</v>
      </c>
      <c r="L436">
        <v>6</v>
      </c>
      <c r="M436">
        <v>0</v>
      </c>
      <c r="N436">
        <v>0</v>
      </c>
      <c r="O436" t="s">
        <v>21</v>
      </c>
      <c r="P436" t="str">
        <f>TEXT(Table1[[#This Row],[order_date]],"yyyy-mm")</f>
        <v>2025-12</v>
      </c>
      <c r="Q436">
        <f>WEEKNUM(Table1[[#This Row],[order_date]])</f>
        <v>52</v>
      </c>
      <c r="R436">
        <f>IF(Table1[[#This Row],[order_status]]="completed",1,0)</f>
        <v>1</v>
      </c>
    </row>
    <row r="437" spans="1:18" x14ac:dyDescent="0.35">
      <c r="A437">
        <v>436</v>
      </c>
      <c r="B437" s="1">
        <v>46000</v>
      </c>
      <c r="C437">
        <v>1307</v>
      </c>
      <c r="D437" t="s">
        <v>22</v>
      </c>
      <c r="E437" t="s">
        <v>33</v>
      </c>
      <c r="F437" t="s">
        <v>34</v>
      </c>
      <c r="G437">
        <v>5</v>
      </c>
      <c r="H437">
        <v>4000</v>
      </c>
      <c r="I437" t="s">
        <v>18</v>
      </c>
      <c r="J437" t="s">
        <v>19</v>
      </c>
      <c r="K437" t="s">
        <v>26</v>
      </c>
      <c r="L437">
        <v>1</v>
      </c>
      <c r="M437">
        <v>0</v>
      </c>
      <c r="N437">
        <v>0</v>
      </c>
      <c r="O437" t="s">
        <v>21</v>
      </c>
      <c r="P437" t="str">
        <f>TEXT(Table1[[#This Row],[order_date]],"yyyy-mm")</f>
        <v>2025-12</v>
      </c>
      <c r="Q437">
        <f>WEEKNUM(Table1[[#This Row],[order_date]])</f>
        <v>50</v>
      </c>
      <c r="R437">
        <f>IF(Table1[[#This Row],[order_status]]="completed",1,0)</f>
        <v>1</v>
      </c>
    </row>
    <row r="438" spans="1:18" x14ac:dyDescent="0.35">
      <c r="A438">
        <v>437</v>
      </c>
      <c r="B438" s="1">
        <v>45888</v>
      </c>
      <c r="C438">
        <v>1339</v>
      </c>
      <c r="D438" t="s">
        <v>41</v>
      </c>
      <c r="E438" t="s">
        <v>16</v>
      </c>
      <c r="F438" t="s">
        <v>17</v>
      </c>
      <c r="G438">
        <v>5</v>
      </c>
      <c r="H438">
        <v>0</v>
      </c>
      <c r="I438" t="s">
        <v>39</v>
      </c>
      <c r="J438" t="s">
        <v>31</v>
      </c>
      <c r="K438" t="s">
        <v>20</v>
      </c>
      <c r="L438">
        <v>3</v>
      </c>
      <c r="M438">
        <v>1</v>
      </c>
      <c r="N438">
        <v>0</v>
      </c>
      <c r="O438" t="s">
        <v>21</v>
      </c>
      <c r="P438" t="str">
        <f>TEXT(Table1[[#This Row],[order_date]],"yyyy-mm")</f>
        <v>2025-08</v>
      </c>
      <c r="Q438">
        <f>WEEKNUM(Table1[[#This Row],[order_date]])</f>
        <v>34</v>
      </c>
      <c r="R438">
        <f>IF(Table1[[#This Row],[order_status]]="completed",1,0)</f>
        <v>0</v>
      </c>
    </row>
    <row r="439" spans="1:18" x14ac:dyDescent="0.35">
      <c r="A439">
        <v>438</v>
      </c>
      <c r="B439" s="1">
        <v>45996</v>
      </c>
      <c r="C439">
        <v>1353</v>
      </c>
      <c r="D439" t="s">
        <v>32</v>
      </c>
      <c r="E439" t="s">
        <v>36</v>
      </c>
      <c r="F439" t="s">
        <v>30</v>
      </c>
      <c r="G439">
        <v>5</v>
      </c>
      <c r="H439">
        <v>0</v>
      </c>
      <c r="I439" t="s">
        <v>35</v>
      </c>
      <c r="J439" t="s">
        <v>31</v>
      </c>
      <c r="K439" t="s">
        <v>20</v>
      </c>
      <c r="L439">
        <v>4</v>
      </c>
      <c r="M439">
        <v>1</v>
      </c>
      <c r="N439">
        <v>0</v>
      </c>
      <c r="O439" t="s">
        <v>27</v>
      </c>
      <c r="P439" t="str">
        <f>TEXT(Table1[[#This Row],[order_date]],"yyyy-mm")</f>
        <v>2025-12</v>
      </c>
      <c r="Q439">
        <f>WEEKNUM(Table1[[#This Row],[order_date]])</f>
        <v>49</v>
      </c>
      <c r="R439">
        <f>IF(Table1[[#This Row],[order_status]]="completed",1,0)</f>
        <v>0</v>
      </c>
    </row>
    <row r="440" spans="1:18" x14ac:dyDescent="0.35">
      <c r="A440">
        <v>439</v>
      </c>
      <c r="B440" s="1">
        <v>45937</v>
      </c>
      <c r="C440">
        <v>1200</v>
      </c>
      <c r="D440" t="s">
        <v>22</v>
      </c>
      <c r="E440" t="s">
        <v>33</v>
      </c>
      <c r="F440" t="s">
        <v>17</v>
      </c>
      <c r="G440">
        <v>4</v>
      </c>
      <c r="H440">
        <v>10328</v>
      </c>
      <c r="I440" t="s">
        <v>39</v>
      </c>
      <c r="J440" t="s">
        <v>19</v>
      </c>
      <c r="K440" t="s">
        <v>38</v>
      </c>
      <c r="L440">
        <v>10</v>
      </c>
      <c r="M440">
        <v>0</v>
      </c>
      <c r="N440">
        <v>1</v>
      </c>
      <c r="O440" t="s">
        <v>27</v>
      </c>
      <c r="P440" t="str">
        <f>TEXT(Table1[[#This Row],[order_date]],"yyyy-mm")</f>
        <v>2025-10</v>
      </c>
      <c r="Q440">
        <f>WEEKNUM(Table1[[#This Row],[order_date]])</f>
        <v>41</v>
      </c>
      <c r="R440">
        <f>IF(Table1[[#This Row],[order_status]]="completed",1,0)</f>
        <v>1</v>
      </c>
    </row>
    <row r="441" spans="1:18" x14ac:dyDescent="0.35">
      <c r="A441">
        <v>440</v>
      </c>
      <c r="B441" s="1">
        <v>45966</v>
      </c>
      <c r="C441">
        <v>1805</v>
      </c>
      <c r="D441" t="s">
        <v>28</v>
      </c>
      <c r="E441" t="s">
        <v>16</v>
      </c>
      <c r="F441" t="s">
        <v>17</v>
      </c>
      <c r="G441">
        <v>1</v>
      </c>
      <c r="H441">
        <v>0</v>
      </c>
      <c r="I441" t="s">
        <v>35</v>
      </c>
      <c r="J441" t="s">
        <v>37</v>
      </c>
      <c r="K441" t="s">
        <v>20</v>
      </c>
      <c r="L441">
        <v>10</v>
      </c>
      <c r="M441">
        <v>0</v>
      </c>
      <c r="N441">
        <v>1</v>
      </c>
      <c r="O441" t="s">
        <v>27</v>
      </c>
      <c r="P441" t="str">
        <f>TEXT(Table1[[#This Row],[order_date]],"yyyy-mm")</f>
        <v>2025-11</v>
      </c>
      <c r="Q441">
        <f>WEEKNUM(Table1[[#This Row],[order_date]])</f>
        <v>45</v>
      </c>
      <c r="R441">
        <f>IF(Table1[[#This Row],[order_status]]="completed",1,0)</f>
        <v>0</v>
      </c>
    </row>
    <row r="442" spans="1:18" x14ac:dyDescent="0.35">
      <c r="A442">
        <v>441</v>
      </c>
      <c r="B442" s="1">
        <v>45858</v>
      </c>
      <c r="C442">
        <v>1810</v>
      </c>
      <c r="D442" t="s">
        <v>32</v>
      </c>
      <c r="E442" t="s">
        <v>23</v>
      </c>
      <c r="F442" t="s">
        <v>17</v>
      </c>
      <c r="G442">
        <v>5</v>
      </c>
      <c r="H442">
        <v>0</v>
      </c>
      <c r="I442" t="s">
        <v>18</v>
      </c>
      <c r="J442" t="s">
        <v>37</v>
      </c>
      <c r="K442" t="s">
        <v>20</v>
      </c>
      <c r="L442">
        <v>2</v>
      </c>
      <c r="M442">
        <v>0</v>
      </c>
      <c r="N442">
        <v>1</v>
      </c>
      <c r="O442" t="s">
        <v>21</v>
      </c>
      <c r="P442" t="str">
        <f>TEXT(Table1[[#This Row],[order_date]],"yyyy-mm")</f>
        <v>2025-07</v>
      </c>
      <c r="Q442">
        <f>WEEKNUM(Table1[[#This Row],[order_date]])</f>
        <v>30</v>
      </c>
      <c r="R442">
        <f>IF(Table1[[#This Row],[order_status]]="completed",1,0)</f>
        <v>0</v>
      </c>
    </row>
    <row r="443" spans="1:18" x14ac:dyDescent="0.35">
      <c r="A443">
        <v>442</v>
      </c>
      <c r="B443" s="1">
        <v>45855</v>
      </c>
      <c r="C443">
        <v>1782</v>
      </c>
      <c r="D443" t="s">
        <v>41</v>
      </c>
      <c r="E443" t="s">
        <v>33</v>
      </c>
      <c r="F443" t="s">
        <v>17</v>
      </c>
      <c r="G443">
        <v>5</v>
      </c>
      <c r="H443">
        <v>0</v>
      </c>
      <c r="I443" t="s">
        <v>35</v>
      </c>
      <c r="J443" t="s">
        <v>31</v>
      </c>
      <c r="K443" t="s">
        <v>20</v>
      </c>
      <c r="L443">
        <v>5</v>
      </c>
      <c r="M443">
        <v>0</v>
      </c>
      <c r="N443">
        <v>1</v>
      </c>
      <c r="O443" t="s">
        <v>21</v>
      </c>
      <c r="P443" t="str">
        <f>TEXT(Table1[[#This Row],[order_date]],"yyyy-mm")</f>
        <v>2025-07</v>
      </c>
      <c r="Q443">
        <f>WEEKNUM(Table1[[#This Row],[order_date]])</f>
        <v>29</v>
      </c>
      <c r="R443">
        <f>IF(Table1[[#This Row],[order_status]]="completed",1,0)</f>
        <v>0</v>
      </c>
    </row>
    <row r="444" spans="1:18" x14ac:dyDescent="0.35">
      <c r="A444">
        <v>443</v>
      </c>
      <c r="B444" s="1">
        <v>45878</v>
      </c>
      <c r="C444">
        <v>1150</v>
      </c>
      <c r="D444" t="s">
        <v>41</v>
      </c>
      <c r="E444" t="s">
        <v>16</v>
      </c>
      <c r="F444" t="s">
        <v>24</v>
      </c>
      <c r="G444">
        <v>2</v>
      </c>
      <c r="H444">
        <v>9136</v>
      </c>
      <c r="I444" t="s">
        <v>39</v>
      </c>
      <c r="J444" t="s">
        <v>19</v>
      </c>
      <c r="K444" t="s">
        <v>20</v>
      </c>
      <c r="L444">
        <v>2</v>
      </c>
      <c r="M444">
        <v>0</v>
      </c>
      <c r="N444">
        <v>0</v>
      </c>
      <c r="O444" t="s">
        <v>27</v>
      </c>
      <c r="P444" t="str">
        <f>TEXT(Table1[[#This Row],[order_date]],"yyyy-mm")</f>
        <v>2025-08</v>
      </c>
      <c r="Q444">
        <f>WEEKNUM(Table1[[#This Row],[order_date]])</f>
        <v>32</v>
      </c>
      <c r="R444">
        <f>IF(Table1[[#This Row],[order_status]]="completed",1,0)</f>
        <v>1</v>
      </c>
    </row>
    <row r="445" spans="1:18" x14ac:dyDescent="0.35">
      <c r="A445">
        <v>444</v>
      </c>
      <c r="B445" s="1">
        <v>46024</v>
      </c>
      <c r="C445">
        <v>1201</v>
      </c>
      <c r="D445" t="s">
        <v>32</v>
      </c>
      <c r="E445" t="s">
        <v>29</v>
      </c>
      <c r="F445" t="s">
        <v>24</v>
      </c>
      <c r="G445">
        <v>5</v>
      </c>
      <c r="H445">
        <v>0</v>
      </c>
      <c r="I445" t="s">
        <v>35</v>
      </c>
      <c r="J445" t="s">
        <v>37</v>
      </c>
      <c r="K445" t="s">
        <v>26</v>
      </c>
      <c r="L445">
        <v>9</v>
      </c>
      <c r="M445">
        <v>0</v>
      </c>
      <c r="N445">
        <v>0</v>
      </c>
      <c r="O445" t="s">
        <v>21</v>
      </c>
      <c r="P445" t="str">
        <f>TEXT(Table1[[#This Row],[order_date]],"yyyy-mm")</f>
        <v>2026-01</v>
      </c>
      <c r="Q445">
        <f>WEEKNUM(Table1[[#This Row],[order_date]])</f>
        <v>1</v>
      </c>
      <c r="R445">
        <f>IF(Table1[[#This Row],[order_status]]="completed",1,0)</f>
        <v>0</v>
      </c>
    </row>
    <row r="446" spans="1:18" x14ac:dyDescent="0.35">
      <c r="A446">
        <v>445</v>
      </c>
      <c r="B446" s="1">
        <v>46027</v>
      </c>
      <c r="C446">
        <v>1132</v>
      </c>
      <c r="D446" t="s">
        <v>15</v>
      </c>
      <c r="E446" t="s">
        <v>23</v>
      </c>
      <c r="F446" t="s">
        <v>17</v>
      </c>
      <c r="G446">
        <v>3</v>
      </c>
      <c r="H446">
        <v>0</v>
      </c>
      <c r="I446" t="s">
        <v>25</v>
      </c>
      <c r="J446" t="s">
        <v>31</v>
      </c>
      <c r="K446" t="s">
        <v>20</v>
      </c>
      <c r="L446">
        <v>9</v>
      </c>
      <c r="M446">
        <v>0</v>
      </c>
      <c r="N446">
        <v>0</v>
      </c>
      <c r="O446" t="s">
        <v>27</v>
      </c>
      <c r="P446" t="str">
        <f>TEXT(Table1[[#This Row],[order_date]],"yyyy-mm")</f>
        <v>2026-01</v>
      </c>
      <c r="Q446">
        <f>WEEKNUM(Table1[[#This Row],[order_date]])</f>
        <v>2</v>
      </c>
      <c r="R446">
        <f>IF(Table1[[#This Row],[order_status]]="completed",1,0)</f>
        <v>0</v>
      </c>
    </row>
    <row r="447" spans="1:18" x14ac:dyDescent="0.35">
      <c r="A447">
        <v>446</v>
      </c>
      <c r="B447" s="1">
        <v>45923</v>
      </c>
      <c r="C447">
        <v>1823</v>
      </c>
      <c r="D447" t="s">
        <v>28</v>
      </c>
      <c r="E447" t="s">
        <v>29</v>
      </c>
      <c r="F447" t="s">
        <v>17</v>
      </c>
      <c r="G447">
        <v>2</v>
      </c>
      <c r="H447">
        <v>0</v>
      </c>
      <c r="I447" t="s">
        <v>18</v>
      </c>
      <c r="J447" t="s">
        <v>31</v>
      </c>
      <c r="K447" t="s">
        <v>20</v>
      </c>
      <c r="L447">
        <v>4</v>
      </c>
      <c r="M447">
        <v>1</v>
      </c>
      <c r="N447">
        <v>0</v>
      </c>
      <c r="O447" t="s">
        <v>21</v>
      </c>
      <c r="P447" t="str">
        <f>TEXT(Table1[[#This Row],[order_date]],"yyyy-mm")</f>
        <v>2025-09</v>
      </c>
      <c r="Q447">
        <f>WEEKNUM(Table1[[#This Row],[order_date]])</f>
        <v>39</v>
      </c>
      <c r="R447">
        <f>IF(Table1[[#This Row],[order_status]]="completed",1,0)</f>
        <v>0</v>
      </c>
    </row>
    <row r="448" spans="1:18" x14ac:dyDescent="0.35">
      <c r="A448">
        <v>447</v>
      </c>
      <c r="B448" s="1">
        <v>46018</v>
      </c>
      <c r="C448">
        <v>1495</v>
      </c>
      <c r="D448" t="s">
        <v>41</v>
      </c>
      <c r="E448" t="s">
        <v>33</v>
      </c>
      <c r="F448" t="s">
        <v>24</v>
      </c>
      <c r="G448">
        <v>4</v>
      </c>
      <c r="H448">
        <v>0</v>
      </c>
      <c r="I448" t="s">
        <v>18</v>
      </c>
      <c r="J448" t="s">
        <v>37</v>
      </c>
      <c r="K448" t="s">
        <v>20</v>
      </c>
      <c r="L448">
        <v>3</v>
      </c>
      <c r="M448">
        <v>0</v>
      </c>
      <c r="N448">
        <v>0</v>
      </c>
      <c r="O448" t="s">
        <v>27</v>
      </c>
      <c r="P448" t="str">
        <f>TEXT(Table1[[#This Row],[order_date]],"yyyy-mm")</f>
        <v>2025-12</v>
      </c>
      <c r="Q448">
        <f>WEEKNUM(Table1[[#This Row],[order_date]])</f>
        <v>52</v>
      </c>
      <c r="R448">
        <f>IF(Table1[[#This Row],[order_status]]="completed",1,0)</f>
        <v>0</v>
      </c>
    </row>
    <row r="449" spans="1:18" x14ac:dyDescent="0.35">
      <c r="A449">
        <v>448</v>
      </c>
      <c r="B449" s="1">
        <v>45893</v>
      </c>
      <c r="C449">
        <v>1496</v>
      </c>
      <c r="D449" t="s">
        <v>28</v>
      </c>
      <c r="E449" t="s">
        <v>23</v>
      </c>
      <c r="F449" t="s">
        <v>30</v>
      </c>
      <c r="G449">
        <v>1</v>
      </c>
      <c r="H449">
        <v>2851</v>
      </c>
      <c r="I449" t="s">
        <v>35</v>
      </c>
      <c r="J449" t="s">
        <v>19</v>
      </c>
      <c r="K449" t="s">
        <v>26</v>
      </c>
      <c r="L449">
        <v>5</v>
      </c>
      <c r="M449">
        <v>0</v>
      </c>
      <c r="N449">
        <v>0</v>
      </c>
      <c r="O449" t="s">
        <v>27</v>
      </c>
      <c r="P449" t="str">
        <f>TEXT(Table1[[#This Row],[order_date]],"yyyy-mm")</f>
        <v>2025-08</v>
      </c>
      <c r="Q449">
        <f>WEEKNUM(Table1[[#This Row],[order_date]])</f>
        <v>35</v>
      </c>
      <c r="R449">
        <f>IF(Table1[[#This Row],[order_status]]="completed",1,0)</f>
        <v>1</v>
      </c>
    </row>
    <row r="450" spans="1:18" x14ac:dyDescent="0.35">
      <c r="A450">
        <v>449</v>
      </c>
      <c r="B450" s="1">
        <v>45982</v>
      </c>
      <c r="C450">
        <v>1908</v>
      </c>
      <c r="D450" t="s">
        <v>28</v>
      </c>
      <c r="E450" t="s">
        <v>36</v>
      </c>
      <c r="F450" t="s">
        <v>34</v>
      </c>
      <c r="G450">
        <v>4</v>
      </c>
      <c r="H450">
        <v>0</v>
      </c>
      <c r="I450" t="s">
        <v>18</v>
      </c>
      <c r="J450" t="s">
        <v>31</v>
      </c>
      <c r="K450" t="s">
        <v>38</v>
      </c>
      <c r="L450">
        <v>2</v>
      </c>
      <c r="M450">
        <v>1</v>
      </c>
      <c r="N450">
        <v>0</v>
      </c>
      <c r="O450" t="s">
        <v>21</v>
      </c>
      <c r="P450" t="str">
        <f>TEXT(Table1[[#This Row],[order_date]],"yyyy-mm")</f>
        <v>2025-11</v>
      </c>
      <c r="Q450">
        <f>WEEKNUM(Table1[[#This Row],[order_date]])</f>
        <v>47</v>
      </c>
      <c r="R450">
        <f>IF(Table1[[#This Row],[order_status]]="completed",1,0)</f>
        <v>0</v>
      </c>
    </row>
    <row r="451" spans="1:18" x14ac:dyDescent="0.35">
      <c r="A451">
        <v>450</v>
      </c>
      <c r="B451" s="1">
        <v>46028</v>
      </c>
      <c r="C451">
        <v>1533</v>
      </c>
      <c r="D451" t="s">
        <v>28</v>
      </c>
      <c r="E451" t="s">
        <v>36</v>
      </c>
      <c r="F451" t="s">
        <v>34</v>
      </c>
      <c r="G451">
        <v>1</v>
      </c>
      <c r="H451">
        <v>0</v>
      </c>
      <c r="I451" t="s">
        <v>35</v>
      </c>
      <c r="J451" t="s">
        <v>31</v>
      </c>
      <c r="K451" t="s">
        <v>38</v>
      </c>
      <c r="L451">
        <v>3</v>
      </c>
      <c r="M451">
        <v>0</v>
      </c>
      <c r="N451">
        <v>0</v>
      </c>
      <c r="O451" t="s">
        <v>27</v>
      </c>
      <c r="P451" t="str">
        <f>TEXT(Table1[[#This Row],[order_date]],"yyyy-mm")</f>
        <v>2026-01</v>
      </c>
      <c r="Q451">
        <f>WEEKNUM(Table1[[#This Row],[order_date]])</f>
        <v>2</v>
      </c>
      <c r="R451">
        <f>IF(Table1[[#This Row],[order_status]]="completed",1,0)</f>
        <v>0</v>
      </c>
    </row>
    <row r="452" spans="1:18" x14ac:dyDescent="0.35">
      <c r="A452">
        <v>451</v>
      </c>
      <c r="B452" s="1">
        <v>45897</v>
      </c>
      <c r="C452">
        <v>1243</v>
      </c>
      <c r="D452" t="s">
        <v>15</v>
      </c>
      <c r="E452" t="s">
        <v>36</v>
      </c>
      <c r="F452" t="s">
        <v>24</v>
      </c>
      <c r="G452">
        <v>4</v>
      </c>
      <c r="H452">
        <v>0</v>
      </c>
      <c r="I452" t="s">
        <v>39</v>
      </c>
      <c r="J452" t="s">
        <v>37</v>
      </c>
      <c r="K452" t="s">
        <v>20</v>
      </c>
      <c r="L452">
        <v>6</v>
      </c>
      <c r="M452">
        <v>0</v>
      </c>
      <c r="N452">
        <v>1</v>
      </c>
      <c r="O452" t="s">
        <v>27</v>
      </c>
      <c r="P452" t="str">
        <f>TEXT(Table1[[#This Row],[order_date]],"yyyy-mm")</f>
        <v>2025-08</v>
      </c>
      <c r="Q452">
        <f>WEEKNUM(Table1[[#This Row],[order_date]])</f>
        <v>35</v>
      </c>
      <c r="R452">
        <f>IF(Table1[[#This Row],[order_status]]="completed",1,0)</f>
        <v>0</v>
      </c>
    </row>
    <row r="453" spans="1:18" x14ac:dyDescent="0.35">
      <c r="A453">
        <v>452</v>
      </c>
      <c r="B453" s="1">
        <v>45871</v>
      </c>
      <c r="C453">
        <v>1317</v>
      </c>
      <c r="D453" t="s">
        <v>28</v>
      </c>
      <c r="E453" t="s">
        <v>36</v>
      </c>
      <c r="F453" t="s">
        <v>34</v>
      </c>
      <c r="G453">
        <v>5</v>
      </c>
      <c r="H453">
        <v>0</v>
      </c>
      <c r="I453" t="s">
        <v>39</v>
      </c>
      <c r="J453" t="s">
        <v>37</v>
      </c>
      <c r="K453" t="s">
        <v>26</v>
      </c>
      <c r="L453">
        <v>8</v>
      </c>
      <c r="M453">
        <v>1</v>
      </c>
      <c r="N453">
        <v>0</v>
      </c>
      <c r="O453" t="s">
        <v>27</v>
      </c>
      <c r="P453" t="str">
        <f>TEXT(Table1[[#This Row],[order_date]],"yyyy-mm")</f>
        <v>2025-08</v>
      </c>
      <c r="Q453">
        <f>WEEKNUM(Table1[[#This Row],[order_date]])</f>
        <v>31</v>
      </c>
      <c r="R453">
        <f>IF(Table1[[#This Row],[order_status]]="completed",1,0)</f>
        <v>0</v>
      </c>
    </row>
    <row r="454" spans="1:18" x14ac:dyDescent="0.35">
      <c r="A454">
        <v>453</v>
      </c>
      <c r="B454" s="1">
        <v>45879</v>
      </c>
      <c r="C454">
        <v>1736</v>
      </c>
      <c r="D454" t="s">
        <v>15</v>
      </c>
      <c r="E454" t="s">
        <v>29</v>
      </c>
      <c r="F454" t="s">
        <v>24</v>
      </c>
      <c r="G454">
        <v>1</v>
      </c>
      <c r="H454">
        <v>0</v>
      </c>
      <c r="I454" t="s">
        <v>18</v>
      </c>
      <c r="J454" t="s">
        <v>37</v>
      </c>
      <c r="K454" t="s">
        <v>26</v>
      </c>
      <c r="L454">
        <v>7</v>
      </c>
      <c r="M454">
        <v>1</v>
      </c>
      <c r="N454">
        <v>1</v>
      </c>
      <c r="O454" t="s">
        <v>27</v>
      </c>
      <c r="P454" t="str">
        <f>TEXT(Table1[[#This Row],[order_date]],"yyyy-mm")</f>
        <v>2025-08</v>
      </c>
      <c r="Q454">
        <f>WEEKNUM(Table1[[#This Row],[order_date]])</f>
        <v>33</v>
      </c>
      <c r="R454">
        <f>IF(Table1[[#This Row],[order_status]]="completed",1,0)</f>
        <v>0</v>
      </c>
    </row>
    <row r="455" spans="1:18" x14ac:dyDescent="0.35">
      <c r="A455">
        <v>454</v>
      </c>
      <c r="B455" s="1">
        <v>45853</v>
      </c>
      <c r="C455">
        <v>1147</v>
      </c>
      <c r="D455" t="s">
        <v>28</v>
      </c>
      <c r="E455" t="s">
        <v>23</v>
      </c>
      <c r="F455" t="s">
        <v>34</v>
      </c>
      <c r="G455">
        <v>1</v>
      </c>
      <c r="H455">
        <v>0</v>
      </c>
      <c r="I455" t="s">
        <v>18</v>
      </c>
      <c r="J455" t="s">
        <v>37</v>
      </c>
      <c r="K455" t="s">
        <v>40</v>
      </c>
      <c r="L455">
        <v>9</v>
      </c>
      <c r="M455">
        <v>1</v>
      </c>
      <c r="N455">
        <v>1</v>
      </c>
      <c r="O455" t="s">
        <v>21</v>
      </c>
      <c r="P455" t="str">
        <f>TEXT(Table1[[#This Row],[order_date]],"yyyy-mm")</f>
        <v>2025-07</v>
      </c>
      <c r="Q455">
        <f>WEEKNUM(Table1[[#This Row],[order_date]])</f>
        <v>29</v>
      </c>
      <c r="R455">
        <f>IF(Table1[[#This Row],[order_status]]="completed",1,0)</f>
        <v>0</v>
      </c>
    </row>
    <row r="456" spans="1:18" x14ac:dyDescent="0.35">
      <c r="A456">
        <v>455</v>
      </c>
      <c r="B456" s="1">
        <v>45989</v>
      </c>
      <c r="C456">
        <v>1696</v>
      </c>
      <c r="D456" t="s">
        <v>15</v>
      </c>
      <c r="E456" t="s">
        <v>16</v>
      </c>
      <c r="F456" t="s">
        <v>24</v>
      </c>
      <c r="G456">
        <v>5</v>
      </c>
      <c r="H456">
        <v>0</v>
      </c>
      <c r="I456" t="s">
        <v>39</v>
      </c>
      <c r="J456" t="s">
        <v>37</v>
      </c>
      <c r="K456" t="s">
        <v>20</v>
      </c>
      <c r="L456">
        <v>5</v>
      </c>
      <c r="M456">
        <v>1</v>
      </c>
      <c r="N456">
        <v>0</v>
      </c>
      <c r="O456" t="s">
        <v>21</v>
      </c>
      <c r="P456" t="str">
        <f>TEXT(Table1[[#This Row],[order_date]],"yyyy-mm")</f>
        <v>2025-11</v>
      </c>
      <c r="Q456">
        <f>WEEKNUM(Table1[[#This Row],[order_date]])</f>
        <v>48</v>
      </c>
      <c r="R456">
        <f>IF(Table1[[#This Row],[order_status]]="completed",1,0)</f>
        <v>0</v>
      </c>
    </row>
    <row r="457" spans="1:18" x14ac:dyDescent="0.35">
      <c r="A457">
        <v>456</v>
      </c>
      <c r="B457" s="1">
        <v>46021</v>
      </c>
      <c r="C457">
        <v>1011</v>
      </c>
      <c r="D457" t="s">
        <v>28</v>
      </c>
      <c r="E457" t="s">
        <v>23</v>
      </c>
      <c r="F457" t="s">
        <v>24</v>
      </c>
      <c r="G457">
        <v>5</v>
      </c>
      <c r="H457">
        <v>0</v>
      </c>
      <c r="I457" t="s">
        <v>39</v>
      </c>
      <c r="J457" t="s">
        <v>37</v>
      </c>
      <c r="K457" t="s">
        <v>38</v>
      </c>
      <c r="L457">
        <v>4</v>
      </c>
      <c r="M457">
        <v>0</v>
      </c>
      <c r="N457">
        <v>1</v>
      </c>
      <c r="O457" t="s">
        <v>21</v>
      </c>
      <c r="P457" t="str">
        <f>TEXT(Table1[[#This Row],[order_date]],"yyyy-mm")</f>
        <v>2025-12</v>
      </c>
      <c r="Q457">
        <f>WEEKNUM(Table1[[#This Row],[order_date]])</f>
        <v>53</v>
      </c>
      <c r="R457">
        <f>IF(Table1[[#This Row],[order_status]]="completed",1,0)</f>
        <v>0</v>
      </c>
    </row>
    <row r="458" spans="1:18" x14ac:dyDescent="0.35">
      <c r="A458">
        <v>457</v>
      </c>
      <c r="B458" s="1">
        <v>46025</v>
      </c>
      <c r="C458">
        <v>1172</v>
      </c>
      <c r="D458" t="s">
        <v>28</v>
      </c>
      <c r="E458" t="s">
        <v>29</v>
      </c>
      <c r="F458" t="s">
        <v>34</v>
      </c>
      <c r="G458">
        <v>5</v>
      </c>
      <c r="H458">
        <v>2340</v>
      </c>
      <c r="I458" t="s">
        <v>35</v>
      </c>
      <c r="J458" t="s">
        <v>19</v>
      </c>
      <c r="K458" t="s">
        <v>38</v>
      </c>
      <c r="L458">
        <v>10</v>
      </c>
      <c r="M458">
        <v>1</v>
      </c>
      <c r="N458">
        <v>1</v>
      </c>
      <c r="O458" t="s">
        <v>27</v>
      </c>
      <c r="P458" t="str">
        <f>TEXT(Table1[[#This Row],[order_date]],"yyyy-mm")</f>
        <v>2026-01</v>
      </c>
      <c r="Q458">
        <f>WEEKNUM(Table1[[#This Row],[order_date]])</f>
        <v>1</v>
      </c>
      <c r="R458">
        <f>IF(Table1[[#This Row],[order_status]]="completed",1,0)</f>
        <v>1</v>
      </c>
    </row>
    <row r="459" spans="1:18" x14ac:dyDescent="0.35">
      <c r="A459">
        <v>458</v>
      </c>
      <c r="B459" s="1">
        <v>45922</v>
      </c>
      <c r="C459">
        <v>1304</v>
      </c>
      <c r="D459" t="s">
        <v>15</v>
      </c>
      <c r="E459" t="s">
        <v>16</v>
      </c>
      <c r="F459" t="s">
        <v>30</v>
      </c>
      <c r="G459">
        <v>5</v>
      </c>
      <c r="H459">
        <v>0</v>
      </c>
      <c r="I459" t="s">
        <v>35</v>
      </c>
      <c r="J459" t="s">
        <v>37</v>
      </c>
      <c r="K459" t="s">
        <v>40</v>
      </c>
      <c r="L459">
        <v>7</v>
      </c>
      <c r="M459">
        <v>1</v>
      </c>
      <c r="N459">
        <v>1</v>
      </c>
      <c r="O459" t="s">
        <v>27</v>
      </c>
      <c r="P459" t="str">
        <f>TEXT(Table1[[#This Row],[order_date]],"yyyy-mm")</f>
        <v>2025-09</v>
      </c>
      <c r="Q459">
        <f>WEEKNUM(Table1[[#This Row],[order_date]])</f>
        <v>39</v>
      </c>
      <c r="R459">
        <f>IF(Table1[[#This Row],[order_status]]="completed",1,0)</f>
        <v>0</v>
      </c>
    </row>
    <row r="460" spans="1:18" x14ac:dyDescent="0.35">
      <c r="A460">
        <v>459</v>
      </c>
      <c r="B460" s="1">
        <v>45965</v>
      </c>
      <c r="C460">
        <v>1678</v>
      </c>
      <c r="D460" t="s">
        <v>28</v>
      </c>
      <c r="E460" t="s">
        <v>36</v>
      </c>
      <c r="F460" t="s">
        <v>30</v>
      </c>
      <c r="G460">
        <v>1</v>
      </c>
      <c r="H460">
        <v>350</v>
      </c>
      <c r="I460" t="s">
        <v>35</v>
      </c>
      <c r="J460" t="s">
        <v>19</v>
      </c>
      <c r="K460" t="s">
        <v>20</v>
      </c>
      <c r="L460">
        <v>6</v>
      </c>
      <c r="M460">
        <v>0</v>
      </c>
      <c r="N460">
        <v>0</v>
      </c>
      <c r="O460" t="s">
        <v>27</v>
      </c>
      <c r="P460" t="str">
        <f>TEXT(Table1[[#This Row],[order_date]],"yyyy-mm")</f>
        <v>2025-11</v>
      </c>
      <c r="Q460">
        <f>WEEKNUM(Table1[[#This Row],[order_date]])</f>
        <v>45</v>
      </c>
      <c r="R460">
        <f>IF(Table1[[#This Row],[order_status]]="completed",1,0)</f>
        <v>1</v>
      </c>
    </row>
    <row r="461" spans="1:18" x14ac:dyDescent="0.35">
      <c r="A461">
        <v>460</v>
      </c>
      <c r="B461" s="1">
        <v>45910</v>
      </c>
      <c r="C461">
        <v>1206</v>
      </c>
      <c r="D461" t="s">
        <v>15</v>
      </c>
      <c r="E461" t="s">
        <v>36</v>
      </c>
      <c r="F461" t="s">
        <v>24</v>
      </c>
      <c r="G461">
        <v>4</v>
      </c>
      <c r="H461">
        <v>3068</v>
      </c>
      <c r="I461" t="s">
        <v>39</v>
      </c>
      <c r="J461" t="s">
        <v>19</v>
      </c>
      <c r="K461" t="s">
        <v>40</v>
      </c>
      <c r="L461">
        <v>6</v>
      </c>
      <c r="M461">
        <v>1</v>
      </c>
      <c r="N461">
        <v>0</v>
      </c>
      <c r="O461" t="s">
        <v>21</v>
      </c>
      <c r="P461" t="str">
        <f>TEXT(Table1[[#This Row],[order_date]],"yyyy-mm")</f>
        <v>2025-09</v>
      </c>
      <c r="Q461">
        <f>WEEKNUM(Table1[[#This Row],[order_date]])</f>
        <v>37</v>
      </c>
      <c r="R461">
        <f>IF(Table1[[#This Row],[order_status]]="completed",1,0)</f>
        <v>1</v>
      </c>
    </row>
    <row r="462" spans="1:18" x14ac:dyDescent="0.35">
      <c r="A462">
        <v>461</v>
      </c>
      <c r="B462" s="1">
        <v>45896</v>
      </c>
      <c r="C462">
        <v>1892</v>
      </c>
      <c r="D462" t="s">
        <v>15</v>
      </c>
      <c r="E462" t="s">
        <v>23</v>
      </c>
      <c r="F462" t="s">
        <v>30</v>
      </c>
      <c r="G462">
        <v>2</v>
      </c>
      <c r="H462">
        <v>0</v>
      </c>
      <c r="I462" t="s">
        <v>18</v>
      </c>
      <c r="J462" t="s">
        <v>37</v>
      </c>
      <c r="K462" t="s">
        <v>40</v>
      </c>
      <c r="L462">
        <v>4</v>
      </c>
      <c r="M462">
        <v>0</v>
      </c>
      <c r="N462">
        <v>0</v>
      </c>
      <c r="O462" t="s">
        <v>27</v>
      </c>
      <c r="P462" t="str">
        <f>TEXT(Table1[[#This Row],[order_date]],"yyyy-mm")</f>
        <v>2025-08</v>
      </c>
      <c r="Q462">
        <f>WEEKNUM(Table1[[#This Row],[order_date]])</f>
        <v>35</v>
      </c>
      <c r="R462">
        <f>IF(Table1[[#This Row],[order_status]]="completed",1,0)</f>
        <v>0</v>
      </c>
    </row>
    <row r="463" spans="1:18" x14ac:dyDescent="0.35">
      <c r="A463">
        <v>462</v>
      </c>
      <c r="B463" s="1">
        <v>45925</v>
      </c>
      <c r="C463">
        <v>1302</v>
      </c>
      <c r="D463" t="s">
        <v>28</v>
      </c>
      <c r="E463" t="s">
        <v>29</v>
      </c>
      <c r="F463" t="s">
        <v>17</v>
      </c>
      <c r="G463">
        <v>3</v>
      </c>
      <c r="H463">
        <v>0</v>
      </c>
      <c r="I463" t="s">
        <v>25</v>
      </c>
      <c r="J463" t="s">
        <v>31</v>
      </c>
      <c r="K463" t="s">
        <v>38</v>
      </c>
      <c r="L463">
        <v>7</v>
      </c>
      <c r="M463">
        <v>0</v>
      </c>
      <c r="N463">
        <v>1</v>
      </c>
      <c r="O463" t="s">
        <v>21</v>
      </c>
      <c r="P463" t="str">
        <f>TEXT(Table1[[#This Row],[order_date]],"yyyy-mm")</f>
        <v>2025-09</v>
      </c>
      <c r="Q463">
        <f>WEEKNUM(Table1[[#This Row],[order_date]])</f>
        <v>39</v>
      </c>
      <c r="R463">
        <f>IF(Table1[[#This Row],[order_status]]="completed",1,0)</f>
        <v>0</v>
      </c>
    </row>
    <row r="464" spans="1:18" x14ac:dyDescent="0.35">
      <c r="A464">
        <v>463</v>
      </c>
      <c r="B464" s="1">
        <v>45944</v>
      </c>
      <c r="C464">
        <v>1674</v>
      </c>
      <c r="D464" t="s">
        <v>32</v>
      </c>
      <c r="E464" t="s">
        <v>23</v>
      </c>
      <c r="F464" t="s">
        <v>17</v>
      </c>
      <c r="G464">
        <v>2</v>
      </c>
      <c r="H464">
        <v>0</v>
      </c>
      <c r="I464" t="s">
        <v>39</v>
      </c>
      <c r="J464" t="s">
        <v>31</v>
      </c>
      <c r="K464" t="s">
        <v>20</v>
      </c>
      <c r="L464">
        <v>4</v>
      </c>
      <c r="M464">
        <v>1</v>
      </c>
      <c r="N464">
        <v>1</v>
      </c>
      <c r="O464" t="s">
        <v>21</v>
      </c>
      <c r="P464" t="str">
        <f>TEXT(Table1[[#This Row],[order_date]],"yyyy-mm")</f>
        <v>2025-10</v>
      </c>
      <c r="Q464">
        <f>WEEKNUM(Table1[[#This Row],[order_date]])</f>
        <v>42</v>
      </c>
      <c r="R464">
        <f>IF(Table1[[#This Row],[order_status]]="completed",1,0)</f>
        <v>0</v>
      </c>
    </row>
    <row r="465" spans="1:18" x14ac:dyDescent="0.35">
      <c r="A465">
        <v>464</v>
      </c>
      <c r="B465" s="1">
        <v>46017</v>
      </c>
      <c r="C465">
        <v>1571</v>
      </c>
      <c r="D465" t="s">
        <v>41</v>
      </c>
      <c r="E465" t="s">
        <v>23</v>
      </c>
      <c r="F465" t="s">
        <v>34</v>
      </c>
      <c r="G465">
        <v>4</v>
      </c>
      <c r="H465">
        <v>17936</v>
      </c>
      <c r="I465" t="s">
        <v>39</v>
      </c>
      <c r="J465" t="s">
        <v>19</v>
      </c>
      <c r="K465" t="s">
        <v>38</v>
      </c>
      <c r="L465">
        <v>8</v>
      </c>
      <c r="M465">
        <v>0</v>
      </c>
      <c r="N465">
        <v>1</v>
      </c>
      <c r="O465" t="s">
        <v>21</v>
      </c>
      <c r="P465" t="str">
        <f>TEXT(Table1[[#This Row],[order_date]],"yyyy-mm")</f>
        <v>2025-12</v>
      </c>
      <c r="Q465">
        <f>WEEKNUM(Table1[[#This Row],[order_date]])</f>
        <v>52</v>
      </c>
      <c r="R465">
        <f>IF(Table1[[#This Row],[order_status]]="completed",1,0)</f>
        <v>1</v>
      </c>
    </row>
    <row r="466" spans="1:18" x14ac:dyDescent="0.35">
      <c r="A466">
        <v>465</v>
      </c>
      <c r="B466" s="1">
        <v>45926</v>
      </c>
      <c r="C466">
        <v>1340</v>
      </c>
      <c r="D466" t="s">
        <v>28</v>
      </c>
      <c r="E466" t="s">
        <v>16</v>
      </c>
      <c r="F466" t="s">
        <v>24</v>
      </c>
      <c r="G466">
        <v>2</v>
      </c>
      <c r="H466">
        <v>0</v>
      </c>
      <c r="I466" t="s">
        <v>35</v>
      </c>
      <c r="J466" t="s">
        <v>31</v>
      </c>
      <c r="K466" t="s">
        <v>38</v>
      </c>
      <c r="L466">
        <v>7</v>
      </c>
      <c r="M466">
        <v>1</v>
      </c>
      <c r="N466">
        <v>0</v>
      </c>
      <c r="O466" t="s">
        <v>21</v>
      </c>
      <c r="P466" t="str">
        <f>TEXT(Table1[[#This Row],[order_date]],"yyyy-mm")</f>
        <v>2025-09</v>
      </c>
      <c r="Q466">
        <f>WEEKNUM(Table1[[#This Row],[order_date]])</f>
        <v>39</v>
      </c>
      <c r="R466">
        <f>IF(Table1[[#This Row],[order_status]]="completed",1,0)</f>
        <v>0</v>
      </c>
    </row>
    <row r="467" spans="1:18" x14ac:dyDescent="0.35">
      <c r="A467">
        <v>466</v>
      </c>
      <c r="B467" s="1">
        <v>45899</v>
      </c>
      <c r="C467">
        <v>1157</v>
      </c>
      <c r="D467" t="s">
        <v>28</v>
      </c>
      <c r="E467" t="s">
        <v>33</v>
      </c>
      <c r="F467" t="s">
        <v>17</v>
      </c>
      <c r="G467">
        <v>5</v>
      </c>
      <c r="H467">
        <v>0</v>
      </c>
      <c r="I467" t="s">
        <v>35</v>
      </c>
      <c r="J467" t="s">
        <v>31</v>
      </c>
      <c r="K467" t="s">
        <v>38</v>
      </c>
      <c r="L467">
        <v>4</v>
      </c>
      <c r="M467">
        <v>1</v>
      </c>
      <c r="N467">
        <v>1</v>
      </c>
      <c r="O467" t="s">
        <v>21</v>
      </c>
      <c r="P467" t="str">
        <f>TEXT(Table1[[#This Row],[order_date]],"yyyy-mm")</f>
        <v>2025-08</v>
      </c>
      <c r="Q467">
        <f>WEEKNUM(Table1[[#This Row],[order_date]])</f>
        <v>35</v>
      </c>
      <c r="R467">
        <f>IF(Table1[[#This Row],[order_status]]="completed",1,0)</f>
        <v>0</v>
      </c>
    </row>
    <row r="468" spans="1:18" x14ac:dyDescent="0.35">
      <c r="A468">
        <v>467</v>
      </c>
      <c r="B468" s="1">
        <v>45948</v>
      </c>
      <c r="C468">
        <v>1595</v>
      </c>
      <c r="D468" t="s">
        <v>32</v>
      </c>
      <c r="E468" t="s">
        <v>29</v>
      </c>
      <c r="F468" t="s">
        <v>34</v>
      </c>
      <c r="G468">
        <v>3</v>
      </c>
      <c r="H468">
        <v>0</v>
      </c>
      <c r="I468" t="s">
        <v>35</v>
      </c>
      <c r="J468" t="s">
        <v>37</v>
      </c>
      <c r="K468" t="s">
        <v>20</v>
      </c>
      <c r="L468">
        <v>8</v>
      </c>
      <c r="M468">
        <v>1</v>
      </c>
      <c r="N468">
        <v>1</v>
      </c>
      <c r="O468" t="s">
        <v>27</v>
      </c>
      <c r="P468" t="str">
        <f>TEXT(Table1[[#This Row],[order_date]],"yyyy-mm")</f>
        <v>2025-10</v>
      </c>
      <c r="Q468">
        <f>WEEKNUM(Table1[[#This Row],[order_date]])</f>
        <v>42</v>
      </c>
      <c r="R468">
        <f>IF(Table1[[#This Row],[order_status]]="completed",1,0)</f>
        <v>0</v>
      </c>
    </row>
    <row r="469" spans="1:18" x14ac:dyDescent="0.35">
      <c r="A469">
        <v>468</v>
      </c>
      <c r="B469" s="1">
        <v>45896</v>
      </c>
      <c r="C469">
        <v>1325</v>
      </c>
      <c r="D469" t="s">
        <v>41</v>
      </c>
      <c r="E469" t="s">
        <v>36</v>
      </c>
      <c r="F469" t="s">
        <v>30</v>
      </c>
      <c r="G469">
        <v>5</v>
      </c>
      <c r="H469">
        <v>0</v>
      </c>
      <c r="I469" t="s">
        <v>18</v>
      </c>
      <c r="J469" t="s">
        <v>31</v>
      </c>
      <c r="K469" t="s">
        <v>20</v>
      </c>
      <c r="L469">
        <v>2</v>
      </c>
      <c r="M469">
        <v>1</v>
      </c>
      <c r="N469">
        <v>0</v>
      </c>
      <c r="O469" t="s">
        <v>27</v>
      </c>
      <c r="P469" t="str">
        <f>TEXT(Table1[[#This Row],[order_date]],"yyyy-mm")</f>
        <v>2025-08</v>
      </c>
      <c r="Q469">
        <f>WEEKNUM(Table1[[#This Row],[order_date]])</f>
        <v>35</v>
      </c>
      <c r="R469">
        <f>IF(Table1[[#This Row],[order_status]]="completed",1,0)</f>
        <v>0</v>
      </c>
    </row>
    <row r="470" spans="1:18" x14ac:dyDescent="0.35">
      <c r="A470">
        <v>469</v>
      </c>
      <c r="B470" s="1">
        <v>45980</v>
      </c>
      <c r="C470">
        <v>1013</v>
      </c>
      <c r="D470" t="s">
        <v>22</v>
      </c>
      <c r="E470" t="s">
        <v>23</v>
      </c>
      <c r="F470" t="s">
        <v>24</v>
      </c>
      <c r="G470">
        <v>2</v>
      </c>
      <c r="H470">
        <v>8882</v>
      </c>
      <c r="I470" t="s">
        <v>25</v>
      </c>
      <c r="J470" t="s">
        <v>19</v>
      </c>
      <c r="K470" t="s">
        <v>38</v>
      </c>
      <c r="L470">
        <v>8</v>
      </c>
      <c r="M470">
        <v>0</v>
      </c>
      <c r="N470">
        <v>0</v>
      </c>
      <c r="O470" t="s">
        <v>27</v>
      </c>
      <c r="P470" t="str">
        <f>TEXT(Table1[[#This Row],[order_date]],"yyyy-mm")</f>
        <v>2025-11</v>
      </c>
      <c r="Q470">
        <f>WEEKNUM(Table1[[#This Row],[order_date]])</f>
        <v>47</v>
      </c>
      <c r="R470">
        <f>IF(Table1[[#This Row],[order_status]]="completed",1,0)</f>
        <v>1</v>
      </c>
    </row>
    <row r="471" spans="1:18" x14ac:dyDescent="0.35">
      <c r="A471">
        <v>470</v>
      </c>
      <c r="B471" s="1">
        <v>45892</v>
      </c>
      <c r="C471">
        <v>1049</v>
      </c>
      <c r="D471" t="s">
        <v>28</v>
      </c>
      <c r="E471" t="s">
        <v>33</v>
      </c>
      <c r="F471" t="s">
        <v>30</v>
      </c>
      <c r="G471">
        <v>4</v>
      </c>
      <c r="H471">
        <v>0</v>
      </c>
      <c r="I471" t="s">
        <v>25</v>
      </c>
      <c r="J471" t="s">
        <v>37</v>
      </c>
      <c r="K471" t="s">
        <v>26</v>
      </c>
      <c r="L471">
        <v>8</v>
      </c>
      <c r="M471">
        <v>1</v>
      </c>
      <c r="N471">
        <v>1</v>
      </c>
      <c r="O471" t="s">
        <v>21</v>
      </c>
      <c r="P471" t="str">
        <f>TEXT(Table1[[#This Row],[order_date]],"yyyy-mm")</f>
        <v>2025-08</v>
      </c>
      <c r="Q471">
        <f>WEEKNUM(Table1[[#This Row],[order_date]])</f>
        <v>34</v>
      </c>
      <c r="R471">
        <f>IF(Table1[[#This Row],[order_status]]="completed",1,0)</f>
        <v>0</v>
      </c>
    </row>
    <row r="472" spans="1:18" x14ac:dyDescent="0.35">
      <c r="A472">
        <v>471</v>
      </c>
      <c r="B472" s="1">
        <v>45980</v>
      </c>
      <c r="C472">
        <v>1188</v>
      </c>
      <c r="D472" t="s">
        <v>22</v>
      </c>
      <c r="E472" t="s">
        <v>36</v>
      </c>
      <c r="F472" t="s">
        <v>30</v>
      </c>
      <c r="G472">
        <v>1</v>
      </c>
      <c r="H472">
        <v>2028</v>
      </c>
      <c r="I472" t="s">
        <v>39</v>
      </c>
      <c r="J472" t="s">
        <v>19</v>
      </c>
      <c r="K472" t="s">
        <v>26</v>
      </c>
      <c r="L472">
        <v>1</v>
      </c>
      <c r="M472">
        <v>0</v>
      </c>
      <c r="N472">
        <v>0</v>
      </c>
      <c r="O472" t="s">
        <v>27</v>
      </c>
      <c r="P472" t="str">
        <f>TEXT(Table1[[#This Row],[order_date]],"yyyy-mm")</f>
        <v>2025-11</v>
      </c>
      <c r="Q472">
        <f>WEEKNUM(Table1[[#This Row],[order_date]])</f>
        <v>47</v>
      </c>
      <c r="R472">
        <f>IF(Table1[[#This Row],[order_status]]="completed",1,0)</f>
        <v>1</v>
      </c>
    </row>
    <row r="473" spans="1:18" x14ac:dyDescent="0.35">
      <c r="A473">
        <v>472</v>
      </c>
      <c r="B473" s="1">
        <v>45978</v>
      </c>
      <c r="C473">
        <v>1512</v>
      </c>
      <c r="D473" t="s">
        <v>15</v>
      </c>
      <c r="E473" t="s">
        <v>29</v>
      </c>
      <c r="F473" t="s">
        <v>24</v>
      </c>
      <c r="G473">
        <v>1</v>
      </c>
      <c r="H473">
        <v>0</v>
      </c>
      <c r="I473" t="s">
        <v>39</v>
      </c>
      <c r="J473" t="s">
        <v>37</v>
      </c>
      <c r="K473" t="s">
        <v>20</v>
      </c>
      <c r="L473">
        <v>7</v>
      </c>
      <c r="M473">
        <v>1</v>
      </c>
      <c r="N473">
        <v>0</v>
      </c>
      <c r="O473" t="s">
        <v>21</v>
      </c>
      <c r="P473" t="str">
        <f>TEXT(Table1[[#This Row],[order_date]],"yyyy-mm")</f>
        <v>2025-11</v>
      </c>
      <c r="Q473">
        <f>WEEKNUM(Table1[[#This Row],[order_date]])</f>
        <v>47</v>
      </c>
      <c r="R473">
        <f>IF(Table1[[#This Row],[order_status]]="completed",1,0)</f>
        <v>0</v>
      </c>
    </row>
    <row r="474" spans="1:18" x14ac:dyDescent="0.35">
      <c r="A474">
        <v>473</v>
      </c>
      <c r="B474" s="1">
        <v>45942</v>
      </c>
      <c r="C474">
        <v>1776</v>
      </c>
      <c r="D474" t="s">
        <v>15</v>
      </c>
      <c r="E474" t="s">
        <v>16</v>
      </c>
      <c r="F474" t="s">
        <v>17</v>
      </c>
      <c r="G474">
        <v>1</v>
      </c>
      <c r="H474">
        <v>3233</v>
      </c>
      <c r="I474" t="s">
        <v>25</v>
      </c>
      <c r="J474" t="s">
        <v>19</v>
      </c>
      <c r="K474" t="s">
        <v>20</v>
      </c>
      <c r="L474">
        <v>6</v>
      </c>
      <c r="M474">
        <v>1</v>
      </c>
      <c r="N474">
        <v>1</v>
      </c>
      <c r="O474" t="s">
        <v>21</v>
      </c>
      <c r="P474" t="str">
        <f>TEXT(Table1[[#This Row],[order_date]],"yyyy-mm")</f>
        <v>2025-10</v>
      </c>
      <c r="Q474">
        <f>WEEKNUM(Table1[[#This Row],[order_date]])</f>
        <v>42</v>
      </c>
      <c r="R474">
        <f>IF(Table1[[#This Row],[order_status]]="completed",1,0)</f>
        <v>1</v>
      </c>
    </row>
    <row r="475" spans="1:18" x14ac:dyDescent="0.35">
      <c r="A475">
        <v>474</v>
      </c>
      <c r="B475" s="1">
        <v>45988</v>
      </c>
      <c r="C475">
        <v>1139</v>
      </c>
      <c r="D475" t="s">
        <v>32</v>
      </c>
      <c r="E475" t="s">
        <v>36</v>
      </c>
      <c r="F475" t="s">
        <v>30</v>
      </c>
      <c r="G475">
        <v>2</v>
      </c>
      <c r="H475">
        <v>0</v>
      </c>
      <c r="I475" t="s">
        <v>35</v>
      </c>
      <c r="J475" t="s">
        <v>37</v>
      </c>
      <c r="K475" t="s">
        <v>26</v>
      </c>
      <c r="L475">
        <v>5</v>
      </c>
      <c r="M475">
        <v>0</v>
      </c>
      <c r="N475">
        <v>0</v>
      </c>
      <c r="O475" t="s">
        <v>27</v>
      </c>
      <c r="P475" t="str">
        <f>TEXT(Table1[[#This Row],[order_date]],"yyyy-mm")</f>
        <v>2025-11</v>
      </c>
      <c r="Q475">
        <f>WEEKNUM(Table1[[#This Row],[order_date]])</f>
        <v>48</v>
      </c>
      <c r="R475">
        <f>IF(Table1[[#This Row],[order_status]]="completed",1,0)</f>
        <v>0</v>
      </c>
    </row>
    <row r="476" spans="1:18" x14ac:dyDescent="0.35">
      <c r="A476">
        <v>475</v>
      </c>
      <c r="B476" s="1">
        <v>45883</v>
      </c>
      <c r="C476">
        <v>1920</v>
      </c>
      <c r="D476" t="s">
        <v>32</v>
      </c>
      <c r="E476" t="s">
        <v>33</v>
      </c>
      <c r="F476" t="s">
        <v>34</v>
      </c>
      <c r="G476">
        <v>3</v>
      </c>
      <c r="H476">
        <v>0</v>
      </c>
      <c r="I476" t="s">
        <v>39</v>
      </c>
      <c r="J476" t="s">
        <v>31</v>
      </c>
      <c r="K476" t="s">
        <v>20</v>
      </c>
      <c r="L476">
        <v>8</v>
      </c>
      <c r="M476">
        <v>0</v>
      </c>
      <c r="N476">
        <v>0</v>
      </c>
      <c r="O476" t="s">
        <v>27</v>
      </c>
      <c r="P476" t="str">
        <f>TEXT(Table1[[#This Row],[order_date]],"yyyy-mm")</f>
        <v>2025-08</v>
      </c>
      <c r="Q476">
        <f>WEEKNUM(Table1[[#This Row],[order_date]])</f>
        <v>33</v>
      </c>
      <c r="R476">
        <f>IF(Table1[[#This Row],[order_status]]="completed",1,0)</f>
        <v>0</v>
      </c>
    </row>
    <row r="477" spans="1:18" x14ac:dyDescent="0.35">
      <c r="A477">
        <v>476</v>
      </c>
      <c r="B477" s="1">
        <v>45880</v>
      </c>
      <c r="C477">
        <v>1316</v>
      </c>
      <c r="D477" t="s">
        <v>41</v>
      </c>
      <c r="E477" t="s">
        <v>16</v>
      </c>
      <c r="F477" t="s">
        <v>34</v>
      </c>
      <c r="G477">
        <v>4</v>
      </c>
      <c r="H477">
        <v>1888</v>
      </c>
      <c r="I477" t="s">
        <v>25</v>
      </c>
      <c r="J477" t="s">
        <v>19</v>
      </c>
      <c r="K477" t="s">
        <v>26</v>
      </c>
      <c r="L477">
        <v>8</v>
      </c>
      <c r="M477">
        <v>1</v>
      </c>
      <c r="N477">
        <v>0</v>
      </c>
      <c r="O477" t="s">
        <v>27</v>
      </c>
      <c r="P477" t="str">
        <f>TEXT(Table1[[#This Row],[order_date]],"yyyy-mm")</f>
        <v>2025-08</v>
      </c>
      <c r="Q477">
        <f>WEEKNUM(Table1[[#This Row],[order_date]])</f>
        <v>33</v>
      </c>
      <c r="R477">
        <f>IF(Table1[[#This Row],[order_status]]="completed",1,0)</f>
        <v>1</v>
      </c>
    </row>
    <row r="478" spans="1:18" x14ac:dyDescent="0.35">
      <c r="A478">
        <v>477</v>
      </c>
      <c r="B478" s="1">
        <v>45892</v>
      </c>
      <c r="C478">
        <v>1866</v>
      </c>
      <c r="D478" t="s">
        <v>41</v>
      </c>
      <c r="E478" t="s">
        <v>16</v>
      </c>
      <c r="F478" t="s">
        <v>17</v>
      </c>
      <c r="G478">
        <v>4</v>
      </c>
      <c r="H478">
        <v>0</v>
      </c>
      <c r="I478" t="s">
        <v>35</v>
      </c>
      <c r="J478" t="s">
        <v>37</v>
      </c>
      <c r="K478" t="s">
        <v>20</v>
      </c>
      <c r="L478">
        <v>3</v>
      </c>
      <c r="M478">
        <v>1</v>
      </c>
      <c r="N478">
        <v>1</v>
      </c>
      <c r="O478" t="s">
        <v>27</v>
      </c>
      <c r="P478" t="str">
        <f>TEXT(Table1[[#This Row],[order_date]],"yyyy-mm")</f>
        <v>2025-08</v>
      </c>
      <c r="Q478">
        <f>WEEKNUM(Table1[[#This Row],[order_date]])</f>
        <v>34</v>
      </c>
      <c r="R478">
        <f>IF(Table1[[#This Row],[order_status]]="completed",1,0)</f>
        <v>0</v>
      </c>
    </row>
    <row r="479" spans="1:18" x14ac:dyDescent="0.35">
      <c r="A479">
        <v>478</v>
      </c>
      <c r="B479" s="1">
        <v>45897</v>
      </c>
      <c r="C479">
        <v>1078</v>
      </c>
      <c r="D479" t="s">
        <v>22</v>
      </c>
      <c r="E479" t="s">
        <v>36</v>
      </c>
      <c r="F479" t="s">
        <v>34</v>
      </c>
      <c r="G479">
        <v>4</v>
      </c>
      <c r="H479">
        <v>9400</v>
      </c>
      <c r="I479" t="s">
        <v>25</v>
      </c>
      <c r="J479" t="s">
        <v>19</v>
      </c>
      <c r="K479" t="s">
        <v>20</v>
      </c>
      <c r="L479">
        <v>1</v>
      </c>
      <c r="M479">
        <v>1</v>
      </c>
      <c r="N479">
        <v>1</v>
      </c>
      <c r="O479" t="s">
        <v>21</v>
      </c>
      <c r="P479" t="str">
        <f>TEXT(Table1[[#This Row],[order_date]],"yyyy-mm")</f>
        <v>2025-08</v>
      </c>
      <c r="Q479">
        <f>WEEKNUM(Table1[[#This Row],[order_date]])</f>
        <v>35</v>
      </c>
      <c r="R479">
        <f>IF(Table1[[#This Row],[order_status]]="completed",1,0)</f>
        <v>1</v>
      </c>
    </row>
    <row r="480" spans="1:18" x14ac:dyDescent="0.35">
      <c r="A480">
        <v>479</v>
      </c>
      <c r="B480" s="1">
        <v>45946</v>
      </c>
      <c r="C480">
        <v>1000</v>
      </c>
      <c r="D480" t="s">
        <v>22</v>
      </c>
      <c r="E480" t="s">
        <v>33</v>
      </c>
      <c r="F480" t="s">
        <v>34</v>
      </c>
      <c r="G480">
        <v>5</v>
      </c>
      <c r="H480">
        <v>0</v>
      </c>
      <c r="I480" t="s">
        <v>18</v>
      </c>
      <c r="J480" t="s">
        <v>37</v>
      </c>
      <c r="K480" t="s">
        <v>40</v>
      </c>
      <c r="L480">
        <v>10</v>
      </c>
      <c r="M480">
        <v>1</v>
      </c>
      <c r="N480">
        <v>0</v>
      </c>
      <c r="O480" t="s">
        <v>21</v>
      </c>
      <c r="P480" t="str">
        <f>TEXT(Table1[[#This Row],[order_date]],"yyyy-mm")</f>
        <v>2025-10</v>
      </c>
      <c r="Q480">
        <f>WEEKNUM(Table1[[#This Row],[order_date]])</f>
        <v>42</v>
      </c>
      <c r="R480">
        <f>IF(Table1[[#This Row],[order_status]]="completed",1,0)</f>
        <v>0</v>
      </c>
    </row>
    <row r="481" spans="1:18" x14ac:dyDescent="0.35">
      <c r="A481">
        <v>480</v>
      </c>
      <c r="B481" s="1">
        <v>45955</v>
      </c>
      <c r="C481">
        <v>1860</v>
      </c>
      <c r="D481" t="s">
        <v>32</v>
      </c>
      <c r="E481" t="s">
        <v>23</v>
      </c>
      <c r="F481" t="s">
        <v>17</v>
      </c>
      <c r="G481">
        <v>4</v>
      </c>
      <c r="H481">
        <v>4264</v>
      </c>
      <c r="I481" t="s">
        <v>18</v>
      </c>
      <c r="J481" t="s">
        <v>19</v>
      </c>
      <c r="K481" t="s">
        <v>40</v>
      </c>
      <c r="L481">
        <v>5</v>
      </c>
      <c r="M481">
        <v>1</v>
      </c>
      <c r="N481">
        <v>0</v>
      </c>
      <c r="O481" t="s">
        <v>27</v>
      </c>
      <c r="P481" t="str">
        <f>TEXT(Table1[[#This Row],[order_date]],"yyyy-mm")</f>
        <v>2025-10</v>
      </c>
      <c r="Q481">
        <f>WEEKNUM(Table1[[#This Row],[order_date]])</f>
        <v>43</v>
      </c>
      <c r="R481">
        <f>IF(Table1[[#This Row],[order_status]]="completed",1,0)</f>
        <v>1</v>
      </c>
    </row>
    <row r="482" spans="1:18" x14ac:dyDescent="0.35">
      <c r="A482">
        <v>481</v>
      </c>
      <c r="B482" s="1">
        <v>45990</v>
      </c>
      <c r="C482">
        <v>1877</v>
      </c>
      <c r="D482" t="s">
        <v>28</v>
      </c>
      <c r="E482" t="s">
        <v>23</v>
      </c>
      <c r="F482" t="s">
        <v>30</v>
      </c>
      <c r="G482">
        <v>1</v>
      </c>
      <c r="H482">
        <v>0</v>
      </c>
      <c r="I482" t="s">
        <v>25</v>
      </c>
      <c r="J482" t="s">
        <v>37</v>
      </c>
      <c r="K482" t="s">
        <v>38</v>
      </c>
      <c r="L482">
        <v>7</v>
      </c>
      <c r="M482">
        <v>0</v>
      </c>
      <c r="N482">
        <v>1</v>
      </c>
      <c r="O482" t="s">
        <v>27</v>
      </c>
      <c r="P482" t="str">
        <f>TEXT(Table1[[#This Row],[order_date]],"yyyy-mm")</f>
        <v>2025-11</v>
      </c>
      <c r="Q482">
        <f>WEEKNUM(Table1[[#This Row],[order_date]])</f>
        <v>48</v>
      </c>
      <c r="R482">
        <f>IF(Table1[[#This Row],[order_status]]="completed",1,0)</f>
        <v>0</v>
      </c>
    </row>
    <row r="483" spans="1:18" x14ac:dyDescent="0.35">
      <c r="A483">
        <v>482</v>
      </c>
      <c r="B483" s="1">
        <v>46001</v>
      </c>
      <c r="C483">
        <v>1989</v>
      </c>
      <c r="D483" t="s">
        <v>15</v>
      </c>
      <c r="E483" t="s">
        <v>29</v>
      </c>
      <c r="F483" t="s">
        <v>24</v>
      </c>
      <c r="G483">
        <v>5</v>
      </c>
      <c r="H483">
        <v>0</v>
      </c>
      <c r="I483" t="s">
        <v>18</v>
      </c>
      <c r="J483" t="s">
        <v>37</v>
      </c>
      <c r="K483" t="s">
        <v>40</v>
      </c>
      <c r="L483">
        <v>10</v>
      </c>
      <c r="M483">
        <v>0</v>
      </c>
      <c r="N483">
        <v>1</v>
      </c>
      <c r="O483" t="s">
        <v>21</v>
      </c>
      <c r="P483" t="str">
        <f>TEXT(Table1[[#This Row],[order_date]],"yyyy-mm")</f>
        <v>2025-12</v>
      </c>
      <c r="Q483">
        <f>WEEKNUM(Table1[[#This Row],[order_date]])</f>
        <v>50</v>
      </c>
      <c r="R483">
        <f>IF(Table1[[#This Row],[order_status]]="completed",1,0)</f>
        <v>0</v>
      </c>
    </row>
    <row r="484" spans="1:18" x14ac:dyDescent="0.35">
      <c r="A484">
        <v>483</v>
      </c>
      <c r="B484" s="1">
        <v>45955</v>
      </c>
      <c r="C484">
        <v>1038</v>
      </c>
      <c r="D484" t="s">
        <v>32</v>
      </c>
      <c r="E484" t="s">
        <v>33</v>
      </c>
      <c r="F484" t="s">
        <v>17</v>
      </c>
      <c r="G484">
        <v>4</v>
      </c>
      <c r="H484">
        <v>8332</v>
      </c>
      <c r="I484" t="s">
        <v>25</v>
      </c>
      <c r="J484" t="s">
        <v>19</v>
      </c>
      <c r="K484" t="s">
        <v>20</v>
      </c>
      <c r="L484">
        <v>2</v>
      </c>
      <c r="M484">
        <v>1</v>
      </c>
      <c r="N484">
        <v>1</v>
      </c>
      <c r="O484" t="s">
        <v>27</v>
      </c>
      <c r="P484" t="str">
        <f>TEXT(Table1[[#This Row],[order_date]],"yyyy-mm")</f>
        <v>2025-10</v>
      </c>
      <c r="Q484">
        <f>WEEKNUM(Table1[[#This Row],[order_date]])</f>
        <v>43</v>
      </c>
      <c r="R484">
        <f>IF(Table1[[#This Row],[order_status]]="completed",1,0)</f>
        <v>1</v>
      </c>
    </row>
    <row r="485" spans="1:18" x14ac:dyDescent="0.35">
      <c r="A485">
        <v>484</v>
      </c>
      <c r="B485" s="1">
        <v>45929</v>
      </c>
      <c r="C485">
        <v>1113</v>
      </c>
      <c r="D485" t="s">
        <v>22</v>
      </c>
      <c r="E485" t="s">
        <v>23</v>
      </c>
      <c r="F485" t="s">
        <v>17</v>
      </c>
      <c r="G485">
        <v>1</v>
      </c>
      <c r="H485">
        <v>0</v>
      </c>
      <c r="I485" t="s">
        <v>39</v>
      </c>
      <c r="J485" t="s">
        <v>31</v>
      </c>
      <c r="K485" t="s">
        <v>20</v>
      </c>
      <c r="L485">
        <v>9</v>
      </c>
      <c r="M485">
        <v>1</v>
      </c>
      <c r="N485">
        <v>1</v>
      </c>
      <c r="O485" t="s">
        <v>21</v>
      </c>
      <c r="P485" t="str">
        <f>TEXT(Table1[[#This Row],[order_date]],"yyyy-mm")</f>
        <v>2025-09</v>
      </c>
      <c r="Q485">
        <f>WEEKNUM(Table1[[#This Row],[order_date]])</f>
        <v>40</v>
      </c>
      <c r="R485">
        <f>IF(Table1[[#This Row],[order_status]]="completed",1,0)</f>
        <v>0</v>
      </c>
    </row>
    <row r="486" spans="1:18" x14ac:dyDescent="0.35">
      <c r="A486">
        <v>485</v>
      </c>
      <c r="B486" s="1">
        <v>45871</v>
      </c>
      <c r="C486">
        <v>1182</v>
      </c>
      <c r="D486" t="s">
        <v>15</v>
      </c>
      <c r="E486" t="s">
        <v>23</v>
      </c>
      <c r="F486" t="s">
        <v>30</v>
      </c>
      <c r="G486">
        <v>2</v>
      </c>
      <c r="H486">
        <v>0</v>
      </c>
      <c r="I486" t="s">
        <v>39</v>
      </c>
      <c r="J486" t="s">
        <v>31</v>
      </c>
      <c r="K486" t="s">
        <v>38</v>
      </c>
      <c r="L486">
        <v>4</v>
      </c>
      <c r="M486">
        <v>0</v>
      </c>
      <c r="N486">
        <v>1</v>
      </c>
      <c r="O486" t="s">
        <v>27</v>
      </c>
      <c r="P486" t="str">
        <f>TEXT(Table1[[#This Row],[order_date]],"yyyy-mm")</f>
        <v>2025-08</v>
      </c>
      <c r="Q486">
        <f>WEEKNUM(Table1[[#This Row],[order_date]])</f>
        <v>31</v>
      </c>
      <c r="R486">
        <f>IF(Table1[[#This Row],[order_status]]="completed",1,0)</f>
        <v>0</v>
      </c>
    </row>
    <row r="487" spans="1:18" x14ac:dyDescent="0.35">
      <c r="A487">
        <v>486</v>
      </c>
      <c r="B487" s="1">
        <v>45951</v>
      </c>
      <c r="C487">
        <v>1409</v>
      </c>
      <c r="D487" t="s">
        <v>22</v>
      </c>
      <c r="E487" t="s">
        <v>29</v>
      </c>
      <c r="F487" t="s">
        <v>24</v>
      </c>
      <c r="G487">
        <v>2</v>
      </c>
      <c r="H487">
        <v>4386</v>
      </c>
      <c r="I487" t="s">
        <v>25</v>
      </c>
      <c r="J487" t="s">
        <v>19</v>
      </c>
      <c r="K487" t="s">
        <v>20</v>
      </c>
      <c r="L487">
        <v>1</v>
      </c>
      <c r="M487">
        <v>0</v>
      </c>
      <c r="N487">
        <v>1</v>
      </c>
      <c r="O487" t="s">
        <v>21</v>
      </c>
      <c r="P487" t="str">
        <f>TEXT(Table1[[#This Row],[order_date]],"yyyy-mm")</f>
        <v>2025-10</v>
      </c>
      <c r="Q487">
        <f>WEEKNUM(Table1[[#This Row],[order_date]])</f>
        <v>43</v>
      </c>
      <c r="R487">
        <f>IF(Table1[[#This Row],[order_status]]="completed",1,0)</f>
        <v>1</v>
      </c>
    </row>
    <row r="488" spans="1:18" x14ac:dyDescent="0.35">
      <c r="A488">
        <v>487</v>
      </c>
      <c r="B488" s="1">
        <v>45997</v>
      </c>
      <c r="C488">
        <v>1741</v>
      </c>
      <c r="D488" t="s">
        <v>15</v>
      </c>
      <c r="E488" t="s">
        <v>16</v>
      </c>
      <c r="F488" t="s">
        <v>30</v>
      </c>
      <c r="G488">
        <v>5</v>
      </c>
      <c r="H488">
        <v>0</v>
      </c>
      <c r="I488" t="s">
        <v>39</v>
      </c>
      <c r="J488" t="s">
        <v>31</v>
      </c>
      <c r="K488" t="s">
        <v>26</v>
      </c>
      <c r="L488">
        <v>6</v>
      </c>
      <c r="M488">
        <v>1</v>
      </c>
      <c r="N488">
        <v>1</v>
      </c>
      <c r="O488" t="s">
        <v>27</v>
      </c>
      <c r="P488" t="str">
        <f>TEXT(Table1[[#This Row],[order_date]],"yyyy-mm")</f>
        <v>2025-12</v>
      </c>
      <c r="Q488">
        <f>WEEKNUM(Table1[[#This Row],[order_date]])</f>
        <v>49</v>
      </c>
      <c r="R488">
        <f>IF(Table1[[#This Row],[order_status]]="completed",1,0)</f>
        <v>0</v>
      </c>
    </row>
    <row r="489" spans="1:18" x14ac:dyDescent="0.35">
      <c r="A489">
        <v>488</v>
      </c>
      <c r="B489" s="1">
        <v>45899</v>
      </c>
      <c r="C489">
        <v>1752</v>
      </c>
      <c r="D489" t="s">
        <v>28</v>
      </c>
      <c r="E489" t="s">
        <v>33</v>
      </c>
      <c r="F489" t="s">
        <v>24</v>
      </c>
      <c r="G489">
        <v>1</v>
      </c>
      <c r="H489">
        <v>3227</v>
      </c>
      <c r="I489" t="s">
        <v>25</v>
      </c>
      <c r="J489" t="s">
        <v>19</v>
      </c>
      <c r="K489" t="s">
        <v>38</v>
      </c>
      <c r="L489">
        <v>6</v>
      </c>
      <c r="M489">
        <v>0</v>
      </c>
      <c r="N489">
        <v>0</v>
      </c>
      <c r="O489" t="s">
        <v>21</v>
      </c>
      <c r="P489" t="str">
        <f>TEXT(Table1[[#This Row],[order_date]],"yyyy-mm")</f>
        <v>2025-08</v>
      </c>
      <c r="Q489">
        <f>WEEKNUM(Table1[[#This Row],[order_date]])</f>
        <v>35</v>
      </c>
      <c r="R489">
        <f>IF(Table1[[#This Row],[order_status]]="completed",1,0)</f>
        <v>1</v>
      </c>
    </row>
    <row r="490" spans="1:18" x14ac:dyDescent="0.35">
      <c r="A490">
        <v>489</v>
      </c>
      <c r="B490" s="1">
        <v>45914</v>
      </c>
      <c r="C490">
        <v>1902</v>
      </c>
      <c r="D490" t="s">
        <v>32</v>
      </c>
      <c r="E490" t="s">
        <v>33</v>
      </c>
      <c r="F490" t="s">
        <v>17</v>
      </c>
      <c r="G490">
        <v>2</v>
      </c>
      <c r="H490">
        <v>0</v>
      </c>
      <c r="I490" t="s">
        <v>39</v>
      </c>
      <c r="J490" t="s">
        <v>37</v>
      </c>
      <c r="K490" t="s">
        <v>26</v>
      </c>
      <c r="L490">
        <v>7</v>
      </c>
      <c r="M490">
        <v>0</v>
      </c>
      <c r="N490">
        <v>0</v>
      </c>
      <c r="O490" t="s">
        <v>21</v>
      </c>
      <c r="P490" t="str">
        <f>TEXT(Table1[[#This Row],[order_date]],"yyyy-mm")</f>
        <v>2025-09</v>
      </c>
      <c r="Q490">
        <f>WEEKNUM(Table1[[#This Row],[order_date]])</f>
        <v>38</v>
      </c>
      <c r="R490">
        <f>IF(Table1[[#This Row],[order_status]]="completed",1,0)</f>
        <v>0</v>
      </c>
    </row>
    <row r="491" spans="1:18" x14ac:dyDescent="0.35">
      <c r="A491">
        <v>490</v>
      </c>
      <c r="B491" s="1">
        <v>45925</v>
      </c>
      <c r="C491">
        <v>1942</v>
      </c>
      <c r="D491" t="s">
        <v>32</v>
      </c>
      <c r="E491" t="s">
        <v>16</v>
      </c>
      <c r="F491" t="s">
        <v>24</v>
      </c>
      <c r="G491">
        <v>1</v>
      </c>
      <c r="H491">
        <v>0</v>
      </c>
      <c r="I491" t="s">
        <v>39</v>
      </c>
      <c r="J491" t="s">
        <v>31</v>
      </c>
      <c r="K491" t="s">
        <v>38</v>
      </c>
      <c r="L491">
        <v>6</v>
      </c>
      <c r="M491">
        <v>0</v>
      </c>
      <c r="N491">
        <v>0</v>
      </c>
      <c r="O491" t="s">
        <v>27</v>
      </c>
      <c r="P491" t="str">
        <f>TEXT(Table1[[#This Row],[order_date]],"yyyy-mm")</f>
        <v>2025-09</v>
      </c>
      <c r="Q491">
        <f>WEEKNUM(Table1[[#This Row],[order_date]])</f>
        <v>39</v>
      </c>
      <c r="R491">
        <f>IF(Table1[[#This Row],[order_status]]="completed",1,0)</f>
        <v>0</v>
      </c>
    </row>
    <row r="492" spans="1:18" x14ac:dyDescent="0.35">
      <c r="A492">
        <v>491</v>
      </c>
      <c r="B492" s="1">
        <v>45859</v>
      </c>
      <c r="C492">
        <v>1814</v>
      </c>
      <c r="D492" t="s">
        <v>22</v>
      </c>
      <c r="E492" t="s">
        <v>33</v>
      </c>
      <c r="F492" t="s">
        <v>30</v>
      </c>
      <c r="G492">
        <v>1</v>
      </c>
      <c r="H492">
        <v>0</v>
      </c>
      <c r="I492" t="s">
        <v>35</v>
      </c>
      <c r="J492" t="s">
        <v>37</v>
      </c>
      <c r="K492" t="s">
        <v>38</v>
      </c>
      <c r="L492">
        <v>1</v>
      </c>
      <c r="M492">
        <v>0</v>
      </c>
      <c r="N492">
        <v>1</v>
      </c>
      <c r="O492" t="s">
        <v>27</v>
      </c>
      <c r="P492" t="str">
        <f>TEXT(Table1[[#This Row],[order_date]],"yyyy-mm")</f>
        <v>2025-07</v>
      </c>
      <c r="Q492">
        <f>WEEKNUM(Table1[[#This Row],[order_date]])</f>
        <v>30</v>
      </c>
      <c r="R492">
        <f>IF(Table1[[#This Row],[order_status]]="completed",1,0)</f>
        <v>0</v>
      </c>
    </row>
    <row r="493" spans="1:18" x14ac:dyDescent="0.35">
      <c r="A493">
        <v>492</v>
      </c>
      <c r="B493" s="1">
        <v>45906</v>
      </c>
      <c r="C493">
        <v>1268</v>
      </c>
      <c r="D493" t="s">
        <v>32</v>
      </c>
      <c r="E493" t="s">
        <v>16</v>
      </c>
      <c r="F493" t="s">
        <v>17</v>
      </c>
      <c r="G493">
        <v>3</v>
      </c>
      <c r="H493">
        <v>0</v>
      </c>
      <c r="I493" t="s">
        <v>25</v>
      </c>
      <c r="J493" t="s">
        <v>31</v>
      </c>
      <c r="K493" t="s">
        <v>38</v>
      </c>
      <c r="L493">
        <v>5</v>
      </c>
      <c r="M493">
        <v>1</v>
      </c>
      <c r="N493">
        <v>0</v>
      </c>
      <c r="O493" t="s">
        <v>27</v>
      </c>
      <c r="P493" t="str">
        <f>TEXT(Table1[[#This Row],[order_date]],"yyyy-mm")</f>
        <v>2025-09</v>
      </c>
      <c r="Q493">
        <f>WEEKNUM(Table1[[#This Row],[order_date]])</f>
        <v>36</v>
      </c>
      <c r="R493">
        <f>IF(Table1[[#This Row],[order_status]]="completed",1,0)</f>
        <v>0</v>
      </c>
    </row>
    <row r="494" spans="1:18" x14ac:dyDescent="0.35">
      <c r="A494">
        <v>493</v>
      </c>
      <c r="B494" s="1">
        <v>45896</v>
      </c>
      <c r="C494">
        <v>1992</v>
      </c>
      <c r="D494" t="s">
        <v>22</v>
      </c>
      <c r="E494" t="s">
        <v>16</v>
      </c>
      <c r="F494" t="s">
        <v>30</v>
      </c>
      <c r="G494">
        <v>4</v>
      </c>
      <c r="H494">
        <v>2216</v>
      </c>
      <c r="I494" t="s">
        <v>35</v>
      </c>
      <c r="J494" t="s">
        <v>19</v>
      </c>
      <c r="K494" t="s">
        <v>38</v>
      </c>
      <c r="L494">
        <v>6</v>
      </c>
      <c r="M494">
        <v>1</v>
      </c>
      <c r="N494">
        <v>1</v>
      </c>
      <c r="O494" t="s">
        <v>21</v>
      </c>
      <c r="P494" t="str">
        <f>TEXT(Table1[[#This Row],[order_date]],"yyyy-mm")</f>
        <v>2025-08</v>
      </c>
      <c r="Q494">
        <f>WEEKNUM(Table1[[#This Row],[order_date]])</f>
        <v>35</v>
      </c>
      <c r="R494">
        <f>IF(Table1[[#This Row],[order_status]]="completed",1,0)</f>
        <v>1</v>
      </c>
    </row>
    <row r="495" spans="1:18" x14ac:dyDescent="0.35">
      <c r="A495">
        <v>494</v>
      </c>
      <c r="B495" s="1">
        <v>45886</v>
      </c>
      <c r="C495">
        <v>1519</v>
      </c>
      <c r="D495" t="s">
        <v>41</v>
      </c>
      <c r="E495" t="s">
        <v>23</v>
      </c>
      <c r="F495" t="s">
        <v>34</v>
      </c>
      <c r="G495">
        <v>5</v>
      </c>
      <c r="H495">
        <v>8445</v>
      </c>
      <c r="I495" t="s">
        <v>25</v>
      </c>
      <c r="J495" t="s">
        <v>19</v>
      </c>
      <c r="K495" t="s">
        <v>20</v>
      </c>
      <c r="L495">
        <v>6</v>
      </c>
      <c r="M495">
        <v>0</v>
      </c>
      <c r="N495">
        <v>0</v>
      </c>
      <c r="O495" t="s">
        <v>27</v>
      </c>
      <c r="P495" t="str">
        <f>TEXT(Table1[[#This Row],[order_date]],"yyyy-mm")</f>
        <v>2025-08</v>
      </c>
      <c r="Q495">
        <f>WEEKNUM(Table1[[#This Row],[order_date]])</f>
        <v>34</v>
      </c>
      <c r="R495">
        <f>IF(Table1[[#This Row],[order_status]]="completed",1,0)</f>
        <v>1</v>
      </c>
    </row>
    <row r="496" spans="1:18" x14ac:dyDescent="0.35">
      <c r="A496">
        <v>495</v>
      </c>
      <c r="B496" s="1">
        <v>45953</v>
      </c>
      <c r="C496">
        <v>1859</v>
      </c>
      <c r="D496" t="s">
        <v>28</v>
      </c>
      <c r="E496" t="s">
        <v>29</v>
      </c>
      <c r="F496" t="s">
        <v>34</v>
      </c>
      <c r="G496">
        <v>2</v>
      </c>
      <c r="H496">
        <v>7906</v>
      </c>
      <c r="I496" t="s">
        <v>39</v>
      </c>
      <c r="J496" t="s">
        <v>19</v>
      </c>
      <c r="K496" t="s">
        <v>38</v>
      </c>
      <c r="L496">
        <v>2</v>
      </c>
      <c r="M496">
        <v>0</v>
      </c>
      <c r="N496">
        <v>0</v>
      </c>
      <c r="O496" t="s">
        <v>27</v>
      </c>
      <c r="P496" t="str">
        <f>TEXT(Table1[[#This Row],[order_date]],"yyyy-mm")</f>
        <v>2025-10</v>
      </c>
      <c r="Q496">
        <f>WEEKNUM(Table1[[#This Row],[order_date]])</f>
        <v>43</v>
      </c>
      <c r="R496">
        <f>IF(Table1[[#This Row],[order_status]]="completed",1,0)</f>
        <v>1</v>
      </c>
    </row>
    <row r="497" spans="1:18" x14ac:dyDescent="0.35">
      <c r="A497">
        <v>496</v>
      </c>
      <c r="B497" s="1">
        <v>45947</v>
      </c>
      <c r="C497">
        <v>1605</v>
      </c>
      <c r="D497" t="s">
        <v>32</v>
      </c>
      <c r="E497" t="s">
        <v>16</v>
      </c>
      <c r="F497" t="s">
        <v>30</v>
      </c>
      <c r="G497">
        <v>1</v>
      </c>
      <c r="H497">
        <v>0</v>
      </c>
      <c r="I497" t="s">
        <v>39</v>
      </c>
      <c r="J497" t="s">
        <v>31</v>
      </c>
      <c r="K497" t="s">
        <v>40</v>
      </c>
      <c r="L497">
        <v>8</v>
      </c>
      <c r="M497">
        <v>0</v>
      </c>
      <c r="N497">
        <v>1</v>
      </c>
      <c r="O497" t="s">
        <v>21</v>
      </c>
      <c r="P497" t="str">
        <f>TEXT(Table1[[#This Row],[order_date]],"yyyy-mm")</f>
        <v>2025-10</v>
      </c>
      <c r="Q497">
        <f>WEEKNUM(Table1[[#This Row],[order_date]])</f>
        <v>42</v>
      </c>
      <c r="R497">
        <f>IF(Table1[[#This Row],[order_status]]="completed",1,0)</f>
        <v>0</v>
      </c>
    </row>
    <row r="498" spans="1:18" x14ac:dyDescent="0.35">
      <c r="A498">
        <v>497</v>
      </c>
      <c r="B498" s="1">
        <v>45910</v>
      </c>
      <c r="C498">
        <v>1019</v>
      </c>
      <c r="D498" t="s">
        <v>22</v>
      </c>
      <c r="E498" t="s">
        <v>16</v>
      </c>
      <c r="F498" t="s">
        <v>24</v>
      </c>
      <c r="G498">
        <v>2</v>
      </c>
      <c r="H498">
        <v>0</v>
      </c>
      <c r="I498" t="s">
        <v>35</v>
      </c>
      <c r="J498" t="s">
        <v>31</v>
      </c>
      <c r="K498" t="s">
        <v>40</v>
      </c>
      <c r="L498">
        <v>9</v>
      </c>
      <c r="M498">
        <v>1</v>
      </c>
      <c r="N498">
        <v>0</v>
      </c>
      <c r="O498" t="s">
        <v>21</v>
      </c>
      <c r="P498" t="str">
        <f>TEXT(Table1[[#This Row],[order_date]],"yyyy-mm")</f>
        <v>2025-09</v>
      </c>
      <c r="Q498">
        <f>WEEKNUM(Table1[[#This Row],[order_date]])</f>
        <v>37</v>
      </c>
      <c r="R498">
        <f>IF(Table1[[#This Row],[order_status]]="completed",1,0)</f>
        <v>0</v>
      </c>
    </row>
    <row r="499" spans="1:18" x14ac:dyDescent="0.35">
      <c r="A499">
        <v>498</v>
      </c>
      <c r="B499" s="1">
        <v>45872</v>
      </c>
      <c r="C499">
        <v>1206</v>
      </c>
      <c r="D499" t="s">
        <v>32</v>
      </c>
      <c r="E499" t="s">
        <v>23</v>
      </c>
      <c r="F499" t="s">
        <v>17</v>
      </c>
      <c r="G499">
        <v>5</v>
      </c>
      <c r="H499">
        <v>0</v>
      </c>
      <c r="I499" t="s">
        <v>25</v>
      </c>
      <c r="J499" t="s">
        <v>37</v>
      </c>
      <c r="K499" t="s">
        <v>26</v>
      </c>
      <c r="L499">
        <v>5</v>
      </c>
      <c r="M499">
        <v>0</v>
      </c>
      <c r="N499">
        <v>1</v>
      </c>
      <c r="O499" t="s">
        <v>27</v>
      </c>
      <c r="P499" t="str">
        <f>TEXT(Table1[[#This Row],[order_date]],"yyyy-mm")</f>
        <v>2025-08</v>
      </c>
      <c r="Q499">
        <f>WEEKNUM(Table1[[#This Row],[order_date]])</f>
        <v>32</v>
      </c>
      <c r="R499">
        <f>IF(Table1[[#This Row],[order_status]]="completed",1,0)</f>
        <v>0</v>
      </c>
    </row>
    <row r="500" spans="1:18" x14ac:dyDescent="0.35">
      <c r="A500">
        <v>499</v>
      </c>
      <c r="B500" s="1">
        <v>45961</v>
      </c>
      <c r="C500">
        <v>1515</v>
      </c>
      <c r="D500" t="s">
        <v>22</v>
      </c>
      <c r="E500" t="s">
        <v>36</v>
      </c>
      <c r="F500" t="s">
        <v>34</v>
      </c>
      <c r="G500">
        <v>4</v>
      </c>
      <c r="H500">
        <v>0</v>
      </c>
      <c r="I500" t="s">
        <v>18</v>
      </c>
      <c r="J500" t="s">
        <v>31</v>
      </c>
      <c r="K500" t="s">
        <v>20</v>
      </c>
      <c r="L500">
        <v>10</v>
      </c>
      <c r="M500">
        <v>0</v>
      </c>
      <c r="N500">
        <v>0</v>
      </c>
      <c r="O500" t="s">
        <v>21</v>
      </c>
      <c r="P500" t="str">
        <f>TEXT(Table1[[#This Row],[order_date]],"yyyy-mm")</f>
        <v>2025-10</v>
      </c>
      <c r="Q500">
        <f>WEEKNUM(Table1[[#This Row],[order_date]])</f>
        <v>44</v>
      </c>
      <c r="R500">
        <f>IF(Table1[[#This Row],[order_status]]="completed",1,0)</f>
        <v>0</v>
      </c>
    </row>
    <row r="501" spans="1:18" x14ac:dyDescent="0.35">
      <c r="A501">
        <v>500</v>
      </c>
      <c r="B501" s="1">
        <v>45973</v>
      </c>
      <c r="C501">
        <v>1370</v>
      </c>
      <c r="D501" t="s">
        <v>41</v>
      </c>
      <c r="E501" t="s">
        <v>36</v>
      </c>
      <c r="F501" t="s">
        <v>24</v>
      </c>
      <c r="G501">
        <v>4</v>
      </c>
      <c r="H501">
        <v>0</v>
      </c>
      <c r="I501" t="s">
        <v>18</v>
      </c>
      <c r="J501" t="s">
        <v>31</v>
      </c>
      <c r="K501" t="s">
        <v>38</v>
      </c>
      <c r="L501">
        <v>7</v>
      </c>
      <c r="M501">
        <v>1</v>
      </c>
      <c r="N501">
        <v>1</v>
      </c>
      <c r="O501" t="s">
        <v>27</v>
      </c>
      <c r="P501" t="str">
        <f>TEXT(Table1[[#This Row],[order_date]],"yyyy-mm")</f>
        <v>2025-11</v>
      </c>
      <c r="Q501">
        <f>WEEKNUM(Table1[[#This Row],[order_date]])</f>
        <v>46</v>
      </c>
      <c r="R501">
        <f>IF(Table1[[#This Row],[order_status]]="completed",1,0)</f>
        <v>0</v>
      </c>
    </row>
    <row r="502" spans="1:18" x14ac:dyDescent="0.35">
      <c r="A502">
        <v>501</v>
      </c>
      <c r="B502" s="1">
        <v>45978</v>
      </c>
      <c r="C502">
        <v>1647</v>
      </c>
      <c r="D502" t="s">
        <v>41</v>
      </c>
      <c r="E502" t="s">
        <v>16</v>
      </c>
      <c r="F502" t="s">
        <v>34</v>
      </c>
      <c r="G502">
        <v>5</v>
      </c>
      <c r="H502">
        <v>1300</v>
      </c>
      <c r="I502" t="s">
        <v>25</v>
      </c>
      <c r="J502" t="s">
        <v>19</v>
      </c>
      <c r="K502" t="s">
        <v>20</v>
      </c>
      <c r="L502">
        <v>3</v>
      </c>
      <c r="M502">
        <v>0</v>
      </c>
      <c r="N502">
        <v>1</v>
      </c>
      <c r="O502" t="s">
        <v>27</v>
      </c>
      <c r="P502" t="str">
        <f>TEXT(Table1[[#This Row],[order_date]],"yyyy-mm")</f>
        <v>2025-11</v>
      </c>
      <c r="Q502">
        <f>WEEKNUM(Table1[[#This Row],[order_date]])</f>
        <v>47</v>
      </c>
      <c r="R502">
        <f>IF(Table1[[#This Row],[order_status]]="completed",1,0)</f>
        <v>1</v>
      </c>
    </row>
    <row r="503" spans="1:18" x14ac:dyDescent="0.35">
      <c r="A503">
        <v>502</v>
      </c>
      <c r="B503" s="1">
        <v>45879</v>
      </c>
      <c r="C503">
        <v>1448</v>
      </c>
      <c r="D503" t="s">
        <v>22</v>
      </c>
      <c r="E503" t="s">
        <v>23</v>
      </c>
      <c r="F503" t="s">
        <v>24</v>
      </c>
      <c r="G503">
        <v>4</v>
      </c>
      <c r="H503">
        <v>2720</v>
      </c>
      <c r="I503" t="s">
        <v>25</v>
      </c>
      <c r="J503" t="s">
        <v>19</v>
      </c>
      <c r="K503" t="s">
        <v>40</v>
      </c>
      <c r="L503">
        <v>7</v>
      </c>
      <c r="M503">
        <v>1</v>
      </c>
      <c r="N503">
        <v>1</v>
      </c>
      <c r="O503" t="s">
        <v>27</v>
      </c>
      <c r="P503" t="str">
        <f>TEXT(Table1[[#This Row],[order_date]],"yyyy-mm")</f>
        <v>2025-08</v>
      </c>
      <c r="Q503">
        <f>WEEKNUM(Table1[[#This Row],[order_date]])</f>
        <v>33</v>
      </c>
      <c r="R503">
        <f>IF(Table1[[#This Row],[order_status]]="completed",1,0)</f>
        <v>1</v>
      </c>
    </row>
    <row r="504" spans="1:18" x14ac:dyDescent="0.35">
      <c r="A504">
        <v>503</v>
      </c>
      <c r="B504" s="1">
        <v>45996</v>
      </c>
      <c r="C504">
        <v>1084</v>
      </c>
      <c r="D504" t="s">
        <v>22</v>
      </c>
      <c r="E504" t="s">
        <v>33</v>
      </c>
      <c r="F504" t="s">
        <v>30</v>
      </c>
      <c r="G504">
        <v>1</v>
      </c>
      <c r="H504">
        <v>0</v>
      </c>
      <c r="I504" t="s">
        <v>39</v>
      </c>
      <c r="J504" t="s">
        <v>31</v>
      </c>
      <c r="K504" t="s">
        <v>26</v>
      </c>
      <c r="L504">
        <v>5</v>
      </c>
      <c r="M504">
        <v>0</v>
      </c>
      <c r="N504">
        <v>0</v>
      </c>
      <c r="O504" t="s">
        <v>21</v>
      </c>
      <c r="P504" t="str">
        <f>TEXT(Table1[[#This Row],[order_date]],"yyyy-mm")</f>
        <v>2025-12</v>
      </c>
      <c r="Q504">
        <f>WEEKNUM(Table1[[#This Row],[order_date]])</f>
        <v>49</v>
      </c>
      <c r="R504">
        <f>IF(Table1[[#This Row],[order_status]]="completed",1,0)</f>
        <v>0</v>
      </c>
    </row>
    <row r="505" spans="1:18" x14ac:dyDescent="0.35">
      <c r="A505">
        <v>504</v>
      </c>
      <c r="B505" s="1">
        <v>45965</v>
      </c>
      <c r="C505">
        <v>1229</v>
      </c>
      <c r="D505" t="s">
        <v>15</v>
      </c>
      <c r="E505" t="s">
        <v>33</v>
      </c>
      <c r="F505" t="s">
        <v>17</v>
      </c>
      <c r="G505">
        <v>1</v>
      </c>
      <c r="H505">
        <v>0</v>
      </c>
      <c r="I505" t="s">
        <v>18</v>
      </c>
      <c r="J505" t="s">
        <v>31</v>
      </c>
      <c r="K505" t="s">
        <v>38</v>
      </c>
      <c r="L505">
        <v>6</v>
      </c>
      <c r="M505">
        <v>1</v>
      </c>
      <c r="N505">
        <v>1</v>
      </c>
      <c r="O505" t="s">
        <v>27</v>
      </c>
      <c r="P505" t="str">
        <f>TEXT(Table1[[#This Row],[order_date]],"yyyy-mm")</f>
        <v>2025-11</v>
      </c>
      <c r="Q505">
        <f>WEEKNUM(Table1[[#This Row],[order_date]])</f>
        <v>45</v>
      </c>
      <c r="R505">
        <f>IF(Table1[[#This Row],[order_status]]="completed",1,0)</f>
        <v>0</v>
      </c>
    </row>
    <row r="506" spans="1:18" x14ac:dyDescent="0.35">
      <c r="A506">
        <v>505</v>
      </c>
      <c r="B506" s="1">
        <v>45987</v>
      </c>
      <c r="C506">
        <v>1572</v>
      </c>
      <c r="D506" t="s">
        <v>28</v>
      </c>
      <c r="E506" t="s">
        <v>23</v>
      </c>
      <c r="F506" t="s">
        <v>30</v>
      </c>
      <c r="G506">
        <v>2</v>
      </c>
      <c r="H506">
        <v>0</v>
      </c>
      <c r="I506" t="s">
        <v>25</v>
      </c>
      <c r="J506" t="s">
        <v>31</v>
      </c>
      <c r="K506" t="s">
        <v>20</v>
      </c>
      <c r="L506">
        <v>7</v>
      </c>
      <c r="M506">
        <v>0</v>
      </c>
      <c r="N506">
        <v>0</v>
      </c>
      <c r="O506" t="s">
        <v>21</v>
      </c>
      <c r="P506" t="str">
        <f>TEXT(Table1[[#This Row],[order_date]],"yyyy-mm")</f>
        <v>2025-11</v>
      </c>
      <c r="Q506">
        <f>WEEKNUM(Table1[[#This Row],[order_date]])</f>
        <v>48</v>
      </c>
      <c r="R506">
        <f>IF(Table1[[#This Row],[order_status]]="completed",1,0)</f>
        <v>0</v>
      </c>
    </row>
    <row r="507" spans="1:18" x14ac:dyDescent="0.35">
      <c r="A507">
        <v>506</v>
      </c>
      <c r="B507" s="1">
        <v>45881</v>
      </c>
      <c r="C507">
        <v>1569</v>
      </c>
      <c r="D507" t="s">
        <v>15</v>
      </c>
      <c r="E507" t="s">
        <v>36</v>
      </c>
      <c r="F507" t="s">
        <v>17</v>
      </c>
      <c r="G507">
        <v>2</v>
      </c>
      <c r="H507">
        <v>0</v>
      </c>
      <c r="I507" t="s">
        <v>18</v>
      </c>
      <c r="J507" t="s">
        <v>31</v>
      </c>
      <c r="K507" t="s">
        <v>20</v>
      </c>
      <c r="L507">
        <v>1</v>
      </c>
      <c r="M507">
        <v>0</v>
      </c>
      <c r="N507">
        <v>0</v>
      </c>
      <c r="O507" t="s">
        <v>21</v>
      </c>
      <c r="P507" t="str">
        <f>TEXT(Table1[[#This Row],[order_date]],"yyyy-mm")</f>
        <v>2025-08</v>
      </c>
      <c r="Q507">
        <f>WEEKNUM(Table1[[#This Row],[order_date]])</f>
        <v>33</v>
      </c>
      <c r="R507">
        <f>IF(Table1[[#This Row],[order_status]]="completed",1,0)</f>
        <v>0</v>
      </c>
    </row>
    <row r="508" spans="1:18" x14ac:dyDescent="0.35">
      <c r="A508">
        <v>507</v>
      </c>
      <c r="B508" s="1">
        <v>45905</v>
      </c>
      <c r="C508">
        <v>1950</v>
      </c>
      <c r="D508" t="s">
        <v>28</v>
      </c>
      <c r="E508" t="s">
        <v>36</v>
      </c>
      <c r="F508" t="s">
        <v>24</v>
      </c>
      <c r="G508">
        <v>2</v>
      </c>
      <c r="H508">
        <v>3558</v>
      </c>
      <c r="I508" t="s">
        <v>39</v>
      </c>
      <c r="J508" t="s">
        <v>19</v>
      </c>
      <c r="K508" t="s">
        <v>26</v>
      </c>
      <c r="L508">
        <v>8</v>
      </c>
      <c r="M508">
        <v>1</v>
      </c>
      <c r="N508">
        <v>0</v>
      </c>
      <c r="O508" t="s">
        <v>21</v>
      </c>
      <c r="P508" t="str">
        <f>TEXT(Table1[[#This Row],[order_date]],"yyyy-mm")</f>
        <v>2025-09</v>
      </c>
      <c r="Q508">
        <f>WEEKNUM(Table1[[#This Row],[order_date]])</f>
        <v>36</v>
      </c>
      <c r="R508">
        <f>IF(Table1[[#This Row],[order_status]]="completed",1,0)</f>
        <v>1</v>
      </c>
    </row>
    <row r="509" spans="1:18" x14ac:dyDescent="0.35">
      <c r="A509">
        <v>508</v>
      </c>
      <c r="B509" s="1">
        <v>45892</v>
      </c>
      <c r="C509">
        <v>1930</v>
      </c>
      <c r="D509" t="s">
        <v>32</v>
      </c>
      <c r="E509" t="s">
        <v>33</v>
      </c>
      <c r="F509" t="s">
        <v>24</v>
      </c>
      <c r="G509">
        <v>2</v>
      </c>
      <c r="H509">
        <v>0</v>
      </c>
      <c r="I509" t="s">
        <v>18</v>
      </c>
      <c r="J509" t="s">
        <v>31</v>
      </c>
      <c r="K509" t="s">
        <v>38</v>
      </c>
      <c r="L509">
        <v>5</v>
      </c>
      <c r="M509">
        <v>0</v>
      </c>
      <c r="N509">
        <v>1</v>
      </c>
      <c r="O509" t="s">
        <v>27</v>
      </c>
      <c r="P509" t="str">
        <f>TEXT(Table1[[#This Row],[order_date]],"yyyy-mm")</f>
        <v>2025-08</v>
      </c>
      <c r="Q509">
        <f>WEEKNUM(Table1[[#This Row],[order_date]])</f>
        <v>34</v>
      </c>
      <c r="R509">
        <f>IF(Table1[[#This Row],[order_status]]="completed",1,0)</f>
        <v>0</v>
      </c>
    </row>
    <row r="510" spans="1:18" x14ac:dyDescent="0.35">
      <c r="A510">
        <v>509</v>
      </c>
      <c r="B510" s="1">
        <v>45997</v>
      </c>
      <c r="C510">
        <v>1088</v>
      </c>
      <c r="D510" t="s">
        <v>41</v>
      </c>
      <c r="E510" t="s">
        <v>36</v>
      </c>
      <c r="F510" t="s">
        <v>17</v>
      </c>
      <c r="G510">
        <v>2</v>
      </c>
      <c r="H510">
        <v>9386</v>
      </c>
      <c r="I510" t="s">
        <v>25</v>
      </c>
      <c r="J510" t="s">
        <v>19</v>
      </c>
      <c r="K510" t="s">
        <v>38</v>
      </c>
      <c r="L510">
        <v>7</v>
      </c>
      <c r="M510">
        <v>1</v>
      </c>
      <c r="N510">
        <v>1</v>
      </c>
      <c r="O510" t="s">
        <v>27</v>
      </c>
      <c r="P510" t="str">
        <f>TEXT(Table1[[#This Row],[order_date]],"yyyy-mm")</f>
        <v>2025-12</v>
      </c>
      <c r="Q510">
        <f>WEEKNUM(Table1[[#This Row],[order_date]])</f>
        <v>49</v>
      </c>
      <c r="R510">
        <f>IF(Table1[[#This Row],[order_status]]="completed",1,0)</f>
        <v>1</v>
      </c>
    </row>
    <row r="511" spans="1:18" x14ac:dyDescent="0.35">
      <c r="A511">
        <v>510</v>
      </c>
      <c r="B511" s="1">
        <v>45994</v>
      </c>
      <c r="C511">
        <v>1335</v>
      </c>
      <c r="D511" t="s">
        <v>28</v>
      </c>
      <c r="E511" t="s">
        <v>29</v>
      </c>
      <c r="F511" t="s">
        <v>30</v>
      </c>
      <c r="G511">
        <v>3</v>
      </c>
      <c r="H511">
        <v>0</v>
      </c>
      <c r="I511" t="s">
        <v>25</v>
      </c>
      <c r="J511" t="s">
        <v>37</v>
      </c>
      <c r="K511" t="s">
        <v>38</v>
      </c>
      <c r="L511">
        <v>7</v>
      </c>
      <c r="M511">
        <v>0</v>
      </c>
      <c r="N511">
        <v>0</v>
      </c>
      <c r="O511" t="s">
        <v>21</v>
      </c>
      <c r="P511" t="str">
        <f>TEXT(Table1[[#This Row],[order_date]],"yyyy-mm")</f>
        <v>2025-12</v>
      </c>
      <c r="Q511">
        <f>WEEKNUM(Table1[[#This Row],[order_date]])</f>
        <v>49</v>
      </c>
      <c r="R511">
        <f>IF(Table1[[#This Row],[order_status]]="completed",1,0)</f>
        <v>0</v>
      </c>
    </row>
    <row r="512" spans="1:18" x14ac:dyDescent="0.35">
      <c r="A512">
        <v>511</v>
      </c>
      <c r="B512" s="1">
        <v>45923</v>
      </c>
      <c r="C512">
        <v>1219</v>
      </c>
      <c r="D512" t="s">
        <v>22</v>
      </c>
      <c r="E512" t="s">
        <v>36</v>
      </c>
      <c r="F512" t="s">
        <v>34</v>
      </c>
      <c r="G512">
        <v>2</v>
      </c>
      <c r="H512">
        <v>4550</v>
      </c>
      <c r="I512" t="s">
        <v>18</v>
      </c>
      <c r="J512" t="s">
        <v>19</v>
      </c>
      <c r="K512" t="s">
        <v>20</v>
      </c>
      <c r="L512">
        <v>9</v>
      </c>
      <c r="M512">
        <v>1</v>
      </c>
      <c r="N512">
        <v>1</v>
      </c>
      <c r="O512" t="s">
        <v>21</v>
      </c>
      <c r="P512" t="str">
        <f>TEXT(Table1[[#This Row],[order_date]],"yyyy-mm")</f>
        <v>2025-09</v>
      </c>
      <c r="Q512">
        <f>WEEKNUM(Table1[[#This Row],[order_date]])</f>
        <v>39</v>
      </c>
      <c r="R512">
        <f>IF(Table1[[#This Row],[order_status]]="completed",1,0)</f>
        <v>1</v>
      </c>
    </row>
    <row r="513" spans="1:18" x14ac:dyDescent="0.35">
      <c r="A513">
        <v>512</v>
      </c>
      <c r="B513" s="1">
        <v>45852</v>
      </c>
      <c r="C513">
        <v>1101</v>
      </c>
      <c r="D513" t="s">
        <v>32</v>
      </c>
      <c r="E513" t="s">
        <v>36</v>
      </c>
      <c r="F513" t="s">
        <v>34</v>
      </c>
      <c r="G513">
        <v>3</v>
      </c>
      <c r="H513">
        <v>0</v>
      </c>
      <c r="I513" t="s">
        <v>18</v>
      </c>
      <c r="J513" t="s">
        <v>31</v>
      </c>
      <c r="K513" t="s">
        <v>40</v>
      </c>
      <c r="L513">
        <v>5</v>
      </c>
      <c r="M513">
        <v>0</v>
      </c>
      <c r="N513">
        <v>0</v>
      </c>
      <c r="O513" t="s">
        <v>27</v>
      </c>
      <c r="P513" t="str">
        <f>TEXT(Table1[[#This Row],[order_date]],"yyyy-mm")</f>
        <v>2025-07</v>
      </c>
      <c r="Q513">
        <f>WEEKNUM(Table1[[#This Row],[order_date]])</f>
        <v>29</v>
      </c>
      <c r="R513">
        <f>IF(Table1[[#This Row],[order_status]]="completed",1,0)</f>
        <v>0</v>
      </c>
    </row>
    <row r="514" spans="1:18" x14ac:dyDescent="0.35">
      <c r="A514">
        <v>513</v>
      </c>
      <c r="B514" s="1">
        <v>45973</v>
      </c>
      <c r="C514">
        <v>1759</v>
      </c>
      <c r="D514" t="s">
        <v>15</v>
      </c>
      <c r="E514" t="s">
        <v>16</v>
      </c>
      <c r="F514" t="s">
        <v>24</v>
      </c>
      <c r="G514">
        <v>1</v>
      </c>
      <c r="H514">
        <v>0</v>
      </c>
      <c r="I514" t="s">
        <v>18</v>
      </c>
      <c r="J514" t="s">
        <v>37</v>
      </c>
      <c r="K514" t="s">
        <v>38</v>
      </c>
      <c r="L514">
        <v>9</v>
      </c>
      <c r="M514">
        <v>1</v>
      </c>
      <c r="N514">
        <v>1</v>
      </c>
      <c r="O514" t="s">
        <v>27</v>
      </c>
      <c r="P514" t="str">
        <f>TEXT(Table1[[#This Row],[order_date]],"yyyy-mm")</f>
        <v>2025-11</v>
      </c>
      <c r="Q514">
        <f>WEEKNUM(Table1[[#This Row],[order_date]])</f>
        <v>46</v>
      </c>
      <c r="R514">
        <f>IF(Table1[[#This Row],[order_status]]="completed",1,0)</f>
        <v>0</v>
      </c>
    </row>
    <row r="515" spans="1:18" x14ac:dyDescent="0.35">
      <c r="A515">
        <v>514</v>
      </c>
      <c r="B515" s="1">
        <v>46024</v>
      </c>
      <c r="C515">
        <v>1492</v>
      </c>
      <c r="D515" t="s">
        <v>22</v>
      </c>
      <c r="E515" t="s">
        <v>33</v>
      </c>
      <c r="F515" t="s">
        <v>34</v>
      </c>
      <c r="G515">
        <v>1</v>
      </c>
      <c r="H515">
        <v>0</v>
      </c>
      <c r="I515" t="s">
        <v>18</v>
      </c>
      <c r="J515" t="s">
        <v>37</v>
      </c>
      <c r="K515" t="s">
        <v>38</v>
      </c>
      <c r="L515">
        <v>5</v>
      </c>
      <c r="M515">
        <v>1</v>
      </c>
      <c r="N515">
        <v>1</v>
      </c>
      <c r="O515" t="s">
        <v>27</v>
      </c>
      <c r="P515" t="str">
        <f>TEXT(Table1[[#This Row],[order_date]],"yyyy-mm")</f>
        <v>2026-01</v>
      </c>
      <c r="Q515">
        <f>WEEKNUM(Table1[[#This Row],[order_date]])</f>
        <v>1</v>
      </c>
      <c r="R515">
        <f>IF(Table1[[#This Row],[order_status]]="completed",1,0)</f>
        <v>0</v>
      </c>
    </row>
    <row r="516" spans="1:18" x14ac:dyDescent="0.35">
      <c r="A516">
        <v>515</v>
      </c>
      <c r="B516" s="1">
        <v>45985</v>
      </c>
      <c r="C516">
        <v>1681</v>
      </c>
      <c r="D516" t="s">
        <v>41</v>
      </c>
      <c r="E516" t="s">
        <v>23</v>
      </c>
      <c r="F516" t="s">
        <v>34</v>
      </c>
      <c r="G516">
        <v>4</v>
      </c>
      <c r="H516">
        <v>4960</v>
      </c>
      <c r="I516" t="s">
        <v>18</v>
      </c>
      <c r="J516" t="s">
        <v>19</v>
      </c>
      <c r="K516" t="s">
        <v>20</v>
      </c>
      <c r="L516">
        <v>4</v>
      </c>
      <c r="M516">
        <v>1</v>
      </c>
      <c r="N516">
        <v>1</v>
      </c>
      <c r="O516" t="s">
        <v>27</v>
      </c>
      <c r="P516" t="str">
        <f>TEXT(Table1[[#This Row],[order_date]],"yyyy-mm")</f>
        <v>2025-11</v>
      </c>
      <c r="Q516">
        <f>WEEKNUM(Table1[[#This Row],[order_date]])</f>
        <v>48</v>
      </c>
      <c r="R516">
        <f>IF(Table1[[#This Row],[order_status]]="completed",1,0)</f>
        <v>1</v>
      </c>
    </row>
    <row r="517" spans="1:18" x14ac:dyDescent="0.35">
      <c r="A517">
        <v>516</v>
      </c>
      <c r="B517" s="1">
        <v>45924</v>
      </c>
      <c r="C517">
        <v>1259</v>
      </c>
      <c r="D517" t="s">
        <v>22</v>
      </c>
      <c r="E517" t="s">
        <v>29</v>
      </c>
      <c r="F517" t="s">
        <v>34</v>
      </c>
      <c r="G517">
        <v>1</v>
      </c>
      <c r="H517">
        <v>0</v>
      </c>
      <c r="I517" t="s">
        <v>25</v>
      </c>
      <c r="J517" t="s">
        <v>37</v>
      </c>
      <c r="K517" t="s">
        <v>26</v>
      </c>
      <c r="L517">
        <v>4</v>
      </c>
      <c r="M517">
        <v>1</v>
      </c>
      <c r="N517">
        <v>0</v>
      </c>
      <c r="O517" t="s">
        <v>21</v>
      </c>
      <c r="P517" t="str">
        <f>TEXT(Table1[[#This Row],[order_date]],"yyyy-mm")</f>
        <v>2025-09</v>
      </c>
      <c r="Q517">
        <f>WEEKNUM(Table1[[#This Row],[order_date]])</f>
        <v>39</v>
      </c>
      <c r="R517">
        <f>IF(Table1[[#This Row],[order_status]]="completed",1,0)</f>
        <v>0</v>
      </c>
    </row>
    <row r="518" spans="1:18" x14ac:dyDescent="0.35">
      <c r="A518">
        <v>517</v>
      </c>
      <c r="B518" s="1">
        <v>45880</v>
      </c>
      <c r="C518">
        <v>1010</v>
      </c>
      <c r="D518" t="s">
        <v>28</v>
      </c>
      <c r="E518" t="s">
        <v>16</v>
      </c>
      <c r="F518" t="s">
        <v>17</v>
      </c>
      <c r="G518">
        <v>5</v>
      </c>
      <c r="H518">
        <v>6395</v>
      </c>
      <c r="I518" t="s">
        <v>39</v>
      </c>
      <c r="J518" t="s">
        <v>19</v>
      </c>
      <c r="K518" t="s">
        <v>26</v>
      </c>
      <c r="L518">
        <v>3</v>
      </c>
      <c r="M518">
        <v>1</v>
      </c>
      <c r="N518">
        <v>1</v>
      </c>
      <c r="O518" t="s">
        <v>21</v>
      </c>
      <c r="P518" t="str">
        <f>TEXT(Table1[[#This Row],[order_date]],"yyyy-mm")</f>
        <v>2025-08</v>
      </c>
      <c r="Q518">
        <f>WEEKNUM(Table1[[#This Row],[order_date]])</f>
        <v>33</v>
      </c>
      <c r="R518">
        <f>IF(Table1[[#This Row],[order_status]]="completed",1,0)</f>
        <v>1</v>
      </c>
    </row>
    <row r="519" spans="1:18" x14ac:dyDescent="0.35">
      <c r="A519">
        <v>518</v>
      </c>
      <c r="B519" s="1">
        <v>45888</v>
      </c>
      <c r="C519">
        <v>1572</v>
      </c>
      <c r="D519" t="s">
        <v>32</v>
      </c>
      <c r="E519" t="s">
        <v>23</v>
      </c>
      <c r="F519" t="s">
        <v>24</v>
      </c>
      <c r="G519">
        <v>1</v>
      </c>
      <c r="H519">
        <v>1314</v>
      </c>
      <c r="I519" t="s">
        <v>39</v>
      </c>
      <c r="J519" t="s">
        <v>19</v>
      </c>
      <c r="K519" t="s">
        <v>20</v>
      </c>
      <c r="L519">
        <v>4</v>
      </c>
      <c r="M519">
        <v>1</v>
      </c>
      <c r="N519">
        <v>1</v>
      </c>
      <c r="O519" t="s">
        <v>27</v>
      </c>
      <c r="P519" t="str">
        <f>TEXT(Table1[[#This Row],[order_date]],"yyyy-mm")</f>
        <v>2025-08</v>
      </c>
      <c r="Q519">
        <f>WEEKNUM(Table1[[#This Row],[order_date]])</f>
        <v>34</v>
      </c>
      <c r="R519">
        <f>IF(Table1[[#This Row],[order_status]]="completed",1,0)</f>
        <v>1</v>
      </c>
    </row>
    <row r="520" spans="1:18" x14ac:dyDescent="0.35">
      <c r="A520">
        <v>519</v>
      </c>
      <c r="B520" s="1">
        <v>45862</v>
      </c>
      <c r="C520">
        <v>1698</v>
      </c>
      <c r="D520" t="s">
        <v>22</v>
      </c>
      <c r="E520" t="s">
        <v>16</v>
      </c>
      <c r="F520" t="s">
        <v>30</v>
      </c>
      <c r="G520">
        <v>3</v>
      </c>
      <c r="H520">
        <v>0</v>
      </c>
      <c r="I520" t="s">
        <v>35</v>
      </c>
      <c r="J520" t="s">
        <v>31</v>
      </c>
      <c r="K520" t="s">
        <v>40</v>
      </c>
      <c r="L520">
        <v>5</v>
      </c>
      <c r="M520">
        <v>0</v>
      </c>
      <c r="N520">
        <v>1</v>
      </c>
      <c r="O520" t="s">
        <v>27</v>
      </c>
      <c r="P520" t="str">
        <f>TEXT(Table1[[#This Row],[order_date]],"yyyy-mm")</f>
        <v>2025-07</v>
      </c>
      <c r="Q520">
        <f>WEEKNUM(Table1[[#This Row],[order_date]])</f>
        <v>30</v>
      </c>
      <c r="R520">
        <f>IF(Table1[[#This Row],[order_status]]="completed",1,0)</f>
        <v>0</v>
      </c>
    </row>
    <row r="521" spans="1:18" x14ac:dyDescent="0.35">
      <c r="A521">
        <v>520</v>
      </c>
      <c r="B521" s="1">
        <v>45997</v>
      </c>
      <c r="C521">
        <v>1715</v>
      </c>
      <c r="D521" t="s">
        <v>32</v>
      </c>
      <c r="E521" t="s">
        <v>29</v>
      </c>
      <c r="F521" t="s">
        <v>34</v>
      </c>
      <c r="G521">
        <v>2</v>
      </c>
      <c r="H521">
        <v>1002</v>
      </c>
      <c r="I521" t="s">
        <v>18</v>
      </c>
      <c r="J521" t="s">
        <v>19</v>
      </c>
      <c r="K521" t="s">
        <v>40</v>
      </c>
      <c r="L521">
        <v>2</v>
      </c>
      <c r="M521">
        <v>1</v>
      </c>
      <c r="N521">
        <v>1</v>
      </c>
      <c r="O521" t="s">
        <v>21</v>
      </c>
      <c r="P521" t="str">
        <f>TEXT(Table1[[#This Row],[order_date]],"yyyy-mm")</f>
        <v>2025-12</v>
      </c>
      <c r="Q521">
        <f>WEEKNUM(Table1[[#This Row],[order_date]])</f>
        <v>49</v>
      </c>
      <c r="R521">
        <f>IF(Table1[[#This Row],[order_status]]="completed",1,0)</f>
        <v>1</v>
      </c>
    </row>
    <row r="522" spans="1:18" x14ac:dyDescent="0.35">
      <c r="A522">
        <v>521</v>
      </c>
      <c r="B522" s="1">
        <v>45977</v>
      </c>
      <c r="C522">
        <v>1293</v>
      </c>
      <c r="D522" t="s">
        <v>15</v>
      </c>
      <c r="E522" t="s">
        <v>23</v>
      </c>
      <c r="F522" t="s">
        <v>24</v>
      </c>
      <c r="G522">
        <v>5</v>
      </c>
      <c r="H522">
        <v>4160</v>
      </c>
      <c r="I522" t="s">
        <v>35</v>
      </c>
      <c r="J522" t="s">
        <v>19</v>
      </c>
      <c r="K522" t="s">
        <v>40</v>
      </c>
      <c r="L522">
        <v>7</v>
      </c>
      <c r="M522">
        <v>1</v>
      </c>
      <c r="N522">
        <v>1</v>
      </c>
      <c r="O522" t="s">
        <v>21</v>
      </c>
      <c r="P522" t="str">
        <f>TEXT(Table1[[#This Row],[order_date]],"yyyy-mm")</f>
        <v>2025-11</v>
      </c>
      <c r="Q522">
        <f>WEEKNUM(Table1[[#This Row],[order_date]])</f>
        <v>47</v>
      </c>
      <c r="R522">
        <f>IF(Table1[[#This Row],[order_status]]="completed",1,0)</f>
        <v>1</v>
      </c>
    </row>
    <row r="523" spans="1:18" x14ac:dyDescent="0.35">
      <c r="A523">
        <v>522</v>
      </c>
      <c r="B523" s="1">
        <v>45990</v>
      </c>
      <c r="C523">
        <v>1404</v>
      </c>
      <c r="D523" t="s">
        <v>41</v>
      </c>
      <c r="E523" t="s">
        <v>33</v>
      </c>
      <c r="F523" t="s">
        <v>24</v>
      </c>
      <c r="G523">
        <v>3</v>
      </c>
      <c r="H523">
        <v>1461</v>
      </c>
      <c r="I523" t="s">
        <v>35</v>
      </c>
      <c r="J523" t="s">
        <v>19</v>
      </c>
      <c r="K523" t="s">
        <v>40</v>
      </c>
      <c r="L523">
        <v>10</v>
      </c>
      <c r="M523">
        <v>1</v>
      </c>
      <c r="N523">
        <v>0</v>
      </c>
      <c r="O523" t="s">
        <v>27</v>
      </c>
      <c r="P523" t="str">
        <f>TEXT(Table1[[#This Row],[order_date]],"yyyy-mm")</f>
        <v>2025-11</v>
      </c>
      <c r="Q523">
        <f>WEEKNUM(Table1[[#This Row],[order_date]])</f>
        <v>48</v>
      </c>
      <c r="R523">
        <f>IF(Table1[[#This Row],[order_status]]="completed",1,0)</f>
        <v>1</v>
      </c>
    </row>
    <row r="524" spans="1:18" x14ac:dyDescent="0.35">
      <c r="A524">
        <v>523</v>
      </c>
      <c r="B524" s="1">
        <v>45960</v>
      </c>
      <c r="C524">
        <v>1206</v>
      </c>
      <c r="D524" t="s">
        <v>41</v>
      </c>
      <c r="E524" t="s">
        <v>23</v>
      </c>
      <c r="F524" t="s">
        <v>17</v>
      </c>
      <c r="G524">
        <v>3</v>
      </c>
      <c r="H524">
        <v>0</v>
      </c>
      <c r="I524" t="s">
        <v>39</v>
      </c>
      <c r="J524" t="s">
        <v>31</v>
      </c>
      <c r="K524" t="s">
        <v>38</v>
      </c>
      <c r="L524">
        <v>3</v>
      </c>
      <c r="M524">
        <v>0</v>
      </c>
      <c r="N524">
        <v>1</v>
      </c>
      <c r="O524" t="s">
        <v>21</v>
      </c>
      <c r="P524" t="str">
        <f>TEXT(Table1[[#This Row],[order_date]],"yyyy-mm")</f>
        <v>2025-10</v>
      </c>
      <c r="Q524">
        <f>WEEKNUM(Table1[[#This Row],[order_date]])</f>
        <v>44</v>
      </c>
      <c r="R524">
        <f>IF(Table1[[#This Row],[order_status]]="completed",1,0)</f>
        <v>0</v>
      </c>
    </row>
    <row r="525" spans="1:18" x14ac:dyDescent="0.35">
      <c r="A525">
        <v>524</v>
      </c>
      <c r="B525" s="1">
        <v>45988</v>
      </c>
      <c r="C525">
        <v>1694</v>
      </c>
      <c r="D525" t="s">
        <v>32</v>
      </c>
      <c r="E525" t="s">
        <v>33</v>
      </c>
      <c r="F525" t="s">
        <v>34</v>
      </c>
      <c r="G525">
        <v>4</v>
      </c>
      <c r="H525">
        <v>0</v>
      </c>
      <c r="I525" t="s">
        <v>39</v>
      </c>
      <c r="J525" t="s">
        <v>37</v>
      </c>
      <c r="K525" t="s">
        <v>20</v>
      </c>
      <c r="L525">
        <v>9</v>
      </c>
      <c r="M525">
        <v>0</v>
      </c>
      <c r="N525">
        <v>0</v>
      </c>
      <c r="O525" t="s">
        <v>21</v>
      </c>
      <c r="P525" t="str">
        <f>TEXT(Table1[[#This Row],[order_date]],"yyyy-mm")</f>
        <v>2025-11</v>
      </c>
      <c r="Q525">
        <f>WEEKNUM(Table1[[#This Row],[order_date]])</f>
        <v>48</v>
      </c>
      <c r="R525">
        <f>IF(Table1[[#This Row],[order_status]]="completed",1,0)</f>
        <v>0</v>
      </c>
    </row>
    <row r="526" spans="1:18" x14ac:dyDescent="0.35">
      <c r="A526">
        <v>525</v>
      </c>
      <c r="B526" s="1">
        <v>45948</v>
      </c>
      <c r="C526">
        <v>1507</v>
      </c>
      <c r="D526" t="s">
        <v>41</v>
      </c>
      <c r="E526" t="s">
        <v>23</v>
      </c>
      <c r="F526" t="s">
        <v>30</v>
      </c>
      <c r="G526">
        <v>3</v>
      </c>
      <c r="H526">
        <v>0</v>
      </c>
      <c r="I526" t="s">
        <v>18</v>
      </c>
      <c r="J526" t="s">
        <v>37</v>
      </c>
      <c r="K526" t="s">
        <v>40</v>
      </c>
      <c r="L526">
        <v>3</v>
      </c>
      <c r="M526">
        <v>0</v>
      </c>
      <c r="N526">
        <v>1</v>
      </c>
      <c r="O526" t="s">
        <v>27</v>
      </c>
      <c r="P526" t="str">
        <f>TEXT(Table1[[#This Row],[order_date]],"yyyy-mm")</f>
        <v>2025-10</v>
      </c>
      <c r="Q526">
        <f>WEEKNUM(Table1[[#This Row],[order_date]])</f>
        <v>42</v>
      </c>
      <c r="R526">
        <f>IF(Table1[[#This Row],[order_status]]="completed",1,0)</f>
        <v>0</v>
      </c>
    </row>
    <row r="527" spans="1:18" x14ac:dyDescent="0.35">
      <c r="A527">
        <v>526</v>
      </c>
      <c r="B527" s="1">
        <v>45864</v>
      </c>
      <c r="C527">
        <v>1886</v>
      </c>
      <c r="D527" t="s">
        <v>41</v>
      </c>
      <c r="E527" t="s">
        <v>33</v>
      </c>
      <c r="F527" t="s">
        <v>24</v>
      </c>
      <c r="G527">
        <v>1</v>
      </c>
      <c r="H527">
        <v>3180</v>
      </c>
      <c r="I527" t="s">
        <v>35</v>
      </c>
      <c r="J527" t="s">
        <v>19</v>
      </c>
      <c r="K527" t="s">
        <v>38</v>
      </c>
      <c r="L527">
        <v>6</v>
      </c>
      <c r="M527">
        <v>1</v>
      </c>
      <c r="N527">
        <v>1</v>
      </c>
      <c r="O527" t="s">
        <v>27</v>
      </c>
      <c r="P527" t="str">
        <f>TEXT(Table1[[#This Row],[order_date]],"yyyy-mm")</f>
        <v>2025-07</v>
      </c>
      <c r="Q527">
        <f>WEEKNUM(Table1[[#This Row],[order_date]])</f>
        <v>30</v>
      </c>
      <c r="R527">
        <f>IF(Table1[[#This Row],[order_status]]="completed",1,0)</f>
        <v>1</v>
      </c>
    </row>
    <row r="528" spans="1:18" x14ac:dyDescent="0.35">
      <c r="A528">
        <v>527</v>
      </c>
      <c r="B528" s="1">
        <v>45876</v>
      </c>
      <c r="C528">
        <v>1722</v>
      </c>
      <c r="D528" t="s">
        <v>41</v>
      </c>
      <c r="E528" t="s">
        <v>33</v>
      </c>
      <c r="F528" t="s">
        <v>30</v>
      </c>
      <c r="G528">
        <v>2</v>
      </c>
      <c r="H528">
        <v>0</v>
      </c>
      <c r="I528" t="s">
        <v>39</v>
      </c>
      <c r="J528" t="s">
        <v>37</v>
      </c>
      <c r="K528" t="s">
        <v>38</v>
      </c>
      <c r="L528">
        <v>4</v>
      </c>
      <c r="M528">
        <v>0</v>
      </c>
      <c r="N528">
        <v>0</v>
      </c>
      <c r="O528" t="s">
        <v>21</v>
      </c>
      <c r="P528" t="str">
        <f>TEXT(Table1[[#This Row],[order_date]],"yyyy-mm")</f>
        <v>2025-08</v>
      </c>
      <c r="Q528">
        <f>WEEKNUM(Table1[[#This Row],[order_date]])</f>
        <v>32</v>
      </c>
      <c r="R528">
        <f>IF(Table1[[#This Row],[order_status]]="completed",1,0)</f>
        <v>0</v>
      </c>
    </row>
    <row r="529" spans="1:18" x14ac:dyDescent="0.35">
      <c r="A529">
        <v>528</v>
      </c>
      <c r="B529" s="1">
        <v>45961</v>
      </c>
      <c r="C529">
        <v>1719</v>
      </c>
      <c r="D529" t="s">
        <v>28</v>
      </c>
      <c r="E529" t="s">
        <v>16</v>
      </c>
      <c r="F529" t="s">
        <v>24</v>
      </c>
      <c r="G529">
        <v>2</v>
      </c>
      <c r="H529">
        <v>6262</v>
      </c>
      <c r="I529" t="s">
        <v>35</v>
      </c>
      <c r="J529" t="s">
        <v>19</v>
      </c>
      <c r="K529" t="s">
        <v>38</v>
      </c>
      <c r="L529">
        <v>4</v>
      </c>
      <c r="M529">
        <v>1</v>
      </c>
      <c r="N529">
        <v>1</v>
      </c>
      <c r="O529" t="s">
        <v>21</v>
      </c>
      <c r="P529" t="str">
        <f>TEXT(Table1[[#This Row],[order_date]],"yyyy-mm")</f>
        <v>2025-10</v>
      </c>
      <c r="Q529">
        <f>WEEKNUM(Table1[[#This Row],[order_date]])</f>
        <v>44</v>
      </c>
      <c r="R529">
        <f>IF(Table1[[#This Row],[order_status]]="completed",1,0)</f>
        <v>1</v>
      </c>
    </row>
    <row r="530" spans="1:18" x14ac:dyDescent="0.35">
      <c r="A530">
        <v>529</v>
      </c>
      <c r="B530" s="1">
        <v>45914</v>
      </c>
      <c r="C530">
        <v>1903</v>
      </c>
      <c r="D530" t="s">
        <v>41</v>
      </c>
      <c r="E530" t="s">
        <v>33</v>
      </c>
      <c r="F530" t="s">
        <v>34</v>
      </c>
      <c r="G530">
        <v>2</v>
      </c>
      <c r="H530">
        <v>0</v>
      </c>
      <c r="I530" t="s">
        <v>18</v>
      </c>
      <c r="J530" t="s">
        <v>31</v>
      </c>
      <c r="K530" t="s">
        <v>26</v>
      </c>
      <c r="L530">
        <v>4</v>
      </c>
      <c r="M530">
        <v>1</v>
      </c>
      <c r="N530">
        <v>1</v>
      </c>
      <c r="O530" t="s">
        <v>27</v>
      </c>
      <c r="P530" t="str">
        <f>TEXT(Table1[[#This Row],[order_date]],"yyyy-mm")</f>
        <v>2025-09</v>
      </c>
      <c r="Q530">
        <f>WEEKNUM(Table1[[#This Row],[order_date]])</f>
        <v>38</v>
      </c>
      <c r="R530">
        <f>IF(Table1[[#This Row],[order_status]]="completed",1,0)</f>
        <v>0</v>
      </c>
    </row>
    <row r="531" spans="1:18" x14ac:dyDescent="0.35">
      <c r="A531">
        <v>530</v>
      </c>
      <c r="B531" s="1">
        <v>45880</v>
      </c>
      <c r="C531">
        <v>1031</v>
      </c>
      <c r="D531" t="s">
        <v>28</v>
      </c>
      <c r="E531" t="s">
        <v>29</v>
      </c>
      <c r="F531" t="s">
        <v>30</v>
      </c>
      <c r="G531">
        <v>4</v>
      </c>
      <c r="H531">
        <v>18856</v>
      </c>
      <c r="I531" t="s">
        <v>18</v>
      </c>
      <c r="J531" t="s">
        <v>19</v>
      </c>
      <c r="K531" t="s">
        <v>26</v>
      </c>
      <c r="L531">
        <v>4</v>
      </c>
      <c r="M531">
        <v>1</v>
      </c>
      <c r="N531">
        <v>1</v>
      </c>
      <c r="O531" t="s">
        <v>21</v>
      </c>
      <c r="P531" t="str">
        <f>TEXT(Table1[[#This Row],[order_date]],"yyyy-mm")</f>
        <v>2025-08</v>
      </c>
      <c r="Q531">
        <f>WEEKNUM(Table1[[#This Row],[order_date]])</f>
        <v>33</v>
      </c>
      <c r="R531">
        <f>IF(Table1[[#This Row],[order_status]]="completed",1,0)</f>
        <v>1</v>
      </c>
    </row>
    <row r="532" spans="1:18" x14ac:dyDescent="0.35">
      <c r="A532">
        <v>531</v>
      </c>
      <c r="B532" s="1">
        <v>45890</v>
      </c>
      <c r="C532">
        <v>1038</v>
      </c>
      <c r="D532" t="s">
        <v>22</v>
      </c>
      <c r="E532" t="s">
        <v>36</v>
      </c>
      <c r="F532" t="s">
        <v>34</v>
      </c>
      <c r="G532">
        <v>4</v>
      </c>
      <c r="H532">
        <v>0</v>
      </c>
      <c r="I532" t="s">
        <v>25</v>
      </c>
      <c r="J532" t="s">
        <v>31</v>
      </c>
      <c r="K532" t="s">
        <v>40</v>
      </c>
      <c r="L532">
        <v>7</v>
      </c>
      <c r="M532">
        <v>0</v>
      </c>
      <c r="N532">
        <v>0</v>
      </c>
      <c r="O532" t="s">
        <v>27</v>
      </c>
      <c r="P532" t="str">
        <f>TEXT(Table1[[#This Row],[order_date]],"yyyy-mm")</f>
        <v>2025-08</v>
      </c>
      <c r="Q532">
        <f>WEEKNUM(Table1[[#This Row],[order_date]])</f>
        <v>34</v>
      </c>
      <c r="R532">
        <f>IF(Table1[[#This Row],[order_status]]="completed",1,0)</f>
        <v>0</v>
      </c>
    </row>
    <row r="533" spans="1:18" x14ac:dyDescent="0.35">
      <c r="A533">
        <v>532</v>
      </c>
      <c r="B533" s="1">
        <v>46002</v>
      </c>
      <c r="C533">
        <v>1680</v>
      </c>
      <c r="D533" t="s">
        <v>32</v>
      </c>
      <c r="E533" t="s">
        <v>23</v>
      </c>
      <c r="F533" t="s">
        <v>30</v>
      </c>
      <c r="G533">
        <v>3</v>
      </c>
      <c r="H533">
        <v>4215</v>
      </c>
      <c r="I533" t="s">
        <v>18</v>
      </c>
      <c r="J533" t="s">
        <v>19</v>
      </c>
      <c r="K533" t="s">
        <v>20</v>
      </c>
      <c r="L533">
        <v>7</v>
      </c>
      <c r="M533">
        <v>0</v>
      </c>
      <c r="N533">
        <v>0</v>
      </c>
      <c r="O533" t="s">
        <v>21</v>
      </c>
      <c r="P533" t="str">
        <f>TEXT(Table1[[#This Row],[order_date]],"yyyy-mm")</f>
        <v>2025-12</v>
      </c>
      <c r="Q533">
        <f>WEEKNUM(Table1[[#This Row],[order_date]])</f>
        <v>50</v>
      </c>
      <c r="R533">
        <f>IF(Table1[[#This Row],[order_status]]="completed",1,0)</f>
        <v>1</v>
      </c>
    </row>
    <row r="534" spans="1:18" x14ac:dyDescent="0.35">
      <c r="A534">
        <v>533</v>
      </c>
      <c r="B534" s="1">
        <v>45964</v>
      </c>
      <c r="C534">
        <v>1625</v>
      </c>
      <c r="D534" t="s">
        <v>41</v>
      </c>
      <c r="E534" t="s">
        <v>36</v>
      </c>
      <c r="F534" t="s">
        <v>17</v>
      </c>
      <c r="G534">
        <v>4</v>
      </c>
      <c r="H534">
        <v>0</v>
      </c>
      <c r="I534" t="s">
        <v>18</v>
      </c>
      <c r="J534" t="s">
        <v>31</v>
      </c>
      <c r="K534" t="s">
        <v>20</v>
      </c>
      <c r="L534">
        <v>5</v>
      </c>
      <c r="M534">
        <v>0</v>
      </c>
      <c r="N534">
        <v>1</v>
      </c>
      <c r="O534" t="s">
        <v>21</v>
      </c>
      <c r="P534" t="str">
        <f>TEXT(Table1[[#This Row],[order_date]],"yyyy-mm")</f>
        <v>2025-11</v>
      </c>
      <c r="Q534">
        <f>WEEKNUM(Table1[[#This Row],[order_date]])</f>
        <v>45</v>
      </c>
      <c r="R534">
        <f>IF(Table1[[#This Row],[order_status]]="completed",1,0)</f>
        <v>0</v>
      </c>
    </row>
    <row r="535" spans="1:18" x14ac:dyDescent="0.35">
      <c r="A535">
        <v>534</v>
      </c>
      <c r="B535" s="1">
        <v>46020</v>
      </c>
      <c r="C535">
        <v>1660</v>
      </c>
      <c r="D535" t="s">
        <v>32</v>
      </c>
      <c r="E535" t="s">
        <v>23</v>
      </c>
      <c r="F535" t="s">
        <v>34</v>
      </c>
      <c r="G535">
        <v>3</v>
      </c>
      <c r="H535">
        <v>7665</v>
      </c>
      <c r="I535" t="s">
        <v>18</v>
      </c>
      <c r="J535" t="s">
        <v>19</v>
      </c>
      <c r="K535" t="s">
        <v>40</v>
      </c>
      <c r="L535">
        <v>9</v>
      </c>
      <c r="M535">
        <v>0</v>
      </c>
      <c r="N535">
        <v>1</v>
      </c>
      <c r="O535" t="s">
        <v>27</v>
      </c>
      <c r="P535" t="str">
        <f>TEXT(Table1[[#This Row],[order_date]],"yyyy-mm")</f>
        <v>2025-12</v>
      </c>
      <c r="Q535">
        <f>WEEKNUM(Table1[[#This Row],[order_date]])</f>
        <v>53</v>
      </c>
      <c r="R535">
        <f>IF(Table1[[#This Row],[order_status]]="completed",1,0)</f>
        <v>1</v>
      </c>
    </row>
    <row r="536" spans="1:18" x14ac:dyDescent="0.35">
      <c r="A536">
        <v>535</v>
      </c>
      <c r="B536" s="1">
        <v>45918</v>
      </c>
      <c r="C536">
        <v>1841</v>
      </c>
      <c r="D536" t="s">
        <v>15</v>
      </c>
      <c r="E536" t="s">
        <v>23</v>
      </c>
      <c r="F536" t="s">
        <v>34</v>
      </c>
      <c r="G536">
        <v>5</v>
      </c>
      <c r="H536">
        <v>0</v>
      </c>
      <c r="I536" t="s">
        <v>18</v>
      </c>
      <c r="J536" t="s">
        <v>37</v>
      </c>
      <c r="K536" t="s">
        <v>40</v>
      </c>
      <c r="L536">
        <v>5</v>
      </c>
      <c r="M536">
        <v>0</v>
      </c>
      <c r="N536">
        <v>0</v>
      </c>
      <c r="O536" t="s">
        <v>21</v>
      </c>
      <c r="P536" t="str">
        <f>TEXT(Table1[[#This Row],[order_date]],"yyyy-mm")</f>
        <v>2025-09</v>
      </c>
      <c r="Q536">
        <f>WEEKNUM(Table1[[#This Row],[order_date]])</f>
        <v>38</v>
      </c>
      <c r="R536">
        <f>IF(Table1[[#This Row],[order_status]]="completed",1,0)</f>
        <v>0</v>
      </c>
    </row>
    <row r="537" spans="1:18" x14ac:dyDescent="0.35">
      <c r="A537">
        <v>536</v>
      </c>
      <c r="B537" s="1">
        <v>45899</v>
      </c>
      <c r="C537">
        <v>1329</v>
      </c>
      <c r="D537" t="s">
        <v>28</v>
      </c>
      <c r="E537" t="s">
        <v>16</v>
      </c>
      <c r="F537" t="s">
        <v>24</v>
      </c>
      <c r="G537">
        <v>5</v>
      </c>
      <c r="H537">
        <v>0</v>
      </c>
      <c r="I537" t="s">
        <v>35</v>
      </c>
      <c r="J537" t="s">
        <v>31</v>
      </c>
      <c r="K537" t="s">
        <v>26</v>
      </c>
      <c r="L537">
        <v>9</v>
      </c>
      <c r="M537">
        <v>1</v>
      </c>
      <c r="N537">
        <v>1</v>
      </c>
      <c r="O537" t="s">
        <v>21</v>
      </c>
      <c r="P537" t="str">
        <f>TEXT(Table1[[#This Row],[order_date]],"yyyy-mm")</f>
        <v>2025-08</v>
      </c>
      <c r="Q537">
        <f>WEEKNUM(Table1[[#This Row],[order_date]])</f>
        <v>35</v>
      </c>
      <c r="R537">
        <f>IF(Table1[[#This Row],[order_status]]="completed",1,0)</f>
        <v>0</v>
      </c>
    </row>
    <row r="538" spans="1:18" x14ac:dyDescent="0.35">
      <c r="A538">
        <v>537</v>
      </c>
      <c r="B538" s="1">
        <v>45966</v>
      </c>
      <c r="C538">
        <v>1052</v>
      </c>
      <c r="D538" t="s">
        <v>32</v>
      </c>
      <c r="E538" t="s">
        <v>16</v>
      </c>
      <c r="F538" t="s">
        <v>34</v>
      </c>
      <c r="G538">
        <v>4</v>
      </c>
      <c r="H538">
        <v>0</v>
      </c>
      <c r="I538" t="s">
        <v>18</v>
      </c>
      <c r="J538" t="s">
        <v>31</v>
      </c>
      <c r="K538" t="s">
        <v>38</v>
      </c>
      <c r="L538">
        <v>1</v>
      </c>
      <c r="M538">
        <v>1</v>
      </c>
      <c r="N538">
        <v>0</v>
      </c>
      <c r="O538" t="s">
        <v>27</v>
      </c>
      <c r="P538" t="str">
        <f>TEXT(Table1[[#This Row],[order_date]],"yyyy-mm")</f>
        <v>2025-11</v>
      </c>
      <c r="Q538">
        <f>WEEKNUM(Table1[[#This Row],[order_date]])</f>
        <v>45</v>
      </c>
      <c r="R538">
        <f>IF(Table1[[#This Row],[order_status]]="completed",1,0)</f>
        <v>0</v>
      </c>
    </row>
    <row r="539" spans="1:18" x14ac:dyDescent="0.35">
      <c r="A539">
        <v>538</v>
      </c>
      <c r="B539" s="1">
        <v>45922</v>
      </c>
      <c r="C539">
        <v>1145</v>
      </c>
      <c r="D539" t="s">
        <v>22</v>
      </c>
      <c r="E539" t="s">
        <v>29</v>
      </c>
      <c r="F539" t="s">
        <v>24</v>
      </c>
      <c r="G539">
        <v>1</v>
      </c>
      <c r="H539">
        <v>4015</v>
      </c>
      <c r="I539" t="s">
        <v>18</v>
      </c>
      <c r="J539" t="s">
        <v>19</v>
      </c>
      <c r="K539" t="s">
        <v>40</v>
      </c>
      <c r="L539">
        <v>1</v>
      </c>
      <c r="M539">
        <v>1</v>
      </c>
      <c r="N539">
        <v>1</v>
      </c>
      <c r="O539" t="s">
        <v>27</v>
      </c>
      <c r="P539" t="str">
        <f>TEXT(Table1[[#This Row],[order_date]],"yyyy-mm")</f>
        <v>2025-09</v>
      </c>
      <c r="Q539">
        <f>WEEKNUM(Table1[[#This Row],[order_date]])</f>
        <v>39</v>
      </c>
      <c r="R539">
        <f>IF(Table1[[#This Row],[order_status]]="completed",1,0)</f>
        <v>1</v>
      </c>
    </row>
    <row r="540" spans="1:18" x14ac:dyDescent="0.35">
      <c r="A540">
        <v>539</v>
      </c>
      <c r="B540" s="1">
        <v>45893</v>
      </c>
      <c r="C540">
        <v>1594</v>
      </c>
      <c r="D540" t="s">
        <v>28</v>
      </c>
      <c r="E540" t="s">
        <v>23</v>
      </c>
      <c r="F540" t="s">
        <v>17</v>
      </c>
      <c r="G540">
        <v>5</v>
      </c>
      <c r="H540">
        <v>22785</v>
      </c>
      <c r="I540" t="s">
        <v>25</v>
      </c>
      <c r="J540" t="s">
        <v>19</v>
      </c>
      <c r="K540" t="s">
        <v>38</v>
      </c>
      <c r="L540">
        <v>1</v>
      </c>
      <c r="M540">
        <v>1</v>
      </c>
      <c r="N540">
        <v>1</v>
      </c>
      <c r="O540" t="s">
        <v>21</v>
      </c>
      <c r="P540" t="str">
        <f>TEXT(Table1[[#This Row],[order_date]],"yyyy-mm")</f>
        <v>2025-08</v>
      </c>
      <c r="Q540">
        <f>WEEKNUM(Table1[[#This Row],[order_date]])</f>
        <v>35</v>
      </c>
      <c r="R540">
        <f>IF(Table1[[#This Row],[order_status]]="completed",1,0)</f>
        <v>1</v>
      </c>
    </row>
    <row r="541" spans="1:18" x14ac:dyDescent="0.35">
      <c r="A541">
        <v>540</v>
      </c>
      <c r="B541" s="1">
        <v>45854</v>
      </c>
      <c r="C541">
        <v>1161</v>
      </c>
      <c r="D541" t="s">
        <v>22</v>
      </c>
      <c r="E541" t="s">
        <v>16</v>
      </c>
      <c r="F541" t="s">
        <v>24</v>
      </c>
      <c r="G541">
        <v>2</v>
      </c>
      <c r="H541">
        <v>0</v>
      </c>
      <c r="I541" t="s">
        <v>25</v>
      </c>
      <c r="J541" t="s">
        <v>31</v>
      </c>
      <c r="K541" t="s">
        <v>20</v>
      </c>
      <c r="L541">
        <v>10</v>
      </c>
      <c r="M541">
        <v>1</v>
      </c>
      <c r="N541">
        <v>0</v>
      </c>
      <c r="O541" t="s">
        <v>21</v>
      </c>
      <c r="P541" t="str">
        <f>TEXT(Table1[[#This Row],[order_date]],"yyyy-mm")</f>
        <v>2025-07</v>
      </c>
      <c r="Q541">
        <f>WEEKNUM(Table1[[#This Row],[order_date]])</f>
        <v>29</v>
      </c>
      <c r="R541">
        <f>IF(Table1[[#This Row],[order_status]]="completed",1,0)</f>
        <v>0</v>
      </c>
    </row>
    <row r="542" spans="1:18" x14ac:dyDescent="0.35">
      <c r="A542">
        <v>541</v>
      </c>
      <c r="B542" s="1">
        <v>45917</v>
      </c>
      <c r="C542">
        <v>1746</v>
      </c>
      <c r="D542" t="s">
        <v>41</v>
      </c>
      <c r="E542" t="s">
        <v>36</v>
      </c>
      <c r="F542" t="s">
        <v>24</v>
      </c>
      <c r="G542">
        <v>5</v>
      </c>
      <c r="H542">
        <v>15120</v>
      </c>
      <c r="I542" t="s">
        <v>18</v>
      </c>
      <c r="J542" t="s">
        <v>19</v>
      </c>
      <c r="K542" t="s">
        <v>26</v>
      </c>
      <c r="L542">
        <v>2</v>
      </c>
      <c r="M542">
        <v>1</v>
      </c>
      <c r="N542">
        <v>0</v>
      </c>
      <c r="O542" t="s">
        <v>21</v>
      </c>
      <c r="P542" t="str">
        <f>TEXT(Table1[[#This Row],[order_date]],"yyyy-mm")</f>
        <v>2025-09</v>
      </c>
      <c r="Q542">
        <f>WEEKNUM(Table1[[#This Row],[order_date]])</f>
        <v>38</v>
      </c>
      <c r="R542">
        <f>IF(Table1[[#This Row],[order_status]]="completed",1,0)</f>
        <v>1</v>
      </c>
    </row>
    <row r="543" spans="1:18" x14ac:dyDescent="0.35">
      <c r="A543">
        <v>542</v>
      </c>
      <c r="B543" s="1">
        <v>45950</v>
      </c>
      <c r="C543">
        <v>1750</v>
      </c>
      <c r="D543" t="s">
        <v>28</v>
      </c>
      <c r="E543" t="s">
        <v>23</v>
      </c>
      <c r="F543" t="s">
        <v>30</v>
      </c>
      <c r="G543">
        <v>3</v>
      </c>
      <c r="H543">
        <v>0</v>
      </c>
      <c r="I543" t="s">
        <v>35</v>
      </c>
      <c r="J543" t="s">
        <v>31</v>
      </c>
      <c r="K543" t="s">
        <v>40</v>
      </c>
      <c r="L543">
        <v>5</v>
      </c>
      <c r="M543">
        <v>0</v>
      </c>
      <c r="N543">
        <v>1</v>
      </c>
      <c r="O543" t="s">
        <v>27</v>
      </c>
      <c r="P543" t="str">
        <f>TEXT(Table1[[#This Row],[order_date]],"yyyy-mm")</f>
        <v>2025-10</v>
      </c>
      <c r="Q543">
        <f>WEEKNUM(Table1[[#This Row],[order_date]])</f>
        <v>43</v>
      </c>
      <c r="R543">
        <f>IF(Table1[[#This Row],[order_status]]="completed",1,0)</f>
        <v>0</v>
      </c>
    </row>
    <row r="544" spans="1:18" x14ac:dyDescent="0.35">
      <c r="A544">
        <v>543</v>
      </c>
      <c r="B544" s="1">
        <v>45865</v>
      </c>
      <c r="C544">
        <v>1204</v>
      </c>
      <c r="D544" t="s">
        <v>28</v>
      </c>
      <c r="E544" t="s">
        <v>16</v>
      </c>
      <c r="F544" t="s">
        <v>17</v>
      </c>
      <c r="G544">
        <v>2</v>
      </c>
      <c r="H544">
        <v>0</v>
      </c>
      <c r="I544" t="s">
        <v>25</v>
      </c>
      <c r="J544" t="s">
        <v>31</v>
      </c>
      <c r="K544" t="s">
        <v>26</v>
      </c>
      <c r="L544">
        <v>10</v>
      </c>
      <c r="M544">
        <v>1</v>
      </c>
      <c r="N544">
        <v>0</v>
      </c>
      <c r="O544" t="s">
        <v>21</v>
      </c>
      <c r="P544" t="str">
        <f>TEXT(Table1[[#This Row],[order_date]],"yyyy-mm")</f>
        <v>2025-07</v>
      </c>
      <c r="Q544">
        <f>WEEKNUM(Table1[[#This Row],[order_date]])</f>
        <v>31</v>
      </c>
      <c r="R544">
        <f>IF(Table1[[#This Row],[order_status]]="completed",1,0)</f>
        <v>0</v>
      </c>
    </row>
    <row r="545" spans="1:18" x14ac:dyDescent="0.35">
      <c r="A545">
        <v>544</v>
      </c>
      <c r="B545" s="1">
        <v>45953</v>
      </c>
      <c r="C545">
        <v>1279</v>
      </c>
      <c r="D545" t="s">
        <v>22</v>
      </c>
      <c r="E545" t="s">
        <v>23</v>
      </c>
      <c r="F545" t="s">
        <v>24</v>
      </c>
      <c r="G545">
        <v>2</v>
      </c>
      <c r="H545">
        <v>0</v>
      </c>
      <c r="I545" t="s">
        <v>25</v>
      </c>
      <c r="J545" t="s">
        <v>31</v>
      </c>
      <c r="K545" t="s">
        <v>20</v>
      </c>
      <c r="L545">
        <v>5</v>
      </c>
      <c r="M545">
        <v>0</v>
      </c>
      <c r="N545">
        <v>1</v>
      </c>
      <c r="O545" t="s">
        <v>21</v>
      </c>
      <c r="P545" t="str">
        <f>TEXT(Table1[[#This Row],[order_date]],"yyyy-mm")</f>
        <v>2025-10</v>
      </c>
      <c r="Q545">
        <f>WEEKNUM(Table1[[#This Row],[order_date]])</f>
        <v>43</v>
      </c>
      <c r="R545">
        <f>IF(Table1[[#This Row],[order_status]]="completed",1,0)</f>
        <v>0</v>
      </c>
    </row>
    <row r="546" spans="1:18" x14ac:dyDescent="0.35">
      <c r="A546">
        <v>545</v>
      </c>
      <c r="B546" s="1">
        <v>45936</v>
      </c>
      <c r="C546">
        <v>1770</v>
      </c>
      <c r="D546" t="s">
        <v>41</v>
      </c>
      <c r="E546" t="s">
        <v>36</v>
      </c>
      <c r="F546" t="s">
        <v>34</v>
      </c>
      <c r="G546">
        <v>3</v>
      </c>
      <c r="H546">
        <v>11223</v>
      </c>
      <c r="I546" t="s">
        <v>18</v>
      </c>
      <c r="J546" t="s">
        <v>19</v>
      </c>
      <c r="K546" t="s">
        <v>38</v>
      </c>
      <c r="L546">
        <v>5</v>
      </c>
      <c r="M546">
        <v>0</v>
      </c>
      <c r="N546">
        <v>1</v>
      </c>
      <c r="O546" t="s">
        <v>21</v>
      </c>
      <c r="P546" t="str">
        <f>TEXT(Table1[[#This Row],[order_date]],"yyyy-mm")</f>
        <v>2025-10</v>
      </c>
      <c r="Q546">
        <f>WEEKNUM(Table1[[#This Row],[order_date]])</f>
        <v>41</v>
      </c>
      <c r="R546">
        <f>IF(Table1[[#This Row],[order_status]]="completed",1,0)</f>
        <v>1</v>
      </c>
    </row>
    <row r="547" spans="1:18" x14ac:dyDescent="0.35">
      <c r="A547">
        <v>546</v>
      </c>
      <c r="B547" s="1">
        <v>46020</v>
      </c>
      <c r="C547">
        <v>1747</v>
      </c>
      <c r="D547" t="s">
        <v>28</v>
      </c>
      <c r="E547" t="s">
        <v>16</v>
      </c>
      <c r="F547" t="s">
        <v>30</v>
      </c>
      <c r="G547">
        <v>5</v>
      </c>
      <c r="H547">
        <v>0</v>
      </c>
      <c r="I547" t="s">
        <v>25</v>
      </c>
      <c r="J547" t="s">
        <v>31</v>
      </c>
      <c r="K547" t="s">
        <v>26</v>
      </c>
      <c r="L547">
        <v>4</v>
      </c>
      <c r="M547">
        <v>0</v>
      </c>
      <c r="N547">
        <v>1</v>
      </c>
      <c r="O547" t="s">
        <v>27</v>
      </c>
      <c r="P547" t="str">
        <f>TEXT(Table1[[#This Row],[order_date]],"yyyy-mm")</f>
        <v>2025-12</v>
      </c>
      <c r="Q547">
        <f>WEEKNUM(Table1[[#This Row],[order_date]])</f>
        <v>53</v>
      </c>
      <c r="R547">
        <f>IF(Table1[[#This Row],[order_status]]="completed",1,0)</f>
        <v>0</v>
      </c>
    </row>
    <row r="548" spans="1:18" x14ac:dyDescent="0.35">
      <c r="A548">
        <v>547</v>
      </c>
      <c r="B548" s="1">
        <v>45915</v>
      </c>
      <c r="C548">
        <v>1533</v>
      </c>
      <c r="D548" t="s">
        <v>41</v>
      </c>
      <c r="E548" t="s">
        <v>16</v>
      </c>
      <c r="F548" t="s">
        <v>24</v>
      </c>
      <c r="G548">
        <v>4</v>
      </c>
      <c r="H548">
        <v>0</v>
      </c>
      <c r="I548" t="s">
        <v>39</v>
      </c>
      <c r="J548" t="s">
        <v>31</v>
      </c>
      <c r="K548" t="s">
        <v>26</v>
      </c>
      <c r="L548">
        <v>10</v>
      </c>
      <c r="M548">
        <v>1</v>
      </c>
      <c r="N548">
        <v>1</v>
      </c>
      <c r="O548" t="s">
        <v>21</v>
      </c>
      <c r="P548" t="str">
        <f>TEXT(Table1[[#This Row],[order_date]],"yyyy-mm")</f>
        <v>2025-09</v>
      </c>
      <c r="Q548">
        <f>WEEKNUM(Table1[[#This Row],[order_date]])</f>
        <v>38</v>
      </c>
      <c r="R548">
        <f>IF(Table1[[#This Row],[order_status]]="completed",1,0)</f>
        <v>0</v>
      </c>
    </row>
    <row r="549" spans="1:18" x14ac:dyDescent="0.35">
      <c r="A549">
        <v>548</v>
      </c>
      <c r="B549" s="1">
        <v>45856</v>
      </c>
      <c r="C549">
        <v>1281</v>
      </c>
      <c r="D549" t="s">
        <v>28</v>
      </c>
      <c r="E549" t="s">
        <v>23</v>
      </c>
      <c r="F549" t="s">
        <v>30</v>
      </c>
      <c r="G549">
        <v>5</v>
      </c>
      <c r="H549">
        <v>0</v>
      </c>
      <c r="I549" t="s">
        <v>35</v>
      </c>
      <c r="J549" t="s">
        <v>37</v>
      </c>
      <c r="K549" t="s">
        <v>20</v>
      </c>
      <c r="L549">
        <v>6</v>
      </c>
      <c r="M549">
        <v>0</v>
      </c>
      <c r="N549">
        <v>0</v>
      </c>
      <c r="O549" t="s">
        <v>21</v>
      </c>
      <c r="P549" t="str">
        <f>TEXT(Table1[[#This Row],[order_date]],"yyyy-mm")</f>
        <v>2025-07</v>
      </c>
      <c r="Q549">
        <f>WEEKNUM(Table1[[#This Row],[order_date]])</f>
        <v>29</v>
      </c>
      <c r="R549">
        <f>IF(Table1[[#This Row],[order_status]]="completed",1,0)</f>
        <v>0</v>
      </c>
    </row>
    <row r="550" spans="1:18" x14ac:dyDescent="0.35">
      <c r="A550">
        <v>549</v>
      </c>
      <c r="B550" s="1">
        <v>45968</v>
      </c>
      <c r="C550">
        <v>1754</v>
      </c>
      <c r="D550" t="s">
        <v>22</v>
      </c>
      <c r="E550" t="s">
        <v>33</v>
      </c>
      <c r="F550" t="s">
        <v>17</v>
      </c>
      <c r="G550">
        <v>1</v>
      </c>
      <c r="H550">
        <v>2135</v>
      </c>
      <c r="I550" t="s">
        <v>39</v>
      </c>
      <c r="J550" t="s">
        <v>19</v>
      </c>
      <c r="K550" t="s">
        <v>38</v>
      </c>
      <c r="L550">
        <v>5</v>
      </c>
      <c r="M550">
        <v>1</v>
      </c>
      <c r="N550">
        <v>1</v>
      </c>
      <c r="O550" t="s">
        <v>21</v>
      </c>
      <c r="P550" t="str">
        <f>TEXT(Table1[[#This Row],[order_date]],"yyyy-mm")</f>
        <v>2025-11</v>
      </c>
      <c r="Q550">
        <f>WEEKNUM(Table1[[#This Row],[order_date]])</f>
        <v>45</v>
      </c>
      <c r="R550">
        <f>IF(Table1[[#This Row],[order_status]]="completed",1,0)</f>
        <v>1</v>
      </c>
    </row>
    <row r="551" spans="1:18" x14ac:dyDescent="0.35">
      <c r="A551">
        <v>550</v>
      </c>
      <c r="B551" s="1">
        <v>45903</v>
      </c>
      <c r="C551">
        <v>1030</v>
      </c>
      <c r="D551" t="s">
        <v>28</v>
      </c>
      <c r="E551" t="s">
        <v>23</v>
      </c>
      <c r="F551" t="s">
        <v>30</v>
      </c>
      <c r="G551">
        <v>5</v>
      </c>
      <c r="H551">
        <v>0</v>
      </c>
      <c r="I551" t="s">
        <v>39</v>
      </c>
      <c r="J551" t="s">
        <v>37</v>
      </c>
      <c r="K551" t="s">
        <v>40</v>
      </c>
      <c r="L551">
        <v>4</v>
      </c>
      <c r="M551">
        <v>1</v>
      </c>
      <c r="N551">
        <v>0</v>
      </c>
      <c r="O551" t="s">
        <v>27</v>
      </c>
      <c r="P551" t="str">
        <f>TEXT(Table1[[#This Row],[order_date]],"yyyy-mm")</f>
        <v>2025-09</v>
      </c>
      <c r="Q551">
        <f>WEEKNUM(Table1[[#This Row],[order_date]])</f>
        <v>36</v>
      </c>
      <c r="R551">
        <f>IF(Table1[[#This Row],[order_status]]="completed",1,0)</f>
        <v>0</v>
      </c>
    </row>
    <row r="552" spans="1:18" x14ac:dyDescent="0.35">
      <c r="A552">
        <v>551</v>
      </c>
      <c r="B552" s="1">
        <v>45972</v>
      </c>
      <c r="C552">
        <v>1093</v>
      </c>
      <c r="D552" t="s">
        <v>28</v>
      </c>
      <c r="E552" t="s">
        <v>36</v>
      </c>
      <c r="F552" t="s">
        <v>30</v>
      </c>
      <c r="G552">
        <v>5</v>
      </c>
      <c r="H552">
        <v>0</v>
      </c>
      <c r="I552" t="s">
        <v>39</v>
      </c>
      <c r="J552" t="s">
        <v>37</v>
      </c>
      <c r="K552" t="s">
        <v>38</v>
      </c>
      <c r="L552">
        <v>3</v>
      </c>
      <c r="M552">
        <v>1</v>
      </c>
      <c r="N552">
        <v>0</v>
      </c>
      <c r="O552" t="s">
        <v>27</v>
      </c>
      <c r="P552" t="str">
        <f>TEXT(Table1[[#This Row],[order_date]],"yyyy-mm")</f>
        <v>2025-11</v>
      </c>
      <c r="Q552">
        <f>WEEKNUM(Table1[[#This Row],[order_date]])</f>
        <v>46</v>
      </c>
      <c r="R552">
        <f>IF(Table1[[#This Row],[order_status]]="completed",1,0)</f>
        <v>0</v>
      </c>
    </row>
    <row r="553" spans="1:18" x14ac:dyDescent="0.35">
      <c r="A553">
        <v>552</v>
      </c>
      <c r="B553" s="1">
        <v>45876</v>
      </c>
      <c r="C553">
        <v>1078</v>
      </c>
      <c r="D553" t="s">
        <v>22</v>
      </c>
      <c r="E553" t="s">
        <v>33</v>
      </c>
      <c r="F553" t="s">
        <v>24</v>
      </c>
      <c r="G553">
        <v>1</v>
      </c>
      <c r="H553">
        <v>2457</v>
      </c>
      <c r="I553" t="s">
        <v>35</v>
      </c>
      <c r="J553" t="s">
        <v>19</v>
      </c>
      <c r="K553" t="s">
        <v>38</v>
      </c>
      <c r="L553">
        <v>1</v>
      </c>
      <c r="M553">
        <v>0</v>
      </c>
      <c r="N553">
        <v>0</v>
      </c>
      <c r="O553" t="s">
        <v>21</v>
      </c>
      <c r="P553" t="str">
        <f>TEXT(Table1[[#This Row],[order_date]],"yyyy-mm")</f>
        <v>2025-08</v>
      </c>
      <c r="Q553">
        <f>WEEKNUM(Table1[[#This Row],[order_date]])</f>
        <v>32</v>
      </c>
      <c r="R553">
        <f>IF(Table1[[#This Row],[order_status]]="completed",1,0)</f>
        <v>1</v>
      </c>
    </row>
    <row r="554" spans="1:18" x14ac:dyDescent="0.35">
      <c r="A554">
        <v>553</v>
      </c>
      <c r="B554" s="1">
        <v>45947</v>
      </c>
      <c r="C554">
        <v>1130</v>
      </c>
      <c r="D554" t="s">
        <v>41</v>
      </c>
      <c r="E554" t="s">
        <v>36</v>
      </c>
      <c r="F554" t="s">
        <v>24</v>
      </c>
      <c r="G554">
        <v>2</v>
      </c>
      <c r="H554">
        <v>3046</v>
      </c>
      <c r="I554" t="s">
        <v>18</v>
      </c>
      <c r="J554" t="s">
        <v>19</v>
      </c>
      <c r="K554" t="s">
        <v>26</v>
      </c>
      <c r="L554">
        <v>8</v>
      </c>
      <c r="M554">
        <v>0</v>
      </c>
      <c r="N554">
        <v>0</v>
      </c>
      <c r="O554" t="s">
        <v>21</v>
      </c>
      <c r="P554" t="str">
        <f>TEXT(Table1[[#This Row],[order_date]],"yyyy-mm")</f>
        <v>2025-10</v>
      </c>
      <c r="Q554">
        <f>WEEKNUM(Table1[[#This Row],[order_date]])</f>
        <v>42</v>
      </c>
      <c r="R554">
        <f>IF(Table1[[#This Row],[order_status]]="completed",1,0)</f>
        <v>1</v>
      </c>
    </row>
    <row r="555" spans="1:18" x14ac:dyDescent="0.35">
      <c r="A555">
        <v>554</v>
      </c>
      <c r="B555" s="1">
        <v>45911</v>
      </c>
      <c r="C555">
        <v>1654</v>
      </c>
      <c r="D555" t="s">
        <v>15</v>
      </c>
      <c r="E555" t="s">
        <v>36</v>
      </c>
      <c r="F555" t="s">
        <v>34</v>
      </c>
      <c r="G555">
        <v>1</v>
      </c>
      <c r="H555">
        <v>0</v>
      </c>
      <c r="I555" t="s">
        <v>25</v>
      </c>
      <c r="J555" t="s">
        <v>37</v>
      </c>
      <c r="K555" t="s">
        <v>26</v>
      </c>
      <c r="L555">
        <v>3</v>
      </c>
      <c r="M555">
        <v>0</v>
      </c>
      <c r="N555">
        <v>1</v>
      </c>
      <c r="O555" t="s">
        <v>27</v>
      </c>
      <c r="P555" t="str">
        <f>TEXT(Table1[[#This Row],[order_date]],"yyyy-mm")</f>
        <v>2025-09</v>
      </c>
      <c r="Q555">
        <f>WEEKNUM(Table1[[#This Row],[order_date]])</f>
        <v>37</v>
      </c>
      <c r="R555">
        <f>IF(Table1[[#This Row],[order_status]]="completed",1,0)</f>
        <v>0</v>
      </c>
    </row>
    <row r="556" spans="1:18" x14ac:dyDescent="0.35">
      <c r="A556">
        <v>555</v>
      </c>
      <c r="B556" s="1">
        <v>45950</v>
      </c>
      <c r="C556">
        <v>1690</v>
      </c>
      <c r="D556" t="s">
        <v>41</v>
      </c>
      <c r="E556" t="s">
        <v>36</v>
      </c>
      <c r="F556" t="s">
        <v>34</v>
      </c>
      <c r="G556">
        <v>2</v>
      </c>
      <c r="H556">
        <v>0</v>
      </c>
      <c r="I556" t="s">
        <v>18</v>
      </c>
      <c r="J556" t="s">
        <v>31</v>
      </c>
      <c r="K556" t="s">
        <v>26</v>
      </c>
      <c r="L556">
        <v>7</v>
      </c>
      <c r="M556">
        <v>0</v>
      </c>
      <c r="N556">
        <v>1</v>
      </c>
      <c r="O556" t="s">
        <v>21</v>
      </c>
      <c r="P556" t="str">
        <f>TEXT(Table1[[#This Row],[order_date]],"yyyy-mm")</f>
        <v>2025-10</v>
      </c>
      <c r="Q556">
        <f>WEEKNUM(Table1[[#This Row],[order_date]])</f>
        <v>43</v>
      </c>
      <c r="R556">
        <f>IF(Table1[[#This Row],[order_status]]="completed",1,0)</f>
        <v>0</v>
      </c>
    </row>
    <row r="557" spans="1:18" x14ac:dyDescent="0.35">
      <c r="A557">
        <v>556</v>
      </c>
      <c r="B557" s="1">
        <v>45976</v>
      </c>
      <c r="C557">
        <v>1245</v>
      </c>
      <c r="D557" t="s">
        <v>22</v>
      </c>
      <c r="E557" t="s">
        <v>23</v>
      </c>
      <c r="F557" t="s">
        <v>34</v>
      </c>
      <c r="G557">
        <v>4</v>
      </c>
      <c r="H557">
        <v>0</v>
      </c>
      <c r="I557" t="s">
        <v>18</v>
      </c>
      <c r="J557" t="s">
        <v>31</v>
      </c>
      <c r="K557" t="s">
        <v>40</v>
      </c>
      <c r="L557">
        <v>2</v>
      </c>
      <c r="M557">
        <v>1</v>
      </c>
      <c r="N557">
        <v>0</v>
      </c>
      <c r="O557" t="s">
        <v>21</v>
      </c>
      <c r="P557" t="str">
        <f>TEXT(Table1[[#This Row],[order_date]],"yyyy-mm")</f>
        <v>2025-11</v>
      </c>
      <c r="Q557">
        <f>WEEKNUM(Table1[[#This Row],[order_date]])</f>
        <v>46</v>
      </c>
      <c r="R557">
        <f>IF(Table1[[#This Row],[order_status]]="completed",1,0)</f>
        <v>0</v>
      </c>
    </row>
    <row r="558" spans="1:18" x14ac:dyDescent="0.35">
      <c r="A558">
        <v>557</v>
      </c>
      <c r="B558" s="1">
        <v>45988</v>
      </c>
      <c r="C558">
        <v>1573</v>
      </c>
      <c r="D558" t="s">
        <v>32</v>
      </c>
      <c r="E558" t="s">
        <v>23</v>
      </c>
      <c r="F558" t="s">
        <v>24</v>
      </c>
      <c r="G558">
        <v>3</v>
      </c>
      <c r="H558">
        <v>0</v>
      </c>
      <c r="I558" t="s">
        <v>25</v>
      </c>
      <c r="J558" t="s">
        <v>31</v>
      </c>
      <c r="K558" t="s">
        <v>20</v>
      </c>
      <c r="L558">
        <v>5</v>
      </c>
      <c r="M558">
        <v>1</v>
      </c>
      <c r="N558">
        <v>0</v>
      </c>
      <c r="O558" t="s">
        <v>27</v>
      </c>
      <c r="P558" t="str">
        <f>TEXT(Table1[[#This Row],[order_date]],"yyyy-mm")</f>
        <v>2025-11</v>
      </c>
      <c r="Q558">
        <f>WEEKNUM(Table1[[#This Row],[order_date]])</f>
        <v>48</v>
      </c>
      <c r="R558">
        <f>IF(Table1[[#This Row],[order_status]]="completed",1,0)</f>
        <v>0</v>
      </c>
    </row>
    <row r="559" spans="1:18" x14ac:dyDescent="0.35">
      <c r="A559">
        <v>558</v>
      </c>
      <c r="B559" s="1">
        <v>45961</v>
      </c>
      <c r="C559">
        <v>1134</v>
      </c>
      <c r="D559" t="s">
        <v>28</v>
      </c>
      <c r="E559" t="s">
        <v>23</v>
      </c>
      <c r="F559" t="s">
        <v>17</v>
      </c>
      <c r="G559">
        <v>3</v>
      </c>
      <c r="H559">
        <v>0</v>
      </c>
      <c r="I559" t="s">
        <v>25</v>
      </c>
      <c r="J559" t="s">
        <v>31</v>
      </c>
      <c r="K559" t="s">
        <v>26</v>
      </c>
      <c r="L559">
        <v>3</v>
      </c>
      <c r="M559">
        <v>0</v>
      </c>
      <c r="N559">
        <v>0</v>
      </c>
      <c r="O559" t="s">
        <v>21</v>
      </c>
      <c r="P559" t="str">
        <f>TEXT(Table1[[#This Row],[order_date]],"yyyy-mm")</f>
        <v>2025-10</v>
      </c>
      <c r="Q559">
        <f>WEEKNUM(Table1[[#This Row],[order_date]])</f>
        <v>44</v>
      </c>
      <c r="R559">
        <f>IF(Table1[[#This Row],[order_status]]="completed",1,0)</f>
        <v>0</v>
      </c>
    </row>
    <row r="560" spans="1:18" x14ac:dyDescent="0.35">
      <c r="A560">
        <v>559</v>
      </c>
      <c r="B560" s="1">
        <v>45981</v>
      </c>
      <c r="C560">
        <v>1441</v>
      </c>
      <c r="D560" t="s">
        <v>15</v>
      </c>
      <c r="E560" t="s">
        <v>29</v>
      </c>
      <c r="F560" t="s">
        <v>17</v>
      </c>
      <c r="G560">
        <v>2</v>
      </c>
      <c r="H560">
        <v>0</v>
      </c>
      <c r="I560" t="s">
        <v>25</v>
      </c>
      <c r="J560" t="s">
        <v>37</v>
      </c>
      <c r="K560" t="s">
        <v>26</v>
      </c>
      <c r="L560">
        <v>8</v>
      </c>
      <c r="M560">
        <v>0</v>
      </c>
      <c r="N560">
        <v>0</v>
      </c>
      <c r="O560" t="s">
        <v>21</v>
      </c>
      <c r="P560" t="str">
        <f>TEXT(Table1[[#This Row],[order_date]],"yyyy-mm")</f>
        <v>2025-11</v>
      </c>
      <c r="Q560">
        <f>WEEKNUM(Table1[[#This Row],[order_date]])</f>
        <v>47</v>
      </c>
      <c r="R560">
        <f>IF(Table1[[#This Row],[order_status]]="completed",1,0)</f>
        <v>0</v>
      </c>
    </row>
    <row r="561" spans="1:18" x14ac:dyDescent="0.35">
      <c r="A561">
        <v>560</v>
      </c>
      <c r="B561" s="1">
        <v>45971</v>
      </c>
      <c r="C561">
        <v>1878</v>
      </c>
      <c r="D561" t="s">
        <v>15</v>
      </c>
      <c r="E561" t="s">
        <v>33</v>
      </c>
      <c r="F561" t="s">
        <v>17</v>
      </c>
      <c r="G561">
        <v>1</v>
      </c>
      <c r="H561">
        <v>0</v>
      </c>
      <c r="I561" t="s">
        <v>25</v>
      </c>
      <c r="J561" t="s">
        <v>31</v>
      </c>
      <c r="K561" t="s">
        <v>20</v>
      </c>
      <c r="L561">
        <v>10</v>
      </c>
      <c r="M561">
        <v>0</v>
      </c>
      <c r="N561">
        <v>0</v>
      </c>
      <c r="O561" t="s">
        <v>21</v>
      </c>
      <c r="P561" t="str">
        <f>TEXT(Table1[[#This Row],[order_date]],"yyyy-mm")</f>
        <v>2025-11</v>
      </c>
      <c r="Q561">
        <f>WEEKNUM(Table1[[#This Row],[order_date]])</f>
        <v>46</v>
      </c>
      <c r="R561">
        <f>IF(Table1[[#This Row],[order_status]]="completed",1,0)</f>
        <v>0</v>
      </c>
    </row>
    <row r="562" spans="1:18" x14ac:dyDescent="0.35">
      <c r="A562">
        <v>561</v>
      </c>
      <c r="B562" s="1">
        <v>45917</v>
      </c>
      <c r="C562">
        <v>1581</v>
      </c>
      <c r="D562" t="s">
        <v>22</v>
      </c>
      <c r="E562" t="s">
        <v>16</v>
      </c>
      <c r="F562" t="s">
        <v>34</v>
      </c>
      <c r="G562">
        <v>4</v>
      </c>
      <c r="H562">
        <v>0</v>
      </c>
      <c r="I562" t="s">
        <v>25</v>
      </c>
      <c r="J562" t="s">
        <v>31</v>
      </c>
      <c r="K562" t="s">
        <v>40</v>
      </c>
      <c r="L562">
        <v>2</v>
      </c>
      <c r="M562">
        <v>1</v>
      </c>
      <c r="N562">
        <v>0</v>
      </c>
      <c r="O562" t="s">
        <v>21</v>
      </c>
      <c r="P562" t="str">
        <f>TEXT(Table1[[#This Row],[order_date]],"yyyy-mm")</f>
        <v>2025-09</v>
      </c>
      <c r="Q562">
        <f>WEEKNUM(Table1[[#This Row],[order_date]])</f>
        <v>38</v>
      </c>
      <c r="R562">
        <f>IF(Table1[[#This Row],[order_status]]="completed",1,0)</f>
        <v>0</v>
      </c>
    </row>
    <row r="563" spans="1:18" x14ac:dyDescent="0.35">
      <c r="A563">
        <v>562</v>
      </c>
      <c r="B563" s="1">
        <v>45975</v>
      </c>
      <c r="C563">
        <v>1569</v>
      </c>
      <c r="D563" t="s">
        <v>32</v>
      </c>
      <c r="E563" t="s">
        <v>23</v>
      </c>
      <c r="F563" t="s">
        <v>34</v>
      </c>
      <c r="G563">
        <v>2</v>
      </c>
      <c r="H563">
        <v>0</v>
      </c>
      <c r="I563" t="s">
        <v>25</v>
      </c>
      <c r="J563" t="s">
        <v>31</v>
      </c>
      <c r="K563" t="s">
        <v>40</v>
      </c>
      <c r="L563">
        <v>5</v>
      </c>
      <c r="M563">
        <v>1</v>
      </c>
      <c r="N563">
        <v>1</v>
      </c>
      <c r="O563" t="s">
        <v>27</v>
      </c>
      <c r="P563" t="str">
        <f>TEXT(Table1[[#This Row],[order_date]],"yyyy-mm")</f>
        <v>2025-11</v>
      </c>
      <c r="Q563">
        <f>WEEKNUM(Table1[[#This Row],[order_date]])</f>
        <v>46</v>
      </c>
      <c r="R563">
        <f>IF(Table1[[#This Row],[order_status]]="completed",1,0)</f>
        <v>0</v>
      </c>
    </row>
    <row r="564" spans="1:18" x14ac:dyDescent="0.35">
      <c r="A564">
        <v>563</v>
      </c>
      <c r="B564" s="1">
        <v>46010</v>
      </c>
      <c r="C564">
        <v>1711</v>
      </c>
      <c r="D564" t="s">
        <v>32</v>
      </c>
      <c r="E564" t="s">
        <v>23</v>
      </c>
      <c r="F564" t="s">
        <v>24</v>
      </c>
      <c r="G564">
        <v>4</v>
      </c>
      <c r="H564">
        <v>17664</v>
      </c>
      <c r="I564" t="s">
        <v>35</v>
      </c>
      <c r="J564" t="s">
        <v>19</v>
      </c>
      <c r="K564" t="s">
        <v>26</v>
      </c>
      <c r="L564">
        <v>10</v>
      </c>
      <c r="M564">
        <v>1</v>
      </c>
      <c r="N564">
        <v>1</v>
      </c>
      <c r="O564" t="s">
        <v>21</v>
      </c>
      <c r="P564" t="str">
        <f>TEXT(Table1[[#This Row],[order_date]],"yyyy-mm")</f>
        <v>2025-12</v>
      </c>
      <c r="Q564">
        <f>WEEKNUM(Table1[[#This Row],[order_date]])</f>
        <v>51</v>
      </c>
      <c r="R564">
        <f>IF(Table1[[#This Row],[order_status]]="completed",1,0)</f>
        <v>1</v>
      </c>
    </row>
    <row r="565" spans="1:18" x14ac:dyDescent="0.35">
      <c r="A565">
        <v>564</v>
      </c>
      <c r="B565" s="1">
        <v>45854</v>
      </c>
      <c r="C565">
        <v>1454</v>
      </c>
      <c r="D565" t="s">
        <v>41</v>
      </c>
      <c r="E565" t="s">
        <v>36</v>
      </c>
      <c r="F565" t="s">
        <v>34</v>
      </c>
      <c r="G565">
        <v>1</v>
      </c>
      <c r="H565">
        <v>2500</v>
      </c>
      <c r="I565" t="s">
        <v>18</v>
      </c>
      <c r="J565" t="s">
        <v>19</v>
      </c>
      <c r="K565" t="s">
        <v>40</v>
      </c>
      <c r="L565">
        <v>1</v>
      </c>
      <c r="M565">
        <v>0</v>
      </c>
      <c r="N565">
        <v>0</v>
      </c>
      <c r="O565" t="s">
        <v>21</v>
      </c>
      <c r="P565" t="str">
        <f>TEXT(Table1[[#This Row],[order_date]],"yyyy-mm")</f>
        <v>2025-07</v>
      </c>
      <c r="Q565">
        <f>WEEKNUM(Table1[[#This Row],[order_date]])</f>
        <v>29</v>
      </c>
      <c r="R565">
        <f>IF(Table1[[#This Row],[order_status]]="completed",1,0)</f>
        <v>1</v>
      </c>
    </row>
    <row r="566" spans="1:18" x14ac:dyDescent="0.35">
      <c r="A566">
        <v>565</v>
      </c>
      <c r="B566" s="1">
        <v>45899</v>
      </c>
      <c r="C566">
        <v>1936</v>
      </c>
      <c r="D566" t="s">
        <v>28</v>
      </c>
      <c r="E566" t="s">
        <v>16</v>
      </c>
      <c r="F566" t="s">
        <v>24</v>
      </c>
      <c r="G566">
        <v>2</v>
      </c>
      <c r="H566">
        <v>0</v>
      </c>
      <c r="I566" t="s">
        <v>25</v>
      </c>
      <c r="J566" t="s">
        <v>37</v>
      </c>
      <c r="K566" t="s">
        <v>26</v>
      </c>
      <c r="L566">
        <v>10</v>
      </c>
      <c r="M566">
        <v>0</v>
      </c>
      <c r="N566">
        <v>0</v>
      </c>
      <c r="O566" t="s">
        <v>21</v>
      </c>
      <c r="P566" t="str">
        <f>TEXT(Table1[[#This Row],[order_date]],"yyyy-mm")</f>
        <v>2025-08</v>
      </c>
      <c r="Q566">
        <f>WEEKNUM(Table1[[#This Row],[order_date]])</f>
        <v>35</v>
      </c>
      <c r="R566">
        <f>IF(Table1[[#This Row],[order_status]]="completed",1,0)</f>
        <v>0</v>
      </c>
    </row>
    <row r="567" spans="1:18" x14ac:dyDescent="0.35">
      <c r="A567">
        <v>566</v>
      </c>
      <c r="B567" s="1">
        <v>45903</v>
      </c>
      <c r="C567">
        <v>1099</v>
      </c>
      <c r="D567" t="s">
        <v>28</v>
      </c>
      <c r="E567" t="s">
        <v>29</v>
      </c>
      <c r="F567" t="s">
        <v>34</v>
      </c>
      <c r="G567">
        <v>5</v>
      </c>
      <c r="H567">
        <v>0</v>
      </c>
      <c r="I567" t="s">
        <v>18</v>
      </c>
      <c r="J567" t="s">
        <v>31</v>
      </c>
      <c r="K567" t="s">
        <v>38</v>
      </c>
      <c r="L567">
        <v>8</v>
      </c>
      <c r="M567">
        <v>1</v>
      </c>
      <c r="N567">
        <v>0</v>
      </c>
      <c r="O567" t="s">
        <v>21</v>
      </c>
      <c r="P567" t="str">
        <f>TEXT(Table1[[#This Row],[order_date]],"yyyy-mm")</f>
        <v>2025-09</v>
      </c>
      <c r="Q567">
        <f>WEEKNUM(Table1[[#This Row],[order_date]])</f>
        <v>36</v>
      </c>
      <c r="R567">
        <f>IF(Table1[[#This Row],[order_status]]="completed",1,0)</f>
        <v>0</v>
      </c>
    </row>
    <row r="568" spans="1:18" x14ac:dyDescent="0.35">
      <c r="A568">
        <v>567</v>
      </c>
      <c r="B568" s="1">
        <v>45973</v>
      </c>
      <c r="C568">
        <v>1266</v>
      </c>
      <c r="D568" t="s">
        <v>22</v>
      </c>
      <c r="E568" t="s">
        <v>23</v>
      </c>
      <c r="F568" t="s">
        <v>30</v>
      </c>
      <c r="G568">
        <v>1</v>
      </c>
      <c r="H568">
        <v>0</v>
      </c>
      <c r="I568" t="s">
        <v>18</v>
      </c>
      <c r="J568" t="s">
        <v>31</v>
      </c>
      <c r="K568" t="s">
        <v>20</v>
      </c>
      <c r="L568">
        <v>9</v>
      </c>
      <c r="M568">
        <v>0</v>
      </c>
      <c r="N568">
        <v>1</v>
      </c>
      <c r="O568" t="s">
        <v>27</v>
      </c>
      <c r="P568" t="str">
        <f>TEXT(Table1[[#This Row],[order_date]],"yyyy-mm")</f>
        <v>2025-11</v>
      </c>
      <c r="Q568">
        <f>WEEKNUM(Table1[[#This Row],[order_date]])</f>
        <v>46</v>
      </c>
      <c r="R568">
        <f>IF(Table1[[#This Row],[order_status]]="completed",1,0)</f>
        <v>0</v>
      </c>
    </row>
    <row r="569" spans="1:18" x14ac:dyDescent="0.35">
      <c r="A569">
        <v>568</v>
      </c>
      <c r="B569" s="1">
        <v>45909</v>
      </c>
      <c r="C569">
        <v>1951</v>
      </c>
      <c r="D569" t="s">
        <v>22</v>
      </c>
      <c r="E569" t="s">
        <v>16</v>
      </c>
      <c r="F569" t="s">
        <v>30</v>
      </c>
      <c r="G569">
        <v>1</v>
      </c>
      <c r="H569">
        <v>0</v>
      </c>
      <c r="I569" t="s">
        <v>18</v>
      </c>
      <c r="J569" t="s">
        <v>31</v>
      </c>
      <c r="K569" t="s">
        <v>38</v>
      </c>
      <c r="L569">
        <v>5</v>
      </c>
      <c r="M569">
        <v>0</v>
      </c>
      <c r="N569">
        <v>1</v>
      </c>
      <c r="O569" t="s">
        <v>21</v>
      </c>
      <c r="P569" t="str">
        <f>TEXT(Table1[[#This Row],[order_date]],"yyyy-mm")</f>
        <v>2025-09</v>
      </c>
      <c r="Q569">
        <f>WEEKNUM(Table1[[#This Row],[order_date]])</f>
        <v>37</v>
      </c>
      <c r="R569">
        <f>IF(Table1[[#This Row],[order_status]]="completed",1,0)</f>
        <v>0</v>
      </c>
    </row>
    <row r="570" spans="1:18" x14ac:dyDescent="0.35">
      <c r="A570">
        <v>569</v>
      </c>
      <c r="B570" s="1">
        <v>45911</v>
      </c>
      <c r="C570">
        <v>1053</v>
      </c>
      <c r="D570" t="s">
        <v>28</v>
      </c>
      <c r="E570" t="s">
        <v>29</v>
      </c>
      <c r="F570" t="s">
        <v>34</v>
      </c>
      <c r="G570">
        <v>4</v>
      </c>
      <c r="H570">
        <v>0</v>
      </c>
      <c r="I570" t="s">
        <v>25</v>
      </c>
      <c r="J570" t="s">
        <v>37</v>
      </c>
      <c r="K570" t="s">
        <v>20</v>
      </c>
      <c r="L570">
        <v>8</v>
      </c>
      <c r="M570">
        <v>1</v>
      </c>
      <c r="N570">
        <v>0</v>
      </c>
      <c r="O570" t="s">
        <v>27</v>
      </c>
      <c r="P570" t="str">
        <f>TEXT(Table1[[#This Row],[order_date]],"yyyy-mm")</f>
        <v>2025-09</v>
      </c>
      <c r="Q570">
        <f>WEEKNUM(Table1[[#This Row],[order_date]])</f>
        <v>37</v>
      </c>
      <c r="R570">
        <f>IF(Table1[[#This Row],[order_status]]="completed",1,0)</f>
        <v>0</v>
      </c>
    </row>
    <row r="571" spans="1:18" x14ac:dyDescent="0.35">
      <c r="A571">
        <v>570</v>
      </c>
      <c r="B571" s="1">
        <v>45956</v>
      </c>
      <c r="C571">
        <v>1985</v>
      </c>
      <c r="D571" t="s">
        <v>22</v>
      </c>
      <c r="E571" t="s">
        <v>16</v>
      </c>
      <c r="F571" t="s">
        <v>24</v>
      </c>
      <c r="G571">
        <v>5</v>
      </c>
      <c r="H571">
        <v>0</v>
      </c>
      <c r="I571" t="s">
        <v>39</v>
      </c>
      <c r="J571" t="s">
        <v>31</v>
      </c>
      <c r="K571" t="s">
        <v>40</v>
      </c>
      <c r="L571">
        <v>5</v>
      </c>
      <c r="M571">
        <v>0</v>
      </c>
      <c r="N571">
        <v>1</v>
      </c>
      <c r="O571" t="s">
        <v>27</v>
      </c>
      <c r="P571" t="str">
        <f>TEXT(Table1[[#This Row],[order_date]],"yyyy-mm")</f>
        <v>2025-10</v>
      </c>
      <c r="Q571">
        <f>WEEKNUM(Table1[[#This Row],[order_date]])</f>
        <v>44</v>
      </c>
      <c r="R571">
        <f>IF(Table1[[#This Row],[order_status]]="completed",1,0)</f>
        <v>0</v>
      </c>
    </row>
    <row r="572" spans="1:18" x14ac:dyDescent="0.35">
      <c r="A572">
        <v>571</v>
      </c>
      <c r="B572" s="1">
        <v>45871</v>
      </c>
      <c r="C572">
        <v>1347</v>
      </c>
      <c r="D572" t="s">
        <v>41</v>
      </c>
      <c r="E572" t="s">
        <v>23</v>
      </c>
      <c r="F572" t="s">
        <v>34</v>
      </c>
      <c r="G572">
        <v>1</v>
      </c>
      <c r="H572">
        <v>2459</v>
      </c>
      <c r="I572" t="s">
        <v>18</v>
      </c>
      <c r="J572" t="s">
        <v>19</v>
      </c>
      <c r="K572" t="s">
        <v>26</v>
      </c>
      <c r="L572">
        <v>7</v>
      </c>
      <c r="M572">
        <v>1</v>
      </c>
      <c r="N572">
        <v>1</v>
      </c>
      <c r="O572" t="s">
        <v>27</v>
      </c>
      <c r="P572" t="str">
        <f>TEXT(Table1[[#This Row],[order_date]],"yyyy-mm")</f>
        <v>2025-08</v>
      </c>
      <c r="Q572">
        <f>WEEKNUM(Table1[[#This Row],[order_date]])</f>
        <v>31</v>
      </c>
      <c r="R572">
        <f>IF(Table1[[#This Row],[order_status]]="completed",1,0)</f>
        <v>1</v>
      </c>
    </row>
    <row r="573" spans="1:18" x14ac:dyDescent="0.35">
      <c r="A573">
        <v>572</v>
      </c>
      <c r="B573" s="1">
        <v>45908</v>
      </c>
      <c r="C573">
        <v>1683</v>
      </c>
      <c r="D573" t="s">
        <v>41</v>
      </c>
      <c r="E573" t="s">
        <v>33</v>
      </c>
      <c r="F573" t="s">
        <v>24</v>
      </c>
      <c r="G573">
        <v>4</v>
      </c>
      <c r="H573">
        <v>0</v>
      </c>
      <c r="I573" t="s">
        <v>35</v>
      </c>
      <c r="J573" t="s">
        <v>31</v>
      </c>
      <c r="K573" t="s">
        <v>26</v>
      </c>
      <c r="L573">
        <v>7</v>
      </c>
      <c r="M573">
        <v>1</v>
      </c>
      <c r="N573">
        <v>0</v>
      </c>
      <c r="O573" t="s">
        <v>27</v>
      </c>
      <c r="P573" t="str">
        <f>TEXT(Table1[[#This Row],[order_date]],"yyyy-mm")</f>
        <v>2025-09</v>
      </c>
      <c r="Q573">
        <f>WEEKNUM(Table1[[#This Row],[order_date]])</f>
        <v>37</v>
      </c>
      <c r="R573">
        <f>IF(Table1[[#This Row],[order_status]]="completed",1,0)</f>
        <v>0</v>
      </c>
    </row>
    <row r="574" spans="1:18" x14ac:dyDescent="0.35">
      <c r="A574">
        <v>573</v>
      </c>
      <c r="B574" s="1">
        <v>45959</v>
      </c>
      <c r="C574">
        <v>1415</v>
      </c>
      <c r="D574" t="s">
        <v>28</v>
      </c>
      <c r="E574" t="s">
        <v>29</v>
      </c>
      <c r="F574" t="s">
        <v>34</v>
      </c>
      <c r="G574">
        <v>1</v>
      </c>
      <c r="H574">
        <v>0</v>
      </c>
      <c r="I574" t="s">
        <v>25</v>
      </c>
      <c r="J574" t="s">
        <v>37</v>
      </c>
      <c r="K574" t="s">
        <v>40</v>
      </c>
      <c r="L574">
        <v>6</v>
      </c>
      <c r="M574">
        <v>0</v>
      </c>
      <c r="N574">
        <v>1</v>
      </c>
      <c r="O574" t="s">
        <v>27</v>
      </c>
      <c r="P574" t="str">
        <f>TEXT(Table1[[#This Row],[order_date]],"yyyy-mm")</f>
        <v>2025-10</v>
      </c>
      <c r="Q574">
        <f>WEEKNUM(Table1[[#This Row],[order_date]])</f>
        <v>44</v>
      </c>
      <c r="R574">
        <f>IF(Table1[[#This Row],[order_status]]="completed",1,0)</f>
        <v>0</v>
      </c>
    </row>
    <row r="575" spans="1:18" x14ac:dyDescent="0.35">
      <c r="A575">
        <v>574</v>
      </c>
      <c r="B575" s="1">
        <v>45856</v>
      </c>
      <c r="C575">
        <v>1371</v>
      </c>
      <c r="D575" t="s">
        <v>41</v>
      </c>
      <c r="E575" t="s">
        <v>16</v>
      </c>
      <c r="F575" t="s">
        <v>24</v>
      </c>
      <c r="G575">
        <v>2</v>
      </c>
      <c r="H575">
        <v>0</v>
      </c>
      <c r="I575" t="s">
        <v>39</v>
      </c>
      <c r="J575" t="s">
        <v>37</v>
      </c>
      <c r="K575" t="s">
        <v>26</v>
      </c>
      <c r="L575">
        <v>4</v>
      </c>
      <c r="M575">
        <v>0</v>
      </c>
      <c r="N575">
        <v>1</v>
      </c>
      <c r="O575" t="s">
        <v>27</v>
      </c>
      <c r="P575" t="str">
        <f>TEXT(Table1[[#This Row],[order_date]],"yyyy-mm")</f>
        <v>2025-07</v>
      </c>
      <c r="Q575">
        <f>WEEKNUM(Table1[[#This Row],[order_date]])</f>
        <v>29</v>
      </c>
      <c r="R575">
        <f>IF(Table1[[#This Row],[order_status]]="completed",1,0)</f>
        <v>0</v>
      </c>
    </row>
    <row r="576" spans="1:18" x14ac:dyDescent="0.35">
      <c r="A576">
        <v>575</v>
      </c>
      <c r="B576" s="1">
        <v>45998</v>
      </c>
      <c r="C576">
        <v>1689</v>
      </c>
      <c r="D576" t="s">
        <v>32</v>
      </c>
      <c r="E576" t="s">
        <v>33</v>
      </c>
      <c r="F576" t="s">
        <v>24</v>
      </c>
      <c r="G576">
        <v>5</v>
      </c>
      <c r="H576">
        <v>0</v>
      </c>
      <c r="I576" t="s">
        <v>35</v>
      </c>
      <c r="J576" t="s">
        <v>31</v>
      </c>
      <c r="K576" t="s">
        <v>38</v>
      </c>
      <c r="L576">
        <v>9</v>
      </c>
      <c r="M576">
        <v>1</v>
      </c>
      <c r="N576">
        <v>1</v>
      </c>
      <c r="O576" t="s">
        <v>27</v>
      </c>
      <c r="P576" t="str">
        <f>TEXT(Table1[[#This Row],[order_date]],"yyyy-mm")</f>
        <v>2025-12</v>
      </c>
      <c r="Q576">
        <f>WEEKNUM(Table1[[#This Row],[order_date]])</f>
        <v>50</v>
      </c>
      <c r="R576">
        <f>IF(Table1[[#This Row],[order_status]]="completed",1,0)</f>
        <v>0</v>
      </c>
    </row>
    <row r="577" spans="1:18" x14ac:dyDescent="0.35">
      <c r="A577">
        <v>576</v>
      </c>
      <c r="B577" s="1">
        <v>45985</v>
      </c>
      <c r="C577">
        <v>1763</v>
      </c>
      <c r="D577" t="s">
        <v>28</v>
      </c>
      <c r="E577" t="s">
        <v>29</v>
      </c>
      <c r="F577" t="s">
        <v>17</v>
      </c>
      <c r="G577">
        <v>3</v>
      </c>
      <c r="H577">
        <v>0</v>
      </c>
      <c r="I577" t="s">
        <v>39</v>
      </c>
      <c r="J577" t="s">
        <v>37</v>
      </c>
      <c r="K577" t="s">
        <v>38</v>
      </c>
      <c r="L577">
        <v>2</v>
      </c>
      <c r="M577">
        <v>0</v>
      </c>
      <c r="N577">
        <v>0</v>
      </c>
      <c r="O577" t="s">
        <v>27</v>
      </c>
      <c r="P577" t="str">
        <f>TEXT(Table1[[#This Row],[order_date]],"yyyy-mm")</f>
        <v>2025-11</v>
      </c>
      <c r="Q577">
        <f>WEEKNUM(Table1[[#This Row],[order_date]])</f>
        <v>48</v>
      </c>
      <c r="R577">
        <f>IF(Table1[[#This Row],[order_status]]="completed",1,0)</f>
        <v>0</v>
      </c>
    </row>
    <row r="578" spans="1:18" x14ac:dyDescent="0.35">
      <c r="A578">
        <v>577</v>
      </c>
      <c r="B578" s="1">
        <v>45962</v>
      </c>
      <c r="C578">
        <v>1572</v>
      </c>
      <c r="D578" t="s">
        <v>28</v>
      </c>
      <c r="E578" t="s">
        <v>29</v>
      </c>
      <c r="F578" t="s">
        <v>30</v>
      </c>
      <c r="G578">
        <v>4</v>
      </c>
      <c r="H578">
        <v>0</v>
      </c>
      <c r="I578" t="s">
        <v>35</v>
      </c>
      <c r="J578" t="s">
        <v>37</v>
      </c>
      <c r="K578" t="s">
        <v>38</v>
      </c>
      <c r="L578">
        <v>10</v>
      </c>
      <c r="M578">
        <v>1</v>
      </c>
      <c r="N578">
        <v>1</v>
      </c>
      <c r="O578" t="s">
        <v>27</v>
      </c>
      <c r="P578" t="str">
        <f>TEXT(Table1[[#This Row],[order_date]],"yyyy-mm")</f>
        <v>2025-11</v>
      </c>
      <c r="Q578">
        <f>WEEKNUM(Table1[[#This Row],[order_date]])</f>
        <v>44</v>
      </c>
      <c r="R578">
        <f>IF(Table1[[#This Row],[order_status]]="completed",1,0)</f>
        <v>0</v>
      </c>
    </row>
    <row r="579" spans="1:18" x14ac:dyDescent="0.35">
      <c r="A579">
        <v>578</v>
      </c>
      <c r="B579" s="1">
        <v>45998</v>
      </c>
      <c r="C579">
        <v>1814</v>
      </c>
      <c r="D579" t="s">
        <v>28</v>
      </c>
      <c r="E579" t="s">
        <v>23</v>
      </c>
      <c r="F579" t="s">
        <v>34</v>
      </c>
      <c r="G579">
        <v>3</v>
      </c>
      <c r="H579">
        <v>0</v>
      </c>
      <c r="I579" t="s">
        <v>25</v>
      </c>
      <c r="J579" t="s">
        <v>37</v>
      </c>
      <c r="K579" t="s">
        <v>20</v>
      </c>
      <c r="L579">
        <v>10</v>
      </c>
      <c r="M579">
        <v>0</v>
      </c>
      <c r="N579">
        <v>1</v>
      </c>
      <c r="O579" t="s">
        <v>21</v>
      </c>
      <c r="P579" t="str">
        <f>TEXT(Table1[[#This Row],[order_date]],"yyyy-mm")</f>
        <v>2025-12</v>
      </c>
      <c r="Q579">
        <f>WEEKNUM(Table1[[#This Row],[order_date]])</f>
        <v>50</v>
      </c>
      <c r="R579">
        <f>IF(Table1[[#This Row],[order_status]]="completed",1,0)</f>
        <v>0</v>
      </c>
    </row>
    <row r="580" spans="1:18" x14ac:dyDescent="0.35">
      <c r="A580">
        <v>579</v>
      </c>
      <c r="B580" s="1">
        <v>45876</v>
      </c>
      <c r="C580">
        <v>1317</v>
      </c>
      <c r="D580" t="s">
        <v>41</v>
      </c>
      <c r="E580" t="s">
        <v>16</v>
      </c>
      <c r="F580" t="s">
        <v>30</v>
      </c>
      <c r="G580">
        <v>5</v>
      </c>
      <c r="H580">
        <v>15600</v>
      </c>
      <c r="I580" t="s">
        <v>35</v>
      </c>
      <c r="J580" t="s">
        <v>19</v>
      </c>
      <c r="K580" t="s">
        <v>26</v>
      </c>
      <c r="L580">
        <v>1</v>
      </c>
      <c r="M580">
        <v>0</v>
      </c>
      <c r="N580">
        <v>0</v>
      </c>
      <c r="O580" t="s">
        <v>27</v>
      </c>
      <c r="P580" t="str">
        <f>TEXT(Table1[[#This Row],[order_date]],"yyyy-mm")</f>
        <v>2025-08</v>
      </c>
      <c r="Q580">
        <f>WEEKNUM(Table1[[#This Row],[order_date]])</f>
        <v>32</v>
      </c>
      <c r="R580">
        <f>IF(Table1[[#This Row],[order_status]]="completed",1,0)</f>
        <v>1</v>
      </c>
    </row>
    <row r="581" spans="1:18" x14ac:dyDescent="0.35">
      <c r="A581">
        <v>580</v>
      </c>
      <c r="B581" s="1">
        <v>45862</v>
      </c>
      <c r="C581">
        <v>1673</v>
      </c>
      <c r="D581" t="s">
        <v>28</v>
      </c>
      <c r="E581" t="s">
        <v>36</v>
      </c>
      <c r="F581" t="s">
        <v>34</v>
      </c>
      <c r="G581">
        <v>2</v>
      </c>
      <c r="H581">
        <v>0</v>
      </c>
      <c r="I581" t="s">
        <v>18</v>
      </c>
      <c r="J581" t="s">
        <v>31</v>
      </c>
      <c r="K581" t="s">
        <v>38</v>
      </c>
      <c r="L581">
        <v>7</v>
      </c>
      <c r="M581">
        <v>0</v>
      </c>
      <c r="N581">
        <v>1</v>
      </c>
      <c r="O581" t="s">
        <v>27</v>
      </c>
      <c r="P581" t="str">
        <f>TEXT(Table1[[#This Row],[order_date]],"yyyy-mm")</f>
        <v>2025-07</v>
      </c>
      <c r="Q581">
        <f>WEEKNUM(Table1[[#This Row],[order_date]])</f>
        <v>30</v>
      </c>
      <c r="R581">
        <f>IF(Table1[[#This Row],[order_status]]="completed",1,0)</f>
        <v>0</v>
      </c>
    </row>
    <row r="582" spans="1:18" x14ac:dyDescent="0.35">
      <c r="A582">
        <v>581</v>
      </c>
      <c r="B582" s="1">
        <v>45893</v>
      </c>
      <c r="C582">
        <v>1454</v>
      </c>
      <c r="D582" t="s">
        <v>41</v>
      </c>
      <c r="E582" t="s">
        <v>29</v>
      </c>
      <c r="F582" t="s">
        <v>34</v>
      </c>
      <c r="G582">
        <v>2</v>
      </c>
      <c r="H582">
        <v>0</v>
      </c>
      <c r="I582" t="s">
        <v>25</v>
      </c>
      <c r="J582" t="s">
        <v>37</v>
      </c>
      <c r="K582" t="s">
        <v>40</v>
      </c>
      <c r="L582">
        <v>9</v>
      </c>
      <c r="M582">
        <v>1</v>
      </c>
      <c r="N582">
        <v>1</v>
      </c>
      <c r="O582" t="s">
        <v>27</v>
      </c>
      <c r="P582" t="str">
        <f>TEXT(Table1[[#This Row],[order_date]],"yyyy-mm")</f>
        <v>2025-08</v>
      </c>
      <c r="Q582">
        <f>WEEKNUM(Table1[[#This Row],[order_date]])</f>
        <v>35</v>
      </c>
      <c r="R582">
        <f>IF(Table1[[#This Row],[order_status]]="completed",1,0)</f>
        <v>0</v>
      </c>
    </row>
    <row r="583" spans="1:18" x14ac:dyDescent="0.35">
      <c r="A583">
        <v>582</v>
      </c>
      <c r="B583" s="1">
        <v>45868</v>
      </c>
      <c r="C583">
        <v>1771</v>
      </c>
      <c r="D583" t="s">
        <v>32</v>
      </c>
      <c r="E583" t="s">
        <v>33</v>
      </c>
      <c r="F583" t="s">
        <v>30</v>
      </c>
      <c r="G583">
        <v>1</v>
      </c>
      <c r="H583">
        <v>0</v>
      </c>
      <c r="I583" t="s">
        <v>35</v>
      </c>
      <c r="J583" t="s">
        <v>31</v>
      </c>
      <c r="K583" t="s">
        <v>20</v>
      </c>
      <c r="L583">
        <v>4</v>
      </c>
      <c r="M583">
        <v>0</v>
      </c>
      <c r="N583">
        <v>1</v>
      </c>
      <c r="O583" t="s">
        <v>27</v>
      </c>
      <c r="P583" t="str">
        <f>TEXT(Table1[[#This Row],[order_date]],"yyyy-mm")</f>
        <v>2025-07</v>
      </c>
      <c r="Q583">
        <f>WEEKNUM(Table1[[#This Row],[order_date]])</f>
        <v>31</v>
      </c>
      <c r="R583">
        <f>IF(Table1[[#This Row],[order_status]]="completed",1,0)</f>
        <v>0</v>
      </c>
    </row>
    <row r="584" spans="1:18" x14ac:dyDescent="0.35">
      <c r="A584">
        <v>583</v>
      </c>
      <c r="B584" s="1">
        <v>45922</v>
      </c>
      <c r="C584">
        <v>1234</v>
      </c>
      <c r="D584" t="s">
        <v>22</v>
      </c>
      <c r="E584" t="s">
        <v>16</v>
      </c>
      <c r="F584" t="s">
        <v>34</v>
      </c>
      <c r="G584">
        <v>5</v>
      </c>
      <c r="H584">
        <v>0</v>
      </c>
      <c r="I584" t="s">
        <v>39</v>
      </c>
      <c r="J584" t="s">
        <v>31</v>
      </c>
      <c r="K584" t="s">
        <v>40</v>
      </c>
      <c r="L584">
        <v>9</v>
      </c>
      <c r="M584">
        <v>0</v>
      </c>
      <c r="N584">
        <v>0</v>
      </c>
      <c r="O584" t="s">
        <v>27</v>
      </c>
      <c r="P584" t="str">
        <f>TEXT(Table1[[#This Row],[order_date]],"yyyy-mm")</f>
        <v>2025-09</v>
      </c>
      <c r="Q584">
        <f>WEEKNUM(Table1[[#This Row],[order_date]])</f>
        <v>39</v>
      </c>
      <c r="R584">
        <f>IF(Table1[[#This Row],[order_status]]="completed",1,0)</f>
        <v>0</v>
      </c>
    </row>
    <row r="585" spans="1:18" x14ac:dyDescent="0.35">
      <c r="A585">
        <v>584</v>
      </c>
      <c r="B585" s="1">
        <v>45933</v>
      </c>
      <c r="C585">
        <v>1444</v>
      </c>
      <c r="D585" t="s">
        <v>32</v>
      </c>
      <c r="E585" t="s">
        <v>33</v>
      </c>
      <c r="F585" t="s">
        <v>24</v>
      </c>
      <c r="G585">
        <v>5</v>
      </c>
      <c r="H585">
        <v>0</v>
      </c>
      <c r="I585" t="s">
        <v>39</v>
      </c>
      <c r="J585" t="s">
        <v>31</v>
      </c>
      <c r="K585" t="s">
        <v>26</v>
      </c>
      <c r="L585">
        <v>2</v>
      </c>
      <c r="M585">
        <v>0</v>
      </c>
      <c r="N585">
        <v>0</v>
      </c>
      <c r="O585" t="s">
        <v>27</v>
      </c>
      <c r="P585" t="str">
        <f>TEXT(Table1[[#This Row],[order_date]],"yyyy-mm")</f>
        <v>2025-10</v>
      </c>
      <c r="Q585">
        <f>WEEKNUM(Table1[[#This Row],[order_date]])</f>
        <v>40</v>
      </c>
      <c r="R585">
        <f>IF(Table1[[#This Row],[order_status]]="completed",1,0)</f>
        <v>0</v>
      </c>
    </row>
    <row r="586" spans="1:18" x14ac:dyDescent="0.35">
      <c r="A586">
        <v>585</v>
      </c>
      <c r="B586" s="1">
        <v>45882</v>
      </c>
      <c r="C586">
        <v>1403</v>
      </c>
      <c r="D586" t="s">
        <v>41</v>
      </c>
      <c r="E586" t="s">
        <v>23</v>
      </c>
      <c r="F586" t="s">
        <v>30</v>
      </c>
      <c r="G586">
        <v>5</v>
      </c>
      <c r="H586">
        <v>0</v>
      </c>
      <c r="I586" t="s">
        <v>18</v>
      </c>
      <c r="J586" t="s">
        <v>37</v>
      </c>
      <c r="K586" t="s">
        <v>40</v>
      </c>
      <c r="L586">
        <v>1</v>
      </c>
      <c r="M586">
        <v>0</v>
      </c>
      <c r="N586">
        <v>0</v>
      </c>
      <c r="O586" t="s">
        <v>27</v>
      </c>
      <c r="P586" t="str">
        <f>TEXT(Table1[[#This Row],[order_date]],"yyyy-mm")</f>
        <v>2025-08</v>
      </c>
      <c r="Q586">
        <f>WEEKNUM(Table1[[#This Row],[order_date]])</f>
        <v>33</v>
      </c>
      <c r="R586">
        <f>IF(Table1[[#This Row],[order_status]]="completed",1,0)</f>
        <v>0</v>
      </c>
    </row>
    <row r="587" spans="1:18" x14ac:dyDescent="0.35">
      <c r="A587">
        <v>586</v>
      </c>
      <c r="B587" s="1">
        <v>46030</v>
      </c>
      <c r="C587">
        <v>1340</v>
      </c>
      <c r="D587" t="s">
        <v>22</v>
      </c>
      <c r="E587" t="s">
        <v>16</v>
      </c>
      <c r="F587" t="s">
        <v>24</v>
      </c>
      <c r="G587">
        <v>2</v>
      </c>
      <c r="H587">
        <v>0</v>
      </c>
      <c r="I587" t="s">
        <v>18</v>
      </c>
      <c r="J587" t="s">
        <v>31</v>
      </c>
      <c r="K587" t="s">
        <v>38</v>
      </c>
      <c r="L587">
        <v>3</v>
      </c>
      <c r="M587">
        <v>0</v>
      </c>
      <c r="N587">
        <v>0</v>
      </c>
      <c r="O587" t="s">
        <v>27</v>
      </c>
      <c r="P587" t="str">
        <f>TEXT(Table1[[#This Row],[order_date]],"yyyy-mm")</f>
        <v>2026-01</v>
      </c>
      <c r="Q587">
        <f>WEEKNUM(Table1[[#This Row],[order_date]])</f>
        <v>2</v>
      </c>
      <c r="R587">
        <f>IF(Table1[[#This Row],[order_status]]="completed",1,0)</f>
        <v>0</v>
      </c>
    </row>
    <row r="588" spans="1:18" x14ac:dyDescent="0.35">
      <c r="A588">
        <v>587</v>
      </c>
      <c r="B588" s="1">
        <v>45940</v>
      </c>
      <c r="C588">
        <v>1597</v>
      </c>
      <c r="D588" t="s">
        <v>15</v>
      </c>
      <c r="E588" t="s">
        <v>36</v>
      </c>
      <c r="F588" t="s">
        <v>34</v>
      </c>
      <c r="G588">
        <v>5</v>
      </c>
      <c r="H588">
        <v>20075</v>
      </c>
      <c r="I588" t="s">
        <v>25</v>
      </c>
      <c r="J588" t="s">
        <v>19</v>
      </c>
      <c r="K588" t="s">
        <v>20</v>
      </c>
      <c r="L588">
        <v>9</v>
      </c>
      <c r="M588">
        <v>0</v>
      </c>
      <c r="N588">
        <v>0</v>
      </c>
      <c r="O588" t="s">
        <v>21</v>
      </c>
      <c r="P588" t="str">
        <f>TEXT(Table1[[#This Row],[order_date]],"yyyy-mm")</f>
        <v>2025-10</v>
      </c>
      <c r="Q588">
        <f>WEEKNUM(Table1[[#This Row],[order_date]])</f>
        <v>41</v>
      </c>
      <c r="R588">
        <f>IF(Table1[[#This Row],[order_status]]="completed",1,0)</f>
        <v>1</v>
      </c>
    </row>
    <row r="589" spans="1:18" x14ac:dyDescent="0.35">
      <c r="A589">
        <v>588</v>
      </c>
      <c r="B589" s="1">
        <v>45933</v>
      </c>
      <c r="C589">
        <v>1624</v>
      </c>
      <c r="D589" t="s">
        <v>28</v>
      </c>
      <c r="E589" t="s">
        <v>23</v>
      </c>
      <c r="F589" t="s">
        <v>24</v>
      </c>
      <c r="G589">
        <v>2</v>
      </c>
      <c r="H589">
        <v>0</v>
      </c>
      <c r="I589" t="s">
        <v>25</v>
      </c>
      <c r="J589" t="s">
        <v>37</v>
      </c>
      <c r="K589" t="s">
        <v>38</v>
      </c>
      <c r="L589">
        <v>9</v>
      </c>
      <c r="M589">
        <v>0</v>
      </c>
      <c r="N589">
        <v>1</v>
      </c>
      <c r="O589" t="s">
        <v>27</v>
      </c>
      <c r="P589" t="str">
        <f>TEXT(Table1[[#This Row],[order_date]],"yyyy-mm")</f>
        <v>2025-10</v>
      </c>
      <c r="Q589">
        <f>WEEKNUM(Table1[[#This Row],[order_date]])</f>
        <v>40</v>
      </c>
      <c r="R589">
        <f>IF(Table1[[#This Row],[order_status]]="completed",1,0)</f>
        <v>0</v>
      </c>
    </row>
    <row r="590" spans="1:18" x14ac:dyDescent="0.35">
      <c r="A590">
        <v>589</v>
      </c>
      <c r="B590" s="1">
        <v>45973</v>
      </c>
      <c r="C590">
        <v>1835</v>
      </c>
      <c r="D590" t="s">
        <v>22</v>
      </c>
      <c r="E590" t="s">
        <v>33</v>
      </c>
      <c r="F590" t="s">
        <v>17</v>
      </c>
      <c r="G590">
        <v>3</v>
      </c>
      <c r="H590">
        <v>5934</v>
      </c>
      <c r="I590" t="s">
        <v>35</v>
      </c>
      <c r="J590" t="s">
        <v>19</v>
      </c>
      <c r="K590" t="s">
        <v>38</v>
      </c>
      <c r="L590">
        <v>7</v>
      </c>
      <c r="M590">
        <v>0</v>
      </c>
      <c r="N590">
        <v>0</v>
      </c>
      <c r="O590" t="s">
        <v>21</v>
      </c>
      <c r="P590" t="str">
        <f>TEXT(Table1[[#This Row],[order_date]],"yyyy-mm")</f>
        <v>2025-11</v>
      </c>
      <c r="Q590">
        <f>WEEKNUM(Table1[[#This Row],[order_date]])</f>
        <v>46</v>
      </c>
      <c r="R590">
        <f>IF(Table1[[#This Row],[order_status]]="completed",1,0)</f>
        <v>1</v>
      </c>
    </row>
    <row r="591" spans="1:18" x14ac:dyDescent="0.35">
      <c r="A591">
        <v>590</v>
      </c>
      <c r="B591" s="1">
        <v>45951</v>
      </c>
      <c r="C591">
        <v>1482</v>
      </c>
      <c r="D591" t="s">
        <v>22</v>
      </c>
      <c r="E591" t="s">
        <v>33</v>
      </c>
      <c r="F591" t="s">
        <v>30</v>
      </c>
      <c r="G591">
        <v>5</v>
      </c>
      <c r="H591">
        <v>0</v>
      </c>
      <c r="I591" t="s">
        <v>39</v>
      </c>
      <c r="J591" t="s">
        <v>31</v>
      </c>
      <c r="K591" t="s">
        <v>38</v>
      </c>
      <c r="L591">
        <v>5</v>
      </c>
      <c r="M591">
        <v>1</v>
      </c>
      <c r="N591">
        <v>1</v>
      </c>
      <c r="O591" t="s">
        <v>21</v>
      </c>
      <c r="P591" t="str">
        <f>TEXT(Table1[[#This Row],[order_date]],"yyyy-mm")</f>
        <v>2025-10</v>
      </c>
      <c r="Q591">
        <f>WEEKNUM(Table1[[#This Row],[order_date]])</f>
        <v>43</v>
      </c>
      <c r="R591">
        <f>IF(Table1[[#This Row],[order_status]]="completed",1,0)</f>
        <v>0</v>
      </c>
    </row>
    <row r="592" spans="1:18" x14ac:dyDescent="0.35">
      <c r="A592">
        <v>591</v>
      </c>
      <c r="B592" s="1">
        <v>46007</v>
      </c>
      <c r="C592">
        <v>1392</v>
      </c>
      <c r="D592" t="s">
        <v>41</v>
      </c>
      <c r="E592" t="s">
        <v>33</v>
      </c>
      <c r="F592" t="s">
        <v>30</v>
      </c>
      <c r="G592">
        <v>4</v>
      </c>
      <c r="H592">
        <v>17208</v>
      </c>
      <c r="I592" t="s">
        <v>25</v>
      </c>
      <c r="J592" t="s">
        <v>19</v>
      </c>
      <c r="K592" t="s">
        <v>26</v>
      </c>
      <c r="L592">
        <v>8</v>
      </c>
      <c r="M592">
        <v>1</v>
      </c>
      <c r="N592">
        <v>1</v>
      </c>
      <c r="O592" t="s">
        <v>21</v>
      </c>
      <c r="P592" t="str">
        <f>TEXT(Table1[[#This Row],[order_date]],"yyyy-mm")</f>
        <v>2025-12</v>
      </c>
      <c r="Q592">
        <f>WEEKNUM(Table1[[#This Row],[order_date]])</f>
        <v>51</v>
      </c>
      <c r="R592">
        <f>IF(Table1[[#This Row],[order_status]]="completed",1,0)</f>
        <v>1</v>
      </c>
    </row>
    <row r="593" spans="1:18" x14ac:dyDescent="0.35">
      <c r="A593">
        <v>592</v>
      </c>
      <c r="B593" s="1">
        <v>45953</v>
      </c>
      <c r="C593">
        <v>1113</v>
      </c>
      <c r="D593" t="s">
        <v>41</v>
      </c>
      <c r="E593" t="s">
        <v>16</v>
      </c>
      <c r="F593" t="s">
        <v>24</v>
      </c>
      <c r="G593">
        <v>5</v>
      </c>
      <c r="H593">
        <v>0</v>
      </c>
      <c r="I593" t="s">
        <v>39</v>
      </c>
      <c r="J593" t="s">
        <v>31</v>
      </c>
      <c r="K593" t="s">
        <v>20</v>
      </c>
      <c r="L593">
        <v>6</v>
      </c>
      <c r="M593">
        <v>1</v>
      </c>
      <c r="N593">
        <v>1</v>
      </c>
      <c r="O593" t="s">
        <v>21</v>
      </c>
      <c r="P593" t="str">
        <f>TEXT(Table1[[#This Row],[order_date]],"yyyy-mm")</f>
        <v>2025-10</v>
      </c>
      <c r="Q593">
        <f>WEEKNUM(Table1[[#This Row],[order_date]])</f>
        <v>43</v>
      </c>
      <c r="R593">
        <f>IF(Table1[[#This Row],[order_status]]="completed",1,0)</f>
        <v>0</v>
      </c>
    </row>
    <row r="594" spans="1:18" x14ac:dyDescent="0.35">
      <c r="A594">
        <v>593</v>
      </c>
      <c r="B594" s="1">
        <v>45865</v>
      </c>
      <c r="C594">
        <v>1160</v>
      </c>
      <c r="D594" t="s">
        <v>15</v>
      </c>
      <c r="E594" t="s">
        <v>16</v>
      </c>
      <c r="F594" t="s">
        <v>17</v>
      </c>
      <c r="G594">
        <v>3</v>
      </c>
      <c r="H594">
        <v>0</v>
      </c>
      <c r="I594" t="s">
        <v>25</v>
      </c>
      <c r="J594" t="s">
        <v>31</v>
      </c>
      <c r="K594" t="s">
        <v>26</v>
      </c>
      <c r="L594">
        <v>3</v>
      </c>
      <c r="M594">
        <v>0</v>
      </c>
      <c r="N594">
        <v>1</v>
      </c>
      <c r="O594" t="s">
        <v>27</v>
      </c>
      <c r="P594" t="str">
        <f>TEXT(Table1[[#This Row],[order_date]],"yyyy-mm")</f>
        <v>2025-07</v>
      </c>
      <c r="Q594">
        <f>WEEKNUM(Table1[[#This Row],[order_date]])</f>
        <v>31</v>
      </c>
      <c r="R594">
        <f>IF(Table1[[#This Row],[order_status]]="completed",1,0)</f>
        <v>0</v>
      </c>
    </row>
    <row r="595" spans="1:18" x14ac:dyDescent="0.35">
      <c r="A595">
        <v>594</v>
      </c>
      <c r="B595" s="1">
        <v>45858</v>
      </c>
      <c r="C595">
        <v>1531</v>
      </c>
      <c r="D595" t="s">
        <v>15</v>
      </c>
      <c r="E595" t="s">
        <v>29</v>
      </c>
      <c r="F595" t="s">
        <v>17</v>
      </c>
      <c r="G595">
        <v>5</v>
      </c>
      <c r="H595">
        <v>0</v>
      </c>
      <c r="I595" t="s">
        <v>18</v>
      </c>
      <c r="J595" t="s">
        <v>31</v>
      </c>
      <c r="K595" t="s">
        <v>26</v>
      </c>
      <c r="L595">
        <v>2</v>
      </c>
      <c r="M595">
        <v>0</v>
      </c>
      <c r="N595">
        <v>0</v>
      </c>
      <c r="O595" t="s">
        <v>27</v>
      </c>
      <c r="P595" t="str">
        <f>TEXT(Table1[[#This Row],[order_date]],"yyyy-mm")</f>
        <v>2025-07</v>
      </c>
      <c r="Q595">
        <f>WEEKNUM(Table1[[#This Row],[order_date]])</f>
        <v>30</v>
      </c>
      <c r="R595">
        <f>IF(Table1[[#This Row],[order_status]]="completed",1,0)</f>
        <v>0</v>
      </c>
    </row>
    <row r="596" spans="1:18" x14ac:dyDescent="0.35">
      <c r="A596">
        <v>595</v>
      </c>
      <c r="B596" s="1">
        <v>45854</v>
      </c>
      <c r="C596">
        <v>1557</v>
      </c>
      <c r="D596" t="s">
        <v>32</v>
      </c>
      <c r="E596" t="s">
        <v>16</v>
      </c>
      <c r="F596" t="s">
        <v>34</v>
      </c>
      <c r="G596">
        <v>5</v>
      </c>
      <c r="H596">
        <v>2705</v>
      </c>
      <c r="I596" t="s">
        <v>35</v>
      </c>
      <c r="J596" t="s">
        <v>19</v>
      </c>
      <c r="K596" t="s">
        <v>38</v>
      </c>
      <c r="L596">
        <v>6</v>
      </c>
      <c r="M596">
        <v>0</v>
      </c>
      <c r="N596">
        <v>1</v>
      </c>
      <c r="O596" t="s">
        <v>21</v>
      </c>
      <c r="P596" t="str">
        <f>TEXT(Table1[[#This Row],[order_date]],"yyyy-mm")</f>
        <v>2025-07</v>
      </c>
      <c r="Q596">
        <f>WEEKNUM(Table1[[#This Row],[order_date]])</f>
        <v>29</v>
      </c>
      <c r="R596">
        <f>IF(Table1[[#This Row],[order_status]]="completed",1,0)</f>
        <v>1</v>
      </c>
    </row>
    <row r="597" spans="1:18" x14ac:dyDescent="0.35">
      <c r="A597">
        <v>596</v>
      </c>
      <c r="B597" s="1">
        <v>45903</v>
      </c>
      <c r="C597">
        <v>1662</v>
      </c>
      <c r="D597" t="s">
        <v>41</v>
      </c>
      <c r="E597" t="s">
        <v>16</v>
      </c>
      <c r="F597" t="s">
        <v>34</v>
      </c>
      <c r="G597">
        <v>1</v>
      </c>
      <c r="H597">
        <v>0</v>
      </c>
      <c r="I597" t="s">
        <v>35</v>
      </c>
      <c r="J597" t="s">
        <v>37</v>
      </c>
      <c r="K597" t="s">
        <v>40</v>
      </c>
      <c r="L597">
        <v>4</v>
      </c>
      <c r="M597">
        <v>0</v>
      </c>
      <c r="N597">
        <v>1</v>
      </c>
      <c r="O597" t="s">
        <v>27</v>
      </c>
      <c r="P597" t="str">
        <f>TEXT(Table1[[#This Row],[order_date]],"yyyy-mm")</f>
        <v>2025-09</v>
      </c>
      <c r="Q597">
        <f>WEEKNUM(Table1[[#This Row],[order_date]])</f>
        <v>36</v>
      </c>
      <c r="R597">
        <f>IF(Table1[[#This Row],[order_status]]="completed",1,0)</f>
        <v>0</v>
      </c>
    </row>
    <row r="598" spans="1:18" x14ac:dyDescent="0.35">
      <c r="A598">
        <v>597</v>
      </c>
      <c r="B598" s="1">
        <v>45989</v>
      </c>
      <c r="C598">
        <v>1412</v>
      </c>
      <c r="D598" t="s">
        <v>15</v>
      </c>
      <c r="E598" t="s">
        <v>36</v>
      </c>
      <c r="F598" t="s">
        <v>30</v>
      </c>
      <c r="G598">
        <v>3</v>
      </c>
      <c r="H598">
        <v>1983</v>
      </c>
      <c r="I598" t="s">
        <v>35</v>
      </c>
      <c r="J598" t="s">
        <v>19</v>
      </c>
      <c r="K598" t="s">
        <v>26</v>
      </c>
      <c r="L598">
        <v>10</v>
      </c>
      <c r="M598">
        <v>1</v>
      </c>
      <c r="N598">
        <v>1</v>
      </c>
      <c r="O598" t="s">
        <v>21</v>
      </c>
      <c r="P598" t="str">
        <f>TEXT(Table1[[#This Row],[order_date]],"yyyy-mm")</f>
        <v>2025-11</v>
      </c>
      <c r="Q598">
        <f>WEEKNUM(Table1[[#This Row],[order_date]])</f>
        <v>48</v>
      </c>
      <c r="R598">
        <f>IF(Table1[[#This Row],[order_status]]="completed",1,0)</f>
        <v>1</v>
      </c>
    </row>
    <row r="599" spans="1:18" x14ac:dyDescent="0.35">
      <c r="A599">
        <v>598</v>
      </c>
      <c r="B599" s="1">
        <v>45882</v>
      </c>
      <c r="C599">
        <v>1599</v>
      </c>
      <c r="D599" t="s">
        <v>32</v>
      </c>
      <c r="E599" t="s">
        <v>29</v>
      </c>
      <c r="F599" t="s">
        <v>30</v>
      </c>
      <c r="G599">
        <v>1</v>
      </c>
      <c r="H599">
        <v>0</v>
      </c>
      <c r="I599" t="s">
        <v>39</v>
      </c>
      <c r="J599" t="s">
        <v>31</v>
      </c>
      <c r="K599" t="s">
        <v>40</v>
      </c>
      <c r="L599">
        <v>3</v>
      </c>
      <c r="M599">
        <v>0</v>
      </c>
      <c r="N599">
        <v>1</v>
      </c>
      <c r="O599" t="s">
        <v>21</v>
      </c>
      <c r="P599" t="str">
        <f>TEXT(Table1[[#This Row],[order_date]],"yyyy-mm")</f>
        <v>2025-08</v>
      </c>
      <c r="Q599">
        <f>WEEKNUM(Table1[[#This Row],[order_date]])</f>
        <v>33</v>
      </c>
      <c r="R599">
        <f>IF(Table1[[#This Row],[order_status]]="completed",1,0)</f>
        <v>0</v>
      </c>
    </row>
    <row r="600" spans="1:18" x14ac:dyDescent="0.35">
      <c r="A600">
        <v>599</v>
      </c>
      <c r="B600" s="1">
        <v>46020</v>
      </c>
      <c r="C600">
        <v>1437</v>
      </c>
      <c r="D600" t="s">
        <v>41</v>
      </c>
      <c r="E600" t="s">
        <v>16</v>
      </c>
      <c r="F600" t="s">
        <v>24</v>
      </c>
      <c r="G600">
        <v>3</v>
      </c>
      <c r="H600">
        <v>0</v>
      </c>
      <c r="I600" t="s">
        <v>39</v>
      </c>
      <c r="J600" t="s">
        <v>31</v>
      </c>
      <c r="K600" t="s">
        <v>38</v>
      </c>
      <c r="L600">
        <v>6</v>
      </c>
      <c r="M600">
        <v>0</v>
      </c>
      <c r="N600">
        <v>1</v>
      </c>
      <c r="O600" t="s">
        <v>21</v>
      </c>
      <c r="P600" t="str">
        <f>TEXT(Table1[[#This Row],[order_date]],"yyyy-mm")</f>
        <v>2025-12</v>
      </c>
      <c r="Q600">
        <f>WEEKNUM(Table1[[#This Row],[order_date]])</f>
        <v>53</v>
      </c>
      <c r="R600">
        <f>IF(Table1[[#This Row],[order_status]]="completed",1,0)</f>
        <v>0</v>
      </c>
    </row>
    <row r="601" spans="1:18" x14ac:dyDescent="0.35">
      <c r="A601">
        <v>600</v>
      </c>
      <c r="B601" s="1">
        <v>45859</v>
      </c>
      <c r="C601">
        <v>1682</v>
      </c>
      <c r="D601" t="s">
        <v>28</v>
      </c>
      <c r="E601" t="s">
        <v>23</v>
      </c>
      <c r="F601" t="s">
        <v>34</v>
      </c>
      <c r="G601">
        <v>3</v>
      </c>
      <c r="H601">
        <v>0</v>
      </c>
      <c r="I601" t="s">
        <v>35</v>
      </c>
      <c r="J601" t="s">
        <v>37</v>
      </c>
      <c r="K601" t="s">
        <v>40</v>
      </c>
      <c r="L601">
        <v>1</v>
      </c>
      <c r="M601">
        <v>0</v>
      </c>
      <c r="N601">
        <v>0</v>
      </c>
      <c r="O601" t="s">
        <v>27</v>
      </c>
      <c r="P601" t="str">
        <f>TEXT(Table1[[#This Row],[order_date]],"yyyy-mm")</f>
        <v>2025-07</v>
      </c>
      <c r="Q601">
        <f>WEEKNUM(Table1[[#This Row],[order_date]])</f>
        <v>30</v>
      </c>
      <c r="R601">
        <f>IF(Table1[[#This Row],[order_status]]="completed",1,0)</f>
        <v>0</v>
      </c>
    </row>
    <row r="602" spans="1:18" x14ac:dyDescent="0.35">
      <c r="A602">
        <v>601</v>
      </c>
      <c r="B602" s="1">
        <v>45953</v>
      </c>
      <c r="C602">
        <v>1061</v>
      </c>
      <c r="D602" t="s">
        <v>32</v>
      </c>
      <c r="E602" t="s">
        <v>23</v>
      </c>
      <c r="F602" t="s">
        <v>34</v>
      </c>
      <c r="G602">
        <v>1</v>
      </c>
      <c r="H602">
        <v>0</v>
      </c>
      <c r="I602" t="s">
        <v>25</v>
      </c>
      <c r="J602" t="s">
        <v>31</v>
      </c>
      <c r="K602" t="s">
        <v>20</v>
      </c>
      <c r="L602">
        <v>5</v>
      </c>
      <c r="M602">
        <v>0</v>
      </c>
      <c r="N602">
        <v>1</v>
      </c>
      <c r="O602" t="s">
        <v>21</v>
      </c>
      <c r="P602" t="str">
        <f>TEXT(Table1[[#This Row],[order_date]],"yyyy-mm")</f>
        <v>2025-10</v>
      </c>
      <c r="Q602">
        <f>WEEKNUM(Table1[[#This Row],[order_date]])</f>
        <v>43</v>
      </c>
      <c r="R602">
        <f>IF(Table1[[#This Row],[order_status]]="completed",1,0)</f>
        <v>0</v>
      </c>
    </row>
    <row r="603" spans="1:18" x14ac:dyDescent="0.35">
      <c r="A603">
        <v>602</v>
      </c>
      <c r="B603" s="1">
        <v>45919</v>
      </c>
      <c r="C603">
        <v>1750</v>
      </c>
      <c r="D603" t="s">
        <v>41</v>
      </c>
      <c r="E603" t="s">
        <v>23</v>
      </c>
      <c r="F603" t="s">
        <v>30</v>
      </c>
      <c r="G603">
        <v>5</v>
      </c>
      <c r="H603">
        <v>3140</v>
      </c>
      <c r="I603" t="s">
        <v>39</v>
      </c>
      <c r="J603" t="s">
        <v>19</v>
      </c>
      <c r="K603" t="s">
        <v>40</v>
      </c>
      <c r="L603">
        <v>3</v>
      </c>
      <c r="M603">
        <v>0</v>
      </c>
      <c r="N603">
        <v>1</v>
      </c>
      <c r="O603" t="s">
        <v>27</v>
      </c>
      <c r="P603" t="str">
        <f>TEXT(Table1[[#This Row],[order_date]],"yyyy-mm")</f>
        <v>2025-09</v>
      </c>
      <c r="Q603">
        <f>WEEKNUM(Table1[[#This Row],[order_date]])</f>
        <v>38</v>
      </c>
      <c r="R603">
        <f>IF(Table1[[#This Row],[order_status]]="completed",1,0)</f>
        <v>1</v>
      </c>
    </row>
    <row r="604" spans="1:18" x14ac:dyDescent="0.35">
      <c r="A604">
        <v>603</v>
      </c>
      <c r="B604" s="1">
        <v>45893</v>
      </c>
      <c r="C604">
        <v>1201</v>
      </c>
      <c r="D604" t="s">
        <v>15</v>
      </c>
      <c r="E604" t="s">
        <v>33</v>
      </c>
      <c r="F604" t="s">
        <v>24</v>
      </c>
      <c r="G604">
        <v>5</v>
      </c>
      <c r="H604">
        <v>0</v>
      </c>
      <c r="I604" t="s">
        <v>35</v>
      </c>
      <c r="J604" t="s">
        <v>31</v>
      </c>
      <c r="K604" t="s">
        <v>38</v>
      </c>
      <c r="L604">
        <v>10</v>
      </c>
      <c r="M604">
        <v>0</v>
      </c>
      <c r="N604">
        <v>1</v>
      </c>
      <c r="O604" t="s">
        <v>21</v>
      </c>
      <c r="P604" t="str">
        <f>TEXT(Table1[[#This Row],[order_date]],"yyyy-mm")</f>
        <v>2025-08</v>
      </c>
      <c r="Q604">
        <f>WEEKNUM(Table1[[#This Row],[order_date]])</f>
        <v>35</v>
      </c>
      <c r="R604">
        <f>IF(Table1[[#This Row],[order_status]]="completed",1,0)</f>
        <v>0</v>
      </c>
    </row>
    <row r="605" spans="1:18" x14ac:dyDescent="0.35">
      <c r="A605">
        <v>604</v>
      </c>
      <c r="B605" s="1">
        <v>45896</v>
      </c>
      <c r="C605">
        <v>1059</v>
      </c>
      <c r="D605" t="s">
        <v>28</v>
      </c>
      <c r="E605" t="s">
        <v>23</v>
      </c>
      <c r="F605" t="s">
        <v>24</v>
      </c>
      <c r="G605">
        <v>3</v>
      </c>
      <c r="H605">
        <v>0</v>
      </c>
      <c r="I605" t="s">
        <v>35</v>
      </c>
      <c r="J605" t="s">
        <v>31</v>
      </c>
      <c r="K605" t="s">
        <v>40</v>
      </c>
      <c r="L605">
        <v>4</v>
      </c>
      <c r="M605">
        <v>0</v>
      </c>
      <c r="N605">
        <v>1</v>
      </c>
      <c r="O605" t="s">
        <v>21</v>
      </c>
      <c r="P605" t="str">
        <f>TEXT(Table1[[#This Row],[order_date]],"yyyy-mm")</f>
        <v>2025-08</v>
      </c>
      <c r="Q605">
        <f>WEEKNUM(Table1[[#This Row],[order_date]])</f>
        <v>35</v>
      </c>
      <c r="R605">
        <f>IF(Table1[[#This Row],[order_status]]="completed",1,0)</f>
        <v>0</v>
      </c>
    </row>
    <row r="606" spans="1:18" x14ac:dyDescent="0.35">
      <c r="A606">
        <v>605</v>
      </c>
      <c r="B606" s="1">
        <v>45872</v>
      </c>
      <c r="C606">
        <v>1186</v>
      </c>
      <c r="D606" t="s">
        <v>15</v>
      </c>
      <c r="E606" t="s">
        <v>33</v>
      </c>
      <c r="F606" t="s">
        <v>30</v>
      </c>
      <c r="G606">
        <v>5</v>
      </c>
      <c r="H606">
        <v>0</v>
      </c>
      <c r="I606" t="s">
        <v>35</v>
      </c>
      <c r="J606" t="s">
        <v>37</v>
      </c>
      <c r="K606" t="s">
        <v>38</v>
      </c>
      <c r="L606">
        <v>1</v>
      </c>
      <c r="M606">
        <v>0</v>
      </c>
      <c r="N606">
        <v>0</v>
      </c>
      <c r="O606" t="s">
        <v>27</v>
      </c>
      <c r="P606" t="str">
        <f>TEXT(Table1[[#This Row],[order_date]],"yyyy-mm")</f>
        <v>2025-08</v>
      </c>
      <c r="Q606">
        <f>WEEKNUM(Table1[[#This Row],[order_date]])</f>
        <v>32</v>
      </c>
      <c r="R606">
        <f>IF(Table1[[#This Row],[order_status]]="completed",1,0)</f>
        <v>0</v>
      </c>
    </row>
    <row r="607" spans="1:18" x14ac:dyDescent="0.35">
      <c r="A607">
        <v>606</v>
      </c>
      <c r="B607" s="1">
        <v>45994</v>
      </c>
      <c r="C607">
        <v>1320</v>
      </c>
      <c r="D607" t="s">
        <v>15</v>
      </c>
      <c r="E607" t="s">
        <v>36</v>
      </c>
      <c r="F607" t="s">
        <v>34</v>
      </c>
      <c r="G607">
        <v>5</v>
      </c>
      <c r="H607">
        <v>0</v>
      </c>
      <c r="I607" t="s">
        <v>25</v>
      </c>
      <c r="J607" t="s">
        <v>31</v>
      </c>
      <c r="K607" t="s">
        <v>38</v>
      </c>
      <c r="L607">
        <v>6</v>
      </c>
      <c r="M607">
        <v>0</v>
      </c>
      <c r="N607">
        <v>1</v>
      </c>
      <c r="O607" t="s">
        <v>21</v>
      </c>
      <c r="P607" t="str">
        <f>TEXT(Table1[[#This Row],[order_date]],"yyyy-mm")</f>
        <v>2025-12</v>
      </c>
      <c r="Q607">
        <f>WEEKNUM(Table1[[#This Row],[order_date]])</f>
        <v>49</v>
      </c>
      <c r="R607">
        <f>IF(Table1[[#This Row],[order_status]]="completed",1,0)</f>
        <v>0</v>
      </c>
    </row>
    <row r="608" spans="1:18" x14ac:dyDescent="0.35">
      <c r="A608">
        <v>607</v>
      </c>
      <c r="B608" s="1">
        <v>45891</v>
      </c>
      <c r="C608">
        <v>1414</v>
      </c>
      <c r="D608" t="s">
        <v>28</v>
      </c>
      <c r="E608" t="s">
        <v>29</v>
      </c>
      <c r="F608" t="s">
        <v>30</v>
      </c>
      <c r="G608">
        <v>1</v>
      </c>
      <c r="H608">
        <v>3691</v>
      </c>
      <c r="I608" t="s">
        <v>25</v>
      </c>
      <c r="J608" t="s">
        <v>19</v>
      </c>
      <c r="K608" t="s">
        <v>26</v>
      </c>
      <c r="L608">
        <v>1</v>
      </c>
      <c r="M608">
        <v>1</v>
      </c>
      <c r="N608">
        <v>0</v>
      </c>
      <c r="O608" t="s">
        <v>21</v>
      </c>
      <c r="P608" t="str">
        <f>TEXT(Table1[[#This Row],[order_date]],"yyyy-mm")</f>
        <v>2025-08</v>
      </c>
      <c r="Q608">
        <f>WEEKNUM(Table1[[#This Row],[order_date]])</f>
        <v>34</v>
      </c>
      <c r="R608">
        <f>IF(Table1[[#This Row],[order_status]]="completed",1,0)</f>
        <v>1</v>
      </c>
    </row>
    <row r="609" spans="1:18" x14ac:dyDescent="0.35">
      <c r="A609">
        <v>608</v>
      </c>
      <c r="B609" s="1">
        <v>45964</v>
      </c>
      <c r="C609">
        <v>1342</v>
      </c>
      <c r="D609" t="s">
        <v>32</v>
      </c>
      <c r="E609" t="s">
        <v>33</v>
      </c>
      <c r="F609" t="s">
        <v>17</v>
      </c>
      <c r="G609">
        <v>5</v>
      </c>
      <c r="H609">
        <v>0</v>
      </c>
      <c r="I609" t="s">
        <v>25</v>
      </c>
      <c r="J609" t="s">
        <v>37</v>
      </c>
      <c r="K609" t="s">
        <v>20</v>
      </c>
      <c r="L609">
        <v>8</v>
      </c>
      <c r="M609">
        <v>1</v>
      </c>
      <c r="N609">
        <v>0</v>
      </c>
      <c r="O609" t="s">
        <v>21</v>
      </c>
      <c r="P609" t="str">
        <f>TEXT(Table1[[#This Row],[order_date]],"yyyy-mm")</f>
        <v>2025-11</v>
      </c>
      <c r="Q609">
        <f>WEEKNUM(Table1[[#This Row],[order_date]])</f>
        <v>45</v>
      </c>
      <c r="R609">
        <f>IF(Table1[[#This Row],[order_status]]="completed",1,0)</f>
        <v>0</v>
      </c>
    </row>
    <row r="610" spans="1:18" x14ac:dyDescent="0.35">
      <c r="A610">
        <v>609</v>
      </c>
      <c r="B610" s="1">
        <v>45905</v>
      </c>
      <c r="C610">
        <v>1953</v>
      </c>
      <c r="D610" t="s">
        <v>22</v>
      </c>
      <c r="E610" t="s">
        <v>36</v>
      </c>
      <c r="F610" t="s">
        <v>24</v>
      </c>
      <c r="G610">
        <v>1</v>
      </c>
      <c r="H610">
        <v>0</v>
      </c>
      <c r="I610" t="s">
        <v>35</v>
      </c>
      <c r="J610" t="s">
        <v>37</v>
      </c>
      <c r="K610" t="s">
        <v>38</v>
      </c>
      <c r="L610">
        <v>4</v>
      </c>
      <c r="M610">
        <v>0</v>
      </c>
      <c r="N610">
        <v>1</v>
      </c>
      <c r="O610" t="s">
        <v>21</v>
      </c>
      <c r="P610" t="str">
        <f>TEXT(Table1[[#This Row],[order_date]],"yyyy-mm")</f>
        <v>2025-09</v>
      </c>
      <c r="Q610">
        <f>WEEKNUM(Table1[[#This Row],[order_date]])</f>
        <v>36</v>
      </c>
      <c r="R610">
        <f>IF(Table1[[#This Row],[order_status]]="completed",1,0)</f>
        <v>0</v>
      </c>
    </row>
    <row r="611" spans="1:18" x14ac:dyDescent="0.35">
      <c r="A611">
        <v>610</v>
      </c>
      <c r="B611" s="1">
        <v>45977</v>
      </c>
      <c r="C611">
        <v>1862</v>
      </c>
      <c r="D611" t="s">
        <v>22</v>
      </c>
      <c r="E611" t="s">
        <v>23</v>
      </c>
      <c r="F611" t="s">
        <v>30</v>
      </c>
      <c r="G611">
        <v>5</v>
      </c>
      <c r="H611">
        <v>1255</v>
      </c>
      <c r="I611" t="s">
        <v>35</v>
      </c>
      <c r="J611" t="s">
        <v>19</v>
      </c>
      <c r="K611" t="s">
        <v>26</v>
      </c>
      <c r="L611">
        <v>5</v>
      </c>
      <c r="M611">
        <v>0</v>
      </c>
      <c r="N611">
        <v>0</v>
      </c>
      <c r="O611" t="s">
        <v>21</v>
      </c>
      <c r="P611" t="str">
        <f>TEXT(Table1[[#This Row],[order_date]],"yyyy-mm")</f>
        <v>2025-11</v>
      </c>
      <c r="Q611">
        <f>WEEKNUM(Table1[[#This Row],[order_date]])</f>
        <v>47</v>
      </c>
      <c r="R611">
        <f>IF(Table1[[#This Row],[order_status]]="completed",1,0)</f>
        <v>1</v>
      </c>
    </row>
    <row r="612" spans="1:18" x14ac:dyDescent="0.35">
      <c r="A612">
        <v>611</v>
      </c>
      <c r="B612" s="1">
        <v>45958</v>
      </c>
      <c r="C612">
        <v>1501</v>
      </c>
      <c r="D612" t="s">
        <v>22</v>
      </c>
      <c r="E612" t="s">
        <v>36</v>
      </c>
      <c r="F612" t="s">
        <v>24</v>
      </c>
      <c r="G612">
        <v>5</v>
      </c>
      <c r="H612">
        <v>0</v>
      </c>
      <c r="I612" t="s">
        <v>35</v>
      </c>
      <c r="J612" t="s">
        <v>31</v>
      </c>
      <c r="K612" t="s">
        <v>40</v>
      </c>
      <c r="L612">
        <v>9</v>
      </c>
      <c r="M612">
        <v>1</v>
      </c>
      <c r="N612">
        <v>1</v>
      </c>
      <c r="O612" t="s">
        <v>27</v>
      </c>
      <c r="P612" t="str">
        <f>TEXT(Table1[[#This Row],[order_date]],"yyyy-mm")</f>
        <v>2025-10</v>
      </c>
      <c r="Q612">
        <f>WEEKNUM(Table1[[#This Row],[order_date]])</f>
        <v>44</v>
      </c>
      <c r="R612">
        <f>IF(Table1[[#This Row],[order_status]]="completed",1,0)</f>
        <v>0</v>
      </c>
    </row>
    <row r="613" spans="1:18" x14ac:dyDescent="0.35">
      <c r="A613">
        <v>612</v>
      </c>
      <c r="B613" s="1">
        <v>45931</v>
      </c>
      <c r="C613">
        <v>1029</v>
      </c>
      <c r="D613" t="s">
        <v>32</v>
      </c>
      <c r="E613" t="s">
        <v>33</v>
      </c>
      <c r="F613" t="s">
        <v>17</v>
      </c>
      <c r="G613">
        <v>1</v>
      </c>
      <c r="H613">
        <v>2069</v>
      </c>
      <c r="I613" t="s">
        <v>25</v>
      </c>
      <c r="J613" t="s">
        <v>19</v>
      </c>
      <c r="K613" t="s">
        <v>26</v>
      </c>
      <c r="L613">
        <v>9</v>
      </c>
      <c r="M613">
        <v>1</v>
      </c>
      <c r="N613">
        <v>0</v>
      </c>
      <c r="O613" t="s">
        <v>21</v>
      </c>
      <c r="P613" t="str">
        <f>TEXT(Table1[[#This Row],[order_date]],"yyyy-mm")</f>
        <v>2025-10</v>
      </c>
      <c r="Q613">
        <f>WEEKNUM(Table1[[#This Row],[order_date]])</f>
        <v>40</v>
      </c>
      <c r="R613">
        <f>IF(Table1[[#This Row],[order_status]]="completed",1,0)</f>
        <v>1</v>
      </c>
    </row>
    <row r="614" spans="1:18" x14ac:dyDescent="0.35">
      <c r="A614">
        <v>613</v>
      </c>
      <c r="B614" s="1">
        <v>45867</v>
      </c>
      <c r="C614">
        <v>1211</v>
      </c>
      <c r="D614" t="s">
        <v>28</v>
      </c>
      <c r="E614" t="s">
        <v>23</v>
      </c>
      <c r="F614" t="s">
        <v>24</v>
      </c>
      <c r="G614">
        <v>5</v>
      </c>
      <c r="H614">
        <v>0</v>
      </c>
      <c r="I614" t="s">
        <v>35</v>
      </c>
      <c r="J614" t="s">
        <v>37</v>
      </c>
      <c r="K614" t="s">
        <v>40</v>
      </c>
      <c r="L614">
        <v>9</v>
      </c>
      <c r="M614">
        <v>0</v>
      </c>
      <c r="N614">
        <v>1</v>
      </c>
      <c r="O614" t="s">
        <v>27</v>
      </c>
      <c r="P614" t="str">
        <f>TEXT(Table1[[#This Row],[order_date]],"yyyy-mm")</f>
        <v>2025-07</v>
      </c>
      <c r="Q614">
        <f>WEEKNUM(Table1[[#This Row],[order_date]])</f>
        <v>31</v>
      </c>
      <c r="R614">
        <f>IF(Table1[[#This Row],[order_status]]="completed",1,0)</f>
        <v>0</v>
      </c>
    </row>
    <row r="615" spans="1:18" x14ac:dyDescent="0.35">
      <c r="A615">
        <v>614</v>
      </c>
      <c r="B615" s="1">
        <v>45924</v>
      </c>
      <c r="C615">
        <v>1974</v>
      </c>
      <c r="D615" t="s">
        <v>41</v>
      </c>
      <c r="E615" t="s">
        <v>16</v>
      </c>
      <c r="F615" t="s">
        <v>24</v>
      </c>
      <c r="G615">
        <v>1</v>
      </c>
      <c r="H615">
        <v>0</v>
      </c>
      <c r="I615" t="s">
        <v>18</v>
      </c>
      <c r="J615" t="s">
        <v>31</v>
      </c>
      <c r="K615" t="s">
        <v>40</v>
      </c>
      <c r="L615">
        <v>9</v>
      </c>
      <c r="M615">
        <v>0</v>
      </c>
      <c r="N615">
        <v>1</v>
      </c>
      <c r="O615" t="s">
        <v>21</v>
      </c>
      <c r="P615" t="str">
        <f>TEXT(Table1[[#This Row],[order_date]],"yyyy-mm")</f>
        <v>2025-09</v>
      </c>
      <c r="Q615">
        <f>WEEKNUM(Table1[[#This Row],[order_date]])</f>
        <v>39</v>
      </c>
      <c r="R615">
        <f>IF(Table1[[#This Row],[order_status]]="completed",1,0)</f>
        <v>0</v>
      </c>
    </row>
    <row r="616" spans="1:18" x14ac:dyDescent="0.35">
      <c r="A616">
        <v>615</v>
      </c>
      <c r="B616" s="1">
        <v>45961</v>
      </c>
      <c r="C616">
        <v>1977</v>
      </c>
      <c r="D616" t="s">
        <v>15</v>
      </c>
      <c r="E616" t="s">
        <v>29</v>
      </c>
      <c r="F616" t="s">
        <v>17</v>
      </c>
      <c r="G616">
        <v>4</v>
      </c>
      <c r="H616">
        <v>9968</v>
      </c>
      <c r="I616" t="s">
        <v>39</v>
      </c>
      <c r="J616" t="s">
        <v>19</v>
      </c>
      <c r="K616" t="s">
        <v>26</v>
      </c>
      <c r="L616">
        <v>5</v>
      </c>
      <c r="M616">
        <v>0</v>
      </c>
      <c r="N616">
        <v>0</v>
      </c>
      <c r="O616" t="s">
        <v>21</v>
      </c>
      <c r="P616" t="str">
        <f>TEXT(Table1[[#This Row],[order_date]],"yyyy-mm")</f>
        <v>2025-10</v>
      </c>
      <c r="Q616">
        <f>WEEKNUM(Table1[[#This Row],[order_date]])</f>
        <v>44</v>
      </c>
      <c r="R616">
        <f>IF(Table1[[#This Row],[order_status]]="completed",1,0)</f>
        <v>1</v>
      </c>
    </row>
    <row r="617" spans="1:18" x14ac:dyDescent="0.35">
      <c r="A617">
        <v>616</v>
      </c>
      <c r="B617" s="1">
        <v>45905</v>
      </c>
      <c r="C617">
        <v>1833</v>
      </c>
      <c r="D617" t="s">
        <v>22</v>
      </c>
      <c r="E617" t="s">
        <v>16</v>
      </c>
      <c r="F617" t="s">
        <v>34</v>
      </c>
      <c r="G617">
        <v>4</v>
      </c>
      <c r="H617">
        <v>0</v>
      </c>
      <c r="I617" t="s">
        <v>18</v>
      </c>
      <c r="J617" t="s">
        <v>37</v>
      </c>
      <c r="K617" t="s">
        <v>20</v>
      </c>
      <c r="L617">
        <v>6</v>
      </c>
      <c r="M617">
        <v>1</v>
      </c>
      <c r="N617">
        <v>1</v>
      </c>
      <c r="O617" t="s">
        <v>21</v>
      </c>
      <c r="P617" t="str">
        <f>TEXT(Table1[[#This Row],[order_date]],"yyyy-mm")</f>
        <v>2025-09</v>
      </c>
      <c r="Q617">
        <f>WEEKNUM(Table1[[#This Row],[order_date]])</f>
        <v>36</v>
      </c>
      <c r="R617">
        <f>IF(Table1[[#This Row],[order_status]]="completed",1,0)</f>
        <v>0</v>
      </c>
    </row>
    <row r="618" spans="1:18" x14ac:dyDescent="0.35">
      <c r="A618">
        <v>617</v>
      </c>
      <c r="B618" s="1">
        <v>45976</v>
      </c>
      <c r="C618">
        <v>1666</v>
      </c>
      <c r="D618" t="s">
        <v>28</v>
      </c>
      <c r="E618" t="s">
        <v>33</v>
      </c>
      <c r="F618" t="s">
        <v>34</v>
      </c>
      <c r="G618">
        <v>4</v>
      </c>
      <c r="H618">
        <v>0</v>
      </c>
      <c r="I618" t="s">
        <v>25</v>
      </c>
      <c r="J618" t="s">
        <v>31</v>
      </c>
      <c r="K618" t="s">
        <v>38</v>
      </c>
      <c r="L618">
        <v>3</v>
      </c>
      <c r="M618">
        <v>1</v>
      </c>
      <c r="N618">
        <v>1</v>
      </c>
      <c r="O618" t="s">
        <v>27</v>
      </c>
      <c r="P618" t="str">
        <f>TEXT(Table1[[#This Row],[order_date]],"yyyy-mm")</f>
        <v>2025-11</v>
      </c>
      <c r="Q618">
        <f>WEEKNUM(Table1[[#This Row],[order_date]])</f>
        <v>46</v>
      </c>
      <c r="R618">
        <f>IF(Table1[[#This Row],[order_status]]="completed",1,0)</f>
        <v>0</v>
      </c>
    </row>
    <row r="619" spans="1:18" x14ac:dyDescent="0.35">
      <c r="A619">
        <v>618</v>
      </c>
      <c r="B619" s="1">
        <v>45880</v>
      </c>
      <c r="C619">
        <v>1932</v>
      </c>
      <c r="D619" t="s">
        <v>28</v>
      </c>
      <c r="E619" t="s">
        <v>23</v>
      </c>
      <c r="F619" t="s">
        <v>34</v>
      </c>
      <c r="G619">
        <v>5</v>
      </c>
      <c r="H619">
        <v>20645</v>
      </c>
      <c r="I619" t="s">
        <v>18</v>
      </c>
      <c r="J619" t="s">
        <v>19</v>
      </c>
      <c r="K619" t="s">
        <v>26</v>
      </c>
      <c r="L619">
        <v>8</v>
      </c>
      <c r="M619">
        <v>0</v>
      </c>
      <c r="N619">
        <v>0</v>
      </c>
      <c r="O619" t="s">
        <v>27</v>
      </c>
      <c r="P619" t="str">
        <f>TEXT(Table1[[#This Row],[order_date]],"yyyy-mm")</f>
        <v>2025-08</v>
      </c>
      <c r="Q619">
        <f>WEEKNUM(Table1[[#This Row],[order_date]])</f>
        <v>33</v>
      </c>
      <c r="R619">
        <f>IF(Table1[[#This Row],[order_status]]="completed",1,0)</f>
        <v>1</v>
      </c>
    </row>
    <row r="620" spans="1:18" x14ac:dyDescent="0.35">
      <c r="A620">
        <v>619</v>
      </c>
      <c r="B620" s="1">
        <v>46010</v>
      </c>
      <c r="C620">
        <v>1517</v>
      </c>
      <c r="D620" t="s">
        <v>41</v>
      </c>
      <c r="E620" t="s">
        <v>33</v>
      </c>
      <c r="F620" t="s">
        <v>30</v>
      </c>
      <c r="G620">
        <v>2</v>
      </c>
      <c r="H620">
        <v>6124</v>
      </c>
      <c r="I620" t="s">
        <v>25</v>
      </c>
      <c r="J620" t="s">
        <v>19</v>
      </c>
      <c r="K620" t="s">
        <v>38</v>
      </c>
      <c r="L620">
        <v>9</v>
      </c>
      <c r="M620">
        <v>0</v>
      </c>
      <c r="N620">
        <v>1</v>
      </c>
      <c r="O620" t="s">
        <v>27</v>
      </c>
      <c r="P620" t="str">
        <f>TEXT(Table1[[#This Row],[order_date]],"yyyy-mm")</f>
        <v>2025-12</v>
      </c>
      <c r="Q620">
        <f>WEEKNUM(Table1[[#This Row],[order_date]])</f>
        <v>51</v>
      </c>
      <c r="R620">
        <f>IF(Table1[[#This Row],[order_status]]="completed",1,0)</f>
        <v>1</v>
      </c>
    </row>
    <row r="621" spans="1:18" x14ac:dyDescent="0.35">
      <c r="A621">
        <v>620</v>
      </c>
      <c r="B621" s="1">
        <v>45929</v>
      </c>
      <c r="C621">
        <v>1614</v>
      </c>
      <c r="D621" t="s">
        <v>15</v>
      </c>
      <c r="E621" t="s">
        <v>23</v>
      </c>
      <c r="F621" t="s">
        <v>17</v>
      </c>
      <c r="G621">
        <v>4</v>
      </c>
      <c r="H621">
        <v>0</v>
      </c>
      <c r="I621" t="s">
        <v>18</v>
      </c>
      <c r="J621" t="s">
        <v>37</v>
      </c>
      <c r="K621" t="s">
        <v>38</v>
      </c>
      <c r="L621">
        <v>10</v>
      </c>
      <c r="M621">
        <v>1</v>
      </c>
      <c r="N621">
        <v>1</v>
      </c>
      <c r="O621" t="s">
        <v>27</v>
      </c>
      <c r="P621" t="str">
        <f>TEXT(Table1[[#This Row],[order_date]],"yyyy-mm")</f>
        <v>2025-09</v>
      </c>
      <c r="Q621">
        <f>WEEKNUM(Table1[[#This Row],[order_date]])</f>
        <v>40</v>
      </c>
      <c r="R621">
        <f>IF(Table1[[#This Row],[order_status]]="completed",1,0)</f>
        <v>0</v>
      </c>
    </row>
    <row r="622" spans="1:18" x14ac:dyDescent="0.35">
      <c r="A622">
        <v>621</v>
      </c>
      <c r="B622" s="1">
        <v>45904</v>
      </c>
      <c r="C622">
        <v>1136</v>
      </c>
      <c r="D622" t="s">
        <v>22</v>
      </c>
      <c r="E622" t="s">
        <v>33</v>
      </c>
      <c r="F622" t="s">
        <v>34</v>
      </c>
      <c r="G622">
        <v>4</v>
      </c>
      <c r="H622">
        <v>0</v>
      </c>
      <c r="I622" t="s">
        <v>39</v>
      </c>
      <c r="J622" t="s">
        <v>37</v>
      </c>
      <c r="K622" t="s">
        <v>20</v>
      </c>
      <c r="L622">
        <v>10</v>
      </c>
      <c r="M622">
        <v>0</v>
      </c>
      <c r="N622">
        <v>0</v>
      </c>
      <c r="O622" t="s">
        <v>27</v>
      </c>
      <c r="P622" t="str">
        <f>TEXT(Table1[[#This Row],[order_date]],"yyyy-mm")</f>
        <v>2025-09</v>
      </c>
      <c r="Q622">
        <f>WEEKNUM(Table1[[#This Row],[order_date]])</f>
        <v>36</v>
      </c>
      <c r="R622">
        <f>IF(Table1[[#This Row],[order_status]]="completed",1,0)</f>
        <v>0</v>
      </c>
    </row>
    <row r="623" spans="1:18" x14ac:dyDescent="0.35">
      <c r="A623">
        <v>622</v>
      </c>
      <c r="B623" s="1">
        <v>45910</v>
      </c>
      <c r="C623">
        <v>1923</v>
      </c>
      <c r="D623" t="s">
        <v>15</v>
      </c>
      <c r="E623" t="s">
        <v>29</v>
      </c>
      <c r="F623" t="s">
        <v>30</v>
      </c>
      <c r="G623">
        <v>1</v>
      </c>
      <c r="H623">
        <v>3151</v>
      </c>
      <c r="I623" t="s">
        <v>18</v>
      </c>
      <c r="J623" t="s">
        <v>19</v>
      </c>
      <c r="K623" t="s">
        <v>40</v>
      </c>
      <c r="L623">
        <v>10</v>
      </c>
      <c r="M623">
        <v>0</v>
      </c>
      <c r="N623">
        <v>0</v>
      </c>
      <c r="O623" t="s">
        <v>27</v>
      </c>
      <c r="P623" t="str">
        <f>TEXT(Table1[[#This Row],[order_date]],"yyyy-mm")</f>
        <v>2025-09</v>
      </c>
      <c r="Q623">
        <f>WEEKNUM(Table1[[#This Row],[order_date]])</f>
        <v>37</v>
      </c>
      <c r="R623">
        <f>IF(Table1[[#This Row],[order_status]]="completed",1,0)</f>
        <v>1</v>
      </c>
    </row>
    <row r="624" spans="1:18" x14ac:dyDescent="0.35">
      <c r="A624">
        <v>623</v>
      </c>
      <c r="B624" s="1">
        <v>46008</v>
      </c>
      <c r="C624">
        <v>1975</v>
      </c>
      <c r="D624" t="s">
        <v>32</v>
      </c>
      <c r="E624" t="s">
        <v>16</v>
      </c>
      <c r="F624" t="s">
        <v>34</v>
      </c>
      <c r="G624">
        <v>2</v>
      </c>
      <c r="H624">
        <v>0</v>
      </c>
      <c r="I624" t="s">
        <v>25</v>
      </c>
      <c r="J624" t="s">
        <v>37</v>
      </c>
      <c r="K624" t="s">
        <v>20</v>
      </c>
      <c r="L624">
        <v>10</v>
      </c>
      <c r="M624">
        <v>0</v>
      </c>
      <c r="N624">
        <v>0</v>
      </c>
      <c r="O624" t="s">
        <v>21</v>
      </c>
      <c r="P624" t="str">
        <f>TEXT(Table1[[#This Row],[order_date]],"yyyy-mm")</f>
        <v>2025-12</v>
      </c>
      <c r="Q624">
        <f>WEEKNUM(Table1[[#This Row],[order_date]])</f>
        <v>51</v>
      </c>
      <c r="R624">
        <f>IF(Table1[[#This Row],[order_status]]="completed",1,0)</f>
        <v>0</v>
      </c>
    </row>
    <row r="625" spans="1:18" x14ac:dyDescent="0.35">
      <c r="A625">
        <v>624</v>
      </c>
      <c r="B625" s="1">
        <v>45892</v>
      </c>
      <c r="C625">
        <v>1139</v>
      </c>
      <c r="D625" t="s">
        <v>22</v>
      </c>
      <c r="E625" t="s">
        <v>23</v>
      </c>
      <c r="F625" t="s">
        <v>34</v>
      </c>
      <c r="G625">
        <v>3</v>
      </c>
      <c r="H625">
        <v>0</v>
      </c>
      <c r="I625" t="s">
        <v>18</v>
      </c>
      <c r="J625" t="s">
        <v>37</v>
      </c>
      <c r="K625" t="s">
        <v>38</v>
      </c>
      <c r="L625">
        <v>4</v>
      </c>
      <c r="M625">
        <v>1</v>
      </c>
      <c r="N625">
        <v>0</v>
      </c>
      <c r="O625" t="s">
        <v>21</v>
      </c>
      <c r="P625" t="str">
        <f>TEXT(Table1[[#This Row],[order_date]],"yyyy-mm")</f>
        <v>2025-08</v>
      </c>
      <c r="Q625">
        <f>WEEKNUM(Table1[[#This Row],[order_date]])</f>
        <v>34</v>
      </c>
      <c r="R625">
        <f>IF(Table1[[#This Row],[order_status]]="completed",1,0)</f>
        <v>0</v>
      </c>
    </row>
    <row r="626" spans="1:18" x14ac:dyDescent="0.35">
      <c r="A626">
        <v>625</v>
      </c>
      <c r="B626" s="1">
        <v>45950</v>
      </c>
      <c r="C626">
        <v>1824</v>
      </c>
      <c r="D626" t="s">
        <v>15</v>
      </c>
      <c r="E626" t="s">
        <v>33</v>
      </c>
      <c r="F626" t="s">
        <v>30</v>
      </c>
      <c r="G626">
        <v>5</v>
      </c>
      <c r="H626">
        <v>0</v>
      </c>
      <c r="I626" t="s">
        <v>18</v>
      </c>
      <c r="J626" t="s">
        <v>31</v>
      </c>
      <c r="K626" t="s">
        <v>20</v>
      </c>
      <c r="L626">
        <v>1</v>
      </c>
      <c r="M626">
        <v>0</v>
      </c>
      <c r="N626">
        <v>0</v>
      </c>
      <c r="O626" t="s">
        <v>27</v>
      </c>
      <c r="P626" t="str">
        <f>TEXT(Table1[[#This Row],[order_date]],"yyyy-mm")</f>
        <v>2025-10</v>
      </c>
      <c r="Q626">
        <f>WEEKNUM(Table1[[#This Row],[order_date]])</f>
        <v>43</v>
      </c>
      <c r="R626">
        <f>IF(Table1[[#This Row],[order_status]]="completed",1,0)</f>
        <v>0</v>
      </c>
    </row>
    <row r="627" spans="1:18" x14ac:dyDescent="0.35">
      <c r="A627">
        <v>626</v>
      </c>
      <c r="B627" s="1">
        <v>45855</v>
      </c>
      <c r="C627">
        <v>1381</v>
      </c>
      <c r="D627" t="s">
        <v>15</v>
      </c>
      <c r="E627" t="s">
        <v>29</v>
      </c>
      <c r="F627" t="s">
        <v>17</v>
      </c>
      <c r="G627">
        <v>1</v>
      </c>
      <c r="H627">
        <v>3606</v>
      </c>
      <c r="I627" t="s">
        <v>25</v>
      </c>
      <c r="J627" t="s">
        <v>19</v>
      </c>
      <c r="K627" t="s">
        <v>26</v>
      </c>
      <c r="L627">
        <v>6</v>
      </c>
      <c r="M627">
        <v>1</v>
      </c>
      <c r="N627">
        <v>1</v>
      </c>
      <c r="O627" t="s">
        <v>21</v>
      </c>
      <c r="P627" t="str">
        <f>TEXT(Table1[[#This Row],[order_date]],"yyyy-mm")</f>
        <v>2025-07</v>
      </c>
      <c r="Q627">
        <f>WEEKNUM(Table1[[#This Row],[order_date]])</f>
        <v>29</v>
      </c>
      <c r="R627">
        <f>IF(Table1[[#This Row],[order_status]]="completed",1,0)</f>
        <v>1</v>
      </c>
    </row>
    <row r="628" spans="1:18" x14ac:dyDescent="0.35">
      <c r="A628">
        <v>627</v>
      </c>
      <c r="B628" s="1">
        <v>46009</v>
      </c>
      <c r="C628">
        <v>1998</v>
      </c>
      <c r="D628" t="s">
        <v>41</v>
      </c>
      <c r="E628" t="s">
        <v>23</v>
      </c>
      <c r="F628" t="s">
        <v>30</v>
      </c>
      <c r="G628">
        <v>4</v>
      </c>
      <c r="H628">
        <v>14336</v>
      </c>
      <c r="I628" t="s">
        <v>25</v>
      </c>
      <c r="J628" t="s">
        <v>19</v>
      </c>
      <c r="K628" t="s">
        <v>26</v>
      </c>
      <c r="L628">
        <v>8</v>
      </c>
      <c r="M628">
        <v>0</v>
      </c>
      <c r="N628">
        <v>1</v>
      </c>
      <c r="O628" t="s">
        <v>21</v>
      </c>
      <c r="P628" t="str">
        <f>TEXT(Table1[[#This Row],[order_date]],"yyyy-mm")</f>
        <v>2025-12</v>
      </c>
      <c r="Q628">
        <f>WEEKNUM(Table1[[#This Row],[order_date]])</f>
        <v>51</v>
      </c>
      <c r="R628">
        <f>IF(Table1[[#This Row],[order_status]]="completed",1,0)</f>
        <v>1</v>
      </c>
    </row>
    <row r="629" spans="1:18" x14ac:dyDescent="0.35">
      <c r="A629">
        <v>628</v>
      </c>
      <c r="B629" s="1">
        <v>45857</v>
      </c>
      <c r="C629">
        <v>1423</v>
      </c>
      <c r="D629" t="s">
        <v>22</v>
      </c>
      <c r="E629" t="s">
        <v>29</v>
      </c>
      <c r="F629" t="s">
        <v>17</v>
      </c>
      <c r="G629">
        <v>3</v>
      </c>
      <c r="H629">
        <v>8736</v>
      </c>
      <c r="I629" t="s">
        <v>39</v>
      </c>
      <c r="J629" t="s">
        <v>19</v>
      </c>
      <c r="K629" t="s">
        <v>20</v>
      </c>
      <c r="L629">
        <v>2</v>
      </c>
      <c r="M629">
        <v>1</v>
      </c>
      <c r="N629">
        <v>1</v>
      </c>
      <c r="O629" t="s">
        <v>21</v>
      </c>
      <c r="P629" t="str">
        <f>TEXT(Table1[[#This Row],[order_date]],"yyyy-mm")</f>
        <v>2025-07</v>
      </c>
      <c r="Q629">
        <f>WEEKNUM(Table1[[#This Row],[order_date]])</f>
        <v>29</v>
      </c>
      <c r="R629">
        <f>IF(Table1[[#This Row],[order_status]]="completed",1,0)</f>
        <v>1</v>
      </c>
    </row>
    <row r="630" spans="1:18" x14ac:dyDescent="0.35">
      <c r="A630">
        <v>629</v>
      </c>
      <c r="B630" s="1">
        <v>45975</v>
      </c>
      <c r="C630">
        <v>1924</v>
      </c>
      <c r="D630" t="s">
        <v>41</v>
      </c>
      <c r="E630" t="s">
        <v>36</v>
      </c>
      <c r="F630" t="s">
        <v>34</v>
      </c>
      <c r="G630">
        <v>5</v>
      </c>
      <c r="H630">
        <v>2230</v>
      </c>
      <c r="I630" t="s">
        <v>39</v>
      </c>
      <c r="J630" t="s">
        <v>19</v>
      </c>
      <c r="K630" t="s">
        <v>40</v>
      </c>
      <c r="L630">
        <v>4</v>
      </c>
      <c r="M630">
        <v>0</v>
      </c>
      <c r="N630">
        <v>1</v>
      </c>
      <c r="O630" t="s">
        <v>27</v>
      </c>
      <c r="P630" t="str">
        <f>TEXT(Table1[[#This Row],[order_date]],"yyyy-mm")</f>
        <v>2025-11</v>
      </c>
      <c r="Q630">
        <f>WEEKNUM(Table1[[#This Row],[order_date]])</f>
        <v>46</v>
      </c>
      <c r="R630">
        <f>IF(Table1[[#This Row],[order_status]]="completed",1,0)</f>
        <v>1</v>
      </c>
    </row>
    <row r="631" spans="1:18" x14ac:dyDescent="0.35">
      <c r="A631">
        <v>630</v>
      </c>
      <c r="B631" s="1">
        <v>45999</v>
      </c>
      <c r="C631">
        <v>1493</v>
      </c>
      <c r="D631" t="s">
        <v>28</v>
      </c>
      <c r="E631" t="s">
        <v>33</v>
      </c>
      <c r="F631" t="s">
        <v>24</v>
      </c>
      <c r="G631">
        <v>3</v>
      </c>
      <c r="H631">
        <v>13452</v>
      </c>
      <c r="I631" t="s">
        <v>39</v>
      </c>
      <c r="J631" t="s">
        <v>19</v>
      </c>
      <c r="K631" t="s">
        <v>40</v>
      </c>
      <c r="L631">
        <v>8</v>
      </c>
      <c r="M631">
        <v>0</v>
      </c>
      <c r="N631">
        <v>1</v>
      </c>
      <c r="O631" t="s">
        <v>21</v>
      </c>
      <c r="P631" t="str">
        <f>TEXT(Table1[[#This Row],[order_date]],"yyyy-mm")</f>
        <v>2025-12</v>
      </c>
      <c r="Q631">
        <f>WEEKNUM(Table1[[#This Row],[order_date]])</f>
        <v>50</v>
      </c>
      <c r="R631">
        <f>IF(Table1[[#This Row],[order_status]]="completed",1,0)</f>
        <v>1</v>
      </c>
    </row>
    <row r="632" spans="1:18" x14ac:dyDescent="0.35">
      <c r="A632">
        <v>631</v>
      </c>
      <c r="B632" s="1">
        <v>45912</v>
      </c>
      <c r="C632">
        <v>1827</v>
      </c>
      <c r="D632" t="s">
        <v>28</v>
      </c>
      <c r="E632" t="s">
        <v>29</v>
      </c>
      <c r="F632" t="s">
        <v>17</v>
      </c>
      <c r="G632">
        <v>4</v>
      </c>
      <c r="H632">
        <v>0</v>
      </c>
      <c r="I632" t="s">
        <v>39</v>
      </c>
      <c r="J632" t="s">
        <v>37</v>
      </c>
      <c r="K632" t="s">
        <v>38</v>
      </c>
      <c r="L632">
        <v>6</v>
      </c>
      <c r="M632">
        <v>1</v>
      </c>
      <c r="N632">
        <v>0</v>
      </c>
      <c r="O632" t="s">
        <v>27</v>
      </c>
      <c r="P632" t="str">
        <f>TEXT(Table1[[#This Row],[order_date]],"yyyy-mm")</f>
        <v>2025-09</v>
      </c>
      <c r="Q632">
        <f>WEEKNUM(Table1[[#This Row],[order_date]])</f>
        <v>37</v>
      </c>
      <c r="R632">
        <f>IF(Table1[[#This Row],[order_status]]="completed",1,0)</f>
        <v>0</v>
      </c>
    </row>
    <row r="633" spans="1:18" x14ac:dyDescent="0.35">
      <c r="A633">
        <v>632</v>
      </c>
      <c r="B633" s="1">
        <v>45860</v>
      </c>
      <c r="C633">
        <v>1982</v>
      </c>
      <c r="D633" t="s">
        <v>15</v>
      </c>
      <c r="E633" t="s">
        <v>33</v>
      </c>
      <c r="F633" t="s">
        <v>34</v>
      </c>
      <c r="G633">
        <v>2</v>
      </c>
      <c r="H633">
        <v>9760</v>
      </c>
      <c r="I633" t="s">
        <v>25</v>
      </c>
      <c r="J633" t="s">
        <v>19</v>
      </c>
      <c r="K633" t="s">
        <v>20</v>
      </c>
      <c r="L633">
        <v>10</v>
      </c>
      <c r="M633">
        <v>1</v>
      </c>
      <c r="N633">
        <v>1</v>
      </c>
      <c r="O633" t="s">
        <v>27</v>
      </c>
      <c r="P633" t="str">
        <f>TEXT(Table1[[#This Row],[order_date]],"yyyy-mm")</f>
        <v>2025-07</v>
      </c>
      <c r="Q633">
        <f>WEEKNUM(Table1[[#This Row],[order_date]])</f>
        <v>30</v>
      </c>
      <c r="R633">
        <f>IF(Table1[[#This Row],[order_status]]="completed",1,0)</f>
        <v>1</v>
      </c>
    </row>
    <row r="634" spans="1:18" x14ac:dyDescent="0.35">
      <c r="A634">
        <v>633</v>
      </c>
      <c r="B634" s="1">
        <v>45936</v>
      </c>
      <c r="C634">
        <v>1152</v>
      </c>
      <c r="D634" t="s">
        <v>28</v>
      </c>
      <c r="E634" t="s">
        <v>16</v>
      </c>
      <c r="F634" t="s">
        <v>30</v>
      </c>
      <c r="G634">
        <v>3</v>
      </c>
      <c r="H634">
        <v>0</v>
      </c>
      <c r="I634" t="s">
        <v>39</v>
      </c>
      <c r="J634" t="s">
        <v>37</v>
      </c>
      <c r="K634" t="s">
        <v>26</v>
      </c>
      <c r="L634">
        <v>5</v>
      </c>
      <c r="M634">
        <v>1</v>
      </c>
      <c r="N634">
        <v>1</v>
      </c>
      <c r="O634" t="s">
        <v>21</v>
      </c>
      <c r="P634" t="str">
        <f>TEXT(Table1[[#This Row],[order_date]],"yyyy-mm")</f>
        <v>2025-10</v>
      </c>
      <c r="Q634">
        <f>WEEKNUM(Table1[[#This Row],[order_date]])</f>
        <v>41</v>
      </c>
      <c r="R634">
        <f>IF(Table1[[#This Row],[order_status]]="completed",1,0)</f>
        <v>0</v>
      </c>
    </row>
    <row r="635" spans="1:18" x14ac:dyDescent="0.35">
      <c r="A635">
        <v>634</v>
      </c>
      <c r="B635" s="1">
        <v>45930</v>
      </c>
      <c r="C635">
        <v>1420</v>
      </c>
      <c r="D635" t="s">
        <v>28</v>
      </c>
      <c r="E635" t="s">
        <v>16</v>
      </c>
      <c r="F635" t="s">
        <v>24</v>
      </c>
      <c r="G635">
        <v>5</v>
      </c>
      <c r="H635">
        <v>3980</v>
      </c>
      <c r="I635" t="s">
        <v>18</v>
      </c>
      <c r="J635" t="s">
        <v>19</v>
      </c>
      <c r="K635" t="s">
        <v>38</v>
      </c>
      <c r="L635">
        <v>4</v>
      </c>
      <c r="M635">
        <v>1</v>
      </c>
      <c r="N635">
        <v>1</v>
      </c>
      <c r="O635" t="s">
        <v>21</v>
      </c>
      <c r="P635" t="str">
        <f>TEXT(Table1[[#This Row],[order_date]],"yyyy-mm")</f>
        <v>2025-09</v>
      </c>
      <c r="Q635">
        <f>WEEKNUM(Table1[[#This Row],[order_date]])</f>
        <v>40</v>
      </c>
      <c r="R635">
        <f>IF(Table1[[#This Row],[order_status]]="completed",1,0)</f>
        <v>1</v>
      </c>
    </row>
    <row r="636" spans="1:18" x14ac:dyDescent="0.35">
      <c r="A636">
        <v>635</v>
      </c>
      <c r="B636" s="1">
        <v>45877</v>
      </c>
      <c r="C636">
        <v>1760</v>
      </c>
      <c r="D636" t="s">
        <v>32</v>
      </c>
      <c r="E636" t="s">
        <v>23</v>
      </c>
      <c r="F636" t="s">
        <v>17</v>
      </c>
      <c r="G636">
        <v>3</v>
      </c>
      <c r="H636">
        <v>2427</v>
      </c>
      <c r="I636" t="s">
        <v>18</v>
      </c>
      <c r="J636" t="s">
        <v>19</v>
      </c>
      <c r="K636" t="s">
        <v>20</v>
      </c>
      <c r="L636">
        <v>8</v>
      </c>
      <c r="M636">
        <v>0</v>
      </c>
      <c r="N636">
        <v>0</v>
      </c>
      <c r="O636" t="s">
        <v>21</v>
      </c>
      <c r="P636" t="str">
        <f>TEXT(Table1[[#This Row],[order_date]],"yyyy-mm")</f>
        <v>2025-08</v>
      </c>
      <c r="Q636">
        <f>WEEKNUM(Table1[[#This Row],[order_date]])</f>
        <v>32</v>
      </c>
      <c r="R636">
        <f>IF(Table1[[#This Row],[order_status]]="completed",1,0)</f>
        <v>1</v>
      </c>
    </row>
    <row r="637" spans="1:18" x14ac:dyDescent="0.35">
      <c r="A637">
        <v>636</v>
      </c>
      <c r="B637" s="1">
        <v>45942</v>
      </c>
      <c r="C637">
        <v>1914</v>
      </c>
      <c r="D637" t="s">
        <v>22</v>
      </c>
      <c r="E637" t="s">
        <v>23</v>
      </c>
      <c r="F637" t="s">
        <v>17</v>
      </c>
      <c r="G637">
        <v>1</v>
      </c>
      <c r="H637">
        <v>0</v>
      </c>
      <c r="I637" t="s">
        <v>25</v>
      </c>
      <c r="J637" t="s">
        <v>37</v>
      </c>
      <c r="K637" t="s">
        <v>40</v>
      </c>
      <c r="L637">
        <v>5</v>
      </c>
      <c r="M637">
        <v>0</v>
      </c>
      <c r="N637">
        <v>0</v>
      </c>
      <c r="O637" t="s">
        <v>27</v>
      </c>
      <c r="P637" t="str">
        <f>TEXT(Table1[[#This Row],[order_date]],"yyyy-mm")</f>
        <v>2025-10</v>
      </c>
      <c r="Q637">
        <f>WEEKNUM(Table1[[#This Row],[order_date]])</f>
        <v>42</v>
      </c>
      <c r="R637">
        <f>IF(Table1[[#This Row],[order_status]]="completed",1,0)</f>
        <v>0</v>
      </c>
    </row>
    <row r="638" spans="1:18" x14ac:dyDescent="0.35">
      <c r="A638">
        <v>637</v>
      </c>
      <c r="B638" s="1">
        <v>45951</v>
      </c>
      <c r="C638">
        <v>1602</v>
      </c>
      <c r="D638" t="s">
        <v>15</v>
      </c>
      <c r="E638" t="s">
        <v>36</v>
      </c>
      <c r="F638" t="s">
        <v>24</v>
      </c>
      <c r="G638">
        <v>1</v>
      </c>
      <c r="H638">
        <v>942</v>
      </c>
      <c r="I638" t="s">
        <v>25</v>
      </c>
      <c r="J638" t="s">
        <v>19</v>
      </c>
      <c r="K638" t="s">
        <v>38</v>
      </c>
      <c r="L638">
        <v>5</v>
      </c>
      <c r="M638">
        <v>1</v>
      </c>
      <c r="N638">
        <v>0</v>
      </c>
      <c r="O638" t="s">
        <v>27</v>
      </c>
      <c r="P638" t="str">
        <f>TEXT(Table1[[#This Row],[order_date]],"yyyy-mm")</f>
        <v>2025-10</v>
      </c>
      <c r="Q638">
        <f>WEEKNUM(Table1[[#This Row],[order_date]])</f>
        <v>43</v>
      </c>
      <c r="R638">
        <f>IF(Table1[[#This Row],[order_status]]="completed",1,0)</f>
        <v>1</v>
      </c>
    </row>
    <row r="639" spans="1:18" x14ac:dyDescent="0.35">
      <c r="A639">
        <v>638</v>
      </c>
      <c r="B639" s="1">
        <v>45900</v>
      </c>
      <c r="C639">
        <v>1562</v>
      </c>
      <c r="D639" t="s">
        <v>15</v>
      </c>
      <c r="E639" t="s">
        <v>36</v>
      </c>
      <c r="F639" t="s">
        <v>17</v>
      </c>
      <c r="G639">
        <v>3</v>
      </c>
      <c r="H639">
        <v>0</v>
      </c>
      <c r="I639" t="s">
        <v>25</v>
      </c>
      <c r="J639" t="s">
        <v>31</v>
      </c>
      <c r="K639" t="s">
        <v>20</v>
      </c>
      <c r="L639">
        <v>2</v>
      </c>
      <c r="M639">
        <v>1</v>
      </c>
      <c r="N639">
        <v>1</v>
      </c>
      <c r="O639" t="s">
        <v>27</v>
      </c>
      <c r="P639" t="str">
        <f>TEXT(Table1[[#This Row],[order_date]],"yyyy-mm")</f>
        <v>2025-08</v>
      </c>
      <c r="Q639">
        <f>WEEKNUM(Table1[[#This Row],[order_date]])</f>
        <v>36</v>
      </c>
      <c r="R639">
        <f>IF(Table1[[#This Row],[order_status]]="completed",1,0)</f>
        <v>0</v>
      </c>
    </row>
    <row r="640" spans="1:18" x14ac:dyDescent="0.35">
      <c r="A640">
        <v>639</v>
      </c>
      <c r="B640" s="1">
        <v>46030</v>
      </c>
      <c r="C640">
        <v>1174</v>
      </c>
      <c r="D640" t="s">
        <v>28</v>
      </c>
      <c r="E640" t="s">
        <v>29</v>
      </c>
      <c r="F640" t="s">
        <v>17</v>
      </c>
      <c r="G640">
        <v>1</v>
      </c>
      <c r="H640">
        <v>1915</v>
      </c>
      <c r="I640" t="s">
        <v>25</v>
      </c>
      <c r="J640" t="s">
        <v>19</v>
      </c>
      <c r="K640" t="s">
        <v>20</v>
      </c>
      <c r="L640">
        <v>1</v>
      </c>
      <c r="M640">
        <v>1</v>
      </c>
      <c r="N640">
        <v>1</v>
      </c>
      <c r="O640" t="s">
        <v>21</v>
      </c>
      <c r="P640" t="str">
        <f>TEXT(Table1[[#This Row],[order_date]],"yyyy-mm")</f>
        <v>2026-01</v>
      </c>
      <c r="Q640">
        <f>WEEKNUM(Table1[[#This Row],[order_date]])</f>
        <v>2</v>
      </c>
      <c r="R640">
        <f>IF(Table1[[#This Row],[order_status]]="completed",1,0)</f>
        <v>1</v>
      </c>
    </row>
    <row r="641" spans="1:18" x14ac:dyDescent="0.35">
      <c r="A641">
        <v>640</v>
      </c>
      <c r="B641" s="1">
        <v>46006</v>
      </c>
      <c r="C641">
        <v>1272</v>
      </c>
      <c r="D641" t="s">
        <v>28</v>
      </c>
      <c r="E641" t="s">
        <v>23</v>
      </c>
      <c r="F641" t="s">
        <v>34</v>
      </c>
      <c r="G641">
        <v>2</v>
      </c>
      <c r="H641">
        <v>0</v>
      </c>
      <c r="I641" t="s">
        <v>39</v>
      </c>
      <c r="J641" t="s">
        <v>37</v>
      </c>
      <c r="K641" t="s">
        <v>26</v>
      </c>
      <c r="L641">
        <v>10</v>
      </c>
      <c r="M641">
        <v>1</v>
      </c>
      <c r="N641">
        <v>1</v>
      </c>
      <c r="O641" t="s">
        <v>27</v>
      </c>
      <c r="P641" t="str">
        <f>TEXT(Table1[[#This Row],[order_date]],"yyyy-mm")</f>
        <v>2025-12</v>
      </c>
      <c r="Q641">
        <f>WEEKNUM(Table1[[#This Row],[order_date]])</f>
        <v>51</v>
      </c>
      <c r="R641">
        <f>IF(Table1[[#This Row],[order_status]]="completed",1,0)</f>
        <v>0</v>
      </c>
    </row>
    <row r="642" spans="1:18" x14ac:dyDescent="0.35">
      <c r="A642">
        <v>641</v>
      </c>
      <c r="B642" s="1">
        <v>45916</v>
      </c>
      <c r="C642">
        <v>1616</v>
      </c>
      <c r="D642" t="s">
        <v>15</v>
      </c>
      <c r="E642" t="s">
        <v>36</v>
      </c>
      <c r="F642" t="s">
        <v>17</v>
      </c>
      <c r="G642">
        <v>5</v>
      </c>
      <c r="H642">
        <v>0</v>
      </c>
      <c r="I642" t="s">
        <v>35</v>
      </c>
      <c r="J642" t="s">
        <v>37</v>
      </c>
      <c r="K642" t="s">
        <v>38</v>
      </c>
      <c r="L642">
        <v>7</v>
      </c>
      <c r="M642">
        <v>0</v>
      </c>
      <c r="N642">
        <v>1</v>
      </c>
      <c r="O642" t="s">
        <v>27</v>
      </c>
      <c r="P642" t="str">
        <f>TEXT(Table1[[#This Row],[order_date]],"yyyy-mm")</f>
        <v>2025-09</v>
      </c>
      <c r="Q642">
        <f>WEEKNUM(Table1[[#This Row],[order_date]])</f>
        <v>38</v>
      </c>
      <c r="R642">
        <f>IF(Table1[[#This Row],[order_status]]="completed",1,0)</f>
        <v>0</v>
      </c>
    </row>
    <row r="643" spans="1:18" x14ac:dyDescent="0.35">
      <c r="A643">
        <v>642</v>
      </c>
      <c r="B643" s="1">
        <v>45904</v>
      </c>
      <c r="C643">
        <v>1844</v>
      </c>
      <c r="D643" t="s">
        <v>28</v>
      </c>
      <c r="E643" t="s">
        <v>29</v>
      </c>
      <c r="F643" t="s">
        <v>30</v>
      </c>
      <c r="G643">
        <v>2</v>
      </c>
      <c r="H643">
        <v>0</v>
      </c>
      <c r="I643" t="s">
        <v>35</v>
      </c>
      <c r="J643" t="s">
        <v>31</v>
      </c>
      <c r="K643" t="s">
        <v>38</v>
      </c>
      <c r="L643">
        <v>6</v>
      </c>
      <c r="M643">
        <v>1</v>
      </c>
      <c r="N643">
        <v>1</v>
      </c>
      <c r="O643" t="s">
        <v>21</v>
      </c>
      <c r="P643" t="str">
        <f>TEXT(Table1[[#This Row],[order_date]],"yyyy-mm")</f>
        <v>2025-09</v>
      </c>
      <c r="Q643">
        <f>WEEKNUM(Table1[[#This Row],[order_date]])</f>
        <v>36</v>
      </c>
      <c r="R643">
        <f>IF(Table1[[#This Row],[order_status]]="completed",1,0)</f>
        <v>0</v>
      </c>
    </row>
    <row r="644" spans="1:18" x14ac:dyDescent="0.35">
      <c r="A644">
        <v>643</v>
      </c>
      <c r="B644" s="1">
        <v>45932</v>
      </c>
      <c r="C644">
        <v>1156</v>
      </c>
      <c r="D644" t="s">
        <v>28</v>
      </c>
      <c r="E644" t="s">
        <v>36</v>
      </c>
      <c r="F644" t="s">
        <v>17</v>
      </c>
      <c r="G644">
        <v>4</v>
      </c>
      <c r="H644">
        <v>9460</v>
      </c>
      <c r="I644" t="s">
        <v>25</v>
      </c>
      <c r="J644" t="s">
        <v>19</v>
      </c>
      <c r="K644" t="s">
        <v>20</v>
      </c>
      <c r="L644">
        <v>2</v>
      </c>
      <c r="M644">
        <v>0</v>
      </c>
      <c r="N644">
        <v>1</v>
      </c>
      <c r="O644" t="s">
        <v>21</v>
      </c>
      <c r="P644" t="str">
        <f>TEXT(Table1[[#This Row],[order_date]],"yyyy-mm")</f>
        <v>2025-10</v>
      </c>
      <c r="Q644">
        <f>WEEKNUM(Table1[[#This Row],[order_date]])</f>
        <v>40</v>
      </c>
      <c r="R644">
        <f>IF(Table1[[#This Row],[order_status]]="completed",1,0)</f>
        <v>1</v>
      </c>
    </row>
    <row r="645" spans="1:18" x14ac:dyDescent="0.35">
      <c r="A645">
        <v>644</v>
      </c>
      <c r="B645" s="1">
        <v>45909</v>
      </c>
      <c r="C645">
        <v>1832</v>
      </c>
      <c r="D645" t="s">
        <v>22</v>
      </c>
      <c r="E645" t="s">
        <v>16</v>
      </c>
      <c r="F645" t="s">
        <v>24</v>
      </c>
      <c r="G645">
        <v>2</v>
      </c>
      <c r="H645">
        <v>0</v>
      </c>
      <c r="I645" t="s">
        <v>39</v>
      </c>
      <c r="J645" t="s">
        <v>31</v>
      </c>
      <c r="K645" t="s">
        <v>26</v>
      </c>
      <c r="L645">
        <v>3</v>
      </c>
      <c r="M645">
        <v>1</v>
      </c>
      <c r="N645">
        <v>1</v>
      </c>
      <c r="O645" t="s">
        <v>27</v>
      </c>
      <c r="P645" t="str">
        <f>TEXT(Table1[[#This Row],[order_date]],"yyyy-mm")</f>
        <v>2025-09</v>
      </c>
      <c r="Q645">
        <f>WEEKNUM(Table1[[#This Row],[order_date]])</f>
        <v>37</v>
      </c>
      <c r="R645">
        <f>IF(Table1[[#This Row],[order_status]]="completed",1,0)</f>
        <v>0</v>
      </c>
    </row>
    <row r="646" spans="1:18" x14ac:dyDescent="0.35">
      <c r="A646">
        <v>645</v>
      </c>
      <c r="B646" s="1">
        <v>45972</v>
      </c>
      <c r="C646">
        <v>1787</v>
      </c>
      <c r="D646" t="s">
        <v>32</v>
      </c>
      <c r="E646" t="s">
        <v>16</v>
      </c>
      <c r="F646" t="s">
        <v>17</v>
      </c>
      <c r="G646">
        <v>1</v>
      </c>
      <c r="H646">
        <v>1771</v>
      </c>
      <c r="I646" t="s">
        <v>39</v>
      </c>
      <c r="J646" t="s">
        <v>19</v>
      </c>
      <c r="K646" t="s">
        <v>26</v>
      </c>
      <c r="L646">
        <v>1</v>
      </c>
      <c r="M646">
        <v>0</v>
      </c>
      <c r="N646">
        <v>0</v>
      </c>
      <c r="O646" t="s">
        <v>27</v>
      </c>
      <c r="P646" t="str">
        <f>TEXT(Table1[[#This Row],[order_date]],"yyyy-mm")</f>
        <v>2025-11</v>
      </c>
      <c r="Q646">
        <f>WEEKNUM(Table1[[#This Row],[order_date]])</f>
        <v>46</v>
      </c>
      <c r="R646">
        <f>IF(Table1[[#This Row],[order_status]]="completed",1,0)</f>
        <v>1</v>
      </c>
    </row>
    <row r="647" spans="1:18" x14ac:dyDescent="0.35">
      <c r="A647">
        <v>646</v>
      </c>
      <c r="B647" s="1">
        <v>46023</v>
      </c>
      <c r="C647">
        <v>1722</v>
      </c>
      <c r="D647" t="s">
        <v>32</v>
      </c>
      <c r="E647" t="s">
        <v>23</v>
      </c>
      <c r="F647" t="s">
        <v>34</v>
      </c>
      <c r="G647">
        <v>5</v>
      </c>
      <c r="H647">
        <v>0</v>
      </c>
      <c r="I647" t="s">
        <v>25</v>
      </c>
      <c r="J647" t="s">
        <v>37</v>
      </c>
      <c r="K647" t="s">
        <v>26</v>
      </c>
      <c r="L647">
        <v>9</v>
      </c>
      <c r="M647">
        <v>1</v>
      </c>
      <c r="N647">
        <v>1</v>
      </c>
      <c r="O647" t="s">
        <v>27</v>
      </c>
      <c r="P647" t="str">
        <f>TEXT(Table1[[#This Row],[order_date]],"yyyy-mm")</f>
        <v>2026-01</v>
      </c>
      <c r="Q647">
        <f>WEEKNUM(Table1[[#This Row],[order_date]])</f>
        <v>1</v>
      </c>
      <c r="R647">
        <f>IF(Table1[[#This Row],[order_status]]="completed",1,0)</f>
        <v>0</v>
      </c>
    </row>
    <row r="648" spans="1:18" x14ac:dyDescent="0.35">
      <c r="A648">
        <v>647</v>
      </c>
      <c r="B648" s="1">
        <v>45957</v>
      </c>
      <c r="C648">
        <v>1426</v>
      </c>
      <c r="D648" t="s">
        <v>28</v>
      </c>
      <c r="E648" t="s">
        <v>29</v>
      </c>
      <c r="F648" t="s">
        <v>24</v>
      </c>
      <c r="G648">
        <v>3</v>
      </c>
      <c r="H648">
        <v>0</v>
      </c>
      <c r="I648" t="s">
        <v>25</v>
      </c>
      <c r="J648" t="s">
        <v>37</v>
      </c>
      <c r="K648" t="s">
        <v>26</v>
      </c>
      <c r="L648">
        <v>1</v>
      </c>
      <c r="M648">
        <v>1</v>
      </c>
      <c r="N648">
        <v>1</v>
      </c>
      <c r="O648" t="s">
        <v>21</v>
      </c>
      <c r="P648" t="str">
        <f>TEXT(Table1[[#This Row],[order_date]],"yyyy-mm")</f>
        <v>2025-10</v>
      </c>
      <c r="Q648">
        <f>WEEKNUM(Table1[[#This Row],[order_date]])</f>
        <v>44</v>
      </c>
      <c r="R648">
        <f>IF(Table1[[#This Row],[order_status]]="completed",1,0)</f>
        <v>0</v>
      </c>
    </row>
    <row r="649" spans="1:18" x14ac:dyDescent="0.35">
      <c r="A649">
        <v>648</v>
      </c>
      <c r="B649" s="1">
        <v>45957</v>
      </c>
      <c r="C649">
        <v>1903</v>
      </c>
      <c r="D649" t="s">
        <v>32</v>
      </c>
      <c r="E649" t="s">
        <v>36</v>
      </c>
      <c r="F649" t="s">
        <v>34</v>
      </c>
      <c r="G649">
        <v>3</v>
      </c>
      <c r="H649">
        <v>0</v>
      </c>
      <c r="I649" t="s">
        <v>39</v>
      </c>
      <c r="J649" t="s">
        <v>37</v>
      </c>
      <c r="K649" t="s">
        <v>20</v>
      </c>
      <c r="L649">
        <v>5</v>
      </c>
      <c r="M649">
        <v>1</v>
      </c>
      <c r="N649">
        <v>0</v>
      </c>
      <c r="O649" t="s">
        <v>27</v>
      </c>
      <c r="P649" t="str">
        <f>TEXT(Table1[[#This Row],[order_date]],"yyyy-mm")</f>
        <v>2025-10</v>
      </c>
      <c r="Q649">
        <f>WEEKNUM(Table1[[#This Row],[order_date]])</f>
        <v>44</v>
      </c>
      <c r="R649">
        <f>IF(Table1[[#This Row],[order_status]]="completed",1,0)</f>
        <v>0</v>
      </c>
    </row>
    <row r="650" spans="1:18" x14ac:dyDescent="0.35">
      <c r="A650">
        <v>649</v>
      </c>
      <c r="B650" s="1">
        <v>45897</v>
      </c>
      <c r="C650">
        <v>1614</v>
      </c>
      <c r="D650" t="s">
        <v>22</v>
      </c>
      <c r="E650" t="s">
        <v>29</v>
      </c>
      <c r="F650" t="s">
        <v>24</v>
      </c>
      <c r="G650">
        <v>1</v>
      </c>
      <c r="H650">
        <v>2474</v>
      </c>
      <c r="I650" t="s">
        <v>18</v>
      </c>
      <c r="J650" t="s">
        <v>19</v>
      </c>
      <c r="K650" t="s">
        <v>20</v>
      </c>
      <c r="L650">
        <v>3</v>
      </c>
      <c r="M650">
        <v>0</v>
      </c>
      <c r="N650">
        <v>1</v>
      </c>
      <c r="O650" t="s">
        <v>21</v>
      </c>
      <c r="P650" t="str">
        <f>TEXT(Table1[[#This Row],[order_date]],"yyyy-mm")</f>
        <v>2025-08</v>
      </c>
      <c r="Q650">
        <f>WEEKNUM(Table1[[#This Row],[order_date]])</f>
        <v>35</v>
      </c>
      <c r="R650">
        <f>IF(Table1[[#This Row],[order_status]]="completed",1,0)</f>
        <v>1</v>
      </c>
    </row>
    <row r="651" spans="1:18" x14ac:dyDescent="0.35">
      <c r="A651">
        <v>650</v>
      </c>
      <c r="B651" s="1">
        <v>45913</v>
      </c>
      <c r="C651">
        <v>1577</v>
      </c>
      <c r="D651" t="s">
        <v>15</v>
      </c>
      <c r="E651" t="s">
        <v>36</v>
      </c>
      <c r="F651" t="s">
        <v>24</v>
      </c>
      <c r="G651">
        <v>3</v>
      </c>
      <c r="H651">
        <v>4656</v>
      </c>
      <c r="I651" t="s">
        <v>25</v>
      </c>
      <c r="J651" t="s">
        <v>19</v>
      </c>
      <c r="K651" t="s">
        <v>40</v>
      </c>
      <c r="L651">
        <v>1</v>
      </c>
      <c r="M651">
        <v>0</v>
      </c>
      <c r="N651">
        <v>1</v>
      </c>
      <c r="O651" t="s">
        <v>27</v>
      </c>
      <c r="P651" t="str">
        <f>TEXT(Table1[[#This Row],[order_date]],"yyyy-mm")</f>
        <v>2025-09</v>
      </c>
      <c r="Q651">
        <f>WEEKNUM(Table1[[#This Row],[order_date]])</f>
        <v>37</v>
      </c>
      <c r="R651">
        <f>IF(Table1[[#This Row],[order_status]]="completed",1,0)</f>
        <v>1</v>
      </c>
    </row>
    <row r="652" spans="1:18" x14ac:dyDescent="0.35">
      <c r="A652">
        <v>651</v>
      </c>
      <c r="B652" s="1">
        <v>45953</v>
      </c>
      <c r="C652">
        <v>1954</v>
      </c>
      <c r="D652" t="s">
        <v>28</v>
      </c>
      <c r="E652" t="s">
        <v>36</v>
      </c>
      <c r="F652" t="s">
        <v>24</v>
      </c>
      <c r="G652">
        <v>5</v>
      </c>
      <c r="H652">
        <v>0</v>
      </c>
      <c r="I652" t="s">
        <v>25</v>
      </c>
      <c r="J652" t="s">
        <v>31</v>
      </c>
      <c r="K652" t="s">
        <v>38</v>
      </c>
      <c r="L652">
        <v>2</v>
      </c>
      <c r="M652">
        <v>1</v>
      </c>
      <c r="N652">
        <v>0</v>
      </c>
      <c r="O652" t="s">
        <v>21</v>
      </c>
      <c r="P652" t="str">
        <f>TEXT(Table1[[#This Row],[order_date]],"yyyy-mm")</f>
        <v>2025-10</v>
      </c>
      <c r="Q652">
        <f>WEEKNUM(Table1[[#This Row],[order_date]])</f>
        <v>43</v>
      </c>
      <c r="R652">
        <f>IF(Table1[[#This Row],[order_status]]="completed",1,0)</f>
        <v>0</v>
      </c>
    </row>
    <row r="653" spans="1:18" x14ac:dyDescent="0.35">
      <c r="A653">
        <v>652</v>
      </c>
      <c r="B653" s="1">
        <v>45951</v>
      </c>
      <c r="C653">
        <v>1728</v>
      </c>
      <c r="D653" t="s">
        <v>32</v>
      </c>
      <c r="E653" t="s">
        <v>36</v>
      </c>
      <c r="F653" t="s">
        <v>34</v>
      </c>
      <c r="G653">
        <v>5</v>
      </c>
      <c r="H653">
        <v>9230</v>
      </c>
      <c r="I653" t="s">
        <v>18</v>
      </c>
      <c r="J653" t="s">
        <v>19</v>
      </c>
      <c r="K653" t="s">
        <v>26</v>
      </c>
      <c r="L653">
        <v>6</v>
      </c>
      <c r="M653">
        <v>1</v>
      </c>
      <c r="N653">
        <v>1</v>
      </c>
      <c r="O653" t="s">
        <v>27</v>
      </c>
      <c r="P653" t="str">
        <f>TEXT(Table1[[#This Row],[order_date]],"yyyy-mm")</f>
        <v>2025-10</v>
      </c>
      <c r="Q653">
        <f>WEEKNUM(Table1[[#This Row],[order_date]])</f>
        <v>43</v>
      </c>
      <c r="R653">
        <f>IF(Table1[[#This Row],[order_status]]="completed",1,0)</f>
        <v>1</v>
      </c>
    </row>
    <row r="654" spans="1:18" x14ac:dyDescent="0.35">
      <c r="A654">
        <v>653</v>
      </c>
      <c r="B654" s="1">
        <v>46022</v>
      </c>
      <c r="C654">
        <v>1782</v>
      </c>
      <c r="D654" t="s">
        <v>28</v>
      </c>
      <c r="E654" t="s">
        <v>29</v>
      </c>
      <c r="F654" t="s">
        <v>17</v>
      </c>
      <c r="G654">
        <v>3</v>
      </c>
      <c r="H654">
        <v>13524</v>
      </c>
      <c r="I654" t="s">
        <v>25</v>
      </c>
      <c r="J654" t="s">
        <v>19</v>
      </c>
      <c r="K654" t="s">
        <v>20</v>
      </c>
      <c r="L654">
        <v>6</v>
      </c>
      <c r="M654">
        <v>0</v>
      </c>
      <c r="N654">
        <v>1</v>
      </c>
      <c r="O654" t="s">
        <v>27</v>
      </c>
      <c r="P654" t="str">
        <f>TEXT(Table1[[#This Row],[order_date]],"yyyy-mm")</f>
        <v>2025-12</v>
      </c>
      <c r="Q654">
        <f>WEEKNUM(Table1[[#This Row],[order_date]])</f>
        <v>53</v>
      </c>
      <c r="R654">
        <f>IF(Table1[[#This Row],[order_status]]="completed",1,0)</f>
        <v>1</v>
      </c>
    </row>
    <row r="655" spans="1:18" x14ac:dyDescent="0.35">
      <c r="A655">
        <v>654</v>
      </c>
      <c r="B655" s="1">
        <v>45900</v>
      </c>
      <c r="C655">
        <v>1659</v>
      </c>
      <c r="D655" t="s">
        <v>28</v>
      </c>
      <c r="E655" t="s">
        <v>16</v>
      </c>
      <c r="F655" t="s">
        <v>34</v>
      </c>
      <c r="G655">
        <v>4</v>
      </c>
      <c r="H655">
        <v>0</v>
      </c>
      <c r="I655" t="s">
        <v>25</v>
      </c>
      <c r="J655" t="s">
        <v>37</v>
      </c>
      <c r="K655" t="s">
        <v>20</v>
      </c>
      <c r="L655">
        <v>5</v>
      </c>
      <c r="M655">
        <v>1</v>
      </c>
      <c r="N655">
        <v>0</v>
      </c>
      <c r="O655" t="s">
        <v>21</v>
      </c>
      <c r="P655" t="str">
        <f>TEXT(Table1[[#This Row],[order_date]],"yyyy-mm")</f>
        <v>2025-08</v>
      </c>
      <c r="Q655">
        <f>WEEKNUM(Table1[[#This Row],[order_date]])</f>
        <v>36</v>
      </c>
      <c r="R655">
        <f>IF(Table1[[#This Row],[order_status]]="completed",1,0)</f>
        <v>0</v>
      </c>
    </row>
    <row r="656" spans="1:18" x14ac:dyDescent="0.35">
      <c r="A656">
        <v>655</v>
      </c>
      <c r="B656" s="1">
        <v>45910</v>
      </c>
      <c r="C656">
        <v>1750</v>
      </c>
      <c r="D656" t="s">
        <v>28</v>
      </c>
      <c r="E656" t="s">
        <v>16</v>
      </c>
      <c r="F656" t="s">
        <v>24</v>
      </c>
      <c r="G656">
        <v>4</v>
      </c>
      <c r="H656">
        <v>0</v>
      </c>
      <c r="I656" t="s">
        <v>25</v>
      </c>
      <c r="J656" t="s">
        <v>37</v>
      </c>
      <c r="K656" t="s">
        <v>38</v>
      </c>
      <c r="L656">
        <v>1</v>
      </c>
      <c r="M656">
        <v>1</v>
      </c>
      <c r="N656">
        <v>0</v>
      </c>
      <c r="O656" t="s">
        <v>27</v>
      </c>
      <c r="P656" t="str">
        <f>TEXT(Table1[[#This Row],[order_date]],"yyyy-mm")</f>
        <v>2025-09</v>
      </c>
      <c r="Q656">
        <f>WEEKNUM(Table1[[#This Row],[order_date]])</f>
        <v>37</v>
      </c>
      <c r="R656">
        <f>IF(Table1[[#This Row],[order_status]]="completed",1,0)</f>
        <v>0</v>
      </c>
    </row>
    <row r="657" spans="1:18" x14ac:dyDescent="0.35">
      <c r="A657">
        <v>656</v>
      </c>
      <c r="B657" s="1">
        <v>45860</v>
      </c>
      <c r="C657">
        <v>1749</v>
      </c>
      <c r="D657" t="s">
        <v>28</v>
      </c>
      <c r="E657" t="s">
        <v>16</v>
      </c>
      <c r="F657" t="s">
        <v>17</v>
      </c>
      <c r="G657">
        <v>1</v>
      </c>
      <c r="H657">
        <v>4663</v>
      </c>
      <c r="I657" t="s">
        <v>25</v>
      </c>
      <c r="J657" t="s">
        <v>19</v>
      </c>
      <c r="K657" t="s">
        <v>26</v>
      </c>
      <c r="L657">
        <v>3</v>
      </c>
      <c r="M657">
        <v>1</v>
      </c>
      <c r="N657">
        <v>1</v>
      </c>
      <c r="O657" t="s">
        <v>21</v>
      </c>
      <c r="P657" t="str">
        <f>TEXT(Table1[[#This Row],[order_date]],"yyyy-mm")</f>
        <v>2025-07</v>
      </c>
      <c r="Q657">
        <f>WEEKNUM(Table1[[#This Row],[order_date]])</f>
        <v>30</v>
      </c>
      <c r="R657">
        <f>IF(Table1[[#This Row],[order_status]]="completed",1,0)</f>
        <v>1</v>
      </c>
    </row>
    <row r="658" spans="1:18" x14ac:dyDescent="0.35">
      <c r="A658">
        <v>657</v>
      </c>
      <c r="B658" s="1">
        <v>45857</v>
      </c>
      <c r="C658">
        <v>1783</v>
      </c>
      <c r="D658" t="s">
        <v>22</v>
      </c>
      <c r="E658" t="s">
        <v>33</v>
      </c>
      <c r="F658" t="s">
        <v>34</v>
      </c>
      <c r="G658">
        <v>1</v>
      </c>
      <c r="H658">
        <v>0</v>
      </c>
      <c r="I658" t="s">
        <v>39</v>
      </c>
      <c r="J658" t="s">
        <v>31</v>
      </c>
      <c r="K658" t="s">
        <v>20</v>
      </c>
      <c r="L658">
        <v>7</v>
      </c>
      <c r="M658">
        <v>1</v>
      </c>
      <c r="N658">
        <v>1</v>
      </c>
      <c r="O658" t="s">
        <v>21</v>
      </c>
      <c r="P658" t="str">
        <f>TEXT(Table1[[#This Row],[order_date]],"yyyy-mm")</f>
        <v>2025-07</v>
      </c>
      <c r="Q658">
        <f>WEEKNUM(Table1[[#This Row],[order_date]])</f>
        <v>29</v>
      </c>
      <c r="R658">
        <f>IF(Table1[[#This Row],[order_status]]="completed",1,0)</f>
        <v>0</v>
      </c>
    </row>
    <row r="659" spans="1:18" x14ac:dyDescent="0.35">
      <c r="A659">
        <v>658</v>
      </c>
      <c r="B659" s="1">
        <v>45965</v>
      </c>
      <c r="C659">
        <v>1305</v>
      </c>
      <c r="D659" t="s">
        <v>41</v>
      </c>
      <c r="E659" t="s">
        <v>36</v>
      </c>
      <c r="F659" t="s">
        <v>24</v>
      </c>
      <c r="G659">
        <v>5</v>
      </c>
      <c r="H659">
        <v>0</v>
      </c>
      <c r="I659" t="s">
        <v>35</v>
      </c>
      <c r="J659" t="s">
        <v>31</v>
      </c>
      <c r="K659" t="s">
        <v>26</v>
      </c>
      <c r="L659">
        <v>2</v>
      </c>
      <c r="M659">
        <v>0</v>
      </c>
      <c r="N659">
        <v>0</v>
      </c>
      <c r="O659" t="s">
        <v>21</v>
      </c>
      <c r="P659" t="str">
        <f>TEXT(Table1[[#This Row],[order_date]],"yyyy-mm")</f>
        <v>2025-11</v>
      </c>
      <c r="Q659">
        <f>WEEKNUM(Table1[[#This Row],[order_date]])</f>
        <v>45</v>
      </c>
      <c r="R659">
        <f>IF(Table1[[#This Row],[order_status]]="completed",1,0)</f>
        <v>0</v>
      </c>
    </row>
    <row r="660" spans="1:18" x14ac:dyDescent="0.35">
      <c r="A660">
        <v>659</v>
      </c>
      <c r="B660" s="1">
        <v>46009</v>
      </c>
      <c r="C660">
        <v>1284</v>
      </c>
      <c r="D660" t="s">
        <v>15</v>
      </c>
      <c r="E660" t="s">
        <v>16</v>
      </c>
      <c r="F660" t="s">
        <v>24</v>
      </c>
      <c r="G660">
        <v>4</v>
      </c>
      <c r="H660">
        <v>0</v>
      </c>
      <c r="I660" t="s">
        <v>39</v>
      </c>
      <c r="J660" t="s">
        <v>37</v>
      </c>
      <c r="K660" t="s">
        <v>40</v>
      </c>
      <c r="L660">
        <v>4</v>
      </c>
      <c r="M660">
        <v>0</v>
      </c>
      <c r="N660">
        <v>1</v>
      </c>
      <c r="O660" t="s">
        <v>27</v>
      </c>
      <c r="P660" t="str">
        <f>TEXT(Table1[[#This Row],[order_date]],"yyyy-mm")</f>
        <v>2025-12</v>
      </c>
      <c r="Q660">
        <f>WEEKNUM(Table1[[#This Row],[order_date]])</f>
        <v>51</v>
      </c>
      <c r="R660">
        <f>IF(Table1[[#This Row],[order_status]]="completed",1,0)</f>
        <v>0</v>
      </c>
    </row>
    <row r="661" spans="1:18" x14ac:dyDescent="0.35">
      <c r="A661">
        <v>660</v>
      </c>
      <c r="B661" s="1">
        <v>46009</v>
      </c>
      <c r="C661">
        <v>1737</v>
      </c>
      <c r="D661" t="s">
        <v>28</v>
      </c>
      <c r="E661" t="s">
        <v>33</v>
      </c>
      <c r="F661" t="s">
        <v>24</v>
      </c>
      <c r="G661">
        <v>5</v>
      </c>
      <c r="H661">
        <v>0</v>
      </c>
      <c r="I661" t="s">
        <v>18</v>
      </c>
      <c r="J661" t="s">
        <v>31</v>
      </c>
      <c r="K661" t="s">
        <v>38</v>
      </c>
      <c r="L661">
        <v>7</v>
      </c>
      <c r="M661">
        <v>1</v>
      </c>
      <c r="N661">
        <v>0</v>
      </c>
      <c r="O661" t="s">
        <v>21</v>
      </c>
      <c r="P661" t="str">
        <f>TEXT(Table1[[#This Row],[order_date]],"yyyy-mm")</f>
        <v>2025-12</v>
      </c>
      <c r="Q661">
        <f>WEEKNUM(Table1[[#This Row],[order_date]])</f>
        <v>51</v>
      </c>
      <c r="R661">
        <f>IF(Table1[[#This Row],[order_status]]="completed",1,0)</f>
        <v>0</v>
      </c>
    </row>
    <row r="662" spans="1:18" x14ac:dyDescent="0.35">
      <c r="A662">
        <v>661</v>
      </c>
      <c r="B662" s="1">
        <v>46003</v>
      </c>
      <c r="C662">
        <v>1202</v>
      </c>
      <c r="D662" t="s">
        <v>15</v>
      </c>
      <c r="E662" t="s">
        <v>23</v>
      </c>
      <c r="F662" t="s">
        <v>34</v>
      </c>
      <c r="G662">
        <v>3</v>
      </c>
      <c r="H662">
        <v>14583</v>
      </c>
      <c r="I662" t="s">
        <v>35</v>
      </c>
      <c r="J662" t="s">
        <v>19</v>
      </c>
      <c r="K662" t="s">
        <v>40</v>
      </c>
      <c r="L662">
        <v>7</v>
      </c>
      <c r="M662">
        <v>1</v>
      </c>
      <c r="N662">
        <v>1</v>
      </c>
      <c r="O662" t="s">
        <v>21</v>
      </c>
      <c r="P662" t="str">
        <f>TEXT(Table1[[#This Row],[order_date]],"yyyy-mm")</f>
        <v>2025-12</v>
      </c>
      <c r="Q662">
        <f>WEEKNUM(Table1[[#This Row],[order_date]])</f>
        <v>50</v>
      </c>
      <c r="R662">
        <f>IF(Table1[[#This Row],[order_status]]="completed",1,0)</f>
        <v>1</v>
      </c>
    </row>
    <row r="663" spans="1:18" x14ac:dyDescent="0.35">
      <c r="A663">
        <v>662</v>
      </c>
      <c r="B663" s="1">
        <v>45864</v>
      </c>
      <c r="C663">
        <v>1272</v>
      </c>
      <c r="D663" t="s">
        <v>22</v>
      </c>
      <c r="E663" t="s">
        <v>36</v>
      </c>
      <c r="F663" t="s">
        <v>34</v>
      </c>
      <c r="G663">
        <v>1</v>
      </c>
      <c r="H663">
        <v>0</v>
      </c>
      <c r="I663" t="s">
        <v>18</v>
      </c>
      <c r="J663" t="s">
        <v>37</v>
      </c>
      <c r="K663" t="s">
        <v>20</v>
      </c>
      <c r="L663">
        <v>2</v>
      </c>
      <c r="M663">
        <v>1</v>
      </c>
      <c r="N663">
        <v>0</v>
      </c>
      <c r="O663" t="s">
        <v>21</v>
      </c>
      <c r="P663" t="str">
        <f>TEXT(Table1[[#This Row],[order_date]],"yyyy-mm")</f>
        <v>2025-07</v>
      </c>
      <c r="Q663">
        <f>WEEKNUM(Table1[[#This Row],[order_date]])</f>
        <v>30</v>
      </c>
      <c r="R663">
        <f>IF(Table1[[#This Row],[order_status]]="completed",1,0)</f>
        <v>0</v>
      </c>
    </row>
    <row r="664" spans="1:18" x14ac:dyDescent="0.35">
      <c r="A664">
        <v>663</v>
      </c>
      <c r="B664" s="1">
        <v>46018</v>
      </c>
      <c r="C664">
        <v>1487</v>
      </c>
      <c r="D664" t="s">
        <v>32</v>
      </c>
      <c r="E664" t="s">
        <v>16</v>
      </c>
      <c r="F664" t="s">
        <v>30</v>
      </c>
      <c r="G664">
        <v>3</v>
      </c>
      <c r="H664">
        <v>0</v>
      </c>
      <c r="I664" t="s">
        <v>25</v>
      </c>
      <c r="J664" t="s">
        <v>37</v>
      </c>
      <c r="K664" t="s">
        <v>20</v>
      </c>
      <c r="L664">
        <v>1</v>
      </c>
      <c r="M664">
        <v>1</v>
      </c>
      <c r="N664">
        <v>0</v>
      </c>
      <c r="O664" t="s">
        <v>21</v>
      </c>
      <c r="P664" t="str">
        <f>TEXT(Table1[[#This Row],[order_date]],"yyyy-mm")</f>
        <v>2025-12</v>
      </c>
      <c r="Q664">
        <f>WEEKNUM(Table1[[#This Row],[order_date]])</f>
        <v>52</v>
      </c>
      <c r="R664">
        <f>IF(Table1[[#This Row],[order_status]]="completed",1,0)</f>
        <v>0</v>
      </c>
    </row>
    <row r="665" spans="1:18" x14ac:dyDescent="0.35">
      <c r="A665">
        <v>664</v>
      </c>
      <c r="B665" s="1">
        <v>45982</v>
      </c>
      <c r="C665">
        <v>1552</v>
      </c>
      <c r="D665" t="s">
        <v>32</v>
      </c>
      <c r="E665" t="s">
        <v>16</v>
      </c>
      <c r="F665" t="s">
        <v>34</v>
      </c>
      <c r="G665">
        <v>1</v>
      </c>
      <c r="H665">
        <v>0</v>
      </c>
      <c r="I665" t="s">
        <v>35</v>
      </c>
      <c r="J665" t="s">
        <v>31</v>
      </c>
      <c r="K665" t="s">
        <v>40</v>
      </c>
      <c r="L665">
        <v>7</v>
      </c>
      <c r="M665">
        <v>1</v>
      </c>
      <c r="N665">
        <v>1</v>
      </c>
      <c r="O665" t="s">
        <v>27</v>
      </c>
      <c r="P665" t="str">
        <f>TEXT(Table1[[#This Row],[order_date]],"yyyy-mm")</f>
        <v>2025-11</v>
      </c>
      <c r="Q665">
        <f>WEEKNUM(Table1[[#This Row],[order_date]])</f>
        <v>47</v>
      </c>
      <c r="R665">
        <f>IF(Table1[[#This Row],[order_status]]="completed",1,0)</f>
        <v>0</v>
      </c>
    </row>
    <row r="666" spans="1:18" x14ac:dyDescent="0.35">
      <c r="A666">
        <v>665</v>
      </c>
      <c r="B666" s="1">
        <v>45982</v>
      </c>
      <c r="C666">
        <v>1412</v>
      </c>
      <c r="D666" t="s">
        <v>28</v>
      </c>
      <c r="E666" t="s">
        <v>29</v>
      </c>
      <c r="F666" t="s">
        <v>30</v>
      </c>
      <c r="G666">
        <v>5</v>
      </c>
      <c r="H666">
        <v>0</v>
      </c>
      <c r="I666" t="s">
        <v>25</v>
      </c>
      <c r="J666" t="s">
        <v>31</v>
      </c>
      <c r="K666" t="s">
        <v>40</v>
      </c>
      <c r="L666">
        <v>4</v>
      </c>
      <c r="M666">
        <v>1</v>
      </c>
      <c r="N666">
        <v>1</v>
      </c>
      <c r="O666" t="s">
        <v>21</v>
      </c>
      <c r="P666" t="str">
        <f>TEXT(Table1[[#This Row],[order_date]],"yyyy-mm")</f>
        <v>2025-11</v>
      </c>
      <c r="Q666">
        <f>WEEKNUM(Table1[[#This Row],[order_date]])</f>
        <v>47</v>
      </c>
      <c r="R666">
        <f>IF(Table1[[#This Row],[order_status]]="completed",1,0)</f>
        <v>0</v>
      </c>
    </row>
    <row r="667" spans="1:18" x14ac:dyDescent="0.35">
      <c r="A667">
        <v>666</v>
      </c>
      <c r="B667" s="1">
        <v>45971</v>
      </c>
      <c r="C667">
        <v>1984</v>
      </c>
      <c r="D667" t="s">
        <v>22</v>
      </c>
      <c r="E667" t="s">
        <v>16</v>
      </c>
      <c r="F667" t="s">
        <v>34</v>
      </c>
      <c r="G667">
        <v>4</v>
      </c>
      <c r="H667">
        <v>0</v>
      </c>
      <c r="I667" t="s">
        <v>18</v>
      </c>
      <c r="J667" t="s">
        <v>31</v>
      </c>
      <c r="K667" t="s">
        <v>40</v>
      </c>
      <c r="L667">
        <v>9</v>
      </c>
      <c r="M667">
        <v>1</v>
      </c>
      <c r="N667">
        <v>1</v>
      </c>
      <c r="O667" t="s">
        <v>27</v>
      </c>
      <c r="P667" t="str">
        <f>TEXT(Table1[[#This Row],[order_date]],"yyyy-mm")</f>
        <v>2025-11</v>
      </c>
      <c r="Q667">
        <f>WEEKNUM(Table1[[#This Row],[order_date]])</f>
        <v>46</v>
      </c>
      <c r="R667">
        <f>IF(Table1[[#This Row],[order_status]]="completed",1,0)</f>
        <v>0</v>
      </c>
    </row>
    <row r="668" spans="1:18" x14ac:dyDescent="0.35">
      <c r="A668">
        <v>667</v>
      </c>
      <c r="B668" s="1">
        <v>45916</v>
      </c>
      <c r="C668">
        <v>1381</v>
      </c>
      <c r="D668" t="s">
        <v>28</v>
      </c>
      <c r="E668" t="s">
        <v>29</v>
      </c>
      <c r="F668" t="s">
        <v>24</v>
      </c>
      <c r="G668">
        <v>1</v>
      </c>
      <c r="H668">
        <v>3737</v>
      </c>
      <c r="I668" t="s">
        <v>18</v>
      </c>
      <c r="J668" t="s">
        <v>19</v>
      </c>
      <c r="K668" t="s">
        <v>26</v>
      </c>
      <c r="L668">
        <v>9</v>
      </c>
      <c r="M668">
        <v>1</v>
      </c>
      <c r="N668">
        <v>1</v>
      </c>
      <c r="O668" t="s">
        <v>21</v>
      </c>
      <c r="P668" t="str">
        <f>TEXT(Table1[[#This Row],[order_date]],"yyyy-mm")</f>
        <v>2025-09</v>
      </c>
      <c r="Q668">
        <f>WEEKNUM(Table1[[#This Row],[order_date]])</f>
        <v>38</v>
      </c>
      <c r="R668">
        <f>IF(Table1[[#This Row],[order_status]]="completed",1,0)</f>
        <v>1</v>
      </c>
    </row>
    <row r="669" spans="1:18" x14ac:dyDescent="0.35">
      <c r="A669">
        <v>668</v>
      </c>
      <c r="B669" s="1">
        <v>45998</v>
      </c>
      <c r="C669">
        <v>1320</v>
      </c>
      <c r="D669" t="s">
        <v>22</v>
      </c>
      <c r="E669" t="s">
        <v>16</v>
      </c>
      <c r="F669" t="s">
        <v>30</v>
      </c>
      <c r="G669">
        <v>4</v>
      </c>
      <c r="H669">
        <v>13536</v>
      </c>
      <c r="I669" t="s">
        <v>39</v>
      </c>
      <c r="J669" t="s">
        <v>19</v>
      </c>
      <c r="K669" t="s">
        <v>40</v>
      </c>
      <c r="L669">
        <v>10</v>
      </c>
      <c r="M669">
        <v>1</v>
      </c>
      <c r="N669">
        <v>0</v>
      </c>
      <c r="O669" t="s">
        <v>27</v>
      </c>
      <c r="P669" t="str">
        <f>TEXT(Table1[[#This Row],[order_date]],"yyyy-mm")</f>
        <v>2025-12</v>
      </c>
      <c r="Q669">
        <f>WEEKNUM(Table1[[#This Row],[order_date]])</f>
        <v>50</v>
      </c>
      <c r="R669">
        <f>IF(Table1[[#This Row],[order_status]]="completed",1,0)</f>
        <v>1</v>
      </c>
    </row>
    <row r="670" spans="1:18" x14ac:dyDescent="0.35">
      <c r="A670">
        <v>669</v>
      </c>
      <c r="B670" s="1">
        <v>45916</v>
      </c>
      <c r="C670">
        <v>1111</v>
      </c>
      <c r="D670" t="s">
        <v>22</v>
      </c>
      <c r="E670" t="s">
        <v>33</v>
      </c>
      <c r="F670" t="s">
        <v>24</v>
      </c>
      <c r="G670">
        <v>4</v>
      </c>
      <c r="H670">
        <v>0</v>
      </c>
      <c r="I670" t="s">
        <v>18</v>
      </c>
      <c r="J670" t="s">
        <v>31</v>
      </c>
      <c r="K670" t="s">
        <v>26</v>
      </c>
      <c r="L670">
        <v>2</v>
      </c>
      <c r="M670">
        <v>1</v>
      </c>
      <c r="N670">
        <v>0</v>
      </c>
      <c r="O670" t="s">
        <v>21</v>
      </c>
      <c r="P670" t="str">
        <f>TEXT(Table1[[#This Row],[order_date]],"yyyy-mm")</f>
        <v>2025-09</v>
      </c>
      <c r="Q670">
        <f>WEEKNUM(Table1[[#This Row],[order_date]])</f>
        <v>38</v>
      </c>
      <c r="R670">
        <f>IF(Table1[[#This Row],[order_status]]="completed",1,0)</f>
        <v>0</v>
      </c>
    </row>
    <row r="671" spans="1:18" x14ac:dyDescent="0.35">
      <c r="A671">
        <v>670</v>
      </c>
      <c r="B671" s="1">
        <v>45979</v>
      </c>
      <c r="C671">
        <v>1874</v>
      </c>
      <c r="D671" t="s">
        <v>41</v>
      </c>
      <c r="E671" t="s">
        <v>33</v>
      </c>
      <c r="F671" t="s">
        <v>30</v>
      </c>
      <c r="G671">
        <v>5</v>
      </c>
      <c r="H671">
        <v>15070</v>
      </c>
      <c r="I671" t="s">
        <v>25</v>
      </c>
      <c r="J671" t="s">
        <v>19</v>
      </c>
      <c r="K671" t="s">
        <v>40</v>
      </c>
      <c r="L671">
        <v>10</v>
      </c>
      <c r="M671">
        <v>1</v>
      </c>
      <c r="N671">
        <v>1</v>
      </c>
      <c r="O671" t="s">
        <v>27</v>
      </c>
      <c r="P671" t="str">
        <f>TEXT(Table1[[#This Row],[order_date]],"yyyy-mm")</f>
        <v>2025-11</v>
      </c>
      <c r="Q671">
        <f>WEEKNUM(Table1[[#This Row],[order_date]])</f>
        <v>47</v>
      </c>
      <c r="R671">
        <f>IF(Table1[[#This Row],[order_status]]="completed",1,0)</f>
        <v>1</v>
      </c>
    </row>
    <row r="672" spans="1:18" x14ac:dyDescent="0.35">
      <c r="A672">
        <v>671</v>
      </c>
      <c r="B672" s="1">
        <v>45992</v>
      </c>
      <c r="C672">
        <v>1154</v>
      </c>
      <c r="D672" t="s">
        <v>28</v>
      </c>
      <c r="E672" t="s">
        <v>16</v>
      </c>
      <c r="F672" t="s">
        <v>30</v>
      </c>
      <c r="G672">
        <v>2</v>
      </c>
      <c r="H672">
        <v>4966</v>
      </c>
      <c r="I672" t="s">
        <v>18</v>
      </c>
      <c r="J672" t="s">
        <v>19</v>
      </c>
      <c r="K672" t="s">
        <v>26</v>
      </c>
      <c r="L672">
        <v>9</v>
      </c>
      <c r="M672">
        <v>1</v>
      </c>
      <c r="N672">
        <v>0</v>
      </c>
      <c r="O672" t="s">
        <v>27</v>
      </c>
      <c r="P672" t="str">
        <f>TEXT(Table1[[#This Row],[order_date]],"yyyy-mm")</f>
        <v>2025-12</v>
      </c>
      <c r="Q672">
        <f>WEEKNUM(Table1[[#This Row],[order_date]])</f>
        <v>49</v>
      </c>
      <c r="R672">
        <f>IF(Table1[[#This Row],[order_status]]="completed",1,0)</f>
        <v>1</v>
      </c>
    </row>
    <row r="673" spans="1:18" x14ac:dyDescent="0.35">
      <c r="A673">
        <v>672</v>
      </c>
      <c r="B673" s="1">
        <v>46020</v>
      </c>
      <c r="C673">
        <v>1993</v>
      </c>
      <c r="D673" t="s">
        <v>41</v>
      </c>
      <c r="E673" t="s">
        <v>29</v>
      </c>
      <c r="F673" t="s">
        <v>34</v>
      </c>
      <c r="G673">
        <v>3</v>
      </c>
      <c r="H673">
        <v>0</v>
      </c>
      <c r="I673" t="s">
        <v>18</v>
      </c>
      <c r="J673" t="s">
        <v>31</v>
      </c>
      <c r="K673" t="s">
        <v>40</v>
      </c>
      <c r="L673">
        <v>7</v>
      </c>
      <c r="M673">
        <v>1</v>
      </c>
      <c r="N673">
        <v>1</v>
      </c>
      <c r="O673" t="s">
        <v>21</v>
      </c>
      <c r="P673" t="str">
        <f>TEXT(Table1[[#This Row],[order_date]],"yyyy-mm")</f>
        <v>2025-12</v>
      </c>
      <c r="Q673">
        <f>WEEKNUM(Table1[[#This Row],[order_date]])</f>
        <v>53</v>
      </c>
      <c r="R673">
        <f>IF(Table1[[#This Row],[order_status]]="completed",1,0)</f>
        <v>0</v>
      </c>
    </row>
    <row r="674" spans="1:18" x14ac:dyDescent="0.35">
      <c r="A674">
        <v>673</v>
      </c>
      <c r="B674" s="1">
        <v>45911</v>
      </c>
      <c r="C674">
        <v>1021</v>
      </c>
      <c r="D674" t="s">
        <v>28</v>
      </c>
      <c r="E674" t="s">
        <v>16</v>
      </c>
      <c r="F674" t="s">
        <v>17</v>
      </c>
      <c r="G674">
        <v>2</v>
      </c>
      <c r="H674">
        <v>0</v>
      </c>
      <c r="I674" t="s">
        <v>18</v>
      </c>
      <c r="J674" t="s">
        <v>37</v>
      </c>
      <c r="K674" t="s">
        <v>40</v>
      </c>
      <c r="L674">
        <v>2</v>
      </c>
      <c r="M674">
        <v>1</v>
      </c>
      <c r="N674">
        <v>1</v>
      </c>
      <c r="O674" t="s">
        <v>21</v>
      </c>
      <c r="P674" t="str">
        <f>TEXT(Table1[[#This Row],[order_date]],"yyyy-mm")</f>
        <v>2025-09</v>
      </c>
      <c r="Q674">
        <f>WEEKNUM(Table1[[#This Row],[order_date]])</f>
        <v>37</v>
      </c>
      <c r="R674">
        <f>IF(Table1[[#This Row],[order_status]]="completed",1,0)</f>
        <v>0</v>
      </c>
    </row>
    <row r="675" spans="1:18" x14ac:dyDescent="0.35">
      <c r="A675">
        <v>674</v>
      </c>
      <c r="B675" s="1">
        <v>45918</v>
      </c>
      <c r="C675">
        <v>1700</v>
      </c>
      <c r="D675" t="s">
        <v>28</v>
      </c>
      <c r="E675" t="s">
        <v>23</v>
      </c>
      <c r="F675" t="s">
        <v>30</v>
      </c>
      <c r="G675">
        <v>2</v>
      </c>
      <c r="H675">
        <v>7830</v>
      </c>
      <c r="I675" t="s">
        <v>35</v>
      </c>
      <c r="J675" t="s">
        <v>19</v>
      </c>
      <c r="K675" t="s">
        <v>38</v>
      </c>
      <c r="L675">
        <v>1</v>
      </c>
      <c r="M675">
        <v>1</v>
      </c>
      <c r="N675">
        <v>0</v>
      </c>
      <c r="O675" t="s">
        <v>21</v>
      </c>
      <c r="P675" t="str">
        <f>TEXT(Table1[[#This Row],[order_date]],"yyyy-mm")</f>
        <v>2025-09</v>
      </c>
      <c r="Q675">
        <f>WEEKNUM(Table1[[#This Row],[order_date]])</f>
        <v>38</v>
      </c>
      <c r="R675">
        <f>IF(Table1[[#This Row],[order_status]]="completed",1,0)</f>
        <v>1</v>
      </c>
    </row>
    <row r="676" spans="1:18" x14ac:dyDescent="0.35">
      <c r="A676">
        <v>675</v>
      </c>
      <c r="B676" s="1">
        <v>45916</v>
      </c>
      <c r="C676">
        <v>1046</v>
      </c>
      <c r="D676" t="s">
        <v>22</v>
      </c>
      <c r="E676" t="s">
        <v>33</v>
      </c>
      <c r="F676" t="s">
        <v>30</v>
      </c>
      <c r="G676">
        <v>1</v>
      </c>
      <c r="H676">
        <v>0</v>
      </c>
      <c r="I676" t="s">
        <v>25</v>
      </c>
      <c r="J676" t="s">
        <v>31</v>
      </c>
      <c r="K676" t="s">
        <v>40</v>
      </c>
      <c r="L676">
        <v>10</v>
      </c>
      <c r="M676">
        <v>1</v>
      </c>
      <c r="N676">
        <v>0</v>
      </c>
      <c r="O676" t="s">
        <v>21</v>
      </c>
      <c r="P676" t="str">
        <f>TEXT(Table1[[#This Row],[order_date]],"yyyy-mm")</f>
        <v>2025-09</v>
      </c>
      <c r="Q676">
        <f>WEEKNUM(Table1[[#This Row],[order_date]])</f>
        <v>38</v>
      </c>
      <c r="R676">
        <f>IF(Table1[[#This Row],[order_status]]="completed",1,0)</f>
        <v>0</v>
      </c>
    </row>
    <row r="677" spans="1:18" x14ac:dyDescent="0.35">
      <c r="A677">
        <v>676</v>
      </c>
      <c r="B677" s="1">
        <v>45925</v>
      </c>
      <c r="C677">
        <v>1271</v>
      </c>
      <c r="D677" t="s">
        <v>41</v>
      </c>
      <c r="E677" t="s">
        <v>36</v>
      </c>
      <c r="F677" t="s">
        <v>17</v>
      </c>
      <c r="G677">
        <v>5</v>
      </c>
      <c r="H677">
        <v>0</v>
      </c>
      <c r="I677" t="s">
        <v>18</v>
      </c>
      <c r="J677" t="s">
        <v>31</v>
      </c>
      <c r="K677" t="s">
        <v>20</v>
      </c>
      <c r="L677">
        <v>4</v>
      </c>
      <c r="M677">
        <v>0</v>
      </c>
      <c r="N677">
        <v>0</v>
      </c>
      <c r="O677" t="s">
        <v>27</v>
      </c>
      <c r="P677" t="str">
        <f>TEXT(Table1[[#This Row],[order_date]],"yyyy-mm")</f>
        <v>2025-09</v>
      </c>
      <c r="Q677">
        <f>WEEKNUM(Table1[[#This Row],[order_date]])</f>
        <v>39</v>
      </c>
      <c r="R677">
        <f>IF(Table1[[#This Row],[order_status]]="completed",1,0)</f>
        <v>0</v>
      </c>
    </row>
    <row r="678" spans="1:18" x14ac:dyDescent="0.35">
      <c r="A678">
        <v>677</v>
      </c>
      <c r="B678" s="1">
        <v>45891</v>
      </c>
      <c r="C678">
        <v>1925</v>
      </c>
      <c r="D678" t="s">
        <v>41</v>
      </c>
      <c r="E678" t="s">
        <v>23</v>
      </c>
      <c r="F678" t="s">
        <v>24</v>
      </c>
      <c r="G678">
        <v>3</v>
      </c>
      <c r="H678">
        <v>0</v>
      </c>
      <c r="I678" t="s">
        <v>18</v>
      </c>
      <c r="J678" t="s">
        <v>37</v>
      </c>
      <c r="K678" t="s">
        <v>40</v>
      </c>
      <c r="L678">
        <v>9</v>
      </c>
      <c r="M678">
        <v>0</v>
      </c>
      <c r="N678">
        <v>1</v>
      </c>
      <c r="O678" t="s">
        <v>21</v>
      </c>
      <c r="P678" t="str">
        <f>TEXT(Table1[[#This Row],[order_date]],"yyyy-mm")</f>
        <v>2025-08</v>
      </c>
      <c r="Q678">
        <f>WEEKNUM(Table1[[#This Row],[order_date]])</f>
        <v>34</v>
      </c>
      <c r="R678">
        <f>IF(Table1[[#This Row],[order_status]]="completed",1,0)</f>
        <v>0</v>
      </c>
    </row>
    <row r="679" spans="1:18" x14ac:dyDescent="0.35">
      <c r="A679">
        <v>678</v>
      </c>
      <c r="B679" s="1">
        <v>46012</v>
      </c>
      <c r="C679">
        <v>1231</v>
      </c>
      <c r="D679" t="s">
        <v>22</v>
      </c>
      <c r="E679" t="s">
        <v>23</v>
      </c>
      <c r="F679" t="s">
        <v>24</v>
      </c>
      <c r="G679">
        <v>5</v>
      </c>
      <c r="H679">
        <v>0</v>
      </c>
      <c r="I679" t="s">
        <v>39</v>
      </c>
      <c r="J679" t="s">
        <v>31</v>
      </c>
      <c r="K679" t="s">
        <v>40</v>
      </c>
      <c r="L679">
        <v>6</v>
      </c>
      <c r="M679">
        <v>0</v>
      </c>
      <c r="N679">
        <v>0</v>
      </c>
      <c r="O679" t="s">
        <v>21</v>
      </c>
      <c r="P679" t="str">
        <f>TEXT(Table1[[#This Row],[order_date]],"yyyy-mm")</f>
        <v>2025-12</v>
      </c>
      <c r="Q679">
        <f>WEEKNUM(Table1[[#This Row],[order_date]])</f>
        <v>52</v>
      </c>
      <c r="R679">
        <f>IF(Table1[[#This Row],[order_status]]="completed",1,0)</f>
        <v>0</v>
      </c>
    </row>
    <row r="680" spans="1:18" x14ac:dyDescent="0.35">
      <c r="A680">
        <v>679</v>
      </c>
      <c r="B680" s="1">
        <v>45888</v>
      </c>
      <c r="C680">
        <v>1315</v>
      </c>
      <c r="D680" t="s">
        <v>15</v>
      </c>
      <c r="E680" t="s">
        <v>16</v>
      </c>
      <c r="F680" t="s">
        <v>17</v>
      </c>
      <c r="G680">
        <v>4</v>
      </c>
      <c r="H680">
        <v>0</v>
      </c>
      <c r="I680" t="s">
        <v>39</v>
      </c>
      <c r="J680" t="s">
        <v>31</v>
      </c>
      <c r="K680" t="s">
        <v>38</v>
      </c>
      <c r="L680">
        <v>3</v>
      </c>
      <c r="M680">
        <v>0</v>
      </c>
      <c r="N680">
        <v>0</v>
      </c>
      <c r="O680" t="s">
        <v>27</v>
      </c>
      <c r="P680" t="str">
        <f>TEXT(Table1[[#This Row],[order_date]],"yyyy-mm")</f>
        <v>2025-08</v>
      </c>
      <c r="Q680">
        <f>WEEKNUM(Table1[[#This Row],[order_date]])</f>
        <v>34</v>
      </c>
      <c r="R680">
        <f>IF(Table1[[#This Row],[order_status]]="completed",1,0)</f>
        <v>0</v>
      </c>
    </row>
    <row r="681" spans="1:18" x14ac:dyDescent="0.35">
      <c r="A681">
        <v>680</v>
      </c>
      <c r="B681" s="1">
        <v>45997</v>
      </c>
      <c r="C681">
        <v>1470</v>
      </c>
      <c r="D681" t="s">
        <v>28</v>
      </c>
      <c r="E681" t="s">
        <v>33</v>
      </c>
      <c r="F681" t="s">
        <v>30</v>
      </c>
      <c r="G681">
        <v>2</v>
      </c>
      <c r="H681">
        <v>0</v>
      </c>
      <c r="I681" t="s">
        <v>25</v>
      </c>
      <c r="J681" t="s">
        <v>37</v>
      </c>
      <c r="K681" t="s">
        <v>26</v>
      </c>
      <c r="L681">
        <v>4</v>
      </c>
      <c r="M681">
        <v>1</v>
      </c>
      <c r="N681">
        <v>1</v>
      </c>
      <c r="O681" t="s">
        <v>27</v>
      </c>
      <c r="P681" t="str">
        <f>TEXT(Table1[[#This Row],[order_date]],"yyyy-mm")</f>
        <v>2025-12</v>
      </c>
      <c r="Q681">
        <f>WEEKNUM(Table1[[#This Row],[order_date]])</f>
        <v>49</v>
      </c>
      <c r="R681">
        <f>IF(Table1[[#This Row],[order_status]]="completed",1,0)</f>
        <v>0</v>
      </c>
    </row>
    <row r="682" spans="1:18" x14ac:dyDescent="0.35">
      <c r="A682">
        <v>681</v>
      </c>
      <c r="B682" s="1">
        <v>46025</v>
      </c>
      <c r="C682">
        <v>1997</v>
      </c>
      <c r="D682" t="s">
        <v>22</v>
      </c>
      <c r="E682" t="s">
        <v>29</v>
      </c>
      <c r="F682" t="s">
        <v>34</v>
      </c>
      <c r="G682">
        <v>2</v>
      </c>
      <c r="H682">
        <v>0</v>
      </c>
      <c r="I682" t="s">
        <v>39</v>
      </c>
      <c r="J682" t="s">
        <v>31</v>
      </c>
      <c r="K682" t="s">
        <v>20</v>
      </c>
      <c r="L682">
        <v>8</v>
      </c>
      <c r="M682">
        <v>0</v>
      </c>
      <c r="N682">
        <v>0</v>
      </c>
      <c r="O682" t="s">
        <v>21</v>
      </c>
      <c r="P682" t="str">
        <f>TEXT(Table1[[#This Row],[order_date]],"yyyy-mm")</f>
        <v>2026-01</v>
      </c>
      <c r="Q682">
        <f>WEEKNUM(Table1[[#This Row],[order_date]])</f>
        <v>1</v>
      </c>
      <c r="R682">
        <f>IF(Table1[[#This Row],[order_status]]="completed",1,0)</f>
        <v>0</v>
      </c>
    </row>
    <row r="683" spans="1:18" x14ac:dyDescent="0.35">
      <c r="A683">
        <v>682</v>
      </c>
      <c r="B683" s="1">
        <v>45939</v>
      </c>
      <c r="C683">
        <v>1360</v>
      </c>
      <c r="D683" t="s">
        <v>32</v>
      </c>
      <c r="E683" t="s">
        <v>23</v>
      </c>
      <c r="F683" t="s">
        <v>17</v>
      </c>
      <c r="G683">
        <v>3</v>
      </c>
      <c r="H683">
        <v>0</v>
      </c>
      <c r="I683" t="s">
        <v>35</v>
      </c>
      <c r="J683" t="s">
        <v>37</v>
      </c>
      <c r="K683" t="s">
        <v>26</v>
      </c>
      <c r="L683">
        <v>5</v>
      </c>
      <c r="M683">
        <v>1</v>
      </c>
      <c r="N683">
        <v>0</v>
      </c>
      <c r="O683" t="s">
        <v>21</v>
      </c>
      <c r="P683" t="str">
        <f>TEXT(Table1[[#This Row],[order_date]],"yyyy-mm")</f>
        <v>2025-10</v>
      </c>
      <c r="Q683">
        <f>WEEKNUM(Table1[[#This Row],[order_date]])</f>
        <v>41</v>
      </c>
      <c r="R683">
        <f>IF(Table1[[#This Row],[order_status]]="completed",1,0)</f>
        <v>0</v>
      </c>
    </row>
    <row r="684" spans="1:18" x14ac:dyDescent="0.35">
      <c r="A684">
        <v>683</v>
      </c>
      <c r="B684" s="1">
        <v>45933</v>
      </c>
      <c r="C684">
        <v>1138</v>
      </c>
      <c r="D684" t="s">
        <v>28</v>
      </c>
      <c r="E684" t="s">
        <v>23</v>
      </c>
      <c r="F684" t="s">
        <v>30</v>
      </c>
      <c r="G684">
        <v>1</v>
      </c>
      <c r="H684">
        <v>0</v>
      </c>
      <c r="I684" t="s">
        <v>39</v>
      </c>
      <c r="J684" t="s">
        <v>31</v>
      </c>
      <c r="K684" t="s">
        <v>20</v>
      </c>
      <c r="L684">
        <v>4</v>
      </c>
      <c r="M684">
        <v>1</v>
      </c>
      <c r="N684">
        <v>0</v>
      </c>
      <c r="O684" t="s">
        <v>27</v>
      </c>
      <c r="P684" t="str">
        <f>TEXT(Table1[[#This Row],[order_date]],"yyyy-mm")</f>
        <v>2025-10</v>
      </c>
      <c r="Q684">
        <f>WEEKNUM(Table1[[#This Row],[order_date]])</f>
        <v>40</v>
      </c>
      <c r="R684">
        <f>IF(Table1[[#This Row],[order_status]]="completed",1,0)</f>
        <v>0</v>
      </c>
    </row>
    <row r="685" spans="1:18" x14ac:dyDescent="0.35">
      <c r="A685">
        <v>684</v>
      </c>
      <c r="B685" s="1">
        <v>45951</v>
      </c>
      <c r="C685">
        <v>1002</v>
      </c>
      <c r="D685" t="s">
        <v>22</v>
      </c>
      <c r="E685" t="s">
        <v>23</v>
      </c>
      <c r="F685" t="s">
        <v>34</v>
      </c>
      <c r="G685">
        <v>2</v>
      </c>
      <c r="H685">
        <v>0</v>
      </c>
      <c r="I685" t="s">
        <v>25</v>
      </c>
      <c r="J685" t="s">
        <v>37</v>
      </c>
      <c r="K685" t="s">
        <v>40</v>
      </c>
      <c r="L685">
        <v>6</v>
      </c>
      <c r="M685">
        <v>0</v>
      </c>
      <c r="N685">
        <v>1</v>
      </c>
      <c r="O685" t="s">
        <v>21</v>
      </c>
      <c r="P685" t="str">
        <f>TEXT(Table1[[#This Row],[order_date]],"yyyy-mm")</f>
        <v>2025-10</v>
      </c>
      <c r="Q685">
        <f>WEEKNUM(Table1[[#This Row],[order_date]])</f>
        <v>43</v>
      </c>
      <c r="R685">
        <f>IF(Table1[[#This Row],[order_status]]="completed",1,0)</f>
        <v>0</v>
      </c>
    </row>
    <row r="686" spans="1:18" x14ac:dyDescent="0.35">
      <c r="A686">
        <v>685</v>
      </c>
      <c r="B686" s="1">
        <v>45955</v>
      </c>
      <c r="C686">
        <v>1857</v>
      </c>
      <c r="D686" t="s">
        <v>28</v>
      </c>
      <c r="E686" t="s">
        <v>23</v>
      </c>
      <c r="F686" t="s">
        <v>17</v>
      </c>
      <c r="G686">
        <v>4</v>
      </c>
      <c r="H686">
        <v>0</v>
      </c>
      <c r="I686" t="s">
        <v>25</v>
      </c>
      <c r="J686" t="s">
        <v>31</v>
      </c>
      <c r="K686" t="s">
        <v>38</v>
      </c>
      <c r="L686">
        <v>7</v>
      </c>
      <c r="M686">
        <v>1</v>
      </c>
      <c r="N686">
        <v>1</v>
      </c>
      <c r="O686" t="s">
        <v>21</v>
      </c>
      <c r="P686" t="str">
        <f>TEXT(Table1[[#This Row],[order_date]],"yyyy-mm")</f>
        <v>2025-10</v>
      </c>
      <c r="Q686">
        <f>WEEKNUM(Table1[[#This Row],[order_date]])</f>
        <v>43</v>
      </c>
      <c r="R686">
        <f>IF(Table1[[#This Row],[order_status]]="completed",1,0)</f>
        <v>0</v>
      </c>
    </row>
    <row r="687" spans="1:18" x14ac:dyDescent="0.35">
      <c r="A687">
        <v>686</v>
      </c>
      <c r="B687" s="1">
        <v>45982</v>
      </c>
      <c r="C687">
        <v>1233</v>
      </c>
      <c r="D687" t="s">
        <v>41</v>
      </c>
      <c r="E687" t="s">
        <v>33</v>
      </c>
      <c r="F687" t="s">
        <v>30</v>
      </c>
      <c r="G687">
        <v>2</v>
      </c>
      <c r="H687">
        <v>0</v>
      </c>
      <c r="I687" t="s">
        <v>18</v>
      </c>
      <c r="J687" t="s">
        <v>37</v>
      </c>
      <c r="K687" t="s">
        <v>38</v>
      </c>
      <c r="L687">
        <v>3</v>
      </c>
      <c r="M687">
        <v>0</v>
      </c>
      <c r="N687">
        <v>1</v>
      </c>
      <c r="O687" t="s">
        <v>27</v>
      </c>
      <c r="P687" t="str">
        <f>TEXT(Table1[[#This Row],[order_date]],"yyyy-mm")</f>
        <v>2025-11</v>
      </c>
      <c r="Q687">
        <f>WEEKNUM(Table1[[#This Row],[order_date]])</f>
        <v>47</v>
      </c>
      <c r="R687">
        <f>IF(Table1[[#This Row],[order_status]]="completed",1,0)</f>
        <v>0</v>
      </c>
    </row>
    <row r="688" spans="1:18" x14ac:dyDescent="0.35">
      <c r="A688">
        <v>687</v>
      </c>
      <c r="B688" s="1">
        <v>45949</v>
      </c>
      <c r="C688">
        <v>1736</v>
      </c>
      <c r="D688" t="s">
        <v>22</v>
      </c>
      <c r="E688" t="s">
        <v>36</v>
      </c>
      <c r="F688" t="s">
        <v>24</v>
      </c>
      <c r="G688">
        <v>2</v>
      </c>
      <c r="H688">
        <v>1786</v>
      </c>
      <c r="I688" t="s">
        <v>35</v>
      </c>
      <c r="J688" t="s">
        <v>19</v>
      </c>
      <c r="K688" t="s">
        <v>40</v>
      </c>
      <c r="L688">
        <v>3</v>
      </c>
      <c r="M688">
        <v>0</v>
      </c>
      <c r="N688">
        <v>0</v>
      </c>
      <c r="O688" t="s">
        <v>27</v>
      </c>
      <c r="P688" t="str">
        <f>TEXT(Table1[[#This Row],[order_date]],"yyyy-mm")</f>
        <v>2025-10</v>
      </c>
      <c r="Q688">
        <f>WEEKNUM(Table1[[#This Row],[order_date]])</f>
        <v>43</v>
      </c>
      <c r="R688">
        <f>IF(Table1[[#This Row],[order_status]]="completed",1,0)</f>
        <v>1</v>
      </c>
    </row>
    <row r="689" spans="1:18" x14ac:dyDescent="0.35">
      <c r="A689">
        <v>688</v>
      </c>
      <c r="B689" s="1">
        <v>46005</v>
      </c>
      <c r="C689">
        <v>1729</v>
      </c>
      <c r="D689" t="s">
        <v>41</v>
      </c>
      <c r="E689" t="s">
        <v>23</v>
      </c>
      <c r="F689" t="s">
        <v>24</v>
      </c>
      <c r="G689">
        <v>5</v>
      </c>
      <c r="H689">
        <v>0</v>
      </c>
      <c r="I689" t="s">
        <v>18</v>
      </c>
      <c r="J689" t="s">
        <v>31</v>
      </c>
      <c r="K689" t="s">
        <v>40</v>
      </c>
      <c r="L689">
        <v>2</v>
      </c>
      <c r="M689">
        <v>0</v>
      </c>
      <c r="N689">
        <v>0</v>
      </c>
      <c r="O689" t="s">
        <v>27</v>
      </c>
      <c r="P689" t="str">
        <f>TEXT(Table1[[#This Row],[order_date]],"yyyy-mm")</f>
        <v>2025-12</v>
      </c>
      <c r="Q689">
        <f>WEEKNUM(Table1[[#This Row],[order_date]])</f>
        <v>51</v>
      </c>
      <c r="R689">
        <f>IF(Table1[[#This Row],[order_status]]="completed",1,0)</f>
        <v>0</v>
      </c>
    </row>
    <row r="690" spans="1:18" x14ac:dyDescent="0.35">
      <c r="A690">
        <v>689</v>
      </c>
      <c r="B690" s="1">
        <v>45898</v>
      </c>
      <c r="C690">
        <v>1393</v>
      </c>
      <c r="D690" t="s">
        <v>28</v>
      </c>
      <c r="E690" t="s">
        <v>16</v>
      </c>
      <c r="F690" t="s">
        <v>30</v>
      </c>
      <c r="G690">
        <v>2</v>
      </c>
      <c r="H690">
        <v>3098</v>
      </c>
      <c r="I690" t="s">
        <v>18</v>
      </c>
      <c r="J690" t="s">
        <v>19</v>
      </c>
      <c r="K690" t="s">
        <v>26</v>
      </c>
      <c r="L690">
        <v>6</v>
      </c>
      <c r="M690">
        <v>1</v>
      </c>
      <c r="N690">
        <v>1</v>
      </c>
      <c r="O690" t="s">
        <v>27</v>
      </c>
      <c r="P690" t="str">
        <f>TEXT(Table1[[#This Row],[order_date]],"yyyy-mm")</f>
        <v>2025-08</v>
      </c>
      <c r="Q690">
        <f>WEEKNUM(Table1[[#This Row],[order_date]])</f>
        <v>35</v>
      </c>
      <c r="R690">
        <f>IF(Table1[[#This Row],[order_status]]="completed",1,0)</f>
        <v>1</v>
      </c>
    </row>
    <row r="691" spans="1:18" x14ac:dyDescent="0.35">
      <c r="A691">
        <v>690</v>
      </c>
      <c r="B691" s="1">
        <v>45985</v>
      </c>
      <c r="C691">
        <v>1055</v>
      </c>
      <c r="D691" t="s">
        <v>28</v>
      </c>
      <c r="E691" t="s">
        <v>23</v>
      </c>
      <c r="F691" t="s">
        <v>30</v>
      </c>
      <c r="G691">
        <v>2</v>
      </c>
      <c r="H691">
        <v>0</v>
      </c>
      <c r="I691" t="s">
        <v>39</v>
      </c>
      <c r="J691" t="s">
        <v>37</v>
      </c>
      <c r="K691" t="s">
        <v>38</v>
      </c>
      <c r="L691">
        <v>7</v>
      </c>
      <c r="M691">
        <v>1</v>
      </c>
      <c r="N691">
        <v>1</v>
      </c>
      <c r="O691" t="s">
        <v>27</v>
      </c>
      <c r="P691" t="str">
        <f>TEXT(Table1[[#This Row],[order_date]],"yyyy-mm")</f>
        <v>2025-11</v>
      </c>
      <c r="Q691">
        <f>WEEKNUM(Table1[[#This Row],[order_date]])</f>
        <v>48</v>
      </c>
      <c r="R691">
        <f>IF(Table1[[#This Row],[order_status]]="completed",1,0)</f>
        <v>0</v>
      </c>
    </row>
    <row r="692" spans="1:18" x14ac:dyDescent="0.35">
      <c r="A692">
        <v>691</v>
      </c>
      <c r="B692" s="1">
        <v>45867</v>
      </c>
      <c r="C692">
        <v>1506</v>
      </c>
      <c r="D692" t="s">
        <v>41</v>
      </c>
      <c r="E692" t="s">
        <v>16</v>
      </c>
      <c r="F692" t="s">
        <v>30</v>
      </c>
      <c r="G692">
        <v>3</v>
      </c>
      <c r="H692">
        <v>0</v>
      </c>
      <c r="I692" t="s">
        <v>35</v>
      </c>
      <c r="J692" t="s">
        <v>31</v>
      </c>
      <c r="K692" t="s">
        <v>26</v>
      </c>
      <c r="L692">
        <v>9</v>
      </c>
      <c r="M692">
        <v>1</v>
      </c>
      <c r="N692">
        <v>1</v>
      </c>
      <c r="O692" t="s">
        <v>21</v>
      </c>
      <c r="P692" t="str">
        <f>TEXT(Table1[[#This Row],[order_date]],"yyyy-mm")</f>
        <v>2025-07</v>
      </c>
      <c r="Q692">
        <f>WEEKNUM(Table1[[#This Row],[order_date]])</f>
        <v>31</v>
      </c>
      <c r="R692">
        <f>IF(Table1[[#This Row],[order_status]]="completed",1,0)</f>
        <v>0</v>
      </c>
    </row>
    <row r="693" spans="1:18" x14ac:dyDescent="0.35">
      <c r="A693">
        <v>692</v>
      </c>
      <c r="B693" s="1">
        <v>45914</v>
      </c>
      <c r="C693">
        <v>1256</v>
      </c>
      <c r="D693" t="s">
        <v>41</v>
      </c>
      <c r="E693" t="s">
        <v>33</v>
      </c>
      <c r="F693" t="s">
        <v>34</v>
      </c>
      <c r="G693">
        <v>1</v>
      </c>
      <c r="H693">
        <v>0</v>
      </c>
      <c r="I693" t="s">
        <v>18</v>
      </c>
      <c r="J693" t="s">
        <v>37</v>
      </c>
      <c r="K693" t="s">
        <v>20</v>
      </c>
      <c r="L693">
        <v>3</v>
      </c>
      <c r="M693">
        <v>1</v>
      </c>
      <c r="N693">
        <v>1</v>
      </c>
      <c r="O693" t="s">
        <v>21</v>
      </c>
      <c r="P693" t="str">
        <f>TEXT(Table1[[#This Row],[order_date]],"yyyy-mm")</f>
        <v>2025-09</v>
      </c>
      <c r="Q693">
        <f>WEEKNUM(Table1[[#This Row],[order_date]])</f>
        <v>38</v>
      </c>
      <c r="R693">
        <f>IF(Table1[[#This Row],[order_status]]="completed",1,0)</f>
        <v>0</v>
      </c>
    </row>
    <row r="694" spans="1:18" x14ac:dyDescent="0.35">
      <c r="A694">
        <v>693</v>
      </c>
      <c r="B694" s="1">
        <v>45971</v>
      </c>
      <c r="C694">
        <v>1995</v>
      </c>
      <c r="D694" t="s">
        <v>32</v>
      </c>
      <c r="E694" t="s">
        <v>16</v>
      </c>
      <c r="F694" t="s">
        <v>30</v>
      </c>
      <c r="G694">
        <v>1</v>
      </c>
      <c r="H694">
        <v>751</v>
      </c>
      <c r="I694" t="s">
        <v>18</v>
      </c>
      <c r="J694" t="s">
        <v>19</v>
      </c>
      <c r="K694" t="s">
        <v>40</v>
      </c>
      <c r="L694">
        <v>6</v>
      </c>
      <c r="M694">
        <v>0</v>
      </c>
      <c r="N694">
        <v>0</v>
      </c>
      <c r="O694" t="s">
        <v>21</v>
      </c>
      <c r="P694" t="str">
        <f>TEXT(Table1[[#This Row],[order_date]],"yyyy-mm")</f>
        <v>2025-11</v>
      </c>
      <c r="Q694">
        <f>WEEKNUM(Table1[[#This Row],[order_date]])</f>
        <v>46</v>
      </c>
      <c r="R694">
        <f>IF(Table1[[#This Row],[order_status]]="completed",1,0)</f>
        <v>1</v>
      </c>
    </row>
    <row r="695" spans="1:18" x14ac:dyDescent="0.35">
      <c r="A695">
        <v>694</v>
      </c>
      <c r="B695" s="1">
        <v>45924</v>
      </c>
      <c r="C695">
        <v>1844</v>
      </c>
      <c r="D695" t="s">
        <v>22</v>
      </c>
      <c r="E695" t="s">
        <v>23</v>
      </c>
      <c r="F695" t="s">
        <v>24</v>
      </c>
      <c r="G695">
        <v>2</v>
      </c>
      <c r="H695">
        <v>0</v>
      </c>
      <c r="I695" t="s">
        <v>39</v>
      </c>
      <c r="J695" t="s">
        <v>37</v>
      </c>
      <c r="K695" t="s">
        <v>26</v>
      </c>
      <c r="L695">
        <v>8</v>
      </c>
      <c r="M695">
        <v>1</v>
      </c>
      <c r="N695">
        <v>1</v>
      </c>
      <c r="O695" t="s">
        <v>21</v>
      </c>
      <c r="P695" t="str">
        <f>TEXT(Table1[[#This Row],[order_date]],"yyyy-mm")</f>
        <v>2025-09</v>
      </c>
      <c r="Q695">
        <f>WEEKNUM(Table1[[#This Row],[order_date]])</f>
        <v>39</v>
      </c>
      <c r="R695">
        <f>IF(Table1[[#This Row],[order_status]]="completed",1,0)</f>
        <v>0</v>
      </c>
    </row>
    <row r="696" spans="1:18" x14ac:dyDescent="0.35">
      <c r="A696">
        <v>695</v>
      </c>
      <c r="B696" s="1">
        <v>45855</v>
      </c>
      <c r="C696">
        <v>1609</v>
      </c>
      <c r="D696" t="s">
        <v>28</v>
      </c>
      <c r="E696" t="s">
        <v>16</v>
      </c>
      <c r="F696" t="s">
        <v>34</v>
      </c>
      <c r="G696">
        <v>2</v>
      </c>
      <c r="H696">
        <v>0</v>
      </c>
      <c r="I696" t="s">
        <v>39</v>
      </c>
      <c r="J696" t="s">
        <v>31</v>
      </c>
      <c r="K696" t="s">
        <v>40</v>
      </c>
      <c r="L696">
        <v>5</v>
      </c>
      <c r="M696">
        <v>0</v>
      </c>
      <c r="N696">
        <v>0</v>
      </c>
      <c r="O696" t="s">
        <v>21</v>
      </c>
      <c r="P696" t="str">
        <f>TEXT(Table1[[#This Row],[order_date]],"yyyy-mm")</f>
        <v>2025-07</v>
      </c>
      <c r="Q696">
        <f>WEEKNUM(Table1[[#This Row],[order_date]])</f>
        <v>29</v>
      </c>
      <c r="R696">
        <f>IF(Table1[[#This Row],[order_status]]="completed",1,0)</f>
        <v>0</v>
      </c>
    </row>
    <row r="697" spans="1:18" x14ac:dyDescent="0.35">
      <c r="A697">
        <v>696</v>
      </c>
      <c r="B697" s="1">
        <v>46006</v>
      </c>
      <c r="C697">
        <v>1080</v>
      </c>
      <c r="D697" t="s">
        <v>22</v>
      </c>
      <c r="E697" t="s">
        <v>29</v>
      </c>
      <c r="F697" t="s">
        <v>30</v>
      </c>
      <c r="G697">
        <v>1</v>
      </c>
      <c r="H697">
        <v>2710</v>
      </c>
      <c r="I697" t="s">
        <v>18</v>
      </c>
      <c r="J697" t="s">
        <v>19</v>
      </c>
      <c r="K697" t="s">
        <v>20</v>
      </c>
      <c r="L697">
        <v>9</v>
      </c>
      <c r="M697">
        <v>1</v>
      </c>
      <c r="N697">
        <v>0</v>
      </c>
      <c r="O697" t="s">
        <v>27</v>
      </c>
      <c r="P697" t="str">
        <f>TEXT(Table1[[#This Row],[order_date]],"yyyy-mm")</f>
        <v>2025-12</v>
      </c>
      <c r="Q697">
        <f>WEEKNUM(Table1[[#This Row],[order_date]])</f>
        <v>51</v>
      </c>
      <c r="R697">
        <f>IF(Table1[[#This Row],[order_status]]="completed",1,0)</f>
        <v>1</v>
      </c>
    </row>
    <row r="698" spans="1:18" x14ac:dyDescent="0.35">
      <c r="A698">
        <v>697</v>
      </c>
      <c r="B698" s="1">
        <v>45860</v>
      </c>
      <c r="C698">
        <v>1774</v>
      </c>
      <c r="D698" t="s">
        <v>41</v>
      </c>
      <c r="E698" t="s">
        <v>36</v>
      </c>
      <c r="F698" t="s">
        <v>30</v>
      </c>
      <c r="G698">
        <v>1</v>
      </c>
      <c r="H698">
        <v>4416</v>
      </c>
      <c r="I698" t="s">
        <v>18</v>
      </c>
      <c r="J698" t="s">
        <v>19</v>
      </c>
      <c r="K698" t="s">
        <v>26</v>
      </c>
      <c r="L698">
        <v>4</v>
      </c>
      <c r="M698">
        <v>1</v>
      </c>
      <c r="N698">
        <v>1</v>
      </c>
      <c r="O698" t="s">
        <v>21</v>
      </c>
      <c r="P698" t="str">
        <f>TEXT(Table1[[#This Row],[order_date]],"yyyy-mm")</f>
        <v>2025-07</v>
      </c>
      <c r="Q698">
        <f>WEEKNUM(Table1[[#This Row],[order_date]])</f>
        <v>30</v>
      </c>
      <c r="R698">
        <f>IF(Table1[[#This Row],[order_status]]="completed",1,0)</f>
        <v>1</v>
      </c>
    </row>
    <row r="699" spans="1:18" x14ac:dyDescent="0.35">
      <c r="A699">
        <v>698</v>
      </c>
      <c r="B699" s="1">
        <v>45878</v>
      </c>
      <c r="C699">
        <v>1093</v>
      </c>
      <c r="D699" t="s">
        <v>28</v>
      </c>
      <c r="E699" t="s">
        <v>16</v>
      </c>
      <c r="F699" t="s">
        <v>17</v>
      </c>
      <c r="G699">
        <v>5</v>
      </c>
      <c r="H699">
        <v>0</v>
      </c>
      <c r="I699" t="s">
        <v>25</v>
      </c>
      <c r="J699" t="s">
        <v>31</v>
      </c>
      <c r="K699" t="s">
        <v>40</v>
      </c>
      <c r="L699">
        <v>3</v>
      </c>
      <c r="M699">
        <v>0</v>
      </c>
      <c r="N699">
        <v>0</v>
      </c>
      <c r="O699" t="s">
        <v>27</v>
      </c>
      <c r="P699" t="str">
        <f>TEXT(Table1[[#This Row],[order_date]],"yyyy-mm")</f>
        <v>2025-08</v>
      </c>
      <c r="Q699">
        <f>WEEKNUM(Table1[[#This Row],[order_date]])</f>
        <v>32</v>
      </c>
      <c r="R699">
        <f>IF(Table1[[#This Row],[order_status]]="completed",1,0)</f>
        <v>0</v>
      </c>
    </row>
    <row r="700" spans="1:18" x14ac:dyDescent="0.35">
      <c r="A700">
        <v>699</v>
      </c>
      <c r="B700" s="1">
        <v>45931</v>
      </c>
      <c r="C700">
        <v>1571</v>
      </c>
      <c r="D700" t="s">
        <v>32</v>
      </c>
      <c r="E700" t="s">
        <v>33</v>
      </c>
      <c r="F700" t="s">
        <v>17</v>
      </c>
      <c r="G700">
        <v>4</v>
      </c>
      <c r="H700">
        <v>7908</v>
      </c>
      <c r="I700" t="s">
        <v>25</v>
      </c>
      <c r="J700" t="s">
        <v>19</v>
      </c>
      <c r="K700" t="s">
        <v>26</v>
      </c>
      <c r="L700">
        <v>1</v>
      </c>
      <c r="M700">
        <v>1</v>
      </c>
      <c r="N700">
        <v>1</v>
      </c>
      <c r="O700" t="s">
        <v>27</v>
      </c>
      <c r="P700" t="str">
        <f>TEXT(Table1[[#This Row],[order_date]],"yyyy-mm")</f>
        <v>2025-10</v>
      </c>
      <c r="Q700">
        <f>WEEKNUM(Table1[[#This Row],[order_date]])</f>
        <v>40</v>
      </c>
      <c r="R700">
        <f>IF(Table1[[#This Row],[order_status]]="completed",1,0)</f>
        <v>1</v>
      </c>
    </row>
    <row r="701" spans="1:18" x14ac:dyDescent="0.35">
      <c r="A701">
        <v>700</v>
      </c>
      <c r="B701" s="1">
        <v>45907</v>
      </c>
      <c r="C701">
        <v>1605</v>
      </c>
      <c r="D701" t="s">
        <v>32</v>
      </c>
      <c r="E701" t="s">
        <v>33</v>
      </c>
      <c r="F701" t="s">
        <v>24</v>
      </c>
      <c r="G701">
        <v>2</v>
      </c>
      <c r="H701">
        <v>0</v>
      </c>
      <c r="I701" t="s">
        <v>35</v>
      </c>
      <c r="J701" t="s">
        <v>37</v>
      </c>
      <c r="K701" t="s">
        <v>20</v>
      </c>
      <c r="L701">
        <v>6</v>
      </c>
      <c r="M701">
        <v>0</v>
      </c>
      <c r="N701">
        <v>0</v>
      </c>
      <c r="O701" t="s">
        <v>27</v>
      </c>
      <c r="P701" t="str">
        <f>TEXT(Table1[[#This Row],[order_date]],"yyyy-mm")</f>
        <v>2025-09</v>
      </c>
      <c r="Q701">
        <f>WEEKNUM(Table1[[#This Row],[order_date]])</f>
        <v>37</v>
      </c>
      <c r="R701">
        <f>IF(Table1[[#This Row],[order_status]]="completed",1,0)</f>
        <v>0</v>
      </c>
    </row>
    <row r="702" spans="1:18" x14ac:dyDescent="0.35">
      <c r="A702">
        <v>701</v>
      </c>
      <c r="B702" s="1">
        <v>45865</v>
      </c>
      <c r="C702">
        <v>1320</v>
      </c>
      <c r="D702" t="s">
        <v>22</v>
      </c>
      <c r="E702" t="s">
        <v>36</v>
      </c>
      <c r="F702" t="s">
        <v>24</v>
      </c>
      <c r="G702">
        <v>1</v>
      </c>
      <c r="H702">
        <v>0</v>
      </c>
      <c r="I702" t="s">
        <v>18</v>
      </c>
      <c r="J702" t="s">
        <v>31</v>
      </c>
      <c r="K702" t="s">
        <v>40</v>
      </c>
      <c r="L702">
        <v>6</v>
      </c>
      <c r="M702">
        <v>0</v>
      </c>
      <c r="N702">
        <v>1</v>
      </c>
      <c r="O702" t="s">
        <v>21</v>
      </c>
      <c r="P702" t="str">
        <f>TEXT(Table1[[#This Row],[order_date]],"yyyy-mm")</f>
        <v>2025-07</v>
      </c>
      <c r="Q702">
        <f>WEEKNUM(Table1[[#This Row],[order_date]])</f>
        <v>31</v>
      </c>
      <c r="R702">
        <f>IF(Table1[[#This Row],[order_status]]="completed",1,0)</f>
        <v>0</v>
      </c>
    </row>
    <row r="703" spans="1:18" x14ac:dyDescent="0.35">
      <c r="A703">
        <v>702</v>
      </c>
      <c r="B703" s="1">
        <v>45876</v>
      </c>
      <c r="C703">
        <v>1276</v>
      </c>
      <c r="D703" t="s">
        <v>41</v>
      </c>
      <c r="E703" t="s">
        <v>36</v>
      </c>
      <c r="F703" t="s">
        <v>24</v>
      </c>
      <c r="G703">
        <v>2</v>
      </c>
      <c r="H703">
        <v>0</v>
      </c>
      <c r="I703" t="s">
        <v>39</v>
      </c>
      <c r="J703" t="s">
        <v>31</v>
      </c>
      <c r="K703" t="s">
        <v>40</v>
      </c>
      <c r="L703">
        <v>8</v>
      </c>
      <c r="M703">
        <v>1</v>
      </c>
      <c r="N703">
        <v>1</v>
      </c>
      <c r="O703" t="s">
        <v>21</v>
      </c>
      <c r="P703" t="str">
        <f>TEXT(Table1[[#This Row],[order_date]],"yyyy-mm")</f>
        <v>2025-08</v>
      </c>
      <c r="Q703">
        <f>WEEKNUM(Table1[[#This Row],[order_date]])</f>
        <v>32</v>
      </c>
      <c r="R703">
        <f>IF(Table1[[#This Row],[order_status]]="completed",1,0)</f>
        <v>0</v>
      </c>
    </row>
    <row r="704" spans="1:18" x14ac:dyDescent="0.35">
      <c r="A704">
        <v>703</v>
      </c>
      <c r="B704" s="1">
        <v>45984</v>
      </c>
      <c r="C704">
        <v>1912</v>
      </c>
      <c r="D704" t="s">
        <v>41</v>
      </c>
      <c r="E704" t="s">
        <v>16</v>
      </c>
      <c r="F704" t="s">
        <v>34</v>
      </c>
      <c r="G704">
        <v>1</v>
      </c>
      <c r="H704">
        <v>0</v>
      </c>
      <c r="I704" t="s">
        <v>25</v>
      </c>
      <c r="J704" t="s">
        <v>37</v>
      </c>
      <c r="K704" t="s">
        <v>40</v>
      </c>
      <c r="L704">
        <v>5</v>
      </c>
      <c r="M704">
        <v>1</v>
      </c>
      <c r="N704">
        <v>0</v>
      </c>
      <c r="O704" t="s">
        <v>21</v>
      </c>
      <c r="P704" t="str">
        <f>TEXT(Table1[[#This Row],[order_date]],"yyyy-mm")</f>
        <v>2025-11</v>
      </c>
      <c r="Q704">
        <f>WEEKNUM(Table1[[#This Row],[order_date]])</f>
        <v>48</v>
      </c>
      <c r="R704">
        <f>IF(Table1[[#This Row],[order_status]]="completed",1,0)</f>
        <v>0</v>
      </c>
    </row>
    <row r="705" spans="1:18" x14ac:dyDescent="0.35">
      <c r="A705">
        <v>704</v>
      </c>
      <c r="B705" s="1">
        <v>45957</v>
      </c>
      <c r="C705">
        <v>1995</v>
      </c>
      <c r="D705" t="s">
        <v>15</v>
      </c>
      <c r="E705" t="s">
        <v>23</v>
      </c>
      <c r="F705" t="s">
        <v>17</v>
      </c>
      <c r="G705">
        <v>4</v>
      </c>
      <c r="H705">
        <v>0</v>
      </c>
      <c r="I705" t="s">
        <v>25</v>
      </c>
      <c r="J705" t="s">
        <v>31</v>
      </c>
      <c r="K705" t="s">
        <v>40</v>
      </c>
      <c r="L705">
        <v>5</v>
      </c>
      <c r="M705">
        <v>1</v>
      </c>
      <c r="N705">
        <v>0</v>
      </c>
      <c r="O705" t="s">
        <v>21</v>
      </c>
      <c r="P705" t="str">
        <f>TEXT(Table1[[#This Row],[order_date]],"yyyy-mm")</f>
        <v>2025-10</v>
      </c>
      <c r="Q705">
        <f>WEEKNUM(Table1[[#This Row],[order_date]])</f>
        <v>44</v>
      </c>
      <c r="R705">
        <f>IF(Table1[[#This Row],[order_status]]="completed",1,0)</f>
        <v>0</v>
      </c>
    </row>
    <row r="706" spans="1:18" x14ac:dyDescent="0.35">
      <c r="A706">
        <v>705</v>
      </c>
      <c r="B706" s="1">
        <v>45944</v>
      </c>
      <c r="C706">
        <v>1204</v>
      </c>
      <c r="D706" t="s">
        <v>41</v>
      </c>
      <c r="E706" t="s">
        <v>36</v>
      </c>
      <c r="F706" t="s">
        <v>24</v>
      </c>
      <c r="G706">
        <v>1</v>
      </c>
      <c r="H706">
        <v>1766</v>
      </c>
      <c r="I706" t="s">
        <v>35</v>
      </c>
      <c r="J706" t="s">
        <v>19</v>
      </c>
      <c r="K706" t="s">
        <v>38</v>
      </c>
      <c r="L706">
        <v>6</v>
      </c>
      <c r="M706">
        <v>0</v>
      </c>
      <c r="N706">
        <v>0</v>
      </c>
      <c r="O706" t="s">
        <v>21</v>
      </c>
      <c r="P706" t="str">
        <f>TEXT(Table1[[#This Row],[order_date]],"yyyy-mm")</f>
        <v>2025-10</v>
      </c>
      <c r="Q706">
        <f>WEEKNUM(Table1[[#This Row],[order_date]])</f>
        <v>42</v>
      </c>
      <c r="R706">
        <f>IF(Table1[[#This Row],[order_status]]="completed",1,0)</f>
        <v>1</v>
      </c>
    </row>
    <row r="707" spans="1:18" x14ac:dyDescent="0.35">
      <c r="A707">
        <v>706</v>
      </c>
      <c r="B707" s="1">
        <v>45935</v>
      </c>
      <c r="C707">
        <v>1600</v>
      </c>
      <c r="D707" t="s">
        <v>32</v>
      </c>
      <c r="E707" t="s">
        <v>29</v>
      </c>
      <c r="F707" t="s">
        <v>34</v>
      </c>
      <c r="G707">
        <v>5</v>
      </c>
      <c r="H707">
        <v>3980</v>
      </c>
      <c r="I707" t="s">
        <v>35</v>
      </c>
      <c r="J707" t="s">
        <v>19</v>
      </c>
      <c r="K707" t="s">
        <v>26</v>
      </c>
      <c r="L707">
        <v>6</v>
      </c>
      <c r="M707">
        <v>0</v>
      </c>
      <c r="N707">
        <v>0</v>
      </c>
      <c r="O707" t="s">
        <v>27</v>
      </c>
      <c r="P707" t="str">
        <f>TEXT(Table1[[#This Row],[order_date]],"yyyy-mm")</f>
        <v>2025-10</v>
      </c>
      <c r="Q707">
        <f>WEEKNUM(Table1[[#This Row],[order_date]])</f>
        <v>41</v>
      </c>
      <c r="R707">
        <f>IF(Table1[[#This Row],[order_status]]="completed",1,0)</f>
        <v>1</v>
      </c>
    </row>
    <row r="708" spans="1:18" x14ac:dyDescent="0.35">
      <c r="A708">
        <v>707</v>
      </c>
      <c r="B708" s="1">
        <v>46000</v>
      </c>
      <c r="C708">
        <v>1569</v>
      </c>
      <c r="D708" t="s">
        <v>41</v>
      </c>
      <c r="E708" t="s">
        <v>29</v>
      </c>
      <c r="F708" t="s">
        <v>30</v>
      </c>
      <c r="G708">
        <v>4</v>
      </c>
      <c r="H708">
        <v>8344</v>
      </c>
      <c r="I708" t="s">
        <v>18</v>
      </c>
      <c r="J708" t="s">
        <v>19</v>
      </c>
      <c r="K708" t="s">
        <v>26</v>
      </c>
      <c r="L708">
        <v>10</v>
      </c>
      <c r="M708">
        <v>1</v>
      </c>
      <c r="N708">
        <v>0</v>
      </c>
      <c r="O708" t="s">
        <v>27</v>
      </c>
      <c r="P708" t="str">
        <f>TEXT(Table1[[#This Row],[order_date]],"yyyy-mm")</f>
        <v>2025-12</v>
      </c>
      <c r="Q708">
        <f>WEEKNUM(Table1[[#This Row],[order_date]])</f>
        <v>50</v>
      </c>
      <c r="R708">
        <f>IF(Table1[[#This Row],[order_status]]="completed",1,0)</f>
        <v>1</v>
      </c>
    </row>
    <row r="709" spans="1:18" x14ac:dyDescent="0.35">
      <c r="A709">
        <v>708</v>
      </c>
      <c r="B709" s="1">
        <v>45954</v>
      </c>
      <c r="C709">
        <v>1242</v>
      </c>
      <c r="D709" t="s">
        <v>41</v>
      </c>
      <c r="E709" t="s">
        <v>29</v>
      </c>
      <c r="F709" t="s">
        <v>30</v>
      </c>
      <c r="G709">
        <v>1</v>
      </c>
      <c r="H709">
        <v>0</v>
      </c>
      <c r="I709" t="s">
        <v>35</v>
      </c>
      <c r="J709" t="s">
        <v>37</v>
      </c>
      <c r="K709" t="s">
        <v>20</v>
      </c>
      <c r="L709">
        <v>10</v>
      </c>
      <c r="M709">
        <v>0</v>
      </c>
      <c r="N709">
        <v>1</v>
      </c>
      <c r="O709" t="s">
        <v>21</v>
      </c>
      <c r="P709" t="str">
        <f>TEXT(Table1[[#This Row],[order_date]],"yyyy-mm")</f>
        <v>2025-10</v>
      </c>
      <c r="Q709">
        <f>WEEKNUM(Table1[[#This Row],[order_date]])</f>
        <v>43</v>
      </c>
      <c r="R709">
        <f>IF(Table1[[#This Row],[order_status]]="completed",1,0)</f>
        <v>0</v>
      </c>
    </row>
    <row r="710" spans="1:18" x14ac:dyDescent="0.35">
      <c r="A710">
        <v>709</v>
      </c>
      <c r="B710" s="1">
        <v>45909</v>
      </c>
      <c r="C710">
        <v>1059</v>
      </c>
      <c r="D710" t="s">
        <v>15</v>
      </c>
      <c r="E710" t="s">
        <v>29</v>
      </c>
      <c r="F710" t="s">
        <v>34</v>
      </c>
      <c r="G710">
        <v>1</v>
      </c>
      <c r="H710">
        <v>0</v>
      </c>
      <c r="I710" t="s">
        <v>35</v>
      </c>
      <c r="J710" t="s">
        <v>37</v>
      </c>
      <c r="K710" t="s">
        <v>40</v>
      </c>
      <c r="L710">
        <v>6</v>
      </c>
      <c r="M710">
        <v>1</v>
      </c>
      <c r="N710">
        <v>0</v>
      </c>
      <c r="O710" t="s">
        <v>21</v>
      </c>
      <c r="P710" t="str">
        <f>TEXT(Table1[[#This Row],[order_date]],"yyyy-mm")</f>
        <v>2025-09</v>
      </c>
      <c r="Q710">
        <f>WEEKNUM(Table1[[#This Row],[order_date]])</f>
        <v>37</v>
      </c>
      <c r="R710">
        <f>IF(Table1[[#This Row],[order_status]]="completed",1,0)</f>
        <v>0</v>
      </c>
    </row>
    <row r="711" spans="1:18" x14ac:dyDescent="0.35">
      <c r="A711">
        <v>710</v>
      </c>
      <c r="B711" s="1">
        <v>45978</v>
      </c>
      <c r="C711">
        <v>1803</v>
      </c>
      <c r="D711" t="s">
        <v>22</v>
      </c>
      <c r="E711" t="s">
        <v>36</v>
      </c>
      <c r="F711" t="s">
        <v>34</v>
      </c>
      <c r="G711">
        <v>5</v>
      </c>
      <c r="H711">
        <v>0</v>
      </c>
      <c r="I711" t="s">
        <v>25</v>
      </c>
      <c r="J711" t="s">
        <v>31</v>
      </c>
      <c r="K711" t="s">
        <v>26</v>
      </c>
      <c r="L711">
        <v>5</v>
      </c>
      <c r="M711">
        <v>0</v>
      </c>
      <c r="N711">
        <v>1</v>
      </c>
      <c r="O711" t="s">
        <v>27</v>
      </c>
      <c r="P711" t="str">
        <f>TEXT(Table1[[#This Row],[order_date]],"yyyy-mm")</f>
        <v>2025-11</v>
      </c>
      <c r="Q711">
        <f>WEEKNUM(Table1[[#This Row],[order_date]])</f>
        <v>47</v>
      </c>
      <c r="R711">
        <f>IF(Table1[[#This Row],[order_status]]="completed",1,0)</f>
        <v>0</v>
      </c>
    </row>
    <row r="712" spans="1:18" x14ac:dyDescent="0.35">
      <c r="A712">
        <v>711</v>
      </c>
      <c r="B712" s="1">
        <v>45998</v>
      </c>
      <c r="C712">
        <v>1815</v>
      </c>
      <c r="D712" t="s">
        <v>15</v>
      </c>
      <c r="E712" t="s">
        <v>36</v>
      </c>
      <c r="F712" t="s">
        <v>30</v>
      </c>
      <c r="G712">
        <v>2</v>
      </c>
      <c r="H712">
        <v>8326</v>
      </c>
      <c r="I712" t="s">
        <v>18</v>
      </c>
      <c r="J712" t="s">
        <v>19</v>
      </c>
      <c r="K712" t="s">
        <v>38</v>
      </c>
      <c r="L712">
        <v>3</v>
      </c>
      <c r="M712">
        <v>0</v>
      </c>
      <c r="N712">
        <v>0</v>
      </c>
      <c r="O712" t="s">
        <v>27</v>
      </c>
      <c r="P712" t="str">
        <f>TEXT(Table1[[#This Row],[order_date]],"yyyy-mm")</f>
        <v>2025-12</v>
      </c>
      <c r="Q712">
        <f>WEEKNUM(Table1[[#This Row],[order_date]])</f>
        <v>50</v>
      </c>
      <c r="R712">
        <f>IF(Table1[[#This Row],[order_status]]="completed",1,0)</f>
        <v>1</v>
      </c>
    </row>
    <row r="713" spans="1:18" x14ac:dyDescent="0.35">
      <c r="A713">
        <v>712</v>
      </c>
      <c r="B713" s="1">
        <v>45998</v>
      </c>
      <c r="C713">
        <v>1359</v>
      </c>
      <c r="D713" t="s">
        <v>32</v>
      </c>
      <c r="E713" t="s">
        <v>16</v>
      </c>
      <c r="F713" t="s">
        <v>30</v>
      </c>
      <c r="G713">
        <v>4</v>
      </c>
      <c r="H713">
        <v>11164</v>
      </c>
      <c r="I713" t="s">
        <v>18</v>
      </c>
      <c r="J713" t="s">
        <v>19</v>
      </c>
      <c r="K713" t="s">
        <v>40</v>
      </c>
      <c r="L713">
        <v>5</v>
      </c>
      <c r="M713">
        <v>0</v>
      </c>
      <c r="N713">
        <v>1</v>
      </c>
      <c r="O713" t="s">
        <v>27</v>
      </c>
      <c r="P713" t="str">
        <f>TEXT(Table1[[#This Row],[order_date]],"yyyy-mm")</f>
        <v>2025-12</v>
      </c>
      <c r="Q713">
        <f>WEEKNUM(Table1[[#This Row],[order_date]])</f>
        <v>50</v>
      </c>
      <c r="R713">
        <f>IF(Table1[[#This Row],[order_status]]="completed",1,0)</f>
        <v>1</v>
      </c>
    </row>
    <row r="714" spans="1:18" x14ac:dyDescent="0.35">
      <c r="A714">
        <v>713</v>
      </c>
      <c r="B714" s="1">
        <v>45994</v>
      </c>
      <c r="C714">
        <v>1290</v>
      </c>
      <c r="D714" t="s">
        <v>28</v>
      </c>
      <c r="E714" t="s">
        <v>16</v>
      </c>
      <c r="F714" t="s">
        <v>34</v>
      </c>
      <c r="G714">
        <v>1</v>
      </c>
      <c r="H714">
        <v>0</v>
      </c>
      <c r="I714" t="s">
        <v>35</v>
      </c>
      <c r="J714" t="s">
        <v>37</v>
      </c>
      <c r="K714" t="s">
        <v>40</v>
      </c>
      <c r="L714">
        <v>8</v>
      </c>
      <c r="M714">
        <v>0</v>
      </c>
      <c r="N714">
        <v>0</v>
      </c>
      <c r="O714" t="s">
        <v>27</v>
      </c>
      <c r="P714" t="str">
        <f>TEXT(Table1[[#This Row],[order_date]],"yyyy-mm")</f>
        <v>2025-12</v>
      </c>
      <c r="Q714">
        <f>WEEKNUM(Table1[[#This Row],[order_date]])</f>
        <v>49</v>
      </c>
      <c r="R714">
        <f>IF(Table1[[#This Row],[order_status]]="completed",1,0)</f>
        <v>0</v>
      </c>
    </row>
    <row r="715" spans="1:18" x14ac:dyDescent="0.35">
      <c r="A715">
        <v>714</v>
      </c>
      <c r="B715" s="1">
        <v>45915</v>
      </c>
      <c r="C715">
        <v>1797</v>
      </c>
      <c r="D715" t="s">
        <v>32</v>
      </c>
      <c r="E715" t="s">
        <v>36</v>
      </c>
      <c r="F715" t="s">
        <v>24</v>
      </c>
      <c r="G715">
        <v>3</v>
      </c>
      <c r="H715">
        <v>0</v>
      </c>
      <c r="I715" t="s">
        <v>25</v>
      </c>
      <c r="J715" t="s">
        <v>37</v>
      </c>
      <c r="K715" t="s">
        <v>40</v>
      </c>
      <c r="L715">
        <v>1</v>
      </c>
      <c r="M715">
        <v>1</v>
      </c>
      <c r="N715">
        <v>0</v>
      </c>
      <c r="O715" t="s">
        <v>21</v>
      </c>
      <c r="P715" t="str">
        <f>TEXT(Table1[[#This Row],[order_date]],"yyyy-mm")</f>
        <v>2025-09</v>
      </c>
      <c r="Q715">
        <f>WEEKNUM(Table1[[#This Row],[order_date]])</f>
        <v>38</v>
      </c>
      <c r="R715">
        <f>IF(Table1[[#This Row],[order_status]]="completed",1,0)</f>
        <v>0</v>
      </c>
    </row>
    <row r="716" spans="1:18" x14ac:dyDescent="0.35">
      <c r="A716">
        <v>715</v>
      </c>
      <c r="B716" s="1">
        <v>45997</v>
      </c>
      <c r="C716">
        <v>1573</v>
      </c>
      <c r="D716" t="s">
        <v>22</v>
      </c>
      <c r="E716" t="s">
        <v>23</v>
      </c>
      <c r="F716" t="s">
        <v>34</v>
      </c>
      <c r="G716">
        <v>4</v>
      </c>
      <c r="H716">
        <v>0</v>
      </c>
      <c r="I716" t="s">
        <v>18</v>
      </c>
      <c r="J716" t="s">
        <v>37</v>
      </c>
      <c r="K716" t="s">
        <v>20</v>
      </c>
      <c r="L716">
        <v>4</v>
      </c>
      <c r="M716">
        <v>0</v>
      </c>
      <c r="N716">
        <v>1</v>
      </c>
      <c r="O716" t="s">
        <v>21</v>
      </c>
      <c r="P716" t="str">
        <f>TEXT(Table1[[#This Row],[order_date]],"yyyy-mm")</f>
        <v>2025-12</v>
      </c>
      <c r="Q716">
        <f>WEEKNUM(Table1[[#This Row],[order_date]])</f>
        <v>49</v>
      </c>
      <c r="R716">
        <f>IF(Table1[[#This Row],[order_status]]="completed",1,0)</f>
        <v>0</v>
      </c>
    </row>
    <row r="717" spans="1:18" x14ac:dyDescent="0.35">
      <c r="A717">
        <v>716</v>
      </c>
      <c r="B717" s="1">
        <v>45989</v>
      </c>
      <c r="C717">
        <v>1051</v>
      </c>
      <c r="D717" t="s">
        <v>22</v>
      </c>
      <c r="E717" t="s">
        <v>16</v>
      </c>
      <c r="F717" t="s">
        <v>17</v>
      </c>
      <c r="G717">
        <v>3</v>
      </c>
      <c r="H717">
        <v>3318</v>
      </c>
      <c r="I717" t="s">
        <v>18</v>
      </c>
      <c r="J717" t="s">
        <v>19</v>
      </c>
      <c r="K717" t="s">
        <v>26</v>
      </c>
      <c r="L717">
        <v>7</v>
      </c>
      <c r="M717">
        <v>1</v>
      </c>
      <c r="N717">
        <v>0</v>
      </c>
      <c r="O717" t="s">
        <v>21</v>
      </c>
      <c r="P717" t="str">
        <f>TEXT(Table1[[#This Row],[order_date]],"yyyy-mm")</f>
        <v>2025-11</v>
      </c>
      <c r="Q717">
        <f>WEEKNUM(Table1[[#This Row],[order_date]])</f>
        <v>48</v>
      </c>
      <c r="R717">
        <f>IF(Table1[[#This Row],[order_status]]="completed",1,0)</f>
        <v>1</v>
      </c>
    </row>
    <row r="718" spans="1:18" x14ac:dyDescent="0.35">
      <c r="A718">
        <v>717</v>
      </c>
      <c r="B718" s="1">
        <v>45950</v>
      </c>
      <c r="C718">
        <v>1630</v>
      </c>
      <c r="D718" t="s">
        <v>32</v>
      </c>
      <c r="E718" t="s">
        <v>36</v>
      </c>
      <c r="F718" t="s">
        <v>30</v>
      </c>
      <c r="G718">
        <v>2</v>
      </c>
      <c r="H718">
        <v>0</v>
      </c>
      <c r="I718" t="s">
        <v>39</v>
      </c>
      <c r="J718" t="s">
        <v>31</v>
      </c>
      <c r="K718" t="s">
        <v>38</v>
      </c>
      <c r="L718">
        <v>5</v>
      </c>
      <c r="M718">
        <v>0</v>
      </c>
      <c r="N718">
        <v>1</v>
      </c>
      <c r="O718" t="s">
        <v>21</v>
      </c>
      <c r="P718" t="str">
        <f>TEXT(Table1[[#This Row],[order_date]],"yyyy-mm")</f>
        <v>2025-10</v>
      </c>
      <c r="Q718">
        <f>WEEKNUM(Table1[[#This Row],[order_date]])</f>
        <v>43</v>
      </c>
      <c r="R718">
        <f>IF(Table1[[#This Row],[order_status]]="completed",1,0)</f>
        <v>0</v>
      </c>
    </row>
    <row r="719" spans="1:18" x14ac:dyDescent="0.35">
      <c r="A719">
        <v>718</v>
      </c>
      <c r="B719" s="1">
        <v>46011</v>
      </c>
      <c r="C719">
        <v>1827</v>
      </c>
      <c r="D719" t="s">
        <v>15</v>
      </c>
      <c r="E719" t="s">
        <v>29</v>
      </c>
      <c r="F719" t="s">
        <v>34</v>
      </c>
      <c r="G719">
        <v>4</v>
      </c>
      <c r="H719">
        <v>0</v>
      </c>
      <c r="I719" t="s">
        <v>18</v>
      </c>
      <c r="J719" t="s">
        <v>37</v>
      </c>
      <c r="K719" t="s">
        <v>20</v>
      </c>
      <c r="L719">
        <v>10</v>
      </c>
      <c r="M719">
        <v>1</v>
      </c>
      <c r="N719">
        <v>0</v>
      </c>
      <c r="O719" t="s">
        <v>21</v>
      </c>
      <c r="P719" t="str">
        <f>TEXT(Table1[[#This Row],[order_date]],"yyyy-mm")</f>
        <v>2025-12</v>
      </c>
      <c r="Q719">
        <f>WEEKNUM(Table1[[#This Row],[order_date]])</f>
        <v>51</v>
      </c>
      <c r="R719">
        <f>IF(Table1[[#This Row],[order_status]]="completed",1,0)</f>
        <v>0</v>
      </c>
    </row>
    <row r="720" spans="1:18" x14ac:dyDescent="0.35">
      <c r="A720">
        <v>719</v>
      </c>
      <c r="B720" s="1">
        <v>45983</v>
      </c>
      <c r="C720">
        <v>1906</v>
      </c>
      <c r="D720" t="s">
        <v>22</v>
      </c>
      <c r="E720" t="s">
        <v>16</v>
      </c>
      <c r="F720" t="s">
        <v>30</v>
      </c>
      <c r="G720">
        <v>1</v>
      </c>
      <c r="H720">
        <v>558</v>
      </c>
      <c r="I720" t="s">
        <v>35</v>
      </c>
      <c r="J720" t="s">
        <v>19</v>
      </c>
      <c r="K720" t="s">
        <v>26</v>
      </c>
      <c r="L720">
        <v>8</v>
      </c>
      <c r="M720">
        <v>0</v>
      </c>
      <c r="N720">
        <v>1</v>
      </c>
      <c r="O720" t="s">
        <v>21</v>
      </c>
      <c r="P720" t="str">
        <f>TEXT(Table1[[#This Row],[order_date]],"yyyy-mm")</f>
        <v>2025-11</v>
      </c>
      <c r="Q720">
        <f>WEEKNUM(Table1[[#This Row],[order_date]])</f>
        <v>47</v>
      </c>
      <c r="R720">
        <f>IF(Table1[[#This Row],[order_status]]="completed",1,0)</f>
        <v>1</v>
      </c>
    </row>
    <row r="721" spans="1:18" x14ac:dyDescent="0.35">
      <c r="A721">
        <v>720</v>
      </c>
      <c r="B721" s="1">
        <v>45865</v>
      </c>
      <c r="C721">
        <v>1859</v>
      </c>
      <c r="D721" t="s">
        <v>41</v>
      </c>
      <c r="E721" t="s">
        <v>29</v>
      </c>
      <c r="F721" t="s">
        <v>24</v>
      </c>
      <c r="G721">
        <v>2</v>
      </c>
      <c r="H721">
        <v>0</v>
      </c>
      <c r="I721" t="s">
        <v>18</v>
      </c>
      <c r="J721" t="s">
        <v>31</v>
      </c>
      <c r="K721" t="s">
        <v>26</v>
      </c>
      <c r="L721">
        <v>1</v>
      </c>
      <c r="M721">
        <v>1</v>
      </c>
      <c r="N721">
        <v>0</v>
      </c>
      <c r="O721" t="s">
        <v>21</v>
      </c>
      <c r="P721" t="str">
        <f>TEXT(Table1[[#This Row],[order_date]],"yyyy-mm")</f>
        <v>2025-07</v>
      </c>
      <c r="Q721">
        <f>WEEKNUM(Table1[[#This Row],[order_date]])</f>
        <v>31</v>
      </c>
      <c r="R721">
        <f>IF(Table1[[#This Row],[order_status]]="completed",1,0)</f>
        <v>0</v>
      </c>
    </row>
    <row r="722" spans="1:18" x14ac:dyDescent="0.35">
      <c r="A722">
        <v>721</v>
      </c>
      <c r="B722" s="1">
        <v>45946</v>
      </c>
      <c r="C722">
        <v>1630</v>
      </c>
      <c r="D722" t="s">
        <v>22</v>
      </c>
      <c r="E722" t="s">
        <v>16</v>
      </c>
      <c r="F722" t="s">
        <v>24</v>
      </c>
      <c r="G722">
        <v>2</v>
      </c>
      <c r="H722">
        <v>0</v>
      </c>
      <c r="I722" t="s">
        <v>25</v>
      </c>
      <c r="J722" t="s">
        <v>37</v>
      </c>
      <c r="K722" t="s">
        <v>26</v>
      </c>
      <c r="L722">
        <v>4</v>
      </c>
      <c r="M722">
        <v>1</v>
      </c>
      <c r="N722">
        <v>0</v>
      </c>
      <c r="O722" t="s">
        <v>21</v>
      </c>
      <c r="P722" t="str">
        <f>TEXT(Table1[[#This Row],[order_date]],"yyyy-mm")</f>
        <v>2025-10</v>
      </c>
      <c r="Q722">
        <f>WEEKNUM(Table1[[#This Row],[order_date]])</f>
        <v>42</v>
      </c>
      <c r="R722">
        <f>IF(Table1[[#This Row],[order_status]]="completed",1,0)</f>
        <v>0</v>
      </c>
    </row>
    <row r="723" spans="1:18" x14ac:dyDescent="0.35">
      <c r="A723">
        <v>722</v>
      </c>
      <c r="B723" s="1">
        <v>45966</v>
      </c>
      <c r="C723">
        <v>1598</v>
      </c>
      <c r="D723" t="s">
        <v>15</v>
      </c>
      <c r="E723" t="s">
        <v>23</v>
      </c>
      <c r="F723" t="s">
        <v>24</v>
      </c>
      <c r="G723">
        <v>5</v>
      </c>
      <c r="H723">
        <v>0</v>
      </c>
      <c r="I723" t="s">
        <v>25</v>
      </c>
      <c r="J723" t="s">
        <v>37</v>
      </c>
      <c r="K723" t="s">
        <v>38</v>
      </c>
      <c r="L723">
        <v>9</v>
      </c>
      <c r="M723">
        <v>1</v>
      </c>
      <c r="N723">
        <v>1</v>
      </c>
      <c r="O723" t="s">
        <v>21</v>
      </c>
      <c r="P723" t="str">
        <f>TEXT(Table1[[#This Row],[order_date]],"yyyy-mm")</f>
        <v>2025-11</v>
      </c>
      <c r="Q723">
        <f>WEEKNUM(Table1[[#This Row],[order_date]])</f>
        <v>45</v>
      </c>
      <c r="R723">
        <f>IF(Table1[[#This Row],[order_status]]="completed",1,0)</f>
        <v>0</v>
      </c>
    </row>
    <row r="724" spans="1:18" x14ac:dyDescent="0.35">
      <c r="A724">
        <v>723</v>
      </c>
      <c r="B724" s="1">
        <v>46030</v>
      </c>
      <c r="C724">
        <v>1400</v>
      </c>
      <c r="D724" t="s">
        <v>15</v>
      </c>
      <c r="E724" t="s">
        <v>29</v>
      </c>
      <c r="F724" t="s">
        <v>17</v>
      </c>
      <c r="G724">
        <v>3</v>
      </c>
      <c r="H724">
        <v>0</v>
      </c>
      <c r="I724" t="s">
        <v>18</v>
      </c>
      <c r="J724" t="s">
        <v>37</v>
      </c>
      <c r="K724" t="s">
        <v>38</v>
      </c>
      <c r="L724">
        <v>6</v>
      </c>
      <c r="M724">
        <v>0</v>
      </c>
      <c r="N724">
        <v>1</v>
      </c>
      <c r="O724" t="s">
        <v>21</v>
      </c>
      <c r="P724" t="str">
        <f>TEXT(Table1[[#This Row],[order_date]],"yyyy-mm")</f>
        <v>2026-01</v>
      </c>
      <c r="Q724">
        <f>WEEKNUM(Table1[[#This Row],[order_date]])</f>
        <v>2</v>
      </c>
      <c r="R724">
        <f>IF(Table1[[#This Row],[order_status]]="completed",1,0)</f>
        <v>0</v>
      </c>
    </row>
    <row r="725" spans="1:18" x14ac:dyDescent="0.35">
      <c r="A725">
        <v>724</v>
      </c>
      <c r="B725" s="1">
        <v>45961</v>
      </c>
      <c r="C725">
        <v>1765</v>
      </c>
      <c r="D725" t="s">
        <v>41</v>
      </c>
      <c r="E725" t="s">
        <v>33</v>
      </c>
      <c r="F725" t="s">
        <v>30</v>
      </c>
      <c r="G725">
        <v>2</v>
      </c>
      <c r="H725">
        <v>0</v>
      </c>
      <c r="I725" t="s">
        <v>25</v>
      </c>
      <c r="J725" t="s">
        <v>37</v>
      </c>
      <c r="K725" t="s">
        <v>38</v>
      </c>
      <c r="L725">
        <v>9</v>
      </c>
      <c r="M725">
        <v>1</v>
      </c>
      <c r="N725">
        <v>1</v>
      </c>
      <c r="O725" t="s">
        <v>27</v>
      </c>
      <c r="P725" t="str">
        <f>TEXT(Table1[[#This Row],[order_date]],"yyyy-mm")</f>
        <v>2025-10</v>
      </c>
      <c r="Q725">
        <f>WEEKNUM(Table1[[#This Row],[order_date]])</f>
        <v>44</v>
      </c>
      <c r="R725">
        <f>IF(Table1[[#This Row],[order_status]]="completed",1,0)</f>
        <v>0</v>
      </c>
    </row>
    <row r="726" spans="1:18" x14ac:dyDescent="0.35">
      <c r="A726">
        <v>725</v>
      </c>
      <c r="B726" s="1">
        <v>45895</v>
      </c>
      <c r="C726">
        <v>1369</v>
      </c>
      <c r="D726" t="s">
        <v>28</v>
      </c>
      <c r="E726" t="s">
        <v>33</v>
      </c>
      <c r="F726" t="s">
        <v>30</v>
      </c>
      <c r="G726">
        <v>2</v>
      </c>
      <c r="H726">
        <v>0</v>
      </c>
      <c r="I726" t="s">
        <v>35</v>
      </c>
      <c r="J726" t="s">
        <v>31</v>
      </c>
      <c r="K726" t="s">
        <v>40</v>
      </c>
      <c r="L726">
        <v>7</v>
      </c>
      <c r="M726">
        <v>1</v>
      </c>
      <c r="N726">
        <v>1</v>
      </c>
      <c r="O726" t="s">
        <v>27</v>
      </c>
      <c r="P726" t="str">
        <f>TEXT(Table1[[#This Row],[order_date]],"yyyy-mm")</f>
        <v>2025-08</v>
      </c>
      <c r="Q726">
        <f>WEEKNUM(Table1[[#This Row],[order_date]])</f>
        <v>35</v>
      </c>
      <c r="R726">
        <f>IF(Table1[[#This Row],[order_status]]="completed",1,0)</f>
        <v>0</v>
      </c>
    </row>
    <row r="727" spans="1:18" x14ac:dyDescent="0.35">
      <c r="A727">
        <v>726</v>
      </c>
      <c r="B727" s="1">
        <v>45959</v>
      </c>
      <c r="C727">
        <v>1479</v>
      </c>
      <c r="D727" t="s">
        <v>41</v>
      </c>
      <c r="E727" t="s">
        <v>16</v>
      </c>
      <c r="F727" t="s">
        <v>24</v>
      </c>
      <c r="G727">
        <v>3</v>
      </c>
      <c r="H727">
        <v>1365</v>
      </c>
      <c r="I727" t="s">
        <v>35</v>
      </c>
      <c r="J727" t="s">
        <v>19</v>
      </c>
      <c r="K727" t="s">
        <v>38</v>
      </c>
      <c r="L727">
        <v>10</v>
      </c>
      <c r="M727">
        <v>0</v>
      </c>
      <c r="N727">
        <v>0</v>
      </c>
      <c r="O727" t="s">
        <v>27</v>
      </c>
      <c r="P727" t="str">
        <f>TEXT(Table1[[#This Row],[order_date]],"yyyy-mm")</f>
        <v>2025-10</v>
      </c>
      <c r="Q727">
        <f>WEEKNUM(Table1[[#This Row],[order_date]])</f>
        <v>44</v>
      </c>
      <c r="R727">
        <f>IF(Table1[[#This Row],[order_status]]="completed",1,0)</f>
        <v>1</v>
      </c>
    </row>
    <row r="728" spans="1:18" x14ac:dyDescent="0.35">
      <c r="A728">
        <v>727</v>
      </c>
      <c r="B728" s="1">
        <v>45892</v>
      </c>
      <c r="C728">
        <v>1433</v>
      </c>
      <c r="D728" t="s">
        <v>15</v>
      </c>
      <c r="E728" t="s">
        <v>29</v>
      </c>
      <c r="F728" t="s">
        <v>17</v>
      </c>
      <c r="G728">
        <v>2</v>
      </c>
      <c r="H728">
        <v>978</v>
      </c>
      <c r="I728" t="s">
        <v>35</v>
      </c>
      <c r="J728" t="s">
        <v>19</v>
      </c>
      <c r="K728" t="s">
        <v>40</v>
      </c>
      <c r="L728">
        <v>3</v>
      </c>
      <c r="M728">
        <v>0</v>
      </c>
      <c r="N728">
        <v>1</v>
      </c>
      <c r="O728" t="s">
        <v>27</v>
      </c>
      <c r="P728" t="str">
        <f>TEXT(Table1[[#This Row],[order_date]],"yyyy-mm")</f>
        <v>2025-08</v>
      </c>
      <c r="Q728">
        <f>WEEKNUM(Table1[[#This Row],[order_date]])</f>
        <v>34</v>
      </c>
      <c r="R728">
        <f>IF(Table1[[#This Row],[order_status]]="completed",1,0)</f>
        <v>1</v>
      </c>
    </row>
    <row r="729" spans="1:18" x14ac:dyDescent="0.35">
      <c r="A729">
        <v>728</v>
      </c>
      <c r="B729" s="1">
        <v>46011</v>
      </c>
      <c r="C729">
        <v>1604</v>
      </c>
      <c r="D729" t="s">
        <v>22</v>
      </c>
      <c r="E729" t="s">
        <v>23</v>
      </c>
      <c r="F729" t="s">
        <v>24</v>
      </c>
      <c r="G729">
        <v>2</v>
      </c>
      <c r="H729">
        <v>716</v>
      </c>
      <c r="I729" t="s">
        <v>18</v>
      </c>
      <c r="J729" t="s">
        <v>19</v>
      </c>
      <c r="K729" t="s">
        <v>40</v>
      </c>
      <c r="L729">
        <v>7</v>
      </c>
      <c r="M729">
        <v>1</v>
      </c>
      <c r="N729">
        <v>1</v>
      </c>
      <c r="O729" t="s">
        <v>21</v>
      </c>
      <c r="P729" t="str">
        <f>TEXT(Table1[[#This Row],[order_date]],"yyyy-mm")</f>
        <v>2025-12</v>
      </c>
      <c r="Q729">
        <f>WEEKNUM(Table1[[#This Row],[order_date]])</f>
        <v>51</v>
      </c>
      <c r="R729">
        <f>IF(Table1[[#This Row],[order_status]]="completed",1,0)</f>
        <v>1</v>
      </c>
    </row>
    <row r="730" spans="1:18" x14ac:dyDescent="0.35">
      <c r="A730">
        <v>729</v>
      </c>
      <c r="B730" s="1">
        <v>45987</v>
      </c>
      <c r="C730">
        <v>1670</v>
      </c>
      <c r="D730" t="s">
        <v>41</v>
      </c>
      <c r="E730" t="s">
        <v>23</v>
      </c>
      <c r="F730" t="s">
        <v>34</v>
      </c>
      <c r="G730">
        <v>4</v>
      </c>
      <c r="H730">
        <v>0</v>
      </c>
      <c r="I730" t="s">
        <v>25</v>
      </c>
      <c r="J730" t="s">
        <v>37</v>
      </c>
      <c r="K730" t="s">
        <v>26</v>
      </c>
      <c r="L730">
        <v>8</v>
      </c>
      <c r="M730">
        <v>0</v>
      </c>
      <c r="N730">
        <v>0</v>
      </c>
      <c r="O730" t="s">
        <v>27</v>
      </c>
      <c r="P730" t="str">
        <f>TEXT(Table1[[#This Row],[order_date]],"yyyy-mm")</f>
        <v>2025-11</v>
      </c>
      <c r="Q730">
        <f>WEEKNUM(Table1[[#This Row],[order_date]])</f>
        <v>48</v>
      </c>
      <c r="R730">
        <f>IF(Table1[[#This Row],[order_status]]="completed",1,0)</f>
        <v>0</v>
      </c>
    </row>
    <row r="731" spans="1:18" x14ac:dyDescent="0.35">
      <c r="A731">
        <v>730</v>
      </c>
      <c r="B731" s="1">
        <v>46029</v>
      </c>
      <c r="C731">
        <v>1817</v>
      </c>
      <c r="D731" t="s">
        <v>32</v>
      </c>
      <c r="E731" t="s">
        <v>33</v>
      </c>
      <c r="F731" t="s">
        <v>34</v>
      </c>
      <c r="G731">
        <v>1</v>
      </c>
      <c r="H731">
        <v>0</v>
      </c>
      <c r="I731" t="s">
        <v>18</v>
      </c>
      <c r="J731" t="s">
        <v>37</v>
      </c>
      <c r="K731" t="s">
        <v>40</v>
      </c>
      <c r="L731">
        <v>6</v>
      </c>
      <c r="M731">
        <v>0</v>
      </c>
      <c r="N731">
        <v>1</v>
      </c>
      <c r="O731" t="s">
        <v>21</v>
      </c>
      <c r="P731" t="str">
        <f>TEXT(Table1[[#This Row],[order_date]],"yyyy-mm")</f>
        <v>2026-01</v>
      </c>
      <c r="Q731">
        <f>WEEKNUM(Table1[[#This Row],[order_date]])</f>
        <v>2</v>
      </c>
      <c r="R731">
        <f>IF(Table1[[#This Row],[order_status]]="completed",1,0)</f>
        <v>0</v>
      </c>
    </row>
    <row r="732" spans="1:18" x14ac:dyDescent="0.35">
      <c r="A732">
        <v>731</v>
      </c>
      <c r="B732" s="1">
        <v>46030</v>
      </c>
      <c r="C732">
        <v>1521</v>
      </c>
      <c r="D732" t="s">
        <v>15</v>
      </c>
      <c r="E732" t="s">
        <v>36</v>
      </c>
      <c r="F732" t="s">
        <v>30</v>
      </c>
      <c r="G732">
        <v>3</v>
      </c>
      <c r="H732">
        <v>0</v>
      </c>
      <c r="I732" t="s">
        <v>25</v>
      </c>
      <c r="J732" t="s">
        <v>37</v>
      </c>
      <c r="K732" t="s">
        <v>26</v>
      </c>
      <c r="L732">
        <v>4</v>
      </c>
      <c r="M732">
        <v>0</v>
      </c>
      <c r="N732">
        <v>1</v>
      </c>
      <c r="O732" t="s">
        <v>27</v>
      </c>
      <c r="P732" t="str">
        <f>TEXT(Table1[[#This Row],[order_date]],"yyyy-mm")</f>
        <v>2026-01</v>
      </c>
      <c r="Q732">
        <f>WEEKNUM(Table1[[#This Row],[order_date]])</f>
        <v>2</v>
      </c>
      <c r="R732">
        <f>IF(Table1[[#This Row],[order_status]]="completed",1,0)</f>
        <v>0</v>
      </c>
    </row>
    <row r="733" spans="1:18" x14ac:dyDescent="0.35">
      <c r="A733">
        <v>732</v>
      </c>
      <c r="B733" s="1">
        <v>46003</v>
      </c>
      <c r="C733">
        <v>1625</v>
      </c>
      <c r="D733" t="s">
        <v>32</v>
      </c>
      <c r="E733" t="s">
        <v>16</v>
      </c>
      <c r="F733" t="s">
        <v>34</v>
      </c>
      <c r="G733">
        <v>2</v>
      </c>
      <c r="H733">
        <v>0</v>
      </c>
      <c r="I733" t="s">
        <v>25</v>
      </c>
      <c r="J733" t="s">
        <v>31</v>
      </c>
      <c r="K733" t="s">
        <v>38</v>
      </c>
      <c r="L733">
        <v>2</v>
      </c>
      <c r="M733">
        <v>0</v>
      </c>
      <c r="N733">
        <v>0</v>
      </c>
      <c r="O733" t="s">
        <v>21</v>
      </c>
      <c r="P733" t="str">
        <f>TEXT(Table1[[#This Row],[order_date]],"yyyy-mm")</f>
        <v>2025-12</v>
      </c>
      <c r="Q733">
        <f>WEEKNUM(Table1[[#This Row],[order_date]])</f>
        <v>50</v>
      </c>
      <c r="R733">
        <f>IF(Table1[[#This Row],[order_status]]="completed",1,0)</f>
        <v>0</v>
      </c>
    </row>
    <row r="734" spans="1:18" x14ac:dyDescent="0.35">
      <c r="A734">
        <v>733</v>
      </c>
      <c r="B734" s="1">
        <v>45903</v>
      </c>
      <c r="C734">
        <v>1599</v>
      </c>
      <c r="D734" t="s">
        <v>28</v>
      </c>
      <c r="E734" t="s">
        <v>33</v>
      </c>
      <c r="F734" t="s">
        <v>30</v>
      </c>
      <c r="G734">
        <v>1</v>
      </c>
      <c r="H734">
        <v>2017</v>
      </c>
      <c r="I734" t="s">
        <v>25</v>
      </c>
      <c r="J734" t="s">
        <v>19</v>
      </c>
      <c r="K734" t="s">
        <v>40</v>
      </c>
      <c r="L734">
        <v>5</v>
      </c>
      <c r="M734">
        <v>1</v>
      </c>
      <c r="N734">
        <v>0</v>
      </c>
      <c r="O734" t="s">
        <v>21</v>
      </c>
      <c r="P734" t="str">
        <f>TEXT(Table1[[#This Row],[order_date]],"yyyy-mm")</f>
        <v>2025-09</v>
      </c>
      <c r="Q734">
        <f>WEEKNUM(Table1[[#This Row],[order_date]])</f>
        <v>36</v>
      </c>
      <c r="R734">
        <f>IF(Table1[[#This Row],[order_status]]="completed",1,0)</f>
        <v>1</v>
      </c>
    </row>
    <row r="735" spans="1:18" x14ac:dyDescent="0.35">
      <c r="A735">
        <v>734</v>
      </c>
      <c r="B735" s="1">
        <v>46001</v>
      </c>
      <c r="C735">
        <v>1490</v>
      </c>
      <c r="D735" t="s">
        <v>41</v>
      </c>
      <c r="E735" t="s">
        <v>23</v>
      </c>
      <c r="F735" t="s">
        <v>17</v>
      </c>
      <c r="G735">
        <v>2</v>
      </c>
      <c r="H735">
        <v>0</v>
      </c>
      <c r="I735" t="s">
        <v>25</v>
      </c>
      <c r="J735" t="s">
        <v>37</v>
      </c>
      <c r="K735" t="s">
        <v>40</v>
      </c>
      <c r="L735">
        <v>2</v>
      </c>
      <c r="M735">
        <v>1</v>
      </c>
      <c r="N735">
        <v>0</v>
      </c>
      <c r="O735" t="s">
        <v>21</v>
      </c>
      <c r="P735" t="str">
        <f>TEXT(Table1[[#This Row],[order_date]],"yyyy-mm")</f>
        <v>2025-12</v>
      </c>
      <c r="Q735">
        <f>WEEKNUM(Table1[[#This Row],[order_date]])</f>
        <v>50</v>
      </c>
      <c r="R735">
        <f>IF(Table1[[#This Row],[order_status]]="completed",1,0)</f>
        <v>0</v>
      </c>
    </row>
    <row r="736" spans="1:18" x14ac:dyDescent="0.35">
      <c r="A736">
        <v>735</v>
      </c>
      <c r="B736" s="1">
        <v>45937</v>
      </c>
      <c r="C736">
        <v>1275</v>
      </c>
      <c r="D736" t="s">
        <v>32</v>
      </c>
      <c r="E736" t="s">
        <v>36</v>
      </c>
      <c r="F736" t="s">
        <v>34</v>
      </c>
      <c r="G736">
        <v>3</v>
      </c>
      <c r="H736">
        <v>675</v>
      </c>
      <c r="I736" t="s">
        <v>39</v>
      </c>
      <c r="J736" t="s">
        <v>19</v>
      </c>
      <c r="K736" t="s">
        <v>40</v>
      </c>
      <c r="L736">
        <v>3</v>
      </c>
      <c r="M736">
        <v>1</v>
      </c>
      <c r="N736">
        <v>0</v>
      </c>
      <c r="O736" t="s">
        <v>21</v>
      </c>
      <c r="P736" t="str">
        <f>TEXT(Table1[[#This Row],[order_date]],"yyyy-mm")</f>
        <v>2025-10</v>
      </c>
      <c r="Q736">
        <f>WEEKNUM(Table1[[#This Row],[order_date]])</f>
        <v>41</v>
      </c>
      <c r="R736">
        <f>IF(Table1[[#This Row],[order_status]]="completed",1,0)</f>
        <v>1</v>
      </c>
    </row>
    <row r="737" spans="1:18" x14ac:dyDescent="0.35">
      <c r="A737">
        <v>736</v>
      </c>
      <c r="B737" s="1">
        <v>45887</v>
      </c>
      <c r="C737">
        <v>1301</v>
      </c>
      <c r="D737" t="s">
        <v>15</v>
      </c>
      <c r="E737" t="s">
        <v>16</v>
      </c>
      <c r="F737" t="s">
        <v>17</v>
      </c>
      <c r="G737">
        <v>2</v>
      </c>
      <c r="H737">
        <v>0</v>
      </c>
      <c r="I737" t="s">
        <v>39</v>
      </c>
      <c r="J737" t="s">
        <v>37</v>
      </c>
      <c r="K737" t="s">
        <v>40</v>
      </c>
      <c r="L737">
        <v>4</v>
      </c>
      <c r="M737">
        <v>0</v>
      </c>
      <c r="N737">
        <v>1</v>
      </c>
      <c r="O737" t="s">
        <v>21</v>
      </c>
      <c r="P737" t="str">
        <f>TEXT(Table1[[#This Row],[order_date]],"yyyy-mm")</f>
        <v>2025-08</v>
      </c>
      <c r="Q737">
        <f>WEEKNUM(Table1[[#This Row],[order_date]])</f>
        <v>34</v>
      </c>
      <c r="R737">
        <f>IF(Table1[[#This Row],[order_status]]="completed",1,0)</f>
        <v>0</v>
      </c>
    </row>
    <row r="738" spans="1:18" x14ac:dyDescent="0.35">
      <c r="A738">
        <v>737</v>
      </c>
      <c r="B738" s="1">
        <v>45956</v>
      </c>
      <c r="C738">
        <v>1227</v>
      </c>
      <c r="D738" t="s">
        <v>32</v>
      </c>
      <c r="E738" t="s">
        <v>29</v>
      </c>
      <c r="F738" t="s">
        <v>30</v>
      </c>
      <c r="G738">
        <v>4</v>
      </c>
      <c r="H738">
        <v>0</v>
      </c>
      <c r="I738" t="s">
        <v>39</v>
      </c>
      <c r="J738" t="s">
        <v>31</v>
      </c>
      <c r="K738" t="s">
        <v>20</v>
      </c>
      <c r="L738">
        <v>3</v>
      </c>
      <c r="M738">
        <v>1</v>
      </c>
      <c r="N738">
        <v>1</v>
      </c>
      <c r="O738" t="s">
        <v>21</v>
      </c>
      <c r="P738" t="str">
        <f>TEXT(Table1[[#This Row],[order_date]],"yyyy-mm")</f>
        <v>2025-10</v>
      </c>
      <c r="Q738">
        <f>WEEKNUM(Table1[[#This Row],[order_date]])</f>
        <v>44</v>
      </c>
      <c r="R738">
        <f>IF(Table1[[#This Row],[order_status]]="completed",1,0)</f>
        <v>0</v>
      </c>
    </row>
    <row r="739" spans="1:18" x14ac:dyDescent="0.35">
      <c r="A739">
        <v>738</v>
      </c>
      <c r="B739" s="1">
        <v>45931</v>
      </c>
      <c r="C739">
        <v>1665</v>
      </c>
      <c r="D739" t="s">
        <v>41</v>
      </c>
      <c r="E739" t="s">
        <v>33</v>
      </c>
      <c r="F739" t="s">
        <v>34</v>
      </c>
      <c r="G739">
        <v>1</v>
      </c>
      <c r="H739">
        <v>0</v>
      </c>
      <c r="I739" t="s">
        <v>25</v>
      </c>
      <c r="J739" t="s">
        <v>31</v>
      </c>
      <c r="K739" t="s">
        <v>38</v>
      </c>
      <c r="L739">
        <v>9</v>
      </c>
      <c r="M739">
        <v>1</v>
      </c>
      <c r="N739">
        <v>1</v>
      </c>
      <c r="O739" t="s">
        <v>21</v>
      </c>
      <c r="P739" t="str">
        <f>TEXT(Table1[[#This Row],[order_date]],"yyyy-mm")</f>
        <v>2025-10</v>
      </c>
      <c r="Q739">
        <f>WEEKNUM(Table1[[#This Row],[order_date]])</f>
        <v>40</v>
      </c>
      <c r="R739">
        <f>IF(Table1[[#This Row],[order_status]]="completed",1,0)</f>
        <v>0</v>
      </c>
    </row>
    <row r="740" spans="1:18" x14ac:dyDescent="0.35">
      <c r="A740">
        <v>739</v>
      </c>
      <c r="B740" s="1">
        <v>45956</v>
      </c>
      <c r="C740">
        <v>1043</v>
      </c>
      <c r="D740" t="s">
        <v>22</v>
      </c>
      <c r="E740" t="s">
        <v>29</v>
      </c>
      <c r="F740" t="s">
        <v>34</v>
      </c>
      <c r="G740">
        <v>1</v>
      </c>
      <c r="H740">
        <v>0</v>
      </c>
      <c r="I740" t="s">
        <v>25</v>
      </c>
      <c r="J740" t="s">
        <v>37</v>
      </c>
      <c r="K740" t="s">
        <v>20</v>
      </c>
      <c r="L740">
        <v>1</v>
      </c>
      <c r="M740">
        <v>1</v>
      </c>
      <c r="N740">
        <v>1</v>
      </c>
      <c r="O740" t="s">
        <v>21</v>
      </c>
      <c r="P740" t="str">
        <f>TEXT(Table1[[#This Row],[order_date]],"yyyy-mm")</f>
        <v>2025-10</v>
      </c>
      <c r="Q740">
        <f>WEEKNUM(Table1[[#This Row],[order_date]])</f>
        <v>44</v>
      </c>
      <c r="R740">
        <f>IF(Table1[[#This Row],[order_status]]="completed",1,0)</f>
        <v>0</v>
      </c>
    </row>
    <row r="741" spans="1:18" x14ac:dyDescent="0.35">
      <c r="A741">
        <v>740</v>
      </c>
      <c r="B741" s="1">
        <v>45999</v>
      </c>
      <c r="C741">
        <v>1003</v>
      </c>
      <c r="D741" t="s">
        <v>41</v>
      </c>
      <c r="E741" t="s">
        <v>29</v>
      </c>
      <c r="F741" t="s">
        <v>17</v>
      </c>
      <c r="G741">
        <v>1</v>
      </c>
      <c r="H741">
        <v>0</v>
      </c>
      <c r="I741" t="s">
        <v>35</v>
      </c>
      <c r="J741" t="s">
        <v>31</v>
      </c>
      <c r="K741" t="s">
        <v>38</v>
      </c>
      <c r="L741">
        <v>3</v>
      </c>
      <c r="M741">
        <v>1</v>
      </c>
      <c r="N741">
        <v>1</v>
      </c>
      <c r="O741" t="s">
        <v>21</v>
      </c>
      <c r="P741" t="str">
        <f>TEXT(Table1[[#This Row],[order_date]],"yyyy-mm")</f>
        <v>2025-12</v>
      </c>
      <c r="Q741">
        <f>WEEKNUM(Table1[[#This Row],[order_date]])</f>
        <v>50</v>
      </c>
      <c r="R741">
        <f>IF(Table1[[#This Row],[order_status]]="completed",1,0)</f>
        <v>0</v>
      </c>
    </row>
    <row r="742" spans="1:18" x14ac:dyDescent="0.35">
      <c r="A742">
        <v>741</v>
      </c>
      <c r="B742" s="1">
        <v>45865</v>
      </c>
      <c r="C742">
        <v>1135</v>
      </c>
      <c r="D742" t="s">
        <v>22</v>
      </c>
      <c r="E742" t="s">
        <v>33</v>
      </c>
      <c r="F742" t="s">
        <v>34</v>
      </c>
      <c r="G742">
        <v>2</v>
      </c>
      <c r="H742">
        <v>3580</v>
      </c>
      <c r="I742" t="s">
        <v>35</v>
      </c>
      <c r="J742" t="s">
        <v>19</v>
      </c>
      <c r="K742" t="s">
        <v>26</v>
      </c>
      <c r="L742">
        <v>5</v>
      </c>
      <c r="M742">
        <v>1</v>
      </c>
      <c r="N742">
        <v>1</v>
      </c>
      <c r="O742" t="s">
        <v>27</v>
      </c>
      <c r="P742" t="str">
        <f>TEXT(Table1[[#This Row],[order_date]],"yyyy-mm")</f>
        <v>2025-07</v>
      </c>
      <c r="Q742">
        <f>WEEKNUM(Table1[[#This Row],[order_date]])</f>
        <v>31</v>
      </c>
      <c r="R742">
        <f>IF(Table1[[#This Row],[order_status]]="completed",1,0)</f>
        <v>1</v>
      </c>
    </row>
    <row r="743" spans="1:18" x14ac:dyDescent="0.35">
      <c r="A743">
        <v>742</v>
      </c>
      <c r="B743" s="1">
        <v>45961</v>
      </c>
      <c r="C743">
        <v>1170</v>
      </c>
      <c r="D743" t="s">
        <v>15</v>
      </c>
      <c r="E743" t="s">
        <v>33</v>
      </c>
      <c r="F743" t="s">
        <v>24</v>
      </c>
      <c r="G743">
        <v>5</v>
      </c>
      <c r="H743">
        <v>0</v>
      </c>
      <c r="I743" t="s">
        <v>35</v>
      </c>
      <c r="J743" t="s">
        <v>37</v>
      </c>
      <c r="K743" t="s">
        <v>40</v>
      </c>
      <c r="L743">
        <v>4</v>
      </c>
      <c r="M743">
        <v>1</v>
      </c>
      <c r="N743">
        <v>0</v>
      </c>
      <c r="O743" t="s">
        <v>27</v>
      </c>
      <c r="P743" t="str">
        <f>TEXT(Table1[[#This Row],[order_date]],"yyyy-mm")</f>
        <v>2025-10</v>
      </c>
      <c r="Q743">
        <f>WEEKNUM(Table1[[#This Row],[order_date]])</f>
        <v>44</v>
      </c>
      <c r="R743">
        <f>IF(Table1[[#This Row],[order_status]]="completed",1,0)</f>
        <v>0</v>
      </c>
    </row>
    <row r="744" spans="1:18" x14ac:dyDescent="0.35">
      <c r="A744">
        <v>743</v>
      </c>
      <c r="B744" s="1">
        <v>45995</v>
      </c>
      <c r="C744">
        <v>1012</v>
      </c>
      <c r="D744" t="s">
        <v>28</v>
      </c>
      <c r="E744" t="s">
        <v>33</v>
      </c>
      <c r="F744" t="s">
        <v>34</v>
      </c>
      <c r="G744">
        <v>4</v>
      </c>
      <c r="H744">
        <v>19912</v>
      </c>
      <c r="I744" t="s">
        <v>25</v>
      </c>
      <c r="J744" t="s">
        <v>19</v>
      </c>
      <c r="K744" t="s">
        <v>20</v>
      </c>
      <c r="L744">
        <v>4</v>
      </c>
      <c r="M744">
        <v>0</v>
      </c>
      <c r="N744">
        <v>0</v>
      </c>
      <c r="O744" t="s">
        <v>27</v>
      </c>
      <c r="P744" t="str">
        <f>TEXT(Table1[[#This Row],[order_date]],"yyyy-mm")</f>
        <v>2025-12</v>
      </c>
      <c r="Q744">
        <f>WEEKNUM(Table1[[#This Row],[order_date]])</f>
        <v>49</v>
      </c>
      <c r="R744">
        <f>IF(Table1[[#This Row],[order_status]]="completed",1,0)</f>
        <v>1</v>
      </c>
    </row>
    <row r="745" spans="1:18" x14ac:dyDescent="0.35">
      <c r="A745">
        <v>744</v>
      </c>
      <c r="B745" s="1">
        <v>45936</v>
      </c>
      <c r="C745">
        <v>1864</v>
      </c>
      <c r="D745" t="s">
        <v>22</v>
      </c>
      <c r="E745" t="s">
        <v>29</v>
      </c>
      <c r="F745" t="s">
        <v>34</v>
      </c>
      <c r="G745">
        <v>5</v>
      </c>
      <c r="H745">
        <v>9490</v>
      </c>
      <c r="I745" t="s">
        <v>18</v>
      </c>
      <c r="J745" t="s">
        <v>19</v>
      </c>
      <c r="K745" t="s">
        <v>40</v>
      </c>
      <c r="L745">
        <v>8</v>
      </c>
      <c r="M745">
        <v>0</v>
      </c>
      <c r="N745">
        <v>0</v>
      </c>
      <c r="O745" t="s">
        <v>27</v>
      </c>
      <c r="P745" t="str">
        <f>TEXT(Table1[[#This Row],[order_date]],"yyyy-mm")</f>
        <v>2025-10</v>
      </c>
      <c r="Q745">
        <f>WEEKNUM(Table1[[#This Row],[order_date]])</f>
        <v>41</v>
      </c>
      <c r="R745">
        <f>IF(Table1[[#This Row],[order_status]]="completed",1,0)</f>
        <v>1</v>
      </c>
    </row>
    <row r="746" spans="1:18" x14ac:dyDescent="0.35">
      <c r="A746">
        <v>745</v>
      </c>
      <c r="B746" s="1">
        <v>46010</v>
      </c>
      <c r="C746">
        <v>1170</v>
      </c>
      <c r="D746" t="s">
        <v>22</v>
      </c>
      <c r="E746" t="s">
        <v>16</v>
      </c>
      <c r="F746" t="s">
        <v>17</v>
      </c>
      <c r="G746">
        <v>2</v>
      </c>
      <c r="H746">
        <v>3248</v>
      </c>
      <c r="I746" t="s">
        <v>35</v>
      </c>
      <c r="J746" t="s">
        <v>19</v>
      </c>
      <c r="K746" t="s">
        <v>20</v>
      </c>
      <c r="L746">
        <v>8</v>
      </c>
      <c r="M746">
        <v>1</v>
      </c>
      <c r="N746">
        <v>0</v>
      </c>
      <c r="O746" t="s">
        <v>21</v>
      </c>
      <c r="P746" t="str">
        <f>TEXT(Table1[[#This Row],[order_date]],"yyyy-mm")</f>
        <v>2025-12</v>
      </c>
      <c r="Q746">
        <f>WEEKNUM(Table1[[#This Row],[order_date]])</f>
        <v>51</v>
      </c>
      <c r="R746">
        <f>IF(Table1[[#This Row],[order_status]]="completed",1,0)</f>
        <v>1</v>
      </c>
    </row>
    <row r="747" spans="1:18" x14ac:dyDescent="0.35">
      <c r="A747">
        <v>746</v>
      </c>
      <c r="B747" s="1">
        <v>46010</v>
      </c>
      <c r="C747">
        <v>1725</v>
      </c>
      <c r="D747" t="s">
        <v>28</v>
      </c>
      <c r="E747" t="s">
        <v>36</v>
      </c>
      <c r="F747" t="s">
        <v>17</v>
      </c>
      <c r="G747">
        <v>4</v>
      </c>
      <c r="H747">
        <v>0</v>
      </c>
      <c r="I747" t="s">
        <v>35</v>
      </c>
      <c r="J747" t="s">
        <v>37</v>
      </c>
      <c r="K747" t="s">
        <v>40</v>
      </c>
      <c r="L747">
        <v>2</v>
      </c>
      <c r="M747">
        <v>0</v>
      </c>
      <c r="N747">
        <v>0</v>
      </c>
      <c r="O747" t="s">
        <v>27</v>
      </c>
      <c r="P747" t="str">
        <f>TEXT(Table1[[#This Row],[order_date]],"yyyy-mm")</f>
        <v>2025-12</v>
      </c>
      <c r="Q747">
        <f>WEEKNUM(Table1[[#This Row],[order_date]])</f>
        <v>51</v>
      </c>
      <c r="R747">
        <f>IF(Table1[[#This Row],[order_status]]="completed",1,0)</f>
        <v>0</v>
      </c>
    </row>
    <row r="748" spans="1:18" x14ac:dyDescent="0.35">
      <c r="A748">
        <v>747</v>
      </c>
      <c r="B748" s="1">
        <v>46028</v>
      </c>
      <c r="C748">
        <v>1725</v>
      </c>
      <c r="D748" t="s">
        <v>32</v>
      </c>
      <c r="E748" t="s">
        <v>16</v>
      </c>
      <c r="F748" t="s">
        <v>17</v>
      </c>
      <c r="G748">
        <v>4</v>
      </c>
      <c r="H748">
        <v>0</v>
      </c>
      <c r="I748" t="s">
        <v>35</v>
      </c>
      <c r="J748" t="s">
        <v>37</v>
      </c>
      <c r="K748" t="s">
        <v>38</v>
      </c>
      <c r="L748">
        <v>3</v>
      </c>
      <c r="M748">
        <v>0</v>
      </c>
      <c r="N748">
        <v>1</v>
      </c>
      <c r="O748" t="s">
        <v>21</v>
      </c>
      <c r="P748" t="str">
        <f>TEXT(Table1[[#This Row],[order_date]],"yyyy-mm")</f>
        <v>2026-01</v>
      </c>
      <c r="Q748">
        <f>WEEKNUM(Table1[[#This Row],[order_date]])</f>
        <v>2</v>
      </c>
      <c r="R748">
        <f>IF(Table1[[#This Row],[order_status]]="completed",1,0)</f>
        <v>0</v>
      </c>
    </row>
    <row r="749" spans="1:18" x14ac:dyDescent="0.35">
      <c r="A749">
        <v>748</v>
      </c>
      <c r="B749" s="1">
        <v>46011</v>
      </c>
      <c r="C749">
        <v>1254</v>
      </c>
      <c r="D749" t="s">
        <v>15</v>
      </c>
      <c r="E749" t="s">
        <v>36</v>
      </c>
      <c r="F749" t="s">
        <v>17</v>
      </c>
      <c r="G749">
        <v>1</v>
      </c>
      <c r="H749">
        <v>3047</v>
      </c>
      <c r="I749" t="s">
        <v>39</v>
      </c>
      <c r="J749" t="s">
        <v>19</v>
      </c>
      <c r="K749" t="s">
        <v>40</v>
      </c>
      <c r="L749">
        <v>6</v>
      </c>
      <c r="M749">
        <v>0</v>
      </c>
      <c r="N749">
        <v>1</v>
      </c>
      <c r="O749" t="s">
        <v>27</v>
      </c>
      <c r="P749" t="str">
        <f>TEXT(Table1[[#This Row],[order_date]],"yyyy-mm")</f>
        <v>2025-12</v>
      </c>
      <c r="Q749">
        <f>WEEKNUM(Table1[[#This Row],[order_date]])</f>
        <v>51</v>
      </c>
      <c r="R749">
        <f>IF(Table1[[#This Row],[order_status]]="completed",1,0)</f>
        <v>1</v>
      </c>
    </row>
    <row r="750" spans="1:18" x14ac:dyDescent="0.35">
      <c r="A750">
        <v>749</v>
      </c>
      <c r="B750" s="1">
        <v>45933</v>
      </c>
      <c r="C750">
        <v>1230</v>
      </c>
      <c r="D750" t="s">
        <v>32</v>
      </c>
      <c r="E750" t="s">
        <v>33</v>
      </c>
      <c r="F750" t="s">
        <v>34</v>
      </c>
      <c r="G750">
        <v>3</v>
      </c>
      <c r="H750">
        <v>3450</v>
      </c>
      <c r="I750" t="s">
        <v>39</v>
      </c>
      <c r="J750" t="s">
        <v>19</v>
      </c>
      <c r="K750" t="s">
        <v>20</v>
      </c>
      <c r="L750">
        <v>8</v>
      </c>
      <c r="M750">
        <v>1</v>
      </c>
      <c r="N750">
        <v>1</v>
      </c>
      <c r="O750" t="s">
        <v>27</v>
      </c>
      <c r="P750" t="str">
        <f>TEXT(Table1[[#This Row],[order_date]],"yyyy-mm")</f>
        <v>2025-10</v>
      </c>
      <c r="Q750">
        <f>WEEKNUM(Table1[[#This Row],[order_date]])</f>
        <v>40</v>
      </c>
      <c r="R750">
        <f>IF(Table1[[#This Row],[order_status]]="completed",1,0)</f>
        <v>1</v>
      </c>
    </row>
    <row r="751" spans="1:18" x14ac:dyDescent="0.35">
      <c r="A751">
        <v>750</v>
      </c>
      <c r="B751" s="1">
        <v>46018</v>
      </c>
      <c r="C751">
        <v>1780</v>
      </c>
      <c r="D751" t="s">
        <v>32</v>
      </c>
      <c r="E751" t="s">
        <v>23</v>
      </c>
      <c r="F751" t="s">
        <v>24</v>
      </c>
      <c r="G751">
        <v>2</v>
      </c>
      <c r="H751">
        <v>5170</v>
      </c>
      <c r="I751" t="s">
        <v>25</v>
      </c>
      <c r="J751" t="s">
        <v>19</v>
      </c>
      <c r="K751" t="s">
        <v>26</v>
      </c>
      <c r="L751">
        <v>4</v>
      </c>
      <c r="M751">
        <v>0</v>
      </c>
      <c r="N751">
        <v>0</v>
      </c>
      <c r="O751" t="s">
        <v>27</v>
      </c>
      <c r="P751" t="str">
        <f>TEXT(Table1[[#This Row],[order_date]],"yyyy-mm")</f>
        <v>2025-12</v>
      </c>
      <c r="Q751">
        <f>WEEKNUM(Table1[[#This Row],[order_date]])</f>
        <v>52</v>
      </c>
      <c r="R751">
        <f>IF(Table1[[#This Row],[order_status]]="completed",1,0)</f>
        <v>1</v>
      </c>
    </row>
    <row r="752" spans="1:18" x14ac:dyDescent="0.35">
      <c r="A752">
        <v>751</v>
      </c>
      <c r="B752" s="1">
        <v>45927</v>
      </c>
      <c r="C752">
        <v>1061</v>
      </c>
      <c r="D752" t="s">
        <v>22</v>
      </c>
      <c r="E752" t="s">
        <v>16</v>
      </c>
      <c r="F752" t="s">
        <v>34</v>
      </c>
      <c r="G752">
        <v>2</v>
      </c>
      <c r="H752">
        <v>5558</v>
      </c>
      <c r="I752" t="s">
        <v>18</v>
      </c>
      <c r="J752" t="s">
        <v>19</v>
      </c>
      <c r="K752" t="s">
        <v>40</v>
      </c>
      <c r="L752">
        <v>9</v>
      </c>
      <c r="M752">
        <v>0</v>
      </c>
      <c r="N752">
        <v>1</v>
      </c>
      <c r="O752" t="s">
        <v>21</v>
      </c>
      <c r="P752" t="str">
        <f>TEXT(Table1[[#This Row],[order_date]],"yyyy-mm")</f>
        <v>2025-09</v>
      </c>
      <c r="Q752">
        <f>WEEKNUM(Table1[[#This Row],[order_date]])</f>
        <v>39</v>
      </c>
      <c r="R752">
        <f>IF(Table1[[#This Row],[order_status]]="completed",1,0)</f>
        <v>1</v>
      </c>
    </row>
    <row r="753" spans="1:18" x14ac:dyDescent="0.35">
      <c r="A753">
        <v>752</v>
      </c>
      <c r="B753" s="1">
        <v>46019</v>
      </c>
      <c r="C753">
        <v>1544</v>
      </c>
      <c r="D753" t="s">
        <v>22</v>
      </c>
      <c r="E753" t="s">
        <v>33</v>
      </c>
      <c r="F753" t="s">
        <v>24</v>
      </c>
      <c r="G753">
        <v>2</v>
      </c>
      <c r="H753">
        <v>1004</v>
      </c>
      <c r="I753" t="s">
        <v>25</v>
      </c>
      <c r="J753" t="s">
        <v>19</v>
      </c>
      <c r="K753" t="s">
        <v>26</v>
      </c>
      <c r="L753">
        <v>6</v>
      </c>
      <c r="M753">
        <v>0</v>
      </c>
      <c r="N753">
        <v>1</v>
      </c>
      <c r="O753" t="s">
        <v>21</v>
      </c>
      <c r="P753" t="str">
        <f>TEXT(Table1[[#This Row],[order_date]],"yyyy-mm")</f>
        <v>2025-12</v>
      </c>
      <c r="Q753">
        <f>WEEKNUM(Table1[[#This Row],[order_date]])</f>
        <v>53</v>
      </c>
      <c r="R753">
        <f>IF(Table1[[#This Row],[order_status]]="completed",1,0)</f>
        <v>1</v>
      </c>
    </row>
    <row r="754" spans="1:18" x14ac:dyDescent="0.35">
      <c r="A754">
        <v>753</v>
      </c>
      <c r="B754" s="1">
        <v>46022</v>
      </c>
      <c r="C754">
        <v>1324</v>
      </c>
      <c r="D754" t="s">
        <v>15</v>
      </c>
      <c r="E754" t="s">
        <v>23</v>
      </c>
      <c r="F754" t="s">
        <v>17</v>
      </c>
      <c r="G754">
        <v>5</v>
      </c>
      <c r="H754">
        <v>0</v>
      </c>
      <c r="I754" t="s">
        <v>25</v>
      </c>
      <c r="J754" t="s">
        <v>37</v>
      </c>
      <c r="K754" t="s">
        <v>20</v>
      </c>
      <c r="L754">
        <v>2</v>
      </c>
      <c r="M754">
        <v>0</v>
      </c>
      <c r="N754">
        <v>0</v>
      </c>
      <c r="O754" t="s">
        <v>21</v>
      </c>
      <c r="P754" t="str">
        <f>TEXT(Table1[[#This Row],[order_date]],"yyyy-mm")</f>
        <v>2025-12</v>
      </c>
      <c r="Q754">
        <f>WEEKNUM(Table1[[#This Row],[order_date]])</f>
        <v>53</v>
      </c>
      <c r="R754">
        <f>IF(Table1[[#This Row],[order_status]]="completed",1,0)</f>
        <v>0</v>
      </c>
    </row>
    <row r="755" spans="1:18" x14ac:dyDescent="0.35">
      <c r="A755">
        <v>754</v>
      </c>
      <c r="B755" s="1">
        <v>45969</v>
      </c>
      <c r="C755">
        <v>1914</v>
      </c>
      <c r="D755" t="s">
        <v>15</v>
      </c>
      <c r="E755" t="s">
        <v>23</v>
      </c>
      <c r="F755" t="s">
        <v>24</v>
      </c>
      <c r="G755">
        <v>3</v>
      </c>
      <c r="H755">
        <v>0</v>
      </c>
      <c r="I755" t="s">
        <v>39</v>
      </c>
      <c r="J755" t="s">
        <v>37</v>
      </c>
      <c r="K755" t="s">
        <v>38</v>
      </c>
      <c r="L755">
        <v>9</v>
      </c>
      <c r="M755">
        <v>0</v>
      </c>
      <c r="N755">
        <v>1</v>
      </c>
      <c r="O755" t="s">
        <v>21</v>
      </c>
      <c r="P755" t="str">
        <f>TEXT(Table1[[#This Row],[order_date]],"yyyy-mm")</f>
        <v>2025-11</v>
      </c>
      <c r="Q755">
        <f>WEEKNUM(Table1[[#This Row],[order_date]])</f>
        <v>45</v>
      </c>
      <c r="R755">
        <f>IF(Table1[[#This Row],[order_status]]="completed",1,0)</f>
        <v>0</v>
      </c>
    </row>
    <row r="756" spans="1:18" x14ac:dyDescent="0.35">
      <c r="A756">
        <v>755</v>
      </c>
      <c r="B756" s="1">
        <v>46022</v>
      </c>
      <c r="C756">
        <v>1327</v>
      </c>
      <c r="D756" t="s">
        <v>15</v>
      </c>
      <c r="E756" t="s">
        <v>23</v>
      </c>
      <c r="F756" t="s">
        <v>24</v>
      </c>
      <c r="G756">
        <v>3</v>
      </c>
      <c r="H756">
        <v>8649</v>
      </c>
      <c r="I756" t="s">
        <v>25</v>
      </c>
      <c r="J756" t="s">
        <v>19</v>
      </c>
      <c r="K756" t="s">
        <v>26</v>
      </c>
      <c r="L756">
        <v>4</v>
      </c>
      <c r="M756">
        <v>1</v>
      </c>
      <c r="N756">
        <v>0</v>
      </c>
      <c r="O756" t="s">
        <v>27</v>
      </c>
      <c r="P756" t="str">
        <f>TEXT(Table1[[#This Row],[order_date]],"yyyy-mm")</f>
        <v>2025-12</v>
      </c>
      <c r="Q756">
        <f>WEEKNUM(Table1[[#This Row],[order_date]])</f>
        <v>53</v>
      </c>
      <c r="R756">
        <f>IF(Table1[[#This Row],[order_status]]="completed",1,0)</f>
        <v>1</v>
      </c>
    </row>
    <row r="757" spans="1:18" x14ac:dyDescent="0.35">
      <c r="A757">
        <v>756</v>
      </c>
      <c r="B757" s="1">
        <v>46014</v>
      </c>
      <c r="C757">
        <v>1436</v>
      </c>
      <c r="D757" t="s">
        <v>22</v>
      </c>
      <c r="E757" t="s">
        <v>33</v>
      </c>
      <c r="F757" t="s">
        <v>30</v>
      </c>
      <c r="G757">
        <v>5</v>
      </c>
      <c r="H757">
        <v>5495</v>
      </c>
      <c r="I757" t="s">
        <v>35</v>
      </c>
      <c r="J757" t="s">
        <v>19</v>
      </c>
      <c r="K757" t="s">
        <v>38</v>
      </c>
      <c r="L757">
        <v>7</v>
      </c>
      <c r="M757">
        <v>1</v>
      </c>
      <c r="N757">
        <v>0</v>
      </c>
      <c r="O757" t="s">
        <v>27</v>
      </c>
      <c r="P757" t="str">
        <f>TEXT(Table1[[#This Row],[order_date]],"yyyy-mm")</f>
        <v>2025-12</v>
      </c>
      <c r="Q757">
        <f>WEEKNUM(Table1[[#This Row],[order_date]])</f>
        <v>52</v>
      </c>
      <c r="R757">
        <f>IF(Table1[[#This Row],[order_status]]="completed",1,0)</f>
        <v>1</v>
      </c>
    </row>
    <row r="758" spans="1:18" x14ac:dyDescent="0.35">
      <c r="A758">
        <v>757</v>
      </c>
      <c r="B758" s="1">
        <v>45932</v>
      </c>
      <c r="C758">
        <v>1473</v>
      </c>
      <c r="D758" t="s">
        <v>22</v>
      </c>
      <c r="E758" t="s">
        <v>23</v>
      </c>
      <c r="F758" t="s">
        <v>30</v>
      </c>
      <c r="G758">
        <v>1</v>
      </c>
      <c r="H758">
        <v>1298</v>
      </c>
      <c r="I758" t="s">
        <v>18</v>
      </c>
      <c r="J758" t="s">
        <v>19</v>
      </c>
      <c r="K758" t="s">
        <v>40</v>
      </c>
      <c r="L758">
        <v>10</v>
      </c>
      <c r="M758">
        <v>1</v>
      </c>
      <c r="N758">
        <v>1</v>
      </c>
      <c r="O758" t="s">
        <v>27</v>
      </c>
      <c r="P758" t="str">
        <f>TEXT(Table1[[#This Row],[order_date]],"yyyy-mm")</f>
        <v>2025-10</v>
      </c>
      <c r="Q758">
        <f>WEEKNUM(Table1[[#This Row],[order_date]])</f>
        <v>40</v>
      </c>
      <c r="R758">
        <f>IF(Table1[[#This Row],[order_status]]="completed",1,0)</f>
        <v>1</v>
      </c>
    </row>
    <row r="759" spans="1:18" x14ac:dyDescent="0.35">
      <c r="A759">
        <v>758</v>
      </c>
      <c r="B759" s="1">
        <v>45990</v>
      </c>
      <c r="C759">
        <v>1556</v>
      </c>
      <c r="D759" t="s">
        <v>15</v>
      </c>
      <c r="E759" t="s">
        <v>29</v>
      </c>
      <c r="F759" t="s">
        <v>24</v>
      </c>
      <c r="G759">
        <v>1</v>
      </c>
      <c r="H759">
        <v>3664</v>
      </c>
      <c r="I759" t="s">
        <v>25</v>
      </c>
      <c r="J759" t="s">
        <v>19</v>
      </c>
      <c r="K759" t="s">
        <v>38</v>
      </c>
      <c r="L759">
        <v>9</v>
      </c>
      <c r="M759">
        <v>1</v>
      </c>
      <c r="N759">
        <v>0</v>
      </c>
      <c r="O759" t="s">
        <v>27</v>
      </c>
      <c r="P759" t="str">
        <f>TEXT(Table1[[#This Row],[order_date]],"yyyy-mm")</f>
        <v>2025-11</v>
      </c>
      <c r="Q759">
        <f>WEEKNUM(Table1[[#This Row],[order_date]])</f>
        <v>48</v>
      </c>
      <c r="R759">
        <f>IF(Table1[[#This Row],[order_status]]="completed",1,0)</f>
        <v>1</v>
      </c>
    </row>
    <row r="760" spans="1:18" x14ac:dyDescent="0.35">
      <c r="A760">
        <v>759</v>
      </c>
      <c r="B760" s="1">
        <v>45852</v>
      </c>
      <c r="C760">
        <v>1529</v>
      </c>
      <c r="D760" t="s">
        <v>28</v>
      </c>
      <c r="E760" t="s">
        <v>36</v>
      </c>
      <c r="F760" t="s">
        <v>17</v>
      </c>
      <c r="G760">
        <v>3</v>
      </c>
      <c r="H760">
        <v>9396</v>
      </c>
      <c r="I760" t="s">
        <v>18</v>
      </c>
      <c r="J760" t="s">
        <v>19</v>
      </c>
      <c r="K760" t="s">
        <v>38</v>
      </c>
      <c r="L760">
        <v>9</v>
      </c>
      <c r="M760">
        <v>0</v>
      </c>
      <c r="N760">
        <v>1</v>
      </c>
      <c r="O760" t="s">
        <v>27</v>
      </c>
      <c r="P760" t="str">
        <f>TEXT(Table1[[#This Row],[order_date]],"yyyy-mm")</f>
        <v>2025-07</v>
      </c>
      <c r="Q760">
        <f>WEEKNUM(Table1[[#This Row],[order_date]])</f>
        <v>29</v>
      </c>
      <c r="R760">
        <f>IF(Table1[[#This Row],[order_status]]="completed",1,0)</f>
        <v>1</v>
      </c>
    </row>
    <row r="761" spans="1:18" x14ac:dyDescent="0.35">
      <c r="A761">
        <v>760</v>
      </c>
      <c r="B761" s="1">
        <v>45999</v>
      </c>
      <c r="C761">
        <v>1799</v>
      </c>
      <c r="D761" t="s">
        <v>41</v>
      </c>
      <c r="E761" t="s">
        <v>29</v>
      </c>
      <c r="F761" t="s">
        <v>17</v>
      </c>
      <c r="G761">
        <v>2</v>
      </c>
      <c r="H761">
        <v>0</v>
      </c>
      <c r="I761" t="s">
        <v>39</v>
      </c>
      <c r="J761" t="s">
        <v>37</v>
      </c>
      <c r="K761" t="s">
        <v>20</v>
      </c>
      <c r="L761">
        <v>5</v>
      </c>
      <c r="M761">
        <v>0</v>
      </c>
      <c r="N761">
        <v>1</v>
      </c>
      <c r="O761" t="s">
        <v>21</v>
      </c>
      <c r="P761" t="str">
        <f>TEXT(Table1[[#This Row],[order_date]],"yyyy-mm")</f>
        <v>2025-12</v>
      </c>
      <c r="Q761">
        <f>WEEKNUM(Table1[[#This Row],[order_date]])</f>
        <v>50</v>
      </c>
      <c r="R761">
        <f>IF(Table1[[#This Row],[order_status]]="completed",1,0)</f>
        <v>0</v>
      </c>
    </row>
    <row r="762" spans="1:18" x14ac:dyDescent="0.35">
      <c r="A762">
        <v>761</v>
      </c>
      <c r="B762" s="1">
        <v>45980</v>
      </c>
      <c r="C762">
        <v>1771</v>
      </c>
      <c r="D762" t="s">
        <v>32</v>
      </c>
      <c r="E762" t="s">
        <v>23</v>
      </c>
      <c r="F762" t="s">
        <v>24</v>
      </c>
      <c r="G762">
        <v>3</v>
      </c>
      <c r="H762">
        <v>0</v>
      </c>
      <c r="I762" t="s">
        <v>39</v>
      </c>
      <c r="J762" t="s">
        <v>37</v>
      </c>
      <c r="K762" t="s">
        <v>38</v>
      </c>
      <c r="L762">
        <v>9</v>
      </c>
      <c r="M762">
        <v>0</v>
      </c>
      <c r="N762">
        <v>1</v>
      </c>
      <c r="O762" t="s">
        <v>27</v>
      </c>
      <c r="P762" t="str">
        <f>TEXT(Table1[[#This Row],[order_date]],"yyyy-mm")</f>
        <v>2025-11</v>
      </c>
      <c r="Q762">
        <f>WEEKNUM(Table1[[#This Row],[order_date]])</f>
        <v>47</v>
      </c>
      <c r="R762">
        <f>IF(Table1[[#This Row],[order_status]]="completed",1,0)</f>
        <v>0</v>
      </c>
    </row>
    <row r="763" spans="1:18" x14ac:dyDescent="0.35">
      <c r="A763">
        <v>762</v>
      </c>
      <c r="B763" s="1">
        <v>45878</v>
      </c>
      <c r="C763">
        <v>1684</v>
      </c>
      <c r="D763" t="s">
        <v>22</v>
      </c>
      <c r="E763" t="s">
        <v>16</v>
      </c>
      <c r="F763" t="s">
        <v>30</v>
      </c>
      <c r="G763">
        <v>3</v>
      </c>
      <c r="H763">
        <v>0</v>
      </c>
      <c r="I763" t="s">
        <v>39</v>
      </c>
      <c r="J763" t="s">
        <v>31</v>
      </c>
      <c r="K763" t="s">
        <v>40</v>
      </c>
      <c r="L763">
        <v>6</v>
      </c>
      <c r="M763">
        <v>1</v>
      </c>
      <c r="N763">
        <v>0</v>
      </c>
      <c r="O763" t="s">
        <v>21</v>
      </c>
      <c r="P763" t="str">
        <f>TEXT(Table1[[#This Row],[order_date]],"yyyy-mm")</f>
        <v>2025-08</v>
      </c>
      <c r="Q763">
        <f>WEEKNUM(Table1[[#This Row],[order_date]])</f>
        <v>32</v>
      </c>
      <c r="R763">
        <f>IF(Table1[[#This Row],[order_status]]="completed",1,0)</f>
        <v>0</v>
      </c>
    </row>
    <row r="764" spans="1:18" x14ac:dyDescent="0.35">
      <c r="A764">
        <v>763</v>
      </c>
      <c r="B764" s="1">
        <v>45939</v>
      </c>
      <c r="C764">
        <v>1190</v>
      </c>
      <c r="D764" t="s">
        <v>41</v>
      </c>
      <c r="E764" t="s">
        <v>29</v>
      </c>
      <c r="F764" t="s">
        <v>30</v>
      </c>
      <c r="G764">
        <v>3</v>
      </c>
      <c r="H764">
        <v>0</v>
      </c>
      <c r="I764" t="s">
        <v>25</v>
      </c>
      <c r="J764" t="s">
        <v>37</v>
      </c>
      <c r="K764" t="s">
        <v>38</v>
      </c>
      <c r="L764">
        <v>10</v>
      </c>
      <c r="M764">
        <v>0</v>
      </c>
      <c r="N764">
        <v>1</v>
      </c>
      <c r="O764" t="s">
        <v>27</v>
      </c>
      <c r="P764" t="str">
        <f>TEXT(Table1[[#This Row],[order_date]],"yyyy-mm")</f>
        <v>2025-10</v>
      </c>
      <c r="Q764">
        <f>WEEKNUM(Table1[[#This Row],[order_date]])</f>
        <v>41</v>
      </c>
      <c r="R764">
        <f>IF(Table1[[#This Row],[order_status]]="completed",1,0)</f>
        <v>0</v>
      </c>
    </row>
    <row r="765" spans="1:18" x14ac:dyDescent="0.35">
      <c r="A765">
        <v>764</v>
      </c>
      <c r="B765" s="1">
        <v>45948</v>
      </c>
      <c r="C765">
        <v>1519</v>
      </c>
      <c r="D765" t="s">
        <v>28</v>
      </c>
      <c r="E765" t="s">
        <v>36</v>
      </c>
      <c r="F765" t="s">
        <v>24</v>
      </c>
      <c r="G765">
        <v>4</v>
      </c>
      <c r="H765">
        <v>6568</v>
      </c>
      <c r="I765" t="s">
        <v>35</v>
      </c>
      <c r="J765" t="s">
        <v>19</v>
      </c>
      <c r="K765" t="s">
        <v>38</v>
      </c>
      <c r="L765">
        <v>2</v>
      </c>
      <c r="M765">
        <v>0</v>
      </c>
      <c r="N765">
        <v>1</v>
      </c>
      <c r="O765" t="s">
        <v>21</v>
      </c>
      <c r="P765" t="str">
        <f>TEXT(Table1[[#This Row],[order_date]],"yyyy-mm")</f>
        <v>2025-10</v>
      </c>
      <c r="Q765">
        <f>WEEKNUM(Table1[[#This Row],[order_date]])</f>
        <v>42</v>
      </c>
      <c r="R765">
        <f>IF(Table1[[#This Row],[order_status]]="completed",1,0)</f>
        <v>1</v>
      </c>
    </row>
    <row r="766" spans="1:18" x14ac:dyDescent="0.35">
      <c r="A766">
        <v>765</v>
      </c>
      <c r="B766" s="1">
        <v>45933</v>
      </c>
      <c r="C766">
        <v>1804</v>
      </c>
      <c r="D766" t="s">
        <v>22</v>
      </c>
      <c r="E766" t="s">
        <v>33</v>
      </c>
      <c r="F766" t="s">
        <v>30</v>
      </c>
      <c r="G766">
        <v>4</v>
      </c>
      <c r="H766">
        <v>13224</v>
      </c>
      <c r="I766" t="s">
        <v>25</v>
      </c>
      <c r="J766" t="s">
        <v>19</v>
      </c>
      <c r="K766" t="s">
        <v>40</v>
      </c>
      <c r="L766">
        <v>5</v>
      </c>
      <c r="M766">
        <v>1</v>
      </c>
      <c r="N766">
        <v>0</v>
      </c>
      <c r="O766" t="s">
        <v>27</v>
      </c>
      <c r="P766" t="str">
        <f>TEXT(Table1[[#This Row],[order_date]],"yyyy-mm")</f>
        <v>2025-10</v>
      </c>
      <c r="Q766">
        <f>WEEKNUM(Table1[[#This Row],[order_date]])</f>
        <v>40</v>
      </c>
      <c r="R766">
        <f>IF(Table1[[#This Row],[order_status]]="completed",1,0)</f>
        <v>1</v>
      </c>
    </row>
    <row r="767" spans="1:18" x14ac:dyDescent="0.35">
      <c r="A767">
        <v>766</v>
      </c>
      <c r="B767" s="1">
        <v>46006</v>
      </c>
      <c r="C767">
        <v>1729</v>
      </c>
      <c r="D767" t="s">
        <v>22</v>
      </c>
      <c r="E767" t="s">
        <v>29</v>
      </c>
      <c r="F767" t="s">
        <v>17</v>
      </c>
      <c r="G767">
        <v>2</v>
      </c>
      <c r="H767">
        <v>0</v>
      </c>
      <c r="I767" t="s">
        <v>25</v>
      </c>
      <c r="J767" t="s">
        <v>31</v>
      </c>
      <c r="K767" t="s">
        <v>20</v>
      </c>
      <c r="L767">
        <v>8</v>
      </c>
      <c r="M767">
        <v>0</v>
      </c>
      <c r="N767">
        <v>1</v>
      </c>
      <c r="O767" t="s">
        <v>21</v>
      </c>
      <c r="P767" t="str">
        <f>TEXT(Table1[[#This Row],[order_date]],"yyyy-mm")</f>
        <v>2025-12</v>
      </c>
      <c r="Q767">
        <f>WEEKNUM(Table1[[#This Row],[order_date]])</f>
        <v>51</v>
      </c>
      <c r="R767">
        <f>IF(Table1[[#This Row],[order_status]]="completed",1,0)</f>
        <v>0</v>
      </c>
    </row>
    <row r="768" spans="1:18" x14ac:dyDescent="0.35">
      <c r="A768">
        <v>767</v>
      </c>
      <c r="B768" s="1">
        <v>45900</v>
      </c>
      <c r="C768">
        <v>1252</v>
      </c>
      <c r="D768" t="s">
        <v>15</v>
      </c>
      <c r="E768" t="s">
        <v>23</v>
      </c>
      <c r="F768" t="s">
        <v>17</v>
      </c>
      <c r="G768">
        <v>3</v>
      </c>
      <c r="H768">
        <v>0</v>
      </c>
      <c r="I768" t="s">
        <v>39</v>
      </c>
      <c r="J768" t="s">
        <v>37</v>
      </c>
      <c r="K768" t="s">
        <v>26</v>
      </c>
      <c r="L768">
        <v>3</v>
      </c>
      <c r="M768">
        <v>1</v>
      </c>
      <c r="N768">
        <v>0</v>
      </c>
      <c r="O768" t="s">
        <v>21</v>
      </c>
      <c r="P768" t="str">
        <f>TEXT(Table1[[#This Row],[order_date]],"yyyy-mm")</f>
        <v>2025-08</v>
      </c>
      <c r="Q768">
        <f>WEEKNUM(Table1[[#This Row],[order_date]])</f>
        <v>36</v>
      </c>
      <c r="R768">
        <f>IF(Table1[[#This Row],[order_status]]="completed",1,0)</f>
        <v>0</v>
      </c>
    </row>
    <row r="769" spans="1:18" x14ac:dyDescent="0.35">
      <c r="A769">
        <v>768</v>
      </c>
      <c r="B769" s="1">
        <v>45932</v>
      </c>
      <c r="C769">
        <v>1779</v>
      </c>
      <c r="D769" t="s">
        <v>41</v>
      </c>
      <c r="E769" t="s">
        <v>16</v>
      </c>
      <c r="F769" t="s">
        <v>30</v>
      </c>
      <c r="G769">
        <v>4</v>
      </c>
      <c r="H769">
        <v>0</v>
      </c>
      <c r="I769" t="s">
        <v>39</v>
      </c>
      <c r="J769" t="s">
        <v>31</v>
      </c>
      <c r="K769" t="s">
        <v>38</v>
      </c>
      <c r="L769">
        <v>7</v>
      </c>
      <c r="M769">
        <v>1</v>
      </c>
      <c r="N769">
        <v>1</v>
      </c>
      <c r="O769" t="s">
        <v>21</v>
      </c>
      <c r="P769" t="str">
        <f>TEXT(Table1[[#This Row],[order_date]],"yyyy-mm")</f>
        <v>2025-10</v>
      </c>
      <c r="Q769">
        <f>WEEKNUM(Table1[[#This Row],[order_date]])</f>
        <v>40</v>
      </c>
      <c r="R769">
        <f>IF(Table1[[#This Row],[order_status]]="completed",1,0)</f>
        <v>0</v>
      </c>
    </row>
    <row r="770" spans="1:18" x14ac:dyDescent="0.35">
      <c r="A770">
        <v>769</v>
      </c>
      <c r="B770" s="1">
        <v>45904</v>
      </c>
      <c r="C770">
        <v>1595</v>
      </c>
      <c r="D770" t="s">
        <v>28</v>
      </c>
      <c r="E770" t="s">
        <v>33</v>
      </c>
      <c r="F770" t="s">
        <v>24</v>
      </c>
      <c r="G770">
        <v>1</v>
      </c>
      <c r="H770">
        <v>710</v>
      </c>
      <c r="I770" t="s">
        <v>25</v>
      </c>
      <c r="J770" t="s">
        <v>19</v>
      </c>
      <c r="K770" t="s">
        <v>26</v>
      </c>
      <c r="L770">
        <v>5</v>
      </c>
      <c r="M770">
        <v>1</v>
      </c>
      <c r="N770">
        <v>1</v>
      </c>
      <c r="O770" t="s">
        <v>21</v>
      </c>
      <c r="P770" t="str">
        <f>TEXT(Table1[[#This Row],[order_date]],"yyyy-mm")</f>
        <v>2025-09</v>
      </c>
      <c r="Q770">
        <f>WEEKNUM(Table1[[#This Row],[order_date]])</f>
        <v>36</v>
      </c>
      <c r="R770">
        <f>IF(Table1[[#This Row],[order_status]]="completed",1,0)</f>
        <v>1</v>
      </c>
    </row>
    <row r="771" spans="1:18" x14ac:dyDescent="0.35">
      <c r="A771">
        <v>770</v>
      </c>
      <c r="B771" s="1">
        <v>45914</v>
      </c>
      <c r="C771">
        <v>1004</v>
      </c>
      <c r="D771" t="s">
        <v>41</v>
      </c>
      <c r="E771" t="s">
        <v>33</v>
      </c>
      <c r="F771" t="s">
        <v>17</v>
      </c>
      <c r="G771">
        <v>1</v>
      </c>
      <c r="H771">
        <v>525</v>
      </c>
      <c r="I771" t="s">
        <v>35</v>
      </c>
      <c r="J771" t="s">
        <v>19</v>
      </c>
      <c r="K771" t="s">
        <v>26</v>
      </c>
      <c r="L771">
        <v>3</v>
      </c>
      <c r="M771">
        <v>1</v>
      </c>
      <c r="N771">
        <v>0</v>
      </c>
      <c r="O771" t="s">
        <v>21</v>
      </c>
      <c r="P771" t="str">
        <f>TEXT(Table1[[#This Row],[order_date]],"yyyy-mm")</f>
        <v>2025-09</v>
      </c>
      <c r="Q771">
        <f>WEEKNUM(Table1[[#This Row],[order_date]])</f>
        <v>38</v>
      </c>
      <c r="R771">
        <f>IF(Table1[[#This Row],[order_status]]="completed",1,0)</f>
        <v>1</v>
      </c>
    </row>
    <row r="772" spans="1:18" x14ac:dyDescent="0.35">
      <c r="A772">
        <v>771</v>
      </c>
      <c r="B772" s="1">
        <v>45879</v>
      </c>
      <c r="C772">
        <v>1349</v>
      </c>
      <c r="D772" t="s">
        <v>22</v>
      </c>
      <c r="E772" t="s">
        <v>36</v>
      </c>
      <c r="F772" t="s">
        <v>30</v>
      </c>
      <c r="G772">
        <v>4</v>
      </c>
      <c r="H772">
        <v>0</v>
      </c>
      <c r="I772" t="s">
        <v>35</v>
      </c>
      <c r="J772" t="s">
        <v>31</v>
      </c>
      <c r="K772" t="s">
        <v>38</v>
      </c>
      <c r="L772">
        <v>10</v>
      </c>
      <c r="M772">
        <v>1</v>
      </c>
      <c r="N772">
        <v>1</v>
      </c>
      <c r="O772" t="s">
        <v>27</v>
      </c>
      <c r="P772" t="str">
        <f>TEXT(Table1[[#This Row],[order_date]],"yyyy-mm")</f>
        <v>2025-08</v>
      </c>
      <c r="Q772">
        <f>WEEKNUM(Table1[[#This Row],[order_date]])</f>
        <v>33</v>
      </c>
      <c r="R772">
        <f>IF(Table1[[#This Row],[order_status]]="completed",1,0)</f>
        <v>0</v>
      </c>
    </row>
    <row r="773" spans="1:18" x14ac:dyDescent="0.35">
      <c r="A773">
        <v>772</v>
      </c>
      <c r="B773" s="1">
        <v>45911</v>
      </c>
      <c r="C773">
        <v>1760</v>
      </c>
      <c r="D773" t="s">
        <v>41</v>
      </c>
      <c r="E773" t="s">
        <v>29</v>
      </c>
      <c r="F773" t="s">
        <v>34</v>
      </c>
      <c r="G773">
        <v>4</v>
      </c>
      <c r="H773">
        <v>0</v>
      </c>
      <c r="I773" t="s">
        <v>39</v>
      </c>
      <c r="J773" t="s">
        <v>31</v>
      </c>
      <c r="K773" t="s">
        <v>38</v>
      </c>
      <c r="L773">
        <v>2</v>
      </c>
      <c r="M773">
        <v>0</v>
      </c>
      <c r="N773">
        <v>1</v>
      </c>
      <c r="O773" t="s">
        <v>21</v>
      </c>
      <c r="P773" t="str">
        <f>TEXT(Table1[[#This Row],[order_date]],"yyyy-mm")</f>
        <v>2025-09</v>
      </c>
      <c r="Q773">
        <f>WEEKNUM(Table1[[#This Row],[order_date]])</f>
        <v>37</v>
      </c>
      <c r="R773">
        <f>IF(Table1[[#This Row],[order_status]]="completed",1,0)</f>
        <v>0</v>
      </c>
    </row>
    <row r="774" spans="1:18" x14ac:dyDescent="0.35">
      <c r="A774">
        <v>773</v>
      </c>
      <c r="B774" s="1">
        <v>45913</v>
      </c>
      <c r="C774">
        <v>1559</v>
      </c>
      <c r="D774" t="s">
        <v>22</v>
      </c>
      <c r="E774" t="s">
        <v>29</v>
      </c>
      <c r="F774" t="s">
        <v>17</v>
      </c>
      <c r="G774">
        <v>1</v>
      </c>
      <c r="H774">
        <v>0</v>
      </c>
      <c r="I774" t="s">
        <v>18</v>
      </c>
      <c r="J774" t="s">
        <v>31</v>
      </c>
      <c r="K774" t="s">
        <v>38</v>
      </c>
      <c r="L774">
        <v>1</v>
      </c>
      <c r="M774">
        <v>0</v>
      </c>
      <c r="N774">
        <v>1</v>
      </c>
      <c r="O774" t="s">
        <v>21</v>
      </c>
      <c r="P774" t="str">
        <f>TEXT(Table1[[#This Row],[order_date]],"yyyy-mm")</f>
        <v>2025-09</v>
      </c>
      <c r="Q774">
        <f>WEEKNUM(Table1[[#This Row],[order_date]])</f>
        <v>37</v>
      </c>
      <c r="R774">
        <f>IF(Table1[[#This Row],[order_status]]="completed",1,0)</f>
        <v>0</v>
      </c>
    </row>
    <row r="775" spans="1:18" x14ac:dyDescent="0.35">
      <c r="A775">
        <v>774</v>
      </c>
      <c r="B775" s="1">
        <v>45934</v>
      </c>
      <c r="C775">
        <v>1091</v>
      </c>
      <c r="D775" t="s">
        <v>22</v>
      </c>
      <c r="E775" t="s">
        <v>29</v>
      </c>
      <c r="F775" t="s">
        <v>17</v>
      </c>
      <c r="G775">
        <v>4</v>
      </c>
      <c r="H775">
        <v>0</v>
      </c>
      <c r="I775" t="s">
        <v>35</v>
      </c>
      <c r="J775" t="s">
        <v>31</v>
      </c>
      <c r="K775" t="s">
        <v>26</v>
      </c>
      <c r="L775">
        <v>4</v>
      </c>
      <c r="M775">
        <v>0</v>
      </c>
      <c r="N775">
        <v>0</v>
      </c>
      <c r="O775" t="s">
        <v>21</v>
      </c>
      <c r="P775" t="str">
        <f>TEXT(Table1[[#This Row],[order_date]],"yyyy-mm")</f>
        <v>2025-10</v>
      </c>
      <c r="Q775">
        <f>WEEKNUM(Table1[[#This Row],[order_date]])</f>
        <v>40</v>
      </c>
      <c r="R775">
        <f>IF(Table1[[#This Row],[order_status]]="completed",1,0)</f>
        <v>0</v>
      </c>
    </row>
    <row r="776" spans="1:18" x14ac:dyDescent="0.35">
      <c r="A776">
        <v>775</v>
      </c>
      <c r="B776" s="1">
        <v>45880</v>
      </c>
      <c r="C776">
        <v>1792</v>
      </c>
      <c r="D776" t="s">
        <v>15</v>
      </c>
      <c r="E776" t="s">
        <v>33</v>
      </c>
      <c r="F776" t="s">
        <v>34</v>
      </c>
      <c r="G776">
        <v>1</v>
      </c>
      <c r="H776">
        <v>0</v>
      </c>
      <c r="I776" t="s">
        <v>35</v>
      </c>
      <c r="J776" t="s">
        <v>31</v>
      </c>
      <c r="K776" t="s">
        <v>26</v>
      </c>
      <c r="L776">
        <v>4</v>
      </c>
      <c r="M776">
        <v>0</v>
      </c>
      <c r="N776">
        <v>1</v>
      </c>
      <c r="O776" t="s">
        <v>27</v>
      </c>
      <c r="P776" t="str">
        <f>TEXT(Table1[[#This Row],[order_date]],"yyyy-mm")</f>
        <v>2025-08</v>
      </c>
      <c r="Q776">
        <f>WEEKNUM(Table1[[#This Row],[order_date]])</f>
        <v>33</v>
      </c>
      <c r="R776">
        <f>IF(Table1[[#This Row],[order_status]]="completed",1,0)</f>
        <v>0</v>
      </c>
    </row>
    <row r="777" spans="1:18" x14ac:dyDescent="0.35">
      <c r="A777">
        <v>776</v>
      </c>
      <c r="B777" s="1">
        <v>45875</v>
      </c>
      <c r="C777">
        <v>1709</v>
      </c>
      <c r="D777" t="s">
        <v>28</v>
      </c>
      <c r="E777" t="s">
        <v>33</v>
      </c>
      <c r="F777" t="s">
        <v>34</v>
      </c>
      <c r="G777">
        <v>5</v>
      </c>
      <c r="H777">
        <v>0</v>
      </c>
      <c r="I777" t="s">
        <v>25</v>
      </c>
      <c r="J777" t="s">
        <v>31</v>
      </c>
      <c r="K777" t="s">
        <v>26</v>
      </c>
      <c r="L777">
        <v>2</v>
      </c>
      <c r="M777">
        <v>0</v>
      </c>
      <c r="N777">
        <v>1</v>
      </c>
      <c r="O777" t="s">
        <v>27</v>
      </c>
      <c r="P777" t="str">
        <f>TEXT(Table1[[#This Row],[order_date]],"yyyy-mm")</f>
        <v>2025-08</v>
      </c>
      <c r="Q777">
        <f>WEEKNUM(Table1[[#This Row],[order_date]])</f>
        <v>32</v>
      </c>
      <c r="R777">
        <f>IF(Table1[[#This Row],[order_status]]="completed",1,0)</f>
        <v>0</v>
      </c>
    </row>
    <row r="778" spans="1:18" x14ac:dyDescent="0.35">
      <c r="A778">
        <v>777</v>
      </c>
      <c r="B778" s="1">
        <v>45868</v>
      </c>
      <c r="C778">
        <v>1566</v>
      </c>
      <c r="D778" t="s">
        <v>32</v>
      </c>
      <c r="E778" t="s">
        <v>36</v>
      </c>
      <c r="F778" t="s">
        <v>34</v>
      </c>
      <c r="G778">
        <v>3</v>
      </c>
      <c r="H778">
        <v>0</v>
      </c>
      <c r="I778" t="s">
        <v>35</v>
      </c>
      <c r="J778" t="s">
        <v>31</v>
      </c>
      <c r="K778" t="s">
        <v>40</v>
      </c>
      <c r="L778">
        <v>10</v>
      </c>
      <c r="M778">
        <v>0</v>
      </c>
      <c r="N778">
        <v>1</v>
      </c>
      <c r="O778" t="s">
        <v>27</v>
      </c>
      <c r="P778" t="str">
        <f>TEXT(Table1[[#This Row],[order_date]],"yyyy-mm")</f>
        <v>2025-07</v>
      </c>
      <c r="Q778">
        <f>WEEKNUM(Table1[[#This Row],[order_date]])</f>
        <v>31</v>
      </c>
      <c r="R778">
        <f>IF(Table1[[#This Row],[order_status]]="completed",1,0)</f>
        <v>0</v>
      </c>
    </row>
    <row r="779" spans="1:18" x14ac:dyDescent="0.35">
      <c r="A779">
        <v>778</v>
      </c>
      <c r="B779" s="1">
        <v>45856</v>
      </c>
      <c r="C779">
        <v>1950</v>
      </c>
      <c r="D779" t="s">
        <v>32</v>
      </c>
      <c r="E779" t="s">
        <v>29</v>
      </c>
      <c r="F779" t="s">
        <v>30</v>
      </c>
      <c r="G779">
        <v>4</v>
      </c>
      <c r="H779">
        <v>0</v>
      </c>
      <c r="I779" t="s">
        <v>25</v>
      </c>
      <c r="J779" t="s">
        <v>31</v>
      </c>
      <c r="K779" t="s">
        <v>38</v>
      </c>
      <c r="L779">
        <v>5</v>
      </c>
      <c r="M779">
        <v>0</v>
      </c>
      <c r="N779">
        <v>0</v>
      </c>
      <c r="O779" t="s">
        <v>21</v>
      </c>
      <c r="P779" t="str">
        <f>TEXT(Table1[[#This Row],[order_date]],"yyyy-mm")</f>
        <v>2025-07</v>
      </c>
      <c r="Q779">
        <f>WEEKNUM(Table1[[#This Row],[order_date]])</f>
        <v>29</v>
      </c>
      <c r="R779">
        <f>IF(Table1[[#This Row],[order_status]]="completed",1,0)</f>
        <v>0</v>
      </c>
    </row>
    <row r="780" spans="1:18" x14ac:dyDescent="0.35">
      <c r="A780">
        <v>779</v>
      </c>
      <c r="B780" s="1">
        <v>45956</v>
      </c>
      <c r="C780">
        <v>1771</v>
      </c>
      <c r="D780" t="s">
        <v>22</v>
      </c>
      <c r="E780" t="s">
        <v>33</v>
      </c>
      <c r="F780" t="s">
        <v>24</v>
      </c>
      <c r="G780">
        <v>4</v>
      </c>
      <c r="H780">
        <v>0</v>
      </c>
      <c r="I780" t="s">
        <v>35</v>
      </c>
      <c r="J780" t="s">
        <v>31</v>
      </c>
      <c r="K780" t="s">
        <v>40</v>
      </c>
      <c r="L780">
        <v>5</v>
      </c>
      <c r="M780">
        <v>0</v>
      </c>
      <c r="N780">
        <v>0</v>
      </c>
      <c r="O780" t="s">
        <v>21</v>
      </c>
      <c r="P780" t="str">
        <f>TEXT(Table1[[#This Row],[order_date]],"yyyy-mm")</f>
        <v>2025-10</v>
      </c>
      <c r="Q780">
        <f>WEEKNUM(Table1[[#This Row],[order_date]])</f>
        <v>44</v>
      </c>
      <c r="R780">
        <f>IF(Table1[[#This Row],[order_status]]="completed",1,0)</f>
        <v>0</v>
      </c>
    </row>
    <row r="781" spans="1:18" x14ac:dyDescent="0.35">
      <c r="A781">
        <v>780</v>
      </c>
      <c r="B781" s="1">
        <v>45973</v>
      </c>
      <c r="C781">
        <v>1539</v>
      </c>
      <c r="D781" t="s">
        <v>41</v>
      </c>
      <c r="E781" t="s">
        <v>36</v>
      </c>
      <c r="F781" t="s">
        <v>17</v>
      </c>
      <c r="G781">
        <v>1</v>
      </c>
      <c r="H781">
        <v>0</v>
      </c>
      <c r="I781" t="s">
        <v>25</v>
      </c>
      <c r="J781" t="s">
        <v>37</v>
      </c>
      <c r="K781" t="s">
        <v>40</v>
      </c>
      <c r="L781">
        <v>8</v>
      </c>
      <c r="M781">
        <v>0</v>
      </c>
      <c r="N781">
        <v>0</v>
      </c>
      <c r="O781" t="s">
        <v>27</v>
      </c>
      <c r="P781" t="str">
        <f>TEXT(Table1[[#This Row],[order_date]],"yyyy-mm")</f>
        <v>2025-11</v>
      </c>
      <c r="Q781">
        <f>WEEKNUM(Table1[[#This Row],[order_date]])</f>
        <v>46</v>
      </c>
      <c r="R781">
        <f>IF(Table1[[#This Row],[order_status]]="completed",1,0)</f>
        <v>0</v>
      </c>
    </row>
    <row r="782" spans="1:18" x14ac:dyDescent="0.35">
      <c r="A782">
        <v>781</v>
      </c>
      <c r="B782" s="1">
        <v>45901</v>
      </c>
      <c r="C782">
        <v>1556</v>
      </c>
      <c r="D782" t="s">
        <v>28</v>
      </c>
      <c r="E782" t="s">
        <v>23</v>
      </c>
      <c r="F782" t="s">
        <v>34</v>
      </c>
      <c r="G782">
        <v>4</v>
      </c>
      <c r="H782">
        <v>12772</v>
      </c>
      <c r="I782" t="s">
        <v>35</v>
      </c>
      <c r="J782" t="s">
        <v>19</v>
      </c>
      <c r="K782" t="s">
        <v>20</v>
      </c>
      <c r="L782">
        <v>1</v>
      </c>
      <c r="M782">
        <v>1</v>
      </c>
      <c r="N782">
        <v>0</v>
      </c>
      <c r="O782" t="s">
        <v>21</v>
      </c>
      <c r="P782" t="str">
        <f>TEXT(Table1[[#This Row],[order_date]],"yyyy-mm")</f>
        <v>2025-09</v>
      </c>
      <c r="Q782">
        <f>WEEKNUM(Table1[[#This Row],[order_date]])</f>
        <v>36</v>
      </c>
      <c r="R782">
        <f>IF(Table1[[#This Row],[order_status]]="completed",1,0)</f>
        <v>1</v>
      </c>
    </row>
    <row r="783" spans="1:18" x14ac:dyDescent="0.35">
      <c r="A783">
        <v>782</v>
      </c>
      <c r="B783" s="1">
        <v>45900</v>
      </c>
      <c r="C783">
        <v>1393</v>
      </c>
      <c r="D783" t="s">
        <v>32</v>
      </c>
      <c r="E783" t="s">
        <v>33</v>
      </c>
      <c r="F783" t="s">
        <v>34</v>
      </c>
      <c r="G783">
        <v>5</v>
      </c>
      <c r="H783">
        <v>0</v>
      </c>
      <c r="I783" t="s">
        <v>18</v>
      </c>
      <c r="J783" t="s">
        <v>37</v>
      </c>
      <c r="K783" t="s">
        <v>26</v>
      </c>
      <c r="L783">
        <v>4</v>
      </c>
      <c r="M783">
        <v>0</v>
      </c>
      <c r="N783">
        <v>1</v>
      </c>
      <c r="O783" t="s">
        <v>21</v>
      </c>
      <c r="P783" t="str">
        <f>TEXT(Table1[[#This Row],[order_date]],"yyyy-mm")</f>
        <v>2025-08</v>
      </c>
      <c r="Q783">
        <f>WEEKNUM(Table1[[#This Row],[order_date]])</f>
        <v>36</v>
      </c>
      <c r="R783">
        <f>IF(Table1[[#This Row],[order_status]]="completed",1,0)</f>
        <v>0</v>
      </c>
    </row>
    <row r="784" spans="1:18" x14ac:dyDescent="0.35">
      <c r="A784">
        <v>783</v>
      </c>
      <c r="B784" s="1">
        <v>45985</v>
      </c>
      <c r="C784">
        <v>1859</v>
      </c>
      <c r="D784" t="s">
        <v>32</v>
      </c>
      <c r="E784" t="s">
        <v>36</v>
      </c>
      <c r="F784" t="s">
        <v>24</v>
      </c>
      <c r="G784">
        <v>1</v>
      </c>
      <c r="H784">
        <v>0</v>
      </c>
      <c r="I784" t="s">
        <v>39</v>
      </c>
      <c r="J784" t="s">
        <v>31</v>
      </c>
      <c r="K784" t="s">
        <v>20</v>
      </c>
      <c r="L784">
        <v>8</v>
      </c>
      <c r="M784">
        <v>0</v>
      </c>
      <c r="N784">
        <v>1</v>
      </c>
      <c r="O784" t="s">
        <v>21</v>
      </c>
      <c r="P784" t="str">
        <f>TEXT(Table1[[#This Row],[order_date]],"yyyy-mm")</f>
        <v>2025-11</v>
      </c>
      <c r="Q784">
        <f>WEEKNUM(Table1[[#This Row],[order_date]])</f>
        <v>48</v>
      </c>
      <c r="R784">
        <f>IF(Table1[[#This Row],[order_status]]="completed",1,0)</f>
        <v>0</v>
      </c>
    </row>
    <row r="785" spans="1:18" x14ac:dyDescent="0.35">
      <c r="A785">
        <v>784</v>
      </c>
      <c r="B785" s="1">
        <v>45918</v>
      </c>
      <c r="C785">
        <v>1531</v>
      </c>
      <c r="D785" t="s">
        <v>28</v>
      </c>
      <c r="E785" t="s">
        <v>16</v>
      </c>
      <c r="F785" t="s">
        <v>24</v>
      </c>
      <c r="G785">
        <v>2</v>
      </c>
      <c r="H785">
        <v>0</v>
      </c>
      <c r="I785" t="s">
        <v>18</v>
      </c>
      <c r="J785" t="s">
        <v>31</v>
      </c>
      <c r="K785" t="s">
        <v>20</v>
      </c>
      <c r="L785">
        <v>7</v>
      </c>
      <c r="M785">
        <v>1</v>
      </c>
      <c r="N785">
        <v>1</v>
      </c>
      <c r="O785" t="s">
        <v>21</v>
      </c>
      <c r="P785" t="str">
        <f>TEXT(Table1[[#This Row],[order_date]],"yyyy-mm")</f>
        <v>2025-09</v>
      </c>
      <c r="Q785">
        <f>WEEKNUM(Table1[[#This Row],[order_date]])</f>
        <v>38</v>
      </c>
      <c r="R785">
        <f>IF(Table1[[#This Row],[order_status]]="completed",1,0)</f>
        <v>0</v>
      </c>
    </row>
    <row r="786" spans="1:18" x14ac:dyDescent="0.35">
      <c r="A786">
        <v>785</v>
      </c>
      <c r="B786" s="1">
        <v>45907</v>
      </c>
      <c r="C786">
        <v>1269</v>
      </c>
      <c r="D786" t="s">
        <v>15</v>
      </c>
      <c r="E786" t="s">
        <v>16</v>
      </c>
      <c r="F786" t="s">
        <v>17</v>
      </c>
      <c r="G786">
        <v>4</v>
      </c>
      <c r="H786">
        <v>0</v>
      </c>
      <c r="I786" t="s">
        <v>18</v>
      </c>
      <c r="J786" t="s">
        <v>31</v>
      </c>
      <c r="K786" t="s">
        <v>20</v>
      </c>
      <c r="L786">
        <v>2</v>
      </c>
      <c r="M786">
        <v>1</v>
      </c>
      <c r="N786">
        <v>1</v>
      </c>
      <c r="O786" t="s">
        <v>27</v>
      </c>
      <c r="P786" t="str">
        <f>TEXT(Table1[[#This Row],[order_date]],"yyyy-mm")</f>
        <v>2025-09</v>
      </c>
      <c r="Q786">
        <f>WEEKNUM(Table1[[#This Row],[order_date]])</f>
        <v>37</v>
      </c>
      <c r="R786">
        <f>IF(Table1[[#This Row],[order_status]]="completed",1,0)</f>
        <v>0</v>
      </c>
    </row>
    <row r="787" spans="1:18" x14ac:dyDescent="0.35">
      <c r="A787">
        <v>786</v>
      </c>
      <c r="B787" s="1">
        <v>45908</v>
      </c>
      <c r="C787">
        <v>1117</v>
      </c>
      <c r="D787" t="s">
        <v>15</v>
      </c>
      <c r="E787" t="s">
        <v>29</v>
      </c>
      <c r="F787" t="s">
        <v>17</v>
      </c>
      <c r="G787">
        <v>4</v>
      </c>
      <c r="H787">
        <v>0</v>
      </c>
      <c r="I787" t="s">
        <v>25</v>
      </c>
      <c r="J787" t="s">
        <v>31</v>
      </c>
      <c r="K787" t="s">
        <v>20</v>
      </c>
      <c r="L787">
        <v>10</v>
      </c>
      <c r="M787">
        <v>1</v>
      </c>
      <c r="N787">
        <v>1</v>
      </c>
      <c r="O787" t="s">
        <v>21</v>
      </c>
      <c r="P787" t="str">
        <f>TEXT(Table1[[#This Row],[order_date]],"yyyy-mm")</f>
        <v>2025-09</v>
      </c>
      <c r="Q787">
        <f>WEEKNUM(Table1[[#This Row],[order_date]])</f>
        <v>37</v>
      </c>
      <c r="R787">
        <f>IF(Table1[[#This Row],[order_status]]="completed",1,0)</f>
        <v>0</v>
      </c>
    </row>
    <row r="788" spans="1:18" x14ac:dyDescent="0.35">
      <c r="A788">
        <v>787</v>
      </c>
      <c r="B788" s="1">
        <v>46025</v>
      </c>
      <c r="C788">
        <v>1732</v>
      </c>
      <c r="D788" t="s">
        <v>32</v>
      </c>
      <c r="E788" t="s">
        <v>29</v>
      </c>
      <c r="F788" t="s">
        <v>17</v>
      </c>
      <c r="G788">
        <v>5</v>
      </c>
      <c r="H788">
        <v>9205</v>
      </c>
      <c r="I788" t="s">
        <v>18</v>
      </c>
      <c r="J788" t="s">
        <v>19</v>
      </c>
      <c r="K788" t="s">
        <v>26</v>
      </c>
      <c r="L788">
        <v>1</v>
      </c>
      <c r="M788">
        <v>1</v>
      </c>
      <c r="N788">
        <v>1</v>
      </c>
      <c r="O788" t="s">
        <v>27</v>
      </c>
      <c r="P788" t="str">
        <f>TEXT(Table1[[#This Row],[order_date]],"yyyy-mm")</f>
        <v>2026-01</v>
      </c>
      <c r="Q788">
        <f>WEEKNUM(Table1[[#This Row],[order_date]])</f>
        <v>1</v>
      </c>
      <c r="R788">
        <f>IF(Table1[[#This Row],[order_status]]="completed",1,0)</f>
        <v>1</v>
      </c>
    </row>
    <row r="789" spans="1:18" x14ac:dyDescent="0.35">
      <c r="A789">
        <v>788</v>
      </c>
      <c r="B789" s="1">
        <v>45873</v>
      </c>
      <c r="C789">
        <v>1448</v>
      </c>
      <c r="D789" t="s">
        <v>15</v>
      </c>
      <c r="E789" t="s">
        <v>33</v>
      </c>
      <c r="F789" t="s">
        <v>34</v>
      </c>
      <c r="G789">
        <v>3</v>
      </c>
      <c r="H789">
        <v>0</v>
      </c>
      <c r="I789" t="s">
        <v>39</v>
      </c>
      <c r="J789" t="s">
        <v>37</v>
      </c>
      <c r="K789" t="s">
        <v>38</v>
      </c>
      <c r="L789">
        <v>9</v>
      </c>
      <c r="M789">
        <v>0</v>
      </c>
      <c r="N789">
        <v>0</v>
      </c>
      <c r="O789" t="s">
        <v>27</v>
      </c>
      <c r="P789" t="str">
        <f>TEXT(Table1[[#This Row],[order_date]],"yyyy-mm")</f>
        <v>2025-08</v>
      </c>
      <c r="Q789">
        <f>WEEKNUM(Table1[[#This Row],[order_date]])</f>
        <v>32</v>
      </c>
      <c r="R789">
        <f>IF(Table1[[#This Row],[order_status]]="completed",1,0)</f>
        <v>0</v>
      </c>
    </row>
    <row r="790" spans="1:18" x14ac:dyDescent="0.35">
      <c r="A790">
        <v>789</v>
      </c>
      <c r="B790" s="1">
        <v>45965</v>
      </c>
      <c r="C790">
        <v>1262</v>
      </c>
      <c r="D790" t="s">
        <v>41</v>
      </c>
      <c r="E790" t="s">
        <v>16</v>
      </c>
      <c r="F790" t="s">
        <v>34</v>
      </c>
      <c r="G790">
        <v>2</v>
      </c>
      <c r="H790">
        <v>0</v>
      </c>
      <c r="I790" t="s">
        <v>39</v>
      </c>
      <c r="J790" t="s">
        <v>31</v>
      </c>
      <c r="K790" t="s">
        <v>20</v>
      </c>
      <c r="L790">
        <v>3</v>
      </c>
      <c r="M790">
        <v>1</v>
      </c>
      <c r="N790">
        <v>1</v>
      </c>
      <c r="O790" t="s">
        <v>27</v>
      </c>
      <c r="P790" t="str">
        <f>TEXT(Table1[[#This Row],[order_date]],"yyyy-mm")</f>
        <v>2025-11</v>
      </c>
      <c r="Q790">
        <f>WEEKNUM(Table1[[#This Row],[order_date]])</f>
        <v>45</v>
      </c>
      <c r="R790">
        <f>IF(Table1[[#This Row],[order_status]]="completed",1,0)</f>
        <v>0</v>
      </c>
    </row>
    <row r="791" spans="1:18" x14ac:dyDescent="0.35">
      <c r="A791">
        <v>790</v>
      </c>
      <c r="B791" s="1">
        <v>45988</v>
      </c>
      <c r="C791">
        <v>1459</v>
      </c>
      <c r="D791" t="s">
        <v>32</v>
      </c>
      <c r="E791" t="s">
        <v>33</v>
      </c>
      <c r="F791" t="s">
        <v>17</v>
      </c>
      <c r="G791">
        <v>3</v>
      </c>
      <c r="H791">
        <v>14844</v>
      </c>
      <c r="I791" t="s">
        <v>18</v>
      </c>
      <c r="J791" t="s">
        <v>19</v>
      </c>
      <c r="K791" t="s">
        <v>40</v>
      </c>
      <c r="L791">
        <v>8</v>
      </c>
      <c r="M791">
        <v>0</v>
      </c>
      <c r="N791">
        <v>0</v>
      </c>
      <c r="O791" t="s">
        <v>27</v>
      </c>
      <c r="P791" t="str">
        <f>TEXT(Table1[[#This Row],[order_date]],"yyyy-mm")</f>
        <v>2025-11</v>
      </c>
      <c r="Q791">
        <f>WEEKNUM(Table1[[#This Row],[order_date]])</f>
        <v>48</v>
      </c>
      <c r="R791">
        <f>IF(Table1[[#This Row],[order_status]]="completed",1,0)</f>
        <v>1</v>
      </c>
    </row>
    <row r="792" spans="1:18" x14ac:dyDescent="0.35">
      <c r="A792">
        <v>791</v>
      </c>
      <c r="B792" s="1">
        <v>45927</v>
      </c>
      <c r="C792">
        <v>1912</v>
      </c>
      <c r="D792" t="s">
        <v>28</v>
      </c>
      <c r="E792" t="s">
        <v>29</v>
      </c>
      <c r="F792" t="s">
        <v>34</v>
      </c>
      <c r="G792">
        <v>5</v>
      </c>
      <c r="H792">
        <v>0</v>
      </c>
      <c r="I792" t="s">
        <v>18</v>
      </c>
      <c r="J792" t="s">
        <v>37</v>
      </c>
      <c r="K792" t="s">
        <v>40</v>
      </c>
      <c r="L792">
        <v>4</v>
      </c>
      <c r="M792">
        <v>0</v>
      </c>
      <c r="N792">
        <v>0</v>
      </c>
      <c r="O792" t="s">
        <v>27</v>
      </c>
      <c r="P792" t="str">
        <f>TEXT(Table1[[#This Row],[order_date]],"yyyy-mm")</f>
        <v>2025-09</v>
      </c>
      <c r="Q792">
        <f>WEEKNUM(Table1[[#This Row],[order_date]])</f>
        <v>39</v>
      </c>
      <c r="R792">
        <f>IF(Table1[[#This Row],[order_status]]="completed",1,0)</f>
        <v>0</v>
      </c>
    </row>
    <row r="793" spans="1:18" x14ac:dyDescent="0.35">
      <c r="A793">
        <v>792</v>
      </c>
      <c r="B793" s="1">
        <v>45943</v>
      </c>
      <c r="C793">
        <v>1797</v>
      </c>
      <c r="D793" t="s">
        <v>41</v>
      </c>
      <c r="E793" t="s">
        <v>23</v>
      </c>
      <c r="F793" t="s">
        <v>34</v>
      </c>
      <c r="G793">
        <v>1</v>
      </c>
      <c r="H793">
        <v>0</v>
      </c>
      <c r="I793" t="s">
        <v>39</v>
      </c>
      <c r="J793" t="s">
        <v>37</v>
      </c>
      <c r="K793" t="s">
        <v>26</v>
      </c>
      <c r="L793">
        <v>2</v>
      </c>
      <c r="M793">
        <v>0</v>
      </c>
      <c r="N793">
        <v>0</v>
      </c>
      <c r="O793" t="s">
        <v>21</v>
      </c>
      <c r="P793" t="str">
        <f>TEXT(Table1[[#This Row],[order_date]],"yyyy-mm")</f>
        <v>2025-10</v>
      </c>
      <c r="Q793">
        <f>WEEKNUM(Table1[[#This Row],[order_date]])</f>
        <v>42</v>
      </c>
      <c r="R793">
        <f>IF(Table1[[#This Row],[order_status]]="completed",1,0)</f>
        <v>0</v>
      </c>
    </row>
    <row r="794" spans="1:18" x14ac:dyDescent="0.35">
      <c r="A794">
        <v>793</v>
      </c>
      <c r="B794" s="1">
        <v>45917</v>
      </c>
      <c r="C794">
        <v>1115</v>
      </c>
      <c r="D794" t="s">
        <v>28</v>
      </c>
      <c r="E794" t="s">
        <v>33</v>
      </c>
      <c r="F794" t="s">
        <v>34</v>
      </c>
      <c r="G794">
        <v>5</v>
      </c>
      <c r="H794">
        <v>0</v>
      </c>
      <c r="I794" t="s">
        <v>35</v>
      </c>
      <c r="J794" t="s">
        <v>37</v>
      </c>
      <c r="K794" t="s">
        <v>40</v>
      </c>
      <c r="L794">
        <v>6</v>
      </c>
      <c r="M794">
        <v>0</v>
      </c>
      <c r="N794">
        <v>0</v>
      </c>
      <c r="O794" t="s">
        <v>27</v>
      </c>
      <c r="P794" t="str">
        <f>TEXT(Table1[[#This Row],[order_date]],"yyyy-mm")</f>
        <v>2025-09</v>
      </c>
      <c r="Q794">
        <f>WEEKNUM(Table1[[#This Row],[order_date]])</f>
        <v>38</v>
      </c>
      <c r="R794">
        <f>IF(Table1[[#This Row],[order_status]]="completed",1,0)</f>
        <v>0</v>
      </c>
    </row>
    <row r="795" spans="1:18" x14ac:dyDescent="0.35">
      <c r="A795">
        <v>794</v>
      </c>
      <c r="B795" s="1">
        <v>45864</v>
      </c>
      <c r="C795">
        <v>1389</v>
      </c>
      <c r="D795" t="s">
        <v>22</v>
      </c>
      <c r="E795" t="s">
        <v>29</v>
      </c>
      <c r="F795" t="s">
        <v>24</v>
      </c>
      <c r="G795">
        <v>2</v>
      </c>
      <c r="H795">
        <v>0</v>
      </c>
      <c r="I795" t="s">
        <v>18</v>
      </c>
      <c r="J795" t="s">
        <v>37</v>
      </c>
      <c r="K795" t="s">
        <v>20</v>
      </c>
      <c r="L795">
        <v>6</v>
      </c>
      <c r="M795">
        <v>1</v>
      </c>
      <c r="N795">
        <v>0</v>
      </c>
      <c r="O795" t="s">
        <v>21</v>
      </c>
      <c r="P795" t="str">
        <f>TEXT(Table1[[#This Row],[order_date]],"yyyy-mm")</f>
        <v>2025-07</v>
      </c>
      <c r="Q795">
        <f>WEEKNUM(Table1[[#This Row],[order_date]])</f>
        <v>30</v>
      </c>
      <c r="R795">
        <f>IF(Table1[[#This Row],[order_status]]="completed",1,0)</f>
        <v>0</v>
      </c>
    </row>
    <row r="796" spans="1:18" x14ac:dyDescent="0.35">
      <c r="A796">
        <v>795</v>
      </c>
      <c r="B796" s="1">
        <v>46000</v>
      </c>
      <c r="C796">
        <v>1818</v>
      </c>
      <c r="D796" t="s">
        <v>32</v>
      </c>
      <c r="E796" t="s">
        <v>29</v>
      </c>
      <c r="F796" t="s">
        <v>30</v>
      </c>
      <c r="G796">
        <v>2</v>
      </c>
      <c r="H796">
        <v>0</v>
      </c>
      <c r="I796" t="s">
        <v>35</v>
      </c>
      <c r="J796" t="s">
        <v>31</v>
      </c>
      <c r="K796" t="s">
        <v>38</v>
      </c>
      <c r="L796">
        <v>7</v>
      </c>
      <c r="M796">
        <v>1</v>
      </c>
      <c r="N796">
        <v>0</v>
      </c>
      <c r="O796" t="s">
        <v>27</v>
      </c>
      <c r="P796" t="str">
        <f>TEXT(Table1[[#This Row],[order_date]],"yyyy-mm")</f>
        <v>2025-12</v>
      </c>
      <c r="Q796">
        <f>WEEKNUM(Table1[[#This Row],[order_date]])</f>
        <v>50</v>
      </c>
      <c r="R796">
        <f>IF(Table1[[#This Row],[order_status]]="completed",1,0)</f>
        <v>0</v>
      </c>
    </row>
    <row r="797" spans="1:18" x14ac:dyDescent="0.35">
      <c r="A797">
        <v>796</v>
      </c>
      <c r="B797" s="1">
        <v>46031</v>
      </c>
      <c r="C797">
        <v>1750</v>
      </c>
      <c r="D797" t="s">
        <v>41</v>
      </c>
      <c r="E797" t="s">
        <v>33</v>
      </c>
      <c r="F797" t="s">
        <v>17</v>
      </c>
      <c r="G797">
        <v>5</v>
      </c>
      <c r="H797">
        <v>0</v>
      </c>
      <c r="I797" t="s">
        <v>18</v>
      </c>
      <c r="J797" t="s">
        <v>37</v>
      </c>
      <c r="K797" t="s">
        <v>38</v>
      </c>
      <c r="L797">
        <v>3</v>
      </c>
      <c r="M797">
        <v>1</v>
      </c>
      <c r="N797">
        <v>1</v>
      </c>
      <c r="O797" t="s">
        <v>21</v>
      </c>
      <c r="P797" t="str">
        <f>TEXT(Table1[[#This Row],[order_date]],"yyyy-mm")</f>
        <v>2026-01</v>
      </c>
      <c r="Q797">
        <f>WEEKNUM(Table1[[#This Row],[order_date]])</f>
        <v>2</v>
      </c>
      <c r="R797">
        <f>IF(Table1[[#This Row],[order_status]]="completed",1,0)</f>
        <v>0</v>
      </c>
    </row>
    <row r="798" spans="1:18" x14ac:dyDescent="0.35">
      <c r="A798">
        <v>797</v>
      </c>
      <c r="B798" s="1">
        <v>45899</v>
      </c>
      <c r="C798">
        <v>1442</v>
      </c>
      <c r="D798" t="s">
        <v>28</v>
      </c>
      <c r="E798" t="s">
        <v>33</v>
      </c>
      <c r="F798" t="s">
        <v>34</v>
      </c>
      <c r="G798">
        <v>1</v>
      </c>
      <c r="H798">
        <v>0</v>
      </c>
      <c r="I798" t="s">
        <v>25</v>
      </c>
      <c r="J798" t="s">
        <v>37</v>
      </c>
      <c r="K798" t="s">
        <v>40</v>
      </c>
      <c r="L798">
        <v>5</v>
      </c>
      <c r="M798">
        <v>0</v>
      </c>
      <c r="N798">
        <v>0</v>
      </c>
      <c r="O798" t="s">
        <v>27</v>
      </c>
      <c r="P798" t="str">
        <f>TEXT(Table1[[#This Row],[order_date]],"yyyy-mm")</f>
        <v>2025-08</v>
      </c>
      <c r="Q798">
        <f>WEEKNUM(Table1[[#This Row],[order_date]])</f>
        <v>35</v>
      </c>
      <c r="R798">
        <f>IF(Table1[[#This Row],[order_status]]="completed",1,0)</f>
        <v>0</v>
      </c>
    </row>
    <row r="799" spans="1:18" x14ac:dyDescent="0.35">
      <c r="A799">
        <v>798</v>
      </c>
      <c r="B799" s="1">
        <v>46014</v>
      </c>
      <c r="C799">
        <v>1337</v>
      </c>
      <c r="D799" t="s">
        <v>22</v>
      </c>
      <c r="E799" t="s">
        <v>16</v>
      </c>
      <c r="F799" t="s">
        <v>17</v>
      </c>
      <c r="G799">
        <v>5</v>
      </c>
      <c r="H799">
        <v>0</v>
      </c>
      <c r="I799" t="s">
        <v>35</v>
      </c>
      <c r="J799" t="s">
        <v>31</v>
      </c>
      <c r="K799" t="s">
        <v>38</v>
      </c>
      <c r="L799">
        <v>7</v>
      </c>
      <c r="M799">
        <v>1</v>
      </c>
      <c r="N799">
        <v>0</v>
      </c>
      <c r="O799" t="s">
        <v>27</v>
      </c>
      <c r="P799" t="str">
        <f>TEXT(Table1[[#This Row],[order_date]],"yyyy-mm")</f>
        <v>2025-12</v>
      </c>
      <c r="Q799">
        <f>WEEKNUM(Table1[[#This Row],[order_date]])</f>
        <v>52</v>
      </c>
      <c r="R799">
        <f>IF(Table1[[#This Row],[order_status]]="completed",1,0)</f>
        <v>0</v>
      </c>
    </row>
    <row r="800" spans="1:18" x14ac:dyDescent="0.35">
      <c r="A800">
        <v>799</v>
      </c>
      <c r="B800" s="1">
        <v>45989</v>
      </c>
      <c r="C800">
        <v>1772</v>
      </c>
      <c r="D800" t="s">
        <v>32</v>
      </c>
      <c r="E800" t="s">
        <v>23</v>
      </c>
      <c r="F800" t="s">
        <v>17</v>
      </c>
      <c r="G800">
        <v>2</v>
      </c>
      <c r="H800">
        <v>0</v>
      </c>
      <c r="I800" t="s">
        <v>35</v>
      </c>
      <c r="J800" t="s">
        <v>31</v>
      </c>
      <c r="K800" t="s">
        <v>40</v>
      </c>
      <c r="L800">
        <v>3</v>
      </c>
      <c r="M800">
        <v>0</v>
      </c>
      <c r="N800">
        <v>0</v>
      </c>
      <c r="O800" t="s">
        <v>27</v>
      </c>
      <c r="P800" t="str">
        <f>TEXT(Table1[[#This Row],[order_date]],"yyyy-mm")</f>
        <v>2025-11</v>
      </c>
      <c r="Q800">
        <f>WEEKNUM(Table1[[#This Row],[order_date]])</f>
        <v>48</v>
      </c>
      <c r="R800">
        <f>IF(Table1[[#This Row],[order_status]]="completed",1,0)</f>
        <v>0</v>
      </c>
    </row>
    <row r="801" spans="1:18" x14ac:dyDescent="0.35">
      <c r="A801">
        <v>800</v>
      </c>
      <c r="B801" s="1">
        <v>45890</v>
      </c>
      <c r="C801">
        <v>1779</v>
      </c>
      <c r="D801" t="s">
        <v>41</v>
      </c>
      <c r="E801" t="s">
        <v>23</v>
      </c>
      <c r="F801" t="s">
        <v>17</v>
      </c>
      <c r="G801">
        <v>4</v>
      </c>
      <c r="H801">
        <v>0</v>
      </c>
      <c r="I801" t="s">
        <v>25</v>
      </c>
      <c r="J801" t="s">
        <v>31</v>
      </c>
      <c r="K801" t="s">
        <v>40</v>
      </c>
      <c r="L801">
        <v>8</v>
      </c>
      <c r="M801">
        <v>1</v>
      </c>
      <c r="N801">
        <v>1</v>
      </c>
      <c r="O801" t="s">
        <v>21</v>
      </c>
      <c r="P801" t="str">
        <f>TEXT(Table1[[#This Row],[order_date]],"yyyy-mm")</f>
        <v>2025-08</v>
      </c>
      <c r="Q801">
        <f>WEEKNUM(Table1[[#This Row],[order_date]])</f>
        <v>34</v>
      </c>
      <c r="R801">
        <f>IF(Table1[[#This Row],[order_status]]="completed",1,0)</f>
        <v>0</v>
      </c>
    </row>
    <row r="802" spans="1:18" x14ac:dyDescent="0.35">
      <c r="A802">
        <v>801</v>
      </c>
      <c r="B802" s="1">
        <v>45912</v>
      </c>
      <c r="C802">
        <v>1571</v>
      </c>
      <c r="D802" t="s">
        <v>22</v>
      </c>
      <c r="E802" t="s">
        <v>16</v>
      </c>
      <c r="F802" t="s">
        <v>17</v>
      </c>
      <c r="G802">
        <v>1</v>
      </c>
      <c r="H802">
        <v>1520</v>
      </c>
      <c r="I802" t="s">
        <v>39</v>
      </c>
      <c r="J802" t="s">
        <v>19</v>
      </c>
      <c r="K802" t="s">
        <v>26</v>
      </c>
      <c r="L802">
        <v>6</v>
      </c>
      <c r="M802">
        <v>1</v>
      </c>
      <c r="N802">
        <v>0</v>
      </c>
      <c r="O802" t="s">
        <v>21</v>
      </c>
      <c r="P802" t="str">
        <f>TEXT(Table1[[#This Row],[order_date]],"yyyy-mm")</f>
        <v>2025-09</v>
      </c>
      <c r="Q802">
        <f>WEEKNUM(Table1[[#This Row],[order_date]])</f>
        <v>37</v>
      </c>
      <c r="R802">
        <f>IF(Table1[[#This Row],[order_status]]="completed",1,0)</f>
        <v>1</v>
      </c>
    </row>
    <row r="803" spans="1:18" x14ac:dyDescent="0.35">
      <c r="A803">
        <v>802</v>
      </c>
      <c r="B803" s="1">
        <v>45995</v>
      </c>
      <c r="C803">
        <v>1021</v>
      </c>
      <c r="D803" t="s">
        <v>15</v>
      </c>
      <c r="E803" t="s">
        <v>36</v>
      </c>
      <c r="F803" t="s">
        <v>30</v>
      </c>
      <c r="G803">
        <v>5</v>
      </c>
      <c r="H803">
        <v>0</v>
      </c>
      <c r="I803" t="s">
        <v>18</v>
      </c>
      <c r="J803" t="s">
        <v>37</v>
      </c>
      <c r="K803" t="s">
        <v>20</v>
      </c>
      <c r="L803">
        <v>6</v>
      </c>
      <c r="M803">
        <v>1</v>
      </c>
      <c r="N803">
        <v>0</v>
      </c>
      <c r="O803" t="s">
        <v>27</v>
      </c>
      <c r="P803" t="str">
        <f>TEXT(Table1[[#This Row],[order_date]],"yyyy-mm")</f>
        <v>2025-12</v>
      </c>
      <c r="Q803">
        <f>WEEKNUM(Table1[[#This Row],[order_date]])</f>
        <v>49</v>
      </c>
      <c r="R803">
        <f>IF(Table1[[#This Row],[order_status]]="completed",1,0)</f>
        <v>0</v>
      </c>
    </row>
    <row r="804" spans="1:18" x14ac:dyDescent="0.35">
      <c r="A804">
        <v>803</v>
      </c>
      <c r="B804" s="1">
        <v>45868</v>
      </c>
      <c r="C804">
        <v>1896</v>
      </c>
      <c r="D804" t="s">
        <v>32</v>
      </c>
      <c r="E804" t="s">
        <v>23</v>
      </c>
      <c r="F804" t="s">
        <v>30</v>
      </c>
      <c r="G804">
        <v>1</v>
      </c>
      <c r="H804">
        <v>0</v>
      </c>
      <c r="I804" t="s">
        <v>25</v>
      </c>
      <c r="J804" t="s">
        <v>31</v>
      </c>
      <c r="K804" t="s">
        <v>40</v>
      </c>
      <c r="L804">
        <v>7</v>
      </c>
      <c r="M804">
        <v>1</v>
      </c>
      <c r="N804">
        <v>0</v>
      </c>
      <c r="O804" t="s">
        <v>21</v>
      </c>
      <c r="P804" t="str">
        <f>TEXT(Table1[[#This Row],[order_date]],"yyyy-mm")</f>
        <v>2025-07</v>
      </c>
      <c r="Q804">
        <f>WEEKNUM(Table1[[#This Row],[order_date]])</f>
        <v>31</v>
      </c>
      <c r="R804">
        <f>IF(Table1[[#This Row],[order_status]]="completed",1,0)</f>
        <v>0</v>
      </c>
    </row>
    <row r="805" spans="1:18" x14ac:dyDescent="0.35">
      <c r="A805">
        <v>804</v>
      </c>
      <c r="B805" s="1">
        <v>45950</v>
      </c>
      <c r="C805">
        <v>1742</v>
      </c>
      <c r="D805" t="s">
        <v>41</v>
      </c>
      <c r="E805" t="s">
        <v>33</v>
      </c>
      <c r="F805" t="s">
        <v>34</v>
      </c>
      <c r="G805">
        <v>5</v>
      </c>
      <c r="H805">
        <v>0</v>
      </c>
      <c r="I805" t="s">
        <v>39</v>
      </c>
      <c r="J805" t="s">
        <v>37</v>
      </c>
      <c r="K805" t="s">
        <v>38</v>
      </c>
      <c r="L805">
        <v>10</v>
      </c>
      <c r="M805">
        <v>1</v>
      </c>
      <c r="N805">
        <v>0</v>
      </c>
      <c r="O805" t="s">
        <v>27</v>
      </c>
      <c r="P805" t="str">
        <f>TEXT(Table1[[#This Row],[order_date]],"yyyy-mm")</f>
        <v>2025-10</v>
      </c>
      <c r="Q805">
        <f>WEEKNUM(Table1[[#This Row],[order_date]])</f>
        <v>43</v>
      </c>
      <c r="R805">
        <f>IF(Table1[[#This Row],[order_status]]="completed",1,0)</f>
        <v>0</v>
      </c>
    </row>
    <row r="806" spans="1:18" x14ac:dyDescent="0.35">
      <c r="A806">
        <v>805</v>
      </c>
      <c r="B806" s="1">
        <v>45910</v>
      </c>
      <c r="C806">
        <v>1050</v>
      </c>
      <c r="D806" t="s">
        <v>15</v>
      </c>
      <c r="E806" t="s">
        <v>33</v>
      </c>
      <c r="F806" t="s">
        <v>24</v>
      </c>
      <c r="G806">
        <v>3</v>
      </c>
      <c r="H806">
        <v>5400</v>
      </c>
      <c r="I806" t="s">
        <v>18</v>
      </c>
      <c r="J806" t="s">
        <v>19</v>
      </c>
      <c r="K806" t="s">
        <v>38</v>
      </c>
      <c r="L806">
        <v>3</v>
      </c>
      <c r="M806">
        <v>1</v>
      </c>
      <c r="N806">
        <v>1</v>
      </c>
      <c r="O806" t="s">
        <v>27</v>
      </c>
      <c r="P806" t="str">
        <f>TEXT(Table1[[#This Row],[order_date]],"yyyy-mm")</f>
        <v>2025-09</v>
      </c>
      <c r="Q806">
        <f>WEEKNUM(Table1[[#This Row],[order_date]])</f>
        <v>37</v>
      </c>
      <c r="R806">
        <f>IF(Table1[[#This Row],[order_status]]="completed",1,0)</f>
        <v>1</v>
      </c>
    </row>
    <row r="807" spans="1:18" x14ac:dyDescent="0.35">
      <c r="A807">
        <v>806</v>
      </c>
      <c r="B807" s="1">
        <v>45968</v>
      </c>
      <c r="C807">
        <v>1298</v>
      </c>
      <c r="D807" t="s">
        <v>15</v>
      </c>
      <c r="E807" t="s">
        <v>23</v>
      </c>
      <c r="F807" t="s">
        <v>24</v>
      </c>
      <c r="G807">
        <v>2</v>
      </c>
      <c r="H807">
        <v>3428</v>
      </c>
      <c r="I807" t="s">
        <v>18</v>
      </c>
      <c r="J807" t="s">
        <v>19</v>
      </c>
      <c r="K807" t="s">
        <v>26</v>
      </c>
      <c r="L807">
        <v>1</v>
      </c>
      <c r="M807">
        <v>1</v>
      </c>
      <c r="N807">
        <v>1</v>
      </c>
      <c r="O807" t="s">
        <v>27</v>
      </c>
      <c r="P807" t="str">
        <f>TEXT(Table1[[#This Row],[order_date]],"yyyy-mm")</f>
        <v>2025-11</v>
      </c>
      <c r="Q807">
        <f>WEEKNUM(Table1[[#This Row],[order_date]])</f>
        <v>45</v>
      </c>
      <c r="R807">
        <f>IF(Table1[[#This Row],[order_status]]="completed",1,0)</f>
        <v>1</v>
      </c>
    </row>
    <row r="808" spans="1:18" x14ac:dyDescent="0.35">
      <c r="A808">
        <v>807</v>
      </c>
      <c r="B808" s="1">
        <v>45909</v>
      </c>
      <c r="C808">
        <v>1236</v>
      </c>
      <c r="D808" t="s">
        <v>22</v>
      </c>
      <c r="E808" t="s">
        <v>23</v>
      </c>
      <c r="F808" t="s">
        <v>24</v>
      </c>
      <c r="G808">
        <v>5</v>
      </c>
      <c r="H808">
        <v>0</v>
      </c>
      <c r="I808" t="s">
        <v>35</v>
      </c>
      <c r="J808" t="s">
        <v>37</v>
      </c>
      <c r="K808" t="s">
        <v>26</v>
      </c>
      <c r="L808">
        <v>4</v>
      </c>
      <c r="M808">
        <v>1</v>
      </c>
      <c r="N808">
        <v>1</v>
      </c>
      <c r="O808" t="s">
        <v>21</v>
      </c>
      <c r="P808" t="str">
        <f>TEXT(Table1[[#This Row],[order_date]],"yyyy-mm")</f>
        <v>2025-09</v>
      </c>
      <c r="Q808">
        <f>WEEKNUM(Table1[[#This Row],[order_date]])</f>
        <v>37</v>
      </c>
      <c r="R808">
        <f>IF(Table1[[#This Row],[order_status]]="completed",1,0)</f>
        <v>0</v>
      </c>
    </row>
    <row r="809" spans="1:18" x14ac:dyDescent="0.35">
      <c r="A809">
        <v>808</v>
      </c>
      <c r="B809" s="1">
        <v>45923</v>
      </c>
      <c r="C809">
        <v>1916</v>
      </c>
      <c r="D809" t="s">
        <v>28</v>
      </c>
      <c r="E809" t="s">
        <v>36</v>
      </c>
      <c r="F809" t="s">
        <v>17</v>
      </c>
      <c r="G809">
        <v>4</v>
      </c>
      <c r="H809">
        <v>0</v>
      </c>
      <c r="I809" t="s">
        <v>35</v>
      </c>
      <c r="J809" t="s">
        <v>31</v>
      </c>
      <c r="K809" t="s">
        <v>20</v>
      </c>
      <c r="L809">
        <v>7</v>
      </c>
      <c r="M809">
        <v>0</v>
      </c>
      <c r="N809">
        <v>0</v>
      </c>
      <c r="O809" t="s">
        <v>21</v>
      </c>
      <c r="P809" t="str">
        <f>TEXT(Table1[[#This Row],[order_date]],"yyyy-mm")</f>
        <v>2025-09</v>
      </c>
      <c r="Q809">
        <f>WEEKNUM(Table1[[#This Row],[order_date]])</f>
        <v>39</v>
      </c>
      <c r="R809">
        <f>IF(Table1[[#This Row],[order_status]]="completed",1,0)</f>
        <v>0</v>
      </c>
    </row>
    <row r="810" spans="1:18" x14ac:dyDescent="0.35">
      <c r="A810">
        <v>809</v>
      </c>
      <c r="B810" s="1">
        <v>45973</v>
      </c>
      <c r="C810">
        <v>1766</v>
      </c>
      <c r="D810" t="s">
        <v>22</v>
      </c>
      <c r="E810" t="s">
        <v>36</v>
      </c>
      <c r="F810" t="s">
        <v>17</v>
      </c>
      <c r="G810">
        <v>3</v>
      </c>
      <c r="H810">
        <v>11307</v>
      </c>
      <c r="I810" t="s">
        <v>35</v>
      </c>
      <c r="J810" t="s">
        <v>19</v>
      </c>
      <c r="K810" t="s">
        <v>26</v>
      </c>
      <c r="L810">
        <v>10</v>
      </c>
      <c r="M810">
        <v>0</v>
      </c>
      <c r="N810">
        <v>1</v>
      </c>
      <c r="O810" t="s">
        <v>21</v>
      </c>
      <c r="P810" t="str">
        <f>TEXT(Table1[[#This Row],[order_date]],"yyyy-mm")</f>
        <v>2025-11</v>
      </c>
      <c r="Q810">
        <f>WEEKNUM(Table1[[#This Row],[order_date]])</f>
        <v>46</v>
      </c>
      <c r="R810">
        <f>IF(Table1[[#This Row],[order_status]]="completed",1,0)</f>
        <v>1</v>
      </c>
    </row>
    <row r="811" spans="1:18" x14ac:dyDescent="0.35">
      <c r="A811">
        <v>810</v>
      </c>
      <c r="B811" s="1">
        <v>45982</v>
      </c>
      <c r="C811">
        <v>1669</v>
      </c>
      <c r="D811" t="s">
        <v>28</v>
      </c>
      <c r="E811" t="s">
        <v>36</v>
      </c>
      <c r="F811" t="s">
        <v>24</v>
      </c>
      <c r="G811">
        <v>1</v>
      </c>
      <c r="H811">
        <v>1083</v>
      </c>
      <c r="I811" t="s">
        <v>35</v>
      </c>
      <c r="J811" t="s">
        <v>19</v>
      </c>
      <c r="K811" t="s">
        <v>26</v>
      </c>
      <c r="L811">
        <v>1</v>
      </c>
      <c r="M811">
        <v>1</v>
      </c>
      <c r="N811">
        <v>1</v>
      </c>
      <c r="O811" t="s">
        <v>21</v>
      </c>
      <c r="P811" t="str">
        <f>TEXT(Table1[[#This Row],[order_date]],"yyyy-mm")</f>
        <v>2025-11</v>
      </c>
      <c r="Q811">
        <f>WEEKNUM(Table1[[#This Row],[order_date]])</f>
        <v>47</v>
      </c>
      <c r="R811">
        <f>IF(Table1[[#This Row],[order_status]]="completed",1,0)</f>
        <v>1</v>
      </c>
    </row>
    <row r="812" spans="1:18" x14ac:dyDescent="0.35">
      <c r="A812">
        <v>811</v>
      </c>
      <c r="B812" s="1">
        <v>45901</v>
      </c>
      <c r="C812">
        <v>1580</v>
      </c>
      <c r="D812" t="s">
        <v>41</v>
      </c>
      <c r="E812" t="s">
        <v>16</v>
      </c>
      <c r="F812" t="s">
        <v>17</v>
      </c>
      <c r="G812">
        <v>5</v>
      </c>
      <c r="H812">
        <v>0</v>
      </c>
      <c r="I812" t="s">
        <v>18</v>
      </c>
      <c r="J812" t="s">
        <v>37</v>
      </c>
      <c r="K812" t="s">
        <v>40</v>
      </c>
      <c r="L812">
        <v>7</v>
      </c>
      <c r="M812">
        <v>0</v>
      </c>
      <c r="N812">
        <v>0</v>
      </c>
      <c r="O812" t="s">
        <v>27</v>
      </c>
      <c r="P812" t="str">
        <f>TEXT(Table1[[#This Row],[order_date]],"yyyy-mm")</f>
        <v>2025-09</v>
      </c>
      <c r="Q812">
        <f>WEEKNUM(Table1[[#This Row],[order_date]])</f>
        <v>36</v>
      </c>
      <c r="R812">
        <f>IF(Table1[[#This Row],[order_status]]="completed",1,0)</f>
        <v>0</v>
      </c>
    </row>
    <row r="813" spans="1:18" x14ac:dyDescent="0.35">
      <c r="A813">
        <v>812</v>
      </c>
      <c r="B813" s="1">
        <v>45980</v>
      </c>
      <c r="C813">
        <v>1474</v>
      </c>
      <c r="D813" t="s">
        <v>22</v>
      </c>
      <c r="E813" t="s">
        <v>33</v>
      </c>
      <c r="F813" t="s">
        <v>34</v>
      </c>
      <c r="G813">
        <v>1</v>
      </c>
      <c r="H813">
        <v>0</v>
      </c>
      <c r="I813" t="s">
        <v>18</v>
      </c>
      <c r="J813" t="s">
        <v>37</v>
      </c>
      <c r="K813" t="s">
        <v>26</v>
      </c>
      <c r="L813">
        <v>4</v>
      </c>
      <c r="M813">
        <v>0</v>
      </c>
      <c r="N813">
        <v>0</v>
      </c>
      <c r="O813" t="s">
        <v>21</v>
      </c>
      <c r="P813" t="str">
        <f>TEXT(Table1[[#This Row],[order_date]],"yyyy-mm")</f>
        <v>2025-11</v>
      </c>
      <c r="Q813">
        <f>WEEKNUM(Table1[[#This Row],[order_date]])</f>
        <v>47</v>
      </c>
      <c r="R813">
        <f>IF(Table1[[#This Row],[order_status]]="completed",1,0)</f>
        <v>0</v>
      </c>
    </row>
    <row r="814" spans="1:18" x14ac:dyDescent="0.35">
      <c r="A814">
        <v>813</v>
      </c>
      <c r="B814" s="1">
        <v>45994</v>
      </c>
      <c r="C814">
        <v>1726</v>
      </c>
      <c r="D814" t="s">
        <v>41</v>
      </c>
      <c r="E814" t="s">
        <v>23</v>
      </c>
      <c r="F814" t="s">
        <v>30</v>
      </c>
      <c r="G814">
        <v>2</v>
      </c>
      <c r="H814">
        <v>4864</v>
      </c>
      <c r="I814" t="s">
        <v>35</v>
      </c>
      <c r="J814" t="s">
        <v>19</v>
      </c>
      <c r="K814" t="s">
        <v>26</v>
      </c>
      <c r="L814">
        <v>6</v>
      </c>
      <c r="M814">
        <v>0</v>
      </c>
      <c r="N814">
        <v>0</v>
      </c>
      <c r="O814" t="s">
        <v>21</v>
      </c>
      <c r="P814" t="str">
        <f>TEXT(Table1[[#This Row],[order_date]],"yyyy-mm")</f>
        <v>2025-12</v>
      </c>
      <c r="Q814">
        <f>WEEKNUM(Table1[[#This Row],[order_date]])</f>
        <v>49</v>
      </c>
      <c r="R814">
        <f>IF(Table1[[#This Row],[order_status]]="completed",1,0)</f>
        <v>1</v>
      </c>
    </row>
    <row r="815" spans="1:18" x14ac:dyDescent="0.35">
      <c r="A815">
        <v>814</v>
      </c>
      <c r="B815" s="1">
        <v>45925</v>
      </c>
      <c r="C815">
        <v>1559</v>
      </c>
      <c r="D815" t="s">
        <v>28</v>
      </c>
      <c r="E815" t="s">
        <v>23</v>
      </c>
      <c r="F815" t="s">
        <v>17</v>
      </c>
      <c r="G815">
        <v>5</v>
      </c>
      <c r="H815">
        <v>0</v>
      </c>
      <c r="I815" t="s">
        <v>39</v>
      </c>
      <c r="J815" t="s">
        <v>37</v>
      </c>
      <c r="K815" t="s">
        <v>20</v>
      </c>
      <c r="L815">
        <v>10</v>
      </c>
      <c r="M815">
        <v>0</v>
      </c>
      <c r="N815">
        <v>0</v>
      </c>
      <c r="O815" t="s">
        <v>21</v>
      </c>
      <c r="P815" t="str">
        <f>TEXT(Table1[[#This Row],[order_date]],"yyyy-mm")</f>
        <v>2025-09</v>
      </c>
      <c r="Q815">
        <f>WEEKNUM(Table1[[#This Row],[order_date]])</f>
        <v>39</v>
      </c>
      <c r="R815">
        <f>IF(Table1[[#This Row],[order_status]]="completed",1,0)</f>
        <v>0</v>
      </c>
    </row>
    <row r="816" spans="1:18" x14ac:dyDescent="0.35">
      <c r="A816">
        <v>815</v>
      </c>
      <c r="B816" s="1">
        <v>45949</v>
      </c>
      <c r="C816">
        <v>1294</v>
      </c>
      <c r="D816" t="s">
        <v>32</v>
      </c>
      <c r="E816" t="s">
        <v>29</v>
      </c>
      <c r="F816" t="s">
        <v>17</v>
      </c>
      <c r="G816">
        <v>4</v>
      </c>
      <c r="H816">
        <v>7772</v>
      </c>
      <c r="I816" t="s">
        <v>18</v>
      </c>
      <c r="J816" t="s">
        <v>19</v>
      </c>
      <c r="K816" t="s">
        <v>20</v>
      </c>
      <c r="L816">
        <v>8</v>
      </c>
      <c r="M816">
        <v>0</v>
      </c>
      <c r="N816">
        <v>0</v>
      </c>
      <c r="O816" t="s">
        <v>21</v>
      </c>
      <c r="P816" t="str">
        <f>TEXT(Table1[[#This Row],[order_date]],"yyyy-mm")</f>
        <v>2025-10</v>
      </c>
      <c r="Q816">
        <f>WEEKNUM(Table1[[#This Row],[order_date]])</f>
        <v>43</v>
      </c>
      <c r="R816">
        <f>IF(Table1[[#This Row],[order_status]]="completed",1,0)</f>
        <v>1</v>
      </c>
    </row>
    <row r="817" spans="1:18" x14ac:dyDescent="0.35">
      <c r="A817">
        <v>816</v>
      </c>
      <c r="B817" s="1">
        <v>45868</v>
      </c>
      <c r="C817">
        <v>1086</v>
      </c>
      <c r="D817" t="s">
        <v>28</v>
      </c>
      <c r="E817" t="s">
        <v>23</v>
      </c>
      <c r="F817" t="s">
        <v>24</v>
      </c>
      <c r="G817">
        <v>3</v>
      </c>
      <c r="H817">
        <v>0</v>
      </c>
      <c r="I817" t="s">
        <v>18</v>
      </c>
      <c r="J817" t="s">
        <v>31</v>
      </c>
      <c r="K817" t="s">
        <v>38</v>
      </c>
      <c r="L817">
        <v>5</v>
      </c>
      <c r="M817">
        <v>0</v>
      </c>
      <c r="N817">
        <v>0</v>
      </c>
      <c r="O817" t="s">
        <v>27</v>
      </c>
      <c r="P817" t="str">
        <f>TEXT(Table1[[#This Row],[order_date]],"yyyy-mm")</f>
        <v>2025-07</v>
      </c>
      <c r="Q817">
        <f>WEEKNUM(Table1[[#This Row],[order_date]])</f>
        <v>31</v>
      </c>
      <c r="R817">
        <f>IF(Table1[[#This Row],[order_status]]="completed",1,0)</f>
        <v>0</v>
      </c>
    </row>
    <row r="818" spans="1:18" x14ac:dyDescent="0.35">
      <c r="A818">
        <v>817</v>
      </c>
      <c r="B818" s="1">
        <v>45852</v>
      </c>
      <c r="C818">
        <v>1274</v>
      </c>
      <c r="D818" t="s">
        <v>41</v>
      </c>
      <c r="E818" t="s">
        <v>23</v>
      </c>
      <c r="F818" t="s">
        <v>34</v>
      </c>
      <c r="G818">
        <v>2</v>
      </c>
      <c r="H818">
        <v>4732</v>
      </c>
      <c r="I818" t="s">
        <v>35</v>
      </c>
      <c r="J818" t="s">
        <v>19</v>
      </c>
      <c r="K818" t="s">
        <v>26</v>
      </c>
      <c r="L818">
        <v>1</v>
      </c>
      <c r="M818">
        <v>1</v>
      </c>
      <c r="N818">
        <v>1</v>
      </c>
      <c r="O818" t="s">
        <v>27</v>
      </c>
      <c r="P818" t="str">
        <f>TEXT(Table1[[#This Row],[order_date]],"yyyy-mm")</f>
        <v>2025-07</v>
      </c>
      <c r="Q818">
        <f>WEEKNUM(Table1[[#This Row],[order_date]])</f>
        <v>29</v>
      </c>
      <c r="R818">
        <f>IF(Table1[[#This Row],[order_status]]="completed",1,0)</f>
        <v>1</v>
      </c>
    </row>
    <row r="819" spans="1:18" x14ac:dyDescent="0.35">
      <c r="A819">
        <v>818</v>
      </c>
      <c r="B819" s="1">
        <v>46014</v>
      </c>
      <c r="C819">
        <v>1895</v>
      </c>
      <c r="D819" t="s">
        <v>22</v>
      </c>
      <c r="E819" t="s">
        <v>36</v>
      </c>
      <c r="F819" t="s">
        <v>30</v>
      </c>
      <c r="G819">
        <v>1</v>
      </c>
      <c r="H819">
        <v>0</v>
      </c>
      <c r="I819" t="s">
        <v>18</v>
      </c>
      <c r="J819" t="s">
        <v>37</v>
      </c>
      <c r="K819" t="s">
        <v>38</v>
      </c>
      <c r="L819">
        <v>9</v>
      </c>
      <c r="M819">
        <v>0</v>
      </c>
      <c r="N819">
        <v>1</v>
      </c>
      <c r="O819" t="s">
        <v>27</v>
      </c>
      <c r="P819" t="str">
        <f>TEXT(Table1[[#This Row],[order_date]],"yyyy-mm")</f>
        <v>2025-12</v>
      </c>
      <c r="Q819">
        <f>WEEKNUM(Table1[[#This Row],[order_date]])</f>
        <v>52</v>
      </c>
      <c r="R819">
        <f>IF(Table1[[#This Row],[order_status]]="completed",1,0)</f>
        <v>0</v>
      </c>
    </row>
    <row r="820" spans="1:18" x14ac:dyDescent="0.35">
      <c r="A820">
        <v>819</v>
      </c>
      <c r="B820" s="1">
        <v>45933</v>
      </c>
      <c r="C820">
        <v>1645</v>
      </c>
      <c r="D820" t="s">
        <v>22</v>
      </c>
      <c r="E820" t="s">
        <v>33</v>
      </c>
      <c r="F820" t="s">
        <v>24</v>
      </c>
      <c r="G820">
        <v>1</v>
      </c>
      <c r="H820">
        <v>0</v>
      </c>
      <c r="I820" t="s">
        <v>39</v>
      </c>
      <c r="J820" t="s">
        <v>31</v>
      </c>
      <c r="K820" t="s">
        <v>40</v>
      </c>
      <c r="L820">
        <v>1</v>
      </c>
      <c r="M820">
        <v>1</v>
      </c>
      <c r="N820">
        <v>0</v>
      </c>
      <c r="O820" t="s">
        <v>21</v>
      </c>
      <c r="P820" t="str">
        <f>TEXT(Table1[[#This Row],[order_date]],"yyyy-mm")</f>
        <v>2025-10</v>
      </c>
      <c r="Q820">
        <f>WEEKNUM(Table1[[#This Row],[order_date]])</f>
        <v>40</v>
      </c>
      <c r="R820">
        <f>IF(Table1[[#This Row],[order_status]]="completed",1,0)</f>
        <v>0</v>
      </c>
    </row>
    <row r="821" spans="1:18" x14ac:dyDescent="0.35">
      <c r="A821">
        <v>820</v>
      </c>
      <c r="B821" s="1">
        <v>45860</v>
      </c>
      <c r="C821">
        <v>1734</v>
      </c>
      <c r="D821" t="s">
        <v>32</v>
      </c>
      <c r="E821" t="s">
        <v>29</v>
      </c>
      <c r="F821" t="s">
        <v>17</v>
      </c>
      <c r="G821">
        <v>3</v>
      </c>
      <c r="H821">
        <v>0</v>
      </c>
      <c r="I821" t="s">
        <v>39</v>
      </c>
      <c r="J821" t="s">
        <v>37</v>
      </c>
      <c r="K821" t="s">
        <v>38</v>
      </c>
      <c r="L821">
        <v>9</v>
      </c>
      <c r="M821">
        <v>0</v>
      </c>
      <c r="N821">
        <v>0</v>
      </c>
      <c r="O821" t="s">
        <v>21</v>
      </c>
      <c r="P821" t="str">
        <f>TEXT(Table1[[#This Row],[order_date]],"yyyy-mm")</f>
        <v>2025-07</v>
      </c>
      <c r="Q821">
        <f>WEEKNUM(Table1[[#This Row],[order_date]])</f>
        <v>30</v>
      </c>
      <c r="R821">
        <f>IF(Table1[[#This Row],[order_status]]="completed",1,0)</f>
        <v>0</v>
      </c>
    </row>
    <row r="822" spans="1:18" x14ac:dyDescent="0.35">
      <c r="A822">
        <v>821</v>
      </c>
      <c r="B822" s="1">
        <v>46004</v>
      </c>
      <c r="C822">
        <v>1875</v>
      </c>
      <c r="D822" t="s">
        <v>22</v>
      </c>
      <c r="E822" t="s">
        <v>16</v>
      </c>
      <c r="F822" t="s">
        <v>34</v>
      </c>
      <c r="G822">
        <v>4</v>
      </c>
      <c r="H822">
        <v>0</v>
      </c>
      <c r="I822" t="s">
        <v>35</v>
      </c>
      <c r="J822" t="s">
        <v>37</v>
      </c>
      <c r="K822" t="s">
        <v>20</v>
      </c>
      <c r="L822">
        <v>1</v>
      </c>
      <c r="M822">
        <v>1</v>
      </c>
      <c r="N822">
        <v>0</v>
      </c>
      <c r="O822" t="s">
        <v>21</v>
      </c>
      <c r="P822" t="str">
        <f>TEXT(Table1[[#This Row],[order_date]],"yyyy-mm")</f>
        <v>2025-12</v>
      </c>
      <c r="Q822">
        <f>WEEKNUM(Table1[[#This Row],[order_date]])</f>
        <v>50</v>
      </c>
      <c r="R822">
        <f>IF(Table1[[#This Row],[order_status]]="completed",1,0)</f>
        <v>0</v>
      </c>
    </row>
    <row r="823" spans="1:18" x14ac:dyDescent="0.35">
      <c r="A823">
        <v>822</v>
      </c>
      <c r="B823" s="1">
        <v>45983</v>
      </c>
      <c r="C823">
        <v>1642</v>
      </c>
      <c r="D823" t="s">
        <v>32</v>
      </c>
      <c r="E823" t="s">
        <v>16</v>
      </c>
      <c r="F823" t="s">
        <v>24</v>
      </c>
      <c r="G823">
        <v>4</v>
      </c>
      <c r="H823">
        <v>0</v>
      </c>
      <c r="I823" t="s">
        <v>39</v>
      </c>
      <c r="J823" t="s">
        <v>31</v>
      </c>
      <c r="K823" t="s">
        <v>38</v>
      </c>
      <c r="L823">
        <v>5</v>
      </c>
      <c r="M823">
        <v>1</v>
      </c>
      <c r="N823">
        <v>1</v>
      </c>
      <c r="O823" t="s">
        <v>21</v>
      </c>
      <c r="P823" t="str">
        <f>TEXT(Table1[[#This Row],[order_date]],"yyyy-mm")</f>
        <v>2025-11</v>
      </c>
      <c r="Q823">
        <f>WEEKNUM(Table1[[#This Row],[order_date]])</f>
        <v>47</v>
      </c>
      <c r="R823">
        <f>IF(Table1[[#This Row],[order_status]]="completed",1,0)</f>
        <v>0</v>
      </c>
    </row>
    <row r="824" spans="1:18" x14ac:dyDescent="0.35">
      <c r="A824">
        <v>823</v>
      </c>
      <c r="B824" s="1">
        <v>45988</v>
      </c>
      <c r="C824">
        <v>1187</v>
      </c>
      <c r="D824" t="s">
        <v>32</v>
      </c>
      <c r="E824" t="s">
        <v>33</v>
      </c>
      <c r="F824" t="s">
        <v>24</v>
      </c>
      <c r="G824">
        <v>3</v>
      </c>
      <c r="H824">
        <v>7845</v>
      </c>
      <c r="I824" t="s">
        <v>25</v>
      </c>
      <c r="J824" t="s">
        <v>19</v>
      </c>
      <c r="K824" t="s">
        <v>26</v>
      </c>
      <c r="L824">
        <v>2</v>
      </c>
      <c r="M824">
        <v>0</v>
      </c>
      <c r="N824">
        <v>0</v>
      </c>
      <c r="O824" t="s">
        <v>21</v>
      </c>
      <c r="P824" t="str">
        <f>TEXT(Table1[[#This Row],[order_date]],"yyyy-mm")</f>
        <v>2025-11</v>
      </c>
      <c r="Q824">
        <f>WEEKNUM(Table1[[#This Row],[order_date]])</f>
        <v>48</v>
      </c>
      <c r="R824">
        <f>IF(Table1[[#This Row],[order_status]]="completed",1,0)</f>
        <v>1</v>
      </c>
    </row>
    <row r="825" spans="1:18" x14ac:dyDescent="0.35">
      <c r="A825">
        <v>824</v>
      </c>
      <c r="B825" s="1">
        <v>45905</v>
      </c>
      <c r="C825">
        <v>1748</v>
      </c>
      <c r="D825" t="s">
        <v>32</v>
      </c>
      <c r="E825" t="s">
        <v>36</v>
      </c>
      <c r="F825" t="s">
        <v>24</v>
      </c>
      <c r="G825">
        <v>3</v>
      </c>
      <c r="H825">
        <v>0</v>
      </c>
      <c r="I825" t="s">
        <v>39</v>
      </c>
      <c r="J825" t="s">
        <v>31</v>
      </c>
      <c r="K825" t="s">
        <v>38</v>
      </c>
      <c r="L825">
        <v>1</v>
      </c>
      <c r="M825">
        <v>1</v>
      </c>
      <c r="N825">
        <v>0</v>
      </c>
      <c r="O825" t="s">
        <v>21</v>
      </c>
      <c r="P825" t="str">
        <f>TEXT(Table1[[#This Row],[order_date]],"yyyy-mm")</f>
        <v>2025-09</v>
      </c>
      <c r="Q825">
        <f>WEEKNUM(Table1[[#This Row],[order_date]])</f>
        <v>36</v>
      </c>
      <c r="R825">
        <f>IF(Table1[[#This Row],[order_status]]="completed",1,0)</f>
        <v>0</v>
      </c>
    </row>
    <row r="826" spans="1:18" x14ac:dyDescent="0.35">
      <c r="A826">
        <v>825</v>
      </c>
      <c r="B826" s="1">
        <v>45917</v>
      </c>
      <c r="C826">
        <v>1856</v>
      </c>
      <c r="D826" t="s">
        <v>28</v>
      </c>
      <c r="E826" t="s">
        <v>23</v>
      </c>
      <c r="F826" t="s">
        <v>34</v>
      </c>
      <c r="G826">
        <v>1</v>
      </c>
      <c r="H826">
        <v>0</v>
      </c>
      <c r="I826" t="s">
        <v>39</v>
      </c>
      <c r="J826" t="s">
        <v>31</v>
      </c>
      <c r="K826" t="s">
        <v>40</v>
      </c>
      <c r="L826">
        <v>10</v>
      </c>
      <c r="M826">
        <v>1</v>
      </c>
      <c r="N826">
        <v>0</v>
      </c>
      <c r="O826" t="s">
        <v>21</v>
      </c>
      <c r="P826" t="str">
        <f>TEXT(Table1[[#This Row],[order_date]],"yyyy-mm")</f>
        <v>2025-09</v>
      </c>
      <c r="Q826">
        <f>WEEKNUM(Table1[[#This Row],[order_date]])</f>
        <v>38</v>
      </c>
      <c r="R826">
        <f>IF(Table1[[#This Row],[order_status]]="completed",1,0)</f>
        <v>0</v>
      </c>
    </row>
    <row r="827" spans="1:18" x14ac:dyDescent="0.35">
      <c r="A827">
        <v>826</v>
      </c>
      <c r="B827" s="1">
        <v>45879</v>
      </c>
      <c r="C827">
        <v>1595</v>
      </c>
      <c r="D827" t="s">
        <v>41</v>
      </c>
      <c r="E827" t="s">
        <v>23</v>
      </c>
      <c r="F827" t="s">
        <v>17</v>
      </c>
      <c r="G827">
        <v>2</v>
      </c>
      <c r="H827">
        <v>0</v>
      </c>
      <c r="I827" t="s">
        <v>25</v>
      </c>
      <c r="J827" t="s">
        <v>31</v>
      </c>
      <c r="K827" t="s">
        <v>26</v>
      </c>
      <c r="L827">
        <v>7</v>
      </c>
      <c r="M827">
        <v>1</v>
      </c>
      <c r="N827">
        <v>1</v>
      </c>
      <c r="O827" t="s">
        <v>27</v>
      </c>
      <c r="P827" t="str">
        <f>TEXT(Table1[[#This Row],[order_date]],"yyyy-mm")</f>
        <v>2025-08</v>
      </c>
      <c r="Q827">
        <f>WEEKNUM(Table1[[#This Row],[order_date]])</f>
        <v>33</v>
      </c>
      <c r="R827">
        <f>IF(Table1[[#This Row],[order_status]]="completed",1,0)</f>
        <v>0</v>
      </c>
    </row>
    <row r="828" spans="1:18" x14ac:dyDescent="0.35">
      <c r="A828">
        <v>827</v>
      </c>
      <c r="B828" s="1">
        <v>45888</v>
      </c>
      <c r="C828">
        <v>1402</v>
      </c>
      <c r="D828" t="s">
        <v>15</v>
      </c>
      <c r="E828" t="s">
        <v>33</v>
      </c>
      <c r="F828" t="s">
        <v>17</v>
      </c>
      <c r="G828">
        <v>1</v>
      </c>
      <c r="H828">
        <v>0</v>
      </c>
      <c r="I828" t="s">
        <v>39</v>
      </c>
      <c r="J828" t="s">
        <v>37</v>
      </c>
      <c r="K828" t="s">
        <v>26</v>
      </c>
      <c r="L828">
        <v>9</v>
      </c>
      <c r="M828">
        <v>0</v>
      </c>
      <c r="N828">
        <v>1</v>
      </c>
      <c r="O828" t="s">
        <v>21</v>
      </c>
      <c r="P828" t="str">
        <f>TEXT(Table1[[#This Row],[order_date]],"yyyy-mm")</f>
        <v>2025-08</v>
      </c>
      <c r="Q828">
        <f>WEEKNUM(Table1[[#This Row],[order_date]])</f>
        <v>34</v>
      </c>
      <c r="R828">
        <f>IF(Table1[[#This Row],[order_status]]="completed",1,0)</f>
        <v>0</v>
      </c>
    </row>
    <row r="829" spans="1:18" x14ac:dyDescent="0.35">
      <c r="A829">
        <v>828</v>
      </c>
      <c r="B829" s="1">
        <v>45937</v>
      </c>
      <c r="C829">
        <v>1073</v>
      </c>
      <c r="D829" t="s">
        <v>41</v>
      </c>
      <c r="E829" t="s">
        <v>23</v>
      </c>
      <c r="F829" t="s">
        <v>24</v>
      </c>
      <c r="G829">
        <v>5</v>
      </c>
      <c r="H829">
        <v>0</v>
      </c>
      <c r="I829" t="s">
        <v>18</v>
      </c>
      <c r="J829" t="s">
        <v>31</v>
      </c>
      <c r="K829" t="s">
        <v>26</v>
      </c>
      <c r="L829">
        <v>2</v>
      </c>
      <c r="M829">
        <v>1</v>
      </c>
      <c r="N829">
        <v>1</v>
      </c>
      <c r="O829" t="s">
        <v>27</v>
      </c>
      <c r="P829" t="str">
        <f>TEXT(Table1[[#This Row],[order_date]],"yyyy-mm")</f>
        <v>2025-10</v>
      </c>
      <c r="Q829">
        <f>WEEKNUM(Table1[[#This Row],[order_date]])</f>
        <v>41</v>
      </c>
      <c r="R829">
        <f>IF(Table1[[#This Row],[order_status]]="completed",1,0)</f>
        <v>0</v>
      </c>
    </row>
    <row r="830" spans="1:18" x14ac:dyDescent="0.35">
      <c r="A830">
        <v>829</v>
      </c>
      <c r="B830" s="1">
        <v>45882</v>
      </c>
      <c r="C830">
        <v>1602</v>
      </c>
      <c r="D830" t="s">
        <v>32</v>
      </c>
      <c r="E830" t="s">
        <v>29</v>
      </c>
      <c r="F830" t="s">
        <v>17</v>
      </c>
      <c r="G830">
        <v>2</v>
      </c>
      <c r="H830">
        <v>7658</v>
      </c>
      <c r="I830" t="s">
        <v>25</v>
      </c>
      <c r="J830" t="s">
        <v>19</v>
      </c>
      <c r="K830" t="s">
        <v>20</v>
      </c>
      <c r="L830">
        <v>4</v>
      </c>
      <c r="M830">
        <v>0</v>
      </c>
      <c r="N830">
        <v>0</v>
      </c>
      <c r="O830" t="s">
        <v>27</v>
      </c>
      <c r="P830" t="str">
        <f>TEXT(Table1[[#This Row],[order_date]],"yyyy-mm")</f>
        <v>2025-08</v>
      </c>
      <c r="Q830">
        <f>WEEKNUM(Table1[[#This Row],[order_date]])</f>
        <v>33</v>
      </c>
      <c r="R830">
        <f>IF(Table1[[#This Row],[order_status]]="completed",1,0)</f>
        <v>1</v>
      </c>
    </row>
    <row r="831" spans="1:18" x14ac:dyDescent="0.35">
      <c r="A831">
        <v>830</v>
      </c>
      <c r="B831" s="1">
        <v>46001</v>
      </c>
      <c r="C831">
        <v>1333</v>
      </c>
      <c r="D831" t="s">
        <v>15</v>
      </c>
      <c r="E831" t="s">
        <v>16</v>
      </c>
      <c r="F831" t="s">
        <v>30</v>
      </c>
      <c r="G831">
        <v>3</v>
      </c>
      <c r="H831">
        <v>0</v>
      </c>
      <c r="I831" t="s">
        <v>35</v>
      </c>
      <c r="J831" t="s">
        <v>37</v>
      </c>
      <c r="K831" t="s">
        <v>38</v>
      </c>
      <c r="L831">
        <v>4</v>
      </c>
      <c r="M831">
        <v>1</v>
      </c>
      <c r="N831">
        <v>1</v>
      </c>
      <c r="O831" t="s">
        <v>21</v>
      </c>
      <c r="P831" t="str">
        <f>TEXT(Table1[[#This Row],[order_date]],"yyyy-mm")</f>
        <v>2025-12</v>
      </c>
      <c r="Q831">
        <f>WEEKNUM(Table1[[#This Row],[order_date]])</f>
        <v>50</v>
      </c>
      <c r="R831">
        <f>IF(Table1[[#This Row],[order_status]]="completed",1,0)</f>
        <v>0</v>
      </c>
    </row>
    <row r="832" spans="1:18" x14ac:dyDescent="0.35">
      <c r="A832">
        <v>831</v>
      </c>
      <c r="B832" s="1">
        <v>46028</v>
      </c>
      <c r="C832">
        <v>1755</v>
      </c>
      <c r="D832" t="s">
        <v>28</v>
      </c>
      <c r="E832" t="s">
        <v>36</v>
      </c>
      <c r="F832" t="s">
        <v>24</v>
      </c>
      <c r="G832">
        <v>2</v>
      </c>
      <c r="H832">
        <v>0</v>
      </c>
      <c r="I832" t="s">
        <v>35</v>
      </c>
      <c r="J832" t="s">
        <v>37</v>
      </c>
      <c r="K832" t="s">
        <v>20</v>
      </c>
      <c r="L832">
        <v>6</v>
      </c>
      <c r="M832">
        <v>1</v>
      </c>
      <c r="N832">
        <v>1</v>
      </c>
      <c r="O832" t="s">
        <v>27</v>
      </c>
      <c r="P832" t="str">
        <f>TEXT(Table1[[#This Row],[order_date]],"yyyy-mm")</f>
        <v>2026-01</v>
      </c>
      <c r="Q832">
        <f>WEEKNUM(Table1[[#This Row],[order_date]])</f>
        <v>2</v>
      </c>
      <c r="R832">
        <f>IF(Table1[[#This Row],[order_status]]="completed",1,0)</f>
        <v>0</v>
      </c>
    </row>
    <row r="833" spans="1:18" x14ac:dyDescent="0.35">
      <c r="A833">
        <v>832</v>
      </c>
      <c r="B833" s="1">
        <v>45975</v>
      </c>
      <c r="C833">
        <v>1882</v>
      </c>
      <c r="D833" t="s">
        <v>41</v>
      </c>
      <c r="E833" t="s">
        <v>33</v>
      </c>
      <c r="F833" t="s">
        <v>34</v>
      </c>
      <c r="G833">
        <v>5</v>
      </c>
      <c r="H833">
        <v>0</v>
      </c>
      <c r="I833" t="s">
        <v>35</v>
      </c>
      <c r="J833" t="s">
        <v>31</v>
      </c>
      <c r="K833" t="s">
        <v>40</v>
      </c>
      <c r="L833">
        <v>3</v>
      </c>
      <c r="M833">
        <v>1</v>
      </c>
      <c r="N833">
        <v>1</v>
      </c>
      <c r="O833" t="s">
        <v>21</v>
      </c>
      <c r="P833" t="str">
        <f>TEXT(Table1[[#This Row],[order_date]],"yyyy-mm")</f>
        <v>2025-11</v>
      </c>
      <c r="Q833">
        <f>WEEKNUM(Table1[[#This Row],[order_date]])</f>
        <v>46</v>
      </c>
      <c r="R833">
        <f>IF(Table1[[#This Row],[order_status]]="completed",1,0)</f>
        <v>0</v>
      </c>
    </row>
    <row r="834" spans="1:18" x14ac:dyDescent="0.35">
      <c r="A834">
        <v>833</v>
      </c>
      <c r="B834" s="1">
        <v>45952</v>
      </c>
      <c r="C834">
        <v>1097</v>
      </c>
      <c r="D834" t="s">
        <v>41</v>
      </c>
      <c r="E834" t="s">
        <v>29</v>
      </c>
      <c r="F834" t="s">
        <v>24</v>
      </c>
      <c r="G834">
        <v>2</v>
      </c>
      <c r="H834">
        <v>0</v>
      </c>
      <c r="I834" t="s">
        <v>18</v>
      </c>
      <c r="J834" t="s">
        <v>31</v>
      </c>
      <c r="K834" t="s">
        <v>26</v>
      </c>
      <c r="L834">
        <v>8</v>
      </c>
      <c r="M834">
        <v>0</v>
      </c>
      <c r="N834">
        <v>0</v>
      </c>
      <c r="O834" t="s">
        <v>27</v>
      </c>
      <c r="P834" t="str">
        <f>TEXT(Table1[[#This Row],[order_date]],"yyyy-mm")</f>
        <v>2025-10</v>
      </c>
      <c r="Q834">
        <f>WEEKNUM(Table1[[#This Row],[order_date]])</f>
        <v>43</v>
      </c>
      <c r="R834">
        <f>IF(Table1[[#This Row],[order_status]]="completed",1,0)</f>
        <v>0</v>
      </c>
    </row>
    <row r="835" spans="1:18" x14ac:dyDescent="0.35">
      <c r="A835">
        <v>834</v>
      </c>
      <c r="B835" s="1">
        <v>45986</v>
      </c>
      <c r="C835">
        <v>1965</v>
      </c>
      <c r="D835" t="s">
        <v>41</v>
      </c>
      <c r="E835" t="s">
        <v>23</v>
      </c>
      <c r="F835" t="s">
        <v>34</v>
      </c>
      <c r="G835">
        <v>1</v>
      </c>
      <c r="H835">
        <v>0</v>
      </c>
      <c r="I835" t="s">
        <v>35</v>
      </c>
      <c r="J835" t="s">
        <v>31</v>
      </c>
      <c r="K835" t="s">
        <v>20</v>
      </c>
      <c r="L835">
        <v>6</v>
      </c>
      <c r="M835">
        <v>1</v>
      </c>
      <c r="N835">
        <v>1</v>
      </c>
      <c r="O835" t="s">
        <v>21</v>
      </c>
      <c r="P835" t="str">
        <f>TEXT(Table1[[#This Row],[order_date]],"yyyy-mm")</f>
        <v>2025-11</v>
      </c>
      <c r="Q835">
        <f>WEEKNUM(Table1[[#This Row],[order_date]])</f>
        <v>48</v>
      </c>
      <c r="R835">
        <f>IF(Table1[[#This Row],[order_status]]="completed",1,0)</f>
        <v>0</v>
      </c>
    </row>
    <row r="836" spans="1:18" x14ac:dyDescent="0.35">
      <c r="A836">
        <v>835</v>
      </c>
      <c r="B836" s="1">
        <v>45887</v>
      </c>
      <c r="C836">
        <v>1044</v>
      </c>
      <c r="D836" t="s">
        <v>28</v>
      </c>
      <c r="E836" t="s">
        <v>36</v>
      </c>
      <c r="F836" t="s">
        <v>34</v>
      </c>
      <c r="G836">
        <v>5</v>
      </c>
      <c r="H836">
        <v>0</v>
      </c>
      <c r="I836" t="s">
        <v>25</v>
      </c>
      <c r="J836" t="s">
        <v>37</v>
      </c>
      <c r="K836" t="s">
        <v>40</v>
      </c>
      <c r="L836">
        <v>10</v>
      </c>
      <c r="M836">
        <v>1</v>
      </c>
      <c r="N836">
        <v>1</v>
      </c>
      <c r="O836" t="s">
        <v>21</v>
      </c>
      <c r="P836" t="str">
        <f>TEXT(Table1[[#This Row],[order_date]],"yyyy-mm")</f>
        <v>2025-08</v>
      </c>
      <c r="Q836">
        <f>WEEKNUM(Table1[[#This Row],[order_date]])</f>
        <v>34</v>
      </c>
      <c r="R836">
        <f>IF(Table1[[#This Row],[order_status]]="completed",1,0)</f>
        <v>0</v>
      </c>
    </row>
    <row r="837" spans="1:18" x14ac:dyDescent="0.35">
      <c r="A837">
        <v>836</v>
      </c>
      <c r="B837" s="1">
        <v>46010</v>
      </c>
      <c r="C837">
        <v>1195</v>
      </c>
      <c r="D837" t="s">
        <v>22</v>
      </c>
      <c r="E837" t="s">
        <v>33</v>
      </c>
      <c r="F837" t="s">
        <v>30</v>
      </c>
      <c r="G837">
        <v>4</v>
      </c>
      <c r="H837">
        <v>8432</v>
      </c>
      <c r="I837" t="s">
        <v>18</v>
      </c>
      <c r="J837" t="s">
        <v>19</v>
      </c>
      <c r="K837" t="s">
        <v>38</v>
      </c>
      <c r="L837">
        <v>6</v>
      </c>
      <c r="M837">
        <v>1</v>
      </c>
      <c r="N837">
        <v>0</v>
      </c>
      <c r="O837" t="s">
        <v>21</v>
      </c>
      <c r="P837" t="str">
        <f>TEXT(Table1[[#This Row],[order_date]],"yyyy-mm")</f>
        <v>2025-12</v>
      </c>
      <c r="Q837">
        <f>WEEKNUM(Table1[[#This Row],[order_date]])</f>
        <v>51</v>
      </c>
      <c r="R837">
        <f>IF(Table1[[#This Row],[order_status]]="completed",1,0)</f>
        <v>1</v>
      </c>
    </row>
    <row r="838" spans="1:18" x14ac:dyDescent="0.35">
      <c r="A838">
        <v>837</v>
      </c>
      <c r="B838" s="1">
        <v>45856</v>
      </c>
      <c r="C838">
        <v>1033</v>
      </c>
      <c r="D838" t="s">
        <v>41</v>
      </c>
      <c r="E838" t="s">
        <v>29</v>
      </c>
      <c r="F838" t="s">
        <v>34</v>
      </c>
      <c r="G838">
        <v>3</v>
      </c>
      <c r="H838">
        <v>0</v>
      </c>
      <c r="I838" t="s">
        <v>18</v>
      </c>
      <c r="J838" t="s">
        <v>31</v>
      </c>
      <c r="K838" t="s">
        <v>38</v>
      </c>
      <c r="L838">
        <v>5</v>
      </c>
      <c r="M838">
        <v>0</v>
      </c>
      <c r="N838">
        <v>1</v>
      </c>
      <c r="O838" t="s">
        <v>21</v>
      </c>
      <c r="P838" t="str">
        <f>TEXT(Table1[[#This Row],[order_date]],"yyyy-mm")</f>
        <v>2025-07</v>
      </c>
      <c r="Q838">
        <f>WEEKNUM(Table1[[#This Row],[order_date]])</f>
        <v>29</v>
      </c>
      <c r="R838">
        <f>IF(Table1[[#This Row],[order_status]]="completed",1,0)</f>
        <v>0</v>
      </c>
    </row>
    <row r="839" spans="1:18" x14ac:dyDescent="0.35">
      <c r="A839">
        <v>838</v>
      </c>
      <c r="B839" s="1">
        <v>45921</v>
      </c>
      <c r="C839">
        <v>1618</v>
      </c>
      <c r="D839" t="s">
        <v>15</v>
      </c>
      <c r="E839" t="s">
        <v>36</v>
      </c>
      <c r="F839" t="s">
        <v>24</v>
      </c>
      <c r="G839">
        <v>4</v>
      </c>
      <c r="H839">
        <v>14708</v>
      </c>
      <c r="I839" t="s">
        <v>35</v>
      </c>
      <c r="J839" t="s">
        <v>19</v>
      </c>
      <c r="K839" t="s">
        <v>26</v>
      </c>
      <c r="L839">
        <v>3</v>
      </c>
      <c r="M839">
        <v>1</v>
      </c>
      <c r="N839">
        <v>0</v>
      </c>
      <c r="O839" t="s">
        <v>21</v>
      </c>
      <c r="P839" t="str">
        <f>TEXT(Table1[[#This Row],[order_date]],"yyyy-mm")</f>
        <v>2025-09</v>
      </c>
      <c r="Q839">
        <f>WEEKNUM(Table1[[#This Row],[order_date]])</f>
        <v>39</v>
      </c>
      <c r="R839">
        <f>IF(Table1[[#This Row],[order_status]]="completed",1,0)</f>
        <v>1</v>
      </c>
    </row>
    <row r="840" spans="1:18" x14ac:dyDescent="0.35">
      <c r="A840">
        <v>839</v>
      </c>
      <c r="B840" s="1">
        <v>45947</v>
      </c>
      <c r="C840">
        <v>1641</v>
      </c>
      <c r="D840" t="s">
        <v>15</v>
      </c>
      <c r="E840" t="s">
        <v>36</v>
      </c>
      <c r="F840" t="s">
        <v>34</v>
      </c>
      <c r="G840">
        <v>5</v>
      </c>
      <c r="H840">
        <v>0</v>
      </c>
      <c r="I840" t="s">
        <v>35</v>
      </c>
      <c r="J840" t="s">
        <v>37</v>
      </c>
      <c r="K840" t="s">
        <v>38</v>
      </c>
      <c r="L840">
        <v>3</v>
      </c>
      <c r="M840">
        <v>1</v>
      </c>
      <c r="N840">
        <v>1</v>
      </c>
      <c r="O840" t="s">
        <v>21</v>
      </c>
      <c r="P840" t="str">
        <f>TEXT(Table1[[#This Row],[order_date]],"yyyy-mm")</f>
        <v>2025-10</v>
      </c>
      <c r="Q840">
        <f>WEEKNUM(Table1[[#This Row],[order_date]])</f>
        <v>42</v>
      </c>
      <c r="R840">
        <f>IF(Table1[[#This Row],[order_status]]="completed",1,0)</f>
        <v>0</v>
      </c>
    </row>
    <row r="841" spans="1:18" x14ac:dyDescent="0.35">
      <c r="A841">
        <v>840</v>
      </c>
      <c r="B841" s="1">
        <v>45920</v>
      </c>
      <c r="C841">
        <v>1893</v>
      </c>
      <c r="D841" t="s">
        <v>15</v>
      </c>
      <c r="E841" t="s">
        <v>23</v>
      </c>
      <c r="F841" t="s">
        <v>30</v>
      </c>
      <c r="G841">
        <v>1</v>
      </c>
      <c r="H841">
        <v>1836</v>
      </c>
      <c r="I841" t="s">
        <v>35</v>
      </c>
      <c r="J841" t="s">
        <v>19</v>
      </c>
      <c r="K841" t="s">
        <v>38</v>
      </c>
      <c r="L841">
        <v>9</v>
      </c>
      <c r="M841">
        <v>1</v>
      </c>
      <c r="N841">
        <v>0</v>
      </c>
      <c r="O841" t="s">
        <v>21</v>
      </c>
      <c r="P841" t="str">
        <f>TEXT(Table1[[#This Row],[order_date]],"yyyy-mm")</f>
        <v>2025-09</v>
      </c>
      <c r="Q841">
        <f>WEEKNUM(Table1[[#This Row],[order_date]])</f>
        <v>38</v>
      </c>
      <c r="R841">
        <f>IF(Table1[[#This Row],[order_status]]="completed",1,0)</f>
        <v>1</v>
      </c>
    </row>
    <row r="842" spans="1:18" x14ac:dyDescent="0.35">
      <c r="A842">
        <v>841</v>
      </c>
      <c r="B842" s="1">
        <v>46014</v>
      </c>
      <c r="C842">
        <v>1454</v>
      </c>
      <c r="D842" t="s">
        <v>15</v>
      </c>
      <c r="E842" t="s">
        <v>29</v>
      </c>
      <c r="F842" t="s">
        <v>24</v>
      </c>
      <c r="G842">
        <v>5</v>
      </c>
      <c r="H842">
        <v>0</v>
      </c>
      <c r="I842" t="s">
        <v>18</v>
      </c>
      <c r="J842" t="s">
        <v>31</v>
      </c>
      <c r="K842" t="s">
        <v>38</v>
      </c>
      <c r="L842">
        <v>3</v>
      </c>
      <c r="M842">
        <v>0</v>
      </c>
      <c r="N842">
        <v>1</v>
      </c>
      <c r="O842" t="s">
        <v>27</v>
      </c>
      <c r="P842" t="str">
        <f>TEXT(Table1[[#This Row],[order_date]],"yyyy-mm")</f>
        <v>2025-12</v>
      </c>
      <c r="Q842">
        <f>WEEKNUM(Table1[[#This Row],[order_date]])</f>
        <v>52</v>
      </c>
      <c r="R842">
        <f>IF(Table1[[#This Row],[order_status]]="completed",1,0)</f>
        <v>0</v>
      </c>
    </row>
    <row r="843" spans="1:18" x14ac:dyDescent="0.35">
      <c r="A843">
        <v>842</v>
      </c>
      <c r="B843" s="1">
        <v>45865</v>
      </c>
      <c r="C843">
        <v>1090</v>
      </c>
      <c r="D843" t="s">
        <v>15</v>
      </c>
      <c r="E843" t="s">
        <v>29</v>
      </c>
      <c r="F843" t="s">
        <v>34</v>
      </c>
      <c r="G843">
        <v>4</v>
      </c>
      <c r="H843">
        <v>0</v>
      </c>
      <c r="I843" t="s">
        <v>18</v>
      </c>
      <c r="J843" t="s">
        <v>31</v>
      </c>
      <c r="K843" t="s">
        <v>38</v>
      </c>
      <c r="L843">
        <v>8</v>
      </c>
      <c r="M843">
        <v>0</v>
      </c>
      <c r="N843">
        <v>0</v>
      </c>
      <c r="O843" t="s">
        <v>27</v>
      </c>
      <c r="P843" t="str">
        <f>TEXT(Table1[[#This Row],[order_date]],"yyyy-mm")</f>
        <v>2025-07</v>
      </c>
      <c r="Q843">
        <f>WEEKNUM(Table1[[#This Row],[order_date]])</f>
        <v>31</v>
      </c>
      <c r="R843">
        <f>IF(Table1[[#This Row],[order_status]]="completed",1,0)</f>
        <v>0</v>
      </c>
    </row>
    <row r="844" spans="1:18" x14ac:dyDescent="0.35">
      <c r="A844">
        <v>843</v>
      </c>
      <c r="B844" s="1">
        <v>46008</v>
      </c>
      <c r="C844">
        <v>1488</v>
      </c>
      <c r="D844" t="s">
        <v>41</v>
      </c>
      <c r="E844" t="s">
        <v>23</v>
      </c>
      <c r="F844" t="s">
        <v>30</v>
      </c>
      <c r="G844">
        <v>5</v>
      </c>
      <c r="H844">
        <v>0</v>
      </c>
      <c r="I844" t="s">
        <v>39</v>
      </c>
      <c r="J844" t="s">
        <v>31</v>
      </c>
      <c r="K844" t="s">
        <v>26</v>
      </c>
      <c r="L844">
        <v>5</v>
      </c>
      <c r="M844">
        <v>1</v>
      </c>
      <c r="N844">
        <v>0</v>
      </c>
      <c r="O844" t="s">
        <v>21</v>
      </c>
      <c r="P844" t="str">
        <f>TEXT(Table1[[#This Row],[order_date]],"yyyy-mm")</f>
        <v>2025-12</v>
      </c>
      <c r="Q844">
        <f>WEEKNUM(Table1[[#This Row],[order_date]])</f>
        <v>51</v>
      </c>
      <c r="R844">
        <f>IF(Table1[[#This Row],[order_status]]="completed",1,0)</f>
        <v>0</v>
      </c>
    </row>
    <row r="845" spans="1:18" x14ac:dyDescent="0.35">
      <c r="A845">
        <v>844</v>
      </c>
      <c r="B845" s="1">
        <v>46018</v>
      </c>
      <c r="C845">
        <v>1016</v>
      </c>
      <c r="D845" t="s">
        <v>41</v>
      </c>
      <c r="E845" t="s">
        <v>16</v>
      </c>
      <c r="F845" t="s">
        <v>24</v>
      </c>
      <c r="G845">
        <v>3</v>
      </c>
      <c r="H845">
        <v>13107</v>
      </c>
      <c r="I845" t="s">
        <v>39</v>
      </c>
      <c r="J845" t="s">
        <v>19</v>
      </c>
      <c r="K845" t="s">
        <v>26</v>
      </c>
      <c r="L845">
        <v>1</v>
      </c>
      <c r="M845">
        <v>1</v>
      </c>
      <c r="N845">
        <v>1</v>
      </c>
      <c r="O845" t="s">
        <v>27</v>
      </c>
      <c r="P845" t="str">
        <f>TEXT(Table1[[#This Row],[order_date]],"yyyy-mm")</f>
        <v>2025-12</v>
      </c>
      <c r="Q845">
        <f>WEEKNUM(Table1[[#This Row],[order_date]])</f>
        <v>52</v>
      </c>
      <c r="R845">
        <f>IF(Table1[[#This Row],[order_status]]="completed",1,0)</f>
        <v>1</v>
      </c>
    </row>
    <row r="846" spans="1:18" x14ac:dyDescent="0.35">
      <c r="A846">
        <v>845</v>
      </c>
      <c r="B846" s="1">
        <v>45971</v>
      </c>
      <c r="C846">
        <v>1963</v>
      </c>
      <c r="D846" t="s">
        <v>41</v>
      </c>
      <c r="E846" t="s">
        <v>29</v>
      </c>
      <c r="F846" t="s">
        <v>34</v>
      </c>
      <c r="G846">
        <v>1</v>
      </c>
      <c r="H846">
        <v>1726</v>
      </c>
      <c r="I846" t="s">
        <v>35</v>
      </c>
      <c r="J846" t="s">
        <v>19</v>
      </c>
      <c r="K846" t="s">
        <v>20</v>
      </c>
      <c r="L846">
        <v>2</v>
      </c>
      <c r="M846">
        <v>1</v>
      </c>
      <c r="N846">
        <v>1</v>
      </c>
      <c r="O846" t="s">
        <v>27</v>
      </c>
      <c r="P846" t="str">
        <f>TEXT(Table1[[#This Row],[order_date]],"yyyy-mm")</f>
        <v>2025-11</v>
      </c>
      <c r="Q846">
        <f>WEEKNUM(Table1[[#This Row],[order_date]])</f>
        <v>46</v>
      </c>
      <c r="R846">
        <f>IF(Table1[[#This Row],[order_status]]="completed",1,0)</f>
        <v>1</v>
      </c>
    </row>
    <row r="847" spans="1:18" x14ac:dyDescent="0.35">
      <c r="A847">
        <v>846</v>
      </c>
      <c r="B847" s="1">
        <v>46027</v>
      </c>
      <c r="C847">
        <v>1375</v>
      </c>
      <c r="D847" t="s">
        <v>32</v>
      </c>
      <c r="E847" t="s">
        <v>29</v>
      </c>
      <c r="F847" t="s">
        <v>17</v>
      </c>
      <c r="G847">
        <v>3</v>
      </c>
      <c r="H847">
        <v>0</v>
      </c>
      <c r="I847" t="s">
        <v>35</v>
      </c>
      <c r="J847" t="s">
        <v>37</v>
      </c>
      <c r="K847" t="s">
        <v>20</v>
      </c>
      <c r="L847">
        <v>1</v>
      </c>
      <c r="M847">
        <v>0</v>
      </c>
      <c r="N847">
        <v>0</v>
      </c>
      <c r="O847" t="s">
        <v>27</v>
      </c>
      <c r="P847" t="str">
        <f>TEXT(Table1[[#This Row],[order_date]],"yyyy-mm")</f>
        <v>2026-01</v>
      </c>
      <c r="Q847">
        <f>WEEKNUM(Table1[[#This Row],[order_date]])</f>
        <v>2</v>
      </c>
      <c r="R847">
        <f>IF(Table1[[#This Row],[order_status]]="completed",1,0)</f>
        <v>0</v>
      </c>
    </row>
    <row r="848" spans="1:18" x14ac:dyDescent="0.35">
      <c r="A848">
        <v>847</v>
      </c>
      <c r="B848" s="1">
        <v>45920</v>
      </c>
      <c r="C848">
        <v>1938</v>
      </c>
      <c r="D848" t="s">
        <v>15</v>
      </c>
      <c r="E848" t="s">
        <v>29</v>
      </c>
      <c r="F848" t="s">
        <v>24</v>
      </c>
      <c r="G848">
        <v>5</v>
      </c>
      <c r="H848">
        <v>0</v>
      </c>
      <c r="I848" t="s">
        <v>35</v>
      </c>
      <c r="J848" t="s">
        <v>37</v>
      </c>
      <c r="K848" t="s">
        <v>26</v>
      </c>
      <c r="L848">
        <v>9</v>
      </c>
      <c r="M848">
        <v>1</v>
      </c>
      <c r="N848">
        <v>0</v>
      </c>
      <c r="O848" t="s">
        <v>21</v>
      </c>
      <c r="P848" t="str">
        <f>TEXT(Table1[[#This Row],[order_date]],"yyyy-mm")</f>
        <v>2025-09</v>
      </c>
      <c r="Q848">
        <f>WEEKNUM(Table1[[#This Row],[order_date]])</f>
        <v>38</v>
      </c>
      <c r="R848">
        <f>IF(Table1[[#This Row],[order_status]]="completed",1,0)</f>
        <v>0</v>
      </c>
    </row>
    <row r="849" spans="1:18" x14ac:dyDescent="0.35">
      <c r="A849">
        <v>848</v>
      </c>
      <c r="B849" s="1">
        <v>45967</v>
      </c>
      <c r="C849">
        <v>1010</v>
      </c>
      <c r="D849" t="s">
        <v>22</v>
      </c>
      <c r="E849" t="s">
        <v>23</v>
      </c>
      <c r="F849" t="s">
        <v>30</v>
      </c>
      <c r="G849">
        <v>1</v>
      </c>
      <c r="H849">
        <v>435</v>
      </c>
      <c r="I849" t="s">
        <v>18</v>
      </c>
      <c r="J849" t="s">
        <v>19</v>
      </c>
      <c r="K849" t="s">
        <v>20</v>
      </c>
      <c r="L849">
        <v>2</v>
      </c>
      <c r="M849">
        <v>0</v>
      </c>
      <c r="N849">
        <v>1</v>
      </c>
      <c r="O849" t="s">
        <v>27</v>
      </c>
      <c r="P849" t="str">
        <f>TEXT(Table1[[#This Row],[order_date]],"yyyy-mm")</f>
        <v>2025-11</v>
      </c>
      <c r="Q849">
        <f>WEEKNUM(Table1[[#This Row],[order_date]])</f>
        <v>45</v>
      </c>
      <c r="R849">
        <f>IF(Table1[[#This Row],[order_status]]="completed",1,0)</f>
        <v>1</v>
      </c>
    </row>
    <row r="850" spans="1:18" x14ac:dyDescent="0.35">
      <c r="A850">
        <v>849</v>
      </c>
      <c r="B850" s="1">
        <v>45978</v>
      </c>
      <c r="C850">
        <v>1864</v>
      </c>
      <c r="D850" t="s">
        <v>32</v>
      </c>
      <c r="E850" t="s">
        <v>36</v>
      </c>
      <c r="F850" t="s">
        <v>24</v>
      </c>
      <c r="G850">
        <v>2</v>
      </c>
      <c r="H850">
        <v>0</v>
      </c>
      <c r="I850" t="s">
        <v>18</v>
      </c>
      <c r="J850" t="s">
        <v>37</v>
      </c>
      <c r="K850" t="s">
        <v>40</v>
      </c>
      <c r="L850">
        <v>7</v>
      </c>
      <c r="M850">
        <v>0</v>
      </c>
      <c r="N850">
        <v>0</v>
      </c>
      <c r="O850" t="s">
        <v>21</v>
      </c>
      <c r="P850" t="str">
        <f>TEXT(Table1[[#This Row],[order_date]],"yyyy-mm")</f>
        <v>2025-11</v>
      </c>
      <c r="Q850">
        <f>WEEKNUM(Table1[[#This Row],[order_date]])</f>
        <v>47</v>
      </c>
      <c r="R850">
        <f>IF(Table1[[#This Row],[order_status]]="completed",1,0)</f>
        <v>0</v>
      </c>
    </row>
    <row r="851" spans="1:18" x14ac:dyDescent="0.35">
      <c r="A851">
        <v>850</v>
      </c>
      <c r="B851" s="1">
        <v>45891</v>
      </c>
      <c r="C851">
        <v>1655</v>
      </c>
      <c r="D851" t="s">
        <v>15</v>
      </c>
      <c r="E851" t="s">
        <v>29</v>
      </c>
      <c r="F851" t="s">
        <v>30</v>
      </c>
      <c r="G851">
        <v>3</v>
      </c>
      <c r="H851">
        <v>4875</v>
      </c>
      <c r="I851" t="s">
        <v>25</v>
      </c>
      <c r="J851" t="s">
        <v>19</v>
      </c>
      <c r="K851" t="s">
        <v>38</v>
      </c>
      <c r="L851">
        <v>3</v>
      </c>
      <c r="M851">
        <v>1</v>
      </c>
      <c r="N851">
        <v>0</v>
      </c>
      <c r="O851" t="s">
        <v>27</v>
      </c>
      <c r="P851" t="str">
        <f>TEXT(Table1[[#This Row],[order_date]],"yyyy-mm")</f>
        <v>2025-08</v>
      </c>
      <c r="Q851">
        <f>WEEKNUM(Table1[[#This Row],[order_date]])</f>
        <v>34</v>
      </c>
      <c r="R851">
        <f>IF(Table1[[#This Row],[order_status]]="completed",1,0)</f>
        <v>1</v>
      </c>
    </row>
    <row r="852" spans="1:18" x14ac:dyDescent="0.35">
      <c r="A852">
        <v>851</v>
      </c>
      <c r="B852" s="1">
        <v>45954</v>
      </c>
      <c r="C852">
        <v>1026</v>
      </c>
      <c r="D852" t="s">
        <v>41</v>
      </c>
      <c r="E852" t="s">
        <v>16</v>
      </c>
      <c r="F852" t="s">
        <v>34</v>
      </c>
      <c r="G852">
        <v>4</v>
      </c>
      <c r="H852">
        <v>2656</v>
      </c>
      <c r="I852" t="s">
        <v>39</v>
      </c>
      <c r="J852" t="s">
        <v>19</v>
      </c>
      <c r="K852" t="s">
        <v>40</v>
      </c>
      <c r="L852">
        <v>10</v>
      </c>
      <c r="M852">
        <v>1</v>
      </c>
      <c r="N852">
        <v>1</v>
      </c>
      <c r="O852" t="s">
        <v>21</v>
      </c>
      <c r="P852" t="str">
        <f>TEXT(Table1[[#This Row],[order_date]],"yyyy-mm")</f>
        <v>2025-10</v>
      </c>
      <c r="Q852">
        <f>WEEKNUM(Table1[[#This Row],[order_date]])</f>
        <v>43</v>
      </c>
      <c r="R852">
        <f>IF(Table1[[#This Row],[order_status]]="completed",1,0)</f>
        <v>1</v>
      </c>
    </row>
    <row r="853" spans="1:18" x14ac:dyDescent="0.35">
      <c r="A853">
        <v>852</v>
      </c>
      <c r="B853" s="1">
        <v>45912</v>
      </c>
      <c r="C853">
        <v>1778</v>
      </c>
      <c r="D853" t="s">
        <v>32</v>
      </c>
      <c r="E853" t="s">
        <v>29</v>
      </c>
      <c r="F853" t="s">
        <v>17</v>
      </c>
      <c r="G853">
        <v>4</v>
      </c>
      <c r="H853">
        <v>1652</v>
      </c>
      <c r="I853" t="s">
        <v>35</v>
      </c>
      <c r="J853" t="s">
        <v>19</v>
      </c>
      <c r="K853" t="s">
        <v>26</v>
      </c>
      <c r="L853">
        <v>1</v>
      </c>
      <c r="M853">
        <v>1</v>
      </c>
      <c r="N853">
        <v>0</v>
      </c>
      <c r="O853" t="s">
        <v>21</v>
      </c>
      <c r="P853" t="str">
        <f>TEXT(Table1[[#This Row],[order_date]],"yyyy-mm")</f>
        <v>2025-09</v>
      </c>
      <c r="Q853">
        <f>WEEKNUM(Table1[[#This Row],[order_date]])</f>
        <v>37</v>
      </c>
      <c r="R853">
        <f>IF(Table1[[#This Row],[order_status]]="completed",1,0)</f>
        <v>1</v>
      </c>
    </row>
    <row r="854" spans="1:18" x14ac:dyDescent="0.35">
      <c r="A854">
        <v>853</v>
      </c>
      <c r="B854" s="1">
        <v>45864</v>
      </c>
      <c r="C854">
        <v>1033</v>
      </c>
      <c r="D854" t="s">
        <v>32</v>
      </c>
      <c r="E854" t="s">
        <v>33</v>
      </c>
      <c r="F854" t="s">
        <v>34</v>
      </c>
      <c r="G854">
        <v>3</v>
      </c>
      <c r="H854">
        <v>7293</v>
      </c>
      <c r="I854" t="s">
        <v>35</v>
      </c>
      <c r="J854" t="s">
        <v>19</v>
      </c>
      <c r="K854" t="s">
        <v>38</v>
      </c>
      <c r="L854">
        <v>7</v>
      </c>
      <c r="M854">
        <v>1</v>
      </c>
      <c r="N854">
        <v>1</v>
      </c>
      <c r="O854" t="s">
        <v>21</v>
      </c>
      <c r="P854" t="str">
        <f>TEXT(Table1[[#This Row],[order_date]],"yyyy-mm")</f>
        <v>2025-07</v>
      </c>
      <c r="Q854">
        <f>WEEKNUM(Table1[[#This Row],[order_date]])</f>
        <v>30</v>
      </c>
      <c r="R854">
        <f>IF(Table1[[#This Row],[order_status]]="completed",1,0)</f>
        <v>1</v>
      </c>
    </row>
    <row r="855" spans="1:18" x14ac:dyDescent="0.35">
      <c r="A855">
        <v>854</v>
      </c>
      <c r="B855" s="1">
        <v>46025</v>
      </c>
      <c r="C855">
        <v>1149</v>
      </c>
      <c r="D855" t="s">
        <v>41</v>
      </c>
      <c r="E855" t="s">
        <v>23</v>
      </c>
      <c r="F855" t="s">
        <v>30</v>
      </c>
      <c r="G855">
        <v>4</v>
      </c>
      <c r="H855">
        <v>15468</v>
      </c>
      <c r="I855" t="s">
        <v>25</v>
      </c>
      <c r="J855" t="s">
        <v>19</v>
      </c>
      <c r="K855" t="s">
        <v>26</v>
      </c>
      <c r="L855">
        <v>1</v>
      </c>
      <c r="M855">
        <v>0</v>
      </c>
      <c r="N855">
        <v>1</v>
      </c>
      <c r="O855" t="s">
        <v>27</v>
      </c>
      <c r="P855" t="str">
        <f>TEXT(Table1[[#This Row],[order_date]],"yyyy-mm")</f>
        <v>2026-01</v>
      </c>
      <c r="Q855">
        <f>WEEKNUM(Table1[[#This Row],[order_date]])</f>
        <v>1</v>
      </c>
      <c r="R855">
        <f>IF(Table1[[#This Row],[order_status]]="completed",1,0)</f>
        <v>1</v>
      </c>
    </row>
    <row r="856" spans="1:18" x14ac:dyDescent="0.35">
      <c r="A856">
        <v>855</v>
      </c>
      <c r="B856" s="1">
        <v>45965</v>
      </c>
      <c r="C856">
        <v>1789</v>
      </c>
      <c r="D856" t="s">
        <v>15</v>
      </c>
      <c r="E856" t="s">
        <v>36</v>
      </c>
      <c r="F856" t="s">
        <v>34</v>
      </c>
      <c r="G856">
        <v>2</v>
      </c>
      <c r="H856">
        <v>0</v>
      </c>
      <c r="I856" t="s">
        <v>39</v>
      </c>
      <c r="J856" t="s">
        <v>31</v>
      </c>
      <c r="K856" t="s">
        <v>20</v>
      </c>
      <c r="L856">
        <v>2</v>
      </c>
      <c r="M856">
        <v>0</v>
      </c>
      <c r="N856">
        <v>1</v>
      </c>
      <c r="O856" t="s">
        <v>21</v>
      </c>
      <c r="P856" t="str">
        <f>TEXT(Table1[[#This Row],[order_date]],"yyyy-mm")</f>
        <v>2025-11</v>
      </c>
      <c r="Q856">
        <f>WEEKNUM(Table1[[#This Row],[order_date]])</f>
        <v>45</v>
      </c>
      <c r="R856">
        <f>IF(Table1[[#This Row],[order_status]]="completed",1,0)</f>
        <v>0</v>
      </c>
    </row>
    <row r="857" spans="1:18" x14ac:dyDescent="0.35">
      <c r="A857">
        <v>856</v>
      </c>
      <c r="B857" s="1">
        <v>45958</v>
      </c>
      <c r="C857">
        <v>1521</v>
      </c>
      <c r="D857" t="s">
        <v>28</v>
      </c>
      <c r="E857" t="s">
        <v>16</v>
      </c>
      <c r="F857" t="s">
        <v>34</v>
      </c>
      <c r="G857">
        <v>1</v>
      </c>
      <c r="H857">
        <v>0</v>
      </c>
      <c r="I857" t="s">
        <v>25</v>
      </c>
      <c r="J857" t="s">
        <v>37</v>
      </c>
      <c r="K857" t="s">
        <v>38</v>
      </c>
      <c r="L857">
        <v>3</v>
      </c>
      <c r="M857">
        <v>0</v>
      </c>
      <c r="N857">
        <v>1</v>
      </c>
      <c r="O857" t="s">
        <v>27</v>
      </c>
      <c r="P857" t="str">
        <f>TEXT(Table1[[#This Row],[order_date]],"yyyy-mm")</f>
        <v>2025-10</v>
      </c>
      <c r="Q857">
        <f>WEEKNUM(Table1[[#This Row],[order_date]])</f>
        <v>44</v>
      </c>
      <c r="R857">
        <f>IF(Table1[[#This Row],[order_status]]="completed",1,0)</f>
        <v>0</v>
      </c>
    </row>
    <row r="858" spans="1:18" x14ac:dyDescent="0.35">
      <c r="A858">
        <v>857</v>
      </c>
      <c r="B858" s="1">
        <v>45917</v>
      </c>
      <c r="C858">
        <v>1040</v>
      </c>
      <c r="D858" t="s">
        <v>41</v>
      </c>
      <c r="E858" t="s">
        <v>36</v>
      </c>
      <c r="F858" t="s">
        <v>30</v>
      </c>
      <c r="G858">
        <v>2</v>
      </c>
      <c r="H858">
        <v>0</v>
      </c>
      <c r="I858" t="s">
        <v>18</v>
      </c>
      <c r="J858" t="s">
        <v>37</v>
      </c>
      <c r="K858" t="s">
        <v>26</v>
      </c>
      <c r="L858">
        <v>5</v>
      </c>
      <c r="M858">
        <v>0</v>
      </c>
      <c r="N858">
        <v>1</v>
      </c>
      <c r="O858" t="s">
        <v>27</v>
      </c>
      <c r="P858" t="str">
        <f>TEXT(Table1[[#This Row],[order_date]],"yyyy-mm")</f>
        <v>2025-09</v>
      </c>
      <c r="Q858">
        <f>WEEKNUM(Table1[[#This Row],[order_date]])</f>
        <v>38</v>
      </c>
      <c r="R858">
        <f>IF(Table1[[#This Row],[order_status]]="completed",1,0)</f>
        <v>0</v>
      </c>
    </row>
    <row r="859" spans="1:18" x14ac:dyDescent="0.35">
      <c r="A859">
        <v>858</v>
      </c>
      <c r="B859" s="1">
        <v>45866</v>
      </c>
      <c r="C859">
        <v>1026</v>
      </c>
      <c r="D859" t="s">
        <v>41</v>
      </c>
      <c r="E859" t="s">
        <v>16</v>
      </c>
      <c r="F859" t="s">
        <v>24</v>
      </c>
      <c r="G859">
        <v>4</v>
      </c>
      <c r="H859">
        <v>0</v>
      </c>
      <c r="I859" t="s">
        <v>25</v>
      </c>
      <c r="J859" t="s">
        <v>31</v>
      </c>
      <c r="K859" t="s">
        <v>40</v>
      </c>
      <c r="L859">
        <v>3</v>
      </c>
      <c r="M859">
        <v>0</v>
      </c>
      <c r="N859">
        <v>0</v>
      </c>
      <c r="O859" t="s">
        <v>27</v>
      </c>
      <c r="P859" t="str">
        <f>TEXT(Table1[[#This Row],[order_date]],"yyyy-mm")</f>
        <v>2025-07</v>
      </c>
      <c r="Q859">
        <f>WEEKNUM(Table1[[#This Row],[order_date]])</f>
        <v>31</v>
      </c>
      <c r="R859">
        <f>IF(Table1[[#This Row],[order_status]]="completed",1,0)</f>
        <v>0</v>
      </c>
    </row>
    <row r="860" spans="1:18" x14ac:dyDescent="0.35">
      <c r="A860">
        <v>859</v>
      </c>
      <c r="B860" s="1">
        <v>45900</v>
      </c>
      <c r="C860">
        <v>1110</v>
      </c>
      <c r="D860" t="s">
        <v>32</v>
      </c>
      <c r="E860" t="s">
        <v>36</v>
      </c>
      <c r="F860" t="s">
        <v>24</v>
      </c>
      <c r="G860">
        <v>5</v>
      </c>
      <c r="H860">
        <v>0</v>
      </c>
      <c r="I860" t="s">
        <v>18</v>
      </c>
      <c r="J860" t="s">
        <v>31</v>
      </c>
      <c r="K860" t="s">
        <v>40</v>
      </c>
      <c r="L860">
        <v>9</v>
      </c>
      <c r="M860">
        <v>1</v>
      </c>
      <c r="N860">
        <v>0</v>
      </c>
      <c r="O860" t="s">
        <v>21</v>
      </c>
      <c r="P860" t="str">
        <f>TEXT(Table1[[#This Row],[order_date]],"yyyy-mm")</f>
        <v>2025-08</v>
      </c>
      <c r="Q860">
        <f>WEEKNUM(Table1[[#This Row],[order_date]])</f>
        <v>36</v>
      </c>
      <c r="R860">
        <f>IF(Table1[[#This Row],[order_status]]="completed",1,0)</f>
        <v>0</v>
      </c>
    </row>
    <row r="861" spans="1:18" x14ac:dyDescent="0.35">
      <c r="A861">
        <v>860</v>
      </c>
      <c r="B861" s="1">
        <v>45883</v>
      </c>
      <c r="C861">
        <v>1910</v>
      </c>
      <c r="D861" t="s">
        <v>32</v>
      </c>
      <c r="E861" t="s">
        <v>29</v>
      </c>
      <c r="F861" t="s">
        <v>17</v>
      </c>
      <c r="G861">
        <v>4</v>
      </c>
      <c r="H861">
        <v>0</v>
      </c>
      <c r="I861" t="s">
        <v>25</v>
      </c>
      <c r="J861" t="s">
        <v>37</v>
      </c>
      <c r="K861" t="s">
        <v>26</v>
      </c>
      <c r="L861">
        <v>9</v>
      </c>
      <c r="M861">
        <v>1</v>
      </c>
      <c r="N861">
        <v>1</v>
      </c>
      <c r="O861" t="s">
        <v>21</v>
      </c>
      <c r="P861" t="str">
        <f>TEXT(Table1[[#This Row],[order_date]],"yyyy-mm")</f>
        <v>2025-08</v>
      </c>
      <c r="Q861">
        <f>WEEKNUM(Table1[[#This Row],[order_date]])</f>
        <v>33</v>
      </c>
      <c r="R861">
        <f>IF(Table1[[#This Row],[order_status]]="completed",1,0)</f>
        <v>0</v>
      </c>
    </row>
    <row r="862" spans="1:18" x14ac:dyDescent="0.35">
      <c r="A862">
        <v>861</v>
      </c>
      <c r="B862" s="1">
        <v>45948</v>
      </c>
      <c r="C862">
        <v>1761</v>
      </c>
      <c r="D862" t="s">
        <v>28</v>
      </c>
      <c r="E862" t="s">
        <v>33</v>
      </c>
      <c r="F862" t="s">
        <v>30</v>
      </c>
      <c r="G862">
        <v>3</v>
      </c>
      <c r="H862">
        <v>0</v>
      </c>
      <c r="I862" t="s">
        <v>18</v>
      </c>
      <c r="J862" t="s">
        <v>31</v>
      </c>
      <c r="K862" t="s">
        <v>40</v>
      </c>
      <c r="L862">
        <v>1</v>
      </c>
      <c r="M862">
        <v>1</v>
      </c>
      <c r="N862">
        <v>1</v>
      </c>
      <c r="O862" t="s">
        <v>21</v>
      </c>
      <c r="P862" t="str">
        <f>TEXT(Table1[[#This Row],[order_date]],"yyyy-mm")</f>
        <v>2025-10</v>
      </c>
      <c r="Q862">
        <f>WEEKNUM(Table1[[#This Row],[order_date]])</f>
        <v>42</v>
      </c>
      <c r="R862">
        <f>IF(Table1[[#This Row],[order_status]]="completed",1,0)</f>
        <v>0</v>
      </c>
    </row>
    <row r="863" spans="1:18" x14ac:dyDescent="0.35">
      <c r="A863">
        <v>862</v>
      </c>
      <c r="B863" s="1">
        <v>45878</v>
      </c>
      <c r="C863">
        <v>1798</v>
      </c>
      <c r="D863" t="s">
        <v>15</v>
      </c>
      <c r="E863" t="s">
        <v>23</v>
      </c>
      <c r="F863" t="s">
        <v>17</v>
      </c>
      <c r="G863">
        <v>1</v>
      </c>
      <c r="H863">
        <v>0</v>
      </c>
      <c r="I863" t="s">
        <v>25</v>
      </c>
      <c r="J863" t="s">
        <v>31</v>
      </c>
      <c r="K863" t="s">
        <v>38</v>
      </c>
      <c r="L863">
        <v>2</v>
      </c>
      <c r="M863">
        <v>1</v>
      </c>
      <c r="N863">
        <v>0</v>
      </c>
      <c r="O863" t="s">
        <v>27</v>
      </c>
      <c r="P863" t="str">
        <f>TEXT(Table1[[#This Row],[order_date]],"yyyy-mm")</f>
        <v>2025-08</v>
      </c>
      <c r="Q863">
        <f>WEEKNUM(Table1[[#This Row],[order_date]])</f>
        <v>32</v>
      </c>
      <c r="R863">
        <f>IF(Table1[[#This Row],[order_status]]="completed",1,0)</f>
        <v>0</v>
      </c>
    </row>
    <row r="864" spans="1:18" x14ac:dyDescent="0.35">
      <c r="A864">
        <v>863</v>
      </c>
      <c r="B864" s="1">
        <v>45992</v>
      </c>
      <c r="C864">
        <v>1248</v>
      </c>
      <c r="D864" t="s">
        <v>41</v>
      </c>
      <c r="E864" t="s">
        <v>36</v>
      </c>
      <c r="F864" t="s">
        <v>30</v>
      </c>
      <c r="G864">
        <v>1</v>
      </c>
      <c r="H864">
        <v>0</v>
      </c>
      <c r="I864" t="s">
        <v>39</v>
      </c>
      <c r="J864" t="s">
        <v>31</v>
      </c>
      <c r="K864" t="s">
        <v>40</v>
      </c>
      <c r="L864">
        <v>2</v>
      </c>
      <c r="M864">
        <v>1</v>
      </c>
      <c r="N864">
        <v>1</v>
      </c>
      <c r="O864" t="s">
        <v>21</v>
      </c>
      <c r="P864" t="str">
        <f>TEXT(Table1[[#This Row],[order_date]],"yyyy-mm")</f>
        <v>2025-12</v>
      </c>
      <c r="Q864">
        <f>WEEKNUM(Table1[[#This Row],[order_date]])</f>
        <v>49</v>
      </c>
      <c r="R864">
        <f>IF(Table1[[#This Row],[order_status]]="completed",1,0)</f>
        <v>0</v>
      </c>
    </row>
    <row r="865" spans="1:18" x14ac:dyDescent="0.35">
      <c r="A865">
        <v>864</v>
      </c>
      <c r="B865" s="1">
        <v>45914</v>
      </c>
      <c r="C865">
        <v>1804</v>
      </c>
      <c r="D865" t="s">
        <v>15</v>
      </c>
      <c r="E865" t="s">
        <v>16</v>
      </c>
      <c r="F865" t="s">
        <v>17</v>
      </c>
      <c r="G865">
        <v>2</v>
      </c>
      <c r="H865">
        <v>0</v>
      </c>
      <c r="I865" t="s">
        <v>35</v>
      </c>
      <c r="J865" t="s">
        <v>37</v>
      </c>
      <c r="K865" t="s">
        <v>38</v>
      </c>
      <c r="L865">
        <v>1</v>
      </c>
      <c r="M865">
        <v>1</v>
      </c>
      <c r="N865">
        <v>1</v>
      </c>
      <c r="O865" t="s">
        <v>21</v>
      </c>
      <c r="P865" t="str">
        <f>TEXT(Table1[[#This Row],[order_date]],"yyyy-mm")</f>
        <v>2025-09</v>
      </c>
      <c r="Q865">
        <f>WEEKNUM(Table1[[#This Row],[order_date]])</f>
        <v>38</v>
      </c>
      <c r="R865">
        <f>IF(Table1[[#This Row],[order_status]]="completed",1,0)</f>
        <v>0</v>
      </c>
    </row>
    <row r="866" spans="1:18" x14ac:dyDescent="0.35">
      <c r="A866">
        <v>865</v>
      </c>
      <c r="B866" s="1">
        <v>46016</v>
      </c>
      <c r="C866">
        <v>1800</v>
      </c>
      <c r="D866" t="s">
        <v>22</v>
      </c>
      <c r="E866" t="s">
        <v>33</v>
      </c>
      <c r="F866" t="s">
        <v>34</v>
      </c>
      <c r="G866">
        <v>5</v>
      </c>
      <c r="H866">
        <v>0</v>
      </c>
      <c r="I866" t="s">
        <v>25</v>
      </c>
      <c r="J866" t="s">
        <v>31</v>
      </c>
      <c r="K866" t="s">
        <v>26</v>
      </c>
      <c r="L866">
        <v>3</v>
      </c>
      <c r="M866">
        <v>0</v>
      </c>
      <c r="N866">
        <v>0</v>
      </c>
      <c r="O866" t="s">
        <v>27</v>
      </c>
      <c r="P866" t="str">
        <f>TEXT(Table1[[#This Row],[order_date]],"yyyy-mm")</f>
        <v>2025-12</v>
      </c>
      <c r="Q866">
        <f>WEEKNUM(Table1[[#This Row],[order_date]])</f>
        <v>52</v>
      </c>
      <c r="R866">
        <f>IF(Table1[[#This Row],[order_status]]="completed",1,0)</f>
        <v>0</v>
      </c>
    </row>
    <row r="867" spans="1:18" x14ac:dyDescent="0.35">
      <c r="A867">
        <v>866</v>
      </c>
      <c r="B867" s="1">
        <v>45889</v>
      </c>
      <c r="C867">
        <v>1638</v>
      </c>
      <c r="D867" t="s">
        <v>22</v>
      </c>
      <c r="E867" t="s">
        <v>36</v>
      </c>
      <c r="F867" t="s">
        <v>17</v>
      </c>
      <c r="G867">
        <v>4</v>
      </c>
      <c r="H867">
        <v>9108</v>
      </c>
      <c r="I867" t="s">
        <v>39</v>
      </c>
      <c r="J867" t="s">
        <v>19</v>
      </c>
      <c r="K867" t="s">
        <v>20</v>
      </c>
      <c r="L867">
        <v>5</v>
      </c>
      <c r="M867">
        <v>1</v>
      </c>
      <c r="N867">
        <v>1</v>
      </c>
      <c r="O867" t="s">
        <v>27</v>
      </c>
      <c r="P867" t="str">
        <f>TEXT(Table1[[#This Row],[order_date]],"yyyy-mm")</f>
        <v>2025-08</v>
      </c>
      <c r="Q867">
        <f>WEEKNUM(Table1[[#This Row],[order_date]])</f>
        <v>34</v>
      </c>
      <c r="R867">
        <f>IF(Table1[[#This Row],[order_status]]="completed",1,0)</f>
        <v>1</v>
      </c>
    </row>
    <row r="868" spans="1:18" x14ac:dyDescent="0.35">
      <c r="A868">
        <v>867</v>
      </c>
      <c r="B868" s="1">
        <v>45882</v>
      </c>
      <c r="C868">
        <v>1551</v>
      </c>
      <c r="D868" t="s">
        <v>15</v>
      </c>
      <c r="E868" t="s">
        <v>36</v>
      </c>
      <c r="F868" t="s">
        <v>34</v>
      </c>
      <c r="G868">
        <v>4</v>
      </c>
      <c r="H868">
        <v>11096</v>
      </c>
      <c r="I868" t="s">
        <v>35</v>
      </c>
      <c r="J868" t="s">
        <v>19</v>
      </c>
      <c r="K868" t="s">
        <v>20</v>
      </c>
      <c r="L868">
        <v>2</v>
      </c>
      <c r="M868">
        <v>1</v>
      </c>
      <c r="N868">
        <v>0</v>
      </c>
      <c r="O868" t="s">
        <v>27</v>
      </c>
      <c r="P868" t="str">
        <f>TEXT(Table1[[#This Row],[order_date]],"yyyy-mm")</f>
        <v>2025-08</v>
      </c>
      <c r="Q868">
        <f>WEEKNUM(Table1[[#This Row],[order_date]])</f>
        <v>33</v>
      </c>
      <c r="R868">
        <f>IF(Table1[[#This Row],[order_status]]="completed",1,0)</f>
        <v>1</v>
      </c>
    </row>
    <row r="869" spans="1:18" x14ac:dyDescent="0.35">
      <c r="A869">
        <v>868</v>
      </c>
      <c r="B869" s="1">
        <v>45899</v>
      </c>
      <c r="C869">
        <v>1771</v>
      </c>
      <c r="D869" t="s">
        <v>22</v>
      </c>
      <c r="E869" t="s">
        <v>33</v>
      </c>
      <c r="F869" t="s">
        <v>17</v>
      </c>
      <c r="G869">
        <v>5</v>
      </c>
      <c r="H869">
        <v>0</v>
      </c>
      <c r="I869" t="s">
        <v>39</v>
      </c>
      <c r="J869" t="s">
        <v>31</v>
      </c>
      <c r="K869" t="s">
        <v>20</v>
      </c>
      <c r="L869">
        <v>9</v>
      </c>
      <c r="M869">
        <v>1</v>
      </c>
      <c r="N869">
        <v>0</v>
      </c>
      <c r="O869" t="s">
        <v>27</v>
      </c>
      <c r="P869" t="str">
        <f>TEXT(Table1[[#This Row],[order_date]],"yyyy-mm")</f>
        <v>2025-08</v>
      </c>
      <c r="Q869">
        <f>WEEKNUM(Table1[[#This Row],[order_date]])</f>
        <v>35</v>
      </c>
      <c r="R869">
        <f>IF(Table1[[#This Row],[order_status]]="completed",1,0)</f>
        <v>0</v>
      </c>
    </row>
    <row r="870" spans="1:18" x14ac:dyDescent="0.35">
      <c r="A870">
        <v>869</v>
      </c>
      <c r="B870" s="1">
        <v>45984</v>
      </c>
      <c r="C870">
        <v>1238</v>
      </c>
      <c r="D870" t="s">
        <v>32</v>
      </c>
      <c r="E870" t="s">
        <v>23</v>
      </c>
      <c r="F870" t="s">
        <v>24</v>
      </c>
      <c r="G870">
        <v>2</v>
      </c>
      <c r="H870">
        <v>1042</v>
      </c>
      <c r="I870" t="s">
        <v>35</v>
      </c>
      <c r="J870" t="s">
        <v>19</v>
      </c>
      <c r="K870" t="s">
        <v>38</v>
      </c>
      <c r="L870">
        <v>1</v>
      </c>
      <c r="M870">
        <v>1</v>
      </c>
      <c r="N870">
        <v>0</v>
      </c>
      <c r="O870" t="s">
        <v>27</v>
      </c>
      <c r="P870" t="str">
        <f>TEXT(Table1[[#This Row],[order_date]],"yyyy-mm")</f>
        <v>2025-11</v>
      </c>
      <c r="Q870">
        <f>WEEKNUM(Table1[[#This Row],[order_date]])</f>
        <v>48</v>
      </c>
      <c r="R870">
        <f>IF(Table1[[#This Row],[order_status]]="completed",1,0)</f>
        <v>1</v>
      </c>
    </row>
    <row r="871" spans="1:18" x14ac:dyDescent="0.35">
      <c r="A871">
        <v>870</v>
      </c>
      <c r="B871" s="1">
        <v>45933</v>
      </c>
      <c r="C871">
        <v>1116</v>
      </c>
      <c r="D871" t="s">
        <v>28</v>
      </c>
      <c r="E871" t="s">
        <v>36</v>
      </c>
      <c r="F871" t="s">
        <v>34</v>
      </c>
      <c r="G871">
        <v>3</v>
      </c>
      <c r="H871">
        <v>0</v>
      </c>
      <c r="I871" t="s">
        <v>35</v>
      </c>
      <c r="J871" t="s">
        <v>37</v>
      </c>
      <c r="K871" t="s">
        <v>40</v>
      </c>
      <c r="L871">
        <v>7</v>
      </c>
      <c r="M871">
        <v>0</v>
      </c>
      <c r="N871">
        <v>1</v>
      </c>
      <c r="O871" t="s">
        <v>27</v>
      </c>
      <c r="P871" t="str">
        <f>TEXT(Table1[[#This Row],[order_date]],"yyyy-mm")</f>
        <v>2025-10</v>
      </c>
      <c r="Q871">
        <f>WEEKNUM(Table1[[#This Row],[order_date]])</f>
        <v>40</v>
      </c>
      <c r="R871">
        <f>IF(Table1[[#This Row],[order_status]]="completed",1,0)</f>
        <v>0</v>
      </c>
    </row>
    <row r="872" spans="1:18" x14ac:dyDescent="0.35">
      <c r="A872">
        <v>871</v>
      </c>
      <c r="B872" s="1">
        <v>45918</v>
      </c>
      <c r="C872">
        <v>1383</v>
      </c>
      <c r="D872" t="s">
        <v>15</v>
      </c>
      <c r="E872" t="s">
        <v>29</v>
      </c>
      <c r="F872" t="s">
        <v>34</v>
      </c>
      <c r="G872">
        <v>5</v>
      </c>
      <c r="H872">
        <v>0</v>
      </c>
      <c r="I872" t="s">
        <v>18</v>
      </c>
      <c r="J872" t="s">
        <v>31</v>
      </c>
      <c r="K872" t="s">
        <v>20</v>
      </c>
      <c r="L872">
        <v>3</v>
      </c>
      <c r="M872">
        <v>1</v>
      </c>
      <c r="N872">
        <v>1</v>
      </c>
      <c r="O872" t="s">
        <v>27</v>
      </c>
      <c r="P872" t="str">
        <f>TEXT(Table1[[#This Row],[order_date]],"yyyy-mm")</f>
        <v>2025-09</v>
      </c>
      <c r="Q872">
        <f>WEEKNUM(Table1[[#This Row],[order_date]])</f>
        <v>38</v>
      </c>
      <c r="R872">
        <f>IF(Table1[[#This Row],[order_status]]="completed",1,0)</f>
        <v>0</v>
      </c>
    </row>
    <row r="873" spans="1:18" x14ac:dyDescent="0.35">
      <c r="A873">
        <v>872</v>
      </c>
      <c r="B873" s="1">
        <v>45983</v>
      </c>
      <c r="C873">
        <v>1825</v>
      </c>
      <c r="D873" t="s">
        <v>28</v>
      </c>
      <c r="E873" t="s">
        <v>23</v>
      </c>
      <c r="F873" t="s">
        <v>24</v>
      </c>
      <c r="G873">
        <v>4</v>
      </c>
      <c r="H873">
        <v>11388</v>
      </c>
      <c r="I873" t="s">
        <v>25</v>
      </c>
      <c r="J873" t="s">
        <v>19</v>
      </c>
      <c r="K873" t="s">
        <v>38</v>
      </c>
      <c r="L873">
        <v>6</v>
      </c>
      <c r="M873">
        <v>0</v>
      </c>
      <c r="N873">
        <v>1</v>
      </c>
      <c r="O873" t="s">
        <v>21</v>
      </c>
      <c r="P873" t="str">
        <f>TEXT(Table1[[#This Row],[order_date]],"yyyy-mm")</f>
        <v>2025-11</v>
      </c>
      <c r="Q873">
        <f>WEEKNUM(Table1[[#This Row],[order_date]])</f>
        <v>47</v>
      </c>
      <c r="R873">
        <f>IF(Table1[[#This Row],[order_status]]="completed",1,0)</f>
        <v>1</v>
      </c>
    </row>
    <row r="874" spans="1:18" x14ac:dyDescent="0.35">
      <c r="A874">
        <v>873</v>
      </c>
      <c r="B874" s="1">
        <v>45875</v>
      </c>
      <c r="C874">
        <v>1531</v>
      </c>
      <c r="D874" t="s">
        <v>41</v>
      </c>
      <c r="E874" t="s">
        <v>33</v>
      </c>
      <c r="F874" t="s">
        <v>34</v>
      </c>
      <c r="G874">
        <v>1</v>
      </c>
      <c r="H874">
        <v>4402</v>
      </c>
      <c r="I874" t="s">
        <v>35</v>
      </c>
      <c r="J874" t="s">
        <v>19</v>
      </c>
      <c r="K874" t="s">
        <v>38</v>
      </c>
      <c r="L874">
        <v>7</v>
      </c>
      <c r="M874">
        <v>0</v>
      </c>
      <c r="N874">
        <v>1</v>
      </c>
      <c r="O874" t="s">
        <v>21</v>
      </c>
      <c r="P874" t="str">
        <f>TEXT(Table1[[#This Row],[order_date]],"yyyy-mm")</f>
        <v>2025-08</v>
      </c>
      <c r="Q874">
        <f>WEEKNUM(Table1[[#This Row],[order_date]])</f>
        <v>32</v>
      </c>
      <c r="R874">
        <f>IF(Table1[[#This Row],[order_status]]="completed",1,0)</f>
        <v>1</v>
      </c>
    </row>
    <row r="875" spans="1:18" x14ac:dyDescent="0.35">
      <c r="A875">
        <v>874</v>
      </c>
      <c r="B875" s="1">
        <v>45921</v>
      </c>
      <c r="C875">
        <v>1088</v>
      </c>
      <c r="D875" t="s">
        <v>15</v>
      </c>
      <c r="E875" t="s">
        <v>36</v>
      </c>
      <c r="F875" t="s">
        <v>24</v>
      </c>
      <c r="G875">
        <v>3</v>
      </c>
      <c r="H875">
        <v>0</v>
      </c>
      <c r="I875" t="s">
        <v>39</v>
      </c>
      <c r="J875" t="s">
        <v>31</v>
      </c>
      <c r="K875" t="s">
        <v>40</v>
      </c>
      <c r="L875">
        <v>7</v>
      </c>
      <c r="M875">
        <v>0</v>
      </c>
      <c r="N875">
        <v>0</v>
      </c>
      <c r="O875" t="s">
        <v>21</v>
      </c>
      <c r="P875" t="str">
        <f>TEXT(Table1[[#This Row],[order_date]],"yyyy-mm")</f>
        <v>2025-09</v>
      </c>
      <c r="Q875">
        <f>WEEKNUM(Table1[[#This Row],[order_date]])</f>
        <v>39</v>
      </c>
      <c r="R875">
        <f>IF(Table1[[#This Row],[order_status]]="completed",1,0)</f>
        <v>0</v>
      </c>
    </row>
    <row r="876" spans="1:18" x14ac:dyDescent="0.35">
      <c r="A876">
        <v>875</v>
      </c>
      <c r="B876" s="1">
        <v>45969</v>
      </c>
      <c r="C876">
        <v>1881</v>
      </c>
      <c r="D876" t="s">
        <v>41</v>
      </c>
      <c r="E876" t="s">
        <v>36</v>
      </c>
      <c r="F876" t="s">
        <v>17</v>
      </c>
      <c r="G876">
        <v>5</v>
      </c>
      <c r="H876">
        <v>13120</v>
      </c>
      <c r="I876" t="s">
        <v>18</v>
      </c>
      <c r="J876" t="s">
        <v>19</v>
      </c>
      <c r="K876" t="s">
        <v>20</v>
      </c>
      <c r="L876">
        <v>2</v>
      </c>
      <c r="M876">
        <v>0</v>
      </c>
      <c r="N876">
        <v>0</v>
      </c>
      <c r="O876" t="s">
        <v>21</v>
      </c>
      <c r="P876" t="str">
        <f>TEXT(Table1[[#This Row],[order_date]],"yyyy-mm")</f>
        <v>2025-11</v>
      </c>
      <c r="Q876">
        <f>WEEKNUM(Table1[[#This Row],[order_date]])</f>
        <v>45</v>
      </c>
      <c r="R876">
        <f>IF(Table1[[#This Row],[order_status]]="completed",1,0)</f>
        <v>1</v>
      </c>
    </row>
    <row r="877" spans="1:18" x14ac:dyDescent="0.35">
      <c r="A877">
        <v>876</v>
      </c>
      <c r="B877" s="1">
        <v>45887</v>
      </c>
      <c r="C877">
        <v>1617</v>
      </c>
      <c r="D877" t="s">
        <v>28</v>
      </c>
      <c r="E877" t="s">
        <v>16</v>
      </c>
      <c r="F877" t="s">
        <v>17</v>
      </c>
      <c r="G877">
        <v>5</v>
      </c>
      <c r="H877">
        <v>0</v>
      </c>
      <c r="I877" t="s">
        <v>35</v>
      </c>
      <c r="J877" t="s">
        <v>31</v>
      </c>
      <c r="K877" t="s">
        <v>38</v>
      </c>
      <c r="L877">
        <v>7</v>
      </c>
      <c r="M877">
        <v>1</v>
      </c>
      <c r="N877">
        <v>1</v>
      </c>
      <c r="O877" t="s">
        <v>21</v>
      </c>
      <c r="P877" t="str">
        <f>TEXT(Table1[[#This Row],[order_date]],"yyyy-mm")</f>
        <v>2025-08</v>
      </c>
      <c r="Q877">
        <f>WEEKNUM(Table1[[#This Row],[order_date]])</f>
        <v>34</v>
      </c>
      <c r="R877">
        <f>IF(Table1[[#This Row],[order_status]]="completed",1,0)</f>
        <v>0</v>
      </c>
    </row>
    <row r="878" spans="1:18" x14ac:dyDescent="0.35">
      <c r="A878">
        <v>877</v>
      </c>
      <c r="B878" s="1">
        <v>46015</v>
      </c>
      <c r="C878">
        <v>1896</v>
      </c>
      <c r="D878" t="s">
        <v>22</v>
      </c>
      <c r="E878" t="s">
        <v>23</v>
      </c>
      <c r="F878" t="s">
        <v>34</v>
      </c>
      <c r="G878">
        <v>3</v>
      </c>
      <c r="H878">
        <v>0</v>
      </c>
      <c r="I878" t="s">
        <v>35</v>
      </c>
      <c r="J878" t="s">
        <v>37</v>
      </c>
      <c r="K878" t="s">
        <v>20</v>
      </c>
      <c r="L878">
        <v>6</v>
      </c>
      <c r="M878">
        <v>0</v>
      </c>
      <c r="N878">
        <v>0</v>
      </c>
      <c r="O878" t="s">
        <v>21</v>
      </c>
      <c r="P878" t="str">
        <f>TEXT(Table1[[#This Row],[order_date]],"yyyy-mm")</f>
        <v>2025-12</v>
      </c>
      <c r="Q878">
        <f>WEEKNUM(Table1[[#This Row],[order_date]])</f>
        <v>52</v>
      </c>
      <c r="R878">
        <f>IF(Table1[[#This Row],[order_status]]="completed",1,0)</f>
        <v>0</v>
      </c>
    </row>
    <row r="879" spans="1:18" x14ac:dyDescent="0.35">
      <c r="A879">
        <v>878</v>
      </c>
      <c r="B879" s="1">
        <v>45917</v>
      </c>
      <c r="C879">
        <v>1531</v>
      </c>
      <c r="D879" t="s">
        <v>15</v>
      </c>
      <c r="E879" t="s">
        <v>33</v>
      </c>
      <c r="F879" t="s">
        <v>17</v>
      </c>
      <c r="G879">
        <v>5</v>
      </c>
      <c r="H879">
        <v>0</v>
      </c>
      <c r="I879" t="s">
        <v>18</v>
      </c>
      <c r="J879" t="s">
        <v>37</v>
      </c>
      <c r="K879" t="s">
        <v>20</v>
      </c>
      <c r="L879">
        <v>9</v>
      </c>
      <c r="M879">
        <v>1</v>
      </c>
      <c r="N879">
        <v>0</v>
      </c>
      <c r="O879" t="s">
        <v>27</v>
      </c>
      <c r="P879" t="str">
        <f>TEXT(Table1[[#This Row],[order_date]],"yyyy-mm")</f>
        <v>2025-09</v>
      </c>
      <c r="Q879">
        <f>WEEKNUM(Table1[[#This Row],[order_date]])</f>
        <v>38</v>
      </c>
      <c r="R879">
        <f>IF(Table1[[#This Row],[order_status]]="completed",1,0)</f>
        <v>0</v>
      </c>
    </row>
    <row r="880" spans="1:18" x14ac:dyDescent="0.35">
      <c r="A880">
        <v>879</v>
      </c>
      <c r="B880" s="1">
        <v>45905</v>
      </c>
      <c r="C880">
        <v>1017</v>
      </c>
      <c r="D880" t="s">
        <v>41</v>
      </c>
      <c r="E880" t="s">
        <v>29</v>
      </c>
      <c r="F880" t="s">
        <v>34</v>
      </c>
      <c r="G880">
        <v>5</v>
      </c>
      <c r="H880">
        <v>0</v>
      </c>
      <c r="I880" t="s">
        <v>35</v>
      </c>
      <c r="J880" t="s">
        <v>31</v>
      </c>
      <c r="K880" t="s">
        <v>38</v>
      </c>
      <c r="L880">
        <v>1</v>
      </c>
      <c r="M880">
        <v>0</v>
      </c>
      <c r="N880">
        <v>0</v>
      </c>
      <c r="O880" t="s">
        <v>27</v>
      </c>
      <c r="P880" t="str">
        <f>TEXT(Table1[[#This Row],[order_date]],"yyyy-mm")</f>
        <v>2025-09</v>
      </c>
      <c r="Q880">
        <f>WEEKNUM(Table1[[#This Row],[order_date]])</f>
        <v>36</v>
      </c>
      <c r="R880">
        <f>IF(Table1[[#This Row],[order_status]]="completed",1,0)</f>
        <v>0</v>
      </c>
    </row>
    <row r="881" spans="1:18" x14ac:dyDescent="0.35">
      <c r="A881">
        <v>880</v>
      </c>
      <c r="B881" s="1">
        <v>46003</v>
      </c>
      <c r="C881">
        <v>1995</v>
      </c>
      <c r="D881" t="s">
        <v>15</v>
      </c>
      <c r="E881" t="s">
        <v>29</v>
      </c>
      <c r="F881" t="s">
        <v>17</v>
      </c>
      <c r="G881">
        <v>5</v>
      </c>
      <c r="H881">
        <v>15780</v>
      </c>
      <c r="I881" t="s">
        <v>35</v>
      </c>
      <c r="J881" t="s">
        <v>19</v>
      </c>
      <c r="K881" t="s">
        <v>26</v>
      </c>
      <c r="L881">
        <v>9</v>
      </c>
      <c r="M881">
        <v>0</v>
      </c>
      <c r="N881">
        <v>1</v>
      </c>
      <c r="O881" t="s">
        <v>21</v>
      </c>
      <c r="P881" t="str">
        <f>TEXT(Table1[[#This Row],[order_date]],"yyyy-mm")</f>
        <v>2025-12</v>
      </c>
      <c r="Q881">
        <f>WEEKNUM(Table1[[#This Row],[order_date]])</f>
        <v>50</v>
      </c>
      <c r="R881">
        <f>IF(Table1[[#This Row],[order_status]]="completed",1,0)</f>
        <v>1</v>
      </c>
    </row>
    <row r="882" spans="1:18" x14ac:dyDescent="0.35">
      <c r="A882">
        <v>881</v>
      </c>
      <c r="B882" s="1">
        <v>45947</v>
      </c>
      <c r="C882">
        <v>1490</v>
      </c>
      <c r="D882" t="s">
        <v>32</v>
      </c>
      <c r="E882" t="s">
        <v>23</v>
      </c>
      <c r="F882" t="s">
        <v>24</v>
      </c>
      <c r="G882">
        <v>2</v>
      </c>
      <c r="H882">
        <v>2556</v>
      </c>
      <c r="I882" t="s">
        <v>35</v>
      </c>
      <c r="J882" t="s">
        <v>19</v>
      </c>
      <c r="K882" t="s">
        <v>20</v>
      </c>
      <c r="L882">
        <v>3</v>
      </c>
      <c r="M882">
        <v>1</v>
      </c>
      <c r="N882">
        <v>0</v>
      </c>
      <c r="O882" t="s">
        <v>27</v>
      </c>
      <c r="P882" t="str">
        <f>TEXT(Table1[[#This Row],[order_date]],"yyyy-mm")</f>
        <v>2025-10</v>
      </c>
      <c r="Q882">
        <f>WEEKNUM(Table1[[#This Row],[order_date]])</f>
        <v>42</v>
      </c>
      <c r="R882">
        <f>IF(Table1[[#This Row],[order_status]]="completed",1,0)</f>
        <v>1</v>
      </c>
    </row>
    <row r="883" spans="1:18" x14ac:dyDescent="0.35">
      <c r="A883">
        <v>882</v>
      </c>
      <c r="B883" s="1">
        <v>45949</v>
      </c>
      <c r="C883">
        <v>1712</v>
      </c>
      <c r="D883" t="s">
        <v>22</v>
      </c>
      <c r="E883" t="s">
        <v>33</v>
      </c>
      <c r="F883" t="s">
        <v>17</v>
      </c>
      <c r="G883">
        <v>3</v>
      </c>
      <c r="H883">
        <v>0</v>
      </c>
      <c r="I883" t="s">
        <v>39</v>
      </c>
      <c r="J883" t="s">
        <v>31</v>
      </c>
      <c r="K883" t="s">
        <v>20</v>
      </c>
      <c r="L883">
        <v>3</v>
      </c>
      <c r="M883">
        <v>0</v>
      </c>
      <c r="N883">
        <v>1</v>
      </c>
      <c r="O883" t="s">
        <v>27</v>
      </c>
      <c r="P883" t="str">
        <f>TEXT(Table1[[#This Row],[order_date]],"yyyy-mm")</f>
        <v>2025-10</v>
      </c>
      <c r="Q883">
        <f>WEEKNUM(Table1[[#This Row],[order_date]])</f>
        <v>43</v>
      </c>
      <c r="R883">
        <f>IF(Table1[[#This Row],[order_status]]="completed",1,0)</f>
        <v>0</v>
      </c>
    </row>
    <row r="884" spans="1:18" x14ac:dyDescent="0.35">
      <c r="A884">
        <v>883</v>
      </c>
      <c r="B884" s="1">
        <v>46000</v>
      </c>
      <c r="C884">
        <v>1288</v>
      </c>
      <c r="D884" t="s">
        <v>28</v>
      </c>
      <c r="E884" t="s">
        <v>33</v>
      </c>
      <c r="F884" t="s">
        <v>17</v>
      </c>
      <c r="G884">
        <v>1</v>
      </c>
      <c r="H884">
        <v>0</v>
      </c>
      <c r="I884" t="s">
        <v>25</v>
      </c>
      <c r="J884" t="s">
        <v>37</v>
      </c>
      <c r="K884" t="s">
        <v>20</v>
      </c>
      <c r="L884">
        <v>4</v>
      </c>
      <c r="M884">
        <v>0</v>
      </c>
      <c r="N884">
        <v>0</v>
      </c>
      <c r="O884" t="s">
        <v>27</v>
      </c>
      <c r="P884" t="str">
        <f>TEXT(Table1[[#This Row],[order_date]],"yyyy-mm")</f>
        <v>2025-12</v>
      </c>
      <c r="Q884">
        <f>WEEKNUM(Table1[[#This Row],[order_date]])</f>
        <v>50</v>
      </c>
      <c r="R884">
        <f>IF(Table1[[#This Row],[order_status]]="completed",1,0)</f>
        <v>0</v>
      </c>
    </row>
    <row r="885" spans="1:18" x14ac:dyDescent="0.35">
      <c r="A885">
        <v>884</v>
      </c>
      <c r="B885" s="1">
        <v>46008</v>
      </c>
      <c r="C885">
        <v>1431</v>
      </c>
      <c r="D885" t="s">
        <v>22</v>
      </c>
      <c r="E885" t="s">
        <v>29</v>
      </c>
      <c r="F885" t="s">
        <v>34</v>
      </c>
      <c r="G885">
        <v>5</v>
      </c>
      <c r="H885">
        <v>0</v>
      </c>
      <c r="I885" t="s">
        <v>18</v>
      </c>
      <c r="J885" t="s">
        <v>31</v>
      </c>
      <c r="K885" t="s">
        <v>38</v>
      </c>
      <c r="L885">
        <v>10</v>
      </c>
      <c r="M885">
        <v>0</v>
      </c>
      <c r="N885">
        <v>1</v>
      </c>
      <c r="O885" t="s">
        <v>21</v>
      </c>
      <c r="P885" t="str">
        <f>TEXT(Table1[[#This Row],[order_date]],"yyyy-mm")</f>
        <v>2025-12</v>
      </c>
      <c r="Q885">
        <f>WEEKNUM(Table1[[#This Row],[order_date]])</f>
        <v>51</v>
      </c>
      <c r="R885">
        <f>IF(Table1[[#This Row],[order_status]]="completed",1,0)</f>
        <v>0</v>
      </c>
    </row>
    <row r="886" spans="1:18" x14ac:dyDescent="0.35">
      <c r="A886">
        <v>885</v>
      </c>
      <c r="B886" s="1">
        <v>45991</v>
      </c>
      <c r="C886">
        <v>1153</v>
      </c>
      <c r="D886" t="s">
        <v>22</v>
      </c>
      <c r="E886" t="s">
        <v>33</v>
      </c>
      <c r="F886" t="s">
        <v>30</v>
      </c>
      <c r="G886">
        <v>4</v>
      </c>
      <c r="H886">
        <v>0</v>
      </c>
      <c r="I886" t="s">
        <v>25</v>
      </c>
      <c r="J886" t="s">
        <v>31</v>
      </c>
      <c r="K886" t="s">
        <v>26</v>
      </c>
      <c r="L886">
        <v>3</v>
      </c>
      <c r="M886">
        <v>1</v>
      </c>
      <c r="N886">
        <v>1</v>
      </c>
      <c r="O886" t="s">
        <v>21</v>
      </c>
      <c r="P886" t="str">
        <f>TEXT(Table1[[#This Row],[order_date]],"yyyy-mm")</f>
        <v>2025-11</v>
      </c>
      <c r="Q886">
        <f>WEEKNUM(Table1[[#This Row],[order_date]])</f>
        <v>49</v>
      </c>
      <c r="R886">
        <f>IF(Table1[[#This Row],[order_status]]="completed",1,0)</f>
        <v>0</v>
      </c>
    </row>
    <row r="887" spans="1:18" x14ac:dyDescent="0.35">
      <c r="A887">
        <v>886</v>
      </c>
      <c r="B887" s="1">
        <v>45887</v>
      </c>
      <c r="C887">
        <v>1401</v>
      </c>
      <c r="D887" t="s">
        <v>41</v>
      </c>
      <c r="E887" t="s">
        <v>36</v>
      </c>
      <c r="F887" t="s">
        <v>30</v>
      </c>
      <c r="G887">
        <v>4</v>
      </c>
      <c r="H887">
        <v>0</v>
      </c>
      <c r="I887" t="s">
        <v>39</v>
      </c>
      <c r="J887" t="s">
        <v>37</v>
      </c>
      <c r="K887" t="s">
        <v>26</v>
      </c>
      <c r="L887">
        <v>7</v>
      </c>
      <c r="M887">
        <v>1</v>
      </c>
      <c r="N887">
        <v>0</v>
      </c>
      <c r="O887" t="s">
        <v>27</v>
      </c>
      <c r="P887" t="str">
        <f>TEXT(Table1[[#This Row],[order_date]],"yyyy-mm")</f>
        <v>2025-08</v>
      </c>
      <c r="Q887">
        <f>WEEKNUM(Table1[[#This Row],[order_date]])</f>
        <v>34</v>
      </c>
      <c r="R887">
        <f>IF(Table1[[#This Row],[order_status]]="completed",1,0)</f>
        <v>0</v>
      </c>
    </row>
    <row r="888" spans="1:18" x14ac:dyDescent="0.35">
      <c r="A888">
        <v>887</v>
      </c>
      <c r="B888" s="1">
        <v>45935</v>
      </c>
      <c r="C888">
        <v>1138</v>
      </c>
      <c r="D888" t="s">
        <v>41</v>
      </c>
      <c r="E888" t="s">
        <v>36</v>
      </c>
      <c r="F888" t="s">
        <v>30</v>
      </c>
      <c r="G888">
        <v>1</v>
      </c>
      <c r="H888">
        <v>1853</v>
      </c>
      <c r="I888" t="s">
        <v>25</v>
      </c>
      <c r="J888" t="s">
        <v>19</v>
      </c>
      <c r="K888" t="s">
        <v>26</v>
      </c>
      <c r="L888">
        <v>8</v>
      </c>
      <c r="M888">
        <v>1</v>
      </c>
      <c r="N888">
        <v>1</v>
      </c>
      <c r="O888" t="s">
        <v>21</v>
      </c>
      <c r="P888" t="str">
        <f>TEXT(Table1[[#This Row],[order_date]],"yyyy-mm")</f>
        <v>2025-10</v>
      </c>
      <c r="Q888">
        <f>WEEKNUM(Table1[[#This Row],[order_date]])</f>
        <v>41</v>
      </c>
      <c r="R888">
        <f>IF(Table1[[#This Row],[order_status]]="completed",1,0)</f>
        <v>1</v>
      </c>
    </row>
    <row r="889" spans="1:18" x14ac:dyDescent="0.35">
      <c r="A889">
        <v>888</v>
      </c>
      <c r="B889" s="1">
        <v>45953</v>
      </c>
      <c r="C889">
        <v>1927</v>
      </c>
      <c r="D889" t="s">
        <v>22</v>
      </c>
      <c r="E889" t="s">
        <v>16</v>
      </c>
      <c r="F889" t="s">
        <v>17</v>
      </c>
      <c r="G889">
        <v>1</v>
      </c>
      <c r="H889">
        <v>2714</v>
      </c>
      <c r="I889" t="s">
        <v>25</v>
      </c>
      <c r="J889" t="s">
        <v>19</v>
      </c>
      <c r="K889" t="s">
        <v>38</v>
      </c>
      <c r="L889">
        <v>5</v>
      </c>
      <c r="M889">
        <v>0</v>
      </c>
      <c r="N889">
        <v>0</v>
      </c>
      <c r="O889" t="s">
        <v>27</v>
      </c>
      <c r="P889" t="str">
        <f>TEXT(Table1[[#This Row],[order_date]],"yyyy-mm")</f>
        <v>2025-10</v>
      </c>
      <c r="Q889">
        <f>WEEKNUM(Table1[[#This Row],[order_date]])</f>
        <v>43</v>
      </c>
      <c r="R889">
        <f>IF(Table1[[#This Row],[order_status]]="completed",1,0)</f>
        <v>1</v>
      </c>
    </row>
    <row r="890" spans="1:18" x14ac:dyDescent="0.35">
      <c r="A890">
        <v>889</v>
      </c>
      <c r="B890" s="1">
        <v>45891</v>
      </c>
      <c r="C890">
        <v>1423</v>
      </c>
      <c r="D890" t="s">
        <v>15</v>
      </c>
      <c r="E890" t="s">
        <v>36</v>
      </c>
      <c r="F890" t="s">
        <v>34</v>
      </c>
      <c r="G890">
        <v>1</v>
      </c>
      <c r="H890">
        <v>0</v>
      </c>
      <c r="I890" t="s">
        <v>18</v>
      </c>
      <c r="J890" t="s">
        <v>31</v>
      </c>
      <c r="K890" t="s">
        <v>26</v>
      </c>
      <c r="L890">
        <v>7</v>
      </c>
      <c r="M890">
        <v>0</v>
      </c>
      <c r="N890">
        <v>0</v>
      </c>
      <c r="O890" t="s">
        <v>27</v>
      </c>
      <c r="P890" t="str">
        <f>TEXT(Table1[[#This Row],[order_date]],"yyyy-mm")</f>
        <v>2025-08</v>
      </c>
      <c r="Q890">
        <f>WEEKNUM(Table1[[#This Row],[order_date]])</f>
        <v>34</v>
      </c>
      <c r="R890">
        <f>IF(Table1[[#This Row],[order_status]]="completed",1,0)</f>
        <v>0</v>
      </c>
    </row>
    <row r="891" spans="1:18" x14ac:dyDescent="0.35">
      <c r="A891">
        <v>890</v>
      </c>
      <c r="B891" s="1">
        <v>46021</v>
      </c>
      <c r="C891">
        <v>1447</v>
      </c>
      <c r="D891" t="s">
        <v>41</v>
      </c>
      <c r="E891" t="s">
        <v>16</v>
      </c>
      <c r="F891" t="s">
        <v>17</v>
      </c>
      <c r="G891">
        <v>4</v>
      </c>
      <c r="H891">
        <v>16844</v>
      </c>
      <c r="I891" t="s">
        <v>39</v>
      </c>
      <c r="J891" t="s">
        <v>19</v>
      </c>
      <c r="K891" t="s">
        <v>26</v>
      </c>
      <c r="L891">
        <v>1</v>
      </c>
      <c r="M891">
        <v>1</v>
      </c>
      <c r="N891">
        <v>0</v>
      </c>
      <c r="O891" t="s">
        <v>21</v>
      </c>
      <c r="P891" t="str">
        <f>TEXT(Table1[[#This Row],[order_date]],"yyyy-mm")</f>
        <v>2025-12</v>
      </c>
      <c r="Q891">
        <f>WEEKNUM(Table1[[#This Row],[order_date]])</f>
        <v>53</v>
      </c>
      <c r="R891">
        <f>IF(Table1[[#This Row],[order_status]]="completed",1,0)</f>
        <v>1</v>
      </c>
    </row>
    <row r="892" spans="1:18" x14ac:dyDescent="0.35">
      <c r="A892">
        <v>891</v>
      </c>
      <c r="B892" s="1">
        <v>45884</v>
      </c>
      <c r="C892">
        <v>1955</v>
      </c>
      <c r="D892" t="s">
        <v>15</v>
      </c>
      <c r="E892" t="s">
        <v>33</v>
      </c>
      <c r="F892" t="s">
        <v>24</v>
      </c>
      <c r="G892">
        <v>5</v>
      </c>
      <c r="H892">
        <v>7960</v>
      </c>
      <c r="I892" t="s">
        <v>35</v>
      </c>
      <c r="J892" t="s">
        <v>19</v>
      </c>
      <c r="K892" t="s">
        <v>20</v>
      </c>
      <c r="L892">
        <v>3</v>
      </c>
      <c r="M892">
        <v>1</v>
      </c>
      <c r="N892">
        <v>0</v>
      </c>
      <c r="O892" t="s">
        <v>27</v>
      </c>
      <c r="P892" t="str">
        <f>TEXT(Table1[[#This Row],[order_date]],"yyyy-mm")</f>
        <v>2025-08</v>
      </c>
      <c r="Q892">
        <f>WEEKNUM(Table1[[#This Row],[order_date]])</f>
        <v>33</v>
      </c>
      <c r="R892">
        <f>IF(Table1[[#This Row],[order_status]]="completed",1,0)</f>
        <v>1</v>
      </c>
    </row>
    <row r="893" spans="1:18" x14ac:dyDescent="0.35">
      <c r="A893">
        <v>892</v>
      </c>
      <c r="B893" s="1">
        <v>45930</v>
      </c>
      <c r="C893">
        <v>1485</v>
      </c>
      <c r="D893" t="s">
        <v>32</v>
      </c>
      <c r="E893" t="s">
        <v>23</v>
      </c>
      <c r="F893" t="s">
        <v>17</v>
      </c>
      <c r="G893">
        <v>1</v>
      </c>
      <c r="H893">
        <v>2274</v>
      </c>
      <c r="I893" t="s">
        <v>39</v>
      </c>
      <c r="J893" t="s">
        <v>19</v>
      </c>
      <c r="K893" t="s">
        <v>26</v>
      </c>
      <c r="L893">
        <v>1</v>
      </c>
      <c r="M893">
        <v>0</v>
      </c>
      <c r="N893">
        <v>1</v>
      </c>
      <c r="O893" t="s">
        <v>21</v>
      </c>
      <c r="P893" t="str">
        <f>TEXT(Table1[[#This Row],[order_date]],"yyyy-mm")</f>
        <v>2025-09</v>
      </c>
      <c r="Q893">
        <f>WEEKNUM(Table1[[#This Row],[order_date]])</f>
        <v>40</v>
      </c>
      <c r="R893">
        <f>IF(Table1[[#This Row],[order_status]]="completed",1,0)</f>
        <v>1</v>
      </c>
    </row>
    <row r="894" spans="1:18" x14ac:dyDescent="0.35">
      <c r="A894">
        <v>893</v>
      </c>
      <c r="B894" s="1">
        <v>45882</v>
      </c>
      <c r="C894">
        <v>1670</v>
      </c>
      <c r="D894" t="s">
        <v>28</v>
      </c>
      <c r="E894" t="s">
        <v>16</v>
      </c>
      <c r="F894" t="s">
        <v>30</v>
      </c>
      <c r="G894">
        <v>5</v>
      </c>
      <c r="H894">
        <v>0</v>
      </c>
      <c r="I894" t="s">
        <v>35</v>
      </c>
      <c r="J894" t="s">
        <v>31</v>
      </c>
      <c r="K894" t="s">
        <v>26</v>
      </c>
      <c r="L894">
        <v>8</v>
      </c>
      <c r="M894">
        <v>1</v>
      </c>
      <c r="N894">
        <v>1</v>
      </c>
      <c r="O894" t="s">
        <v>21</v>
      </c>
      <c r="P894" t="str">
        <f>TEXT(Table1[[#This Row],[order_date]],"yyyy-mm")</f>
        <v>2025-08</v>
      </c>
      <c r="Q894">
        <f>WEEKNUM(Table1[[#This Row],[order_date]])</f>
        <v>33</v>
      </c>
      <c r="R894">
        <f>IF(Table1[[#This Row],[order_status]]="completed",1,0)</f>
        <v>0</v>
      </c>
    </row>
    <row r="895" spans="1:18" x14ac:dyDescent="0.35">
      <c r="A895">
        <v>894</v>
      </c>
      <c r="B895" s="1">
        <v>46019</v>
      </c>
      <c r="C895">
        <v>1479</v>
      </c>
      <c r="D895" t="s">
        <v>32</v>
      </c>
      <c r="E895" t="s">
        <v>33</v>
      </c>
      <c r="F895" t="s">
        <v>34</v>
      </c>
      <c r="G895">
        <v>2</v>
      </c>
      <c r="H895">
        <v>4124</v>
      </c>
      <c r="I895" t="s">
        <v>39</v>
      </c>
      <c r="J895" t="s">
        <v>19</v>
      </c>
      <c r="K895" t="s">
        <v>38</v>
      </c>
      <c r="L895">
        <v>7</v>
      </c>
      <c r="M895">
        <v>1</v>
      </c>
      <c r="N895">
        <v>1</v>
      </c>
      <c r="O895" t="s">
        <v>27</v>
      </c>
      <c r="P895" t="str">
        <f>TEXT(Table1[[#This Row],[order_date]],"yyyy-mm")</f>
        <v>2025-12</v>
      </c>
      <c r="Q895">
        <f>WEEKNUM(Table1[[#This Row],[order_date]])</f>
        <v>53</v>
      </c>
      <c r="R895">
        <f>IF(Table1[[#This Row],[order_status]]="completed",1,0)</f>
        <v>1</v>
      </c>
    </row>
    <row r="896" spans="1:18" x14ac:dyDescent="0.35">
      <c r="A896">
        <v>895</v>
      </c>
      <c r="B896" s="1">
        <v>46021</v>
      </c>
      <c r="C896">
        <v>1932</v>
      </c>
      <c r="D896" t="s">
        <v>15</v>
      </c>
      <c r="E896" t="s">
        <v>33</v>
      </c>
      <c r="F896" t="s">
        <v>30</v>
      </c>
      <c r="G896">
        <v>5</v>
      </c>
      <c r="H896">
        <v>0</v>
      </c>
      <c r="I896" t="s">
        <v>39</v>
      </c>
      <c r="J896" t="s">
        <v>31</v>
      </c>
      <c r="K896" t="s">
        <v>20</v>
      </c>
      <c r="L896">
        <v>2</v>
      </c>
      <c r="M896">
        <v>1</v>
      </c>
      <c r="N896">
        <v>0</v>
      </c>
      <c r="O896" t="s">
        <v>21</v>
      </c>
      <c r="P896" t="str">
        <f>TEXT(Table1[[#This Row],[order_date]],"yyyy-mm")</f>
        <v>2025-12</v>
      </c>
      <c r="Q896">
        <f>WEEKNUM(Table1[[#This Row],[order_date]])</f>
        <v>53</v>
      </c>
      <c r="R896">
        <f>IF(Table1[[#This Row],[order_status]]="completed",1,0)</f>
        <v>0</v>
      </c>
    </row>
    <row r="897" spans="1:18" x14ac:dyDescent="0.35">
      <c r="A897">
        <v>896</v>
      </c>
      <c r="B897" s="1">
        <v>45926</v>
      </c>
      <c r="C897">
        <v>1543</v>
      </c>
      <c r="D897" t="s">
        <v>15</v>
      </c>
      <c r="E897" t="s">
        <v>29</v>
      </c>
      <c r="F897" t="s">
        <v>30</v>
      </c>
      <c r="G897">
        <v>3</v>
      </c>
      <c r="H897">
        <v>0</v>
      </c>
      <c r="I897" t="s">
        <v>18</v>
      </c>
      <c r="J897" t="s">
        <v>37</v>
      </c>
      <c r="K897" t="s">
        <v>38</v>
      </c>
      <c r="L897">
        <v>1</v>
      </c>
      <c r="M897">
        <v>1</v>
      </c>
      <c r="N897">
        <v>1</v>
      </c>
      <c r="O897" t="s">
        <v>21</v>
      </c>
      <c r="P897" t="str">
        <f>TEXT(Table1[[#This Row],[order_date]],"yyyy-mm")</f>
        <v>2025-09</v>
      </c>
      <c r="Q897">
        <f>WEEKNUM(Table1[[#This Row],[order_date]])</f>
        <v>39</v>
      </c>
      <c r="R897">
        <f>IF(Table1[[#This Row],[order_status]]="completed",1,0)</f>
        <v>0</v>
      </c>
    </row>
    <row r="898" spans="1:18" x14ac:dyDescent="0.35">
      <c r="A898">
        <v>897</v>
      </c>
      <c r="B898" s="1">
        <v>45863</v>
      </c>
      <c r="C898">
        <v>1044</v>
      </c>
      <c r="D898" t="s">
        <v>41</v>
      </c>
      <c r="E898" t="s">
        <v>16</v>
      </c>
      <c r="F898" t="s">
        <v>17</v>
      </c>
      <c r="G898">
        <v>2</v>
      </c>
      <c r="H898">
        <v>0</v>
      </c>
      <c r="I898" t="s">
        <v>39</v>
      </c>
      <c r="J898" t="s">
        <v>37</v>
      </c>
      <c r="K898" t="s">
        <v>38</v>
      </c>
      <c r="L898">
        <v>3</v>
      </c>
      <c r="M898">
        <v>0</v>
      </c>
      <c r="N898">
        <v>0</v>
      </c>
      <c r="O898" t="s">
        <v>27</v>
      </c>
      <c r="P898" t="str">
        <f>TEXT(Table1[[#This Row],[order_date]],"yyyy-mm")</f>
        <v>2025-07</v>
      </c>
      <c r="Q898">
        <f>WEEKNUM(Table1[[#This Row],[order_date]])</f>
        <v>30</v>
      </c>
      <c r="R898">
        <f>IF(Table1[[#This Row],[order_status]]="completed",1,0)</f>
        <v>0</v>
      </c>
    </row>
    <row r="899" spans="1:18" x14ac:dyDescent="0.35">
      <c r="A899">
        <v>898</v>
      </c>
      <c r="B899" s="1">
        <v>45965</v>
      </c>
      <c r="C899">
        <v>1333</v>
      </c>
      <c r="D899" t="s">
        <v>15</v>
      </c>
      <c r="E899" t="s">
        <v>23</v>
      </c>
      <c r="F899" t="s">
        <v>24</v>
      </c>
      <c r="G899">
        <v>2</v>
      </c>
      <c r="H899">
        <v>0</v>
      </c>
      <c r="I899" t="s">
        <v>25</v>
      </c>
      <c r="J899" t="s">
        <v>31</v>
      </c>
      <c r="K899" t="s">
        <v>20</v>
      </c>
      <c r="L899">
        <v>4</v>
      </c>
      <c r="M899">
        <v>1</v>
      </c>
      <c r="N899">
        <v>0</v>
      </c>
      <c r="O899" t="s">
        <v>27</v>
      </c>
      <c r="P899" t="str">
        <f>TEXT(Table1[[#This Row],[order_date]],"yyyy-mm")</f>
        <v>2025-11</v>
      </c>
      <c r="Q899">
        <f>WEEKNUM(Table1[[#This Row],[order_date]])</f>
        <v>45</v>
      </c>
      <c r="R899">
        <f>IF(Table1[[#This Row],[order_status]]="completed",1,0)</f>
        <v>0</v>
      </c>
    </row>
    <row r="900" spans="1:18" x14ac:dyDescent="0.35">
      <c r="A900">
        <v>899</v>
      </c>
      <c r="B900" s="1">
        <v>45906</v>
      </c>
      <c r="C900">
        <v>1407</v>
      </c>
      <c r="D900" t="s">
        <v>41</v>
      </c>
      <c r="E900" t="s">
        <v>23</v>
      </c>
      <c r="F900" t="s">
        <v>24</v>
      </c>
      <c r="G900">
        <v>4</v>
      </c>
      <c r="H900">
        <v>5972</v>
      </c>
      <c r="I900" t="s">
        <v>35</v>
      </c>
      <c r="J900" t="s">
        <v>19</v>
      </c>
      <c r="K900" t="s">
        <v>20</v>
      </c>
      <c r="L900">
        <v>10</v>
      </c>
      <c r="M900">
        <v>0</v>
      </c>
      <c r="N900">
        <v>0</v>
      </c>
      <c r="O900" t="s">
        <v>21</v>
      </c>
      <c r="P900" t="str">
        <f>TEXT(Table1[[#This Row],[order_date]],"yyyy-mm")</f>
        <v>2025-09</v>
      </c>
      <c r="Q900">
        <f>WEEKNUM(Table1[[#This Row],[order_date]])</f>
        <v>36</v>
      </c>
      <c r="R900">
        <f>IF(Table1[[#This Row],[order_status]]="completed",1,0)</f>
        <v>1</v>
      </c>
    </row>
    <row r="901" spans="1:18" x14ac:dyDescent="0.35">
      <c r="A901">
        <v>900</v>
      </c>
      <c r="B901" s="1">
        <v>46014</v>
      </c>
      <c r="C901">
        <v>1220</v>
      </c>
      <c r="D901" t="s">
        <v>32</v>
      </c>
      <c r="E901" t="s">
        <v>23</v>
      </c>
      <c r="F901" t="s">
        <v>34</v>
      </c>
      <c r="G901">
        <v>3</v>
      </c>
      <c r="H901">
        <v>0</v>
      </c>
      <c r="I901" t="s">
        <v>35</v>
      </c>
      <c r="J901" t="s">
        <v>31</v>
      </c>
      <c r="K901" t="s">
        <v>26</v>
      </c>
      <c r="L901">
        <v>8</v>
      </c>
      <c r="M901">
        <v>1</v>
      </c>
      <c r="N901">
        <v>1</v>
      </c>
      <c r="O901" t="s">
        <v>27</v>
      </c>
      <c r="P901" t="str">
        <f>TEXT(Table1[[#This Row],[order_date]],"yyyy-mm")</f>
        <v>2025-12</v>
      </c>
      <c r="Q901">
        <f>WEEKNUM(Table1[[#This Row],[order_date]])</f>
        <v>52</v>
      </c>
      <c r="R901">
        <f>IF(Table1[[#This Row],[order_status]]="completed",1,0)</f>
        <v>0</v>
      </c>
    </row>
    <row r="902" spans="1:18" x14ac:dyDescent="0.35">
      <c r="A902">
        <v>901</v>
      </c>
      <c r="B902" s="1">
        <v>45943</v>
      </c>
      <c r="C902">
        <v>1863</v>
      </c>
      <c r="D902" t="s">
        <v>15</v>
      </c>
      <c r="E902" t="s">
        <v>29</v>
      </c>
      <c r="F902" t="s">
        <v>24</v>
      </c>
      <c r="G902">
        <v>2</v>
      </c>
      <c r="H902">
        <v>0</v>
      </c>
      <c r="I902" t="s">
        <v>35</v>
      </c>
      <c r="J902" t="s">
        <v>37</v>
      </c>
      <c r="K902" t="s">
        <v>38</v>
      </c>
      <c r="L902">
        <v>1</v>
      </c>
      <c r="M902">
        <v>1</v>
      </c>
      <c r="N902">
        <v>1</v>
      </c>
      <c r="O902" t="s">
        <v>27</v>
      </c>
      <c r="P902" t="str">
        <f>TEXT(Table1[[#This Row],[order_date]],"yyyy-mm")</f>
        <v>2025-10</v>
      </c>
      <c r="Q902">
        <f>WEEKNUM(Table1[[#This Row],[order_date]])</f>
        <v>42</v>
      </c>
      <c r="R902">
        <f>IF(Table1[[#This Row],[order_status]]="completed",1,0)</f>
        <v>0</v>
      </c>
    </row>
    <row r="903" spans="1:18" x14ac:dyDescent="0.35">
      <c r="A903">
        <v>902</v>
      </c>
      <c r="B903" s="1">
        <v>45960</v>
      </c>
      <c r="C903">
        <v>1527</v>
      </c>
      <c r="D903" t="s">
        <v>15</v>
      </c>
      <c r="E903" t="s">
        <v>16</v>
      </c>
      <c r="F903" t="s">
        <v>30</v>
      </c>
      <c r="G903">
        <v>3</v>
      </c>
      <c r="H903">
        <v>0</v>
      </c>
      <c r="I903" t="s">
        <v>35</v>
      </c>
      <c r="J903" t="s">
        <v>37</v>
      </c>
      <c r="K903" t="s">
        <v>26</v>
      </c>
      <c r="L903">
        <v>7</v>
      </c>
      <c r="M903">
        <v>0</v>
      </c>
      <c r="N903">
        <v>1</v>
      </c>
      <c r="O903" t="s">
        <v>21</v>
      </c>
      <c r="P903" t="str">
        <f>TEXT(Table1[[#This Row],[order_date]],"yyyy-mm")</f>
        <v>2025-10</v>
      </c>
      <c r="Q903">
        <f>WEEKNUM(Table1[[#This Row],[order_date]])</f>
        <v>44</v>
      </c>
      <c r="R903">
        <f>IF(Table1[[#This Row],[order_status]]="completed",1,0)</f>
        <v>0</v>
      </c>
    </row>
    <row r="904" spans="1:18" x14ac:dyDescent="0.35">
      <c r="A904">
        <v>903</v>
      </c>
      <c r="B904" s="1">
        <v>45989</v>
      </c>
      <c r="C904">
        <v>1258</v>
      </c>
      <c r="D904" t="s">
        <v>15</v>
      </c>
      <c r="E904" t="s">
        <v>29</v>
      </c>
      <c r="F904" t="s">
        <v>30</v>
      </c>
      <c r="G904">
        <v>1</v>
      </c>
      <c r="H904">
        <v>0</v>
      </c>
      <c r="I904" t="s">
        <v>39</v>
      </c>
      <c r="J904" t="s">
        <v>37</v>
      </c>
      <c r="K904" t="s">
        <v>40</v>
      </c>
      <c r="L904">
        <v>5</v>
      </c>
      <c r="M904">
        <v>1</v>
      </c>
      <c r="N904">
        <v>1</v>
      </c>
      <c r="O904" t="s">
        <v>21</v>
      </c>
      <c r="P904" t="str">
        <f>TEXT(Table1[[#This Row],[order_date]],"yyyy-mm")</f>
        <v>2025-11</v>
      </c>
      <c r="Q904">
        <f>WEEKNUM(Table1[[#This Row],[order_date]])</f>
        <v>48</v>
      </c>
      <c r="R904">
        <f>IF(Table1[[#This Row],[order_status]]="completed",1,0)</f>
        <v>0</v>
      </c>
    </row>
    <row r="905" spans="1:18" x14ac:dyDescent="0.35">
      <c r="A905">
        <v>904</v>
      </c>
      <c r="B905" s="1">
        <v>45924</v>
      </c>
      <c r="C905">
        <v>1569</v>
      </c>
      <c r="D905" t="s">
        <v>22</v>
      </c>
      <c r="E905" t="s">
        <v>36</v>
      </c>
      <c r="F905" t="s">
        <v>17</v>
      </c>
      <c r="G905">
        <v>4</v>
      </c>
      <c r="H905">
        <v>0</v>
      </c>
      <c r="I905" t="s">
        <v>18</v>
      </c>
      <c r="J905" t="s">
        <v>37</v>
      </c>
      <c r="K905" t="s">
        <v>40</v>
      </c>
      <c r="L905">
        <v>3</v>
      </c>
      <c r="M905">
        <v>1</v>
      </c>
      <c r="N905">
        <v>0</v>
      </c>
      <c r="O905" t="s">
        <v>21</v>
      </c>
      <c r="P905" t="str">
        <f>TEXT(Table1[[#This Row],[order_date]],"yyyy-mm")</f>
        <v>2025-09</v>
      </c>
      <c r="Q905">
        <f>WEEKNUM(Table1[[#This Row],[order_date]])</f>
        <v>39</v>
      </c>
      <c r="R905">
        <f>IF(Table1[[#This Row],[order_status]]="completed",1,0)</f>
        <v>0</v>
      </c>
    </row>
    <row r="906" spans="1:18" x14ac:dyDescent="0.35">
      <c r="A906">
        <v>905</v>
      </c>
      <c r="B906" s="1">
        <v>45907</v>
      </c>
      <c r="C906">
        <v>1762</v>
      </c>
      <c r="D906" t="s">
        <v>28</v>
      </c>
      <c r="E906" t="s">
        <v>29</v>
      </c>
      <c r="F906" t="s">
        <v>30</v>
      </c>
      <c r="G906">
        <v>5</v>
      </c>
      <c r="H906">
        <v>0</v>
      </c>
      <c r="I906" t="s">
        <v>25</v>
      </c>
      <c r="J906" t="s">
        <v>37</v>
      </c>
      <c r="K906" t="s">
        <v>40</v>
      </c>
      <c r="L906">
        <v>3</v>
      </c>
      <c r="M906">
        <v>0</v>
      </c>
      <c r="N906">
        <v>0</v>
      </c>
      <c r="O906" t="s">
        <v>27</v>
      </c>
      <c r="P906" t="str">
        <f>TEXT(Table1[[#This Row],[order_date]],"yyyy-mm")</f>
        <v>2025-09</v>
      </c>
      <c r="Q906">
        <f>WEEKNUM(Table1[[#This Row],[order_date]])</f>
        <v>37</v>
      </c>
      <c r="R906">
        <f>IF(Table1[[#This Row],[order_status]]="completed",1,0)</f>
        <v>0</v>
      </c>
    </row>
    <row r="907" spans="1:18" x14ac:dyDescent="0.35">
      <c r="A907">
        <v>906</v>
      </c>
      <c r="B907" s="1">
        <v>45904</v>
      </c>
      <c r="C907">
        <v>1729</v>
      </c>
      <c r="D907" t="s">
        <v>41</v>
      </c>
      <c r="E907" t="s">
        <v>23</v>
      </c>
      <c r="F907" t="s">
        <v>30</v>
      </c>
      <c r="G907">
        <v>5</v>
      </c>
      <c r="H907">
        <v>0</v>
      </c>
      <c r="I907" t="s">
        <v>35</v>
      </c>
      <c r="J907" t="s">
        <v>37</v>
      </c>
      <c r="K907" t="s">
        <v>40</v>
      </c>
      <c r="L907">
        <v>5</v>
      </c>
      <c r="M907">
        <v>1</v>
      </c>
      <c r="N907">
        <v>0</v>
      </c>
      <c r="O907" t="s">
        <v>27</v>
      </c>
      <c r="P907" t="str">
        <f>TEXT(Table1[[#This Row],[order_date]],"yyyy-mm")</f>
        <v>2025-09</v>
      </c>
      <c r="Q907">
        <f>WEEKNUM(Table1[[#This Row],[order_date]])</f>
        <v>36</v>
      </c>
      <c r="R907">
        <f>IF(Table1[[#This Row],[order_status]]="completed",1,0)</f>
        <v>0</v>
      </c>
    </row>
    <row r="908" spans="1:18" x14ac:dyDescent="0.35">
      <c r="A908">
        <v>907</v>
      </c>
      <c r="B908" s="1">
        <v>45902</v>
      </c>
      <c r="C908">
        <v>1442</v>
      </c>
      <c r="D908" t="s">
        <v>41</v>
      </c>
      <c r="E908" t="s">
        <v>36</v>
      </c>
      <c r="F908" t="s">
        <v>34</v>
      </c>
      <c r="G908">
        <v>1</v>
      </c>
      <c r="H908">
        <v>3141</v>
      </c>
      <c r="I908" t="s">
        <v>39</v>
      </c>
      <c r="J908" t="s">
        <v>19</v>
      </c>
      <c r="K908" t="s">
        <v>40</v>
      </c>
      <c r="L908">
        <v>5</v>
      </c>
      <c r="M908">
        <v>0</v>
      </c>
      <c r="N908">
        <v>0</v>
      </c>
      <c r="O908" t="s">
        <v>21</v>
      </c>
      <c r="P908" t="str">
        <f>TEXT(Table1[[#This Row],[order_date]],"yyyy-mm")</f>
        <v>2025-09</v>
      </c>
      <c r="Q908">
        <f>WEEKNUM(Table1[[#This Row],[order_date]])</f>
        <v>36</v>
      </c>
      <c r="R908">
        <f>IF(Table1[[#This Row],[order_status]]="completed",1,0)</f>
        <v>1</v>
      </c>
    </row>
    <row r="909" spans="1:18" x14ac:dyDescent="0.35">
      <c r="A909">
        <v>908</v>
      </c>
      <c r="B909" s="1">
        <v>45898</v>
      </c>
      <c r="C909">
        <v>1981</v>
      </c>
      <c r="D909" t="s">
        <v>41</v>
      </c>
      <c r="E909" t="s">
        <v>36</v>
      </c>
      <c r="F909" t="s">
        <v>24</v>
      </c>
      <c r="G909">
        <v>5</v>
      </c>
      <c r="H909">
        <v>0</v>
      </c>
      <c r="I909" t="s">
        <v>18</v>
      </c>
      <c r="J909" t="s">
        <v>31</v>
      </c>
      <c r="K909" t="s">
        <v>40</v>
      </c>
      <c r="L909">
        <v>4</v>
      </c>
      <c r="M909">
        <v>1</v>
      </c>
      <c r="N909">
        <v>0</v>
      </c>
      <c r="O909" t="s">
        <v>27</v>
      </c>
      <c r="P909" t="str">
        <f>TEXT(Table1[[#This Row],[order_date]],"yyyy-mm")</f>
        <v>2025-08</v>
      </c>
      <c r="Q909">
        <f>WEEKNUM(Table1[[#This Row],[order_date]])</f>
        <v>35</v>
      </c>
      <c r="R909">
        <f>IF(Table1[[#This Row],[order_status]]="completed",1,0)</f>
        <v>0</v>
      </c>
    </row>
    <row r="910" spans="1:18" x14ac:dyDescent="0.35">
      <c r="A910">
        <v>909</v>
      </c>
      <c r="B910" s="1">
        <v>45875</v>
      </c>
      <c r="C910">
        <v>1466</v>
      </c>
      <c r="D910" t="s">
        <v>28</v>
      </c>
      <c r="E910" t="s">
        <v>29</v>
      </c>
      <c r="F910" t="s">
        <v>34</v>
      </c>
      <c r="G910">
        <v>2</v>
      </c>
      <c r="H910">
        <v>6196</v>
      </c>
      <c r="I910" t="s">
        <v>25</v>
      </c>
      <c r="J910" t="s">
        <v>19</v>
      </c>
      <c r="K910" t="s">
        <v>40</v>
      </c>
      <c r="L910">
        <v>9</v>
      </c>
      <c r="M910">
        <v>1</v>
      </c>
      <c r="N910">
        <v>1</v>
      </c>
      <c r="O910" t="s">
        <v>21</v>
      </c>
      <c r="P910" t="str">
        <f>TEXT(Table1[[#This Row],[order_date]],"yyyy-mm")</f>
        <v>2025-08</v>
      </c>
      <c r="Q910">
        <f>WEEKNUM(Table1[[#This Row],[order_date]])</f>
        <v>32</v>
      </c>
      <c r="R910">
        <f>IF(Table1[[#This Row],[order_status]]="completed",1,0)</f>
        <v>1</v>
      </c>
    </row>
    <row r="911" spans="1:18" x14ac:dyDescent="0.35">
      <c r="A911">
        <v>910</v>
      </c>
      <c r="B911" s="1">
        <v>45929</v>
      </c>
      <c r="C911">
        <v>1289</v>
      </c>
      <c r="D911" t="s">
        <v>41</v>
      </c>
      <c r="E911" t="s">
        <v>23</v>
      </c>
      <c r="F911" t="s">
        <v>24</v>
      </c>
      <c r="G911">
        <v>1</v>
      </c>
      <c r="H911">
        <v>0</v>
      </c>
      <c r="I911" t="s">
        <v>25</v>
      </c>
      <c r="J911" t="s">
        <v>37</v>
      </c>
      <c r="K911" t="s">
        <v>20</v>
      </c>
      <c r="L911">
        <v>4</v>
      </c>
      <c r="M911">
        <v>0</v>
      </c>
      <c r="N911">
        <v>1</v>
      </c>
      <c r="O911" t="s">
        <v>27</v>
      </c>
      <c r="P911" t="str">
        <f>TEXT(Table1[[#This Row],[order_date]],"yyyy-mm")</f>
        <v>2025-09</v>
      </c>
      <c r="Q911">
        <f>WEEKNUM(Table1[[#This Row],[order_date]])</f>
        <v>40</v>
      </c>
      <c r="R911">
        <f>IF(Table1[[#This Row],[order_status]]="completed",1,0)</f>
        <v>0</v>
      </c>
    </row>
    <row r="912" spans="1:18" x14ac:dyDescent="0.35">
      <c r="A912">
        <v>911</v>
      </c>
      <c r="B912" s="1">
        <v>45926</v>
      </c>
      <c r="C912">
        <v>1290</v>
      </c>
      <c r="D912" t="s">
        <v>32</v>
      </c>
      <c r="E912" t="s">
        <v>36</v>
      </c>
      <c r="F912" t="s">
        <v>17</v>
      </c>
      <c r="G912">
        <v>4</v>
      </c>
      <c r="H912">
        <v>11712</v>
      </c>
      <c r="I912" t="s">
        <v>18</v>
      </c>
      <c r="J912" t="s">
        <v>19</v>
      </c>
      <c r="K912" t="s">
        <v>40</v>
      </c>
      <c r="L912">
        <v>7</v>
      </c>
      <c r="M912">
        <v>1</v>
      </c>
      <c r="N912">
        <v>0</v>
      </c>
      <c r="O912" t="s">
        <v>27</v>
      </c>
      <c r="P912" t="str">
        <f>TEXT(Table1[[#This Row],[order_date]],"yyyy-mm")</f>
        <v>2025-09</v>
      </c>
      <c r="Q912">
        <f>WEEKNUM(Table1[[#This Row],[order_date]])</f>
        <v>39</v>
      </c>
      <c r="R912">
        <f>IF(Table1[[#This Row],[order_status]]="completed",1,0)</f>
        <v>1</v>
      </c>
    </row>
    <row r="913" spans="1:18" x14ac:dyDescent="0.35">
      <c r="A913">
        <v>912</v>
      </c>
      <c r="B913" s="1">
        <v>45926</v>
      </c>
      <c r="C913">
        <v>1949</v>
      </c>
      <c r="D913" t="s">
        <v>32</v>
      </c>
      <c r="E913" t="s">
        <v>23</v>
      </c>
      <c r="F913" t="s">
        <v>30</v>
      </c>
      <c r="G913">
        <v>2</v>
      </c>
      <c r="H913">
        <v>0</v>
      </c>
      <c r="I913" t="s">
        <v>25</v>
      </c>
      <c r="J913" t="s">
        <v>37</v>
      </c>
      <c r="K913" t="s">
        <v>20</v>
      </c>
      <c r="L913">
        <v>5</v>
      </c>
      <c r="M913">
        <v>1</v>
      </c>
      <c r="N913">
        <v>0</v>
      </c>
      <c r="O913" t="s">
        <v>27</v>
      </c>
      <c r="P913" t="str">
        <f>TEXT(Table1[[#This Row],[order_date]],"yyyy-mm")</f>
        <v>2025-09</v>
      </c>
      <c r="Q913">
        <f>WEEKNUM(Table1[[#This Row],[order_date]])</f>
        <v>39</v>
      </c>
      <c r="R913">
        <f>IF(Table1[[#This Row],[order_status]]="completed",1,0)</f>
        <v>0</v>
      </c>
    </row>
    <row r="914" spans="1:18" x14ac:dyDescent="0.35">
      <c r="A914">
        <v>913</v>
      </c>
      <c r="B914" s="1">
        <v>45863</v>
      </c>
      <c r="C914">
        <v>1037</v>
      </c>
      <c r="D914" t="s">
        <v>32</v>
      </c>
      <c r="E914" t="s">
        <v>29</v>
      </c>
      <c r="F914" t="s">
        <v>34</v>
      </c>
      <c r="G914">
        <v>3</v>
      </c>
      <c r="H914">
        <v>8682</v>
      </c>
      <c r="I914" t="s">
        <v>25</v>
      </c>
      <c r="J914" t="s">
        <v>19</v>
      </c>
      <c r="K914" t="s">
        <v>20</v>
      </c>
      <c r="L914">
        <v>6</v>
      </c>
      <c r="M914">
        <v>0</v>
      </c>
      <c r="N914">
        <v>0</v>
      </c>
      <c r="O914" t="s">
        <v>21</v>
      </c>
      <c r="P914" t="str">
        <f>TEXT(Table1[[#This Row],[order_date]],"yyyy-mm")</f>
        <v>2025-07</v>
      </c>
      <c r="Q914">
        <f>WEEKNUM(Table1[[#This Row],[order_date]])</f>
        <v>30</v>
      </c>
      <c r="R914">
        <f>IF(Table1[[#This Row],[order_status]]="completed",1,0)</f>
        <v>1</v>
      </c>
    </row>
    <row r="915" spans="1:18" x14ac:dyDescent="0.35">
      <c r="A915">
        <v>914</v>
      </c>
      <c r="B915" s="1">
        <v>45873</v>
      </c>
      <c r="C915">
        <v>1084</v>
      </c>
      <c r="D915" t="s">
        <v>41</v>
      </c>
      <c r="E915" t="s">
        <v>29</v>
      </c>
      <c r="F915" t="s">
        <v>17</v>
      </c>
      <c r="G915">
        <v>3</v>
      </c>
      <c r="H915">
        <v>0</v>
      </c>
      <c r="I915" t="s">
        <v>35</v>
      </c>
      <c r="J915" t="s">
        <v>37</v>
      </c>
      <c r="K915" t="s">
        <v>38</v>
      </c>
      <c r="L915">
        <v>9</v>
      </c>
      <c r="M915">
        <v>0</v>
      </c>
      <c r="N915">
        <v>0</v>
      </c>
      <c r="O915" t="s">
        <v>21</v>
      </c>
      <c r="P915" t="str">
        <f>TEXT(Table1[[#This Row],[order_date]],"yyyy-mm")</f>
        <v>2025-08</v>
      </c>
      <c r="Q915">
        <f>WEEKNUM(Table1[[#This Row],[order_date]])</f>
        <v>32</v>
      </c>
      <c r="R915">
        <f>IF(Table1[[#This Row],[order_status]]="completed",1,0)</f>
        <v>0</v>
      </c>
    </row>
    <row r="916" spans="1:18" x14ac:dyDescent="0.35">
      <c r="A916">
        <v>915</v>
      </c>
      <c r="B916" s="1">
        <v>45949</v>
      </c>
      <c r="C916">
        <v>1078</v>
      </c>
      <c r="D916" t="s">
        <v>41</v>
      </c>
      <c r="E916" t="s">
        <v>23</v>
      </c>
      <c r="F916" t="s">
        <v>30</v>
      </c>
      <c r="G916">
        <v>1</v>
      </c>
      <c r="H916">
        <v>3477</v>
      </c>
      <c r="I916" t="s">
        <v>18</v>
      </c>
      <c r="J916" t="s">
        <v>19</v>
      </c>
      <c r="K916" t="s">
        <v>20</v>
      </c>
      <c r="L916">
        <v>7</v>
      </c>
      <c r="M916">
        <v>0</v>
      </c>
      <c r="N916">
        <v>1</v>
      </c>
      <c r="O916" t="s">
        <v>21</v>
      </c>
      <c r="P916" t="str">
        <f>TEXT(Table1[[#This Row],[order_date]],"yyyy-mm")</f>
        <v>2025-10</v>
      </c>
      <c r="Q916">
        <f>WEEKNUM(Table1[[#This Row],[order_date]])</f>
        <v>43</v>
      </c>
      <c r="R916">
        <f>IF(Table1[[#This Row],[order_status]]="completed",1,0)</f>
        <v>1</v>
      </c>
    </row>
    <row r="917" spans="1:18" x14ac:dyDescent="0.35">
      <c r="A917">
        <v>916</v>
      </c>
      <c r="B917" s="1">
        <v>45918</v>
      </c>
      <c r="C917">
        <v>1358</v>
      </c>
      <c r="D917" t="s">
        <v>41</v>
      </c>
      <c r="E917" t="s">
        <v>23</v>
      </c>
      <c r="F917" t="s">
        <v>24</v>
      </c>
      <c r="G917">
        <v>2</v>
      </c>
      <c r="H917">
        <v>0</v>
      </c>
      <c r="I917" t="s">
        <v>25</v>
      </c>
      <c r="J917" t="s">
        <v>37</v>
      </c>
      <c r="K917" t="s">
        <v>38</v>
      </c>
      <c r="L917">
        <v>8</v>
      </c>
      <c r="M917">
        <v>1</v>
      </c>
      <c r="N917">
        <v>0</v>
      </c>
      <c r="O917" t="s">
        <v>27</v>
      </c>
      <c r="P917" t="str">
        <f>TEXT(Table1[[#This Row],[order_date]],"yyyy-mm")</f>
        <v>2025-09</v>
      </c>
      <c r="Q917">
        <f>WEEKNUM(Table1[[#This Row],[order_date]])</f>
        <v>38</v>
      </c>
      <c r="R917">
        <f>IF(Table1[[#This Row],[order_status]]="completed",1,0)</f>
        <v>0</v>
      </c>
    </row>
    <row r="918" spans="1:18" x14ac:dyDescent="0.35">
      <c r="A918">
        <v>917</v>
      </c>
      <c r="B918" s="1">
        <v>45917</v>
      </c>
      <c r="C918">
        <v>1109</v>
      </c>
      <c r="D918" t="s">
        <v>22</v>
      </c>
      <c r="E918" t="s">
        <v>29</v>
      </c>
      <c r="F918" t="s">
        <v>34</v>
      </c>
      <c r="G918">
        <v>5</v>
      </c>
      <c r="H918">
        <v>0</v>
      </c>
      <c r="I918" t="s">
        <v>35</v>
      </c>
      <c r="J918" t="s">
        <v>31</v>
      </c>
      <c r="K918" t="s">
        <v>40</v>
      </c>
      <c r="L918">
        <v>3</v>
      </c>
      <c r="M918">
        <v>1</v>
      </c>
      <c r="N918">
        <v>0</v>
      </c>
      <c r="O918" t="s">
        <v>21</v>
      </c>
      <c r="P918" t="str">
        <f>TEXT(Table1[[#This Row],[order_date]],"yyyy-mm")</f>
        <v>2025-09</v>
      </c>
      <c r="Q918">
        <f>WEEKNUM(Table1[[#This Row],[order_date]])</f>
        <v>38</v>
      </c>
      <c r="R918">
        <f>IF(Table1[[#This Row],[order_status]]="completed",1,0)</f>
        <v>0</v>
      </c>
    </row>
    <row r="919" spans="1:18" x14ac:dyDescent="0.35">
      <c r="A919">
        <v>918</v>
      </c>
      <c r="B919" s="1">
        <v>45851</v>
      </c>
      <c r="C919">
        <v>1186</v>
      </c>
      <c r="D919" t="s">
        <v>15</v>
      </c>
      <c r="E919" t="s">
        <v>36</v>
      </c>
      <c r="F919" t="s">
        <v>34</v>
      </c>
      <c r="G919">
        <v>1</v>
      </c>
      <c r="H919">
        <v>0</v>
      </c>
      <c r="I919" t="s">
        <v>18</v>
      </c>
      <c r="J919" t="s">
        <v>37</v>
      </c>
      <c r="K919" t="s">
        <v>38</v>
      </c>
      <c r="L919">
        <v>6</v>
      </c>
      <c r="M919">
        <v>1</v>
      </c>
      <c r="N919">
        <v>0</v>
      </c>
      <c r="O919" t="s">
        <v>21</v>
      </c>
      <c r="P919" t="str">
        <f>TEXT(Table1[[#This Row],[order_date]],"yyyy-mm")</f>
        <v>2025-07</v>
      </c>
      <c r="Q919">
        <f>WEEKNUM(Table1[[#This Row],[order_date]])</f>
        <v>29</v>
      </c>
      <c r="R919">
        <f>IF(Table1[[#This Row],[order_status]]="completed",1,0)</f>
        <v>0</v>
      </c>
    </row>
    <row r="920" spans="1:18" x14ac:dyDescent="0.35">
      <c r="A920">
        <v>919</v>
      </c>
      <c r="B920" s="1">
        <v>46022</v>
      </c>
      <c r="C920">
        <v>1873</v>
      </c>
      <c r="D920" t="s">
        <v>28</v>
      </c>
      <c r="E920" t="s">
        <v>23</v>
      </c>
      <c r="F920" t="s">
        <v>30</v>
      </c>
      <c r="G920">
        <v>1</v>
      </c>
      <c r="H920">
        <v>0</v>
      </c>
      <c r="I920" t="s">
        <v>18</v>
      </c>
      <c r="J920" t="s">
        <v>31</v>
      </c>
      <c r="K920" t="s">
        <v>38</v>
      </c>
      <c r="L920">
        <v>6</v>
      </c>
      <c r="M920">
        <v>1</v>
      </c>
      <c r="N920">
        <v>1</v>
      </c>
      <c r="O920" t="s">
        <v>21</v>
      </c>
      <c r="P920" t="str">
        <f>TEXT(Table1[[#This Row],[order_date]],"yyyy-mm")</f>
        <v>2025-12</v>
      </c>
      <c r="Q920">
        <f>WEEKNUM(Table1[[#This Row],[order_date]])</f>
        <v>53</v>
      </c>
      <c r="R920">
        <f>IF(Table1[[#This Row],[order_status]]="completed",1,0)</f>
        <v>0</v>
      </c>
    </row>
    <row r="921" spans="1:18" x14ac:dyDescent="0.35">
      <c r="A921">
        <v>920</v>
      </c>
      <c r="B921" s="1">
        <v>46009</v>
      </c>
      <c r="C921">
        <v>1783</v>
      </c>
      <c r="D921" t="s">
        <v>32</v>
      </c>
      <c r="E921" t="s">
        <v>16</v>
      </c>
      <c r="F921" t="s">
        <v>34</v>
      </c>
      <c r="G921">
        <v>1</v>
      </c>
      <c r="H921">
        <v>0</v>
      </c>
      <c r="I921" t="s">
        <v>35</v>
      </c>
      <c r="J921" t="s">
        <v>37</v>
      </c>
      <c r="K921" t="s">
        <v>38</v>
      </c>
      <c r="L921">
        <v>5</v>
      </c>
      <c r="M921">
        <v>0</v>
      </c>
      <c r="N921">
        <v>1</v>
      </c>
      <c r="O921" t="s">
        <v>27</v>
      </c>
      <c r="P921" t="str">
        <f>TEXT(Table1[[#This Row],[order_date]],"yyyy-mm")</f>
        <v>2025-12</v>
      </c>
      <c r="Q921">
        <f>WEEKNUM(Table1[[#This Row],[order_date]])</f>
        <v>51</v>
      </c>
      <c r="R921">
        <f>IF(Table1[[#This Row],[order_status]]="completed",1,0)</f>
        <v>0</v>
      </c>
    </row>
    <row r="922" spans="1:18" x14ac:dyDescent="0.35">
      <c r="A922">
        <v>921</v>
      </c>
      <c r="B922" s="1">
        <v>45938</v>
      </c>
      <c r="C922">
        <v>1811</v>
      </c>
      <c r="D922" t="s">
        <v>28</v>
      </c>
      <c r="E922" t="s">
        <v>23</v>
      </c>
      <c r="F922" t="s">
        <v>17</v>
      </c>
      <c r="G922">
        <v>4</v>
      </c>
      <c r="H922">
        <v>16468</v>
      </c>
      <c r="I922" t="s">
        <v>39</v>
      </c>
      <c r="J922" t="s">
        <v>19</v>
      </c>
      <c r="K922" t="s">
        <v>40</v>
      </c>
      <c r="L922">
        <v>2</v>
      </c>
      <c r="M922">
        <v>0</v>
      </c>
      <c r="N922">
        <v>0</v>
      </c>
      <c r="O922" t="s">
        <v>27</v>
      </c>
      <c r="P922" t="str">
        <f>TEXT(Table1[[#This Row],[order_date]],"yyyy-mm")</f>
        <v>2025-10</v>
      </c>
      <c r="Q922">
        <f>WEEKNUM(Table1[[#This Row],[order_date]])</f>
        <v>41</v>
      </c>
      <c r="R922">
        <f>IF(Table1[[#This Row],[order_status]]="completed",1,0)</f>
        <v>1</v>
      </c>
    </row>
    <row r="923" spans="1:18" x14ac:dyDescent="0.35">
      <c r="A923">
        <v>922</v>
      </c>
      <c r="B923" s="1">
        <v>45858</v>
      </c>
      <c r="C923">
        <v>1601</v>
      </c>
      <c r="D923" t="s">
        <v>15</v>
      </c>
      <c r="E923" t="s">
        <v>23</v>
      </c>
      <c r="F923" t="s">
        <v>17</v>
      </c>
      <c r="G923">
        <v>2</v>
      </c>
      <c r="H923">
        <v>3704</v>
      </c>
      <c r="I923" t="s">
        <v>35</v>
      </c>
      <c r="J923" t="s">
        <v>19</v>
      </c>
      <c r="K923" t="s">
        <v>40</v>
      </c>
      <c r="L923">
        <v>2</v>
      </c>
      <c r="M923">
        <v>1</v>
      </c>
      <c r="N923">
        <v>0</v>
      </c>
      <c r="O923" t="s">
        <v>27</v>
      </c>
      <c r="P923" t="str">
        <f>TEXT(Table1[[#This Row],[order_date]],"yyyy-mm")</f>
        <v>2025-07</v>
      </c>
      <c r="Q923">
        <f>WEEKNUM(Table1[[#This Row],[order_date]])</f>
        <v>30</v>
      </c>
      <c r="R923">
        <f>IF(Table1[[#This Row],[order_status]]="completed",1,0)</f>
        <v>1</v>
      </c>
    </row>
    <row r="924" spans="1:18" x14ac:dyDescent="0.35">
      <c r="A924">
        <v>923</v>
      </c>
      <c r="B924" s="1">
        <v>46016</v>
      </c>
      <c r="C924">
        <v>1226</v>
      </c>
      <c r="D924" t="s">
        <v>15</v>
      </c>
      <c r="E924" t="s">
        <v>33</v>
      </c>
      <c r="F924" t="s">
        <v>17</v>
      </c>
      <c r="G924">
        <v>1</v>
      </c>
      <c r="H924">
        <v>2868</v>
      </c>
      <c r="I924" t="s">
        <v>39</v>
      </c>
      <c r="J924" t="s">
        <v>19</v>
      </c>
      <c r="K924" t="s">
        <v>26</v>
      </c>
      <c r="L924">
        <v>10</v>
      </c>
      <c r="M924">
        <v>0</v>
      </c>
      <c r="N924">
        <v>1</v>
      </c>
      <c r="O924" t="s">
        <v>27</v>
      </c>
      <c r="P924" t="str">
        <f>TEXT(Table1[[#This Row],[order_date]],"yyyy-mm")</f>
        <v>2025-12</v>
      </c>
      <c r="Q924">
        <f>WEEKNUM(Table1[[#This Row],[order_date]])</f>
        <v>52</v>
      </c>
      <c r="R924">
        <f>IF(Table1[[#This Row],[order_status]]="completed",1,0)</f>
        <v>1</v>
      </c>
    </row>
    <row r="925" spans="1:18" x14ac:dyDescent="0.35">
      <c r="A925">
        <v>924</v>
      </c>
      <c r="B925" s="1">
        <v>45918</v>
      </c>
      <c r="C925">
        <v>1141</v>
      </c>
      <c r="D925" t="s">
        <v>41</v>
      </c>
      <c r="E925" t="s">
        <v>16</v>
      </c>
      <c r="F925" t="s">
        <v>30</v>
      </c>
      <c r="G925">
        <v>5</v>
      </c>
      <c r="H925">
        <v>0</v>
      </c>
      <c r="I925" t="s">
        <v>18</v>
      </c>
      <c r="J925" t="s">
        <v>31</v>
      </c>
      <c r="K925" t="s">
        <v>38</v>
      </c>
      <c r="L925">
        <v>6</v>
      </c>
      <c r="M925">
        <v>0</v>
      </c>
      <c r="N925">
        <v>0</v>
      </c>
      <c r="O925" t="s">
        <v>27</v>
      </c>
      <c r="P925" t="str">
        <f>TEXT(Table1[[#This Row],[order_date]],"yyyy-mm")</f>
        <v>2025-09</v>
      </c>
      <c r="Q925">
        <f>WEEKNUM(Table1[[#This Row],[order_date]])</f>
        <v>38</v>
      </c>
      <c r="R925">
        <f>IF(Table1[[#This Row],[order_status]]="completed",1,0)</f>
        <v>0</v>
      </c>
    </row>
    <row r="926" spans="1:18" x14ac:dyDescent="0.35">
      <c r="A926">
        <v>925</v>
      </c>
      <c r="B926" s="1">
        <v>45882</v>
      </c>
      <c r="C926">
        <v>1279</v>
      </c>
      <c r="D926" t="s">
        <v>22</v>
      </c>
      <c r="E926" t="s">
        <v>16</v>
      </c>
      <c r="F926" t="s">
        <v>34</v>
      </c>
      <c r="G926">
        <v>2</v>
      </c>
      <c r="H926">
        <v>0</v>
      </c>
      <c r="I926" t="s">
        <v>35</v>
      </c>
      <c r="J926" t="s">
        <v>37</v>
      </c>
      <c r="K926" t="s">
        <v>38</v>
      </c>
      <c r="L926">
        <v>7</v>
      </c>
      <c r="M926">
        <v>1</v>
      </c>
      <c r="N926">
        <v>0</v>
      </c>
      <c r="O926" t="s">
        <v>27</v>
      </c>
      <c r="P926" t="str">
        <f>TEXT(Table1[[#This Row],[order_date]],"yyyy-mm")</f>
        <v>2025-08</v>
      </c>
      <c r="Q926">
        <f>WEEKNUM(Table1[[#This Row],[order_date]])</f>
        <v>33</v>
      </c>
      <c r="R926">
        <f>IF(Table1[[#This Row],[order_status]]="completed",1,0)</f>
        <v>0</v>
      </c>
    </row>
    <row r="927" spans="1:18" x14ac:dyDescent="0.35">
      <c r="A927">
        <v>926</v>
      </c>
      <c r="B927" s="1">
        <v>46024</v>
      </c>
      <c r="C927">
        <v>1237</v>
      </c>
      <c r="D927" t="s">
        <v>32</v>
      </c>
      <c r="E927" t="s">
        <v>36</v>
      </c>
      <c r="F927" t="s">
        <v>17</v>
      </c>
      <c r="G927">
        <v>2</v>
      </c>
      <c r="H927">
        <v>0</v>
      </c>
      <c r="I927" t="s">
        <v>25</v>
      </c>
      <c r="J927" t="s">
        <v>37</v>
      </c>
      <c r="K927" t="s">
        <v>38</v>
      </c>
      <c r="L927">
        <v>9</v>
      </c>
      <c r="M927">
        <v>0</v>
      </c>
      <c r="N927">
        <v>0</v>
      </c>
      <c r="O927" t="s">
        <v>27</v>
      </c>
      <c r="P927" t="str">
        <f>TEXT(Table1[[#This Row],[order_date]],"yyyy-mm")</f>
        <v>2026-01</v>
      </c>
      <c r="Q927">
        <f>WEEKNUM(Table1[[#This Row],[order_date]])</f>
        <v>1</v>
      </c>
      <c r="R927">
        <f>IF(Table1[[#This Row],[order_status]]="completed",1,0)</f>
        <v>0</v>
      </c>
    </row>
    <row r="928" spans="1:18" x14ac:dyDescent="0.35">
      <c r="A928">
        <v>927</v>
      </c>
      <c r="B928" s="1">
        <v>45885</v>
      </c>
      <c r="C928">
        <v>1448</v>
      </c>
      <c r="D928" t="s">
        <v>15</v>
      </c>
      <c r="E928" t="s">
        <v>33</v>
      </c>
      <c r="F928" t="s">
        <v>30</v>
      </c>
      <c r="G928">
        <v>2</v>
      </c>
      <c r="H928">
        <v>0</v>
      </c>
      <c r="I928" t="s">
        <v>18</v>
      </c>
      <c r="J928" t="s">
        <v>37</v>
      </c>
      <c r="K928" t="s">
        <v>40</v>
      </c>
      <c r="L928">
        <v>6</v>
      </c>
      <c r="M928">
        <v>1</v>
      </c>
      <c r="N928">
        <v>1</v>
      </c>
      <c r="O928" t="s">
        <v>27</v>
      </c>
      <c r="P928" t="str">
        <f>TEXT(Table1[[#This Row],[order_date]],"yyyy-mm")</f>
        <v>2025-08</v>
      </c>
      <c r="Q928">
        <f>WEEKNUM(Table1[[#This Row],[order_date]])</f>
        <v>33</v>
      </c>
      <c r="R928">
        <f>IF(Table1[[#This Row],[order_status]]="completed",1,0)</f>
        <v>0</v>
      </c>
    </row>
    <row r="929" spans="1:18" x14ac:dyDescent="0.35">
      <c r="A929">
        <v>928</v>
      </c>
      <c r="B929" s="1">
        <v>45918</v>
      </c>
      <c r="C929">
        <v>1136</v>
      </c>
      <c r="D929" t="s">
        <v>15</v>
      </c>
      <c r="E929" t="s">
        <v>29</v>
      </c>
      <c r="F929" t="s">
        <v>17</v>
      </c>
      <c r="G929">
        <v>3</v>
      </c>
      <c r="H929">
        <v>0</v>
      </c>
      <c r="I929" t="s">
        <v>18</v>
      </c>
      <c r="J929" t="s">
        <v>37</v>
      </c>
      <c r="K929" t="s">
        <v>40</v>
      </c>
      <c r="L929">
        <v>5</v>
      </c>
      <c r="M929">
        <v>0</v>
      </c>
      <c r="N929">
        <v>1</v>
      </c>
      <c r="O929" t="s">
        <v>21</v>
      </c>
      <c r="P929" t="str">
        <f>TEXT(Table1[[#This Row],[order_date]],"yyyy-mm")</f>
        <v>2025-09</v>
      </c>
      <c r="Q929">
        <f>WEEKNUM(Table1[[#This Row],[order_date]])</f>
        <v>38</v>
      </c>
      <c r="R929">
        <f>IF(Table1[[#This Row],[order_status]]="completed",1,0)</f>
        <v>0</v>
      </c>
    </row>
    <row r="930" spans="1:18" x14ac:dyDescent="0.35">
      <c r="A930">
        <v>929</v>
      </c>
      <c r="B930" s="1">
        <v>45954</v>
      </c>
      <c r="C930">
        <v>1599</v>
      </c>
      <c r="D930" t="s">
        <v>28</v>
      </c>
      <c r="E930" t="s">
        <v>29</v>
      </c>
      <c r="F930" t="s">
        <v>17</v>
      </c>
      <c r="G930">
        <v>1</v>
      </c>
      <c r="H930">
        <v>0</v>
      </c>
      <c r="I930" t="s">
        <v>25</v>
      </c>
      <c r="J930" t="s">
        <v>31</v>
      </c>
      <c r="K930" t="s">
        <v>26</v>
      </c>
      <c r="L930">
        <v>2</v>
      </c>
      <c r="M930">
        <v>1</v>
      </c>
      <c r="N930">
        <v>1</v>
      </c>
      <c r="O930" t="s">
        <v>27</v>
      </c>
      <c r="P930" t="str">
        <f>TEXT(Table1[[#This Row],[order_date]],"yyyy-mm")</f>
        <v>2025-10</v>
      </c>
      <c r="Q930">
        <f>WEEKNUM(Table1[[#This Row],[order_date]])</f>
        <v>43</v>
      </c>
      <c r="R930">
        <f>IF(Table1[[#This Row],[order_status]]="completed",1,0)</f>
        <v>0</v>
      </c>
    </row>
    <row r="931" spans="1:18" x14ac:dyDescent="0.35">
      <c r="A931">
        <v>930</v>
      </c>
      <c r="B931" s="1">
        <v>45942</v>
      </c>
      <c r="C931">
        <v>1502</v>
      </c>
      <c r="D931" t="s">
        <v>15</v>
      </c>
      <c r="E931" t="s">
        <v>29</v>
      </c>
      <c r="F931" t="s">
        <v>30</v>
      </c>
      <c r="G931">
        <v>3</v>
      </c>
      <c r="H931">
        <v>4836</v>
      </c>
      <c r="I931" t="s">
        <v>18</v>
      </c>
      <c r="J931" t="s">
        <v>19</v>
      </c>
      <c r="K931" t="s">
        <v>40</v>
      </c>
      <c r="L931">
        <v>5</v>
      </c>
      <c r="M931">
        <v>0</v>
      </c>
      <c r="N931">
        <v>0</v>
      </c>
      <c r="O931" t="s">
        <v>21</v>
      </c>
      <c r="P931" t="str">
        <f>TEXT(Table1[[#This Row],[order_date]],"yyyy-mm")</f>
        <v>2025-10</v>
      </c>
      <c r="Q931">
        <f>WEEKNUM(Table1[[#This Row],[order_date]])</f>
        <v>42</v>
      </c>
      <c r="R931">
        <f>IF(Table1[[#This Row],[order_status]]="completed",1,0)</f>
        <v>1</v>
      </c>
    </row>
    <row r="932" spans="1:18" x14ac:dyDescent="0.35">
      <c r="A932">
        <v>931</v>
      </c>
      <c r="B932" s="1">
        <v>45877</v>
      </c>
      <c r="C932">
        <v>1303</v>
      </c>
      <c r="D932" t="s">
        <v>15</v>
      </c>
      <c r="E932" t="s">
        <v>23</v>
      </c>
      <c r="F932" t="s">
        <v>34</v>
      </c>
      <c r="G932">
        <v>1</v>
      </c>
      <c r="H932">
        <v>3407</v>
      </c>
      <c r="I932" t="s">
        <v>18</v>
      </c>
      <c r="J932" t="s">
        <v>19</v>
      </c>
      <c r="K932" t="s">
        <v>26</v>
      </c>
      <c r="L932">
        <v>3</v>
      </c>
      <c r="M932">
        <v>0</v>
      </c>
      <c r="N932">
        <v>1</v>
      </c>
      <c r="O932" t="s">
        <v>21</v>
      </c>
      <c r="P932" t="str">
        <f>TEXT(Table1[[#This Row],[order_date]],"yyyy-mm")</f>
        <v>2025-08</v>
      </c>
      <c r="Q932">
        <f>WEEKNUM(Table1[[#This Row],[order_date]])</f>
        <v>32</v>
      </c>
      <c r="R932">
        <f>IF(Table1[[#This Row],[order_status]]="completed",1,0)</f>
        <v>1</v>
      </c>
    </row>
    <row r="933" spans="1:18" x14ac:dyDescent="0.35">
      <c r="A933">
        <v>932</v>
      </c>
      <c r="B933" s="1">
        <v>46018</v>
      </c>
      <c r="C933">
        <v>1549</v>
      </c>
      <c r="D933" t="s">
        <v>41</v>
      </c>
      <c r="E933" t="s">
        <v>36</v>
      </c>
      <c r="F933" t="s">
        <v>24</v>
      </c>
      <c r="G933">
        <v>3</v>
      </c>
      <c r="H933">
        <v>0</v>
      </c>
      <c r="I933" t="s">
        <v>35</v>
      </c>
      <c r="J933" t="s">
        <v>31</v>
      </c>
      <c r="K933" t="s">
        <v>26</v>
      </c>
      <c r="L933">
        <v>1</v>
      </c>
      <c r="M933">
        <v>0</v>
      </c>
      <c r="N933">
        <v>1</v>
      </c>
      <c r="O933" t="s">
        <v>27</v>
      </c>
      <c r="P933" t="str">
        <f>TEXT(Table1[[#This Row],[order_date]],"yyyy-mm")</f>
        <v>2025-12</v>
      </c>
      <c r="Q933">
        <f>WEEKNUM(Table1[[#This Row],[order_date]])</f>
        <v>52</v>
      </c>
      <c r="R933">
        <f>IF(Table1[[#This Row],[order_status]]="completed",1,0)</f>
        <v>0</v>
      </c>
    </row>
    <row r="934" spans="1:18" x14ac:dyDescent="0.35">
      <c r="A934">
        <v>933</v>
      </c>
      <c r="B934" s="1">
        <v>45932</v>
      </c>
      <c r="C934">
        <v>1025</v>
      </c>
      <c r="D934" t="s">
        <v>22</v>
      </c>
      <c r="E934" t="s">
        <v>16</v>
      </c>
      <c r="F934" t="s">
        <v>30</v>
      </c>
      <c r="G934">
        <v>5</v>
      </c>
      <c r="H934">
        <v>18920</v>
      </c>
      <c r="I934" t="s">
        <v>35</v>
      </c>
      <c r="J934" t="s">
        <v>19</v>
      </c>
      <c r="K934" t="s">
        <v>38</v>
      </c>
      <c r="L934">
        <v>6</v>
      </c>
      <c r="M934">
        <v>0</v>
      </c>
      <c r="N934">
        <v>1</v>
      </c>
      <c r="O934" t="s">
        <v>21</v>
      </c>
      <c r="P934" t="str">
        <f>TEXT(Table1[[#This Row],[order_date]],"yyyy-mm")</f>
        <v>2025-10</v>
      </c>
      <c r="Q934">
        <f>WEEKNUM(Table1[[#This Row],[order_date]])</f>
        <v>40</v>
      </c>
      <c r="R934">
        <f>IF(Table1[[#This Row],[order_status]]="completed",1,0)</f>
        <v>1</v>
      </c>
    </row>
    <row r="935" spans="1:18" x14ac:dyDescent="0.35">
      <c r="A935">
        <v>934</v>
      </c>
      <c r="B935" s="1">
        <v>45928</v>
      </c>
      <c r="C935">
        <v>1938</v>
      </c>
      <c r="D935" t="s">
        <v>32</v>
      </c>
      <c r="E935" t="s">
        <v>16</v>
      </c>
      <c r="F935" t="s">
        <v>24</v>
      </c>
      <c r="G935">
        <v>4</v>
      </c>
      <c r="H935">
        <v>0</v>
      </c>
      <c r="I935" t="s">
        <v>18</v>
      </c>
      <c r="J935" t="s">
        <v>31</v>
      </c>
      <c r="K935" t="s">
        <v>38</v>
      </c>
      <c r="L935">
        <v>8</v>
      </c>
      <c r="M935">
        <v>0</v>
      </c>
      <c r="N935">
        <v>1</v>
      </c>
      <c r="O935" t="s">
        <v>21</v>
      </c>
      <c r="P935" t="str">
        <f>TEXT(Table1[[#This Row],[order_date]],"yyyy-mm")</f>
        <v>2025-09</v>
      </c>
      <c r="Q935">
        <f>WEEKNUM(Table1[[#This Row],[order_date]])</f>
        <v>40</v>
      </c>
      <c r="R935">
        <f>IF(Table1[[#This Row],[order_status]]="completed",1,0)</f>
        <v>0</v>
      </c>
    </row>
    <row r="936" spans="1:18" x14ac:dyDescent="0.35">
      <c r="A936">
        <v>935</v>
      </c>
      <c r="B936" s="1">
        <v>46031</v>
      </c>
      <c r="C936">
        <v>1804</v>
      </c>
      <c r="D936" t="s">
        <v>41</v>
      </c>
      <c r="E936" t="s">
        <v>33</v>
      </c>
      <c r="F936" t="s">
        <v>30</v>
      </c>
      <c r="G936">
        <v>3</v>
      </c>
      <c r="H936">
        <v>8811</v>
      </c>
      <c r="I936" t="s">
        <v>18</v>
      </c>
      <c r="J936" t="s">
        <v>19</v>
      </c>
      <c r="K936" t="s">
        <v>20</v>
      </c>
      <c r="L936">
        <v>6</v>
      </c>
      <c r="M936">
        <v>0</v>
      </c>
      <c r="N936">
        <v>1</v>
      </c>
      <c r="O936" t="s">
        <v>21</v>
      </c>
      <c r="P936" t="str">
        <f>TEXT(Table1[[#This Row],[order_date]],"yyyy-mm")</f>
        <v>2026-01</v>
      </c>
      <c r="Q936">
        <f>WEEKNUM(Table1[[#This Row],[order_date]])</f>
        <v>2</v>
      </c>
      <c r="R936">
        <f>IF(Table1[[#This Row],[order_status]]="completed",1,0)</f>
        <v>1</v>
      </c>
    </row>
    <row r="937" spans="1:18" x14ac:dyDescent="0.35">
      <c r="A937">
        <v>936</v>
      </c>
      <c r="B937" s="1">
        <v>45939</v>
      </c>
      <c r="C937">
        <v>1013</v>
      </c>
      <c r="D937" t="s">
        <v>28</v>
      </c>
      <c r="E937" t="s">
        <v>33</v>
      </c>
      <c r="F937" t="s">
        <v>30</v>
      </c>
      <c r="G937">
        <v>5</v>
      </c>
      <c r="H937">
        <v>0</v>
      </c>
      <c r="I937" t="s">
        <v>35</v>
      </c>
      <c r="J937" t="s">
        <v>37</v>
      </c>
      <c r="K937" t="s">
        <v>40</v>
      </c>
      <c r="L937">
        <v>7</v>
      </c>
      <c r="M937">
        <v>0</v>
      </c>
      <c r="N937">
        <v>0</v>
      </c>
      <c r="O937" t="s">
        <v>21</v>
      </c>
      <c r="P937" t="str">
        <f>TEXT(Table1[[#This Row],[order_date]],"yyyy-mm")</f>
        <v>2025-10</v>
      </c>
      <c r="Q937">
        <f>WEEKNUM(Table1[[#This Row],[order_date]])</f>
        <v>41</v>
      </c>
      <c r="R937">
        <f>IF(Table1[[#This Row],[order_status]]="completed",1,0)</f>
        <v>0</v>
      </c>
    </row>
    <row r="938" spans="1:18" x14ac:dyDescent="0.35">
      <c r="A938">
        <v>937</v>
      </c>
      <c r="B938" s="1">
        <v>45988</v>
      </c>
      <c r="C938">
        <v>1467</v>
      </c>
      <c r="D938" t="s">
        <v>28</v>
      </c>
      <c r="E938" t="s">
        <v>23</v>
      </c>
      <c r="F938" t="s">
        <v>30</v>
      </c>
      <c r="G938">
        <v>3</v>
      </c>
      <c r="H938">
        <v>0</v>
      </c>
      <c r="I938" t="s">
        <v>39</v>
      </c>
      <c r="J938" t="s">
        <v>31</v>
      </c>
      <c r="K938" t="s">
        <v>26</v>
      </c>
      <c r="L938">
        <v>3</v>
      </c>
      <c r="M938">
        <v>0</v>
      </c>
      <c r="N938">
        <v>0</v>
      </c>
      <c r="O938" t="s">
        <v>27</v>
      </c>
      <c r="P938" t="str">
        <f>TEXT(Table1[[#This Row],[order_date]],"yyyy-mm")</f>
        <v>2025-11</v>
      </c>
      <c r="Q938">
        <f>WEEKNUM(Table1[[#This Row],[order_date]])</f>
        <v>48</v>
      </c>
      <c r="R938">
        <f>IF(Table1[[#This Row],[order_status]]="completed",1,0)</f>
        <v>0</v>
      </c>
    </row>
    <row r="939" spans="1:18" x14ac:dyDescent="0.35">
      <c r="A939">
        <v>938</v>
      </c>
      <c r="B939" s="1">
        <v>45857</v>
      </c>
      <c r="C939">
        <v>1191</v>
      </c>
      <c r="D939" t="s">
        <v>15</v>
      </c>
      <c r="E939" t="s">
        <v>16</v>
      </c>
      <c r="F939" t="s">
        <v>34</v>
      </c>
      <c r="G939">
        <v>5</v>
      </c>
      <c r="H939">
        <v>0</v>
      </c>
      <c r="I939" t="s">
        <v>35</v>
      </c>
      <c r="J939" t="s">
        <v>31</v>
      </c>
      <c r="K939" t="s">
        <v>38</v>
      </c>
      <c r="L939">
        <v>5</v>
      </c>
      <c r="M939">
        <v>1</v>
      </c>
      <c r="N939">
        <v>0</v>
      </c>
      <c r="O939" t="s">
        <v>21</v>
      </c>
      <c r="P939" t="str">
        <f>TEXT(Table1[[#This Row],[order_date]],"yyyy-mm")</f>
        <v>2025-07</v>
      </c>
      <c r="Q939">
        <f>WEEKNUM(Table1[[#This Row],[order_date]])</f>
        <v>29</v>
      </c>
      <c r="R939">
        <f>IF(Table1[[#This Row],[order_status]]="completed",1,0)</f>
        <v>0</v>
      </c>
    </row>
    <row r="940" spans="1:18" x14ac:dyDescent="0.35">
      <c r="A940">
        <v>939</v>
      </c>
      <c r="B940" s="1">
        <v>45906</v>
      </c>
      <c r="C940">
        <v>1873</v>
      </c>
      <c r="D940" t="s">
        <v>28</v>
      </c>
      <c r="E940" t="s">
        <v>29</v>
      </c>
      <c r="F940" t="s">
        <v>34</v>
      </c>
      <c r="G940">
        <v>2</v>
      </c>
      <c r="H940">
        <v>0</v>
      </c>
      <c r="I940" t="s">
        <v>35</v>
      </c>
      <c r="J940" t="s">
        <v>37</v>
      </c>
      <c r="K940" t="s">
        <v>40</v>
      </c>
      <c r="L940">
        <v>8</v>
      </c>
      <c r="M940">
        <v>0</v>
      </c>
      <c r="N940">
        <v>0</v>
      </c>
      <c r="O940" t="s">
        <v>21</v>
      </c>
      <c r="P940" t="str">
        <f>TEXT(Table1[[#This Row],[order_date]],"yyyy-mm")</f>
        <v>2025-09</v>
      </c>
      <c r="Q940">
        <f>WEEKNUM(Table1[[#This Row],[order_date]])</f>
        <v>36</v>
      </c>
      <c r="R940">
        <f>IF(Table1[[#This Row],[order_status]]="completed",1,0)</f>
        <v>0</v>
      </c>
    </row>
    <row r="941" spans="1:18" x14ac:dyDescent="0.35">
      <c r="A941">
        <v>940</v>
      </c>
      <c r="B941" s="1">
        <v>45923</v>
      </c>
      <c r="C941">
        <v>1878</v>
      </c>
      <c r="D941" t="s">
        <v>32</v>
      </c>
      <c r="E941" t="s">
        <v>33</v>
      </c>
      <c r="F941" t="s">
        <v>30</v>
      </c>
      <c r="G941">
        <v>3</v>
      </c>
      <c r="H941">
        <v>0</v>
      </c>
      <c r="I941" t="s">
        <v>25</v>
      </c>
      <c r="J941" t="s">
        <v>37</v>
      </c>
      <c r="K941" t="s">
        <v>38</v>
      </c>
      <c r="L941">
        <v>7</v>
      </c>
      <c r="M941">
        <v>1</v>
      </c>
      <c r="N941">
        <v>1</v>
      </c>
      <c r="O941" t="s">
        <v>21</v>
      </c>
      <c r="P941" t="str">
        <f>TEXT(Table1[[#This Row],[order_date]],"yyyy-mm")</f>
        <v>2025-09</v>
      </c>
      <c r="Q941">
        <f>WEEKNUM(Table1[[#This Row],[order_date]])</f>
        <v>39</v>
      </c>
      <c r="R941">
        <f>IF(Table1[[#This Row],[order_status]]="completed",1,0)</f>
        <v>0</v>
      </c>
    </row>
    <row r="942" spans="1:18" x14ac:dyDescent="0.35">
      <c r="A942">
        <v>941</v>
      </c>
      <c r="B942" s="1">
        <v>45903</v>
      </c>
      <c r="C942">
        <v>1257</v>
      </c>
      <c r="D942" t="s">
        <v>32</v>
      </c>
      <c r="E942" t="s">
        <v>29</v>
      </c>
      <c r="F942" t="s">
        <v>34</v>
      </c>
      <c r="G942">
        <v>3</v>
      </c>
      <c r="H942">
        <v>0</v>
      </c>
      <c r="I942" t="s">
        <v>35</v>
      </c>
      <c r="J942" t="s">
        <v>37</v>
      </c>
      <c r="K942" t="s">
        <v>20</v>
      </c>
      <c r="L942">
        <v>4</v>
      </c>
      <c r="M942">
        <v>1</v>
      </c>
      <c r="N942">
        <v>1</v>
      </c>
      <c r="O942" t="s">
        <v>21</v>
      </c>
      <c r="P942" t="str">
        <f>TEXT(Table1[[#This Row],[order_date]],"yyyy-mm")</f>
        <v>2025-09</v>
      </c>
      <c r="Q942">
        <f>WEEKNUM(Table1[[#This Row],[order_date]])</f>
        <v>36</v>
      </c>
      <c r="R942">
        <f>IF(Table1[[#This Row],[order_status]]="completed",1,0)</f>
        <v>0</v>
      </c>
    </row>
    <row r="943" spans="1:18" x14ac:dyDescent="0.35">
      <c r="A943">
        <v>942</v>
      </c>
      <c r="B943" s="1">
        <v>45854</v>
      </c>
      <c r="C943">
        <v>1028</v>
      </c>
      <c r="D943" t="s">
        <v>41</v>
      </c>
      <c r="E943" t="s">
        <v>36</v>
      </c>
      <c r="F943" t="s">
        <v>34</v>
      </c>
      <c r="G943">
        <v>5</v>
      </c>
      <c r="H943">
        <v>13725</v>
      </c>
      <c r="I943" t="s">
        <v>25</v>
      </c>
      <c r="J943" t="s">
        <v>19</v>
      </c>
      <c r="K943" t="s">
        <v>40</v>
      </c>
      <c r="L943">
        <v>10</v>
      </c>
      <c r="M943">
        <v>1</v>
      </c>
      <c r="N943">
        <v>1</v>
      </c>
      <c r="O943" t="s">
        <v>27</v>
      </c>
      <c r="P943" t="str">
        <f>TEXT(Table1[[#This Row],[order_date]],"yyyy-mm")</f>
        <v>2025-07</v>
      </c>
      <c r="Q943">
        <f>WEEKNUM(Table1[[#This Row],[order_date]])</f>
        <v>29</v>
      </c>
      <c r="R943">
        <f>IF(Table1[[#This Row],[order_status]]="completed",1,0)</f>
        <v>1</v>
      </c>
    </row>
    <row r="944" spans="1:18" x14ac:dyDescent="0.35">
      <c r="A944">
        <v>943</v>
      </c>
      <c r="B944" s="1">
        <v>46002</v>
      </c>
      <c r="C944">
        <v>1539</v>
      </c>
      <c r="D944" t="s">
        <v>28</v>
      </c>
      <c r="E944" t="s">
        <v>29</v>
      </c>
      <c r="F944" t="s">
        <v>34</v>
      </c>
      <c r="G944">
        <v>3</v>
      </c>
      <c r="H944">
        <v>0</v>
      </c>
      <c r="I944" t="s">
        <v>25</v>
      </c>
      <c r="J944" t="s">
        <v>31</v>
      </c>
      <c r="K944" t="s">
        <v>26</v>
      </c>
      <c r="L944">
        <v>7</v>
      </c>
      <c r="M944">
        <v>1</v>
      </c>
      <c r="N944">
        <v>1</v>
      </c>
      <c r="O944" t="s">
        <v>27</v>
      </c>
      <c r="P944" t="str">
        <f>TEXT(Table1[[#This Row],[order_date]],"yyyy-mm")</f>
        <v>2025-12</v>
      </c>
      <c r="Q944">
        <f>WEEKNUM(Table1[[#This Row],[order_date]])</f>
        <v>50</v>
      </c>
      <c r="R944">
        <f>IF(Table1[[#This Row],[order_status]]="completed",1,0)</f>
        <v>0</v>
      </c>
    </row>
    <row r="945" spans="1:18" x14ac:dyDescent="0.35">
      <c r="A945">
        <v>944</v>
      </c>
      <c r="B945" s="1">
        <v>45874</v>
      </c>
      <c r="C945">
        <v>1344</v>
      </c>
      <c r="D945" t="s">
        <v>22</v>
      </c>
      <c r="E945" t="s">
        <v>16</v>
      </c>
      <c r="F945" t="s">
        <v>34</v>
      </c>
      <c r="G945">
        <v>2</v>
      </c>
      <c r="H945">
        <v>0</v>
      </c>
      <c r="I945" t="s">
        <v>18</v>
      </c>
      <c r="J945" t="s">
        <v>31</v>
      </c>
      <c r="K945" t="s">
        <v>26</v>
      </c>
      <c r="L945">
        <v>4</v>
      </c>
      <c r="M945">
        <v>1</v>
      </c>
      <c r="N945">
        <v>0</v>
      </c>
      <c r="O945" t="s">
        <v>27</v>
      </c>
      <c r="P945" t="str">
        <f>TEXT(Table1[[#This Row],[order_date]],"yyyy-mm")</f>
        <v>2025-08</v>
      </c>
      <c r="Q945">
        <f>WEEKNUM(Table1[[#This Row],[order_date]])</f>
        <v>32</v>
      </c>
      <c r="R945">
        <f>IF(Table1[[#This Row],[order_status]]="completed",1,0)</f>
        <v>0</v>
      </c>
    </row>
    <row r="946" spans="1:18" x14ac:dyDescent="0.35">
      <c r="A946">
        <v>945</v>
      </c>
      <c r="B946" s="1">
        <v>45873</v>
      </c>
      <c r="C946">
        <v>1509</v>
      </c>
      <c r="D946" t="s">
        <v>28</v>
      </c>
      <c r="E946" t="s">
        <v>36</v>
      </c>
      <c r="F946" t="s">
        <v>17</v>
      </c>
      <c r="G946">
        <v>2</v>
      </c>
      <c r="H946">
        <v>0</v>
      </c>
      <c r="I946" t="s">
        <v>18</v>
      </c>
      <c r="J946" t="s">
        <v>31</v>
      </c>
      <c r="K946" t="s">
        <v>40</v>
      </c>
      <c r="L946">
        <v>2</v>
      </c>
      <c r="M946">
        <v>1</v>
      </c>
      <c r="N946">
        <v>1</v>
      </c>
      <c r="O946" t="s">
        <v>27</v>
      </c>
      <c r="P946" t="str">
        <f>TEXT(Table1[[#This Row],[order_date]],"yyyy-mm")</f>
        <v>2025-08</v>
      </c>
      <c r="Q946">
        <f>WEEKNUM(Table1[[#This Row],[order_date]])</f>
        <v>32</v>
      </c>
      <c r="R946">
        <f>IF(Table1[[#This Row],[order_status]]="completed",1,0)</f>
        <v>0</v>
      </c>
    </row>
    <row r="947" spans="1:18" x14ac:dyDescent="0.35">
      <c r="A947">
        <v>946</v>
      </c>
      <c r="B947" s="1">
        <v>46012</v>
      </c>
      <c r="C947">
        <v>1641</v>
      </c>
      <c r="D947" t="s">
        <v>32</v>
      </c>
      <c r="E947" t="s">
        <v>23</v>
      </c>
      <c r="F947" t="s">
        <v>30</v>
      </c>
      <c r="G947">
        <v>5</v>
      </c>
      <c r="H947">
        <v>1855</v>
      </c>
      <c r="I947" t="s">
        <v>18</v>
      </c>
      <c r="J947" t="s">
        <v>19</v>
      </c>
      <c r="K947" t="s">
        <v>26</v>
      </c>
      <c r="L947">
        <v>3</v>
      </c>
      <c r="M947">
        <v>0</v>
      </c>
      <c r="N947">
        <v>0</v>
      </c>
      <c r="O947" t="s">
        <v>21</v>
      </c>
      <c r="P947" t="str">
        <f>TEXT(Table1[[#This Row],[order_date]],"yyyy-mm")</f>
        <v>2025-12</v>
      </c>
      <c r="Q947">
        <f>WEEKNUM(Table1[[#This Row],[order_date]])</f>
        <v>52</v>
      </c>
      <c r="R947">
        <f>IF(Table1[[#This Row],[order_status]]="completed",1,0)</f>
        <v>1</v>
      </c>
    </row>
    <row r="948" spans="1:18" x14ac:dyDescent="0.35">
      <c r="A948">
        <v>947</v>
      </c>
      <c r="B948" s="1">
        <v>45859</v>
      </c>
      <c r="C948">
        <v>1666</v>
      </c>
      <c r="D948" t="s">
        <v>41</v>
      </c>
      <c r="E948" t="s">
        <v>36</v>
      </c>
      <c r="F948" t="s">
        <v>17</v>
      </c>
      <c r="G948">
        <v>3</v>
      </c>
      <c r="H948">
        <v>0</v>
      </c>
      <c r="I948" t="s">
        <v>39</v>
      </c>
      <c r="J948" t="s">
        <v>31</v>
      </c>
      <c r="K948" t="s">
        <v>38</v>
      </c>
      <c r="L948">
        <v>3</v>
      </c>
      <c r="M948">
        <v>0</v>
      </c>
      <c r="N948">
        <v>0</v>
      </c>
      <c r="O948" t="s">
        <v>21</v>
      </c>
      <c r="P948" t="str">
        <f>TEXT(Table1[[#This Row],[order_date]],"yyyy-mm")</f>
        <v>2025-07</v>
      </c>
      <c r="Q948">
        <f>WEEKNUM(Table1[[#This Row],[order_date]])</f>
        <v>30</v>
      </c>
      <c r="R948">
        <f>IF(Table1[[#This Row],[order_status]]="completed",1,0)</f>
        <v>0</v>
      </c>
    </row>
    <row r="949" spans="1:18" x14ac:dyDescent="0.35">
      <c r="A949">
        <v>948</v>
      </c>
      <c r="B949" s="1">
        <v>45921</v>
      </c>
      <c r="C949">
        <v>1331</v>
      </c>
      <c r="D949" t="s">
        <v>15</v>
      </c>
      <c r="E949" t="s">
        <v>16</v>
      </c>
      <c r="F949" t="s">
        <v>24</v>
      </c>
      <c r="G949">
        <v>3</v>
      </c>
      <c r="H949">
        <v>9897</v>
      </c>
      <c r="I949" t="s">
        <v>18</v>
      </c>
      <c r="J949" t="s">
        <v>19</v>
      </c>
      <c r="K949" t="s">
        <v>20</v>
      </c>
      <c r="L949">
        <v>8</v>
      </c>
      <c r="M949">
        <v>1</v>
      </c>
      <c r="N949">
        <v>1</v>
      </c>
      <c r="O949" t="s">
        <v>27</v>
      </c>
      <c r="P949" t="str">
        <f>TEXT(Table1[[#This Row],[order_date]],"yyyy-mm")</f>
        <v>2025-09</v>
      </c>
      <c r="Q949">
        <f>WEEKNUM(Table1[[#This Row],[order_date]])</f>
        <v>39</v>
      </c>
      <c r="R949">
        <f>IF(Table1[[#This Row],[order_status]]="completed",1,0)</f>
        <v>1</v>
      </c>
    </row>
    <row r="950" spans="1:18" x14ac:dyDescent="0.35">
      <c r="A950">
        <v>949</v>
      </c>
      <c r="B950" s="1">
        <v>46010</v>
      </c>
      <c r="C950">
        <v>1098</v>
      </c>
      <c r="D950" t="s">
        <v>41</v>
      </c>
      <c r="E950" t="s">
        <v>29</v>
      </c>
      <c r="F950" t="s">
        <v>30</v>
      </c>
      <c r="G950">
        <v>4</v>
      </c>
      <c r="H950">
        <v>0</v>
      </c>
      <c r="I950" t="s">
        <v>18</v>
      </c>
      <c r="J950" t="s">
        <v>37</v>
      </c>
      <c r="K950" t="s">
        <v>26</v>
      </c>
      <c r="L950">
        <v>7</v>
      </c>
      <c r="M950">
        <v>0</v>
      </c>
      <c r="N950">
        <v>1</v>
      </c>
      <c r="O950" t="s">
        <v>27</v>
      </c>
      <c r="P950" t="str">
        <f>TEXT(Table1[[#This Row],[order_date]],"yyyy-mm")</f>
        <v>2025-12</v>
      </c>
      <c r="Q950">
        <f>WEEKNUM(Table1[[#This Row],[order_date]])</f>
        <v>51</v>
      </c>
      <c r="R950">
        <f>IF(Table1[[#This Row],[order_status]]="completed",1,0)</f>
        <v>0</v>
      </c>
    </row>
    <row r="951" spans="1:18" x14ac:dyDescent="0.35">
      <c r="A951">
        <v>950</v>
      </c>
      <c r="B951" s="1">
        <v>45865</v>
      </c>
      <c r="C951">
        <v>1841</v>
      </c>
      <c r="D951" t="s">
        <v>41</v>
      </c>
      <c r="E951" t="s">
        <v>36</v>
      </c>
      <c r="F951" t="s">
        <v>30</v>
      </c>
      <c r="G951">
        <v>1</v>
      </c>
      <c r="H951">
        <v>0</v>
      </c>
      <c r="I951" t="s">
        <v>35</v>
      </c>
      <c r="J951" t="s">
        <v>31</v>
      </c>
      <c r="K951" t="s">
        <v>40</v>
      </c>
      <c r="L951">
        <v>3</v>
      </c>
      <c r="M951">
        <v>0</v>
      </c>
      <c r="N951">
        <v>1</v>
      </c>
      <c r="O951" t="s">
        <v>27</v>
      </c>
      <c r="P951" t="str">
        <f>TEXT(Table1[[#This Row],[order_date]],"yyyy-mm")</f>
        <v>2025-07</v>
      </c>
      <c r="Q951">
        <f>WEEKNUM(Table1[[#This Row],[order_date]])</f>
        <v>31</v>
      </c>
      <c r="R951">
        <f>IF(Table1[[#This Row],[order_status]]="completed",1,0)</f>
        <v>0</v>
      </c>
    </row>
    <row r="952" spans="1:18" x14ac:dyDescent="0.35">
      <c r="A952">
        <v>951</v>
      </c>
      <c r="B952" s="1">
        <v>46015</v>
      </c>
      <c r="C952">
        <v>1193</v>
      </c>
      <c r="D952" t="s">
        <v>41</v>
      </c>
      <c r="E952" t="s">
        <v>16</v>
      </c>
      <c r="F952" t="s">
        <v>34</v>
      </c>
      <c r="G952">
        <v>3</v>
      </c>
      <c r="H952">
        <v>2517</v>
      </c>
      <c r="I952" t="s">
        <v>25</v>
      </c>
      <c r="J952" t="s">
        <v>19</v>
      </c>
      <c r="K952" t="s">
        <v>38</v>
      </c>
      <c r="L952">
        <v>3</v>
      </c>
      <c r="M952">
        <v>0</v>
      </c>
      <c r="N952">
        <v>1</v>
      </c>
      <c r="O952" t="s">
        <v>27</v>
      </c>
      <c r="P952" t="str">
        <f>TEXT(Table1[[#This Row],[order_date]],"yyyy-mm")</f>
        <v>2025-12</v>
      </c>
      <c r="Q952">
        <f>WEEKNUM(Table1[[#This Row],[order_date]])</f>
        <v>52</v>
      </c>
      <c r="R952">
        <f>IF(Table1[[#This Row],[order_status]]="completed",1,0)</f>
        <v>1</v>
      </c>
    </row>
    <row r="953" spans="1:18" x14ac:dyDescent="0.35">
      <c r="A953">
        <v>952</v>
      </c>
      <c r="B953" s="1">
        <v>45901</v>
      </c>
      <c r="C953">
        <v>1638</v>
      </c>
      <c r="D953" t="s">
        <v>32</v>
      </c>
      <c r="E953" t="s">
        <v>16</v>
      </c>
      <c r="F953" t="s">
        <v>24</v>
      </c>
      <c r="G953">
        <v>3</v>
      </c>
      <c r="H953">
        <v>0</v>
      </c>
      <c r="I953" t="s">
        <v>25</v>
      </c>
      <c r="J953" t="s">
        <v>37</v>
      </c>
      <c r="K953" t="s">
        <v>38</v>
      </c>
      <c r="L953">
        <v>9</v>
      </c>
      <c r="M953">
        <v>1</v>
      </c>
      <c r="N953">
        <v>0</v>
      </c>
      <c r="O953" t="s">
        <v>27</v>
      </c>
      <c r="P953" t="str">
        <f>TEXT(Table1[[#This Row],[order_date]],"yyyy-mm")</f>
        <v>2025-09</v>
      </c>
      <c r="Q953">
        <f>WEEKNUM(Table1[[#This Row],[order_date]])</f>
        <v>36</v>
      </c>
      <c r="R953">
        <f>IF(Table1[[#This Row],[order_status]]="completed",1,0)</f>
        <v>0</v>
      </c>
    </row>
    <row r="954" spans="1:18" x14ac:dyDescent="0.35">
      <c r="A954">
        <v>953</v>
      </c>
      <c r="B954" s="1">
        <v>45991</v>
      </c>
      <c r="C954">
        <v>1449</v>
      </c>
      <c r="D954" t="s">
        <v>22</v>
      </c>
      <c r="E954" t="s">
        <v>33</v>
      </c>
      <c r="F954" t="s">
        <v>17</v>
      </c>
      <c r="G954">
        <v>4</v>
      </c>
      <c r="H954">
        <v>0</v>
      </c>
      <c r="I954" t="s">
        <v>35</v>
      </c>
      <c r="J954" t="s">
        <v>31</v>
      </c>
      <c r="K954" t="s">
        <v>40</v>
      </c>
      <c r="L954">
        <v>6</v>
      </c>
      <c r="M954">
        <v>0</v>
      </c>
      <c r="N954">
        <v>0</v>
      </c>
      <c r="O954" t="s">
        <v>21</v>
      </c>
      <c r="P954" t="str">
        <f>TEXT(Table1[[#This Row],[order_date]],"yyyy-mm")</f>
        <v>2025-11</v>
      </c>
      <c r="Q954">
        <f>WEEKNUM(Table1[[#This Row],[order_date]])</f>
        <v>49</v>
      </c>
      <c r="R954">
        <f>IF(Table1[[#This Row],[order_status]]="completed",1,0)</f>
        <v>0</v>
      </c>
    </row>
    <row r="955" spans="1:18" x14ac:dyDescent="0.35">
      <c r="A955">
        <v>954</v>
      </c>
      <c r="B955" s="1">
        <v>46013</v>
      </c>
      <c r="C955">
        <v>1220</v>
      </c>
      <c r="D955" t="s">
        <v>32</v>
      </c>
      <c r="E955" t="s">
        <v>29</v>
      </c>
      <c r="F955" t="s">
        <v>34</v>
      </c>
      <c r="G955">
        <v>1</v>
      </c>
      <c r="H955">
        <v>0</v>
      </c>
      <c r="I955" t="s">
        <v>35</v>
      </c>
      <c r="J955" t="s">
        <v>37</v>
      </c>
      <c r="K955" t="s">
        <v>20</v>
      </c>
      <c r="L955">
        <v>9</v>
      </c>
      <c r="M955">
        <v>0</v>
      </c>
      <c r="N955">
        <v>1</v>
      </c>
      <c r="O955" t="s">
        <v>21</v>
      </c>
      <c r="P955" t="str">
        <f>TEXT(Table1[[#This Row],[order_date]],"yyyy-mm")</f>
        <v>2025-12</v>
      </c>
      <c r="Q955">
        <f>WEEKNUM(Table1[[#This Row],[order_date]])</f>
        <v>52</v>
      </c>
      <c r="R955">
        <f>IF(Table1[[#This Row],[order_status]]="completed",1,0)</f>
        <v>0</v>
      </c>
    </row>
    <row r="956" spans="1:18" x14ac:dyDescent="0.35">
      <c r="A956">
        <v>955</v>
      </c>
      <c r="B956" s="1">
        <v>45999</v>
      </c>
      <c r="C956">
        <v>1286</v>
      </c>
      <c r="D956" t="s">
        <v>41</v>
      </c>
      <c r="E956" t="s">
        <v>23</v>
      </c>
      <c r="F956" t="s">
        <v>17</v>
      </c>
      <c r="G956">
        <v>1</v>
      </c>
      <c r="H956">
        <v>0</v>
      </c>
      <c r="I956" t="s">
        <v>18</v>
      </c>
      <c r="J956" t="s">
        <v>37</v>
      </c>
      <c r="K956" t="s">
        <v>38</v>
      </c>
      <c r="L956">
        <v>1</v>
      </c>
      <c r="M956">
        <v>1</v>
      </c>
      <c r="N956">
        <v>0</v>
      </c>
      <c r="O956" t="s">
        <v>21</v>
      </c>
      <c r="P956" t="str">
        <f>TEXT(Table1[[#This Row],[order_date]],"yyyy-mm")</f>
        <v>2025-12</v>
      </c>
      <c r="Q956">
        <f>WEEKNUM(Table1[[#This Row],[order_date]])</f>
        <v>50</v>
      </c>
      <c r="R956">
        <f>IF(Table1[[#This Row],[order_status]]="completed",1,0)</f>
        <v>0</v>
      </c>
    </row>
    <row r="957" spans="1:18" x14ac:dyDescent="0.35">
      <c r="A957">
        <v>956</v>
      </c>
      <c r="B957" s="1">
        <v>45939</v>
      </c>
      <c r="C957">
        <v>1177</v>
      </c>
      <c r="D957" t="s">
        <v>41</v>
      </c>
      <c r="E957" t="s">
        <v>36</v>
      </c>
      <c r="F957" t="s">
        <v>24</v>
      </c>
      <c r="G957">
        <v>5</v>
      </c>
      <c r="H957">
        <v>0</v>
      </c>
      <c r="I957" t="s">
        <v>25</v>
      </c>
      <c r="J957" t="s">
        <v>37</v>
      </c>
      <c r="K957" t="s">
        <v>20</v>
      </c>
      <c r="L957">
        <v>8</v>
      </c>
      <c r="M957">
        <v>1</v>
      </c>
      <c r="N957">
        <v>1</v>
      </c>
      <c r="O957" t="s">
        <v>21</v>
      </c>
      <c r="P957" t="str">
        <f>TEXT(Table1[[#This Row],[order_date]],"yyyy-mm")</f>
        <v>2025-10</v>
      </c>
      <c r="Q957">
        <f>WEEKNUM(Table1[[#This Row],[order_date]])</f>
        <v>41</v>
      </c>
      <c r="R957">
        <f>IF(Table1[[#This Row],[order_status]]="completed",1,0)</f>
        <v>0</v>
      </c>
    </row>
    <row r="958" spans="1:18" x14ac:dyDescent="0.35">
      <c r="A958">
        <v>957</v>
      </c>
      <c r="B958" s="1">
        <v>46022</v>
      </c>
      <c r="C958">
        <v>1829</v>
      </c>
      <c r="D958" t="s">
        <v>32</v>
      </c>
      <c r="E958" t="s">
        <v>29</v>
      </c>
      <c r="F958" t="s">
        <v>17</v>
      </c>
      <c r="G958">
        <v>4</v>
      </c>
      <c r="H958">
        <v>0</v>
      </c>
      <c r="I958" t="s">
        <v>35</v>
      </c>
      <c r="J958" t="s">
        <v>37</v>
      </c>
      <c r="K958" t="s">
        <v>20</v>
      </c>
      <c r="L958">
        <v>7</v>
      </c>
      <c r="M958">
        <v>1</v>
      </c>
      <c r="N958">
        <v>1</v>
      </c>
      <c r="O958" t="s">
        <v>21</v>
      </c>
      <c r="P958" t="str">
        <f>TEXT(Table1[[#This Row],[order_date]],"yyyy-mm")</f>
        <v>2025-12</v>
      </c>
      <c r="Q958">
        <f>WEEKNUM(Table1[[#This Row],[order_date]])</f>
        <v>53</v>
      </c>
      <c r="R958">
        <f>IF(Table1[[#This Row],[order_status]]="completed",1,0)</f>
        <v>0</v>
      </c>
    </row>
    <row r="959" spans="1:18" x14ac:dyDescent="0.35">
      <c r="A959">
        <v>958</v>
      </c>
      <c r="B959" s="1">
        <v>46029</v>
      </c>
      <c r="C959">
        <v>1752</v>
      </c>
      <c r="D959" t="s">
        <v>32</v>
      </c>
      <c r="E959" t="s">
        <v>23</v>
      </c>
      <c r="F959" t="s">
        <v>30</v>
      </c>
      <c r="G959">
        <v>2</v>
      </c>
      <c r="H959">
        <v>0</v>
      </c>
      <c r="I959" t="s">
        <v>39</v>
      </c>
      <c r="J959" t="s">
        <v>37</v>
      </c>
      <c r="K959" t="s">
        <v>38</v>
      </c>
      <c r="L959">
        <v>1</v>
      </c>
      <c r="M959">
        <v>1</v>
      </c>
      <c r="N959">
        <v>0</v>
      </c>
      <c r="O959" t="s">
        <v>21</v>
      </c>
      <c r="P959" t="str">
        <f>TEXT(Table1[[#This Row],[order_date]],"yyyy-mm")</f>
        <v>2026-01</v>
      </c>
      <c r="Q959">
        <f>WEEKNUM(Table1[[#This Row],[order_date]])</f>
        <v>2</v>
      </c>
      <c r="R959">
        <f>IF(Table1[[#This Row],[order_status]]="completed",1,0)</f>
        <v>0</v>
      </c>
    </row>
    <row r="960" spans="1:18" x14ac:dyDescent="0.35">
      <c r="A960">
        <v>959</v>
      </c>
      <c r="B960" s="1">
        <v>45922</v>
      </c>
      <c r="C960">
        <v>1079</v>
      </c>
      <c r="D960" t="s">
        <v>28</v>
      </c>
      <c r="E960" t="s">
        <v>29</v>
      </c>
      <c r="F960" t="s">
        <v>30</v>
      </c>
      <c r="G960">
        <v>3</v>
      </c>
      <c r="H960">
        <v>8586</v>
      </c>
      <c r="I960" t="s">
        <v>25</v>
      </c>
      <c r="J960" t="s">
        <v>19</v>
      </c>
      <c r="K960" t="s">
        <v>38</v>
      </c>
      <c r="L960">
        <v>6</v>
      </c>
      <c r="M960">
        <v>0</v>
      </c>
      <c r="N960">
        <v>0</v>
      </c>
      <c r="O960" t="s">
        <v>27</v>
      </c>
      <c r="P960" t="str">
        <f>TEXT(Table1[[#This Row],[order_date]],"yyyy-mm")</f>
        <v>2025-09</v>
      </c>
      <c r="Q960">
        <f>WEEKNUM(Table1[[#This Row],[order_date]])</f>
        <v>39</v>
      </c>
      <c r="R960">
        <f>IF(Table1[[#This Row],[order_status]]="completed",1,0)</f>
        <v>1</v>
      </c>
    </row>
    <row r="961" spans="1:18" x14ac:dyDescent="0.35">
      <c r="A961">
        <v>960</v>
      </c>
      <c r="B961" s="1">
        <v>45966</v>
      </c>
      <c r="C961">
        <v>1983</v>
      </c>
      <c r="D961" t="s">
        <v>15</v>
      </c>
      <c r="E961" t="s">
        <v>33</v>
      </c>
      <c r="F961" t="s">
        <v>30</v>
      </c>
      <c r="G961">
        <v>2</v>
      </c>
      <c r="H961">
        <v>0</v>
      </c>
      <c r="I961" t="s">
        <v>25</v>
      </c>
      <c r="J961" t="s">
        <v>31</v>
      </c>
      <c r="K961" t="s">
        <v>20</v>
      </c>
      <c r="L961">
        <v>9</v>
      </c>
      <c r="M961">
        <v>0</v>
      </c>
      <c r="N961">
        <v>1</v>
      </c>
      <c r="O961" t="s">
        <v>27</v>
      </c>
      <c r="P961" t="str">
        <f>TEXT(Table1[[#This Row],[order_date]],"yyyy-mm")</f>
        <v>2025-11</v>
      </c>
      <c r="Q961">
        <f>WEEKNUM(Table1[[#This Row],[order_date]])</f>
        <v>45</v>
      </c>
      <c r="R961">
        <f>IF(Table1[[#This Row],[order_status]]="completed",1,0)</f>
        <v>0</v>
      </c>
    </row>
    <row r="962" spans="1:18" x14ac:dyDescent="0.35">
      <c r="A962">
        <v>961</v>
      </c>
      <c r="B962" s="1">
        <v>45949</v>
      </c>
      <c r="C962">
        <v>1002</v>
      </c>
      <c r="D962" t="s">
        <v>22</v>
      </c>
      <c r="E962" t="s">
        <v>23</v>
      </c>
      <c r="F962" t="s">
        <v>34</v>
      </c>
      <c r="G962">
        <v>2</v>
      </c>
      <c r="H962">
        <v>0</v>
      </c>
      <c r="I962" t="s">
        <v>25</v>
      </c>
      <c r="J962" t="s">
        <v>31</v>
      </c>
      <c r="K962" t="s">
        <v>20</v>
      </c>
      <c r="L962">
        <v>6</v>
      </c>
      <c r="M962">
        <v>1</v>
      </c>
      <c r="N962">
        <v>1</v>
      </c>
      <c r="O962" t="s">
        <v>27</v>
      </c>
      <c r="P962" t="str">
        <f>TEXT(Table1[[#This Row],[order_date]],"yyyy-mm")</f>
        <v>2025-10</v>
      </c>
      <c r="Q962">
        <f>WEEKNUM(Table1[[#This Row],[order_date]])</f>
        <v>43</v>
      </c>
      <c r="R962">
        <f>IF(Table1[[#This Row],[order_status]]="completed",1,0)</f>
        <v>0</v>
      </c>
    </row>
    <row r="963" spans="1:18" x14ac:dyDescent="0.35">
      <c r="A963">
        <v>962</v>
      </c>
      <c r="B963" s="1">
        <v>45862</v>
      </c>
      <c r="C963">
        <v>1054</v>
      </c>
      <c r="D963" t="s">
        <v>22</v>
      </c>
      <c r="E963" t="s">
        <v>36</v>
      </c>
      <c r="F963" t="s">
        <v>30</v>
      </c>
      <c r="G963">
        <v>4</v>
      </c>
      <c r="H963">
        <v>0</v>
      </c>
      <c r="I963" t="s">
        <v>25</v>
      </c>
      <c r="J963" t="s">
        <v>31</v>
      </c>
      <c r="K963" t="s">
        <v>38</v>
      </c>
      <c r="L963">
        <v>2</v>
      </c>
      <c r="M963">
        <v>1</v>
      </c>
      <c r="N963">
        <v>1</v>
      </c>
      <c r="O963" t="s">
        <v>27</v>
      </c>
      <c r="P963" t="str">
        <f>TEXT(Table1[[#This Row],[order_date]],"yyyy-mm")</f>
        <v>2025-07</v>
      </c>
      <c r="Q963">
        <f>WEEKNUM(Table1[[#This Row],[order_date]])</f>
        <v>30</v>
      </c>
      <c r="R963">
        <f>IF(Table1[[#This Row],[order_status]]="completed",1,0)</f>
        <v>0</v>
      </c>
    </row>
    <row r="964" spans="1:18" x14ac:dyDescent="0.35">
      <c r="A964">
        <v>963</v>
      </c>
      <c r="B964" s="1">
        <v>45918</v>
      </c>
      <c r="C964">
        <v>1151</v>
      </c>
      <c r="D964" t="s">
        <v>15</v>
      </c>
      <c r="E964" t="s">
        <v>33</v>
      </c>
      <c r="F964" t="s">
        <v>34</v>
      </c>
      <c r="G964">
        <v>5</v>
      </c>
      <c r="H964">
        <v>0</v>
      </c>
      <c r="I964" t="s">
        <v>39</v>
      </c>
      <c r="J964" t="s">
        <v>37</v>
      </c>
      <c r="K964" t="s">
        <v>26</v>
      </c>
      <c r="L964">
        <v>7</v>
      </c>
      <c r="M964">
        <v>0</v>
      </c>
      <c r="N964">
        <v>0</v>
      </c>
      <c r="O964" t="s">
        <v>27</v>
      </c>
      <c r="P964" t="str">
        <f>TEXT(Table1[[#This Row],[order_date]],"yyyy-mm")</f>
        <v>2025-09</v>
      </c>
      <c r="Q964">
        <f>WEEKNUM(Table1[[#This Row],[order_date]])</f>
        <v>38</v>
      </c>
      <c r="R964">
        <f>IF(Table1[[#This Row],[order_status]]="completed",1,0)</f>
        <v>0</v>
      </c>
    </row>
    <row r="965" spans="1:18" x14ac:dyDescent="0.35">
      <c r="A965">
        <v>964</v>
      </c>
      <c r="B965" s="1">
        <v>45861</v>
      </c>
      <c r="C965">
        <v>1987</v>
      </c>
      <c r="D965" t="s">
        <v>28</v>
      </c>
      <c r="E965" t="s">
        <v>16</v>
      </c>
      <c r="F965" t="s">
        <v>30</v>
      </c>
      <c r="G965">
        <v>5</v>
      </c>
      <c r="H965">
        <v>0</v>
      </c>
      <c r="I965" t="s">
        <v>18</v>
      </c>
      <c r="J965" t="s">
        <v>37</v>
      </c>
      <c r="K965" t="s">
        <v>38</v>
      </c>
      <c r="L965">
        <v>5</v>
      </c>
      <c r="M965">
        <v>1</v>
      </c>
      <c r="N965">
        <v>1</v>
      </c>
      <c r="O965" t="s">
        <v>27</v>
      </c>
      <c r="P965" t="str">
        <f>TEXT(Table1[[#This Row],[order_date]],"yyyy-mm")</f>
        <v>2025-07</v>
      </c>
      <c r="Q965">
        <f>WEEKNUM(Table1[[#This Row],[order_date]])</f>
        <v>30</v>
      </c>
      <c r="R965">
        <f>IF(Table1[[#This Row],[order_status]]="completed",1,0)</f>
        <v>0</v>
      </c>
    </row>
    <row r="966" spans="1:18" x14ac:dyDescent="0.35">
      <c r="A966">
        <v>965</v>
      </c>
      <c r="B966" s="1">
        <v>45854</v>
      </c>
      <c r="C966">
        <v>1164</v>
      </c>
      <c r="D966" t="s">
        <v>32</v>
      </c>
      <c r="E966" t="s">
        <v>29</v>
      </c>
      <c r="F966" t="s">
        <v>24</v>
      </c>
      <c r="G966">
        <v>2</v>
      </c>
      <c r="H966">
        <v>0</v>
      </c>
      <c r="I966" t="s">
        <v>25</v>
      </c>
      <c r="J966" t="s">
        <v>31</v>
      </c>
      <c r="K966" t="s">
        <v>26</v>
      </c>
      <c r="L966">
        <v>6</v>
      </c>
      <c r="M966">
        <v>0</v>
      </c>
      <c r="N966">
        <v>0</v>
      </c>
      <c r="O966" t="s">
        <v>21</v>
      </c>
      <c r="P966" t="str">
        <f>TEXT(Table1[[#This Row],[order_date]],"yyyy-mm")</f>
        <v>2025-07</v>
      </c>
      <c r="Q966">
        <f>WEEKNUM(Table1[[#This Row],[order_date]])</f>
        <v>29</v>
      </c>
      <c r="R966">
        <f>IF(Table1[[#This Row],[order_status]]="completed",1,0)</f>
        <v>0</v>
      </c>
    </row>
    <row r="967" spans="1:18" x14ac:dyDescent="0.35">
      <c r="A967">
        <v>966</v>
      </c>
      <c r="B967" s="1">
        <v>45948</v>
      </c>
      <c r="C967">
        <v>1339</v>
      </c>
      <c r="D967" t="s">
        <v>32</v>
      </c>
      <c r="E967" t="s">
        <v>33</v>
      </c>
      <c r="F967" t="s">
        <v>30</v>
      </c>
      <c r="G967">
        <v>5</v>
      </c>
      <c r="H967">
        <v>0</v>
      </c>
      <c r="I967" t="s">
        <v>18</v>
      </c>
      <c r="J967" t="s">
        <v>37</v>
      </c>
      <c r="K967" t="s">
        <v>20</v>
      </c>
      <c r="L967">
        <v>7</v>
      </c>
      <c r="M967">
        <v>1</v>
      </c>
      <c r="N967">
        <v>1</v>
      </c>
      <c r="O967" t="s">
        <v>21</v>
      </c>
      <c r="P967" t="str">
        <f>TEXT(Table1[[#This Row],[order_date]],"yyyy-mm")</f>
        <v>2025-10</v>
      </c>
      <c r="Q967">
        <f>WEEKNUM(Table1[[#This Row],[order_date]])</f>
        <v>42</v>
      </c>
      <c r="R967">
        <f>IF(Table1[[#This Row],[order_status]]="completed",1,0)</f>
        <v>0</v>
      </c>
    </row>
    <row r="968" spans="1:18" x14ac:dyDescent="0.35">
      <c r="A968">
        <v>967</v>
      </c>
      <c r="B968" s="1">
        <v>46014</v>
      </c>
      <c r="C968">
        <v>1153</v>
      </c>
      <c r="D968" t="s">
        <v>41</v>
      </c>
      <c r="E968" t="s">
        <v>23</v>
      </c>
      <c r="F968" t="s">
        <v>17</v>
      </c>
      <c r="G968">
        <v>1</v>
      </c>
      <c r="H968">
        <v>0</v>
      </c>
      <c r="I968" t="s">
        <v>39</v>
      </c>
      <c r="J968" t="s">
        <v>37</v>
      </c>
      <c r="K968" t="s">
        <v>20</v>
      </c>
      <c r="L968">
        <v>1</v>
      </c>
      <c r="M968">
        <v>0</v>
      </c>
      <c r="N968">
        <v>0</v>
      </c>
      <c r="O968" t="s">
        <v>21</v>
      </c>
      <c r="P968" t="str">
        <f>TEXT(Table1[[#This Row],[order_date]],"yyyy-mm")</f>
        <v>2025-12</v>
      </c>
      <c r="Q968">
        <f>WEEKNUM(Table1[[#This Row],[order_date]])</f>
        <v>52</v>
      </c>
      <c r="R968">
        <f>IF(Table1[[#This Row],[order_status]]="completed",1,0)</f>
        <v>0</v>
      </c>
    </row>
    <row r="969" spans="1:18" x14ac:dyDescent="0.35">
      <c r="A969">
        <v>968</v>
      </c>
      <c r="B969" s="1">
        <v>45876</v>
      </c>
      <c r="C969">
        <v>1961</v>
      </c>
      <c r="D969" t="s">
        <v>28</v>
      </c>
      <c r="E969" t="s">
        <v>33</v>
      </c>
      <c r="F969" t="s">
        <v>17</v>
      </c>
      <c r="G969">
        <v>5</v>
      </c>
      <c r="H969">
        <v>9425</v>
      </c>
      <c r="I969" t="s">
        <v>39</v>
      </c>
      <c r="J969" t="s">
        <v>19</v>
      </c>
      <c r="K969" t="s">
        <v>38</v>
      </c>
      <c r="L969">
        <v>10</v>
      </c>
      <c r="M969">
        <v>1</v>
      </c>
      <c r="N969">
        <v>0</v>
      </c>
      <c r="O969" t="s">
        <v>21</v>
      </c>
      <c r="P969" t="str">
        <f>TEXT(Table1[[#This Row],[order_date]],"yyyy-mm")</f>
        <v>2025-08</v>
      </c>
      <c r="Q969">
        <f>WEEKNUM(Table1[[#This Row],[order_date]])</f>
        <v>32</v>
      </c>
      <c r="R969">
        <f>IF(Table1[[#This Row],[order_status]]="completed",1,0)</f>
        <v>1</v>
      </c>
    </row>
    <row r="970" spans="1:18" x14ac:dyDescent="0.35">
      <c r="A970">
        <v>969</v>
      </c>
      <c r="B970" s="1">
        <v>45956</v>
      </c>
      <c r="C970">
        <v>1068</v>
      </c>
      <c r="D970" t="s">
        <v>41</v>
      </c>
      <c r="E970" t="s">
        <v>33</v>
      </c>
      <c r="F970" t="s">
        <v>24</v>
      </c>
      <c r="G970">
        <v>5</v>
      </c>
      <c r="H970">
        <v>0</v>
      </c>
      <c r="I970" t="s">
        <v>35</v>
      </c>
      <c r="J970" t="s">
        <v>31</v>
      </c>
      <c r="K970" t="s">
        <v>40</v>
      </c>
      <c r="L970">
        <v>1</v>
      </c>
      <c r="M970">
        <v>0</v>
      </c>
      <c r="N970">
        <v>1</v>
      </c>
      <c r="O970" t="s">
        <v>27</v>
      </c>
      <c r="P970" t="str">
        <f>TEXT(Table1[[#This Row],[order_date]],"yyyy-mm")</f>
        <v>2025-10</v>
      </c>
      <c r="Q970">
        <f>WEEKNUM(Table1[[#This Row],[order_date]])</f>
        <v>44</v>
      </c>
      <c r="R970">
        <f>IF(Table1[[#This Row],[order_status]]="completed",1,0)</f>
        <v>0</v>
      </c>
    </row>
    <row r="971" spans="1:18" x14ac:dyDescent="0.35">
      <c r="A971">
        <v>970</v>
      </c>
      <c r="B971" s="1">
        <v>45898</v>
      </c>
      <c r="C971">
        <v>1482</v>
      </c>
      <c r="D971" t="s">
        <v>22</v>
      </c>
      <c r="E971" t="s">
        <v>29</v>
      </c>
      <c r="F971" t="s">
        <v>30</v>
      </c>
      <c r="G971">
        <v>5</v>
      </c>
      <c r="H971">
        <v>8800</v>
      </c>
      <c r="I971" t="s">
        <v>39</v>
      </c>
      <c r="J971" t="s">
        <v>19</v>
      </c>
      <c r="K971" t="s">
        <v>40</v>
      </c>
      <c r="L971">
        <v>9</v>
      </c>
      <c r="M971">
        <v>1</v>
      </c>
      <c r="N971">
        <v>1</v>
      </c>
      <c r="O971" t="s">
        <v>21</v>
      </c>
      <c r="P971" t="str">
        <f>TEXT(Table1[[#This Row],[order_date]],"yyyy-mm")</f>
        <v>2025-08</v>
      </c>
      <c r="Q971">
        <f>WEEKNUM(Table1[[#This Row],[order_date]])</f>
        <v>35</v>
      </c>
      <c r="R971">
        <f>IF(Table1[[#This Row],[order_status]]="completed",1,0)</f>
        <v>1</v>
      </c>
    </row>
    <row r="972" spans="1:18" x14ac:dyDescent="0.35">
      <c r="A972">
        <v>971</v>
      </c>
      <c r="B972" s="1">
        <v>45944</v>
      </c>
      <c r="C972">
        <v>1524</v>
      </c>
      <c r="D972" t="s">
        <v>28</v>
      </c>
      <c r="E972" t="s">
        <v>23</v>
      </c>
      <c r="F972" t="s">
        <v>17</v>
      </c>
      <c r="G972">
        <v>5</v>
      </c>
      <c r="H972">
        <v>0</v>
      </c>
      <c r="I972" t="s">
        <v>18</v>
      </c>
      <c r="J972" t="s">
        <v>37</v>
      </c>
      <c r="K972" t="s">
        <v>20</v>
      </c>
      <c r="L972">
        <v>1</v>
      </c>
      <c r="M972">
        <v>1</v>
      </c>
      <c r="N972">
        <v>1</v>
      </c>
      <c r="O972" t="s">
        <v>27</v>
      </c>
      <c r="P972" t="str">
        <f>TEXT(Table1[[#This Row],[order_date]],"yyyy-mm")</f>
        <v>2025-10</v>
      </c>
      <c r="Q972">
        <f>WEEKNUM(Table1[[#This Row],[order_date]])</f>
        <v>42</v>
      </c>
      <c r="R972">
        <f>IF(Table1[[#This Row],[order_status]]="completed",1,0)</f>
        <v>0</v>
      </c>
    </row>
    <row r="973" spans="1:18" x14ac:dyDescent="0.35">
      <c r="A973">
        <v>972</v>
      </c>
      <c r="B973" s="1">
        <v>45862</v>
      </c>
      <c r="C973">
        <v>1969</v>
      </c>
      <c r="D973" t="s">
        <v>22</v>
      </c>
      <c r="E973" t="s">
        <v>36</v>
      </c>
      <c r="F973" t="s">
        <v>34</v>
      </c>
      <c r="G973">
        <v>3</v>
      </c>
      <c r="H973">
        <v>10530</v>
      </c>
      <c r="I973" t="s">
        <v>39</v>
      </c>
      <c r="J973" t="s">
        <v>19</v>
      </c>
      <c r="K973" t="s">
        <v>38</v>
      </c>
      <c r="L973">
        <v>9</v>
      </c>
      <c r="M973">
        <v>1</v>
      </c>
      <c r="N973">
        <v>0</v>
      </c>
      <c r="O973" t="s">
        <v>27</v>
      </c>
      <c r="P973" t="str">
        <f>TEXT(Table1[[#This Row],[order_date]],"yyyy-mm")</f>
        <v>2025-07</v>
      </c>
      <c r="Q973">
        <f>WEEKNUM(Table1[[#This Row],[order_date]])</f>
        <v>30</v>
      </c>
      <c r="R973">
        <f>IF(Table1[[#This Row],[order_status]]="completed",1,0)</f>
        <v>1</v>
      </c>
    </row>
    <row r="974" spans="1:18" x14ac:dyDescent="0.35">
      <c r="A974">
        <v>973</v>
      </c>
      <c r="B974" s="1">
        <v>45980</v>
      </c>
      <c r="C974">
        <v>1045</v>
      </c>
      <c r="D974" t="s">
        <v>22</v>
      </c>
      <c r="E974" t="s">
        <v>36</v>
      </c>
      <c r="F974" t="s">
        <v>30</v>
      </c>
      <c r="G974">
        <v>5</v>
      </c>
      <c r="H974">
        <v>0</v>
      </c>
      <c r="I974" t="s">
        <v>25</v>
      </c>
      <c r="J974" t="s">
        <v>37</v>
      </c>
      <c r="K974" t="s">
        <v>40</v>
      </c>
      <c r="L974">
        <v>4</v>
      </c>
      <c r="M974">
        <v>1</v>
      </c>
      <c r="N974">
        <v>0</v>
      </c>
      <c r="O974" t="s">
        <v>21</v>
      </c>
      <c r="P974" t="str">
        <f>TEXT(Table1[[#This Row],[order_date]],"yyyy-mm")</f>
        <v>2025-11</v>
      </c>
      <c r="Q974">
        <f>WEEKNUM(Table1[[#This Row],[order_date]])</f>
        <v>47</v>
      </c>
      <c r="R974">
        <f>IF(Table1[[#This Row],[order_status]]="completed",1,0)</f>
        <v>0</v>
      </c>
    </row>
    <row r="975" spans="1:18" x14ac:dyDescent="0.35">
      <c r="A975">
        <v>974</v>
      </c>
      <c r="B975" s="1">
        <v>45919</v>
      </c>
      <c r="C975">
        <v>1161</v>
      </c>
      <c r="D975" t="s">
        <v>32</v>
      </c>
      <c r="E975" t="s">
        <v>36</v>
      </c>
      <c r="F975" t="s">
        <v>17</v>
      </c>
      <c r="G975">
        <v>4</v>
      </c>
      <c r="H975">
        <v>13540</v>
      </c>
      <c r="I975" t="s">
        <v>35</v>
      </c>
      <c r="J975" t="s">
        <v>19</v>
      </c>
      <c r="K975" t="s">
        <v>38</v>
      </c>
      <c r="L975">
        <v>8</v>
      </c>
      <c r="M975">
        <v>0</v>
      </c>
      <c r="N975">
        <v>1</v>
      </c>
      <c r="O975" t="s">
        <v>21</v>
      </c>
      <c r="P975" t="str">
        <f>TEXT(Table1[[#This Row],[order_date]],"yyyy-mm")</f>
        <v>2025-09</v>
      </c>
      <c r="Q975">
        <f>WEEKNUM(Table1[[#This Row],[order_date]])</f>
        <v>38</v>
      </c>
      <c r="R975">
        <f>IF(Table1[[#This Row],[order_status]]="completed",1,0)</f>
        <v>1</v>
      </c>
    </row>
    <row r="976" spans="1:18" x14ac:dyDescent="0.35">
      <c r="A976">
        <v>975</v>
      </c>
      <c r="B976" s="1">
        <v>45934</v>
      </c>
      <c r="C976">
        <v>1173</v>
      </c>
      <c r="D976" t="s">
        <v>41</v>
      </c>
      <c r="E976" t="s">
        <v>33</v>
      </c>
      <c r="F976" t="s">
        <v>30</v>
      </c>
      <c r="G976">
        <v>5</v>
      </c>
      <c r="H976">
        <v>0</v>
      </c>
      <c r="I976" t="s">
        <v>39</v>
      </c>
      <c r="J976" t="s">
        <v>37</v>
      </c>
      <c r="K976" t="s">
        <v>40</v>
      </c>
      <c r="L976">
        <v>5</v>
      </c>
      <c r="M976">
        <v>1</v>
      </c>
      <c r="N976">
        <v>0</v>
      </c>
      <c r="O976" t="s">
        <v>27</v>
      </c>
      <c r="P976" t="str">
        <f>TEXT(Table1[[#This Row],[order_date]],"yyyy-mm")</f>
        <v>2025-10</v>
      </c>
      <c r="Q976">
        <f>WEEKNUM(Table1[[#This Row],[order_date]])</f>
        <v>40</v>
      </c>
      <c r="R976">
        <f>IF(Table1[[#This Row],[order_status]]="completed",1,0)</f>
        <v>0</v>
      </c>
    </row>
    <row r="977" spans="1:18" x14ac:dyDescent="0.35">
      <c r="A977">
        <v>976</v>
      </c>
      <c r="B977" s="1">
        <v>45897</v>
      </c>
      <c r="C977">
        <v>1614</v>
      </c>
      <c r="D977" t="s">
        <v>22</v>
      </c>
      <c r="E977" t="s">
        <v>16</v>
      </c>
      <c r="F977" t="s">
        <v>34</v>
      </c>
      <c r="G977">
        <v>2</v>
      </c>
      <c r="H977">
        <v>0</v>
      </c>
      <c r="I977" t="s">
        <v>39</v>
      </c>
      <c r="J977" t="s">
        <v>37</v>
      </c>
      <c r="K977" t="s">
        <v>26</v>
      </c>
      <c r="L977">
        <v>2</v>
      </c>
      <c r="M977">
        <v>1</v>
      </c>
      <c r="N977">
        <v>1</v>
      </c>
      <c r="O977" t="s">
        <v>27</v>
      </c>
      <c r="P977" t="str">
        <f>TEXT(Table1[[#This Row],[order_date]],"yyyy-mm")</f>
        <v>2025-08</v>
      </c>
      <c r="Q977">
        <f>WEEKNUM(Table1[[#This Row],[order_date]])</f>
        <v>35</v>
      </c>
      <c r="R977">
        <f>IF(Table1[[#This Row],[order_status]]="completed",1,0)</f>
        <v>0</v>
      </c>
    </row>
    <row r="978" spans="1:18" x14ac:dyDescent="0.35">
      <c r="A978">
        <v>977</v>
      </c>
      <c r="B978" s="1">
        <v>46031</v>
      </c>
      <c r="C978">
        <v>1222</v>
      </c>
      <c r="D978" t="s">
        <v>32</v>
      </c>
      <c r="E978" t="s">
        <v>33</v>
      </c>
      <c r="F978" t="s">
        <v>34</v>
      </c>
      <c r="G978">
        <v>1</v>
      </c>
      <c r="H978">
        <v>0</v>
      </c>
      <c r="I978" t="s">
        <v>25</v>
      </c>
      <c r="J978" t="s">
        <v>31</v>
      </c>
      <c r="K978" t="s">
        <v>26</v>
      </c>
      <c r="L978">
        <v>5</v>
      </c>
      <c r="M978">
        <v>0</v>
      </c>
      <c r="N978">
        <v>1</v>
      </c>
      <c r="O978" t="s">
        <v>21</v>
      </c>
      <c r="P978" t="str">
        <f>TEXT(Table1[[#This Row],[order_date]],"yyyy-mm")</f>
        <v>2026-01</v>
      </c>
      <c r="Q978">
        <f>WEEKNUM(Table1[[#This Row],[order_date]])</f>
        <v>2</v>
      </c>
      <c r="R978">
        <f>IF(Table1[[#This Row],[order_status]]="completed",1,0)</f>
        <v>0</v>
      </c>
    </row>
    <row r="979" spans="1:18" x14ac:dyDescent="0.35">
      <c r="A979">
        <v>978</v>
      </c>
      <c r="B979" s="1">
        <v>46015</v>
      </c>
      <c r="C979">
        <v>1420</v>
      </c>
      <c r="D979" t="s">
        <v>32</v>
      </c>
      <c r="E979" t="s">
        <v>33</v>
      </c>
      <c r="F979" t="s">
        <v>17</v>
      </c>
      <c r="G979">
        <v>2</v>
      </c>
      <c r="H979">
        <v>0</v>
      </c>
      <c r="I979" t="s">
        <v>18</v>
      </c>
      <c r="J979" t="s">
        <v>37</v>
      </c>
      <c r="K979" t="s">
        <v>20</v>
      </c>
      <c r="L979">
        <v>8</v>
      </c>
      <c r="M979">
        <v>0</v>
      </c>
      <c r="N979">
        <v>0</v>
      </c>
      <c r="O979" t="s">
        <v>21</v>
      </c>
      <c r="P979" t="str">
        <f>TEXT(Table1[[#This Row],[order_date]],"yyyy-mm")</f>
        <v>2025-12</v>
      </c>
      <c r="Q979">
        <f>WEEKNUM(Table1[[#This Row],[order_date]])</f>
        <v>52</v>
      </c>
      <c r="R979">
        <f>IF(Table1[[#This Row],[order_status]]="completed",1,0)</f>
        <v>0</v>
      </c>
    </row>
    <row r="980" spans="1:18" x14ac:dyDescent="0.35">
      <c r="A980">
        <v>979</v>
      </c>
      <c r="B980" s="1">
        <v>45894</v>
      </c>
      <c r="C980">
        <v>1315</v>
      </c>
      <c r="D980" t="s">
        <v>22</v>
      </c>
      <c r="E980" t="s">
        <v>36</v>
      </c>
      <c r="F980" t="s">
        <v>17</v>
      </c>
      <c r="G980">
        <v>5</v>
      </c>
      <c r="H980">
        <v>0</v>
      </c>
      <c r="I980" t="s">
        <v>35</v>
      </c>
      <c r="J980" t="s">
        <v>31</v>
      </c>
      <c r="K980" t="s">
        <v>38</v>
      </c>
      <c r="L980">
        <v>1</v>
      </c>
      <c r="M980">
        <v>0</v>
      </c>
      <c r="N980">
        <v>0</v>
      </c>
      <c r="O980" t="s">
        <v>27</v>
      </c>
      <c r="P980" t="str">
        <f>TEXT(Table1[[#This Row],[order_date]],"yyyy-mm")</f>
        <v>2025-08</v>
      </c>
      <c r="Q980">
        <f>WEEKNUM(Table1[[#This Row],[order_date]])</f>
        <v>35</v>
      </c>
      <c r="R980">
        <f>IF(Table1[[#This Row],[order_status]]="completed",1,0)</f>
        <v>0</v>
      </c>
    </row>
    <row r="981" spans="1:18" x14ac:dyDescent="0.35">
      <c r="A981">
        <v>980</v>
      </c>
      <c r="B981" s="1">
        <v>45903</v>
      </c>
      <c r="C981">
        <v>1396</v>
      </c>
      <c r="D981" t="s">
        <v>28</v>
      </c>
      <c r="E981" t="s">
        <v>16</v>
      </c>
      <c r="F981" t="s">
        <v>24</v>
      </c>
      <c r="G981">
        <v>4</v>
      </c>
      <c r="H981">
        <v>0</v>
      </c>
      <c r="I981" t="s">
        <v>39</v>
      </c>
      <c r="J981" t="s">
        <v>31</v>
      </c>
      <c r="K981" t="s">
        <v>38</v>
      </c>
      <c r="L981">
        <v>4</v>
      </c>
      <c r="M981">
        <v>0</v>
      </c>
      <c r="N981">
        <v>1</v>
      </c>
      <c r="O981" t="s">
        <v>27</v>
      </c>
      <c r="P981" t="str">
        <f>TEXT(Table1[[#This Row],[order_date]],"yyyy-mm")</f>
        <v>2025-09</v>
      </c>
      <c r="Q981">
        <f>WEEKNUM(Table1[[#This Row],[order_date]])</f>
        <v>36</v>
      </c>
      <c r="R981">
        <f>IF(Table1[[#This Row],[order_status]]="completed",1,0)</f>
        <v>0</v>
      </c>
    </row>
    <row r="982" spans="1:18" x14ac:dyDescent="0.35">
      <c r="A982">
        <v>981</v>
      </c>
      <c r="B982" s="1">
        <v>46020</v>
      </c>
      <c r="C982">
        <v>1878</v>
      </c>
      <c r="D982" t="s">
        <v>15</v>
      </c>
      <c r="E982" t="s">
        <v>29</v>
      </c>
      <c r="F982" t="s">
        <v>17</v>
      </c>
      <c r="G982">
        <v>2</v>
      </c>
      <c r="H982">
        <v>0</v>
      </c>
      <c r="I982" t="s">
        <v>25</v>
      </c>
      <c r="J982" t="s">
        <v>31</v>
      </c>
      <c r="K982" t="s">
        <v>20</v>
      </c>
      <c r="L982">
        <v>8</v>
      </c>
      <c r="M982">
        <v>1</v>
      </c>
      <c r="N982">
        <v>1</v>
      </c>
      <c r="O982" t="s">
        <v>27</v>
      </c>
      <c r="P982" t="str">
        <f>TEXT(Table1[[#This Row],[order_date]],"yyyy-mm")</f>
        <v>2025-12</v>
      </c>
      <c r="Q982">
        <f>WEEKNUM(Table1[[#This Row],[order_date]])</f>
        <v>53</v>
      </c>
      <c r="R982">
        <f>IF(Table1[[#This Row],[order_status]]="completed",1,0)</f>
        <v>0</v>
      </c>
    </row>
    <row r="983" spans="1:18" x14ac:dyDescent="0.35">
      <c r="A983">
        <v>982</v>
      </c>
      <c r="B983" s="1">
        <v>45938</v>
      </c>
      <c r="C983">
        <v>1016</v>
      </c>
      <c r="D983" t="s">
        <v>15</v>
      </c>
      <c r="E983" t="s">
        <v>23</v>
      </c>
      <c r="F983" t="s">
        <v>17</v>
      </c>
      <c r="G983">
        <v>3</v>
      </c>
      <c r="H983">
        <v>0</v>
      </c>
      <c r="I983" t="s">
        <v>18</v>
      </c>
      <c r="J983" t="s">
        <v>37</v>
      </c>
      <c r="K983" t="s">
        <v>40</v>
      </c>
      <c r="L983">
        <v>7</v>
      </c>
      <c r="M983">
        <v>1</v>
      </c>
      <c r="N983">
        <v>1</v>
      </c>
      <c r="O983" t="s">
        <v>27</v>
      </c>
      <c r="P983" t="str">
        <f>TEXT(Table1[[#This Row],[order_date]],"yyyy-mm")</f>
        <v>2025-10</v>
      </c>
      <c r="Q983">
        <f>WEEKNUM(Table1[[#This Row],[order_date]])</f>
        <v>41</v>
      </c>
      <c r="R983">
        <f>IF(Table1[[#This Row],[order_status]]="completed",1,0)</f>
        <v>0</v>
      </c>
    </row>
    <row r="984" spans="1:18" x14ac:dyDescent="0.35">
      <c r="A984">
        <v>983</v>
      </c>
      <c r="B984" s="1">
        <v>45928</v>
      </c>
      <c r="C984">
        <v>1583</v>
      </c>
      <c r="D984" t="s">
        <v>32</v>
      </c>
      <c r="E984" t="s">
        <v>33</v>
      </c>
      <c r="F984" t="s">
        <v>30</v>
      </c>
      <c r="G984">
        <v>3</v>
      </c>
      <c r="H984">
        <v>6495</v>
      </c>
      <c r="I984" t="s">
        <v>18</v>
      </c>
      <c r="J984" t="s">
        <v>19</v>
      </c>
      <c r="K984" t="s">
        <v>26</v>
      </c>
      <c r="L984">
        <v>8</v>
      </c>
      <c r="M984">
        <v>0</v>
      </c>
      <c r="N984">
        <v>1</v>
      </c>
      <c r="O984" t="s">
        <v>27</v>
      </c>
      <c r="P984" t="str">
        <f>TEXT(Table1[[#This Row],[order_date]],"yyyy-mm")</f>
        <v>2025-09</v>
      </c>
      <c r="Q984">
        <f>WEEKNUM(Table1[[#This Row],[order_date]])</f>
        <v>40</v>
      </c>
      <c r="R984">
        <f>IF(Table1[[#This Row],[order_status]]="completed",1,0)</f>
        <v>1</v>
      </c>
    </row>
    <row r="985" spans="1:18" x14ac:dyDescent="0.35">
      <c r="A985">
        <v>984</v>
      </c>
      <c r="B985" s="1">
        <v>45887</v>
      </c>
      <c r="C985">
        <v>1390</v>
      </c>
      <c r="D985" t="s">
        <v>41</v>
      </c>
      <c r="E985" t="s">
        <v>23</v>
      </c>
      <c r="F985" t="s">
        <v>24</v>
      </c>
      <c r="G985">
        <v>5</v>
      </c>
      <c r="H985">
        <v>0</v>
      </c>
      <c r="I985" t="s">
        <v>35</v>
      </c>
      <c r="J985" t="s">
        <v>31</v>
      </c>
      <c r="K985" t="s">
        <v>38</v>
      </c>
      <c r="L985">
        <v>7</v>
      </c>
      <c r="M985">
        <v>0</v>
      </c>
      <c r="N985">
        <v>1</v>
      </c>
      <c r="O985" t="s">
        <v>21</v>
      </c>
      <c r="P985" t="str">
        <f>TEXT(Table1[[#This Row],[order_date]],"yyyy-mm")</f>
        <v>2025-08</v>
      </c>
      <c r="Q985">
        <f>WEEKNUM(Table1[[#This Row],[order_date]])</f>
        <v>34</v>
      </c>
      <c r="R985">
        <f>IF(Table1[[#This Row],[order_status]]="completed",1,0)</f>
        <v>0</v>
      </c>
    </row>
    <row r="986" spans="1:18" x14ac:dyDescent="0.35">
      <c r="A986">
        <v>985</v>
      </c>
      <c r="B986" s="1">
        <v>46002</v>
      </c>
      <c r="C986">
        <v>1952</v>
      </c>
      <c r="D986" t="s">
        <v>22</v>
      </c>
      <c r="E986" t="s">
        <v>23</v>
      </c>
      <c r="F986" t="s">
        <v>34</v>
      </c>
      <c r="G986">
        <v>3</v>
      </c>
      <c r="H986">
        <v>10137</v>
      </c>
      <c r="I986" t="s">
        <v>35</v>
      </c>
      <c r="J986" t="s">
        <v>19</v>
      </c>
      <c r="K986" t="s">
        <v>20</v>
      </c>
      <c r="L986">
        <v>6</v>
      </c>
      <c r="M986">
        <v>0</v>
      </c>
      <c r="N986">
        <v>0</v>
      </c>
      <c r="O986" t="s">
        <v>27</v>
      </c>
      <c r="P986" t="str">
        <f>TEXT(Table1[[#This Row],[order_date]],"yyyy-mm")</f>
        <v>2025-12</v>
      </c>
      <c r="Q986">
        <f>WEEKNUM(Table1[[#This Row],[order_date]])</f>
        <v>50</v>
      </c>
      <c r="R986">
        <f>IF(Table1[[#This Row],[order_status]]="completed",1,0)</f>
        <v>1</v>
      </c>
    </row>
    <row r="987" spans="1:18" x14ac:dyDescent="0.35">
      <c r="A987">
        <v>986</v>
      </c>
      <c r="B987" s="1">
        <v>45852</v>
      </c>
      <c r="C987">
        <v>1727</v>
      </c>
      <c r="D987" t="s">
        <v>28</v>
      </c>
      <c r="E987" t="s">
        <v>36</v>
      </c>
      <c r="F987" t="s">
        <v>30</v>
      </c>
      <c r="G987">
        <v>1</v>
      </c>
      <c r="H987">
        <v>0</v>
      </c>
      <c r="I987" t="s">
        <v>39</v>
      </c>
      <c r="J987" t="s">
        <v>31</v>
      </c>
      <c r="K987" t="s">
        <v>20</v>
      </c>
      <c r="L987">
        <v>10</v>
      </c>
      <c r="M987">
        <v>0</v>
      </c>
      <c r="N987">
        <v>1</v>
      </c>
      <c r="O987" t="s">
        <v>21</v>
      </c>
      <c r="P987" t="str">
        <f>TEXT(Table1[[#This Row],[order_date]],"yyyy-mm")</f>
        <v>2025-07</v>
      </c>
      <c r="Q987">
        <f>WEEKNUM(Table1[[#This Row],[order_date]])</f>
        <v>29</v>
      </c>
      <c r="R987">
        <f>IF(Table1[[#This Row],[order_status]]="completed",1,0)</f>
        <v>0</v>
      </c>
    </row>
    <row r="988" spans="1:18" x14ac:dyDescent="0.35">
      <c r="A988">
        <v>987</v>
      </c>
      <c r="B988" s="1">
        <v>45938</v>
      </c>
      <c r="C988">
        <v>1841</v>
      </c>
      <c r="D988" t="s">
        <v>15</v>
      </c>
      <c r="E988" t="s">
        <v>29</v>
      </c>
      <c r="F988" t="s">
        <v>34</v>
      </c>
      <c r="G988">
        <v>5</v>
      </c>
      <c r="H988">
        <v>18430</v>
      </c>
      <c r="I988" t="s">
        <v>39</v>
      </c>
      <c r="J988" t="s">
        <v>19</v>
      </c>
      <c r="K988" t="s">
        <v>38</v>
      </c>
      <c r="L988">
        <v>5</v>
      </c>
      <c r="M988">
        <v>0</v>
      </c>
      <c r="N988">
        <v>1</v>
      </c>
      <c r="O988" t="s">
        <v>27</v>
      </c>
      <c r="P988" t="str">
        <f>TEXT(Table1[[#This Row],[order_date]],"yyyy-mm")</f>
        <v>2025-10</v>
      </c>
      <c r="Q988">
        <f>WEEKNUM(Table1[[#This Row],[order_date]])</f>
        <v>41</v>
      </c>
      <c r="R988">
        <f>IF(Table1[[#This Row],[order_status]]="completed",1,0)</f>
        <v>1</v>
      </c>
    </row>
    <row r="989" spans="1:18" x14ac:dyDescent="0.35">
      <c r="A989">
        <v>988</v>
      </c>
      <c r="B989" s="1">
        <v>45907</v>
      </c>
      <c r="C989">
        <v>1224</v>
      </c>
      <c r="D989" t="s">
        <v>15</v>
      </c>
      <c r="E989" t="s">
        <v>29</v>
      </c>
      <c r="F989" t="s">
        <v>34</v>
      </c>
      <c r="G989">
        <v>2</v>
      </c>
      <c r="H989">
        <v>4520</v>
      </c>
      <c r="I989" t="s">
        <v>25</v>
      </c>
      <c r="J989" t="s">
        <v>19</v>
      </c>
      <c r="K989" t="s">
        <v>38</v>
      </c>
      <c r="L989">
        <v>7</v>
      </c>
      <c r="M989">
        <v>0</v>
      </c>
      <c r="N989">
        <v>1</v>
      </c>
      <c r="O989" t="s">
        <v>27</v>
      </c>
      <c r="P989" t="str">
        <f>TEXT(Table1[[#This Row],[order_date]],"yyyy-mm")</f>
        <v>2025-09</v>
      </c>
      <c r="Q989">
        <f>WEEKNUM(Table1[[#This Row],[order_date]])</f>
        <v>37</v>
      </c>
      <c r="R989">
        <f>IF(Table1[[#This Row],[order_status]]="completed",1,0)</f>
        <v>1</v>
      </c>
    </row>
    <row r="990" spans="1:18" x14ac:dyDescent="0.35">
      <c r="A990">
        <v>989</v>
      </c>
      <c r="B990" s="1">
        <v>45851</v>
      </c>
      <c r="C990">
        <v>1691</v>
      </c>
      <c r="D990" t="s">
        <v>15</v>
      </c>
      <c r="E990" t="s">
        <v>36</v>
      </c>
      <c r="F990" t="s">
        <v>34</v>
      </c>
      <c r="G990">
        <v>3</v>
      </c>
      <c r="H990">
        <v>0</v>
      </c>
      <c r="I990" t="s">
        <v>35</v>
      </c>
      <c r="J990" t="s">
        <v>37</v>
      </c>
      <c r="K990" t="s">
        <v>40</v>
      </c>
      <c r="L990">
        <v>10</v>
      </c>
      <c r="M990">
        <v>0</v>
      </c>
      <c r="N990">
        <v>0</v>
      </c>
      <c r="O990" t="s">
        <v>21</v>
      </c>
      <c r="P990" t="str">
        <f>TEXT(Table1[[#This Row],[order_date]],"yyyy-mm")</f>
        <v>2025-07</v>
      </c>
      <c r="Q990">
        <f>WEEKNUM(Table1[[#This Row],[order_date]])</f>
        <v>29</v>
      </c>
      <c r="R990">
        <f>IF(Table1[[#This Row],[order_status]]="completed",1,0)</f>
        <v>0</v>
      </c>
    </row>
    <row r="991" spans="1:18" x14ac:dyDescent="0.35">
      <c r="A991">
        <v>990</v>
      </c>
      <c r="B991" s="1">
        <v>45900</v>
      </c>
      <c r="C991">
        <v>1799</v>
      </c>
      <c r="D991" t="s">
        <v>32</v>
      </c>
      <c r="E991" t="s">
        <v>36</v>
      </c>
      <c r="F991" t="s">
        <v>30</v>
      </c>
      <c r="G991">
        <v>4</v>
      </c>
      <c r="H991">
        <v>4508</v>
      </c>
      <c r="I991" t="s">
        <v>18</v>
      </c>
      <c r="J991" t="s">
        <v>19</v>
      </c>
      <c r="K991" t="s">
        <v>26</v>
      </c>
      <c r="L991">
        <v>3</v>
      </c>
      <c r="M991">
        <v>0</v>
      </c>
      <c r="N991">
        <v>0</v>
      </c>
      <c r="O991" t="s">
        <v>21</v>
      </c>
      <c r="P991" t="str">
        <f>TEXT(Table1[[#This Row],[order_date]],"yyyy-mm")</f>
        <v>2025-08</v>
      </c>
      <c r="Q991">
        <f>WEEKNUM(Table1[[#This Row],[order_date]])</f>
        <v>36</v>
      </c>
      <c r="R991">
        <f>IF(Table1[[#This Row],[order_status]]="completed",1,0)</f>
        <v>1</v>
      </c>
    </row>
    <row r="992" spans="1:18" x14ac:dyDescent="0.35">
      <c r="A992">
        <v>991</v>
      </c>
      <c r="B992" s="1">
        <v>45852</v>
      </c>
      <c r="C992">
        <v>1128</v>
      </c>
      <c r="D992" t="s">
        <v>15</v>
      </c>
      <c r="E992" t="s">
        <v>36</v>
      </c>
      <c r="F992" t="s">
        <v>24</v>
      </c>
      <c r="G992">
        <v>4</v>
      </c>
      <c r="H992">
        <v>0</v>
      </c>
      <c r="I992" t="s">
        <v>39</v>
      </c>
      <c r="J992" t="s">
        <v>31</v>
      </c>
      <c r="K992" t="s">
        <v>38</v>
      </c>
      <c r="L992">
        <v>3</v>
      </c>
      <c r="M992">
        <v>0</v>
      </c>
      <c r="N992">
        <v>1</v>
      </c>
      <c r="O992" t="s">
        <v>27</v>
      </c>
      <c r="P992" t="str">
        <f>TEXT(Table1[[#This Row],[order_date]],"yyyy-mm")</f>
        <v>2025-07</v>
      </c>
      <c r="Q992">
        <f>WEEKNUM(Table1[[#This Row],[order_date]])</f>
        <v>29</v>
      </c>
      <c r="R992">
        <f>IF(Table1[[#This Row],[order_status]]="completed",1,0)</f>
        <v>0</v>
      </c>
    </row>
    <row r="993" spans="1:18" x14ac:dyDescent="0.35">
      <c r="A993">
        <v>992</v>
      </c>
      <c r="B993" s="1">
        <v>45993</v>
      </c>
      <c r="C993">
        <v>1417</v>
      </c>
      <c r="D993" t="s">
        <v>32</v>
      </c>
      <c r="E993" t="s">
        <v>33</v>
      </c>
      <c r="F993" t="s">
        <v>17</v>
      </c>
      <c r="G993">
        <v>2</v>
      </c>
      <c r="H993">
        <v>5278</v>
      </c>
      <c r="I993" t="s">
        <v>35</v>
      </c>
      <c r="J993" t="s">
        <v>19</v>
      </c>
      <c r="K993" t="s">
        <v>38</v>
      </c>
      <c r="L993">
        <v>1</v>
      </c>
      <c r="M993">
        <v>1</v>
      </c>
      <c r="N993">
        <v>0</v>
      </c>
      <c r="O993" t="s">
        <v>21</v>
      </c>
      <c r="P993" t="str">
        <f>TEXT(Table1[[#This Row],[order_date]],"yyyy-mm")</f>
        <v>2025-12</v>
      </c>
      <c r="Q993">
        <f>WEEKNUM(Table1[[#This Row],[order_date]])</f>
        <v>49</v>
      </c>
      <c r="R993">
        <f>IF(Table1[[#This Row],[order_status]]="completed",1,0)</f>
        <v>1</v>
      </c>
    </row>
    <row r="994" spans="1:18" x14ac:dyDescent="0.35">
      <c r="A994">
        <v>993</v>
      </c>
      <c r="B994" s="1">
        <v>45867</v>
      </c>
      <c r="C994">
        <v>1868</v>
      </c>
      <c r="D994" t="s">
        <v>22</v>
      </c>
      <c r="E994" t="s">
        <v>16</v>
      </c>
      <c r="F994" t="s">
        <v>24</v>
      </c>
      <c r="G994">
        <v>3</v>
      </c>
      <c r="H994">
        <v>0</v>
      </c>
      <c r="I994" t="s">
        <v>18</v>
      </c>
      <c r="J994" t="s">
        <v>37</v>
      </c>
      <c r="K994" t="s">
        <v>26</v>
      </c>
      <c r="L994">
        <v>9</v>
      </c>
      <c r="M994">
        <v>1</v>
      </c>
      <c r="N994">
        <v>1</v>
      </c>
      <c r="O994" t="s">
        <v>27</v>
      </c>
      <c r="P994" t="str">
        <f>TEXT(Table1[[#This Row],[order_date]],"yyyy-mm")</f>
        <v>2025-07</v>
      </c>
      <c r="Q994">
        <f>WEEKNUM(Table1[[#This Row],[order_date]])</f>
        <v>31</v>
      </c>
      <c r="R994">
        <f>IF(Table1[[#This Row],[order_status]]="completed",1,0)</f>
        <v>0</v>
      </c>
    </row>
    <row r="995" spans="1:18" x14ac:dyDescent="0.35">
      <c r="A995">
        <v>994</v>
      </c>
      <c r="B995" s="1">
        <v>46017</v>
      </c>
      <c r="C995">
        <v>1232</v>
      </c>
      <c r="D995" t="s">
        <v>15</v>
      </c>
      <c r="E995" t="s">
        <v>16</v>
      </c>
      <c r="F995" t="s">
        <v>17</v>
      </c>
      <c r="G995">
        <v>2</v>
      </c>
      <c r="H995">
        <v>6870</v>
      </c>
      <c r="I995" t="s">
        <v>35</v>
      </c>
      <c r="J995" t="s">
        <v>19</v>
      </c>
      <c r="K995" t="s">
        <v>38</v>
      </c>
      <c r="L995">
        <v>8</v>
      </c>
      <c r="M995">
        <v>0</v>
      </c>
      <c r="N995">
        <v>1</v>
      </c>
      <c r="O995" t="s">
        <v>27</v>
      </c>
      <c r="P995" t="str">
        <f>TEXT(Table1[[#This Row],[order_date]],"yyyy-mm")</f>
        <v>2025-12</v>
      </c>
      <c r="Q995">
        <f>WEEKNUM(Table1[[#This Row],[order_date]])</f>
        <v>52</v>
      </c>
      <c r="R995">
        <f>IF(Table1[[#This Row],[order_status]]="completed",1,0)</f>
        <v>1</v>
      </c>
    </row>
    <row r="996" spans="1:18" x14ac:dyDescent="0.35">
      <c r="A996">
        <v>995</v>
      </c>
      <c r="B996" s="1">
        <v>45977</v>
      </c>
      <c r="C996">
        <v>1232</v>
      </c>
      <c r="D996" t="s">
        <v>41</v>
      </c>
      <c r="E996" t="s">
        <v>29</v>
      </c>
      <c r="F996" t="s">
        <v>17</v>
      </c>
      <c r="G996">
        <v>1</v>
      </c>
      <c r="H996">
        <v>0</v>
      </c>
      <c r="I996" t="s">
        <v>35</v>
      </c>
      <c r="J996" t="s">
        <v>31</v>
      </c>
      <c r="K996" t="s">
        <v>40</v>
      </c>
      <c r="L996">
        <v>5</v>
      </c>
      <c r="M996">
        <v>0</v>
      </c>
      <c r="N996">
        <v>0</v>
      </c>
      <c r="O996" t="s">
        <v>21</v>
      </c>
      <c r="P996" t="str">
        <f>TEXT(Table1[[#This Row],[order_date]],"yyyy-mm")</f>
        <v>2025-11</v>
      </c>
      <c r="Q996">
        <f>WEEKNUM(Table1[[#This Row],[order_date]])</f>
        <v>47</v>
      </c>
      <c r="R996">
        <f>IF(Table1[[#This Row],[order_status]]="completed",1,0)</f>
        <v>0</v>
      </c>
    </row>
    <row r="997" spans="1:18" x14ac:dyDescent="0.35">
      <c r="A997">
        <v>996</v>
      </c>
      <c r="B997" s="1">
        <v>46002</v>
      </c>
      <c r="C997">
        <v>1178</v>
      </c>
      <c r="D997" t="s">
        <v>32</v>
      </c>
      <c r="E997" t="s">
        <v>33</v>
      </c>
      <c r="F997" t="s">
        <v>30</v>
      </c>
      <c r="G997">
        <v>4</v>
      </c>
      <c r="H997">
        <v>0</v>
      </c>
      <c r="I997" t="s">
        <v>39</v>
      </c>
      <c r="J997" t="s">
        <v>37</v>
      </c>
      <c r="K997" t="s">
        <v>26</v>
      </c>
      <c r="L997">
        <v>10</v>
      </c>
      <c r="M997">
        <v>0</v>
      </c>
      <c r="N997">
        <v>0</v>
      </c>
      <c r="O997" t="s">
        <v>27</v>
      </c>
      <c r="P997" t="str">
        <f>TEXT(Table1[[#This Row],[order_date]],"yyyy-mm")</f>
        <v>2025-12</v>
      </c>
      <c r="Q997">
        <f>WEEKNUM(Table1[[#This Row],[order_date]])</f>
        <v>50</v>
      </c>
      <c r="R997">
        <f>IF(Table1[[#This Row],[order_status]]="completed",1,0)</f>
        <v>0</v>
      </c>
    </row>
    <row r="998" spans="1:18" x14ac:dyDescent="0.35">
      <c r="A998">
        <v>997</v>
      </c>
      <c r="B998" s="1">
        <v>46016</v>
      </c>
      <c r="C998">
        <v>1581</v>
      </c>
      <c r="D998" t="s">
        <v>15</v>
      </c>
      <c r="E998" t="s">
        <v>16</v>
      </c>
      <c r="F998" t="s">
        <v>34</v>
      </c>
      <c r="G998">
        <v>5</v>
      </c>
      <c r="H998">
        <v>0</v>
      </c>
      <c r="I998" t="s">
        <v>35</v>
      </c>
      <c r="J998" t="s">
        <v>31</v>
      </c>
      <c r="K998" t="s">
        <v>20</v>
      </c>
      <c r="L998">
        <v>5</v>
      </c>
      <c r="M998">
        <v>0</v>
      </c>
      <c r="N998">
        <v>0</v>
      </c>
      <c r="O998" t="s">
        <v>27</v>
      </c>
      <c r="P998" t="str">
        <f>TEXT(Table1[[#This Row],[order_date]],"yyyy-mm")</f>
        <v>2025-12</v>
      </c>
      <c r="Q998">
        <f>WEEKNUM(Table1[[#This Row],[order_date]])</f>
        <v>52</v>
      </c>
      <c r="R998">
        <f>IF(Table1[[#This Row],[order_status]]="completed",1,0)</f>
        <v>0</v>
      </c>
    </row>
    <row r="999" spans="1:18" x14ac:dyDescent="0.35">
      <c r="A999">
        <v>998</v>
      </c>
      <c r="B999" s="1">
        <v>46015</v>
      </c>
      <c r="C999">
        <v>1449</v>
      </c>
      <c r="D999" t="s">
        <v>22</v>
      </c>
      <c r="E999" t="s">
        <v>16</v>
      </c>
      <c r="F999" t="s">
        <v>30</v>
      </c>
      <c r="G999">
        <v>5</v>
      </c>
      <c r="H999">
        <v>0</v>
      </c>
      <c r="I999" t="s">
        <v>18</v>
      </c>
      <c r="J999" t="s">
        <v>31</v>
      </c>
      <c r="K999" t="s">
        <v>20</v>
      </c>
      <c r="L999">
        <v>6</v>
      </c>
      <c r="M999">
        <v>1</v>
      </c>
      <c r="N999">
        <v>1</v>
      </c>
      <c r="O999" t="s">
        <v>21</v>
      </c>
      <c r="P999" t="str">
        <f>TEXT(Table1[[#This Row],[order_date]],"yyyy-mm")</f>
        <v>2025-12</v>
      </c>
      <c r="Q999">
        <f>WEEKNUM(Table1[[#This Row],[order_date]])</f>
        <v>52</v>
      </c>
      <c r="R999">
        <f>IF(Table1[[#This Row],[order_status]]="completed",1,0)</f>
        <v>0</v>
      </c>
    </row>
    <row r="1000" spans="1:18" x14ac:dyDescent="0.35">
      <c r="A1000">
        <v>999</v>
      </c>
      <c r="B1000" s="1">
        <v>45920</v>
      </c>
      <c r="C1000">
        <v>1355</v>
      </c>
      <c r="D1000" t="s">
        <v>32</v>
      </c>
      <c r="E1000" t="s">
        <v>33</v>
      </c>
      <c r="F1000" t="s">
        <v>34</v>
      </c>
      <c r="G1000">
        <v>3</v>
      </c>
      <c r="H1000">
        <v>0</v>
      </c>
      <c r="I1000" t="s">
        <v>18</v>
      </c>
      <c r="J1000" t="s">
        <v>37</v>
      </c>
      <c r="K1000" t="s">
        <v>38</v>
      </c>
      <c r="L1000">
        <v>1</v>
      </c>
      <c r="M1000">
        <v>0</v>
      </c>
      <c r="N1000">
        <v>1</v>
      </c>
      <c r="O1000" t="s">
        <v>27</v>
      </c>
      <c r="P1000" t="str">
        <f>TEXT(Table1[[#This Row],[order_date]],"yyyy-mm")</f>
        <v>2025-09</v>
      </c>
      <c r="Q1000">
        <f>WEEKNUM(Table1[[#This Row],[order_date]])</f>
        <v>38</v>
      </c>
      <c r="R1000">
        <f>IF(Table1[[#This Row],[order_status]]="completed",1,0)</f>
        <v>0</v>
      </c>
    </row>
    <row r="1001" spans="1:18" x14ac:dyDescent="0.35">
      <c r="A1001">
        <v>1000</v>
      </c>
      <c r="B1001" s="1">
        <v>46005</v>
      </c>
      <c r="C1001">
        <v>1003</v>
      </c>
      <c r="D1001" t="s">
        <v>28</v>
      </c>
      <c r="E1001" t="s">
        <v>16</v>
      </c>
      <c r="F1001" t="s">
        <v>30</v>
      </c>
      <c r="G1001">
        <v>2</v>
      </c>
      <c r="H1001">
        <v>1662</v>
      </c>
      <c r="I1001" t="s">
        <v>35</v>
      </c>
      <c r="J1001" t="s">
        <v>19</v>
      </c>
      <c r="K1001" t="s">
        <v>26</v>
      </c>
      <c r="L1001">
        <v>4</v>
      </c>
      <c r="M1001">
        <v>1</v>
      </c>
      <c r="N1001">
        <v>1</v>
      </c>
      <c r="O1001" t="s">
        <v>27</v>
      </c>
      <c r="P1001" t="str">
        <f>TEXT(Table1[[#This Row],[order_date]],"yyyy-mm")</f>
        <v>2025-12</v>
      </c>
      <c r="Q1001">
        <f>WEEKNUM(Table1[[#This Row],[order_date]])</f>
        <v>51</v>
      </c>
      <c r="R1001">
        <f>IF(Table1[[#This Row],[order_status]]="completed",1,0)</f>
        <v>1</v>
      </c>
    </row>
    <row r="1002" spans="1:18" x14ac:dyDescent="0.35">
      <c r="A1002">
        <v>1001</v>
      </c>
      <c r="B1002" s="1">
        <v>45886</v>
      </c>
      <c r="C1002">
        <v>1636</v>
      </c>
      <c r="D1002" t="s">
        <v>41</v>
      </c>
      <c r="E1002" t="s">
        <v>23</v>
      </c>
      <c r="F1002" t="s">
        <v>24</v>
      </c>
      <c r="G1002">
        <v>2</v>
      </c>
      <c r="H1002">
        <v>0</v>
      </c>
      <c r="I1002" t="s">
        <v>39</v>
      </c>
      <c r="J1002" t="s">
        <v>31</v>
      </c>
      <c r="K1002" t="s">
        <v>38</v>
      </c>
      <c r="L1002">
        <v>1</v>
      </c>
      <c r="M1002">
        <v>1</v>
      </c>
      <c r="N1002">
        <v>0</v>
      </c>
      <c r="O1002" t="s">
        <v>27</v>
      </c>
      <c r="P1002" t="str">
        <f>TEXT(Table1[[#This Row],[order_date]],"yyyy-mm")</f>
        <v>2025-08</v>
      </c>
      <c r="Q1002">
        <f>WEEKNUM(Table1[[#This Row],[order_date]])</f>
        <v>34</v>
      </c>
      <c r="R1002">
        <f>IF(Table1[[#This Row],[order_status]]="completed",1,0)</f>
        <v>0</v>
      </c>
    </row>
    <row r="1003" spans="1:18" x14ac:dyDescent="0.35">
      <c r="A1003">
        <v>1002</v>
      </c>
      <c r="B1003" s="1">
        <v>45983</v>
      </c>
      <c r="C1003">
        <v>1385</v>
      </c>
      <c r="D1003" t="s">
        <v>28</v>
      </c>
      <c r="E1003" t="s">
        <v>16</v>
      </c>
      <c r="F1003" t="s">
        <v>34</v>
      </c>
      <c r="G1003">
        <v>3</v>
      </c>
      <c r="H1003">
        <v>12582</v>
      </c>
      <c r="I1003" t="s">
        <v>35</v>
      </c>
      <c r="J1003" t="s">
        <v>19</v>
      </c>
      <c r="K1003" t="s">
        <v>20</v>
      </c>
      <c r="L1003">
        <v>4</v>
      </c>
      <c r="M1003">
        <v>1</v>
      </c>
      <c r="N1003">
        <v>0</v>
      </c>
      <c r="O1003" t="s">
        <v>27</v>
      </c>
      <c r="P1003" t="str">
        <f>TEXT(Table1[[#This Row],[order_date]],"yyyy-mm")</f>
        <v>2025-11</v>
      </c>
      <c r="Q1003">
        <f>WEEKNUM(Table1[[#This Row],[order_date]])</f>
        <v>47</v>
      </c>
      <c r="R1003">
        <f>IF(Table1[[#This Row],[order_status]]="completed",1,0)</f>
        <v>1</v>
      </c>
    </row>
    <row r="1004" spans="1:18" x14ac:dyDescent="0.35">
      <c r="A1004">
        <v>1003</v>
      </c>
      <c r="B1004" s="1">
        <v>45858</v>
      </c>
      <c r="C1004">
        <v>1978</v>
      </c>
      <c r="D1004" t="s">
        <v>28</v>
      </c>
      <c r="E1004" t="s">
        <v>23</v>
      </c>
      <c r="F1004" t="s">
        <v>17</v>
      </c>
      <c r="G1004">
        <v>5</v>
      </c>
      <c r="H1004">
        <v>0</v>
      </c>
      <c r="I1004" t="s">
        <v>35</v>
      </c>
      <c r="J1004" t="s">
        <v>31</v>
      </c>
      <c r="K1004" t="s">
        <v>38</v>
      </c>
      <c r="L1004">
        <v>8</v>
      </c>
      <c r="M1004">
        <v>0</v>
      </c>
      <c r="N1004">
        <v>0</v>
      </c>
      <c r="O1004" t="s">
        <v>27</v>
      </c>
      <c r="P1004" t="str">
        <f>TEXT(Table1[[#This Row],[order_date]],"yyyy-mm")</f>
        <v>2025-07</v>
      </c>
      <c r="Q1004">
        <f>WEEKNUM(Table1[[#This Row],[order_date]])</f>
        <v>30</v>
      </c>
      <c r="R1004">
        <f>IF(Table1[[#This Row],[order_status]]="completed",1,0)</f>
        <v>0</v>
      </c>
    </row>
    <row r="1005" spans="1:18" x14ac:dyDescent="0.35">
      <c r="A1005">
        <v>1004</v>
      </c>
      <c r="B1005" s="1">
        <v>46025</v>
      </c>
      <c r="C1005">
        <v>1740</v>
      </c>
      <c r="D1005" t="s">
        <v>15</v>
      </c>
      <c r="E1005" t="s">
        <v>36</v>
      </c>
      <c r="F1005" t="s">
        <v>30</v>
      </c>
      <c r="G1005">
        <v>1</v>
      </c>
      <c r="H1005">
        <v>0</v>
      </c>
      <c r="I1005" t="s">
        <v>39</v>
      </c>
      <c r="J1005" t="s">
        <v>31</v>
      </c>
      <c r="K1005" t="s">
        <v>26</v>
      </c>
      <c r="L1005">
        <v>8</v>
      </c>
      <c r="M1005">
        <v>1</v>
      </c>
      <c r="N1005">
        <v>0</v>
      </c>
      <c r="O1005" t="s">
        <v>21</v>
      </c>
      <c r="P1005" t="str">
        <f>TEXT(Table1[[#This Row],[order_date]],"yyyy-mm")</f>
        <v>2026-01</v>
      </c>
      <c r="Q1005">
        <f>WEEKNUM(Table1[[#This Row],[order_date]])</f>
        <v>1</v>
      </c>
      <c r="R1005">
        <f>IF(Table1[[#This Row],[order_status]]="completed",1,0)</f>
        <v>0</v>
      </c>
    </row>
    <row r="1006" spans="1:18" x14ac:dyDescent="0.35">
      <c r="A1006">
        <v>1005</v>
      </c>
      <c r="B1006" s="1">
        <v>45944</v>
      </c>
      <c r="C1006">
        <v>1026</v>
      </c>
      <c r="D1006" t="s">
        <v>28</v>
      </c>
      <c r="E1006" t="s">
        <v>23</v>
      </c>
      <c r="F1006" t="s">
        <v>34</v>
      </c>
      <c r="G1006">
        <v>1</v>
      </c>
      <c r="H1006">
        <v>332</v>
      </c>
      <c r="I1006" t="s">
        <v>35</v>
      </c>
      <c r="J1006" t="s">
        <v>19</v>
      </c>
      <c r="K1006" t="s">
        <v>26</v>
      </c>
      <c r="L1006">
        <v>4</v>
      </c>
      <c r="M1006">
        <v>0</v>
      </c>
      <c r="N1006">
        <v>1</v>
      </c>
      <c r="O1006" t="s">
        <v>27</v>
      </c>
      <c r="P1006" t="str">
        <f>TEXT(Table1[[#This Row],[order_date]],"yyyy-mm")</f>
        <v>2025-10</v>
      </c>
      <c r="Q1006">
        <f>WEEKNUM(Table1[[#This Row],[order_date]])</f>
        <v>42</v>
      </c>
      <c r="R1006">
        <f>IF(Table1[[#This Row],[order_status]]="completed",1,0)</f>
        <v>1</v>
      </c>
    </row>
    <row r="1007" spans="1:18" x14ac:dyDescent="0.35">
      <c r="A1007">
        <v>1006</v>
      </c>
      <c r="B1007" s="1">
        <v>45903</v>
      </c>
      <c r="C1007">
        <v>1430</v>
      </c>
      <c r="D1007" t="s">
        <v>32</v>
      </c>
      <c r="E1007" t="s">
        <v>23</v>
      </c>
      <c r="F1007" t="s">
        <v>17</v>
      </c>
      <c r="G1007">
        <v>1</v>
      </c>
      <c r="H1007">
        <v>0</v>
      </c>
      <c r="I1007" t="s">
        <v>18</v>
      </c>
      <c r="J1007" t="s">
        <v>31</v>
      </c>
      <c r="K1007" t="s">
        <v>20</v>
      </c>
      <c r="L1007">
        <v>8</v>
      </c>
      <c r="M1007">
        <v>0</v>
      </c>
      <c r="N1007">
        <v>0</v>
      </c>
      <c r="O1007" t="s">
        <v>27</v>
      </c>
      <c r="P1007" t="str">
        <f>TEXT(Table1[[#This Row],[order_date]],"yyyy-mm")</f>
        <v>2025-09</v>
      </c>
      <c r="Q1007">
        <f>WEEKNUM(Table1[[#This Row],[order_date]])</f>
        <v>36</v>
      </c>
      <c r="R1007">
        <f>IF(Table1[[#This Row],[order_status]]="completed",1,0)</f>
        <v>0</v>
      </c>
    </row>
    <row r="1008" spans="1:18" x14ac:dyDescent="0.35">
      <c r="A1008">
        <v>1007</v>
      </c>
      <c r="B1008" s="1">
        <v>45895</v>
      </c>
      <c r="C1008">
        <v>1039</v>
      </c>
      <c r="D1008" t="s">
        <v>41</v>
      </c>
      <c r="E1008" t="s">
        <v>33</v>
      </c>
      <c r="F1008" t="s">
        <v>34</v>
      </c>
      <c r="G1008">
        <v>4</v>
      </c>
      <c r="H1008">
        <v>0</v>
      </c>
      <c r="I1008" t="s">
        <v>25</v>
      </c>
      <c r="J1008" t="s">
        <v>37</v>
      </c>
      <c r="K1008" t="s">
        <v>26</v>
      </c>
      <c r="L1008">
        <v>1</v>
      </c>
      <c r="M1008">
        <v>1</v>
      </c>
      <c r="N1008">
        <v>0</v>
      </c>
      <c r="O1008" t="s">
        <v>27</v>
      </c>
      <c r="P1008" t="str">
        <f>TEXT(Table1[[#This Row],[order_date]],"yyyy-mm")</f>
        <v>2025-08</v>
      </c>
      <c r="Q1008">
        <f>WEEKNUM(Table1[[#This Row],[order_date]])</f>
        <v>35</v>
      </c>
      <c r="R1008">
        <f>IF(Table1[[#This Row],[order_status]]="completed",1,0)</f>
        <v>0</v>
      </c>
    </row>
    <row r="1009" spans="1:18" x14ac:dyDescent="0.35">
      <c r="A1009">
        <v>1008</v>
      </c>
      <c r="B1009" s="1">
        <v>45861</v>
      </c>
      <c r="C1009">
        <v>1152</v>
      </c>
      <c r="D1009" t="s">
        <v>32</v>
      </c>
      <c r="E1009" t="s">
        <v>29</v>
      </c>
      <c r="F1009" t="s">
        <v>17</v>
      </c>
      <c r="G1009">
        <v>1</v>
      </c>
      <c r="H1009">
        <v>2915</v>
      </c>
      <c r="I1009" t="s">
        <v>39</v>
      </c>
      <c r="J1009" t="s">
        <v>19</v>
      </c>
      <c r="K1009" t="s">
        <v>38</v>
      </c>
      <c r="L1009">
        <v>4</v>
      </c>
      <c r="M1009">
        <v>0</v>
      </c>
      <c r="N1009">
        <v>0</v>
      </c>
      <c r="O1009" t="s">
        <v>27</v>
      </c>
      <c r="P1009" t="str">
        <f>TEXT(Table1[[#This Row],[order_date]],"yyyy-mm")</f>
        <v>2025-07</v>
      </c>
      <c r="Q1009">
        <f>WEEKNUM(Table1[[#This Row],[order_date]])</f>
        <v>30</v>
      </c>
      <c r="R1009">
        <f>IF(Table1[[#This Row],[order_status]]="completed",1,0)</f>
        <v>1</v>
      </c>
    </row>
    <row r="1010" spans="1:18" x14ac:dyDescent="0.35">
      <c r="A1010">
        <v>1009</v>
      </c>
      <c r="B1010" s="1">
        <v>45981</v>
      </c>
      <c r="C1010">
        <v>1653</v>
      </c>
      <c r="D1010" t="s">
        <v>32</v>
      </c>
      <c r="E1010" t="s">
        <v>33</v>
      </c>
      <c r="F1010" t="s">
        <v>30</v>
      </c>
      <c r="G1010">
        <v>4</v>
      </c>
      <c r="H1010">
        <v>0</v>
      </c>
      <c r="I1010" t="s">
        <v>25</v>
      </c>
      <c r="J1010" t="s">
        <v>31</v>
      </c>
      <c r="K1010" t="s">
        <v>38</v>
      </c>
      <c r="L1010">
        <v>5</v>
      </c>
      <c r="M1010">
        <v>0</v>
      </c>
      <c r="N1010">
        <v>0</v>
      </c>
      <c r="O1010" t="s">
        <v>27</v>
      </c>
      <c r="P1010" t="str">
        <f>TEXT(Table1[[#This Row],[order_date]],"yyyy-mm")</f>
        <v>2025-11</v>
      </c>
      <c r="Q1010">
        <f>WEEKNUM(Table1[[#This Row],[order_date]])</f>
        <v>47</v>
      </c>
      <c r="R1010">
        <f>IF(Table1[[#This Row],[order_status]]="completed",1,0)</f>
        <v>0</v>
      </c>
    </row>
    <row r="1011" spans="1:18" x14ac:dyDescent="0.35">
      <c r="A1011">
        <v>1010</v>
      </c>
      <c r="B1011" s="1">
        <v>46024</v>
      </c>
      <c r="C1011">
        <v>1730</v>
      </c>
      <c r="D1011" t="s">
        <v>41</v>
      </c>
      <c r="E1011" t="s">
        <v>33</v>
      </c>
      <c r="F1011" t="s">
        <v>34</v>
      </c>
      <c r="G1011">
        <v>2</v>
      </c>
      <c r="H1011">
        <v>0</v>
      </c>
      <c r="I1011" t="s">
        <v>39</v>
      </c>
      <c r="J1011" t="s">
        <v>37</v>
      </c>
      <c r="K1011" t="s">
        <v>40</v>
      </c>
      <c r="L1011">
        <v>9</v>
      </c>
      <c r="M1011">
        <v>0</v>
      </c>
      <c r="N1011">
        <v>1</v>
      </c>
      <c r="O1011" t="s">
        <v>21</v>
      </c>
      <c r="P1011" t="str">
        <f>TEXT(Table1[[#This Row],[order_date]],"yyyy-mm")</f>
        <v>2026-01</v>
      </c>
      <c r="Q1011">
        <f>WEEKNUM(Table1[[#This Row],[order_date]])</f>
        <v>1</v>
      </c>
      <c r="R1011">
        <f>IF(Table1[[#This Row],[order_status]]="completed",1,0)</f>
        <v>0</v>
      </c>
    </row>
    <row r="1012" spans="1:18" x14ac:dyDescent="0.35">
      <c r="A1012">
        <v>1011</v>
      </c>
      <c r="B1012" s="1">
        <v>45997</v>
      </c>
      <c r="C1012">
        <v>1753</v>
      </c>
      <c r="D1012" t="s">
        <v>28</v>
      </c>
      <c r="E1012" t="s">
        <v>23</v>
      </c>
      <c r="F1012" t="s">
        <v>17</v>
      </c>
      <c r="G1012">
        <v>1</v>
      </c>
      <c r="H1012">
        <v>0</v>
      </c>
      <c r="I1012" t="s">
        <v>35</v>
      </c>
      <c r="J1012" t="s">
        <v>37</v>
      </c>
      <c r="K1012" t="s">
        <v>26</v>
      </c>
      <c r="L1012">
        <v>5</v>
      </c>
      <c r="M1012">
        <v>1</v>
      </c>
      <c r="N1012">
        <v>0</v>
      </c>
      <c r="O1012" t="s">
        <v>21</v>
      </c>
      <c r="P1012" t="str">
        <f>TEXT(Table1[[#This Row],[order_date]],"yyyy-mm")</f>
        <v>2025-12</v>
      </c>
      <c r="Q1012">
        <f>WEEKNUM(Table1[[#This Row],[order_date]])</f>
        <v>49</v>
      </c>
      <c r="R1012">
        <f>IF(Table1[[#This Row],[order_status]]="completed",1,0)</f>
        <v>0</v>
      </c>
    </row>
    <row r="1013" spans="1:18" x14ac:dyDescent="0.35">
      <c r="A1013">
        <v>1012</v>
      </c>
      <c r="B1013" s="1">
        <v>45924</v>
      </c>
      <c r="C1013">
        <v>1652</v>
      </c>
      <c r="D1013" t="s">
        <v>28</v>
      </c>
      <c r="E1013" t="s">
        <v>36</v>
      </c>
      <c r="F1013" t="s">
        <v>17</v>
      </c>
      <c r="G1013">
        <v>3</v>
      </c>
      <c r="H1013">
        <v>11178</v>
      </c>
      <c r="I1013" t="s">
        <v>18</v>
      </c>
      <c r="J1013" t="s">
        <v>19</v>
      </c>
      <c r="K1013" t="s">
        <v>20</v>
      </c>
      <c r="L1013">
        <v>6</v>
      </c>
      <c r="M1013">
        <v>1</v>
      </c>
      <c r="N1013">
        <v>0</v>
      </c>
      <c r="O1013" t="s">
        <v>21</v>
      </c>
      <c r="P1013" t="str">
        <f>TEXT(Table1[[#This Row],[order_date]],"yyyy-mm")</f>
        <v>2025-09</v>
      </c>
      <c r="Q1013">
        <f>WEEKNUM(Table1[[#This Row],[order_date]])</f>
        <v>39</v>
      </c>
      <c r="R1013">
        <f>IF(Table1[[#This Row],[order_status]]="completed",1,0)</f>
        <v>1</v>
      </c>
    </row>
    <row r="1014" spans="1:18" x14ac:dyDescent="0.35">
      <c r="A1014">
        <v>1013</v>
      </c>
      <c r="B1014" s="1">
        <v>46023</v>
      </c>
      <c r="C1014">
        <v>1356</v>
      </c>
      <c r="D1014" t="s">
        <v>15</v>
      </c>
      <c r="E1014" t="s">
        <v>23</v>
      </c>
      <c r="F1014" t="s">
        <v>24</v>
      </c>
      <c r="G1014">
        <v>2</v>
      </c>
      <c r="H1014">
        <v>2380</v>
      </c>
      <c r="I1014" t="s">
        <v>35</v>
      </c>
      <c r="J1014" t="s">
        <v>19</v>
      </c>
      <c r="K1014" t="s">
        <v>20</v>
      </c>
      <c r="L1014">
        <v>5</v>
      </c>
      <c r="M1014">
        <v>0</v>
      </c>
      <c r="N1014">
        <v>1</v>
      </c>
      <c r="O1014" t="s">
        <v>21</v>
      </c>
      <c r="P1014" t="str">
        <f>TEXT(Table1[[#This Row],[order_date]],"yyyy-mm")</f>
        <v>2026-01</v>
      </c>
      <c r="Q1014">
        <f>WEEKNUM(Table1[[#This Row],[order_date]])</f>
        <v>1</v>
      </c>
      <c r="R1014">
        <f>IF(Table1[[#This Row],[order_status]]="completed",1,0)</f>
        <v>1</v>
      </c>
    </row>
    <row r="1015" spans="1:18" x14ac:dyDescent="0.35">
      <c r="A1015">
        <v>1014</v>
      </c>
      <c r="B1015" s="1">
        <v>45975</v>
      </c>
      <c r="C1015">
        <v>1548</v>
      </c>
      <c r="D1015" t="s">
        <v>22</v>
      </c>
      <c r="E1015" t="s">
        <v>33</v>
      </c>
      <c r="F1015" t="s">
        <v>24</v>
      </c>
      <c r="G1015">
        <v>5</v>
      </c>
      <c r="H1015">
        <v>0</v>
      </c>
      <c r="I1015" t="s">
        <v>18</v>
      </c>
      <c r="J1015" t="s">
        <v>31</v>
      </c>
      <c r="K1015" t="s">
        <v>40</v>
      </c>
      <c r="L1015">
        <v>1</v>
      </c>
      <c r="M1015">
        <v>1</v>
      </c>
      <c r="N1015">
        <v>1</v>
      </c>
      <c r="O1015" t="s">
        <v>27</v>
      </c>
      <c r="P1015" t="str">
        <f>TEXT(Table1[[#This Row],[order_date]],"yyyy-mm")</f>
        <v>2025-11</v>
      </c>
      <c r="Q1015">
        <f>WEEKNUM(Table1[[#This Row],[order_date]])</f>
        <v>46</v>
      </c>
      <c r="R1015">
        <f>IF(Table1[[#This Row],[order_status]]="completed",1,0)</f>
        <v>0</v>
      </c>
    </row>
    <row r="1016" spans="1:18" x14ac:dyDescent="0.35">
      <c r="A1016">
        <v>1015</v>
      </c>
      <c r="B1016" s="1">
        <v>45907</v>
      </c>
      <c r="C1016">
        <v>1096</v>
      </c>
      <c r="D1016" t="s">
        <v>41</v>
      </c>
      <c r="E1016" t="s">
        <v>23</v>
      </c>
      <c r="F1016" t="s">
        <v>30</v>
      </c>
      <c r="G1016">
        <v>4</v>
      </c>
      <c r="H1016">
        <v>1824</v>
      </c>
      <c r="I1016" t="s">
        <v>39</v>
      </c>
      <c r="J1016" t="s">
        <v>19</v>
      </c>
      <c r="K1016" t="s">
        <v>26</v>
      </c>
      <c r="L1016">
        <v>2</v>
      </c>
      <c r="M1016">
        <v>0</v>
      </c>
      <c r="N1016">
        <v>0</v>
      </c>
      <c r="O1016" t="s">
        <v>27</v>
      </c>
      <c r="P1016" t="str">
        <f>TEXT(Table1[[#This Row],[order_date]],"yyyy-mm")</f>
        <v>2025-09</v>
      </c>
      <c r="Q1016">
        <f>WEEKNUM(Table1[[#This Row],[order_date]])</f>
        <v>37</v>
      </c>
      <c r="R1016">
        <f>IF(Table1[[#This Row],[order_status]]="completed",1,0)</f>
        <v>1</v>
      </c>
    </row>
    <row r="1017" spans="1:18" x14ac:dyDescent="0.35">
      <c r="A1017">
        <v>1016</v>
      </c>
      <c r="B1017" s="1">
        <v>45990</v>
      </c>
      <c r="C1017">
        <v>1789</v>
      </c>
      <c r="D1017" t="s">
        <v>41</v>
      </c>
      <c r="E1017" t="s">
        <v>23</v>
      </c>
      <c r="F1017" t="s">
        <v>24</v>
      </c>
      <c r="G1017">
        <v>3</v>
      </c>
      <c r="H1017">
        <v>0</v>
      </c>
      <c r="I1017" t="s">
        <v>39</v>
      </c>
      <c r="J1017" t="s">
        <v>31</v>
      </c>
      <c r="K1017" t="s">
        <v>20</v>
      </c>
      <c r="L1017">
        <v>6</v>
      </c>
      <c r="M1017">
        <v>1</v>
      </c>
      <c r="N1017">
        <v>1</v>
      </c>
      <c r="O1017" t="s">
        <v>21</v>
      </c>
      <c r="P1017" t="str">
        <f>TEXT(Table1[[#This Row],[order_date]],"yyyy-mm")</f>
        <v>2025-11</v>
      </c>
      <c r="Q1017">
        <f>WEEKNUM(Table1[[#This Row],[order_date]])</f>
        <v>48</v>
      </c>
      <c r="R1017">
        <f>IF(Table1[[#This Row],[order_status]]="completed",1,0)</f>
        <v>0</v>
      </c>
    </row>
    <row r="1018" spans="1:18" x14ac:dyDescent="0.35">
      <c r="A1018">
        <v>1017</v>
      </c>
      <c r="B1018" s="1">
        <v>45859</v>
      </c>
      <c r="C1018">
        <v>1339</v>
      </c>
      <c r="D1018" t="s">
        <v>28</v>
      </c>
      <c r="E1018" t="s">
        <v>29</v>
      </c>
      <c r="F1018" t="s">
        <v>24</v>
      </c>
      <c r="G1018">
        <v>1</v>
      </c>
      <c r="H1018">
        <v>0</v>
      </c>
      <c r="I1018" t="s">
        <v>25</v>
      </c>
      <c r="J1018" t="s">
        <v>37</v>
      </c>
      <c r="K1018" t="s">
        <v>38</v>
      </c>
      <c r="L1018">
        <v>10</v>
      </c>
      <c r="M1018">
        <v>1</v>
      </c>
      <c r="N1018">
        <v>0</v>
      </c>
      <c r="O1018" t="s">
        <v>27</v>
      </c>
      <c r="P1018" t="str">
        <f>TEXT(Table1[[#This Row],[order_date]],"yyyy-mm")</f>
        <v>2025-07</v>
      </c>
      <c r="Q1018">
        <f>WEEKNUM(Table1[[#This Row],[order_date]])</f>
        <v>30</v>
      </c>
      <c r="R1018">
        <f>IF(Table1[[#This Row],[order_status]]="completed",1,0)</f>
        <v>0</v>
      </c>
    </row>
    <row r="1019" spans="1:18" x14ac:dyDescent="0.35">
      <c r="A1019">
        <v>1018</v>
      </c>
      <c r="B1019" s="1">
        <v>45867</v>
      </c>
      <c r="C1019">
        <v>1329</v>
      </c>
      <c r="D1019" t="s">
        <v>28</v>
      </c>
      <c r="E1019" t="s">
        <v>29</v>
      </c>
      <c r="F1019" t="s">
        <v>17</v>
      </c>
      <c r="G1019">
        <v>2</v>
      </c>
      <c r="H1019">
        <v>0</v>
      </c>
      <c r="I1019" t="s">
        <v>39</v>
      </c>
      <c r="J1019" t="s">
        <v>31</v>
      </c>
      <c r="K1019" t="s">
        <v>40</v>
      </c>
      <c r="L1019">
        <v>7</v>
      </c>
      <c r="M1019">
        <v>0</v>
      </c>
      <c r="N1019">
        <v>0</v>
      </c>
      <c r="O1019" t="s">
        <v>21</v>
      </c>
      <c r="P1019" t="str">
        <f>TEXT(Table1[[#This Row],[order_date]],"yyyy-mm")</f>
        <v>2025-07</v>
      </c>
      <c r="Q1019">
        <f>WEEKNUM(Table1[[#This Row],[order_date]])</f>
        <v>31</v>
      </c>
      <c r="R1019">
        <f>IF(Table1[[#This Row],[order_status]]="completed",1,0)</f>
        <v>0</v>
      </c>
    </row>
    <row r="1020" spans="1:18" x14ac:dyDescent="0.35">
      <c r="A1020">
        <v>1019</v>
      </c>
      <c r="B1020" s="1">
        <v>45871</v>
      </c>
      <c r="C1020">
        <v>1420</v>
      </c>
      <c r="D1020" t="s">
        <v>41</v>
      </c>
      <c r="E1020" t="s">
        <v>23</v>
      </c>
      <c r="F1020" t="s">
        <v>34</v>
      </c>
      <c r="G1020">
        <v>2</v>
      </c>
      <c r="H1020">
        <v>0</v>
      </c>
      <c r="I1020" t="s">
        <v>18</v>
      </c>
      <c r="J1020" t="s">
        <v>37</v>
      </c>
      <c r="K1020" t="s">
        <v>20</v>
      </c>
      <c r="L1020">
        <v>6</v>
      </c>
      <c r="M1020">
        <v>1</v>
      </c>
      <c r="N1020">
        <v>0</v>
      </c>
      <c r="O1020" t="s">
        <v>27</v>
      </c>
      <c r="P1020" t="str">
        <f>TEXT(Table1[[#This Row],[order_date]],"yyyy-mm")</f>
        <v>2025-08</v>
      </c>
      <c r="Q1020">
        <f>WEEKNUM(Table1[[#This Row],[order_date]])</f>
        <v>31</v>
      </c>
      <c r="R1020">
        <f>IF(Table1[[#This Row],[order_status]]="completed",1,0)</f>
        <v>0</v>
      </c>
    </row>
    <row r="1021" spans="1:18" x14ac:dyDescent="0.35">
      <c r="A1021">
        <v>1020</v>
      </c>
      <c r="B1021" s="1">
        <v>45943</v>
      </c>
      <c r="C1021">
        <v>1326</v>
      </c>
      <c r="D1021" t="s">
        <v>15</v>
      </c>
      <c r="E1021" t="s">
        <v>36</v>
      </c>
      <c r="F1021" t="s">
        <v>17</v>
      </c>
      <c r="G1021">
        <v>3</v>
      </c>
      <c r="H1021">
        <v>0</v>
      </c>
      <c r="I1021" t="s">
        <v>25</v>
      </c>
      <c r="J1021" t="s">
        <v>37</v>
      </c>
      <c r="K1021" t="s">
        <v>38</v>
      </c>
      <c r="L1021">
        <v>5</v>
      </c>
      <c r="M1021">
        <v>0</v>
      </c>
      <c r="N1021">
        <v>0</v>
      </c>
      <c r="O1021" t="s">
        <v>21</v>
      </c>
      <c r="P1021" t="str">
        <f>TEXT(Table1[[#This Row],[order_date]],"yyyy-mm")</f>
        <v>2025-10</v>
      </c>
      <c r="Q1021">
        <f>WEEKNUM(Table1[[#This Row],[order_date]])</f>
        <v>42</v>
      </c>
      <c r="R1021">
        <f>IF(Table1[[#This Row],[order_status]]="completed",1,0)</f>
        <v>0</v>
      </c>
    </row>
    <row r="1022" spans="1:18" x14ac:dyDescent="0.35">
      <c r="A1022">
        <v>1021</v>
      </c>
      <c r="B1022" s="1">
        <v>45980</v>
      </c>
      <c r="C1022">
        <v>1675</v>
      </c>
      <c r="D1022" t="s">
        <v>15</v>
      </c>
      <c r="E1022" t="s">
        <v>36</v>
      </c>
      <c r="F1022" t="s">
        <v>24</v>
      </c>
      <c r="G1022">
        <v>4</v>
      </c>
      <c r="H1022">
        <v>0</v>
      </c>
      <c r="I1022" t="s">
        <v>25</v>
      </c>
      <c r="J1022" t="s">
        <v>31</v>
      </c>
      <c r="K1022" t="s">
        <v>26</v>
      </c>
      <c r="L1022">
        <v>4</v>
      </c>
      <c r="M1022">
        <v>0</v>
      </c>
      <c r="N1022">
        <v>1</v>
      </c>
      <c r="O1022" t="s">
        <v>27</v>
      </c>
      <c r="P1022" t="str">
        <f>TEXT(Table1[[#This Row],[order_date]],"yyyy-mm")</f>
        <v>2025-11</v>
      </c>
      <c r="Q1022">
        <f>WEEKNUM(Table1[[#This Row],[order_date]])</f>
        <v>47</v>
      </c>
      <c r="R1022">
        <f>IF(Table1[[#This Row],[order_status]]="completed",1,0)</f>
        <v>0</v>
      </c>
    </row>
    <row r="1023" spans="1:18" x14ac:dyDescent="0.35">
      <c r="A1023">
        <v>1022</v>
      </c>
      <c r="B1023" s="1">
        <v>45999</v>
      </c>
      <c r="C1023">
        <v>1039</v>
      </c>
      <c r="D1023" t="s">
        <v>41</v>
      </c>
      <c r="E1023" t="s">
        <v>16</v>
      </c>
      <c r="F1023" t="s">
        <v>24</v>
      </c>
      <c r="G1023">
        <v>5</v>
      </c>
      <c r="H1023">
        <v>12860</v>
      </c>
      <c r="I1023" t="s">
        <v>25</v>
      </c>
      <c r="J1023" t="s">
        <v>19</v>
      </c>
      <c r="K1023" t="s">
        <v>26</v>
      </c>
      <c r="L1023">
        <v>9</v>
      </c>
      <c r="M1023">
        <v>0</v>
      </c>
      <c r="N1023">
        <v>1</v>
      </c>
      <c r="O1023" t="s">
        <v>27</v>
      </c>
      <c r="P1023" t="str">
        <f>TEXT(Table1[[#This Row],[order_date]],"yyyy-mm")</f>
        <v>2025-12</v>
      </c>
      <c r="Q1023">
        <f>WEEKNUM(Table1[[#This Row],[order_date]])</f>
        <v>50</v>
      </c>
      <c r="R1023">
        <f>IF(Table1[[#This Row],[order_status]]="completed",1,0)</f>
        <v>1</v>
      </c>
    </row>
    <row r="1024" spans="1:18" x14ac:dyDescent="0.35">
      <c r="A1024">
        <v>1023</v>
      </c>
      <c r="B1024" s="1">
        <v>46027</v>
      </c>
      <c r="C1024">
        <v>1215</v>
      </c>
      <c r="D1024" t="s">
        <v>41</v>
      </c>
      <c r="E1024" t="s">
        <v>36</v>
      </c>
      <c r="F1024" t="s">
        <v>34</v>
      </c>
      <c r="G1024">
        <v>4</v>
      </c>
      <c r="H1024">
        <v>5892</v>
      </c>
      <c r="I1024" t="s">
        <v>39</v>
      </c>
      <c r="J1024" t="s">
        <v>19</v>
      </c>
      <c r="K1024" t="s">
        <v>26</v>
      </c>
      <c r="L1024">
        <v>4</v>
      </c>
      <c r="M1024">
        <v>1</v>
      </c>
      <c r="N1024">
        <v>1</v>
      </c>
      <c r="O1024" t="s">
        <v>21</v>
      </c>
      <c r="P1024" t="str">
        <f>TEXT(Table1[[#This Row],[order_date]],"yyyy-mm")</f>
        <v>2026-01</v>
      </c>
      <c r="Q1024">
        <f>WEEKNUM(Table1[[#This Row],[order_date]])</f>
        <v>2</v>
      </c>
      <c r="R1024">
        <f>IF(Table1[[#This Row],[order_status]]="completed",1,0)</f>
        <v>1</v>
      </c>
    </row>
    <row r="1025" spans="1:18" x14ac:dyDescent="0.35">
      <c r="A1025">
        <v>1024</v>
      </c>
      <c r="B1025" s="1">
        <v>45858</v>
      </c>
      <c r="C1025">
        <v>1857</v>
      </c>
      <c r="D1025" t="s">
        <v>22</v>
      </c>
      <c r="E1025" t="s">
        <v>33</v>
      </c>
      <c r="F1025" t="s">
        <v>34</v>
      </c>
      <c r="G1025">
        <v>3</v>
      </c>
      <c r="H1025">
        <v>0</v>
      </c>
      <c r="I1025" t="s">
        <v>18</v>
      </c>
      <c r="J1025" t="s">
        <v>31</v>
      </c>
      <c r="K1025" t="s">
        <v>20</v>
      </c>
      <c r="L1025">
        <v>9</v>
      </c>
      <c r="M1025">
        <v>1</v>
      </c>
      <c r="N1025">
        <v>0</v>
      </c>
      <c r="O1025" t="s">
        <v>21</v>
      </c>
      <c r="P1025" t="str">
        <f>TEXT(Table1[[#This Row],[order_date]],"yyyy-mm")</f>
        <v>2025-07</v>
      </c>
      <c r="Q1025">
        <f>WEEKNUM(Table1[[#This Row],[order_date]])</f>
        <v>30</v>
      </c>
      <c r="R1025">
        <f>IF(Table1[[#This Row],[order_status]]="completed",1,0)</f>
        <v>0</v>
      </c>
    </row>
    <row r="1026" spans="1:18" x14ac:dyDescent="0.35">
      <c r="A1026">
        <v>1025</v>
      </c>
      <c r="B1026" s="1">
        <v>45956</v>
      </c>
      <c r="C1026">
        <v>1811</v>
      </c>
      <c r="D1026" t="s">
        <v>15</v>
      </c>
      <c r="E1026" t="s">
        <v>23</v>
      </c>
      <c r="F1026" t="s">
        <v>17</v>
      </c>
      <c r="G1026">
        <v>1</v>
      </c>
      <c r="H1026">
        <v>634</v>
      </c>
      <c r="I1026" t="s">
        <v>18</v>
      </c>
      <c r="J1026" t="s">
        <v>19</v>
      </c>
      <c r="K1026" t="s">
        <v>20</v>
      </c>
      <c r="L1026">
        <v>3</v>
      </c>
      <c r="M1026">
        <v>0</v>
      </c>
      <c r="N1026">
        <v>0</v>
      </c>
      <c r="O1026" t="s">
        <v>27</v>
      </c>
      <c r="P1026" t="str">
        <f>TEXT(Table1[[#This Row],[order_date]],"yyyy-mm")</f>
        <v>2025-10</v>
      </c>
      <c r="Q1026">
        <f>WEEKNUM(Table1[[#This Row],[order_date]])</f>
        <v>44</v>
      </c>
      <c r="R1026">
        <f>IF(Table1[[#This Row],[order_status]]="completed",1,0)</f>
        <v>1</v>
      </c>
    </row>
    <row r="1027" spans="1:18" x14ac:dyDescent="0.35">
      <c r="A1027">
        <v>1026</v>
      </c>
      <c r="B1027" s="1">
        <v>46024</v>
      </c>
      <c r="C1027">
        <v>1637</v>
      </c>
      <c r="D1027" t="s">
        <v>32</v>
      </c>
      <c r="E1027" t="s">
        <v>23</v>
      </c>
      <c r="F1027" t="s">
        <v>30</v>
      </c>
      <c r="G1027">
        <v>4</v>
      </c>
      <c r="H1027">
        <v>0</v>
      </c>
      <c r="I1027" t="s">
        <v>18</v>
      </c>
      <c r="J1027" t="s">
        <v>37</v>
      </c>
      <c r="K1027" t="s">
        <v>38</v>
      </c>
      <c r="L1027">
        <v>10</v>
      </c>
      <c r="M1027">
        <v>1</v>
      </c>
      <c r="N1027">
        <v>0</v>
      </c>
      <c r="O1027" t="s">
        <v>27</v>
      </c>
      <c r="P1027" t="str">
        <f>TEXT(Table1[[#This Row],[order_date]],"yyyy-mm")</f>
        <v>2026-01</v>
      </c>
      <c r="Q1027">
        <f>WEEKNUM(Table1[[#This Row],[order_date]])</f>
        <v>1</v>
      </c>
      <c r="R1027">
        <f>IF(Table1[[#This Row],[order_status]]="completed",1,0)</f>
        <v>0</v>
      </c>
    </row>
    <row r="1028" spans="1:18" x14ac:dyDescent="0.35">
      <c r="A1028">
        <v>1027</v>
      </c>
      <c r="B1028" s="1">
        <v>46027</v>
      </c>
      <c r="C1028">
        <v>1554</v>
      </c>
      <c r="D1028" t="s">
        <v>22</v>
      </c>
      <c r="E1028" t="s">
        <v>23</v>
      </c>
      <c r="F1028" t="s">
        <v>24</v>
      </c>
      <c r="G1028">
        <v>4</v>
      </c>
      <c r="H1028">
        <v>0</v>
      </c>
      <c r="I1028" t="s">
        <v>35</v>
      </c>
      <c r="J1028" t="s">
        <v>37</v>
      </c>
      <c r="K1028" t="s">
        <v>38</v>
      </c>
      <c r="L1028">
        <v>4</v>
      </c>
      <c r="M1028">
        <v>1</v>
      </c>
      <c r="N1028">
        <v>0</v>
      </c>
      <c r="O1028" t="s">
        <v>21</v>
      </c>
      <c r="P1028" t="str">
        <f>TEXT(Table1[[#This Row],[order_date]],"yyyy-mm")</f>
        <v>2026-01</v>
      </c>
      <c r="Q1028">
        <f>WEEKNUM(Table1[[#This Row],[order_date]])</f>
        <v>2</v>
      </c>
      <c r="R1028">
        <f>IF(Table1[[#This Row],[order_status]]="completed",1,0)</f>
        <v>0</v>
      </c>
    </row>
    <row r="1029" spans="1:18" x14ac:dyDescent="0.35">
      <c r="A1029">
        <v>1028</v>
      </c>
      <c r="B1029" s="1">
        <v>45909</v>
      </c>
      <c r="C1029">
        <v>1875</v>
      </c>
      <c r="D1029" t="s">
        <v>41</v>
      </c>
      <c r="E1029" t="s">
        <v>16</v>
      </c>
      <c r="F1029" t="s">
        <v>30</v>
      </c>
      <c r="G1029">
        <v>2</v>
      </c>
      <c r="H1029">
        <v>0</v>
      </c>
      <c r="I1029" t="s">
        <v>25</v>
      </c>
      <c r="J1029" t="s">
        <v>37</v>
      </c>
      <c r="K1029" t="s">
        <v>26</v>
      </c>
      <c r="L1029">
        <v>8</v>
      </c>
      <c r="M1029">
        <v>1</v>
      </c>
      <c r="N1029">
        <v>0</v>
      </c>
      <c r="O1029" t="s">
        <v>27</v>
      </c>
      <c r="P1029" t="str">
        <f>TEXT(Table1[[#This Row],[order_date]],"yyyy-mm")</f>
        <v>2025-09</v>
      </c>
      <c r="Q1029">
        <f>WEEKNUM(Table1[[#This Row],[order_date]])</f>
        <v>37</v>
      </c>
      <c r="R1029">
        <f>IF(Table1[[#This Row],[order_status]]="completed",1,0)</f>
        <v>0</v>
      </c>
    </row>
    <row r="1030" spans="1:18" x14ac:dyDescent="0.35">
      <c r="A1030">
        <v>1029</v>
      </c>
      <c r="B1030" s="1">
        <v>45962</v>
      </c>
      <c r="C1030">
        <v>1657</v>
      </c>
      <c r="D1030" t="s">
        <v>32</v>
      </c>
      <c r="E1030" t="s">
        <v>16</v>
      </c>
      <c r="F1030" t="s">
        <v>17</v>
      </c>
      <c r="G1030">
        <v>5</v>
      </c>
      <c r="H1030">
        <v>0</v>
      </c>
      <c r="I1030" t="s">
        <v>39</v>
      </c>
      <c r="J1030" t="s">
        <v>37</v>
      </c>
      <c r="K1030" t="s">
        <v>38</v>
      </c>
      <c r="L1030">
        <v>2</v>
      </c>
      <c r="M1030">
        <v>0</v>
      </c>
      <c r="N1030">
        <v>0</v>
      </c>
      <c r="O1030" t="s">
        <v>27</v>
      </c>
      <c r="P1030" t="str">
        <f>TEXT(Table1[[#This Row],[order_date]],"yyyy-mm")</f>
        <v>2025-11</v>
      </c>
      <c r="Q1030">
        <f>WEEKNUM(Table1[[#This Row],[order_date]])</f>
        <v>44</v>
      </c>
      <c r="R1030">
        <f>IF(Table1[[#This Row],[order_status]]="completed",1,0)</f>
        <v>0</v>
      </c>
    </row>
    <row r="1031" spans="1:18" x14ac:dyDescent="0.35">
      <c r="A1031">
        <v>1030</v>
      </c>
      <c r="B1031" s="1">
        <v>45925</v>
      </c>
      <c r="C1031">
        <v>1235</v>
      </c>
      <c r="D1031" t="s">
        <v>28</v>
      </c>
      <c r="E1031" t="s">
        <v>33</v>
      </c>
      <c r="F1031" t="s">
        <v>24</v>
      </c>
      <c r="G1031">
        <v>3</v>
      </c>
      <c r="H1031">
        <v>0</v>
      </c>
      <c r="I1031" t="s">
        <v>18</v>
      </c>
      <c r="J1031" t="s">
        <v>31</v>
      </c>
      <c r="K1031" t="s">
        <v>26</v>
      </c>
      <c r="L1031">
        <v>4</v>
      </c>
      <c r="M1031">
        <v>1</v>
      </c>
      <c r="N1031">
        <v>1</v>
      </c>
      <c r="O1031" t="s">
        <v>27</v>
      </c>
      <c r="P1031" t="str">
        <f>TEXT(Table1[[#This Row],[order_date]],"yyyy-mm")</f>
        <v>2025-09</v>
      </c>
      <c r="Q1031">
        <f>WEEKNUM(Table1[[#This Row],[order_date]])</f>
        <v>39</v>
      </c>
      <c r="R1031">
        <f>IF(Table1[[#This Row],[order_status]]="completed",1,0)</f>
        <v>0</v>
      </c>
    </row>
    <row r="1032" spans="1:18" x14ac:dyDescent="0.35">
      <c r="A1032">
        <v>1031</v>
      </c>
      <c r="B1032" s="1">
        <v>45946</v>
      </c>
      <c r="C1032">
        <v>1551</v>
      </c>
      <c r="D1032" t="s">
        <v>28</v>
      </c>
      <c r="E1032" t="s">
        <v>23</v>
      </c>
      <c r="F1032" t="s">
        <v>17</v>
      </c>
      <c r="G1032">
        <v>1</v>
      </c>
      <c r="H1032">
        <v>4279</v>
      </c>
      <c r="I1032" t="s">
        <v>39</v>
      </c>
      <c r="J1032" t="s">
        <v>19</v>
      </c>
      <c r="K1032" t="s">
        <v>40</v>
      </c>
      <c r="L1032">
        <v>4</v>
      </c>
      <c r="M1032">
        <v>1</v>
      </c>
      <c r="N1032">
        <v>1</v>
      </c>
      <c r="O1032" t="s">
        <v>27</v>
      </c>
      <c r="P1032" t="str">
        <f>TEXT(Table1[[#This Row],[order_date]],"yyyy-mm")</f>
        <v>2025-10</v>
      </c>
      <c r="Q1032">
        <f>WEEKNUM(Table1[[#This Row],[order_date]])</f>
        <v>42</v>
      </c>
      <c r="R1032">
        <f>IF(Table1[[#This Row],[order_status]]="completed",1,0)</f>
        <v>1</v>
      </c>
    </row>
    <row r="1033" spans="1:18" x14ac:dyDescent="0.35">
      <c r="A1033">
        <v>1032</v>
      </c>
      <c r="B1033" s="1">
        <v>45992</v>
      </c>
      <c r="C1033">
        <v>1457</v>
      </c>
      <c r="D1033" t="s">
        <v>32</v>
      </c>
      <c r="E1033" t="s">
        <v>36</v>
      </c>
      <c r="F1033" t="s">
        <v>24</v>
      </c>
      <c r="G1033">
        <v>4</v>
      </c>
      <c r="H1033">
        <v>0</v>
      </c>
      <c r="I1033" t="s">
        <v>35</v>
      </c>
      <c r="J1033" t="s">
        <v>37</v>
      </c>
      <c r="K1033" t="s">
        <v>40</v>
      </c>
      <c r="L1033">
        <v>4</v>
      </c>
      <c r="M1033">
        <v>1</v>
      </c>
      <c r="N1033">
        <v>0</v>
      </c>
      <c r="O1033" t="s">
        <v>27</v>
      </c>
      <c r="P1033" t="str">
        <f>TEXT(Table1[[#This Row],[order_date]],"yyyy-mm")</f>
        <v>2025-12</v>
      </c>
      <c r="Q1033">
        <f>WEEKNUM(Table1[[#This Row],[order_date]])</f>
        <v>49</v>
      </c>
      <c r="R1033">
        <f>IF(Table1[[#This Row],[order_status]]="completed",1,0)</f>
        <v>0</v>
      </c>
    </row>
    <row r="1034" spans="1:18" x14ac:dyDescent="0.35">
      <c r="A1034">
        <v>1033</v>
      </c>
      <c r="B1034" s="1">
        <v>45930</v>
      </c>
      <c r="C1034">
        <v>1577</v>
      </c>
      <c r="D1034" t="s">
        <v>41</v>
      </c>
      <c r="E1034" t="s">
        <v>23</v>
      </c>
      <c r="F1034" t="s">
        <v>30</v>
      </c>
      <c r="G1034">
        <v>3</v>
      </c>
      <c r="H1034">
        <v>0</v>
      </c>
      <c r="I1034" t="s">
        <v>18</v>
      </c>
      <c r="J1034" t="s">
        <v>31</v>
      </c>
      <c r="K1034" t="s">
        <v>38</v>
      </c>
      <c r="L1034">
        <v>9</v>
      </c>
      <c r="M1034">
        <v>0</v>
      </c>
      <c r="N1034">
        <v>0</v>
      </c>
      <c r="O1034" t="s">
        <v>21</v>
      </c>
      <c r="P1034" t="str">
        <f>TEXT(Table1[[#This Row],[order_date]],"yyyy-mm")</f>
        <v>2025-09</v>
      </c>
      <c r="Q1034">
        <f>WEEKNUM(Table1[[#This Row],[order_date]])</f>
        <v>40</v>
      </c>
      <c r="R1034">
        <f>IF(Table1[[#This Row],[order_status]]="completed",1,0)</f>
        <v>0</v>
      </c>
    </row>
    <row r="1035" spans="1:18" x14ac:dyDescent="0.35">
      <c r="A1035">
        <v>1034</v>
      </c>
      <c r="B1035" s="1">
        <v>45980</v>
      </c>
      <c r="C1035">
        <v>1628</v>
      </c>
      <c r="D1035" t="s">
        <v>41</v>
      </c>
      <c r="E1035" t="s">
        <v>36</v>
      </c>
      <c r="F1035" t="s">
        <v>34</v>
      </c>
      <c r="G1035">
        <v>4</v>
      </c>
      <c r="H1035">
        <v>0</v>
      </c>
      <c r="I1035" t="s">
        <v>18</v>
      </c>
      <c r="J1035" t="s">
        <v>31</v>
      </c>
      <c r="K1035" t="s">
        <v>38</v>
      </c>
      <c r="L1035">
        <v>7</v>
      </c>
      <c r="M1035">
        <v>1</v>
      </c>
      <c r="N1035">
        <v>1</v>
      </c>
      <c r="O1035" t="s">
        <v>21</v>
      </c>
      <c r="P1035" t="str">
        <f>TEXT(Table1[[#This Row],[order_date]],"yyyy-mm")</f>
        <v>2025-11</v>
      </c>
      <c r="Q1035">
        <f>WEEKNUM(Table1[[#This Row],[order_date]])</f>
        <v>47</v>
      </c>
      <c r="R1035">
        <f>IF(Table1[[#This Row],[order_status]]="completed",1,0)</f>
        <v>0</v>
      </c>
    </row>
    <row r="1036" spans="1:18" x14ac:dyDescent="0.35">
      <c r="A1036">
        <v>1035</v>
      </c>
      <c r="B1036" s="1">
        <v>45887</v>
      </c>
      <c r="C1036">
        <v>1221</v>
      </c>
      <c r="D1036" t="s">
        <v>32</v>
      </c>
      <c r="E1036" t="s">
        <v>33</v>
      </c>
      <c r="F1036" t="s">
        <v>30</v>
      </c>
      <c r="G1036">
        <v>2</v>
      </c>
      <c r="H1036">
        <v>7084</v>
      </c>
      <c r="I1036" t="s">
        <v>35</v>
      </c>
      <c r="J1036" t="s">
        <v>19</v>
      </c>
      <c r="K1036" t="s">
        <v>26</v>
      </c>
      <c r="L1036">
        <v>2</v>
      </c>
      <c r="M1036">
        <v>1</v>
      </c>
      <c r="N1036">
        <v>1</v>
      </c>
      <c r="O1036" t="s">
        <v>27</v>
      </c>
      <c r="P1036" t="str">
        <f>TEXT(Table1[[#This Row],[order_date]],"yyyy-mm")</f>
        <v>2025-08</v>
      </c>
      <c r="Q1036">
        <f>WEEKNUM(Table1[[#This Row],[order_date]])</f>
        <v>34</v>
      </c>
      <c r="R1036">
        <f>IF(Table1[[#This Row],[order_status]]="completed",1,0)</f>
        <v>1</v>
      </c>
    </row>
    <row r="1037" spans="1:18" x14ac:dyDescent="0.35">
      <c r="A1037">
        <v>1036</v>
      </c>
      <c r="B1037" s="1">
        <v>46016</v>
      </c>
      <c r="C1037">
        <v>1785</v>
      </c>
      <c r="D1037" t="s">
        <v>22</v>
      </c>
      <c r="E1037" t="s">
        <v>33</v>
      </c>
      <c r="F1037" t="s">
        <v>17</v>
      </c>
      <c r="G1037">
        <v>4</v>
      </c>
      <c r="H1037">
        <v>10664</v>
      </c>
      <c r="I1037" t="s">
        <v>39</v>
      </c>
      <c r="J1037" t="s">
        <v>19</v>
      </c>
      <c r="K1037" t="s">
        <v>26</v>
      </c>
      <c r="L1037">
        <v>10</v>
      </c>
      <c r="M1037">
        <v>0</v>
      </c>
      <c r="N1037">
        <v>1</v>
      </c>
      <c r="O1037" t="s">
        <v>21</v>
      </c>
      <c r="P1037" t="str">
        <f>TEXT(Table1[[#This Row],[order_date]],"yyyy-mm")</f>
        <v>2025-12</v>
      </c>
      <c r="Q1037">
        <f>WEEKNUM(Table1[[#This Row],[order_date]])</f>
        <v>52</v>
      </c>
      <c r="R1037">
        <f>IF(Table1[[#This Row],[order_status]]="completed",1,0)</f>
        <v>1</v>
      </c>
    </row>
    <row r="1038" spans="1:18" x14ac:dyDescent="0.35">
      <c r="A1038">
        <v>1037</v>
      </c>
      <c r="B1038" s="1">
        <v>45958</v>
      </c>
      <c r="C1038">
        <v>1376</v>
      </c>
      <c r="D1038" t="s">
        <v>32</v>
      </c>
      <c r="E1038" t="s">
        <v>36</v>
      </c>
      <c r="F1038" t="s">
        <v>24</v>
      </c>
      <c r="G1038">
        <v>4</v>
      </c>
      <c r="H1038">
        <v>0</v>
      </c>
      <c r="I1038" t="s">
        <v>35</v>
      </c>
      <c r="J1038" t="s">
        <v>37</v>
      </c>
      <c r="K1038" t="s">
        <v>40</v>
      </c>
      <c r="L1038">
        <v>7</v>
      </c>
      <c r="M1038">
        <v>0</v>
      </c>
      <c r="N1038">
        <v>0</v>
      </c>
      <c r="O1038" t="s">
        <v>21</v>
      </c>
      <c r="P1038" t="str">
        <f>TEXT(Table1[[#This Row],[order_date]],"yyyy-mm")</f>
        <v>2025-10</v>
      </c>
      <c r="Q1038">
        <f>WEEKNUM(Table1[[#This Row],[order_date]])</f>
        <v>44</v>
      </c>
      <c r="R1038">
        <f>IF(Table1[[#This Row],[order_status]]="completed",1,0)</f>
        <v>0</v>
      </c>
    </row>
    <row r="1039" spans="1:18" x14ac:dyDescent="0.35">
      <c r="A1039">
        <v>1038</v>
      </c>
      <c r="B1039" s="1">
        <v>45936</v>
      </c>
      <c r="C1039">
        <v>1513</v>
      </c>
      <c r="D1039" t="s">
        <v>15</v>
      </c>
      <c r="E1039" t="s">
        <v>23</v>
      </c>
      <c r="F1039" t="s">
        <v>17</v>
      </c>
      <c r="G1039">
        <v>4</v>
      </c>
      <c r="H1039">
        <v>0</v>
      </c>
      <c r="I1039" t="s">
        <v>25</v>
      </c>
      <c r="J1039" t="s">
        <v>37</v>
      </c>
      <c r="K1039" t="s">
        <v>20</v>
      </c>
      <c r="L1039">
        <v>3</v>
      </c>
      <c r="M1039">
        <v>1</v>
      </c>
      <c r="N1039">
        <v>1</v>
      </c>
      <c r="O1039" t="s">
        <v>21</v>
      </c>
      <c r="P1039" t="str">
        <f>TEXT(Table1[[#This Row],[order_date]],"yyyy-mm")</f>
        <v>2025-10</v>
      </c>
      <c r="Q1039">
        <f>WEEKNUM(Table1[[#This Row],[order_date]])</f>
        <v>41</v>
      </c>
      <c r="R1039">
        <f>IF(Table1[[#This Row],[order_status]]="completed",1,0)</f>
        <v>0</v>
      </c>
    </row>
    <row r="1040" spans="1:18" x14ac:dyDescent="0.35">
      <c r="A1040">
        <v>1039</v>
      </c>
      <c r="B1040" s="1">
        <v>45878</v>
      </c>
      <c r="C1040">
        <v>1405</v>
      </c>
      <c r="D1040" t="s">
        <v>22</v>
      </c>
      <c r="E1040" t="s">
        <v>23</v>
      </c>
      <c r="F1040" t="s">
        <v>30</v>
      </c>
      <c r="G1040">
        <v>5</v>
      </c>
      <c r="H1040">
        <v>0</v>
      </c>
      <c r="I1040" t="s">
        <v>35</v>
      </c>
      <c r="J1040" t="s">
        <v>31</v>
      </c>
      <c r="K1040" t="s">
        <v>26</v>
      </c>
      <c r="L1040">
        <v>7</v>
      </c>
      <c r="M1040">
        <v>0</v>
      </c>
      <c r="N1040">
        <v>0</v>
      </c>
      <c r="O1040" t="s">
        <v>27</v>
      </c>
      <c r="P1040" t="str">
        <f>TEXT(Table1[[#This Row],[order_date]],"yyyy-mm")</f>
        <v>2025-08</v>
      </c>
      <c r="Q1040">
        <f>WEEKNUM(Table1[[#This Row],[order_date]])</f>
        <v>32</v>
      </c>
      <c r="R1040">
        <f>IF(Table1[[#This Row],[order_status]]="completed",1,0)</f>
        <v>0</v>
      </c>
    </row>
    <row r="1041" spans="1:18" x14ac:dyDescent="0.35">
      <c r="A1041">
        <v>1040</v>
      </c>
      <c r="B1041" s="1">
        <v>45958</v>
      </c>
      <c r="C1041">
        <v>1316</v>
      </c>
      <c r="D1041" t="s">
        <v>15</v>
      </c>
      <c r="E1041" t="s">
        <v>33</v>
      </c>
      <c r="F1041" t="s">
        <v>17</v>
      </c>
      <c r="G1041">
        <v>5</v>
      </c>
      <c r="H1041">
        <v>17805</v>
      </c>
      <c r="I1041" t="s">
        <v>39</v>
      </c>
      <c r="J1041" t="s">
        <v>19</v>
      </c>
      <c r="K1041" t="s">
        <v>40</v>
      </c>
      <c r="L1041">
        <v>8</v>
      </c>
      <c r="M1041">
        <v>0</v>
      </c>
      <c r="N1041">
        <v>0</v>
      </c>
      <c r="O1041" t="s">
        <v>21</v>
      </c>
      <c r="P1041" t="str">
        <f>TEXT(Table1[[#This Row],[order_date]],"yyyy-mm")</f>
        <v>2025-10</v>
      </c>
      <c r="Q1041">
        <f>WEEKNUM(Table1[[#This Row],[order_date]])</f>
        <v>44</v>
      </c>
      <c r="R1041">
        <f>IF(Table1[[#This Row],[order_status]]="completed",1,0)</f>
        <v>1</v>
      </c>
    </row>
    <row r="1042" spans="1:18" x14ac:dyDescent="0.35">
      <c r="A1042">
        <v>1041</v>
      </c>
      <c r="B1042" s="1">
        <v>45993</v>
      </c>
      <c r="C1042">
        <v>1113</v>
      </c>
      <c r="D1042" t="s">
        <v>32</v>
      </c>
      <c r="E1042" t="s">
        <v>33</v>
      </c>
      <c r="F1042" t="s">
        <v>24</v>
      </c>
      <c r="G1042">
        <v>1</v>
      </c>
      <c r="H1042">
        <v>0</v>
      </c>
      <c r="I1042" t="s">
        <v>35</v>
      </c>
      <c r="J1042" t="s">
        <v>37</v>
      </c>
      <c r="K1042" t="s">
        <v>20</v>
      </c>
      <c r="L1042">
        <v>2</v>
      </c>
      <c r="M1042">
        <v>1</v>
      </c>
      <c r="N1042">
        <v>0</v>
      </c>
      <c r="O1042" t="s">
        <v>21</v>
      </c>
      <c r="P1042" t="str">
        <f>TEXT(Table1[[#This Row],[order_date]],"yyyy-mm")</f>
        <v>2025-12</v>
      </c>
      <c r="Q1042">
        <f>WEEKNUM(Table1[[#This Row],[order_date]])</f>
        <v>49</v>
      </c>
      <c r="R1042">
        <f>IF(Table1[[#This Row],[order_status]]="completed",1,0)</f>
        <v>0</v>
      </c>
    </row>
    <row r="1043" spans="1:18" x14ac:dyDescent="0.35">
      <c r="A1043">
        <v>1042</v>
      </c>
      <c r="B1043" s="1">
        <v>45901</v>
      </c>
      <c r="C1043">
        <v>1659</v>
      </c>
      <c r="D1043" t="s">
        <v>28</v>
      </c>
      <c r="E1043" t="s">
        <v>16</v>
      </c>
      <c r="F1043" t="s">
        <v>34</v>
      </c>
      <c r="G1043">
        <v>3</v>
      </c>
      <c r="H1043">
        <v>12939</v>
      </c>
      <c r="I1043" t="s">
        <v>35</v>
      </c>
      <c r="J1043" t="s">
        <v>19</v>
      </c>
      <c r="K1043" t="s">
        <v>20</v>
      </c>
      <c r="L1043">
        <v>2</v>
      </c>
      <c r="M1043">
        <v>1</v>
      </c>
      <c r="N1043">
        <v>1</v>
      </c>
      <c r="O1043" t="s">
        <v>21</v>
      </c>
      <c r="P1043" t="str">
        <f>TEXT(Table1[[#This Row],[order_date]],"yyyy-mm")</f>
        <v>2025-09</v>
      </c>
      <c r="Q1043">
        <f>WEEKNUM(Table1[[#This Row],[order_date]])</f>
        <v>36</v>
      </c>
      <c r="R1043">
        <f>IF(Table1[[#This Row],[order_status]]="completed",1,0)</f>
        <v>1</v>
      </c>
    </row>
    <row r="1044" spans="1:18" x14ac:dyDescent="0.35">
      <c r="A1044">
        <v>1043</v>
      </c>
      <c r="B1044" s="1">
        <v>45914</v>
      </c>
      <c r="C1044">
        <v>1917</v>
      </c>
      <c r="D1044" t="s">
        <v>28</v>
      </c>
      <c r="E1044" t="s">
        <v>16</v>
      </c>
      <c r="F1044" t="s">
        <v>24</v>
      </c>
      <c r="G1044">
        <v>3</v>
      </c>
      <c r="H1044">
        <v>0</v>
      </c>
      <c r="I1044" t="s">
        <v>39</v>
      </c>
      <c r="J1044" t="s">
        <v>37</v>
      </c>
      <c r="K1044" t="s">
        <v>40</v>
      </c>
      <c r="L1044">
        <v>9</v>
      </c>
      <c r="M1044">
        <v>1</v>
      </c>
      <c r="N1044">
        <v>1</v>
      </c>
      <c r="O1044" t="s">
        <v>21</v>
      </c>
      <c r="P1044" t="str">
        <f>TEXT(Table1[[#This Row],[order_date]],"yyyy-mm")</f>
        <v>2025-09</v>
      </c>
      <c r="Q1044">
        <f>WEEKNUM(Table1[[#This Row],[order_date]])</f>
        <v>38</v>
      </c>
      <c r="R1044">
        <f>IF(Table1[[#This Row],[order_status]]="completed",1,0)</f>
        <v>0</v>
      </c>
    </row>
    <row r="1045" spans="1:18" x14ac:dyDescent="0.35">
      <c r="A1045">
        <v>1044</v>
      </c>
      <c r="B1045" s="1">
        <v>46019</v>
      </c>
      <c r="C1045">
        <v>1884</v>
      </c>
      <c r="D1045" t="s">
        <v>28</v>
      </c>
      <c r="E1045" t="s">
        <v>33</v>
      </c>
      <c r="F1045" t="s">
        <v>24</v>
      </c>
      <c r="G1045">
        <v>5</v>
      </c>
      <c r="H1045">
        <v>0</v>
      </c>
      <c r="I1045" t="s">
        <v>35</v>
      </c>
      <c r="J1045" t="s">
        <v>37</v>
      </c>
      <c r="K1045" t="s">
        <v>40</v>
      </c>
      <c r="L1045">
        <v>2</v>
      </c>
      <c r="M1045">
        <v>0</v>
      </c>
      <c r="N1045">
        <v>1</v>
      </c>
      <c r="O1045" t="s">
        <v>21</v>
      </c>
      <c r="P1045" t="str">
        <f>TEXT(Table1[[#This Row],[order_date]],"yyyy-mm")</f>
        <v>2025-12</v>
      </c>
      <c r="Q1045">
        <f>WEEKNUM(Table1[[#This Row],[order_date]])</f>
        <v>53</v>
      </c>
      <c r="R1045">
        <f>IF(Table1[[#This Row],[order_status]]="completed",1,0)</f>
        <v>0</v>
      </c>
    </row>
    <row r="1046" spans="1:18" x14ac:dyDescent="0.35">
      <c r="A1046">
        <v>1045</v>
      </c>
      <c r="B1046" s="1">
        <v>45914</v>
      </c>
      <c r="C1046">
        <v>1786</v>
      </c>
      <c r="D1046" t="s">
        <v>28</v>
      </c>
      <c r="E1046" t="s">
        <v>16</v>
      </c>
      <c r="F1046" t="s">
        <v>30</v>
      </c>
      <c r="G1046">
        <v>2</v>
      </c>
      <c r="H1046">
        <v>0</v>
      </c>
      <c r="I1046" t="s">
        <v>18</v>
      </c>
      <c r="J1046" t="s">
        <v>37</v>
      </c>
      <c r="K1046" t="s">
        <v>38</v>
      </c>
      <c r="L1046">
        <v>2</v>
      </c>
      <c r="M1046">
        <v>0</v>
      </c>
      <c r="N1046">
        <v>0</v>
      </c>
      <c r="O1046" t="s">
        <v>21</v>
      </c>
      <c r="P1046" t="str">
        <f>TEXT(Table1[[#This Row],[order_date]],"yyyy-mm")</f>
        <v>2025-09</v>
      </c>
      <c r="Q1046">
        <f>WEEKNUM(Table1[[#This Row],[order_date]])</f>
        <v>38</v>
      </c>
      <c r="R1046">
        <f>IF(Table1[[#This Row],[order_status]]="completed",1,0)</f>
        <v>0</v>
      </c>
    </row>
    <row r="1047" spans="1:18" x14ac:dyDescent="0.35">
      <c r="A1047">
        <v>1046</v>
      </c>
      <c r="B1047" s="1">
        <v>45932</v>
      </c>
      <c r="C1047">
        <v>1297</v>
      </c>
      <c r="D1047" t="s">
        <v>15</v>
      </c>
      <c r="E1047" t="s">
        <v>36</v>
      </c>
      <c r="F1047" t="s">
        <v>24</v>
      </c>
      <c r="G1047">
        <v>5</v>
      </c>
      <c r="H1047">
        <v>24735</v>
      </c>
      <c r="I1047" t="s">
        <v>35</v>
      </c>
      <c r="J1047" t="s">
        <v>19</v>
      </c>
      <c r="K1047" t="s">
        <v>38</v>
      </c>
      <c r="L1047">
        <v>8</v>
      </c>
      <c r="M1047">
        <v>1</v>
      </c>
      <c r="N1047">
        <v>0</v>
      </c>
      <c r="O1047" t="s">
        <v>27</v>
      </c>
      <c r="P1047" t="str">
        <f>TEXT(Table1[[#This Row],[order_date]],"yyyy-mm")</f>
        <v>2025-10</v>
      </c>
      <c r="Q1047">
        <f>WEEKNUM(Table1[[#This Row],[order_date]])</f>
        <v>40</v>
      </c>
      <c r="R1047">
        <f>IF(Table1[[#This Row],[order_status]]="completed",1,0)</f>
        <v>1</v>
      </c>
    </row>
    <row r="1048" spans="1:18" x14ac:dyDescent="0.35">
      <c r="A1048">
        <v>1047</v>
      </c>
      <c r="B1048" s="1">
        <v>45979</v>
      </c>
      <c r="C1048">
        <v>1043</v>
      </c>
      <c r="D1048" t="s">
        <v>15</v>
      </c>
      <c r="E1048" t="s">
        <v>16</v>
      </c>
      <c r="F1048" t="s">
        <v>17</v>
      </c>
      <c r="G1048">
        <v>1</v>
      </c>
      <c r="H1048">
        <v>0</v>
      </c>
      <c r="I1048" t="s">
        <v>25</v>
      </c>
      <c r="J1048" t="s">
        <v>37</v>
      </c>
      <c r="K1048" t="s">
        <v>40</v>
      </c>
      <c r="L1048">
        <v>7</v>
      </c>
      <c r="M1048">
        <v>1</v>
      </c>
      <c r="N1048">
        <v>0</v>
      </c>
      <c r="O1048" t="s">
        <v>21</v>
      </c>
      <c r="P1048" t="str">
        <f>TEXT(Table1[[#This Row],[order_date]],"yyyy-mm")</f>
        <v>2025-11</v>
      </c>
      <c r="Q1048">
        <f>WEEKNUM(Table1[[#This Row],[order_date]])</f>
        <v>47</v>
      </c>
      <c r="R1048">
        <f>IF(Table1[[#This Row],[order_status]]="completed",1,0)</f>
        <v>0</v>
      </c>
    </row>
    <row r="1049" spans="1:18" x14ac:dyDescent="0.35">
      <c r="A1049">
        <v>1048</v>
      </c>
      <c r="B1049" s="1">
        <v>45893</v>
      </c>
      <c r="C1049">
        <v>1878</v>
      </c>
      <c r="D1049" t="s">
        <v>41</v>
      </c>
      <c r="E1049" t="s">
        <v>33</v>
      </c>
      <c r="F1049" t="s">
        <v>34</v>
      </c>
      <c r="G1049">
        <v>5</v>
      </c>
      <c r="H1049">
        <v>0</v>
      </c>
      <c r="I1049" t="s">
        <v>39</v>
      </c>
      <c r="J1049" t="s">
        <v>37</v>
      </c>
      <c r="K1049" t="s">
        <v>26</v>
      </c>
      <c r="L1049">
        <v>8</v>
      </c>
      <c r="M1049">
        <v>1</v>
      </c>
      <c r="N1049">
        <v>1</v>
      </c>
      <c r="O1049" t="s">
        <v>21</v>
      </c>
      <c r="P1049" t="str">
        <f>TEXT(Table1[[#This Row],[order_date]],"yyyy-mm")</f>
        <v>2025-08</v>
      </c>
      <c r="Q1049">
        <f>WEEKNUM(Table1[[#This Row],[order_date]])</f>
        <v>35</v>
      </c>
      <c r="R1049">
        <f>IF(Table1[[#This Row],[order_status]]="completed",1,0)</f>
        <v>0</v>
      </c>
    </row>
    <row r="1050" spans="1:18" x14ac:dyDescent="0.35">
      <c r="A1050">
        <v>1049</v>
      </c>
      <c r="B1050" s="1">
        <v>45979</v>
      </c>
      <c r="C1050">
        <v>1543</v>
      </c>
      <c r="D1050" t="s">
        <v>15</v>
      </c>
      <c r="E1050" t="s">
        <v>23</v>
      </c>
      <c r="F1050" t="s">
        <v>30</v>
      </c>
      <c r="G1050">
        <v>2</v>
      </c>
      <c r="H1050">
        <v>5090</v>
      </c>
      <c r="I1050" t="s">
        <v>39</v>
      </c>
      <c r="J1050" t="s">
        <v>19</v>
      </c>
      <c r="K1050" t="s">
        <v>26</v>
      </c>
      <c r="L1050">
        <v>10</v>
      </c>
      <c r="M1050">
        <v>0</v>
      </c>
      <c r="N1050">
        <v>0</v>
      </c>
      <c r="O1050" t="s">
        <v>27</v>
      </c>
      <c r="P1050" t="str">
        <f>TEXT(Table1[[#This Row],[order_date]],"yyyy-mm")</f>
        <v>2025-11</v>
      </c>
      <c r="Q1050">
        <f>WEEKNUM(Table1[[#This Row],[order_date]])</f>
        <v>47</v>
      </c>
      <c r="R1050">
        <f>IF(Table1[[#This Row],[order_status]]="completed",1,0)</f>
        <v>1</v>
      </c>
    </row>
    <row r="1051" spans="1:18" x14ac:dyDescent="0.35">
      <c r="A1051">
        <v>1050</v>
      </c>
      <c r="B1051" s="1">
        <v>46016</v>
      </c>
      <c r="C1051">
        <v>1730</v>
      </c>
      <c r="D1051" t="s">
        <v>15</v>
      </c>
      <c r="E1051" t="s">
        <v>36</v>
      </c>
      <c r="F1051" t="s">
        <v>34</v>
      </c>
      <c r="G1051">
        <v>4</v>
      </c>
      <c r="H1051">
        <v>1384</v>
      </c>
      <c r="I1051" t="s">
        <v>25</v>
      </c>
      <c r="J1051" t="s">
        <v>19</v>
      </c>
      <c r="K1051" t="s">
        <v>40</v>
      </c>
      <c r="L1051">
        <v>6</v>
      </c>
      <c r="M1051">
        <v>0</v>
      </c>
      <c r="N1051">
        <v>1</v>
      </c>
      <c r="O1051" t="s">
        <v>21</v>
      </c>
      <c r="P1051" t="str">
        <f>TEXT(Table1[[#This Row],[order_date]],"yyyy-mm")</f>
        <v>2025-12</v>
      </c>
      <c r="Q1051">
        <f>WEEKNUM(Table1[[#This Row],[order_date]])</f>
        <v>52</v>
      </c>
      <c r="R1051">
        <f>IF(Table1[[#This Row],[order_status]]="completed",1,0)</f>
        <v>1</v>
      </c>
    </row>
    <row r="1052" spans="1:18" x14ac:dyDescent="0.35">
      <c r="A1052">
        <v>1051</v>
      </c>
      <c r="B1052" s="1">
        <v>46021</v>
      </c>
      <c r="C1052">
        <v>1238</v>
      </c>
      <c r="D1052" t="s">
        <v>15</v>
      </c>
      <c r="E1052" t="s">
        <v>16</v>
      </c>
      <c r="F1052" t="s">
        <v>24</v>
      </c>
      <c r="G1052">
        <v>1</v>
      </c>
      <c r="H1052">
        <v>0</v>
      </c>
      <c r="I1052" t="s">
        <v>18</v>
      </c>
      <c r="J1052" t="s">
        <v>31</v>
      </c>
      <c r="K1052" t="s">
        <v>38</v>
      </c>
      <c r="L1052">
        <v>8</v>
      </c>
      <c r="M1052">
        <v>1</v>
      </c>
      <c r="N1052">
        <v>0</v>
      </c>
      <c r="O1052" t="s">
        <v>27</v>
      </c>
      <c r="P1052" t="str">
        <f>TEXT(Table1[[#This Row],[order_date]],"yyyy-mm")</f>
        <v>2025-12</v>
      </c>
      <c r="Q1052">
        <f>WEEKNUM(Table1[[#This Row],[order_date]])</f>
        <v>53</v>
      </c>
      <c r="R1052">
        <f>IF(Table1[[#This Row],[order_status]]="completed",1,0)</f>
        <v>0</v>
      </c>
    </row>
    <row r="1053" spans="1:18" x14ac:dyDescent="0.35">
      <c r="A1053">
        <v>1052</v>
      </c>
      <c r="B1053" s="1">
        <v>45867</v>
      </c>
      <c r="C1053">
        <v>1845</v>
      </c>
      <c r="D1053" t="s">
        <v>15</v>
      </c>
      <c r="E1053" t="s">
        <v>23</v>
      </c>
      <c r="F1053" t="s">
        <v>17</v>
      </c>
      <c r="G1053">
        <v>4</v>
      </c>
      <c r="H1053">
        <v>0</v>
      </c>
      <c r="I1053" t="s">
        <v>39</v>
      </c>
      <c r="J1053" t="s">
        <v>37</v>
      </c>
      <c r="K1053" t="s">
        <v>38</v>
      </c>
      <c r="L1053">
        <v>1</v>
      </c>
      <c r="M1053">
        <v>1</v>
      </c>
      <c r="N1053">
        <v>0</v>
      </c>
      <c r="O1053" t="s">
        <v>21</v>
      </c>
      <c r="P1053" t="str">
        <f>TEXT(Table1[[#This Row],[order_date]],"yyyy-mm")</f>
        <v>2025-07</v>
      </c>
      <c r="Q1053">
        <f>WEEKNUM(Table1[[#This Row],[order_date]])</f>
        <v>31</v>
      </c>
      <c r="R1053">
        <f>IF(Table1[[#This Row],[order_status]]="completed",1,0)</f>
        <v>0</v>
      </c>
    </row>
    <row r="1054" spans="1:18" x14ac:dyDescent="0.35">
      <c r="A1054">
        <v>1053</v>
      </c>
      <c r="B1054" s="1">
        <v>45941</v>
      </c>
      <c r="C1054">
        <v>1201</v>
      </c>
      <c r="D1054" t="s">
        <v>22</v>
      </c>
      <c r="E1054" t="s">
        <v>23</v>
      </c>
      <c r="F1054" t="s">
        <v>17</v>
      </c>
      <c r="G1054">
        <v>1</v>
      </c>
      <c r="H1054">
        <v>4309</v>
      </c>
      <c r="I1054" t="s">
        <v>25</v>
      </c>
      <c r="J1054" t="s">
        <v>19</v>
      </c>
      <c r="K1054" t="s">
        <v>26</v>
      </c>
      <c r="L1054">
        <v>4</v>
      </c>
      <c r="M1054">
        <v>0</v>
      </c>
      <c r="N1054">
        <v>0</v>
      </c>
      <c r="O1054" t="s">
        <v>27</v>
      </c>
      <c r="P1054" t="str">
        <f>TEXT(Table1[[#This Row],[order_date]],"yyyy-mm")</f>
        <v>2025-10</v>
      </c>
      <c r="Q1054">
        <f>WEEKNUM(Table1[[#This Row],[order_date]])</f>
        <v>41</v>
      </c>
      <c r="R1054">
        <f>IF(Table1[[#This Row],[order_status]]="completed",1,0)</f>
        <v>1</v>
      </c>
    </row>
    <row r="1055" spans="1:18" x14ac:dyDescent="0.35">
      <c r="A1055">
        <v>1054</v>
      </c>
      <c r="B1055" s="1">
        <v>45884</v>
      </c>
      <c r="C1055">
        <v>1395</v>
      </c>
      <c r="D1055" t="s">
        <v>15</v>
      </c>
      <c r="E1055" t="s">
        <v>33</v>
      </c>
      <c r="F1055" t="s">
        <v>30</v>
      </c>
      <c r="G1055">
        <v>1</v>
      </c>
      <c r="H1055">
        <v>0</v>
      </c>
      <c r="I1055" t="s">
        <v>39</v>
      </c>
      <c r="J1055" t="s">
        <v>37</v>
      </c>
      <c r="K1055" t="s">
        <v>40</v>
      </c>
      <c r="L1055">
        <v>8</v>
      </c>
      <c r="M1055">
        <v>0</v>
      </c>
      <c r="N1055">
        <v>0</v>
      </c>
      <c r="O1055" t="s">
        <v>21</v>
      </c>
      <c r="P1055" t="str">
        <f>TEXT(Table1[[#This Row],[order_date]],"yyyy-mm")</f>
        <v>2025-08</v>
      </c>
      <c r="Q1055">
        <f>WEEKNUM(Table1[[#This Row],[order_date]])</f>
        <v>33</v>
      </c>
      <c r="R1055">
        <f>IF(Table1[[#This Row],[order_status]]="completed",1,0)</f>
        <v>0</v>
      </c>
    </row>
    <row r="1056" spans="1:18" x14ac:dyDescent="0.35">
      <c r="A1056">
        <v>1055</v>
      </c>
      <c r="B1056" s="1">
        <v>45941</v>
      </c>
      <c r="C1056">
        <v>1784</v>
      </c>
      <c r="D1056" t="s">
        <v>28</v>
      </c>
      <c r="E1056" t="s">
        <v>29</v>
      </c>
      <c r="F1056" t="s">
        <v>34</v>
      </c>
      <c r="G1056">
        <v>3</v>
      </c>
      <c r="H1056">
        <v>13818</v>
      </c>
      <c r="I1056" t="s">
        <v>39</v>
      </c>
      <c r="J1056" t="s">
        <v>19</v>
      </c>
      <c r="K1056" t="s">
        <v>20</v>
      </c>
      <c r="L1056">
        <v>1</v>
      </c>
      <c r="M1056">
        <v>0</v>
      </c>
      <c r="N1056">
        <v>1</v>
      </c>
      <c r="O1056" t="s">
        <v>27</v>
      </c>
      <c r="P1056" t="str">
        <f>TEXT(Table1[[#This Row],[order_date]],"yyyy-mm")</f>
        <v>2025-10</v>
      </c>
      <c r="Q1056">
        <f>WEEKNUM(Table1[[#This Row],[order_date]])</f>
        <v>41</v>
      </c>
      <c r="R1056">
        <f>IF(Table1[[#This Row],[order_status]]="completed",1,0)</f>
        <v>1</v>
      </c>
    </row>
    <row r="1057" spans="1:18" x14ac:dyDescent="0.35">
      <c r="A1057">
        <v>1056</v>
      </c>
      <c r="B1057" s="1">
        <v>45884</v>
      </c>
      <c r="C1057">
        <v>1194</v>
      </c>
      <c r="D1057" t="s">
        <v>28</v>
      </c>
      <c r="E1057" t="s">
        <v>29</v>
      </c>
      <c r="F1057" t="s">
        <v>24</v>
      </c>
      <c r="G1057">
        <v>2</v>
      </c>
      <c r="H1057">
        <v>0</v>
      </c>
      <c r="I1057" t="s">
        <v>18</v>
      </c>
      <c r="J1057" t="s">
        <v>37</v>
      </c>
      <c r="K1057" t="s">
        <v>40</v>
      </c>
      <c r="L1057">
        <v>9</v>
      </c>
      <c r="M1057">
        <v>0</v>
      </c>
      <c r="N1057">
        <v>1</v>
      </c>
      <c r="O1057" t="s">
        <v>21</v>
      </c>
      <c r="P1057" t="str">
        <f>TEXT(Table1[[#This Row],[order_date]],"yyyy-mm")</f>
        <v>2025-08</v>
      </c>
      <c r="Q1057">
        <f>WEEKNUM(Table1[[#This Row],[order_date]])</f>
        <v>33</v>
      </c>
      <c r="R1057">
        <f>IF(Table1[[#This Row],[order_status]]="completed",1,0)</f>
        <v>0</v>
      </c>
    </row>
    <row r="1058" spans="1:18" x14ac:dyDescent="0.35">
      <c r="A1058">
        <v>1057</v>
      </c>
      <c r="B1058" s="1">
        <v>45898</v>
      </c>
      <c r="C1058">
        <v>1297</v>
      </c>
      <c r="D1058" t="s">
        <v>32</v>
      </c>
      <c r="E1058" t="s">
        <v>16</v>
      </c>
      <c r="F1058" t="s">
        <v>24</v>
      </c>
      <c r="G1058">
        <v>2</v>
      </c>
      <c r="H1058">
        <v>5816</v>
      </c>
      <c r="I1058" t="s">
        <v>39</v>
      </c>
      <c r="J1058" t="s">
        <v>19</v>
      </c>
      <c r="K1058" t="s">
        <v>20</v>
      </c>
      <c r="L1058">
        <v>8</v>
      </c>
      <c r="M1058">
        <v>1</v>
      </c>
      <c r="N1058">
        <v>0</v>
      </c>
      <c r="O1058" t="s">
        <v>21</v>
      </c>
      <c r="P1058" t="str">
        <f>TEXT(Table1[[#This Row],[order_date]],"yyyy-mm")</f>
        <v>2025-08</v>
      </c>
      <c r="Q1058">
        <f>WEEKNUM(Table1[[#This Row],[order_date]])</f>
        <v>35</v>
      </c>
      <c r="R1058">
        <f>IF(Table1[[#This Row],[order_status]]="completed",1,0)</f>
        <v>1</v>
      </c>
    </row>
    <row r="1059" spans="1:18" x14ac:dyDescent="0.35">
      <c r="A1059">
        <v>1058</v>
      </c>
      <c r="B1059" s="1">
        <v>46000</v>
      </c>
      <c r="C1059">
        <v>1528</v>
      </c>
      <c r="D1059" t="s">
        <v>15</v>
      </c>
      <c r="E1059" t="s">
        <v>33</v>
      </c>
      <c r="F1059" t="s">
        <v>30</v>
      </c>
      <c r="G1059">
        <v>5</v>
      </c>
      <c r="H1059">
        <v>0</v>
      </c>
      <c r="I1059" t="s">
        <v>39</v>
      </c>
      <c r="J1059" t="s">
        <v>37</v>
      </c>
      <c r="K1059" t="s">
        <v>38</v>
      </c>
      <c r="L1059">
        <v>5</v>
      </c>
      <c r="M1059">
        <v>1</v>
      </c>
      <c r="N1059">
        <v>1</v>
      </c>
      <c r="O1059" t="s">
        <v>21</v>
      </c>
      <c r="P1059" t="str">
        <f>TEXT(Table1[[#This Row],[order_date]],"yyyy-mm")</f>
        <v>2025-12</v>
      </c>
      <c r="Q1059">
        <f>WEEKNUM(Table1[[#This Row],[order_date]])</f>
        <v>50</v>
      </c>
      <c r="R1059">
        <f>IF(Table1[[#This Row],[order_status]]="completed",1,0)</f>
        <v>0</v>
      </c>
    </row>
    <row r="1060" spans="1:18" x14ac:dyDescent="0.35">
      <c r="A1060">
        <v>1059</v>
      </c>
      <c r="B1060" s="1">
        <v>45986</v>
      </c>
      <c r="C1060">
        <v>1689</v>
      </c>
      <c r="D1060" t="s">
        <v>15</v>
      </c>
      <c r="E1060" t="s">
        <v>29</v>
      </c>
      <c r="F1060" t="s">
        <v>34</v>
      </c>
      <c r="G1060">
        <v>4</v>
      </c>
      <c r="H1060">
        <v>12788</v>
      </c>
      <c r="I1060" t="s">
        <v>18</v>
      </c>
      <c r="J1060" t="s">
        <v>19</v>
      </c>
      <c r="K1060" t="s">
        <v>38</v>
      </c>
      <c r="L1060">
        <v>7</v>
      </c>
      <c r="M1060">
        <v>1</v>
      </c>
      <c r="N1060">
        <v>1</v>
      </c>
      <c r="O1060" t="s">
        <v>27</v>
      </c>
      <c r="P1060" t="str">
        <f>TEXT(Table1[[#This Row],[order_date]],"yyyy-mm")</f>
        <v>2025-11</v>
      </c>
      <c r="Q1060">
        <f>WEEKNUM(Table1[[#This Row],[order_date]])</f>
        <v>48</v>
      </c>
      <c r="R1060">
        <f>IF(Table1[[#This Row],[order_status]]="completed",1,0)</f>
        <v>1</v>
      </c>
    </row>
    <row r="1061" spans="1:18" x14ac:dyDescent="0.35">
      <c r="A1061">
        <v>1060</v>
      </c>
      <c r="B1061" s="1">
        <v>45958</v>
      </c>
      <c r="C1061">
        <v>1172</v>
      </c>
      <c r="D1061" t="s">
        <v>15</v>
      </c>
      <c r="E1061" t="s">
        <v>36</v>
      </c>
      <c r="F1061" t="s">
        <v>34</v>
      </c>
      <c r="G1061">
        <v>1</v>
      </c>
      <c r="H1061">
        <v>0</v>
      </c>
      <c r="I1061" t="s">
        <v>39</v>
      </c>
      <c r="J1061" t="s">
        <v>37</v>
      </c>
      <c r="K1061" t="s">
        <v>20</v>
      </c>
      <c r="L1061">
        <v>7</v>
      </c>
      <c r="M1061">
        <v>0</v>
      </c>
      <c r="N1061">
        <v>0</v>
      </c>
      <c r="O1061" t="s">
        <v>27</v>
      </c>
      <c r="P1061" t="str">
        <f>TEXT(Table1[[#This Row],[order_date]],"yyyy-mm")</f>
        <v>2025-10</v>
      </c>
      <c r="Q1061">
        <f>WEEKNUM(Table1[[#This Row],[order_date]])</f>
        <v>44</v>
      </c>
      <c r="R1061">
        <f>IF(Table1[[#This Row],[order_status]]="completed",1,0)</f>
        <v>0</v>
      </c>
    </row>
    <row r="1062" spans="1:18" x14ac:dyDescent="0.35">
      <c r="A1062">
        <v>1061</v>
      </c>
      <c r="B1062" s="1">
        <v>45865</v>
      </c>
      <c r="C1062">
        <v>1714</v>
      </c>
      <c r="D1062" t="s">
        <v>28</v>
      </c>
      <c r="E1062" t="s">
        <v>16</v>
      </c>
      <c r="F1062" t="s">
        <v>34</v>
      </c>
      <c r="G1062">
        <v>1</v>
      </c>
      <c r="H1062">
        <v>0</v>
      </c>
      <c r="I1062" t="s">
        <v>35</v>
      </c>
      <c r="J1062" t="s">
        <v>31</v>
      </c>
      <c r="K1062" t="s">
        <v>38</v>
      </c>
      <c r="L1062">
        <v>9</v>
      </c>
      <c r="M1062">
        <v>1</v>
      </c>
      <c r="N1062">
        <v>0</v>
      </c>
      <c r="O1062" t="s">
        <v>21</v>
      </c>
      <c r="P1062" t="str">
        <f>TEXT(Table1[[#This Row],[order_date]],"yyyy-mm")</f>
        <v>2025-07</v>
      </c>
      <c r="Q1062">
        <f>WEEKNUM(Table1[[#This Row],[order_date]])</f>
        <v>31</v>
      </c>
      <c r="R1062">
        <f>IF(Table1[[#This Row],[order_status]]="completed",1,0)</f>
        <v>0</v>
      </c>
    </row>
    <row r="1063" spans="1:18" x14ac:dyDescent="0.35">
      <c r="A1063">
        <v>1062</v>
      </c>
      <c r="B1063" s="1">
        <v>45904</v>
      </c>
      <c r="C1063">
        <v>1339</v>
      </c>
      <c r="D1063" t="s">
        <v>22</v>
      </c>
      <c r="E1063" t="s">
        <v>36</v>
      </c>
      <c r="F1063" t="s">
        <v>30</v>
      </c>
      <c r="G1063">
        <v>4</v>
      </c>
      <c r="H1063">
        <v>0</v>
      </c>
      <c r="I1063" t="s">
        <v>39</v>
      </c>
      <c r="J1063" t="s">
        <v>37</v>
      </c>
      <c r="K1063" t="s">
        <v>26</v>
      </c>
      <c r="L1063">
        <v>5</v>
      </c>
      <c r="M1063">
        <v>0</v>
      </c>
      <c r="N1063">
        <v>1</v>
      </c>
      <c r="O1063" t="s">
        <v>27</v>
      </c>
      <c r="P1063" t="str">
        <f>TEXT(Table1[[#This Row],[order_date]],"yyyy-mm")</f>
        <v>2025-09</v>
      </c>
      <c r="Q1063">
        <f>WEEKNUM(Table1[[#This Row],[order_date]])</f>
        <v>36</v>
      </c>
      <c r="R1063">
        <f>IF(Table1[[#This Row],[order_status]]="completed",1,0)</f>
        <v>0</v>
      </c>
    </row>
    <row r="1064" spans="1:18" x14ac:dyDescent="0.35">
      <c r="A1064">
        <v>1063</v>
      </c>
      <c r="B1064" s="1">
        <v>45983</v>
      </c>
      <c r="C1064">
        <v>1073</v>
      </c>
      <c r="D1064" t="s">
        <v>41</v>
      </c>
      <c r="E1064" t="s">
        <v>16</v>
      </c>
      <c r="F1064" t="s">
        <v>17</v>
      </c>
      <c r="G1064">
        <v>2</v>
      </c>
      <c r="H1064">
        <v>7668</v>
      </c>
      <c r="I1064" t="s">
        <v>25</v>
      </c>
      <c r="J1064" t="s">
        <v>19</v>
      </c>
      <c r="K1064" t="s">
        <v>26</v>
      </c>
      <c r="L1064">
        <v>1</v>
      </c>
      <c r="M1064">
        <v>0</v>
      </c>
      <c r="N1064">
        <v>1</v>
      </c>
      <c r="O1064" t="s">
        <v>27</v>
      </c>
      <c r="P1064" t="str">
        <f>TEXT(Table1[[#This Row],[order_date]],"yyyy-mm")</f>
        <v>2025-11</v>
      </c>
      <c r="Q1064">
        <f>WEEKNUM(Table1[[#This Row],[order_date]])</f>
        <v>47</v>
      </c>
      <c r="R1064">
        <f>IF(Table1[[#This Row],[order_status]]="completed",1,0)</f>
        <v>1</v>
      </c>
    </row>
    <row r="1065" spans="1:18" x14ac:dyDescent="0.35">
      <c r="A1065">
        <v>1064</v>
      </c>
      <c r="B1065" s="1">
        <v>45898</v>
      </c>
      <c r="C1065">
        <v>1435</v>
      </c>
      <c r="D1065" t="s">
        <v>22</v>
      </c>
      <c r="E1065" t="s">
        <v>36</v>
      </c>
      <c r="F1065" t="s">
        <v>34</v>
      </c>
      <c r="G1065">
        <v>4</v>
      </c>
      <c r="H1065">
        <v>16568</v>
      </c>
      <c r="I1065" t="s">
        <v>39</v>
      </c>
      <c r="J1065" t="s">
        <v>19</v>
      </c>
      <c r="K1065" t="s">
        <v>26</v>
      </c>
      <c r="L1065">
        <v>1</v>
      </c>
      <c r="M1065">
        <v>1</v>
      </c>
      <c r="N1065">
        <v>1</v>
      </c>
      <c r="O1065" t="s">
        <v>21</v>
      </c>
      <c r="P1065" t="str">
        <f>TEXT(Table1[[#This Row],[order_date]],"yyyy-mm")</f>
        <v>2025-08</v>
      </c>
      <c r="Q1065">
        <f>WEEKNUM(Table1[[#This Row],[order_date]])</f>
        <v>35</v>
      </c>
      <c r="R1065">
        <f>IF(Table1[[#This Row],[order_status]]="completed",1,0)</f>
        <v>1</v>
      </c>
    </row>
    <row r="1066" spans="1:18" x14ac:dyDescent="0.35">
      <c r="A1066">
        <v>1065</v>
      </c>
      <c r="B1066" s="1">
        <v>45915</v>
      </c>
      <c r="C1066">
        <v>1791</v>
      </c>
      <c r="D1066" t="s">
        <v>28</v>
      </c>
      <c r="E1066" t="s">
        <v>33</v>
      </c>
      <c r="F1066" t="s">
        <v>30</v>
      </c>
      <c r="G1066">
        <v>3</v>
      </c>
      <c r="H1066">
        <v>0</v>
      </c>
      <c r="I1066" t="s">
        <v>25</v>
      </c>
      <c r="J1066" t="s">
        <v>31</v>
      </c>
      <c r="K1066" t="s">
        <v>38</v>
      </c>
      <c r="L1066">
        <v>2</v>
      </c>
      <c r="M1066">
        <v>0</v>
      </c>
      <c r="N1066">
        <v>0</v>
      </c>
      <c r="O1066" t="s">
        <v>21</v>
      </c>
      <c r="P1066" t="str">
        <f>TEXT(Table1[[#This Row],[order_date]],"yyyy-mm")</f>
        <v>2025-09</v>
      </c>
      <c r="Q1066">
        <f>WEEKNUM(Table1[[#This Row],[order_date]])</f>
        <v>38</v>
      </c>
      <c r="R1066">
        <f>IF(Table1[[#This Row],[order_status]]="completed",1,0)</f>
        <v>0</v>
      </c>
    </row>
    <row r="1067" spans="1:18" x14ac:dyDescent="0.35">
      <c r="A1067">
        <v>1066</v>
      </c>
      <c r="B1067" s="1">
        <v>46023</v>
      </c>
      <c r="C1067">
        <v>1335</v>
      </c>
      <c r="D1067" t="s">
        <v>41</v>
      </c>
      <c r="E1067" t="s">
        <v>36</v>
      </c>
      <c r="F1067" t="s">
        <v>17</v>
      </c>
      <c r="G1067">
        <v>2</v>
      </c>
      <c r="H1067">
        <v>9666</v>
      </c>
      <c r="I1067" t="s">
        <v>35</v>
      </c>
      <c r="J1067" t="s">
        <v>19</v>
      </c>
      <c r="K1067" t="s">
        <v>38</v>
      </c>
      <c r="L1067">
        <v>2</v>
      </c>
      <c r="M1067">
        <v>0</v>
      </c>
      <c r="N1067">
        <v>1</v>
      </c>
      <c r="O1067" t="s">
        <v>27</v>
      </c>
      <c r="P1067" t="str">
        <f>TEXT(Table1[[#This Row],[order_date]],"yyyy-mm")</f>
        <v>2026-01</v>
      </c>
      <c r="Q1067">
        <f>WEEKNUM(Table1[[#This Row],[order_date]])</f>
        <v>1</v>
      </c>
      <c r="R1067">
        <f>IF(Table1[[#This Row],[order_status]]="completed",1,0)</f>
        <v>1</v>
      </c>
    </row>
    <row r="1068" spans="1:18" x14ac:dyDescent="0.35">
      <c r="A1068">
        <v>1067</v>
      </c>
      <c r="B1068" s="1">
        <v>45993</v>
      </c>
      <c r="C1068">
        <v>1680</v>
      </c>
      <c r="D1068" t="s">
        <v>15</v>
      </c>
      <c r="E1068" t="s">
        <v>16</v>
      </c>
      <c r="F1068" t="s">
        <v>30</v>
      </c>
      <c r="G1068">
        <v>2</v>
      </c>
      <c r="H1068">
        <v>1624</v>
      </c>
      <c r="I1068" t="s">
        <v>18</v>
      </c>
      <c r="J1068" t="s">
        <v>19</v>
      </c>
      <c r="K1068" t="s">
        <v>40</v>
      </c>
      <c r="L1068">
        <v>6</v>
      </c>
      <c r="M1068">
        <v>1</v>
      </c>
      <c r="N1068">
        <v>0</v>
      </c>
      <c r="O1068" t="s">
        <v>21</v>
      </c>
      <c r="P1068" t="str">
        <f>TEXT(Table1[[#This Row],[order_date]],"yyyy-mm")</f>
        <v>2025-12</v>
      </c>
      <c r="Q1068">
        <f>WEEKNUM(Table1[[#This Row],[order_date]])</f>
        <v>49</v>
      </c>
      <c r="R1068">
        <f>IF(Table1[[#This Row],[order_status]]="completed",1,0)</f>
        <v>1</v>
      </c>
    </row>
    <row r="1069" spans="1:18" x14ac:dyDescent="0.35">
      <c r="A1069">
        <v>1068</v>
      </c>
      <c r="B1069" s="1">
        <v>45933</v>
      </c>
      <c r="C1069">
        <v>1364</v>
      </c>
      <c r="D1069" t="s">
        <v>28</v>
      </c>
      <c r="E1069" t="s">
        <v>36</v>
      </c>
      <c r="F1069" t="s">
        <v>17</v>
      </c>
      <c r="G1069">
        <v>2</v>
      </c>
      <c r="H1069">
        <v>4246</v>
      </c>
      <c r="I1069" t="s">
        <v>25</v>
      </c>
      <c r="J1069" t="s">
        <v>19</v>
      </c>
      <c r="K1069" t="s">
        <v>38</v>
      </c>
      <c r="L1069">
        <v>8</v>
      </c>
      <c r="M1069">
        <v>1</v>
      </c>
      <c r="N1069">
        <v>1</v>
      </c>
      <c r="O1069" t="s">
        <v>27</v>
      </c>
      <c r="P1069" t="str">
        <f>TEXT(Table1[[#This Row],[order_date]],"yyyy-mm")</f>
        <v>2025-10</v>
      </c>
      <c r="Q1069">
        <f>WEEKNUM(Table1[[#This Row],[order_date]])</f>
        <v>40</v>
      </c>
      <c r="R1069">
        <f>IF(Table1[[#This Row],[order_status]]="completed",1,0)</f>
        <v>1</v>
      </c>
    </row>
    <row r="1070" spans="1:18" x14ac:dyDescent="0.35">
      <c r="A1070">
        <v>1069</v>
      </c>
      <c r="B1070" s="1">
        <v>45952</v>
      </c>
      <c r="C1070">
        <v>1506</v>
      </c>
      <c r="D1070" t="s">
        <v>15</v>
      </c>
      <c r="E1070" t="s">
        <v>23</v>
      </c>
      <c r="F1070" t="s">
        <v>17</v>
      </c>
      <c r="G1070">
        <v>1</v>
      </c>
      <c r="H1070">
        <v>0</v>
      </c>
      <c r="I1070" t="s">
        <v>39</v>
      </c>
      <c r="J1070" t="s">
        <v>37</v>
      </c>
      <c r="K1070" t="s">
        <v>40</v>
      </c>
      <c r="L1070">
        <v>7</v>
      </c>
      <c r="M1070">
        <v>1</v>
      </c>
      <c r="N1070">
        <v>1</v>
      </c>
      <c r="O1070" t="s">
        <v>27</v>
      </c>
      <c r="P1070" t="str">
        <f>TEXT(Table1[[#This Row],[order_date]],"yyyy-mm")</f>
        <v>2025-10</v>
      </c>
      <c r="Q1070">
        <f>WEEKNUM(Table1[[#This Row],[order_date]])</f>
        <v>43</v>
      </c>
      <c r="R1070">
        <f>IF(Table1[[#This Row],[order_status]]="completed",1,0)</f>
        <v>0</v>
      </c>
    </row>
    <row r="1071" spans="1:18" x14ac:dyDescent="0.35">
      <c r="A1071">
        <v>1070</v>
      </c>
      <c r="B1071" s="1">
        <v>45939</v>
      </c>
      <c r="C1071">
        <v>1386</v>
      </c>
      <c r="D1071" t="s">
        <v>15</v>
      </c>
      <c r="E1071" t="s">
        <v>23</v>
      </c>
      <c r="F1071" t="s">
        <v>17</v>
      </c>
      <c r="G1071">
        <v>4</v>
      </c>
      <c r="H1071">
        <v>8736</v>
      </c>
      <c r="I1071" t="s">
        <v>35</v>
      </c>
      <c r="J1071" t="s">
        <v>19</v>
      </c>
      <c r="K1071" t="s">
        <v>38</v>
      </c>
      <c r="L1071">
        <v>9</v>
      </c>
      <c r="M1071">
        <v>1</v>
      </c>
      <c r="N1071">
        <v>1</v>
      </c>
      <c r="O1071" t="s">
        <v>21</v>
      </c>
      <c r="P1071" t="str">
        <f>TEXT(Table1[[#This Row],[order_date]],"yyyy-mm")</f>
        <v>2025-10</v>
      </c>
      <c r="Q1071">
        <f>WEEKNUM(Table1[[#This Row],[order_date]])</f>
        <v>41</v>
      </c>
      <c r="R1071">
        <f>IF(Table1[[#This Row],[order_status]]="completed",1,0)</f>
        <v>1</v>
      </c>
    </row>
    <row r="1072" spans="1:18" x14ac:dyDescent="0.35">
      <c r="A1072">
        <v>1071</v>
      </c>
      <c r="B1072" s="1">
        <v>46026</v>
      </c>
      <c r="C1072">
        <v>1544</v>
      </c>
      <c r="D1072" t="s">
        <v>32</v>
      </c>
      <c r="E1072" t="s">
        <v>23</v>
      </c>
      <c r="F1072" t="s">
        <v>24</v>
      </c>
      <c r="G1072">
        <v>4</v>
      </c>
      <c r="H1072">
        <v>0</v>
      </c>
      <c r="I1072" t="s">
        <v>18</v>
      </c>
      <c r="J1072" t="s">
        <v>31</v>
      </c>
      <c r="K1072" t="s">
        <v>26</v>
      </c>
      <c r="L1072">
        <v>10</v>
      </c>
      <c r="M1072">
        <v>1</v>
      </c>
      <c r="N1072">
        <v>1</v>
      </c>
      <c r="O1072" t="s">
        <v>21</v>
      </c>
      <c r="P1072" t="str">
        <f>TEXT(Table1[[#This Row],[order_date]],"yyyy-mm")</f>
        <v>2026-01</v>
      </c>
      <c r="Q1072">
        <f>WEEKNUM(Table1[[#This Row],[order_date]])</f>
        <v>2</v>
      </c>
      <c r="R1072">
        <f>IF(Table1[[#This Row],[order_status]]="completed",1,0)</f>
        <v>0</v>
      </c>
    </row>
    <row r="1073" spans="1:18" x14ac:dyDescent="0.35">
      <c r="A1073">
        <v>1072</v>
      </c>
      <c r="B1073" s="1">
        <v>45888</v>
      </c>
      <c r="C1073">
        <v>1537</v>
      </c>
      <c r="D1073" t="s">
        <v>32</v>
      </c>
      <c r="E1073" t="s">
        <v>16</v>
      </c>
      <c r="F1073" t="s">
        <v>30</v>
      </c>
      <c r="G1073">
        <v>3</v>
      </c>
      <c r="H1073">
        <v>0</v>
      </c>
      <c r="I1073" t="s">
        <v>25</v>
      </c>
      <c r="J1073" t="s">
        <v>37</v>
      </c>
      <c r="K1073" t="s">
        <v>20</v>
      </c>
      <c r="L1073">
        <v>3</v>
      </c>
      <c r="M1073">
        <v>0</v>
      </c>
      <c r="N1073">
        <v>0</v>
      </c>
      <c r="O1073" t="s">
        <v>21</v>
      </c>
      <c r="P1073" t="str">
        <f>TEXT(Table1[[#This Row],[order_date]],"yyyy-mm")</f>
        <v>2025-08</v>
      </c>
      <c r="Q1073">
        <f>WEEKNUM(Table1[[#This Row],[order_date]])</f>
        <v>34</v>
      </c>
      <c r="R1073">
        <f>IF(Table1[[#This Row],[order_status]]="completed",1,0)</f>
        <v>0</v>
      </c>
    </row>
    <row r="1074" spans="1:18" x14ac:dyDescent="0.35">
      <c r="A1074">
        <v>1073</v>
      </c>
      <c r="B1074" s="1">
        <v>45933</v>
      </c>
      <c r="C1074">
        <v>1313</v>
      </c>
      <c r="D1074" t="s">
        <v>15</v>
      </c>
      <c r="E1074" t="s">
        <v>16</v>
      </c>
      <c r="F1074" t="s">
        <v>34</v>
      </c>
      <c r="G1074">
        <v>3</v>
      </c>
      <c r="H1074">
        <v>0</v>
      </c>
      <c r="I1074" t="s">
        <v>25</v>
      </c>
      <c r="J1074" t="s">
        <v>37</v>
      </c>
      <c r="K1074" t="s">
        <v>38</v>
      </c>
      <c r="L1074">
        <v>4</v>
      </c>
      <c r="M1074">
        <v>1</v>
      </c>
      <c r="N1074">
        <v>0</v>
      </c>
      <c r="O1074" t="s">
        <v>21</v>
      </c>
      <c r="P1074" t="str">
        <f>TEXT(Table1[[#This Row],[order_date]],"yyyy-mm")</f>
        <v>2025-10</v>
      </c>
      <c r="Q1074">
        <f>WEEKNUM(Table1[[#This Row],[order_date]])</f>
        <v>40</v>
      </c>
      <c r="R1074">
        <f>IF(Table1[[#This Row],[order_status]]="completed",1,0)</f>
        <v>0</v>
      </c>
    </row>
    <row r="1075" spans="1:18" x14ac:dyDescent="0.35">
      <c r="A1075">
        <v>1074</v>
      </c>
      <c r="B1075" s="1">
        <v>45941</v>
      </c>
      <c r="C1075">
        <v>1216</v>
      </c>
      <c r="D1075" t="s">
        <v>22</v>
      </c>
      <c r="E1075" t="s">
        <v>23</v>
      </c>
      <c r="F1075" t="s">
        <v>34</v>
      </c>
      <c r="G1075">
        <v>4</v>
      </c>
      <c r="H1075">
        <v>3072</v>
      </c>
      <c r="I1075" t="s">
        <v>35</v>
      </c>
      <c r="J1075" t="s">
        <v>19</v>
      </c>
      <c r="K1075" t="s">
        <v>26</v>
      </c>
      <c r="L1075">
        <v>9</v>
      </c>
      <c r="M1075">
        <v>1</v>
      </c>
      <c r="N1075">
        <v>1</v>
      </c>
      <c r="O1075" t="s">
        <v>21</v>
      </c>
      <c r="P1075" t="str">
        <f>TEXT(Table1[[#This Row],[order_date]],"yyyy-mm")</f>
        <v>2025-10</v>
      </c>
      <c r="Q1075">
        <f>WEEKNUM(Table1[[#This Row],[order_date]])</f>
        <v>41</v>
      </c>
      <c r="R1075">
        <f>IF(Table1[[#This Row],[order_status]]="completed",1,0)</f>
        <v>1</v>
      </c>
    </row>
    <row r="1076" spans="1:18" x14ac:dyDescent="0.35">
      <c r="A1076">
        <v>1075</v>
      </c>
      <c r="B1076" s="1">
        <v>46025</v>
      </c>
      <c r="C1076">
        <v>1671</v>
      </c>
      <c r="D1076" t="s">
        <v>32</v>
      </c>
      <c r="E1076" t="s">
        <v>33</v>
      </c>
      <c r="F1076" t="s">
        <v>24</v>
      </c>
      <c r="G1076">
        <v>3</v>
      </c>
      <c r="H1076">
        <v>0</v>
      </c>
      <c r="I1076" t="s">
        <v>35</v>
      </c>
      <c r="J1076" t="s">
        <v>37</v>
      </c>
      <c r="K1076" t="s">
        <v>20</v>
      </c>
      <c r="L1076">
        <v>10</v>
      </c>
      <c r="M1076">
        <v>0</v>
      </c>
      <c r="N1076">
        <v>0</v>
      </c>
      <c r="O1076" t="s">
        <v>21</v>
      </c>
      <c r="P1076" t="str">
        <f>TEXT(Table1[[#This Row],[order_date]],"yyyy-mm")</f>
        <v>2026-01</v>
      </c>
      <c r="Q1076">
        <f>WEEKNUM(Table1[[#This Row],[order_date]])</f>
        <v>1</v>
      </c>
      <c r="R1076">
        <f>IF(Table1[[#This Row],[order_status]]="completed",1,0)</f>
        <v>0</v>
      </c>
    </row>
    <row r="1077" spans="1:18" x14ac:dyDescent="0.35">
      <c r="A1077">
        <v>1076</v>
      </c>
      <c r="B1077" s="1">
        <v>45957</v>
      </c>
      <c r="C1077">
        <v>1267</v>
      </c>
      <c r="D1077" t="s">
        <v>32</v>
      </c>
      <c r="E1077" t="s">
        <v>29</v>
      </c>
      <c r="F1077" t="s">
        <v>17</v>
      </c>
      <c r="G1077">
        <v>2</v>
      </c>
      <c r="H1077">
        <v>9908</v>
      </c>
      <c r="I1077" t="s">
        <v>39</v>
      </c>
      <c r="J1077" t="s">
        <v>19</v>
      </c>
      <c r="K1077" t="s">
        <v>40</v>
      </c>
      <c r="L1077">
        <v>4</v>
      </c>
      <c r="M1077">
        <v>0</v>
      </c>
      <c r="N1077">
        <v>0</v>
      </c>
      <c r="O1077" t="s">
        <v>21</v>
      </c>
      <c r="P1077" t="str">
        <f>TEXT(Table1[[#This Row],[order_date]],"yyyy-mm")</f>
        <v>2025-10</v>
      </c>
      <c r="Q1077">
        <f>WEEKNUM(Table1[[#This Row],[order_date]])</f>
        <v>44</v>
      </c>
      <c r="R1077">
        <f>IF(Table1[[#This Row],[order_status]]="completed",1,0)</f>
        <v>1</v>
      </c>
    </row>
    <row r="1078" spans="1:18" x14ac:dyDescent="0.35">
      <c r="A1078">
        <v>1077</v>
      </c>
      <c r="B1078" s="1">
        <v>45908</v>
      </c>
      <c r="C1078">
        <v>1669</v>
      </c>
      <c r="D1078" t="s">
        <v>15</v>
      </c>
      <c r="E1078" t="s">
        <v>29</v>
      </c>
      <c r="F1078" t="s">
        <v>17</v>
      </c>
      <c r="G1078">
        <v>2</v>
      </c>
      <c r="H1078">
        <v>1868</v>
      </c>
      <c r="I1078" t="s">
        <v>39</v>
      </c>
      <c r="J1078" t="s">
        <v>19</v>
      </c>
      <c r="K1078" t="s">
        <v>26</v>
      </c>
      <c r="L1078">
        <v>8</v>
      </c>
      <c r="M1078">
        <v>0</v>
      </c>
      <c r="N1078">
        <v>1</v>
      </c>
      <c r="O1078" t="s">
        <v>21</v>
      </c>
      <c r="P1078" t="str">
        <f>TEXT(Table1[[#This Row],[order_date]],"yyyy-mm")</f>
        <v>2025-09</v>
      </c>
      <c r="Q1078">
        <f>WEEKNUM(Table1[[#This Row],[order_date]])</f>
        <v>37</v>
      </c>
      <c r="R1078">
        <f>IF(Table1[[#This Row],[order_status]]="completed",1,0)</f>
        <v>1</v>
      </c>
    </row>
    <row r="1079" spans="1:18" x14ac:dyDescent="0.35">
      <c r="A1079">
        <v>1078</v>
      </c>
      <c r="B1079" s="1">
        <v>45881</v>
      </c>
      <c r="C1079">
        <v>1332</v>
      </c>
      <c r="D1079" t="s">
        <v>41</v>
      </c>
      <c r="E1079" t="s">
        <v>16</v>
      </c>
      <c r="F1079" t="s">
        <v>17</v>
      </c>
      <c r="G1079">
        <v>2</v>
      </c>
      <c r="H1079">
        <v>5108</v>
      </c>
      <c r="I1079" t="s">
        <v>35</v>
      </c>
      <c r="J1079" t="s">
        <v>19</v>
      </c>
      <c r="K1079" t="s">
        <v>26</v>
      </c>
      <c r="L1079">
        <v>6</v>
      </c>
      <c r="M1079">
        <v>0</v>
      </c>
      <c r="N1079">
        <v>1</v>
      </c>
      <c r="O1079" t="s">
        <v>27</v>
      </c>
      <c r="P1079" t="str">
        <f>TEXT(Table1[[#This Row],[order_date]],"yyyy-mm")</f>
        <v>2025-08</v>
      </c>
      <c r="Q1079">
        <f>WEEKNUM(Table1[[#This Row],[order_date]])</f>
        <v>33</v>
      </c>
      <c r="R1079">
        <f>IF(Table1[[#This Row],[order_status]]="completed",1,0)</f>
        <v>1</v>
      </c>
    </row>
    <row r="1080" spans="1:18" x14ac:dyDescent="0.35">
      <c r="A1080">
        <v>1079</v>
      </c>
      <c r="B1080" s="1">
        <v>45988</v>
      </c>
      <c r="C1080">
        <v>1995</v>
      </c>
      <c r="D1080" t="s">
        <v>41</v>
      </c>
      <c r="E1080" t="s">
        <v>33</v>
      </c>
      <c r="F1080" t="s">
        <v>34</v>
      </c>
      <c r="G1080">
        <v>4</v>
      </c>
      <c r="H1080">
        <v>5872</v>
      </c>
      <c r="I1080" t="s">
        <v>18</v>
      </c>
      <c r="J1080" t="s">
        <v>19</v>
      </c>
      <c r="K1080" t="s">
        <v>40</v>
      </c>
      <c r="L1080">
        <v>5</v>
      </c>
      <c r="M1080">
        <v>1</v>
      </c>
      <c r="N1080">
        <v>0</v>
      </c>
      <c r="O1080" t="s">
        <v>27</v>
      </c>
      <c r="P1080" t="str">
        <f>TEXT(Table1[[#This Row],[order_date]],"yyyy-mm")</f>
        <v>2025-11</v>
      </c>
      <c r="Q1080">
        <f>WEEKNUM(Table1[[#This Row],[order_date]])</f>
        <v>48</v>
      </c>
      <c r="R1080">
        <f>IF(Table1[[#This Row],[order_status]]="completed",1,0)</f>
        <v>1</v>
      </c>
    </row>
    <row r="1081" spans="1:18" x14ac:dyDescent="0.35">
      <c r="A1081">
        <v>1080</v>
      </c>
      <c r="B1081" s="1">
        <v>45999</v>
      </c>
      <c r="C1081">
        <v>1837</v>
      </c>
      <c r="D1081" t="s">
        <v>28</v>
      </c>
      <c r="E1081" t="s">
        <v>16</v>
      </c>
      <c r="F1081" t="s">
        <v>24</v>
      </c>
      <c r="G1081">
        <v>3</v>
      </c>
      <c r="H1081">
        <v>0</v>
      </c>
      <c r="I1081" t="s">
        <v>25</v>
      </c>
      <c r="J1081" t="s">
        <v>31</v>
      </c>
      <c r="K1081" t="s">
        <v>40</v>
      </c>
      <c r="L1081">
        <v>8</v>
      </c>
      <c r="M1081">
        <v>1</v>
      </c>
      <c r="N1081">
        <v>0</v>
      </c>
      <c r="O1081" t="s">
        <v>21</v>
      </c>
      <c r="P1081" t="str">
        <f>TEXT(Table1[[#This Row],[order_date]],"yyyy-mm")</f>
        <v>2025-12</v>
      </c>
      <c r="Q1081">
        <f>WEEKNUM(Table1[[#This Row],[order_date]])</f>
        <v>50</v>
      </c>
      <c r="R1081">
        <f>IF(Table1[[#This Row],[order_status]]="completed",1,0)</f>
        <v>0</v>
      </c>
    </row>
    <row r="1082" spans="1:18" x14ac:dyDescent="0.35">
      <c r="A1082">
        <v>1081</v>
      </c>
      <c r="B1082" s="1">
        <v>45853</v>
      </c>
      <c r="C1082">
        <v>1223</v>
      </c>
      <c r="D1082" t="s">
        <v>41</v>
      </c>
      <c r="E1082" t="s">
        <v>23</v>
      </c>
      <c r="F1082" t="s">
        <v>24</v>
      </c>
      <c r="G1082">
        <v>3</v>
      </c>
      <c r="H1082">
        <v>9813</v>
      </c>
      <c r="I1082" t="s">
        <v>18</v>
      </c>
      <c r="J1082" t="s">
        <v>19</v>
      </c>
      <c r="K1082" t="s">
        <v>26</v>
      </c>
      <c r="L1082">
        <v>9</v>
      </c>
      <c r="M1082">
        <v>1</v>
      </c>
      <c r="N1082">
        <v>0</v>
      </c>
      <c r="O1082" t="s">
        <v>21</v>
      </c>
      <c r="P1082" t="str">
        <f>TEXT(Table1[[#This Row],[order_date]],"yyyy-mm")</f>
        <v>2025-07</v>
      </c>
      <c r="Q1082">
        <f>WEEKNUM(Table1[[#This Row],[order_date]])</f>
        <v>29</v>
      </c>
      <c r="R1082">
        <f>IF(Table1[[#This Row],[order_status]]="completed",1,0)</f>
        <v>1</v>
      </c>
    </row>
    <row r="1083" spans="1:18" x14ac:dyDescent="0.35">
      <c r="A1083">
        <v>1082</v>
      </c>
      <c r="B1083" s="1">
        <v>45861</v>
      </c>
      <c r="C1083">
        <v>1501</v>
      </c>
      <c r="D1083" t="s">
        <v>28</v>
      </c>
      <c r="E1083" t="s">
        <v>36</v>
      </c>
      <c r="F1083" t="s">
        <v>34</v>
      </c>
      <c r="G1083">
        <v>1</v>
      </c>
      <c r="H1083">
        <v>0</v>
      </c>
      <c r="I1083" t="s">
        <v>39</v>
      </c>
      <c r="J1083" t="s">
        <v>37</v>
      </c>
      <c r="K1083" t="s">
        <v>26</v>
      </c>
      <c r="L1083">
        <v>8</v>
      </c>
      <c r="M1083">
        <v>1</v>
      </c>
      <c r="N1083">
        <v>1</v>
      </c>
      <c r="O1083" t="s">
        <v>27</v>
      </c>
      <c r="P1083" t="str">
        <f>TEXT(Table1[[#This Row],[order_date]],"yyyy-mm")</f>
        <v>2025-07</v>
      </c>
      <c r="Q1083">
        <f>WEEKNUM(Table1[[#This Row],[order_date]])</f>
        <v>30</v>
      </c>
      <c r="R1083">
        <f>IF(Table1[[#This Row],[order_status]]="completed",1,0)</f>
        <v>0</v>
      </c>
    </row>
    <row r="1084" spans="1:18" x14ac:dyDescent="0.35">
      <c r="A1084">
        <v>1083</v>
      </c>
      <c r="B1084" s="1">
        <v>45872</v>
      </c>
      <c r="C1084">
        <v>1708</v>
      </c>
      <c r="D1084" t="s">
        <v>41</v>
      </c>
      <c r="E1084" t="s">
        <v>33</v>
      </c>
      <c r="F1084" t="s">
        <v>17</v>
      </c>
      <c r="G1084">
        <v>1</v>
      </c>
      <c r="H1084">
        <v>4618</v>
      </c>
      <c r="I1084" t="s">
        <v>18</v>
      </c>
      <c r="J1084" t="s">
        <v>19</v>
      </c>
      <c r="K1084" t="s">
        <v>40</v>
      </c>
      <c r="L1084">
        <v>2</v>
      </c>
      <c r="M1084">
        <v>0</v>
      </c>
      <c r="N1084">
        <v>0</v>
      </c>
      <c r="O1084" t="s">
        <v>27</v>
      </c>
      <c r="P1084" t="str">
        <f>TEXT(Table1[[#This Row],[order_date]],"yyyy-mm")</f>
        <v>2025-08</v>
      </c>
      <c r="Q1084">
        <f>WEEKNUM(Table1[[#This Row],[order_date]])</f>
        <v>32</v>
      </c>
      <c r="R1084">
        <f>IF(Table1[[#This Row],[order_status]]="completed",1,0)</f>
        <v>1</v>
      </c>
    </row>
    <row r="1085" spans="1:18" x14ac:dyDescent="0.35">
      <c r="A1085">
        <v>1084</v>
      </c>
      <c r="B1085" s="1">
        <v>45921</v>
      </c>
      <c r="C1085">
        <v>1873</v>
      </c>
      <c r="D1085" t="s">
        <v>41</v>
      </c>
      <c r="E1085" t="s">
        <v>16</v>
      </c>
      <c r="F1085" t="s">
        <v>17</v>
      </c>
      <c r="G1085">
        <v>4</v>
      </c>
      <c r="H1085">
        <v>13352</v>
      </c>
      <c r="I1085" t="s">
        <v>39</v>
      </c>
      <c r="J1085" t="s">
        <v>19</v>
      </c>
      <c r="K1085" t="s">
        <v>20</v>
      </c>
      <c r="L1085">
        <v>8</v>
      </c>
      <c r="M1085">
        <v>0</v>
      </c>
      <c r="N1085">
        <v>1</v>
      </c>
      <c r="O1085" t="s">
        <v>21</v>
      </c>
      <c r="P1085" t="str">
        <f>TEXT(Table1[[#This Row],[order_date]],"yyyy-mm")</f>
        <v>2025-09</v>
      </c>
      <c r="Q1085">
        <f>WEEKNUM(Table1[[#This Row],[order_date]])</f>
        <v>39</v>
      </c>
      <c r="R1085">
        <f>IF(Table1[[#This Row],[order_status]]="completed",1,0)</f>
        <v>1</v>
      </c>
    </row>
    <row r="1086" spans="1:18" x14ac:dyDescent="0.35">
      <c r="A1086">
        <v>1085</v>
      </c>
      <c r="B1086" s="1">
        <v>45895</v>
      </c>
      <c r="C1086">
        <v>1560</v>
      </c>
      <c r="D1086" t="s">
        <v>22</v>
      </c>
      <c r="E1086" t="s">
        <v>29</v>
      </c>
      <c r="F1086" t="s">
        <v>30</v>
      </c>
      <c r="G1086">
        <v>1</v>
      </c>
      <c r="H1086">
        <v>0</v>
      </c>
      <c r="I1086" t="s">
        <v>18</v>
      </c>
      <c r="J1086" t="s">
        <v>31</v>
      </c>
      <c r="K1086" t="s">
        <v>40</v>
      </c>
      <c r="L1086">
        <v>8</v>
      </c>
      <c r="M1086">
        <v>1</v>
      </c>
      <c r="N1086">
        <v>0</v>
      </c>
      <c r="O1086" t="s">
        <v>21</v>
      </c>
      <c r="P1086" t="str">
        <f>TEXT(Table1[[#This Row],[order_date]],"yyyy-mm")</f>
        <v>2025-08</v>
      </c>
      <c r="Q1086">
        <f>WEEKNUM(Table1[[#This Row],[order_date]])</f>
        <v>35</v>
      </c>
      <c r="R1086">
        <f>IF(Table1[[#This Row],[order_status]]="completed",1,0)</f>
        <v>0</v>
      </c>
    </row>
    <row r="1087" spans="1:18" x14ac:dyDescent="0.35">
      <c r="A1087">
        <v>1086</v>
      </c>
      <c r="B1087" s="1">
        <v>45909</v>
      </c>
      <c r="C1087">
        <v>1380</v>
      </c>
      <c r="D1087" t="s">
        <v>32</v>
      </c>
      <c r="E1087" t="s">
        <v>29</v>
      </c>
      <c r="F1087" t="s">
        <v>17</v>
      </c>
      <c r="G1087">
        <v>5</v>
      </c>
      <c r="H1087">
        <v>14255</v>
      </c>
      <c r="I1087" t="s">
        <v>35</v>
      </c>
      <c r="J1087" t="s">
        <v>19</v>
      </c>
      <c r="K1087" t="s">
        <v>38</v>
      </c>
      <c r="L1087">
        <v>8</v>
      </c>
      <c r="M1087">
        <v>0</v>
      </c>
      <c r="N1087">
        <v>0</v>
      </c>
      <c r="O1087" t="s">
        <v>27</v>
      </c>
      <c r="P1087" t="str">
        <f>TEXT(Table1[[#This Row],[order_date]],"yyyy-mm")</f>
        <v>2025-09</v>
      </c>
      <c r="Q1087">
        <f>WEEKNUM(Table1[[#This Row],[order_date]])</f>
        <v>37</v>
      </c>
      <c r="R1087">
        <f>IF(Table1[[#This Row],[order_status]]="completed",1,0)</f>
        <v>1</v>
      </c>
    </row>
    <row r="1088" spans="1:18" x14ac:dyDescent="0.35">
      <c r="A1088">
        <v>1087</v>
      </c>
      <c r="B1088" s="1">
        <v>45949</v>
      </c>
      <c r="C1088">
        <v>1229</v>
      </c>
      <c r="D1088" t="s">
        <v>28</v>
      </c>
      <c r="E1088" t="s">
        <v>23</v>
      </c>
      <c r="F1088" t="s">
        <v>24</v>
      </c>
      <c r="G1088">
        <v>3</v>
      </c>
      <c r="H1088">
        <v>3894</v>
      </c>
      <c r="I1088" t="s">
        <v>39</v>
      </c>
      <c r="J1088" t="s">
        <v>19</v>
      </c>
      <c r="K1088" t="s">
        <v>40</v>
      </c>
      <c r="L1088">
        <v>6</v>
      </c>
      <c r="M1088">
        <v>0</v>
      </c>
      <c r="N1088">
        <v>0</v>
      </c>
      <c r="O1088" t="s">
        <v>21</v>
      </c>
      <c r="P1088" t="str">
        <f>TEXT(Table1[[#This Row],[order_date]],"yyyy-mm")</f>
        <v>2025-10</v>
      </c>
      <c r="Q1088">
        <f>WEEKNUM(Table1[[#This Row],[order_date]])</f>
        <v>43</v>
      </c>
      <c r="R1088">
        <f>IF(Table1[[#This Row],[order_status]]="completed",1,0)</f>
        <v>1</v>
      </c>
    </row>
    <row r="1089" spans="1:18" x14ac:dyDescent="0.35">
      <c r="A1089">
        <v>1088</v>
      </c>
      <c r="B1089" s="1">
        <v>45934</v>
      </c>
      <c r="C1089">
        <v>1976</v>
      </c>
      <c r="D1089" t="s">
        <v>28</v>
      </c>
      <c r="E1089" t="s">
        <v>23</v>
      </c>
      <c r="F1089" t="s">
        <v>24</v>
      </c>
      <c r="G1089">
        <v>5</v>
      </c>
      <c r="H1089">
        <v>0</v>
      </c>
      <c r="I1089" t="s">
        <v>25</v>
      </c>
      <c r="J1089" t="s">
        <v>37</v>
      </c>
      <c r="K1089" t="s">
        <v>20</v>
      </c>
      <c r="L1089">
        <v>4</v>
      </c>
      <c r="M1089">
        <v>0</v>
      </c>
      <c r="N1089">
        <v>0</v>
      </c>
      <c r="O1089" t="s">
        <v>27</v>
      </c>
      <c r="P1089" t="str">
        <f>TEXT(Table1[[#This Row],[order_date]],"yyyy-mm")</f>
        <v>2025-10</v>
      </c>
      <c r="Q1089">
        <f>WEEKNUM(Table1[[#This Row],[order_date]])</f>
        <v>40</v>
      </c>
      <c r="R1089">
        <f>IF(Table1[[#This Row],[order_status]]="completed",1,0)</f>
        <v>0</v>
      </c>
    </row>
    <row r="1090" spans="1:18" x14ac:dyDescent="0.35">
      <c r="A1090">
        <v>1089</v>
      </c>
      <c r="B1090" s="1">
        <v>45994</v>
      </c>
      <c r="C1090">
        <v>1007</v>
      </c>
      <c r="D1090" t="s">
        <v>22</v>
      </c>
      <c r="E1090" t="s">
        <v>36</v>
      </c>
      <c r="F1090" t="s">
        <v>17</v>
      </c>
      <c r="G1090">
        <v>5</v>
      </c>
      <c r="H1090">
        <v>0</v>
      </c>
      <c r="I1090" t="s">
        <v>35</v>
      </c>
      <c r="J1090" t="s">
        <v>31</v>
      </c>
      <c r="K1090" t="s">
        <v>26</v>
      </c>
      <c r="L1090">
        <v>8</v>
      </c>
      <c r="M1090">
        <v>1</v>
      </c>
      <c r="N1090">
        <v>1</v>
      </c>
      <c r="O1090" t="s">
        <v>27</v>
      </c>
      <c r="P1090" t="str">
        <f>TEXT(Table1[[#This Row],[order_date]],"yyyy-mm")</f>
        <v>2025-12</v>
      </c>
      <c r="Q1090">
        <f>WEEKNUM(Table1[[#This Row],[order_date]])</f>
        <v>49</v>
      </c>
      <c r="R1090">
        <f>IF(Table1[[#This Row],[order_status]]="completed",1,0)</f>
        <v>0</v>
      </c>
    </row>
    <row r="1091" spans="1:18" x14ac:dyDescent="0.35">
      <c r="A1091">
        <v>1090</v>
      </c>
      <c r="B1091" s="1">
        <v>45893</v>
      </c>
      <c r="C1091">
        <v>1564</v>
      </c>
      <c r="D1091" t="s">
        <v>32</v>
      </c>
      <c r="E1091" t="s">
        <v>23</v>
      </c>
      <c r="F1091" t="s">
        <v>34</v>
      </c>
      <c r="G1091">
        <v>4</v>
      </c>
      <c r="H1091">
        <v>11736</v>
      </c>
      <c r="I1091" t="s">
        <v>39</v>
      </c>
      <c r="J1091" t="s">
        <v>19</v>
      </c>
      <c r="K1091" t="s">
        <v>38</v>
      </c>
      <c r="L1091">
        <v>4</v>
      </c>
      <c r="M1091">
        <v>0</v>
      </c>
      <c r="N1091">
        <v>1</v>
      </c>
      <c r="O1091" t="s">
        <v>21</v>
      </c>
      <c r="P1091" t="str">
        <f>TEXT(Table1[[#This Row],[order_date]],"yyyy-mm")</f>
        <v>2025-08</v>
      </c>
      <c r="Q1091">
        <f>WEEKNUM(Table1[[#This Row],[order_date]])</f>
        <v>35</v>
      </c>
      <c r="R1091">
        <f>IF(Table1[[#This Row],[order_status]]="completed",1,0)</f>
        <v>1</v>
      </c>
    </row>
    <row r="1092" spans="1:18" x14ac:dyDescent="0.35">
      <c r="A1092">
        <v>1091</v>
      </c>
      <c r="B1092" s="1">
        <v>45858</v>
      </c>
      <c r="C1092">
        <v>1773</v>
      </c>
      <c r="D1092" t="s">
        <v>15</v>
      </c>
      <c r="E1092" t="s">
        <v>36</v>
      </c>
      <c r="F1092" t="s">
        <v>24</v>
      </c>
      <c r="G1092">
        <v>3</v>
      </c>
      <c r="H1092">
        <v>0</v>
      </c>
      <c r="I1092" t="s">
        <v>39</v>
      </c>
      <c r="J1092" t="s">
        <v>31</v>
      </c>
      <c r="K1092" t="s">
        <v>40</v>
      </c>
      <c r="L1092">
        <v>1</v>
      </c>
      <c r="M1092">
        <v>0</v>
      </c>
      <c r="N1092">
        <v>0</v>
      </c>
      <c r="O1092" t="s">
        <v>27</v>
      </c>
      <c r="P1092" t="str">
        <f>TEXT(Table1[[#This Row],[order_date]],"yyyy-mm")</f>
        <v>2025-07</v>
      </c>
      <c r="Q1092">
        <f>WEEKNUM(Table1[[#This Row],[order_date]])</f>
        <v>30</v>
      </c>
      <c r="R1092">
        <f>IF(Table1[[#This Row],[order_status]]="completed",1,0)</f>
        <v>0</v>
      </c>
    </row>
    <row r="1093" spans="1:18" x14ac:dyDescent="0.35">
      <c r="A1093">
        <v>1092</v>
      </c>
      <c r="B1093" s="1">
        <v>45891</v>
      </c>
      <c r="C1093">
        <v>1112</v>
      </c>
      <c r="D1093" t="s">
        <v>15</v>
      </c>
      <c r="E1093" t="s">
        <v>33</v>
      </c>
      <c r="F1093" t="s">
        <v>34</v>
      </c>
      <c r="G1093">
        <v>2</v>
      </c>
      <c r="H1093">
        <v>0</v>
      </c>
      <c r="I1093" t="s">
        <v>39</v>
      </c>
      <c r="J1093" t="s">
        <v>31</v>
      </c>
      <c r="K1093" t="s">
        <v>20</v>
      </c>
      <c r="L1093">
        <v>6</v>
      </c>
      <c r="M1093">
        <v>1</v>
      </c>
      <c r="N1093">
        <v>1</v>
      </c>
      <c r="O1093" t="s">
        <v>27</v>
      </c>
      <c r="P1093" t="str">
        <f>TEXT(Table1[[#This Row],[order_date]],"yyyy-mm")</f>
        <v>2025-08</v>
      </c>
      <c r="Q1093">
        <f>WEEKNUM(Table1[[#This Row],[order_date]])</f>
        <v>34</v>
      </c>
      <c r="R1093">
        <f>IF(Table1[[#This Row],[order_status]]="completed",1,0)</f>
        <v>0</v>
      </c>
    </row>
    <row r="1094" spans="1:18" x14ac:dyDescent="0.35">
      <c r="A1094">
        <v>1093</v>
      </c>
      <c r="B1094" s="1">
        <v>45865</v>
      </c>
      <c r="C1094">
        <v>1476</v>
      </c>
      <c r="D1094" t="s">
        <v>28</v>
      </c>
      <c r="E1094" t="s">
        <v>23</v>
      </c>
      <c r="F1094" t="s">
        <v>17</v>
      </c>
      <c r="G1094">
        <v>4</v>
      </c>
      <c r="H1094">
        <v>0</v>
      </c>
      <c r="I1094" t="s">
        <v>18</v>
      </c>
      <c r="J1094" t="s">
        <v>31</v>
      </c>
      <c r="K1094" t="s">
        <v>40</v>
      </c>
      <c r="L1094">
        <v>5</v>
      </c>
      <c r="M1094">
        <v>0</v>
      </c>
      <c r="N1094">
        <v>1</v>
      </c>
      <c r="O1094" t="s">
        <v>21</v>
      </c>
      <c r="P1094" t="str">
        <f>TEXT(Table1[[#This Row],[order_date]],"yyyy-mm")</f>
        <v>2025-07</v>
      </c>
      <c r="Q1094">
        <f>WEEKNUM(Table1[[#This Row],[order_date]])</f>
        <v>31</v>
      </c>
      <c r="R1094">
        <f>IF(Table1[[#This Row],[order_status]]="completed",1,0)</f>
        <v>0</v>
      </c>
    </row>
    <row r="1095" spans="1:18" x14ac:dyDescent="0.35">
      <c r="A1095">
        <v>1094</v>
      </c>
      <c r="B1095" s="1">
        <v>45883</v>
      </c>
      <c r="C1095">
        <v>1353</v>
      </c>
      <c r="D1095" t="s">
        <v>15</v>
      </c>
      <c r="E1095" t="s">
        <v>16</v>
      </c>
      <c r="F1095" t="s">
        <v>30</v>
      </c>
      <c r="G1095">
        <v>3</v>
      </c>
      <c r="H1095">
        <v>0</v>
      </c>
      <c r="I1095" t="s">
        <v>39</v>
      </c>
      <c r="J1095" t="s">
        <v>31</v>
      </c>
      <c r="K1095" t="s">
        <v>20</v>
      </c>
      <c r="L1095">
        <v>8</v>
      </c>
      <c r="M1095">
        <v>1</v>
      </c>
      <c r="N1095">
        <v>1</v>
      </c>
      <c r="O1095" t="s">
        <v>21</v>
      </c>
      <c r="P1095" t="str">
        <f>TEXT(Table1[[#This Row],[order_date]],"yyyy-mm")</f>
        <v>2025-08</v>
      </c>
      <c r="Q1095">
        <f>WEEKNUM(Table1[[#This Row],[order_date]])</f>
        <v>33</v>
      </c>
      <c r="R1095">
        <f>IF(Table1[[#This Row],[order_status]]="completed",1,0)</f>
        <v>0</v>
      </c>
    </row>
    <row r="1096" spans="1:18" x14ac:dyDescent="0.35">
      <c r="A1096">
        <v>1095</v>
      </c>
      <c r="B1096" s="1">
        <v>46014</v>
      </c>
      <c r="C1096">
        <v>1423</v>
      </c>
      <c r="D1096" t="s">
        <v>32</v>
      </c>
      <c r="E1096" t="s">
        <v>36</v>
      </c>
      <c r="F1096" t="s">
        <v>34</v>
      </c>
      <c r="G1096">
        <v>3</v>
      </c>
      <c r="H1096">
        <v>0</v>
      </c>
      <c r="I1096" t="s">
        <v>35</v>
      </c>
      <c r="J1096" t="s">
        <v>37</v>
      </c>
      <c r="K1096" t="s">
        <v>40</v>
      </c>
      <c r="L1096">
        <v>10</v>
      </c>
      <c r="M1096">
        <v>0</v>
      </c>
      <c r="N1096">
        <v>0</v>
      </c>
      <c r="O1096" t="s">
        <v>21</v>
      </c>
      <c r="P1096" t="str">
        <f>TEXT(Table1[[#This Row],[order_date]],"yyyy-mm")</f>
        <v>2025-12</v>
      </c>
      <c r="Q1096">
        <f>WEEKNUM(Table1[[#This Row],[order_date]])</f>
        <v>52</v>
      </c>
      <c r="R1096">
        <f>IF(Table1[[#This Row],[order_status]]="completed",1,0)</f>
        <v>0</v>
      </c>
    </row>
    <row r="1097" spans="1:18" x14ac:dyDescent="0.35">
      <c r="A1097">
        <v>1096</v>
      </c>
      <c r="B1097" s="1">
        <v>45999</v>
      </c>
      <c r="C1097">
        <v>1188</v>
      </c>
      <c r="D1097" t="s">
        <v>32</v>
      </c>
      <c r="E1097" t="s">
        <v>16</v>
      </c>
      <c r="F1097" t="s">
        <v>24</v>
      </c>
      <c r="G1097">
        <v>4</v>
      </c>
      <c r="H1097">
        <v>0</v>
      </c>
      <c r="I1097" t="s">
        <v>25</v>
      </c>
      <c r="J1097" t="s">
        <v>31</v>
      </c>
      <c r="K1097" t="s">
        <v>26</v>
      </c>
      <c r="L1097">
        <v>10</v>
      </c>
      <c r="M1097">
        <v>1</v>
      </c>
      <c r="N1097">
        <v>1</v>
      </c>
      <c r="O1097" t="s">
        <v>21</v>
      </c>
      <c r="P1097" t="str">
        <f>TEXT(Table1[[#This Row],[order_date]],"yyyy-mm")</f>
        <v>2025-12</v>
      </c>
      <c r="Q1097">
        <f>WEEKNUM(Table1[[#This Row],[order_date]])</f>
        <v>50</v>
      </c>
      <c r="R1097">
        <f>IF(Table1[[#This Row],[order_status]]="completed",1,0)</f>
        <v>0</v>
      </c>
    </row>
    <row r="1098" spans="1:18" x14ac:dyDescent="0.35">
      <c r="A1098">
        <v>1097</v>
      </c>
      <c r="B1098" s="1">
        <v>45880</v>
      </c>
      <c r="C1098">
        <v>1160</v>
      </c>
      <c r="D1098" t="s">
        <v>32</v>
      </c>
      <c r="E1098" t="s">
        <v>16</v>
      </c>
      <c r="F1098" t="s">
        <v>17</v>
      </c>
      <c r="G1098">
        <v>5</v>
      </c>
      <c r="H1098">
        <v>0</v>
      </c>
      <c r="I1098" t="s">
        <v>39</v>
      </c>
      <c r="J1098" t="s">
        <v>31</v>
      </c>
      <c r="K1098" t="s">
        <v>26</v>
      </c>
      <c r="L1098">
        <v>8</v>
      </c>
      <c r="M1098">
        <v>1</v>
      </c>
      <c r="N1098">
        <v>0</v>
      </c>
      <c r="O1098" t="s">
        <v>27</v>
      </c>
      <c r="P1098" t="str">
        <f>TEXT(Table1[[#This Row],[order_date]],"yyyy-mm")</f>
        <v>2025-08</v>
      </c>
      <c r="Q1098">
        <f>WEEKNUM(Table1[[#This Row],[order_date]])</f>
        <v>33</v>
      </c>
      <c r="R1098">
        <f>IF(Table1[[#This Row],[order_status]]="completed",1,0)</f>
        <v>0</v>
      </c>
    </row>
    <row r="1099" spans="1:18" x14ac:dyDescent="0.35">
      <c r="A1099">
        <v>1098</v>
      </c>
      <c r="B1099" s="1">
        <v>45925</v>
      </c>
      <c r="C1099">
        <v>1496</v>
      </c>
      <c r="D1099" t="s">
        <v>15</v>
      </c>
      <c r="E1099" t="s">
        <v>33</v>
      </c>
      <c r="F1099" t="s">
        <v>30</v>
      </c>
      <c r="G1099">
        <v>3</v>
      </c>
      <c r="H1099">
        <v>0</v>
      </c>
      <c r="I1099" t="s">
        <v>35</v>
      </c>
      <c r="J1099" t="s">
        <v>37</v>
      </c>
      <c r="K1099" t="s">
        <v>40</v>
      </c>
      <c r="L1099">
        <v>10</v>
      </c>
      <c r="M1099">
        <v>0</v>
      </c>
      <c r="N1099">
        <v>0</v>
      </c>
      <c r="O1099" t="s">
        <v>27</v>
      </c>
      <c r="P1099" t="str">
        <f>TEXT(Table1[[#This Row],[order_date]],"yyyy-mm")</f>
        <v>2025-09</v>
      </c>
      <c r="Q1099">
        <f>WEEKNUM(Table1[[#This Row],[order_date]])</f>
        <v>39</v>
      </c>
      <c r="R1099">
        <f>IF(Table1[[#This Row],[order_status]]="completed",1,0)</f>
        <v>0</v>
      </c>
    </row>
    <row r="1100" spans="1:18" x14ac:dyDescent="0.35">
      <c r="A1100">
        <v>1099</v>
      </c>
      <c r="B1100" s="1">
        <v>45978</v>
      </c>
      <c r="C1100">
        <v>1841</v>
      </c>
      <c r="D1100" t="s">
        <v>15</v>
      </c>
      <c r="E1100" t="s">
        <v>16</v>
      </c>
      <c r="F1100" t="s">
        <v>34</v>
      </c>
      <c r="G1100">
        <v>1</v>
      </c>
      <c r="H1100">
        <v>0</v>
      </c>
      <c r="I1100" t="s">
        <v>35</v>
      </c>
      <c r="J1100" t="s">
        <v>31</v>
      </c>
      <c r="K1100" t="s">
        <v>38</v>
      </c>
      <c r="L1100">
        <v>4</v>
      </c>
      <c r="M1100">
        <v>1</v>
      </c>
      <c r="N1100">
        <v>0</v>
      </c>
      <c r="O1100" t="s">
        <v>27</v>
      </c>
      <c r="P1100" t="str">
        <f>TEXT(Table1[[#This Row],[order_date]],"yyyy-mm")</f>
        <v>2025-11</v>
      </c>
      <c r="Q1100">
        <f>WEEKNUM(Table1[[#This Row],[order_date]])</f>
        <v>47</v>
      </c>
      <c r="R1100">
        <f>IF(Table1[[#This Row],[order_status]]="completed",1,0)</f>
        <v>0</v>
      </c>
    </row>
    <row r="1101" spans="1:18" x14ac:dyDescent="0.35">
      <c r="A1101">
        <v>1100</v>
      </c>
      <c r="B1101" s="1">
        <v>45952</v>
      </c>
      <c r="C1101">
        <v>1293</v>
      </c>
      <c r="D1101" t="s">
        <v>28</v>
      </c>
      <c r="E1101" t="s">
        <v>16</v>
      </c>
      <c r="F1101" t="s">
        <v>30</v>
      </c>
      <c r="G1101">
        <v>3</v>
      </c>
      <c r="H1101">
        <v>0</v>
      </c>
      <c r="I1101" t="s">
        <v>35</v>
      </c>
      <c r="J1101" t="s">
        <v>37</v>
      </c>
      <c r="K1101" t="s">
        <v>40</v>
      </c>
      <c r="L1101">
        <v>6</v>
      </c>
      <c r="M1101">
        <v>1</v>
      </c>
      <c r="N1101">
        <v>1</v>
      </c>
      <c r="O1101" t="s">
        <v>27</v>
      </c>
      <c r="P1101" t="str">
        <f>TEXT(Table1[[#This Row],[order_date]],"yyyy-mm")</f>
        <v>2025-10</v>
      </c>
      <c r="Q1101">
        <f>WEEKNUM(Table1[[#This Row],[order_date]])</f>
        <v>43</v>
      </c>
      <c r="R1101">
        <f>IF(Table1[[#This Row],[order_status]]="completed",1,0)</f>
        <v>0</v>
      </c>
    </row>
    <row r="1102" spans="1:18" x14ac:dyDescent="0.35">
      <c r="A1102">
        <v>1101</v>
      </c>
      <c r="B1102" s="1">
        <v>45874</v>
      </c>
      <c r="C1102">
        <v>1446</v>
      </c>
      <c r="D1102" t="s">
        <v>32</v>
      </c>
      <c r="E1102" t="s">
        <v>33</v>
      </c>
      <c r="F1102" t="s">
        <v>17</v>
      </c>
      <c r="G1102">
        <v>2</v>
      </c>
      <c r="H1102">
        <v>0</v>
      </c>
      <c r="I1102" t="s">
        <v>35</v>
      </c>
      <c r="J1102" t="s">
        <v>31</v>
      </c>
      <c r="K1102" t="s">
        <v>40</v>
      </c>
      <c r="L1102">
        <v>9</v>
      </c>
      <c r="M1102">
        <v>1</v>
      </c>
      <c r="N1102">
        <v>1</v>
      </c>
      <c r="O1102" t="s">
        <v>27</v>
      </c>
      <c r="P1102" t="str">
        <f>TEXT(Table1[[#This Row],[order_date]],"yyyy-mm")</f>
        <v>2025-08</v>
      </c>
      <c r="Q1102">
        <f>WEEKNUM(Table1[[#This Row],[order_date]])</f>
        <v>32</v>
      </c>
      <c r="R1102">
        <f>IF(Table1[[#This Row],[order_status]]="completed",1,0)</f>
        <v>0</v>
      </c>
    </row>
    <row r="1103" spans="1:18" x14ac:dyDescent="0.35">
      <c r="A1103">
        <v>1102</v>
      </c>
      <c r="B1103" s="1">
        <v>46006</v>
      </c>
      <c r="C1103">
        <v>1199</v>
      </c>
      <c r="D1103" t="s">
        <v>32</v>
      </c>
      <c r="E1103" t="s">
        <v>29</v>
      </c>
      <c r="F1103" t="s">
        <v>34</v>
      </c>
      <c r="G1103">
        <v>4</v>
      </c>
      <c r="H1103">
        <v>7000</v>
      </c>
      <c r="I1103" t="s">
        <v>25</v>
      </c>
      <c r="J1103" t="s">
        <v>19</v>
      </c>
      <c r="K1103" t="s">
        <v>40</v>
      </c>
      <c r="L1103">
        <v>10</v>
      </c>
      <c r="M1103">
        <v>0</v>
      </c>
      <c r="N1103">
        <v>1</v>
      </c>
      <c r="O1103" t="s">
        <v>27</v>
      </c>
      <c r="P1103" t="str">
        <f>TEXT(Table1[[#This Row],[order_date]],"yyyy-mm")</f>
        <v>2025-12</v>
      </c>
      <c r="Q1103">
        <f>WEEKNUM(Table1[[#This Row],[order_date]])</f>
        <v>51</v>
      </c>
      <c r="R1103">
        <f>IF(Table1[[#This Row],[order_status]]="completed",1,0)</f>
        <v>1</v>
      </c>
    </row>
    <row r="1104" spans="1:18" x14ac:dyDescent="0.35">
      <c r="A1104">
        <v>1103</v>
      </c>
      <c r="B1104" s="1">
        <v>45962</v>
      </c>
      <c r="C1104">
        <v>1176</v>
      </c>
      <c r="D1104" t="s">
        <v>22</v>
      </c>
      <c r="E1104" t="s">
        <v>23</v>
      </c>
      <c r="F1104" t="s">
        <v>24</v>
      </c>
      <c r="G1104">
        <v>2</v>
      </c>
      <c r="H1104">
        <v>3636</v>
      </c>
      <c r="I1104" t="s">
        <v>18</v>
      </c>
      <c r="J1104" t="s">
        <v>19</v>
      </c>
      <c r="K1104" t="s">
        <v>40</v>
      </c>
      <c r="L1104">
        <v>9</v>
      </c>
      <c r="M1104">
        <v>0</v>
      </c>
      <c r="N1104">
        <v>0</v>
      </c>
      <c r="O1104" t="s">
        <v>21</v>
      </c>
      <c r="P1104" t="str">
        <f>TEXT(Table1[[#This Row],[order_date]],"yyyy-mm")</f>
        <v>2025-11</v>
      </c>
      <c r="Q1104">
        <f>WEEKNUM(Table1[[#This Row],[order_date]])</f>
        <v>44</v>
      </c>
      <c r="R1104">
        <f>IF(Table1[[#This Row],[order_status]]="completed",1,0)</f>
        <v>1</v>
      </c>
    </row>
    <row r="1105" spans="1:18" x14ac:dyDescent="0.35">
      <c r="A1105">
        <v>1104</v>
      </c>
      <c r="B1105" s="1">
        <v>45965</v>
      </c>
      <c r="C1105">
        <v>1609</v>
      </c>
      <c r="D1105" t="s">
        <v>32</v>
      </c>
      <c r="E1105" t="s">
        <v>33</v>
      </c>
      <c r="F1105" t="s">
        <v>34</v>
      </c>
      <c r="G1105">
        <v>1</v>
      </c>
      <c r="H1105">
        <v>2887</v>
      </c>
      <c r="I1105" t="s">
        <v>35</v>
      </c>
      <c r="J1105" t="s">
        <v>19</v>
      </c>
      <c r="K1105" t="s">
        <v>20</v>
      </c>
      <c r="L1105">
        <v>9</v>
      </c>
      <c r="M1105">
        <v>0</v>
      </c>
      <c r="N1105">
        <v>0</v>
      </c>
      <c r="O1105" t="s">
        <v>27</v>
      </c>
      <c r="P1105" t="str">
        <f>TEXT(Table1[[#This Row],[order_date]],"yyyy-mm")</f>
        <v>2025-11</v>
      </c>
      <c r="Q1105">
        <f>WEEKNUM(Table1[[#This Row],[order_date]])</f>
        <v>45</v>
      </c>
      <c r="R1105">
        <f>IF(Table1[[#This Row],[order_status]]="completed",1,0)</f>
        <v>1</v>
      </c>
    </row>
    <row r="1106" spans="1:18" x14ac:dyDescent="0.35">
      <c r="A1106">
        <v>1105</v>
      </c>
      <c r="B1106" s="1">
        <v>45938</v>
      </c>
      <c r="C1106">
        <v>1310</v>
      </c>
      <c r="D1106" t="s">
        <v>41</v>
      </c>
      <c r="E1106" t="s">
        <v>33</v>
      </c>
      <c r="F1106" t="s">
        <v>24</v>
      </c>
      <c r="G1106">
        <v>5</v>
      </c>
      <c r="H1106">
        <v>0</v>
      </c>
      <c r="I1106" t="s">
        <v>35</v>
      </c>
      <c r="J1106" t="s">
        <v>37</v>
      </c>
      <c r="K1106" t="s">
        <v>40</v>
      </c>
      <c r="L1106">
        <v>1</v>
      </c>
      <c r="M1106">
        <v>1</v>
      </c>
      <c r="N1106">
        <v>0</v>
      </c>
      <c r="O1106" t="s">
        <v>21</v>
      </c>
      <c r="P1106" t="str">
        <f>TEXT(Table1[[#This Row],[order_date]],"yyyy-mm")</f>
        <v>2025-10</v>
      </c>
      <c r="Q1106">
        <f>WEEKNUM(Table1[[#This Row],[order_date]])</f>
        <v>41</v>
      </c>
      <c r="R1106">
        <f>IF(Table1[[#This Row],[order_status]]="completed",1,0)</f>
        <v>0</v>
      </c>
    </row>
    <row r="1107" spans="1:18" x14ac:dyDescent="0.35">
      <c r="A1107">
        <v>1106</v>
      </c>
      <c r="B1107" s="1">
        <v>45894</v>
      </c>
      <c r="C1107">
        <v>1024</v>
      </c>
      <c r="D1107" t="s">
        <v>22</v>
      </c>
      <c r="E1107" t="s">
        <v>29</v>
      </c>
      <c r="F1107" t="s">
        <v>24</v>
      </c>
      <c r="G1107">
        <v>2</v>
      </c>
      <c r="H1107">
        <v>0</v>
      </c>
      <c r="I1107" t="s">
        <v>39</v>
      </c>
      <c r="J1107" t="s">
        <v>31</v>
      </c>
      <c r="K1107" t="s">
        <v>40</v>
      </c>
      <c r="L1107">
        <v>5</v>
      </c>
      <c r="M1107">
        <v>1</v>
      </c>
      <c r="N1107">
        <v>0</v>
      </c>
      <c r="O1107" t="s">
        <v>27</v>
      </c>
      <c r="P1107" t="str">
        <f>TEXT(Table1[[#This Row],[order_date]],"yyyy-mm")</f>
        <v>2025-08</v>
      </c>
      <c r="Q1107">
        <f>WEEKNUM(Table1[[#This Row],[order_date]])</f>
        <v>35</v>
      </c>
      <c r="R1107">
        <f>IF(Table1[[#This Row],[order_status]]="completed",1,0)</f>
        <v>0</v>
      </c>
    </row>
    <row r="1108" spans="1:18" x14ac:dyDescent="0.35">
      <c r="A1108">
        <v>1107</v>
      </c>
      <c r="B1108" s="1">
        <v>45921</v>
      </c>
      <c r="C1108">
        <v>1423</v>
      </c>
      <c r="D1108" t="s">
        <v>41</v>
      </c>
      <c r="E1108" t="s">
        <v>16</v>
      </c>
      <c r="F1108" t="s">
        <v>24</v>
      </c>
      <c r="G1108">
        <v>3</v>
      </c>
      <c r="H1108">
        <v>0</v>
      </c>
      <c r="I1108" t="s">
        <v>18</v>
      </c>
      <c r="J1108" t="s">
        <v>37</v>
      </c>
      <c r="K1108" t="s">
        <v>26</v>
      </c>
      <c r="L1108">
        <v>2</v>
      </c>
      <c r="M1108">
        <v>1</v>
      </c>
      <c r="N1108">
        <v>0</v>
      </c>
      <c r="O1108" t="s">
        <v>21</v>
      </c>
      <c r="P1108" t="str">
        <f>TEXT(Table1[[#This Row],[order_date]],"yyyy-mm")</f>
        <v>2025-09</v>
      </c>
      <c r="Q1108">
        <f>WEEKNUM(Table1[[#This Row],[order_date]])</f>
        <v>39</v>
      </c>
      <c r="R1108">
        <f>IF(Table1[[#This Row],[order_status]]="completed",1,0)</f>
        <v>0</v>
      </c>
    </row>
    <row r="1109" spans="1:18" x14ac:dyDescent="0.35">
      <c r="A1109">
        <v>1108</v>
      </c>
      <c r="B1109" s="1">
        <v>45909</v>
      </c>
      <c r="C1109">
        <v>1279</v>
      </c>
      <c r="D1109" t="s">
        <v>41</v>
      </c>
      <c r="E1109" t="s">
        <v>33</v>
      </c>
      <c r="F1109" t="s">
        <v>34</v>
      </c>
      <c r="G1109">
        <v>2</v>
      </c>
      <c r="H1109">
        <v>0</v>
      </c>
      <c r="I1109" t="s">
        <v>18</v>
      </c>
      <c r="J1109" t="s">
        <v>31</v>
      </c>
      <c r="K1109" t="s">
        <v>38</v>
      </c>
      <c r="L1109">
        <v>10</v>
      </c>
      <c r="M1109">
        <v>1</v>
      </c>
      <c r="N1109">
        <v>1</v>
      </c>
      <c r="O1109" t="s">
        <v>21</v>
      </c>
      <c r="P1109" t="str">
        <f>TEXT(Table1[[#This Row],[order_date]],"yyyy-mm")</f>
        <v>2025-09</v>
      </c>
      <c r="Q1109">
        <f>WEEKNUM(Table1[[#This Row],[order_date]])</f>
        <v>37</v>
      </c>
      <c r="R1109">
        <f>IF(Table1[[#This Row],[order_status]]="completed",1,0)</f>
        <v>0</v>
      </c>
    </row>
    <row r="1110" spans="1:18" x14ac:dyDescent="0.35">
      <c r="A1110">
        <v>1109</v>
      </c>
      <c r="B1110" s="1">
        <v>46000</v>
      </c>
      <c r="C1110">
        <v>1612</v>
      </c>
      <c r="D1110" t="s">
        <v>32</v>
      </c>
      <c r="E1110" t="s">
        <v>36</v>
      </c>
      <c r="F1110" t="s">
        <v>30</v>
      </c>
      <c r="G1110">
        <v>4</v>
      </c>
      <c r="H1110">
        <v>15236</v>
      </c>
      <c r="I1110" t="s">
        <v>25</v>
      </c>
      <c r="J1110" t="s">
        <v>19</v>
      </c>
      <c r="K1110" t="s">
        <v>26</v>
      </c>
      <c r="L1110">
        <v>1</v>
      </c>
      <c r="M1110">
        <v>1</v>
      </c>
      <c r="N1110">
        <v>0</v>
      </c>
      <c r="O1110" t="s">
        <v>21</v>
      </c>
      <c r="P1110" t="str">
        <f>TEXT(Table1[[#This Row],[order_date]],"yyyy-mm")</f>
        <v>2025-12</v>
      </c>
      <c r="Q1110">
        <f>WEEKNUM(Table1[[#This Row],[order_date]])</f>
        <v>50</v>
      </c>
      <c r="R1110">
        <f>IF(Table1[[#This Row],[order_status]]="completed",1,0)</f>
        <v>1</v>
      </c>
    </row>
    <row r="1111" spans="1:18" x14ac:dyDescent="0.35">
      <c r="A1111">
        <v>1110</v>
      </c>
      <c r="B1111" s="1">
        <v>45874</v>
      </c>
      <c r="C1111">
        <v>1678</v>
      </c>
      <c r="D1111" t="s">
        <v>15</v>
      </c>
      <c r="E1111" t="s">
        <v>33</v>
      </c>
      <c r="F1111" t="s">
        <v>17</v>
      </c>
      <c r="G1111">
        <v>1</v>
      </c>
      <c r="H1111">
        <v>4881</v>
      </c>
      <c r="I1111" t="s">
        <v>25</v>
      </c>
      <c r="J1111" t="s">
        <v>19</v>
      </c>
      <c r="K1111" t="s">
        <v>26</v>
      </c>
      <c r="L1111">
        <v>6</v>
      </c>
      <c r="M1111">
        <v>1</v>
      </c>
      <c r="N1111">
        <v>1</v>
      </c>
      <c r="O1111" t="s">
        <v>27</v>
      </c>
      <c r="P1111" t="str">
        <f>TEXT(Table1[[#This Row],[order_date]],"yyyy-mm")</f>
        <v>2025-08</v>
      </c>
      <c r="Q1111">
        <f>WEEKNUM(Table1[[#This Row],[order_date]])</f>
        <v>32</v>
      </c>
      <c r="R1111">
        <f>IF(Table1[[#This Row],[order_status]]="completed",1,0)</f>
        <v>1</v>
      </c>
    </row>
    <row r="1112" spans="1:18" x14ac:dyDescent="0.35">
      <c r="A1112">
        <v>1111</v>
      </c>
      <c r="B1112" s="1">
        <v>46029</v>
      </c>
      <c r="C1112">
        <v>1176</v>
      </c>
      <c r="D1112" t="s">
        <v>15</v>
      </c>
      <c r="E1112" t="s">
        <v>33</v>
      </c>
      <c r="F1112" t="s">
        <v>30</v>
      </c>
      <c r="G1112">
        <v>3</v>
      </c>
      <c r="H1112">
        <v>0</v>
      </c>
      <c r="I1112" t="s">
        <v>39</v>
      </c>
      <c r="J1112" t="s">
        <v>31</v>
      </c>
      <c r="K1112" t="s">
        <v>26</v>
      </c>
      <c r="L1112">
        <v>9</v>
      </c>
      <c r="M1112">
        <v>0</v>
      </c>
      <c r="N1112">
        <v>0</v>
      </c>
      <c r="O1112" t="s">
        <v>21</v>
      </c>
      <c r="P1112" t="str">
        <f>TEXT(Table1[[#This Row],[order_date]],"yyyy-mm")</f>
        <v>2026-01</v>
      </c>
      <c r="Q1112">
        <f>WEEKNUM(Table1[[#This Row],[order_date]])</f>
        <v>2</v>
      </c>
      <c r="R1112">
        <f>IF(Table1[[#This Row],[order_status]]="completed",1,0)</f>
        <v>0</v>
      </c>
    </row>
    <row r="1113" spans="1:18" x14ac:dyDescent="0.35">
      <c r="A1113">
        <v>1112</v>
      </c>
      <c r="B1113" s="1">
        <v>45869</v>
      </c>
      <c r="C1113">
        <v>1199</v>
      </c>
      <c r="D1113" t="s">
        <v>41</v>
      </c>
      <c r="E1113" t="s">
        <v>23</v>
      </c>
      <c r="F1113" t="s">
        <v>17</v>
      </c>
      <c r="G1113">
        <v>1</v>
      </c>
      <c r="H1113">
        <v>0</v>
      </c>
      <c r="I1113" t="s">
        <v>35</v>
      </c>
      <c r="J1113" t="s">
        <v>37</v>
      </c>
      <c r="K1113" t="s">
        <v>26</v>
      </c>
      <c r="L1113">
        <v>4</v>
      </c>
      <c r="M1113">
        <v>0</v>
      </c>
      <c r="N1113">
        <v>1</v>
      </c>
      <c r="O1113" t="s">
        <v>21</v>
      </c>
      <c r="P1113" t="str">
        <f>TEXT(Table1[[#This Row],[order_date]],"yyyy-mm")</f>
        <v>2025-07</v>
      </c>
      <c r="Q1113">
        <f>WEEKNUM(Table1[[#This Row],[order_date]])</f>
        <v>31</v>
      </c>
      <c r="R1113">
        <f>IF(Table1[[#This Row],[order_status]]="completed",1,0)</f>
        <v>0</v>
      </c>
    </row>
    <row r="1114" spans="1:18" x14ac:dyDescent="0.35">
      <c r="A1114">
        <v>1113</v>
      </c>
      <c r="B1114" s="1">
        <v>45930</v>
      </c>
      <c r="C1114">
        <v>1358</v>
      </c>
      <c r="D1114" t="s">
        <v>28</v>
      </c>
      <c r="E1114" t="s">
        <v>16</v>
      </c>
      <c r="F1114" t="s">
        <v>24</v>
      </c>
      <c r="G1114">
        <v>4</v>
      </c>
      <c r="H1114">
        <v>0</v>
      </c>
      <c r="I1114" t="s">
        <v>35</v>
      </c>
      <c r="J1114" t="s">
        <v>31</v>
      </c>
      <c r="K1114" t="s">
        <v>20</v>
      </c>
      <c r="L1114">
        <v>4</v>
      </c>
      <c r="M1114">
        <v>0</v>
      </c>
      <c r="N1114">
        <v>1</v>
      </c>
      <c r="O1114" t="s">
        <v>27</v>
      </c>
      <c r="P1114" t="str">
        <f>TEXT(Table1[[#This Row],[order_date]],"yyyy-mm")</f>
        <v>2025-09</v>
      </c>
      <c r="Q1114">
        <f>WEEKNUM(Table1[[#This Row],[order_date]])</f>
        <v>40</v>
      </c>
      <c r="R1114">
        <f>IF(Table1[[#This Row],[order_status]]="completed",1,0)</f>
        <v>0</v>
      </c>
    </row>
    <row r="1115" spans="1:18" x14ac:dyDescent="0.35">
      <c r="A1115">
        <v>1114</v>
      </c>
      <c r="B1115" s="1">
        <v>45905</v>
      </c>
      <c r="C1115">
        <v>1212</v>
      </c>
      <c r="D1115" t="s">
        <v>28</v>
      </c>
      <c r="E1115" t="s">
        <v>33</v>
      </c>
      <c r="F1115" t="s">
        <v>24</v>
      </c>
      <c r="G1115">
        <v>5</v>
      </c>
      <c r="H1115">
        <v>0</v>
      </c>
      <c r="I1115" t="s">
        <v>39</v>
      </c>
      <c r="J1115" t="s">
        <v>31</v>
      </c>
      <c r="K1115" t="s">
        <v>40</v>
      </c>
      <c r="L1115">
        <v>3</v>
      </c>
      <c r="M1115">
        <v>0</v>
      </c>
      <c r="N1115">
        <v>0</v>
      </c>
      <c r="O1115" t="s">
        <v>21</v>
      </c>
      <c r="P1115" t="str">
        <f>TEXT(Table1[[#This Row],[order_date]],"yyyy-mm")</f>
        <v>2025-09</v>
      </c>
      <c r="Q1115">
        <f>WEEKNUM(Table1[[#This Row],[order_date]])</f>
        <v>36</v>
      </c>
      <c r="R1115">
        <f>IF(Table1[[#This Row],[order_status]]="completed",1,0)</f>
        <v>0</v>
      </c>
    </row>
    <row r="1116" spans="1:18" x14ac:dyDescent="0.35">
      <c r="A1116">
        <v>1115</v>
      </c>
      <c r="B1116" s="1">
        <v>45940</v>
      </c>
      <c r="C1116">
        <v>1536</v>
      </c>
      <c r="D1116" t="s">
        <v>15</v>
      </c>
      <c r="E1116" t="s">
        <v>29</v>
      </c>
      <c r="F1116" t="s">
        <v>24</v>
      </c>
      <c r="G1116">
        <v>1</v>
      </c>
      <c r="H1116">
        <v>0</v>
      </c>
      <c r="I1116" t="s">
        <v>39</v>
      </c>
      <c r="J1116" t="s">
        <v>37</v>
      </c>
      <c r="K1116" t="s">
        <v>40</v>
      </c>
      <c r="L1116">
        <v>9</v>
      </c>
      <c r="M1116">
        <v>1</v>
      </c>
      <c r="N1116">
        <v>0</v>
      </c>
      <c r="O1116" t="s">
        <v>27</v>
      </c>
      <c r="P1116" t="str">
        <f>TEXT(Table1[[#This Row],[order_date]],"yyyy-mm")</f>
        <v>2025-10</v>
      </c>
      <c r="Q1116">
        <f>WEEKNUM(Table1[[#This Row],[order_date]])</f>
        <v>41</v>
      </c>
      <c r="R1116">
        <f>IF(Table1[[#This Row],[order_status]]="completed",1,0)</f>
        <v>0</v>
      </c>
    </row>
    <row r="1117" spans="1:18" x14ac:dyDescent="0.35">
      <c r="A1117">
        <v>1116</v>
      </c>
      <c r="B1117" s="1">
        <v>45954</v>
      </c>
      <c r="C1117">
        <v>1681</v>
      </c>
      <c r="D1117" t="s">
        <v>32</v>
      </c>
      <c r="E1117" t="s">
        <v>29</v>
      </c>
      <c r="F1117" t="s">
        <v>34</v>
      </c>
      <c r="G1117">
        <v>4</v>
      </c>
      <c r="H1117">
        <v>0</v>
      </c>
      <c r="I1117" t="s">
        <v>35</v>
      </c>
      <c r="J1117" t="s">
        <v>37</v>
      </c>
      <c r="K1117" t="s">
        <v>40</v>
      </c>
      <c r="L1117">
        <v>7</v>
      </c>
      <c r="M1117">
        <v>1</v>
      </c>
      <c r="N1117">
        <v>1</v>
      </c>
      <c r="O1117" t="s">
        <v>27</v>
      </c>
      <c r="P1117" t="str">
        <f>TEXT(Table1[[#This Row],[order_date]],"yyyy-mm")</f>
        <v>2025-10</v>
      </c>
      <c r="Q1117">
        <f>WEEKNUM(Table1[[#This Row],[order_date]])</f>
        <v>43</v>
      </c>
      <c r="R1117">
        <f>IF(Table1[[#This Row],[order_status]]="completed",1,0)</f>
        <v>0</v>
      </c>
    </row>
    <row r="1118" spans="1:18" x14ac:dyDescent="0.35">
      <c r="A1118">
        <v>1117</v>
      </c>
      <c r="B1118" s="1">
        <v>45869</v>
      </c>
      <c r="C1118">
        <v>1064</v>
      </c>
      <c r="D1118" t="s">
        <v>22</v>
      </c>
      <c r="E1118" t="s">
        <v>23</v>
      </c>
      <c r="F1118" t="s">
        <v>34</v>
      </c>
      <c r="G1118">
        <v>2</v>
      </c>
      <c r="H1118">
        <v>3856</v>
      </c>
      <c r="I1118" t="s">
        <v>18</v>
      </c>
      <c r="J1118" t="s">
        <v>19</v>
      </c>
      <c r="K1118" t="s">
        <v>26</v>
      </c>
      <c r="L1118">
        <v>2</v>
      </c>
      <c r="M1118">
        <v>1</v>
      </c>
      <c r="N1118">
        <v>0</v>
      </c>
      <c r="O1118" t="s">
        <v>27</v>
      </c>
      <c r="P1118" t="str">
        <f>TEXT(Table1[[#This Row],[order_date]],"yyyy-mm")</f>
        <v>2025-07</v>
      </c>
      <c r="Q1118">
        <f>WEEKNUM(Table1[[#This Row],[order_date]])</f>
        <v>31</v>
      </c>
      <c r="R1118">
        <f>IF(Table1[[#This Row],[order_status]]="completed",1,0)</f>
        <v>1</v>
      </c>
    </row>
    <row r="1119" spans="1:18" x14ac:dyDescent="0.35">
      <c r="A1119">
        <v>1118</v>
      </c>
      <c r="B1119" s="1">
        <v>45869</v>
      </c>
      <c r="C1119">
        <v>1212</v>
      </c>
      <c r="D1119" t="s">
        <v>32</v>
      </c>
      <c r="E1119" t="s">
        <v>33</v>
      </c>
      <c r="F1119" t="s">
        <v>24</v>
      </c>
      <c r="G1119">
        <v>1</v>
      </c>
      <c r="H1119">
        <v>0</v>
      </c>
      <c r="I1119" t="s">
        <v>39</v>
      </c>
      <c r="J1119" t="s">
        <v>37</v>
      </c>
      <c r="K1119" t="s">
        <v>40</v>
      </c>
      <c r="L1119">
        <v>7</v>
      </c>
      <c r="M1119">
        <v>1</v>
      </c>
      <c r="N1119">
        <v>0</v>
      </c>
      <c r="O1119" t="s">
        <v>27</v>
      </c>
      <c r="P1119" t="str">
        <f>TEXT(Table1[[#This Row],[order_date]],"yyyy-mm")</f>
        <v>2025-07</v>
      </c>
      <c r="Q1119">
        <f>WEEKNUM(Table1[[#This Row],[order_date]])</f>
        <v>31</v>
      </c>
      <c r="R1119">
        <f>IF(Table1[[#This Row],[order_status]]="completed",1,0)</f>
        <v>0</v>
      </c>
    </row>
    <row r="1120" spans="1:18" x14ac:dyDescent="0.35">
      <c r="A1120">
        <v>1119</v>
      </c>
      <c r="B1120" s="1">
        <v>45965</v>
      </c>
      <c r="C1120">
        <v>1409</v>
      </c>
      <c r="D1120" t="s">
        <v>32</v>
      </c>
      <c r="E1120" t="s">
        <v>23</v>
      </c>
      <c r="F1120" t="s">
        <v>17</v>
      </c>
      <c r="G1120">
        <v>1</v>
      </c>
      <c r="H1120">
        <v>1514</v>
      </c>
      <c r="I1120" t="s">
        <v>39</v>
      </c>
      <c r="J1120" t="s">
        <v>19</v>
      </c>
      <c r="K1120" t="s">
        <v>20</v>
      </c>
      <c r="L1120">
        <v>6</v>
      </c>
      <c r="M1120">
        <v>0</v>
      </c>
      <c r="N1120">
        <v>0</v>
      </c>
      <c r="O1120" t="s">
        <v>21</v>
      </c>
      <c r="P1120" t="str">
        <f>TEXT(Table1[[#This Row],[order_date]],"yyyy-mm")</f>
        <v>2025-11</v>
      </c>
      <c r="Q1120">
        <f>WEEKNUM(Table1[[#This Row],[order_date]])</f>
        <v>45</v>
      </c>
      <c r="R1120">
        <f>IF(Table1[[#This Row],[order_status]]="completed",1,0)</f>
        <v>1</v>
      </c>
    </row>
    <row r="1121" spans="1:18" x14ac:dyDescent="0.35">
      <c r="A1121">
        <v>1120</v>
      </c>
      <c r="B1121" s="1">
        <v>45919</v>
      </c>
      <c r="C1121">
        <v>1504</v>
      </c>
      <c r="D1121" t="s">
        <v>28</v>
      </c>
      <c r="E1121" t="s">
        <v>23</v>
      </c>
      <c r="F1121" t="s">
        <v>34</v>
      </c>
      <c r="G1121">
        <v>2</v>
      </c>
      <c r="H1121">
        <v>3546</v>
      </c>
      <c r="I1121" t="s">
        <v>39</v>
      </c>
      <c r="J1121" t="s">
        <v>19</v>
      </c>
      <c r="K1121" t="s">
        <v>26</v>
      </c>
      <c r="L1121">
        <v>3</v>
      </c>
      <c r="M1121">
        <v>0</v>
      </c>
      <c r="N1121">
        <v>0</v>
      </c>
      <c r="O1121" t="s">
        <v>27</v>
      </c>
      <c r="P1121" t="str">
        <f>TEXT(Table1[[#This Row],[order_date]],"yyyy-mm")</f>
        <v>2025-09</v>
      </c>
      <c r="Q1121">
        <f>WEEKNUM(Table1[[#This Row],[order_date]])</f>
        <v>38</v>
      </c>
      <c r="R1121">
        <f>IF(Table1[[#This Row],[order_status]]="completed",1,0)</f>
        <v>1</v>
      </c>
    </row>
    <row r="1122" spans="1:18" x14ac:dyDescent="0.35">
      <c r="A1122">
        <v>1121</v>
      </c>
      <c r="B1122" s="1">
        <v>45851</v>
      </c>
      <c r="C1122">
        <v>1058</v>
      </c>
      <c r="D1122" t="s">
        <v>32</v>
      </c>
      <c r="E1122" t="s">
        <v>16</v>
      </c>
      <c r="F1122" t="s">
        <v>24</v>
      </c>
      <c r="G1122">
        <v>3</v>
      </c>
      <c r="H1122">
        <v>2517</v>
      </c>
      <c r="I1122" t="s">
        <v>25</v>
      </c>
      <c r="J1122" t="s">
        <v>19</v>
      </c>
      <c r="K1122" t="s">
        <v>38</v>
      </c>
      <c r="L1122">
        <v>10</v>
      </c>
      <c r="M1122">
        <v>0</v>
      </c>
      <c r="N1122">
        <v>0</v>
      </c>
      <c r="O1122" t="s">
        <v>21</v>
      </c>
      <c r="P1122" t="str">
        <f>TEXT(Table1[[#This Row],[order_date]],"yyyy-mm")</f>
        <v>2025-07</v>
      </c>
      <c r="Q1122">
        <f>WEEKNUM(Table1[[#This Row],[order_date]])</f>
        <v>29</v>
      </c>
      <c r="R1122">
        <f>IF(Table1[[#This Row],[order_status]]="completed",1,0)</f>
        <v>1</v>
      </c>
    </row>
    <row r="1123" spans="1:18" x14ac:dyDescent="0.35">
      <c r="A1123">
        <v>1122</v>
      </c>
      <c r="B1123" s="1">
        <v>45990</v>
      </c>
      <c r="C1123">
        <v>1260</v>
      </c>
      <c r="D1123" t="s">
        <v>28</v>
      </c>
      <c r="E1123" t="s">
        <v>33</v>
      </c>
      <c r="F1123" t="s">
        <v>24</v>
      </c>
      <c r="G1123">
        <v>3</v>
      </c>
      <c r="H1123">
        <v>0</v>
      </c>
      <c r="I1123" t="s">
        <v>18</v>
      </c>
      <c r="J1123" t="s">
        <v>37</v>
      </c>
      <c r="K1123" t="s">
        <v>20</v>
      </c>
      <c r="L1123">
        <v>8</v>
      </c>
      <c r="M1123">
        <v>0</v>
      </c>
      <c r="N1123">
        <v>0</v>
      </c>
      <c r="O1123" t="s">
        <v>21</v>
      </c>
      <c r="P1123" t="str">
        <f>TEXT(Table1[[#This Row],[order_date]],"yyyy-mm")</f>
        <v>2025-11</v>
      </c>
      <c r="Q1123">
        <f>WEEKNUM(Table1[[#This Row],[order_date]])</f>
        <v>48</v>
      </c>
      <c r="R1123">
        <f>IF(Table1[[#This Row],[order_status]]="completed",1,0)</f>
        <v>0</v>
      </c>
    </row>
    <row r="1124" spans="1:18" x14ac:dyDescent="0.35">
      <c r="A1124">
        <v>1123</v>
      </c>
      <c r="B1124" s="1">
        <v>45980</v>
      </c>
      <c r="C1124">
        <v>1691</v>
      </c>
      <c r="D1124" t="s">
        <v>15</v>
      </c>
      <c r="E1124" t="s">
        <v>36</v>
      </c>
      <c r="F1124" t="s">
        <v>30</v>
      </c>
      <c r="G1124">
        <v>2</v>
      </c>
      <c r="H1124">
        <v>0</v>
      </c>
      <c r="I1124" t="s">
        <v>18</v>
      </c>
      <c r="J1124" t="s">
        <v>37</v>
      </c>
      <c r="K1124" t="s">
        <v>38</v>
      </c>
      <c r="L1124">
        <v>3</v>
      </c>
      <c r="M1124">
        <v>1</v>
      </c>
      <c r="N1124">
        <v>1</v>
      </c>
      <c r="O1124" t="s">
        <v>21</v>
      </c>
      <c r="P1124" t="str">
        <f>TEXT(Table1[[#This Row],[order_date]],"yyyy-mm")</f>
        <v>2025-11</v>
      </c>
      <c r="Q1124">
        <f>WEEKNUM(Table1[[#This Row],[order_date]])</f>
        <v>47</v>
      </c>
      <c r="R1124">
        <f>IF(Table1[[#This Row],[order_status]]="completed",1,0)</f>
        <v>0</v>
      </c>
    </row>
    <row r="1125" spans="1:18" x14ac:dyDescent="0.35">
      <c r="A1125">
        <v>1124</v>
      </c>
      <c r="B1125" s="1">
        <v>45902</v>
      </c>
      <c r="C1125">
        <v>1742</v>
      </c>
      <c r="D1125" t="s">
        <v>28</v>
      </c>
      <c r="E1125" t="s">
        <v>29</v>
      </c>
      <c r="F1125" t="s">
        <v>17</v>
      </c>
      <c r="G1125">
        <v>2</v>
      </c>
      <c r="H1125">
        <v>0</v>
      </c>
      <c r="I1125" t="s">
        <v>18</v>
      </c>
      <c r="J1125" t="s">
        <v>37</v>
      </c>
      <c r="K1125" t="s">
        <v>40</v>
      </c>
      <c r="L1125">
        <v>5</v>
      </c>
      <c r="M1125">
        <v>0</v>
      </c>
      <c r="N1125">
        <v>1</v>
      </c>
      <c r="O1125" t="s">
        <v>27</v>
      </c>
      <c r="P1125" t="str">
        <f>TEXT(Table1[[#This Row],[order_date]],"yyyy-mm")</f>
        <v>2025-09</v>
      </c>
      <c r="Q1125">
        <f>WEEKNUM(Table1[[#This Row],[order_date]])</f>
        <v>36</v>
      </c>
      <c r="R1125">
        <f>IF(Table1[[#This Row],[order_status]]="completed",1,0)</f>
        <v>0</v>
      </c>
    </row>
    <row r="1126" spans="1:18" x14ac:dyDescent="0.35">
      <c r="A1126">
        <v>1125</v>
      </c>
      <c r="B1126" s="1">
        <v>46004</v>
      </c>
      <c r="C1126">
        <v>1973</v>
      </c>
      <c r="D1126" t="s">
        <v>15</v>
      </c>
      <c r="E1126" t="s">
        <v>23</v>
      </c>
      <c r="F1126" t="s">
        <v>17</v>
      </c>
      <c r="G1126">
        <v>4</v>
      </c>
      <c r="H1126">
        <v>15716</v>
      </c>
      <c r="I1126" t="s">
        <v>25</v>
      </c>
      <c r="J1126" t="s">
        <v>19</v>
      </c>
      <c r="K1126" t="s">
        <v>26</v>
      </c>
      <c r="L1126">
        <v>2</v>
      </c>
      <c r="M1126">
        <v>0</v>
      </c>
      <c r="N1126">
        <v>1</v>
      </c>
      <c r="O1126" t="s">
        <v>21</v>
      </c>
      <c r="P1126" t="str">
        <f>TEXT(Table1[[#This Row],[order_date]],"yyyy-mm")</f>
        <v>2025-12</v>
      </c>
      <c r="Q1126">
        <f>WEEKNUM(Table1[[#This Row],[order_date]])</f>
        <v>50</v>
      </c>
      <c r="R1126">
        <f>IF(Table1[[#This Row],[order_status]]="completed",1,0)</f>
        <v>1</v>
      </c>
    </row>
    <row r="1127" spans="1:18" x14ac:dyDescent="0.35">
      <c r="A1127">
        <v>1126</v>
      </c>
      <c r="B1127" s="1">
        <v>45925</v>
      </c>
      <c r="C1127">
        <v>1730</v>
      </c>
      <c r="D1127" t="s">
        <v>41</v>
      </c>
      <c r="E1127" t="s">
        <v>16</v>
      </c>
      <c r="F1127" t="s">
        <v>24</v>
      </c>
      <c r="G1127">
        <v>3</v>
      </c>
      <c r="H1127">
        <v>0</v>
      </c>
      <c r="I1127" t="s">
        <v>25</v>
      </c>
      <c r="J1127" t="s">
        <v>31</v>
      </c>
      <c r="K1127" t="s">
        <v>40</v>
      </c>
      <c r="L1127">
        <v>3</v>
      </c>
      <c r="M1127">
        <v>0</v>
      </c>
      <c r="N1127">
        <v>1</v>
      </c>
      <c r="O1127" t="s">
        <v>27</v>
      </c>
      <c r="P1127" t="str">
        <f>TEXT(Table1[[#This Row],[order_date]],"yyyy-mm")</f>
        <v>2025-09</v>
      </c>
      <c r="Q1127">
        <f>WEEKNUM(Table1[[#This Row],[order_date]])</f>
        <v>39</v>
      </c>
      <c r="R1127">
        <f>IF(Table1[[#This Row],[order_status]]="completed",1,0)</f>
        <v>0</v>
      </c>
    </row>
    <row r="1128" spans="1:18" x14ac:dyDescent="0.35">
      <c r="A1128">
        <v>1127</v>
      </c>
      <c r="B1128" s="1">
        <v>45930</v>
      </c>
      <c r="C1128">
        <v>1273</v>
      </c>
      <c r="D1128" t="s">
        <v>22</v>
      </c>
      <c r="E1128" t="s">
        <v>16</v>
      </c>
      <c r="F1128" t="s">
        <v>34</v>
      </c>
      <c r="G1128">
        <v>1</v>
      </c>
      <c r="H1128">
        <v>0</v>
      </c>
      <c r="I1128" t="s">
        <v>35</v>
      </c>
      <c r="J1128" t="s">
        <v>37</v>
      </c>
      <c r="K1128" t="s">
        <v>20</v>
      </c>
      <c r="L1128">
        <v>7</v>
      </c>
      <c r="M1128">
        <v>1</v>
      </c>
      <c r="N1128">
        <v>0</v>
      </c>
      <c r="O1128" t="s">
        <v>21</v>
      </c>
      <c r="P1128" t="str">
        <f>TEXT(Table1[[#This Row],[order_date]],"yyyy-mm")</f>
        <v>2025-09</v>
      </c>
      <c r="Q1128">
        <f>WEEKNUM(Table1[[#This Row],[order_date]])</f>
        <v>40</v>
      </c>
      <c r="R1128">
        <f>IF(Table1[[#This Row],[order_status]]="completed",1,0)</f>
        <v>0</v>
      </c>
    </row>
    <row r="1129" spans="1:18" x14ac:dyDescent="0.35">
      <c r="A1129">
        <v>1128</v>
      </c>
      <c r="B1129" s="1">
        <v>45979</v>
      </c>
      <c r="C1129">
        <v>1484</v>
      </c>
      <c r="D1129" t="s">
        <v>41</v>
      </c>
      <c r="E1129" t="s">
        <v>23</v>
      </c>
      <c r="F1129" t="s">
        <v>34</v>
      </c>
      <c r="G1129">
        <v>3</v>
      </c>
      <c r="H1129">
        <v>2970</v>
      </c>
      <c r="I1129" t="s">
        <v>25</v>
      </c>
      <c r="J1129" t="s">
        <v>19</v>
      </c>
      <c r="K1129" t="s">
        <v>40</v>
      </c>
      <c r="L1129">
        <v>3</v>
      </c>
      <c r="M1129">
        <v>1</v>
      </c>
      <c r="N1129">
        <v>1</v>
      </c>
      <c r="O1129" t="s">
        <v>27</v>
      </c>
      <c r="P1129" t="str">
        <f>TEXT(Table1[[#This Row],[order_date]],"yyyy-mm")</f>
        <v>2025-11</v>
      </c>
      <c r="Q1129">
        <f>WEEKNUM(Table1[[#This Row],[order_date]])</f>
        <v>47</v>
      </c>
      <c r="R1129">
        <f>IF(Table1[[#This Row],[order_status]]="completed",1,0)</f>
        <v>1</v>
      </c>
    </row>
    <row r="1130" spans="1:18" x14ac:dyDescent="0.35">
      <c r="A1130">
        <v>1129</v>
      </c>
      <c r="B1130" s="1">
        <v>45971</v>
      </c>
      <c r="C1130">
        <v>1653</v>
      </c>
      <c r="D1130" t="s">
        <v>22</v>
      </c>
      <c r="E1130" t="s">
        <v>16</v>
      </c>
      <c r="F1130" t="s">
        <v>30</v>
      </c>
      <c r="G1130">
        <v>5</v>
      </c>
      <c r="H1130">
        <v>0</v>
      </c>
      <c r="I1130" t="s">
        <v>39</v>
      </c>
      <c r="J1130" t="s">
        <v>31</v>
      </c>
      <c r="K1130" t="s">
        <v>38</v>
      </c>
      <c r="L1130">
        <v>5</v>
      </c>
      <c r="M1130">
        <v>0</v>
      </c>
      <c r="N1130">
        <v>0</v>
      </c>
      <c r="O1130" t="s">
        <v>27</v>
      </c>
      <c r="P1130" t="str">
        <f>TEXT(Table1[[#This Row],[order_date]],"yyyy-mm")</f>
        <v>2025-11</v>
      </c>
      <c r="Q1130">
        <f>WEEKNUM(Table1[[#This Row],[order_date]])</f>
        <v>46</v>
      </c>
      <c r="R1130">
        <f>IF(Table1[[#This Row],[order_status]]="completed",1,0)</f>
        <v>0</v>
      </c>
    </row>
    <row r="1131" spans="1:18" x14ac:dyDescent="0.35">
      <c r="A1131">
        <v>1130</v>
      </c>
      <c r="B1131" s="1">
        <v>46031</v>
      </c>
      <c r="C1131">
        <v>1744</v>
      </c>
      <c r="D1131" t="s">
        <v>28</v>
      </c>
      <c r="E1131" t="s">
        <v>29</v>
      </c>
      <c r="F1131" t="s">
        <v>24</v>
      </c>
      <c r="G1131">
        <v>2</v>
      </c>
      <c r="H1131">
        <v>0</v>
      </c>
      <c r="I1131" t="s">
        <v>25</v>
      </c>
      <c r="J1131" t="s">
        <v>37</v>
      </c>
      <c r="K1131" t="s">
        <v>38</v>
      </c>
      <c r="L1131">
        <v>5</v>
      </c>
      <c r="M1131">
        <v>0</v>
      </c>
      <c r="N1131">
        <v>0</v>
      </c>
      <c r="O1131" t="s">
        <v>21</v>
      </c>
      <c r="P1131" t="str">
        <f>TEXT(Table1[[#This Row],[order_date]],"yyyy-mm")</f>
        <v>2026-01</v>
      </c>
      <c r="Q1131">
        <f>WEEKNUM(Table1[[#This Row],[order_date]])</f>
        <v>2</v>
      </c>
      <c r="R1131">
        <f>IF(Table1[[#This Row],[order_status]]="completed",1,0)</f>
        <v>0</v>
      </c>
    </row>
    <row r="1132" spans="1:18" x14ac:dyDescent="0.35">
      <c r="A1132">
        <v>1131</v>
      </c>
      <c r="B1132" s="1">
        <v>45870</v>
      </c>
      <c r="C1132">
        <v>1428</v>
      </c>
      <c r="D1132" t="s">
        <v>32</v>
      </c>
      <c r="E1132" t="s">
        <v>16</v>
      </c>
      <c r="F1132" t="s">
        <v>34</v>
      </c>
      <c r="G1132">
        <v>2</v>
      </c>
      <c r="H1132">
        <v>0</v>
      </c>
      <c r="I1132" t="s">
        <v>18</v>
      </c>
      <c r="J1132" t="s">
        <v>31</v>
      </c>
      <c r="K1132" t="s">
        <v>20</v>
      </c>
      <c r="L1132">
        <v>6</v>
      </c>
      <c r="M1132">
        <v>1</v>
      </c>
      <c r="N1132">
        <v>1</v>
      </c>
      <c r="O1132" t="s">
        <v>21</v>
      </c>
      <c r="P1132" t="str">
        <f>TEXT(Table1[[#This Row],[order_date]],"yyyy-mm")</f>
        <v>2025-08</v>
      </c>
      <c r="Q1132">
        <f>WEEKNUM(Table1[[#This Row],[order_date]])</f>
        <v>31</v>
      </c>
      <c r="R1132">
        <f>IF(Table1[[#This Row],[order_status]]="completed",1,0)</f>
        <v>0</v>
      </c>
    </row>
    <row r="1133" spans="1:18" x14ac:dyDescent="0.35">
      <c r="A1133">
        <v>1132</v>
      </c>
      <c r="B1133" s="1">
        <v>45948</v>
      </c>
      <c r="C1133">
        <v>1543</v>
      </c>
      <c r="D1133" t="s">
        <v>28</v>
      </c>
      <c r="E1133" t="s">
        <v>36</v>
      </c>
      <c r="F1133" t="s">
        <v>30</v>
      </c>
      <c r="G1133">
        <v>2</v>
      </c>
      <c r="H1133">
        <v>0</v>
      </c>
      <c r="I1133" t="s">
        <v>18</v>
      </c>
      <c r="J1133" t="s">
        <v>31</v>
      </c>
      <c r="K1133" t="s">
        <v>38</v>
      </c>
      <c r="L1133">
        <v>8</v>
      </c>
      <c r="M1133">
        <v>1</v>
      </c>
      <c r="N1133">
        <v>0</v>
      </c>
      <c r="O1133" t="s">
        <v>21</v>
      </c>
      <c r="P1133" t="str">
        <f>TEXT(Table1[[#This Row],[order_date]],"yyyy-mm")</f>
        <v>2025-10</v>
      </c>
      <c r="Q1133">
        <f>WEEKNUM(Table1[[#This Row],[order_date]])</f>
        <v>42</v>
      </c>
      <c r="R1133">
        <f>IF(Table1[[#This Row],[order_status]]="completed",1,0)</f>
        <v>0</v>
      </c>
    </row>
    <row r="1134" spans="1:18" x14ac:dyDescent="0.35">
      <c r="A1134">
        <v>1133</v>
      </c>
      <c r="B1134" s="1">
        <v>45968</v>
      </c>
      <c r="C1134">
        <v>1663</v>
      </c>
      <c r="D1134" t="s">
        <v>41</v>
      </c>
      <c r="E1134" t="s">
        <v>36</v>
      </c>
      <c r="F1134" t="s">
        <v>30</v>
      </c>
      <c r="G1134">
        <v>1</v>
      </c>
      <c r="H1134">
        <v>0</v>
      </c>
      <c r="I1134" t="s">
        <v>18</v>
      </c>
      <c r="J1134" t="s">
        <v>31</v>
      </c>
      <c r="K1134" t="s">
        <v>38</v>
      </c>
      <c r="L1134">
        <v>6</v>
      </c>
      <c r="M1134">
        <v>1</v>
      </c>
      <c r="N1134">
        <v>0</v>
      </c>
      <c r="O1134" t="s">
        <v>21</v>
      </c>
      <c r="P1134" t="str">
        <f>TEXT(Table1[[#This Row],[order_date]],"yyyy-mm")</f>
        <v>2025-11</v>
      </c>
      <c r="Q1134">
        <f>WEEKNUM(Table1[[#This Row],[order_date]])</f>
        <v>45</v>
      </c>
      <c r="R1134">
        <f>IF(Table1[[#This Row],[order_status]]="completed",1,0)</f>
        <v>0</v>
      </c>
    </row>
    <row r="1135" spans="1:18" x14ac:dyDescent="0.35">
      <c r="A1135">
        <v>1134</v>
      </c>
      <c r="B1135" s="1">
        <v>45858</v>
      </c>
      <c r="C1135">
        <v>1018</v>
      </c>
      <c r="D1135" t="s">
        <v>15</v>
      </c>
      <c r="E1135" t="s">
        <v>36</v>
      </c>
      <c r="F1135" t="s">
        <v>24</v>
      </c>
      <c r="G1135">
        <v>1</v>
      </c>
      <c r="H1135">
        <v>3211</v>
      </c>
      <c r="I1135" t="s">
        <v>35</v>
      </c>
      <c r="J1135" t="s">
        <v>19</v>
      </c>
      <c r="K1135" t="s">
        <v>38</v>
      </c>
      <c r="L1135">
        <v>6</v>
      </c>
      <c r="M1135">
        <v>1</v>
      </c>
      <c r="N1135">
        <v>1</v>
      </c>
      <c r="O1135" t="s">
        <v>27</v>
      </c>
      <c r="P1135" t="str">
        <f>TEXT(Table1[[#This Row],[order_date]],"yyyy-mm")</f>
        <v>2025-07</v>
      </c>
      <c r="Q1135">
        <f>WEEKNUM(Table1[[#This Row],[order_date]])</f>
        <v>30</v>
      </c>
      <c r="R1135">
        <f>IF(Table1[[#This Row],[order_status]]="completed",1,0)</f>
        <v>1</v>
      </c>
    </row>
    <row r="1136" spans="1:18" x14ac:dyDescent="0.35">
      <c r="A1136">
        <v>1135</v>
      </c>
      <c r="B1136" s="1">
        <v>45905</v>
      </c>
      <c r="C1136">
        <v>1200</v>
      </c>
      <c r="D1136" t="s">
        <v>28</v>
      </c>
      <c r="E1136" t="s">
        <v>36</v>
      </c>
      <c r="F1136" t="s">
        <v>34</v>
      </c>
      <c r="G1136">
        <v>5</v>
      </c>
      <c r="H1136">
        <v>0</v>
      </c>
      <c r="I1136" t="s">
        <v>25</v>
      </c>
      <c r="J1136" t="s">
        <v>37</v>
      </c>
      <c r="K1136" t="s">
        <v>26</v>
      </c>
      <c r="L1136">
        <v>10</v>
      </c>
      <c r="M1136">
        <v>0</v>
      </c>
      <c r="N1136">
        <v>0</v>
      </c>
      <c r="O1136" t="s">
        <v>21</v>
      </c>
      <c r="P1136" t="str">
        <f>TEXT(Table1[[#This Row],[order_date]],"yyyy-mm")</f>
        <v>2025-09</v>
      </c>
      <c r="Q1136">
        <f>WEEKNUM(Table1[[#This Row],[order_date]])</f>
        <v>36</v>
      </c>
      <c r="R1136">
        <f>IF(Table1[[#This Row],[order_status]]="completed",1,0)</f>
        <v>0</v>
      </c>
    </row>
    <row r="1137" spans="1:18" x14ac:dyDescent="0.35">
      <c r="A1137">
        <v>1136</v>
      </c>
      <c r="B1137" s="1">
        <v>46004</v>
      </c>
      <c r="C1137">
        <v>1765</v>
      </c>
      <c r="D1137" t="s">
        <v>15</v>
      </c>
      <c r="E1137" t="s">
        <v>29</v>
      </c>
      <c r="F1137" t="s">
        <v>30</v>
      </c>
      <c r="G1137">
        <v>3</v>
      </c>
      <c r="H1137">
        <v>0</v>
      </c>
      <c r="I1137" t="s">
        <v>39</v>
      </c>
      <c r="J1137" t="s">
        <v>31</v>
      </c>
      <c r="K1137" t="s">
        <v>20</v>
      </c>
      <c r="L1137">
        <v>1</v>
      </c>
      <c r="M1137">
        <v>1</v>
      </c>
      <c r="N1137">
        <v>0</v>
      </c>
      <c r="O1137" t="s">
        <v>21</v>
      </c>
      <c r="P1137" t="str">
        <f>TEXT(Table1[[#This Row],[order_date]],"yyyy-mm")</f>
        <v>2025-12</v>
      </c>
      <c r="Q1137">
        <f>WEEKNUM(Table1[[#This Row],[order_date]])</f>
        <v>50</v>
      </c>
      <c r="R1137">
        <f>IF(Table1[[#This Row],[order_status]]="completed",1,0)</f>
        <v>0</v>
      </c>
    </row>
    <row r="1138" spans="1:18" x14ac:dyDescent="0.35">
      <c r="A1138">
        <v>1137</v>
      </c>
      <c r="B1138" s="1">
        <v>46015</v>
      </c>
      <c r="C1138">
        <v>1808</v>
      </c>
      <c r="D1138" t="s">
        <v>32</v>
      </c>
      <c r="E1138" t="s">
        <v>33</v>
      </c>
      <c r="F1138" t="s">
        <v>24</v>
      </c>
      <c r="G1138">
        <v>1</v>
      </c>
      <c r="H1138">
        <v>3397</v>
      </c>
      <c r="I1138" t="s">
        <v>25</v>
      </c>
      <c r="J1138" t="s">
        <v>19</v>
      </c>
      <c r="K1138" t="s">
        <v>20</v>
      </c>
      <c r="L1138">
        <v>4</v>
      </c>
      <c r="M1138">
        <v>1</v>
      </c>
      <c r="N1138">
        <v>1</v>
      </c>
      <c r="O1138" t="s">
        <v>27</v>
      </c>
      <c r="P1138" t="str">
        <f>TEXT(Table1[[#This Row],[order_date]],"yyyy-mm")</f>
        <v>2025-12</v>
      </c>
      <c r="Q1138">
        <f>WEEKNUM(Table1[[#This Row],[order_date]])</f>
        <v>52</v>
      </c>
      <c r="R1138">
        <f>IF(Table1[[#This Row],[order_status]]="completed",1,0)</f>
        <v>1</v>
      </c>
    </row>
    <row r="1139" spans="1:18" x14ac:dyDescent="0.35">
      <c r="A1139">
        <v>1138</v>
      </c>
      <c r="B1139" s="1">
        <v>45981</v>
      </c>
      <c r="C1139">
        <v>1646</v>
      </c>
      <c r="D1139" t="s">
        <v>28</v>
      </c>
      <c r="E1139" t="s">
        <v>29</v>
      </c>
      <c r="F1139" t="s">
        <v>24</v>
      </c>
      <c r="G1139">
        <v>1</v>
      </c>
      <c r="H1139">
        <v>2309</v>
      </c>
      <c r="I1139" t="s">
        <v>25</v>
      </c>
      <c r="J1139" t="s">
        <v>19</v>
      </c>
      <c r="K1139" t="s">
        <v>38</v>
      </c>
      <c r="L1139">
        <v>1</v>
      </c>
      <c r="M1139">
        <v>0</v>
      </c>
      <c r="N1139">
        <v>0</v>
      </c>
      <c r="O1139" t="s">
        <v>21</v>
      </c>
      <c r="P1139" t="str">
        <f>TEXT(Table1[[#This Row],[order_date]],"yyyy-mm")</f>
        <v>2025-11</v>
      </c>
      <c r="Q1139">
        <f>WEEKNUM(Table1[[#This Row],[order_date]])</f>
        <v>47</v>
      </c>
      <c r="R1139">
        <f>IF(Table1[[#This Row],[order_status]]="completed",1,0)</f>
        <v>1</v>
      </c>
    </row>
    <row r="1140" spans="1:18" x14ac:dyDescent="0.35">
      <c r="A1140">
        <v>1139</v>
      </c>
      <c r="B1140" s="1">
        <v>45982</v>
      </c>
      <c r="C1140">
        <v>1003</v>
      </c>
      <c r="D1140" t="s">
        <v>15</v>
      </c>
      <c r="E1140" t="s">
        <v>16</v>
      </c>
      <c r="F1140" t="s">
        <v>34</v>
      </c>
      <c r="G1140">
        <v>4</v>
      </c>
      <c r="H1140">
        <v>0</v>
      </c>
      <c r="I1140" t="s">
        <v>39</v>
      </c>
      <c r="J1140" t="s">
        <v>37</v>
      </c>
      <c r="K1140" t="s">
        <v>40</v>
      </c>
      <c r="L1140">
        <v>3</v>
      </c>
      <c r="M1140">
        <v>1</v>
      </c>
      <c r="N1140">
        <v>0</v>
      </c>
      <c r="O1140" t="s">
        <v>21</v>
      </c>
      <c r="P1140" t="str">
        <f>TEXT(Table1[[#This Row],[order_date]],"yyyy-mm")</f>
        <v>2025-11</v>
      </c>
      <c r="Q1140">
        <f>WEEKNUM(Table1[[#This Row],[order_date]])</f>
        <v>47</v>
      </c>
      <c r="R1140">
        <f>IF(Table1[[#This Row],[order_status]]="completed",1,0)</f>
        <v>0</v>
      </c>
    </row>
    <row r="1141" spans="1:18" x14ac:dyDescent="0.35">
      <c r="A1141">
        <v>1140</v>
      </c>
      <c r="B1141" s="1">
        <v>45976</v>
      </c>
      <c r="C1141">
        <v>1369</v>
      </c>
      <c r="D1141" t="s">
        <v>41</v>
      </c>
      <c r="E1141" t="s">
        <v>29</v>
      </c>
      <c r="F1141" t="s">
        <v>24</v>
      </c>
      <c r="G1141">
        <v>5</v>
      </c>
      <c r="H1141">
        <v>18045</v>
      </c>
      <c r="I1141" t="s">
        <v>18</v>
      </c>
      <c r="J1141" t="s">
        <v>19</v>
      </c>
      <c r="K1141" t="s">
        <v>38</v>
      </c>
      <c r="L1141">
        <v>10</v>
      </c>
      <c r="M1141">
        <v>0</v>
      </c>
      <c r="N1141">
        <v>0</v>
      </c>
      <c r="O1141" t="s">
        <v>21</v>
      </c>
      <c r="P1141" t="str">
        <f>TEXT(Table1[[#This Row],[order_date]],"yyyy-mm")</f>
        <v>2025-11</v>
      </c>
      <c r="Q1141">
        <f>WEEKNUM(Table1[[#This Row],[order_date]])</f>
        <v>46</v>
      </c>
      <c r="R1141">
        <f>IF(Table1[[#This Row],[order_status]]="completed",1,0)</f>
        <v>1</v>
      </c>
    </row>
    <row r="1142" spans="1:18" x14ac:dyDescent="0.35">
      <c r="A1142">
        <v>1141</v>
      </c>
      <c r="B1142" s="1">
        <v>45909</v>
      </c>
      <c r="C1142">
        <v>1491</v>
      </c>
      <c r="D1142" t="s">
        <v>28</v>
      </c>
      <c r="E1142" t="s">
        <v>36</v>
      </c>
      <c r="F1142" t="s">
        <v>30</v>
      </c>
      <c r="G1142">
        <v>5</v>
      </c>
      <c r="H1142">
        <v>0</v>
      </c>
      <c r="I1142" t="s">
        <v>39</v>
      </c>
      <c r="J1142" t="s">
        <v>37</v>
      </c>
      <c r="K1142" t="s">
        <v>20</v>
      </c>
      <c r="L1142">
        <v>2</v>
      </c>
      <c r="M1142">
        <v>0</v>
      </c>
      <c r="N1142">
        <v>0</v>
      </c>
      <c r="O1142" t="s">
        <v>21</v>
      </c>
      <c r="P1142" t="str">
        <f>TEXT(Table1[[#This Row],[order_date]],"yyyy-mm")</f>
        <v>2025-09</v>
      </c>
      <c r="Q1142">
        <f>WEEKNUM(Table1[[#This Row],[order_date]])</f>
        <v>37</v>
      </c>
      <c r="R1142">
        <f>IF(Table1[[#This Row],[order_status]]="completed",1,0)</f>
        <v>0</v>
      </c>
    </row>
    <row r="1143" spans="1:18" x14ac:dyDescent="0.35">
      <c r="A1143">
        <v>1142</v>
      </c>
      <c r="B1143" s="1">
        <v>45907</v>
      </c>
      <c r="C1143">
        <v>1789</v>
      </c>
      <c r="D1143" t="s">
        <v>41</v>
      </c>
      <c r="E1143" t="s">
        <v>23</v>
      </c>
      <c r="F1143" t="s">
        <v>17</v>
      </c>
      <c r="G1143">
        <v>5</v>
      </c>
      <c r="H1143">
        <v>0</v>
      </c>
      <c r="I1143" t="s">
        <v>39</v>
      </c>
      <c r="J1143" t="s">
        <v>31</v>
      </c>
      <c r="K1143" t="s">
        <v>38</v>
      </c>
      <c r="L1143">
        <v>8</v>
      </c>
      <c r="M1143">
        <v>1</v>
      </c>
      <c r="N1143">
        <v>0</v>
      </c>
      <c r="O1143" t="s">
        <v>27</v>
      </c>
      <c r="P1143" t="str">
        <f>TEXT(Table1[[#This Row],[order_date]],"yyyy-mm")</f>
        <v>2025-09</v>
      </c>
      <c r="Q1143">
        <f>WEEKNUM(Table1[[#This Row],[order_date]])</f>
        <v>37</v>
      </c>
      <c r="R1143">
        <f>IF(Table1[[#This Row],[order_status]]="completed",1,0)</f>
        <v>0</v>
      </c>
    </row>
    <row r="1144" spans="1:18" x14ac:dyDescent="0.35">
      <c r="A1144">
        <v>1143</v>
      </c>
      <c r="B1144" s="1">
        <v>45877</v>
      </c>
      <c r="C1144">
        <v>1513</v>
      </c>
      <c r="D1144" t="s">
        <v>22</v>
      </c>
      <c r="E1144" t="s">
        <v>33</v>
      </c>
      <c r="F1144" t="s">
        <v>30</v>
      </c>
      <c r="G1144">
        <v>3</v>
      </c>
      <c r="H1144">
        <v>0</v>
      </c>
      <c r="I1144" t="s">
        <v>25</v>
      </c>
      <c r="J1144" t="s">
        <v>31</v>
      </c>
      <c r="K1144" t="s">
        <v>38</v>
      </c>
      <c r="L1144">
        <v>8</v>
      </c>
      <c r="M1144">
        <v>1</v>
      </c>
      <c r="N1144">
        <v>1</v>
      </c>
      <c r="O1144" t="s">
        <v>21</v>
      </c>
      <c r="P1144" t="str">
        <f>TEXT(Table1[[#This Row],[order_date]],"yyyy-mm")</f>
        <v>2025-08</v>
      </c>
      <c r="Q1144">
        <f>WEEKNUM(Table1[[#This Row],[order_date]])</f>
        <v>32</v>
      </c>
      <c r="R1144">
        <f>IF(Table1[[#This Row],[order_status]]="completed",1,0)</f>
        <v>0</v>
      </c>
    </row>
    <row r="1145" spans="1:18" x14ac:dyDescent="0.35">
      <c r="A1145">
        <v>1144</v>
      </c>
      <c r="B1145" s="1">
        <v>46000</v>
      </c>
      <c r="C1145">
        <v>1270</v>
      </c>
      <c r="D1145" t="s">
        <v>15</v>
      </c>
      <c r="E1145" t="s">
        <v>23</v>
      </c>
      <c r="F1145" t="s">
        <v>24</v>
      </c>
      <c r="G1145">
        <v>2</v>
      </c>
      <c r="H1145">
        <v>6112</v>
      </c>
      <c r="I1145" t="s">
        <v>35</v>
      </c>
      <c r="J1145" t="s">
        <v>19</v>
      </c>
      <c r="K1145" t="s">
        <v>20</v>
      </c>
      <c r="L1145">
        <v>1</v>
      </c>
      <c r="M1145">
        <v>0</v>
      </c>
      <c r="N1145">
        <v>0</v>
      </c>
      <c r="O1145" t="s">
        <v>27</v>
      </c>
      <c r="P1145" t="str">
        <f>TEXT(Table1[[#This Row],[order_date]],"yyyy-mm")</f>
        <v>2025-12</v>
      </c>
      <c r="Q1145">
        <f>WEEKNUM(Table1[[#This Row],[order_date]])</f>
        <v>50</v>
      </c>
      <c r="R1145">
        <f>IF(Table1[[#This Row],[order_status]]="completed",1,0)</f>
        <v>1</v>
      </c>
    </row>
    <row r="1146" spans="1:18" x14ac:dyDescent="0.35">
      <c r="A1146">
        <v>1145</v>
      </c>
      <c r="B1146" s="1">
        <v>45886</v>
      </c>
      <c r="C1146">
        <v>1871</v>
      </c>
      <c r="D1146" t="s">
        <v>28</v>
      </c>
      <c r="E1146" t="s">
        <v>33</v>
      </c>
      <c r="F1146" t="s">
        <v>34</v>
      </c>
      <c r="G1146">
        <v>5</v>
      </c>
      <c r="H1146">
        <v>0</v>
      </c>
      <c r="I1146" t="s">
        <v>18</v>
      </c>
      <c r="J1146" t="s">
        <v>31</v>
      </c>
      <c r="K1146" t="s">
        <v>20</v>
      </c>
      <c r="L1146">
        <v>1</v>
      </c>
      <c r="M1146">
        <v>1</v>
      </c>
      <c r="N1146">
        <v>1</v>
      </c>
      <c r="O1146" t="s">
        <v>21</v>
      </c>
      <c r="P1146" t="str">
        <f>TEXT(Table1[[#This Row],[order_date]],"yyyy-mm")</f>
        <v>2025-08</v>
      </c>
      <c r="Q1146">
        <f>WEEKNUM(Table1[[#This Row],[order_date]])</f>
        <v>34</v>
      </c>
      <c r="R1146">
        <f>IF(Table1[[#This Row],[order_status]]="completed",1,0)</f>
        <v>0</v>
      </c>
    </row>
    <row r="1147" spans="1:18" x14ac:dyDescent="0.35">
      <c r="A1147">
        <v>1146</v>
      </c>
      <c r="B1147" s="1">
        <v>45939</v>
      </c>
      <c r="C1147">
        <v>1650</v>
      </c>
      <c r="D1147" t="s">
        <v>41</v>
      </c>
      <c r="E1147" t="s">
        <v>36</v>
      </c>
      <c r="F1147" t="s">
        <v>30</v>
      </c>
      <c r="G1147">
        <v>3</v>
      </c>
      <c r="H1147">
        <v>0</v>
      </c>
      <c r="I1147" t="s">
        <v>35</v>
      </c>
      <c r="J1147" t="s">
        <v>31</v>
      </c>
      <c r="K1147" t="s">
        <v>26</v>
      </c>
      <c r="L1147">
        <v>10</v>
      </c>
      <c r="M1147">
        <v>0</v>
      </c>
      <c r="N1147">
        <v>1</v>
      </c>
      <c r="O1147" t="s">
        <v>27</v>
      </c>
      <c r="P1147" t="str">
        <f>TEXT(Table1[[#This Row],[order_date]],"yyyy-mm")</f>
        <v>2025-10</v>
      </c>
      <c r="Q1147">
        <f>WEEKNUM(Table1[[#This Row],[order_date]])</f>
        <v>41</v>
      </c>
      <c r="R1147">
        <f>IF(Table1[[#This Row],[order_status]]="completed",1,0)</f>
        <v>0</v>
      </c>
    </row>
    <row r="1148" spans="1:18" x14ac:dyDescent="0.35">
      <c r="A1148">
        <v>1147</v>
      </c>
      <c r="B1148" s="1">
        <v>45938</v>
      </c>
      <c r="C1148">
        <v>1760</v>
      </c>
      <c r="D1148" t="s">
        <v>15</v>
      </c>
      <c r="E1148" t="s">
        <v>29</v>
      </c>
      <c r="F1148" t="s">
        <v>34</v>
      </c>
      <c r="G1148">
        <v>5</v>
      </c>
      <c r="H1148">
        <v>14370</v>
      </c>
      <c r="I1148" t="s">
        <v>35</v>
      </c>
      <c r="J1148" t="s">
        <v>19</v>
      </c>
      <c r="K1148" t="s">
        <v>40</v>
      </c>
      <c r="L1148">
        <v>10</v>
      </c>
      <c r="M1148">
        <v>0</v>
      </c>
      <c r="N1148">
        <v>1</v>
      </c>
      <c r="O1148" t="s">
        <v>27</v>
      </c>
      <c r="P1148" t="str">
        <f>TEXT(Table1[[#This Row],[order_date]],"yyyy-mm")</f>
        <v>2025-10</v>
      </c>
      <c r="Q1148">
        <f>WEEKNUM(Table1[[#This Row],[order_date]])</f>
        <v>41</v>
      </c>
      <c r="R1148">
        <f>IF(Table1[[#This Row],[order_status]]="completed",1,0)</f>
        <v>1</v>
      </c>
    </row>
    <row r="1149" spans="1:18" x14ac:dyDescent="0.35">
      <c r="A1149">
        <v>1148</v>
      </c>
      <c r="B1149" s="1">
        <v>45968</v>
      </c>
      <c r="C1149">
        <v>1550</v>
      </c>
      <c r="D1149" t="s">
        <v>32</v>
      </c>
      <c r="E1149" t="s">
        <v>23</v>
      </c>
      <c r="F1149" t="s">
        <v>24</v>
      </c>
      <c r="G1149">
        <v>4</v>
      </c>
      <c r="H1149">
        <v>5416</v>
      </c>
      <c r="I1149" t="s">
        <v>39</v>
      </c>
      <c r="J1149" t="s">
        <v>19</v>
      </c>
      <c r="K1149" t="s">
        <v>40</v>
      </c>
      <c r="L1149">
        <v>2</v>
      </c>
      <c r="M1149">
        <v>0</v>
      </c>
      <c r="N1149">
        <v>0</v>
      </c>
      <c r="O1149" t="s">
        <v>27</v>
      </c>
      <c r="P1149" t="str">
        <f>TEXT(Table1[[#This Row],[order_date]],"yyyy-mm")</f>
        <v>2025-11</v>
      </c>
      <c r="Q1149">
        <f>WEEKNUM(Table1[[#This Row],[order_date]])</f>
        <v>45</v>
      </c>
      <c r="R1149">
        <f>IF(Table1[[#This Row],[order_status]]="completed",1,0)</f>
        <v>1</v>
      </c>
    </row>
    <row r="1150" spans="1:18" x14ac:dyDescent="0.35">
      <c r="A1150">
        <v>1149</v>
      </c>
      <c r="B1150" s="1">
        <v>45967</v>
      </c>
      <c r="C1150">
        <v>1771</v>
      </c>
      <c r="D1150" t="s">
        <v>15</v>
      </c>
      <c r="E1150" t="s">
        <v>23</v>
      </c>
      <c r="F1150" t="s">
        <v>34</v>
      </c>
      <c r="G1150">
        <v>1</v>
      </c>
      <c r="H1150">
        <v>4545</v>
      </c>
      <c r="I1150" t="s">
        <v>35</v>
      </c>
      <c r="J1150" t="s">
        <v>19</v>
      </c>
      <c r="K1150" t="s">
        <v>26</v>
      </c>
      <c r="L1150">
        <v>10</v>
      </c>
      <c r="M1150">
        <v>1</v>
      </c>
      <c r="N1150">
        <v>1</v>
      </c>
      <c r="O1150" t="s">
        <v>21</v>
      </c>
      <c r="P1150" t="str">
        <f>TEXT(Table1[[#This Row],[order_date]],"yyyy-mm")</f>
        <v>2025-11</v>
      </c>
      <c r="Q1150">
        <f>WEEKNUM(Table1[[#This Row],[order_date]])</f>
        <v>45</v>
      </c>
      <c r="R1150">
        <f>IF(Table1[[#This Row],[order_status]]="completed",1,0)</f>
        <v>1</v>
      </c>
    </row>
    <row r="1151" spans="1:18" x14ac:dyDescent="0.35">
      <c r="A1151">
        <v>1150</v>
      </c>
      <c r="B1151" s="1">
        <v>45929</v>
      </c>
      <c r="C1151">
        <v>1832</v>
      </c>
      <c r="D1151" t="s">
        <v>28</v>
      </c>
      <c r="E1151" t="s">
        <v>29</v>
      </c>
      <c r="F1151" t="s">
        <v>17</v>
      </c>
      <c r="G1151">
        <v>1</v>
      </c>
      <c r="H1151">
        <v>0</v>
      </c>
      <c r="I1151" t="s">
        <v>25</v>
      </c>
      <c r="J1151" t="s">
        <v>31</v>
      </c>
      <c r="K1151" t="s">
        <v>38</v>
      </c>
      <c r="L1151">
        <v>2</v>
      </c>
      <c r="M1151">
        <v>1</v>
      </c>
      <c r="N1151">
        <v>0</v>
      </c>
      <c r="O1151" t="s">
        <v>21</v>
      </c>
      <c r="P1151" t="str">
        <f>TEXT(Table1[[#This Row],[order_date]],"yyyy-mm")</f>
        <v>2025-09</v>
      </c>
      <c r="Q1151">
        <f>WEEKNUM(Table1[[#This Row],[order_date]])</f>
        <v>40</v>
      </c>
      <c r="R1151">
        <f>IF(Table1[[#This Row],[order_status]]="completed",1,0)</f>
        <v>0</v>
      </c>
    </row>
    <row r="1152" spans="1:18" x14ac:dyDescent="0.35">
      <c r="A1152">
        <v>1151</v>
      </c>
      <c r="B1152" s="1">
        <v>45928</v>
      </c>
      <c r="C1152">
        <v>1906</v>
      </c>
      <c r="D1152" t="s">
        <v>15</v>
      </c>
      <c r="E1152" t="s">
        <v>36</v>
      </c>
      <c r="F1152" t="s">
        <v>17</v>
      </c>
      <c r="G1152">
        <v>3</v>
      </c>
      <c r="H1152">
        <v>0</v>
      </c>
      <c r="I1152" t="s">
        <v>18</v>
      </c>
      <c r="J1152" t="s">
        <v>37</v>
      </c>
      <c r="K1152" t="s">
        <v>40</v>
      </c>
      <c r="L1152">
        <v>3</v>
      </c>
      <c r="M1152">
        <v>1</v>
      </c>
      <c r="N1152">
        <v>0</v>
      </c>
      <c r="O1152" t="s">
        <v>21</v>
      </c>
      <c r="P1152" t="str">
        <f>TEXT(Table1[[#This Row],[order_date]],"yyyy-mm")</f>
        <v>2025-09</v>
      </c>
      <c r="Q1152">
        <f>WEEKNUM(Table1[[#This Row],[order_date]])</f>
        <v>40</v>
      </c>
      <c r="R1152">
        <f>IF(Table1[[#This Row],[order_status]]="completed",1,0)</f>
        <v>0</v>
      </c>
    </row>
    <row r="1153" spans="1:18" x14ac:dyDescent="0.35">
      <c r="A1153">
        <v>1152</v>
      </c>
      <c r="B1153" s="1">
        <v>45952</v>
      </c>
      <c r="C1153">
        <v>1274</v>
      </c>
      <c r="D1153" t="s">
        <v>15</v>
      </c>
      <c r="E1153" t="s">
        <v>16</v>
      </c>
      <c r="F1153" t="s">
        <v>30</v>
      </c>
      <c r="G1153">
        <v>2</v>
      </c>
      <c r="H1153">
        <v>7506</v>
      </c>
      <c r="I1153" t="s">
        <v>25</v>
      </c>
      <c r="J1153" t="s">
        <v>19</v>
      </c>
      <c r="K1153" t="s">
        <v>40</v>
      </c>
      <c r="L1153">
        <v>3</v>
      </c>
      <c r="M1153">
        <v>0</v>
      </c>
      <c r="N1153">
        <v>0</v>
      </c>
      <c r="O1153" t="s">
        <v>27</v>
      </c>
      <c r="P1153" t="str">
        <f>TEXT(Table1[[#This Row],[order_date]],"yyyy-mm")</f>
        <v>2025-10</v>
      </c>
      <c r="Q1153">
        <f>WEEKNUM(Table1[[#This Row],[order_date]])</f>
        <v>43</v>
      </c>
      <c r="R1153">
        <f>IF(Table1[[#This Row],[order_status]]="completed",1,0)</f>
        <v>1</v>
      </c>
    </row>
    <row r="1154" spans="1:18" x14ac:dyDescent="0.35">
      <c r="A1154">
        <v>1153</v>
      </c>
      <c r="B1154" s="1">
        <v>45862</v>
      </c>
      <c r="C1154">
        <v>1486</v>
      </c>
      <c r="D1154" t="s">
        <v>28</v>
      </c>
      <c r="E1154" t="s">
        <v>23</v>
      </c>
      <c r="F1154" t="s">
        <v>34</v>
      </c>
      <c r="G1154">
        <v>1</v>
      </c>
      <c r="H1154">
        <v>0</v>
      </c>
      <c r="I1154" t="s">
        <v>39</v>
      </c>
      <c r="J1154" t="s">
        <v>37</v>
      </c>
      <c r="K1154" t="s">
        <v>40</v>
      </c>
      <c r="L1154">
        <v>6</v>
      </c>
      <c r="M1154">
        <v>0</v>
      </c>
      <c r="N1154">
        <v>0</v>
      </c>
      <c r="O1154" t="s">
        <v>27</v>
      </c>
      <c r="P1154" t="str">
        <f>TEXT(Table1[[#This Row],[order_date]],"yyyy-mm")</f>
        <v>2025-07</v>
      </c>
      <c r="Q1154">
        <f>WEEKNUM(Table1[[#This Row],[order_date]])</f>
        <v>30</v>
      </c>
      <c r="R1154">
        <f>IF(Table1[[#This Row],[order_status]]="completed",1,0)</f>
        <v>0</v>
      </c>
    </row>
    <row r="1155" spans="1:18" x14ac:dyDescent="0.35">
      <c r="A1155">
        <v>1154</v>
      </c>
      <c r="B1155" s="1">
        <v>46019</v>
      </c>
      <c r="C1155">
        <v>1574</v>
      </c>
      <c r="D1155" t="s">
        <v>41</v>
      </c>
      <c r="E1155" t="s">
        <v>33</v>
      </c>
      <c r="F1155" t="s">
        <v>30</v>
      </c>
      <c r="G1155">
        <v>5</v>
      </c>
      <c r="H1155">
        <v>0</v>
      </c>
      <c r="I1155" t="s">
        <v>35</v>
      </c>
      <c r="J1155" t="s">
        <v>31</v>
      </c>
      <c r="K1155" t="s">
        <v>40</v>
      </c>
      <c r="L1155">
        <v>6</v>
      </c>
      <c r="M1155">
        <v>0</v>
      </c>
      <c r="N1155">
        <v>1</v>
      </c>
      <c r="O1155" t="s">
        <v>21</v>
      </c>
      <c r="P1155" t="str">
        <f>TEXT(Table1[[#This Row],[order_date]],"yyyy-mm")</f>
        <v>2025-12</v>
      </c>
      <c r="Q1155">
        <f>WEEKNUM(Table1[[#This Row],[order_date]])</f>
        <v>53</v>
      </c>
      <c r="R1155">
        <f>IF(Table1[[#This Row],[order_status]]="completed",1,0)</f>
        <v>0</v>
      </c>
    </row>
    <row r="1156" spans="1:18" x14ac:dyDescent="0.35">
      <c r="A1156">
        <v>1155</v>
      </c>
      <c r="B1156" s="1">
        <v>45946</v>
      </c>
      <c r="C1156">
        <v>1142</v>
      </c>
      <c r="D1156" t="s">
        <v>15</v>
      </c>
      <c r="E1156" t="s">
        <v>23</v>
      </c>
      <c r="F1156" t="s">
        <v>24</v>
      </c>
      <c r="G1156">
        <v>3</v>
      </c>
      <c r="H1156">
        <v>11385</v>
      </c>
      <c r="I1156" t="s">
        <v>35</v>
      </c>
      <c r="J1156" t="s">
        <v>19</v>
      </c>
      <c r="K1156" t="s">
        <v>40</v>
      </c>
      <c r="L1156">
        <v>1</v>
      </c>
      <c r="M1156">
        <v>0</v>
      </c>
      <c r="N1156">
        <v>0</v>
      </c>
      <c r="O1156" t="s">
        <v>21</v>
      </c>
      <c r="P1156" t="str">
        <f>TEXT(Table1[[#This Row],[order_date]],"yyyy-mm")</f>
        <v>2025-10</v>
      </c>
      <c r="Q1156">
        <f>WEEKNUM(Table1[[#This Row],[order_date]])</f>
        <v>42</v>
      </c>
      <c r="R1156">
        <f>IF(Table1[[#This Row],[order_status]]="completed",1,0)</f>
        <v>1</v>
      </c>
    </row>
    <row r="1157" spans="1:18" x14ac:dyDescent="0.35">
      <c r="A1157">
        <v>1156</v>
      </c>
      <c r="B1157" s="1">
        <v>45908</v>
      </c>
      <c r="C1157">
        <v>1222</v>
      </c>
      <c r="D1157" t="s">
        <v>32</v>
      </c>
      <c r="E1157" t="s">
        <v>16</v>
      </c>
      <c r="F1157" t="s">
        <v>34</v>
      </c>
      <c r="G1157">
        <v>2</v>
      </c>
      <c r="H1157">
        <v>8676</v>
      </c>
      <c r="I1157" t="s">
        <v>39</v>
      </c>
      <c r="J1157" t="s">
        <v>19</v>
      </c>
      <c r="K1157" t="s">
        <v>38</v>
      </c>
      <c r="L1157">
        <v>2</v>
      </c>
      <c r="M1157">
        <v>0</v>
      </c>
      <c r="N1157">
        <v>1</v>
      </c>
      <c r="O1157" t="s">
        <v>21</v>
      </c>
      <c r="P1157" t="str">
        <f>TEXT(Table1[[#This Row],[order_date]],"yyyy-mm")</f>
        <v>2025-09</v>
      </c>
      <c r="Q1157">
        <f>WEEKNUM(Table1[[#This Row],[order_date]])</f>
        <v>37</v>
      </c>
      <c r="R1157">
        <f>IF(Table1[[#This Row],[order_status]]="completed",1,0)</f>
        <v>1</v>
      </c>
    </row>
    <row r="1158" spans="1:18" x14ac:dyDescent="0.35">
      <c r="A1158">
        <v>1157</v>
      </c>
      <c r="B1158" s="1">
        <v>46027</v>
      </c>
      <c r="C1158">
        <v>1468</v>
      </c>
      <c r="D1158" t="s">
        <v>28</v>
      </c>
      <c r="E1158" t="s">
        <v>36</v>
      </c>
      <c r="F1158" t="s">
        <v>17</v>
      </c>
      <c r="G1158">
        <v>1</v>
      </c>
      <c r="H1158">
        <v>0</v>
      </c>
      <c r="I1158" t="s">
        <v>35</v>
      </c>
      <c r="J1158" t="s">
        <v>37</v>
      </c>
      <c r="K1158" t="s">
        <v>26</v>
      </c>
      <c r="L1158">
        <v>10</v>
      </c>
      <c r="M1158">
        <v>0</v>
      </c>
      <c r="N1158">
        <v>0</v>
      </c>
      <c r="O1158" t="s">
        <v>27</v>
      </c>
      <c r="P1158" t="str">
        <f>TEXT(Table1[[#This Row],[order_date]],"yyyy-mm")</f>
        <v>2026-01</v>
      </c>
      <c r="Q1158">
        <f>WEEKNUM(Table1[[#This Row],[order_date]])</f>
        <v>2</v>
      </c>
      <c r="R1158">
        <f>IF(Table1[[#This Row],[order_status]]="completed",1,0)</f>
        <v>0</v>
      </c>
    </row>
    <row r="1159" spans="1:18" x14ac:dyDescent="0.35">
      <c r="A1159">
        <v>1158</v>
      </c>
      <c r="B1159" s="1">
        <v>45894</v>
      </c>
      <c r="C1159">
        <v>1449</v>
      </c>
      <c r="D1159" t="s">
        <v>28</v>
      </c>
      <c r="E1159" t="s">
        <v>36</v>
      </c>
      <c r="F1159" t="s">
        <v>30</v>
      </c>
      <c r="G1159">
        <v>1</v>
      </c>
      <c r="H1159">
        <v>0</v>
      </c>
      <c r="I1159" t="s">
        <v>25</v>
      </c>
      <c r="J1159" t="s">
        <v>31</v>
      </c>
      <c r="K1159" t="s">
        <v>26</v>
      </c>
      <c r="L1159">
        <v>7</v>
      </c>
      <c r="M1159">
        <v>1</v>
      </c>
      <c r="N1159">
        <v>1</v>
      </c>
      <c r="O1159" t="s">
        <v>27</v>
      </c>
      <c r="P1159" t="str">
        <f>TEXT(Table1[[#This Row],[order_date]],"yyyy-mm")</f>
        <v>2025-08</v>
      </c>
      <c r="Q1159">
        <f>WEEKNUM(Table1[[#This Row],[order_date]])</f>
        <v>35</v>
      </c>
      <c r="R1159">
        <f>IF(Table1[[#This Row],[order_status]]="completed",1,0)</f>
        <v>0</v>
      </c>
    </row>
    <row r="1160" spans="1:18" x14ac:dyDescent="0.35">
      <c r="A1160">
        <v>1159</v>
      </c>
      <c r="B1160" s="1">
        <v>45941</v>
      </c>
      <c r="C1160">
        <v>1030</v>
      </c>
      <c r="D1160" t="s">
        <v>28</v>
      </c>
      <c r="E1160" t="s">
        <v>36</v>
      </c>
      <c r="F1160" t="s">
        <v>24</v>
      </c>
      <c r="G1160">
        <v>3</v>
      </c>
      <c r="H1160">
        <v>5643</v>
      </c>
      <c r="I1160" t="s">
        <v>35</v>
      </c>
      <c r="J1160" t="s">
        <v>19</v>
      </c>
      <c r="K1160" t="s">
        <v>38</v>
      </c>
      <c r="L1160">
        <v>5</v>
      </c>
      <c r="M1160">
        <v>0</v>
      </c>
      <c r="N1160">
        <v>0</v>
      </c>
      <c r="O1160" t="s">
        <v>27</v>
      </c>
      <c r="P1160" t="str">
        <f>TEXT(Table1[[#This Row],[order_date]],"yyyy-mm")</f>
        <v>2025-10</v>
      </c>
      <c r="Q1160">
        <f>WEEKNUM(Table1[[#This Row],[order_date]])</f>
        <v>41</v>
      </c>
      <c r="R1160">
        <f>IF(Table1[[#This Row],[order_status]]="completed",1,0)</f>
        <v>1</v>
      </c>
    </row>
    <row r="1161" spans="1:18" x14ac:dyDescent="0.35">
      <c r="A1161">
        <v>1160</v>
      </c>
      <c r="B1161" s="1">
        <v>45918</v>
      </c>
      <c r="C1161">
        <v>1096</v>
      </c>
      <c r="D1161" t="s">
        <v>22</v>
      </c>
      <c r="E1161" t="s">
        <v>23</v>
      </c>
      <c r="F1161" t="s">
        <v>17</v>
      </c>
      <c r="G1161">
        <v>1</v>
      </c>
      <c r="H1161">
        <v>0</v>
      </c>
      <c r="I1161" t="s">
        <v>18</v>
      </c>
      <c r="J1161" t="s">
        <v>31</v>
      </c>
      <c r="K1161" t="s">
        <v>40</v>
      </c>
      <c r="L1161">
        <v>5</v>
      </c>
      <c r="M1161">
        <v>0</v>
      </c>
      <c r="N1161">
        <v>0</v>
      </c>
      <c r="O1161" t="s">
        <v>21</v>
      </c>
      <c r="P1161" t="str">
        <f>TEXT(Table1[[#This Row],[order_date]],"yyyy-mm")</f>
        <v>2025-09</v>
      </c>
      <c r="Q1161">
        <f>WEEKNUM(Table1[[#This Row],[order_date]])</f>
        <v>38</v>
      </c>
      <c r="R1161">
        <f>IF(Table1[[#This Row],[order_status]]="completed",1,0)</f>
        <v>0</v>
      </c>
    </row>
    <row r="1162" spans="1:18" x14ac:dyDescent="0.35">
      <c r="A1162">
        <v>1161</v>
      </c>
      <c r="B1162" s="1">
        <v>45927</v>
      </c>
      <c r="C1162">
        <v>1196</v>
      </c>
      <c r="D1162" t="s">
        <v>32</v>
      </c>
      <c r="E1162" t="s">
        <v>33</v>
      </c>
      <c r="F1162" t="s">
        <v>34</v>
      </c>
      <c r="G1162">
        <v>1</v>
      </c>
      <c r="H1162">
        <v>4848</v>
      </c>
      <c r="I1162" t="s">
        <v>35</v>
      </c>
      <c r="J1162" t="s">
        <v>19</v>
      </c>
      <c r="K1162" t="s">
        <v>38</v>
      </c>
      <c r="L1162">
        <v>4</v>
      </c>
      <c r="M1162">
        <v>1</v>
      </c>
      <c r="N1162">
        <v>0</v>
      </c>
      <c r="O1162" t="s">
        <v>27</v>
      </c>
      <c r="P1162" t="str">
        <f>TEXT(Table1[[#This Row],[order_date]],"yyyy-mm")</f>
        <v>2025-09</v>
      </c>
      <c r="Q1162">
        <f>WEEKNUM(Table1[[#This Row],[order_date]])</f>
        <v>39</v>
      </c>
      <c r="R1162">
        <f>IF(Table1[[#This Row],[order_status]]="completed",1,0)</f>
        <v>1</v>
      </c>
    </row>
    <row r="1163" spans="1:18" x14ac:dyDescent="0.35">
      <c r="A1163">
        <v>1162</v>
      </c>
      <c r="B1163" s="1">
        <v>45962</v>
      </c>
      <c r="C1163">
        <v>1648</v>
      </c>
      <c r="D1163" t="s">
        <v>28</v>
      </c>
      <c r="E1163" t="s">
        <v>23</v>
      </c>
      <c r="F1163" t="s">
        <v>34</v>
      </c>
      <c r="G1163">
        <v>5</v>
      </c>
      <c r="H1163">
        <v>3540</v>
      </c>
      <c r="I1163" t="s">
        <v>39</v>
      </c>
      <c r="J1163" t="s">
        <v>19</v>
      </c>
      <c r="K1163" t="s">
        <v>26</v>
      </c>
      <c r="L1163">
        <v>8</v>
      </c>
      <c r="M1163">
        <v>1</v>
      </c>
      <c r="N1163">
        <v>1</v>
      </c>
      <c r="O1163" t="s">
        <v>27</v>
      </c>
      <c r="P1163" t="str">
        <f>TEXT(Table1[[#This Row],[order_date]],"yyyy-mm")</f>
        <v>2025-11</v>
      </c>
      <c r="Q1163">
        <f>WEEKNUM(Table1[[#This Row],[order_date]])</f>
        <v>44</v>
      </c>
      <c r="R1163">
        <f>IF(Table1[[#This Row],[order_status]]="completed",1,0)</f>
        <v>1</v>
      </c>
    </row>
    <row r="1164" spans="1:18" x14ac:dyDescent="0.35">
      <c r="A1164">
        <v>1163</v>
      </c>
      <c r="B1164" s="1">
        <v>45951</v>
      </c>
      <c r="C1164">
        <v>1300</v>
      </c>
      <c r="D1164" t="s">
        <v>28</v>
      </c>
      <c r="E1164" t="s">
        <v>16</v>
      </c>
      <c r="F1164" t="s">
        <v>34</v>
      </c>
      <c r="G1164">
        <v>5</v>
      </c>
      <c r="H1164">
        <v>0</v>
      </c>
      <c r="I1164" t="s">
        <v>39</v>
      </c>
      <c r="J1164" t="s">
        <v>37</v>
      </c>
      <c r="K1164" t="s">
        <v>26</v>
      </c>
      <c r="L1164">
        <v>2</v>
      </c>
      <c r="M1164">
        <v>0</v>
      </c>
      <c r="N1164">
        <v>0</v>
      </c>
      <c r="O1164" t="s">
        <v>21</v>
      </c>
      <c r="P1164" t="str">
        <f>TEXT(Table1[[#This Row],[order_date]],"yyyy-mm")</f>
        <v>2025-10</v>
      </c>
      <c r="Q1164">
        <f>WEEKNUM(Table1[[#This Row],[order_date]])</f>
        <v>43</v>
      </c>
      <c r="R1164">
        <f>IF(Table1[[#This Row],[order_status]]="completed",1,0)</f>
        <v>0</v>
      </c>
    </row>
    <row r="1165" spans="1:18" x14ac:dyDescent="0.35">
      <c r="A1165">
        <v>1164</v>
      </c>
      <c r="B1165" s="1">
        <v>45934</v>
      </c>
      <c r="C1165">
        <v>1551</v>
      </c>
      <c r="D1165" t="s">
        <v>22</v>
      </c>
      <c r="E1165" t="s">
        <v>16</v>
      </c>
      <c r="F1165" t="s">
        <v>17</v>
      </c>
      <c r="G1165">
        <v>4</v>
      </c>
      <c r="H1165">
        <v>0</v>
      </c>
      <c r="I1165" t="s">
        <v>18</v>
      </c>
      <c r="J1165" t="s">
        <v>37</v>
      </c>
      <c r="K1165" t="s">
        <v>26</v>
      </c>
      <c r="L1165">
        <v>6</v>
      </c>
      <c r="M1165">
        <v>1</v>
      </c>
      <c r="N1165">
        <v>0</v>
      </c>
      <c r="O1165" t="s">
        <v>27</v>
      </c>
      <c r="P1165" t="str">
        <f>TEXT(Table1[[#This Row],[order_date]],"yyyy-mm")</f>
        <v>2025-10</v>
      </c>
      <c r="Q1165">
        <f>WEEKNUM(Table1[[#This Row],[order_date]])</f>
        <v>40</v>
      </c>
      <c r="R1165">
        <f>IF(Table1[[#This Row],[order_status]]="completed",1,0)</f>
        <v>0</v>
      </c>
    </row>
    <row r="1166" spans="1:18" x14ac:dyDescent="0.35">
      <c r="A1166">
        <v>1165</v>
      </c>
      <c r="B1166" s="1">
        <v>45904</v>
      </c>
      <c r="C1166">
        <v>1913</v>
      </c>
      <c r="D1166" t="s">
        <v>22</v>
      </c>
      <c r="E1166" t="s">
        <v>33</v>
      </c>
      <c r="F1166" t="s">
        <v>30</v>
      </c>
      <c r="G1166">
        <v>5</v>
      </c>
      <c r="H1166">
        <v>8175</v>
      </c>
      <c r="I1166" t="s">
        <v>39</v>
      </c>
      <c r="J1166" t="s">
        <v>19</v>
      </c>
      <c r="K1166" t="s">
        <v>40</v>
      </c>
      <c r="L1166">
        <v>10</v>
      </c>
      <c r="M1166">
        <v>0</v>
      </c>
      <c r="N1166">
        <v>0</v>
      </c>
      <c r="O1166" t="s">
        <v>21</v>
      </c>
      <c r="P1166" t="str">
        <f>TEXT(Table1[[#This Row],[order_date]],"yyyy-mm")</f>
        <v>2025-09</v>
      </c>
      <c r="Q1166">
        <f>WEEKNUM(Table1[[#This Row],[order_date]])</f>
        <v>36</v>
      </c>
      <c r="R1166">
        <f>IF(Table1[[#This Row],[order_status]]="completed",1,0)</f>
        <v>1</v>
      </c>
    </row>
    <row r="1167" spans="1:18" x14ac:dyDescent="0.35">
      <c r="A1167">
        <v>1166</v>
      </c>
      <c r="B1167" s="1">
        <v>46009</v>
      </c>
      <c r="C1167">
        <v>1309</v>
      </c>
      <c r="D1167" t="s">
        <v>41</v>
      </c>
      <c r="E1167" t="s">
        <v>36</v>
      </c>
      <c r="F1167" t="s">
        <v>24</v>
      </c>
      <c r="G1167">
        <v>4</v>
      </c>
      <c r="H1167">
        <v>2372</v>
      </c>
      <c r="I1167" t="s">
        <v>35</v>
      </c>
      <c r="J1167" t="s">
        <v>19</v>
      </c>
      <c r="K1167" t="s">
        <v>40</v>
      </c>
      <c r="L1167">
        <v>4</v>
      </c>
      <c r="M1167">
        <v>0</v>
      </c>
      <c r="N1167">
        <v>1</v>
      </c>
      <c r="O1167" t="s">
        <v>27</v>
      </c>
      <c r="P1167" t="str">
        <f>TEXT(Table1[[#This Row],[order_date]],"yyyy-mm")</f>
        <v>2025-12</v>
      </c>
      <c r="Q1167">
        <f>WEEKNUM(Table1[[#This Row],[order_date]])</f>
        <v>51</v>
      </c>
      <c r="R1167">
        <f>IF(Table1[[#This Row],[order_status]]="completed",1,0)</f>
        <v>1</v>
      </c>
    </row>
    <row r="1168" spans="1:18" x14ac:dyDescent="0.35">
      <c r="A1168">
        <v>1167</v>
      </c>
      <c r="B1168" s="1">
        <v>45954</v>
      </c>
      <c r="C1168">
        <v>1523</v>
      </c>
      <c r="D1168" t="s">
        <v>32</v>
      </c>
      <c r="E1168" t="s">
        <v>36</v>
      </c>
      <c r="F1168" t="s">
        <v>17</v>
      </c>
      <c r="G1168">
        <v>5</v>
      </c>
      <c r="H1168">
        <v>0</v>
      </c>
      <c r="I1168" t="s">
        <v>35</v>
      </c>
      <c r="J1168" t="s">
        <v>31</v>
      </c>
      <c r="K1168" t="s">
        <v>38</v>
      </c>
      <c r="L1168">
        <v>4</v>
      </c>
      <c r="M1168">
        <v>0</v>
      </c>
      <c r="N1168">
        <v>1</v>
      </c>
      <c r="O1168" t="s">
        <v>27</v>
      </c>
      <c r="P1168" t="str">
        <f>TEXT(Table1[[#This Row],[order_date]],"yyyy-mm")</f>
        <v>2025-10</v>
      </c>
      <c r="Q1168">
        <f>WEEKNUM(Table1[[#This Row],[order_date]])</f>
        <v>43</v>
      </c>
      <c r="R1168">
        <f>IF(Table1[[#This Row],[order_status]]="completed",1,0)</f>
        <v>0</v>
      </c>
    </row>
    <row r="1169" spans="1:18" x14ac:dyDescent="0.35">
      <c r="A1169">
        <v>1168</v>
      </c>
      <c r="B1169" s="1">
        <v>45959</v>
      </c>
      <c r="C1169">
        <v>1316</v>
      </c>
      <c r="D1169" t="s">
        <v>28</v>
      </c>
      <c r="E1169" t="s">
        <v>33</v>
      </c>
      <c r="F1169" t="s">
        <v>30</v>
      </c>
      <c r="G1169">
        <v>2</v>
      </c>
      <c r="H1169">
        <v>0</v>
      </c>
      <c r="I1169" t="s">
        <v>18</v>
      </c>
      <c r="J1169" t="s">
        <v>37</v>
      </c>
      <c r="K1169" t="s">
        <v>26</v>
      </c>
      <c r="L1169">
        <v>7</v>
      </c>
      <c r="M1169">
        <v>1</v>
      </c>
      <c r="N1169">
        <v>1</v>
      </c>
      <c r="O1169" t="s">
        <v>21</v>
      </c>
      <c r="P1169" t="str">
        <f>TEXT(Table1[[#This Row],[order_date]],"yyyy-mm")</f>
        <v>2025-10</v>
      </c>
      <c r="Q1169">
        <f>WEEKNUM(Table1[[#This Row],[order_date]])</f>
        <v>44</v>
      </c>
      <c r="R1169">
        <f>IF(Table1[[#This Row],[order_status]]="completed",1,0)</f>
        <v>0</v>
      </c>
    </row>
    <row r="1170" spans="1:18" x14ac:dyDescent="0.35">
      <c r="A1170">
        <v>1169</v>
      </c>
      <c r="B1170" s="1">
        <v>46001</v>
      </c>
      <c r="C1170">
        <v>1850</v>
      </c>
      <c r="D1170" t="s">
        <v>41</v>
      </c>
      <c r="E1170" t="s">
        <v>36</v>
      </c>
      <c r="F1170" t="s">
        <v>17</v>
      </c>
      <c r="G1170">
        <v>2</v>
      </c>
      <c r="H1170">
        <v>0</v>
      </c>
      <c r="I1170" t="s">
        <v>18</v>
      </c>
      <c r="J1170" t="s">
        <v>37</v>
      </c>
      <c r="K1170" t="s">
        <v>40</v>
      </c>
      <c r="L1170">
        <v>10</v>
      </c>
      <c r="M1170">
        <v>0</v>
      </c>
      <c r="N1170">
        <v>0</v>
      </c>
      <c r="O1170" t="s">
        <v>21</v>
      </c>
      <c r="P1170" t="str">
        <f>TEXT(Table1[[#This Row],[order_date]],"yyyy-mm")</f>
        <v>2025-12</v>
      </c>
      <c r="Q1170">
        <f>WEEKNUM(Table1[[#This Row],[order_date]])</f>
        <v>50</v>
      </c>
      <c r="R1170">
        <f>IF(Table1[[#This Row],[order_status]]="completed",1,0)</f>
        <v>0</v>
      </c>
    </row>
    <row r="1171" spans="1:18" x14ac:dyDescent="0.35">
      <c r="A1171">
        <v>1170</v>
      </c>
      <c r="B1171" s="1">
        <v>45867</v>
      </c>
      <c r="C1171">
        <v>1440</v>
      </c>
      <c r="D1171" t="s">
        <v>32</v>
      </c>
      <c r="E1171" t="s">
        <v>16</v>
      </c>
      <c r="F1171" t="s">
        <v>34</v>
      </c>
      <c r="G1171">
        <v>2</v>
      </c>
      <c r="H1171">
        <v>8464</v>
      </c>
      <c r="I1171" t="s">
        <v>39</v>
      </c>
      <c r="J1171" t="s">
        <v>19</v>
      </c>
      <c r="K1171" t="s">
        <v>38</v>
      </c>
      <c r="L1171">
        <v>3</v>
      </c>
      <c r="M1171">
        <v>1</v>
      </c>
      <c r="N1171">
        <v>1</v>
      </c>
      <c r="O1171" t="s">
        <v>27</v>
      </c>
      <c r="P1171" t="str">
        <f>TEXT(Table1[[#This Row],[order_date]],"yyyy-mm")</f>
        <v>2025-07</v>
      </c>
      <c r="Q1171">
        <f>WEEKNUM(Table1[[#This Row],[order_date]])</f>
        <v>31</v>
      </c>
      <c r="R1171">
        <f>IF(Table1[[#This Row],[order_status]]="completed",1,0)</f>
        <v>1</v>
      </c>
    </row>
    <row r="1172" spans="1:18" x14ac:dyDescent="0.35">
      <c r="A1172">
        <v>1171</v>
      </c>
      <c r="B1172" s="1">
        <v>45893</v>
      </c>
      <c r="C1172">
        <v>1699</v>
      </c>
      <c r="D1172" t="s">
        <v>32</v>
      </c>
      <c r="E1172" t="s">
        <v>36</v>
      </c>
      <c r="F1172" t="s">
        <v>30</v>
      </c>
      <c r="G1172">
        <v>5</v>
      </c>
      <c r="H1172">
        <v>0</v>
      </c>
      <c r="I1172" t="s">
        <v>35</v>
      </c>
      <c r="J1172" t="s">
        <v>31</v>
      </c>
      <c r="K1172" t="s">
        <v>26</v>
      </c>
      <c r="L1172">
        <v>7</v>
      </c>
      <c r="M1172">
        <v>1</v>
      </c>
      <c r="N1172">
        <v>0</v>
      </c>
      <c r="O1172" t="s">
        <v>21</v>
      </c>
      <c r="P1172" t="str">
        <f>TEXT(Table1[[#This Row],[order_date]],"yyyy-mm")</f>
        <v>2025-08</v>
      </c>
      <c r="Q1172">
        <f>WEEKNUM(Table1[[#This Row],[order_date]])</f>
        <v>35</v>
      </c>
      <c r="R1172">
        <f>IF(Table1[[#This Row],[order_status]]="completed",1,0)</f>
        <v>0</v>
      </c>
    </row>
    <row r="1173" spans="1:18" x14ac:dyDescent="0.35">
      <c r="A1173">
        <v>1172</v>
      </c>
      <c r="B1173" s="1">
        <v>46024</v>
      </c>
      <c r="C1173">
        <v>1562</v>
      </c>
      <c r="D1173" t="s">
        <v>32</v>
      </c>
      <c r="E1173" t="s">
        <v>29</v>
      </c>
      <c r="F1173" t="s">
        <v>17</v>
      </c>
      <c r="G1173">
        <v>1</v>
      </c>
      <c r="H1173">
        <v>1844</v>
      </c>
      <c r="I1173" t="s">
        <v>39</v>
      </c>
      <c r="J1173" t="s">
        <v>19</v>
      </c>
      <c r="K1173" t="s">
        <v>38</v>
      </c>
      <c r="L1173">
        <v>10</v>
      </c>
      <c r="M1173">
        <v>1</v>
      </c>
      <c r="N1173">
        <v>1</v>
      </c>
      <c r="O1173" t="s">
        <v>21</v>
      </c>
      <c r="P1173" t="str">
        <f>TEXT(Table1[[#This Row],[order_date]],"yyyy-mm")</f>
        <v>2026-01</v>
      </c>
      <c r="Q1173">
        <f>WEEKNUM(Table1[[#This Row],[order_date]])</f>
        <v>1</v>
      </c>
      <c r="R1173">
        <f>IF(Table1[[#This Row],[order_status]]="completed",1,0)</f>
        <v>1</v>
      </c>
    </row>
    <row r="1174" spans="1:18" x14ac:dyDescent="0.35">
      <c r="A1174">
        <v>1173</v>
      </c>
      <c r="B1174" s="1">
        <v>45911</v>
      </c>
      <c r="C1174">
        <v>1053</v>
      </c>
      <c r="D1174" t="s">
        <v>41</v>
      </c>
      <c r="E1174" t="s">
        <v>29</v>
      </c>
      <c r="F1174" t="s">
        <v>34</v>
      </c>
      <c r="G1174">
        <v>4</v>
      </c>
      <c r="H1174">
        <v>0</v>
      </c>
      <c r="I1174" t="s">
        <v>39</v>
      </c>
      <c r="J1174" t="s">
        <v>31</v>
      </c>
      <c r="K1174" t="s">
        <v>26</v>
      </c>
      <c r="L1174">
        <v>7</v>
      </c>
      <c r="M1174">
        <v>1</v>
      </c>
      <c r="N1174">
        <v>1</v>
      </c>
      <c r="O1174" t="s">
        <v>27</v>
      </c>
      <c r="P1174" t="str">
        <f>TEXT(Table1[[#This Row],[order_date]],"yyyy-mm")</f>
        <v>2025-09</v>
      </c>
      <c r="Q1174">
        <f>WEEKNUM(Table1[[#This Row],[order_date]])</f>
        <v>37</v>
      </c>
      <c r="R1174">
        <f>IF(Table1[[#This Row],[order_status]]="completed",1,0)</f>
        <v>0</v>
      </c>
    </row>
    <row r="1175" spans="1:18" x14ac:dyDescent="0.35">
      <c r="A1175">
        <v>1174</v>
      </c>
      <c r="B1175" s="1">
        <v>46013</v>
      </c>
      <c r="C1175">
        <v>1233</v>
      </c>
      <c r="D1175" t="s">
        <v>22</v>
      </c>
      <c r="E1175" t="s">
        <v>36</v>
      </c>
      <c r="F1175" t="s">
        <v>30</v>
      </c>
      <c r="G1175">
        <v>1</v>
      </c>
      <c r="H1175">
        <v>0</v>
      </c>
      <c r="I1175" t="s">
        <v>35</v>
      </c>
      <c r="J1175" t="s">
        <v>31</v>
      </c>
      <c r="K1175" t="s">
        <v>26</v>
      </c>
      <c r="L1175">
        <v>3</v>
      </c>
      <c r="M1175">
        <v>0</v>
      </c>
      <c r="N1175">
        <v>0</v>
      </c>
      <c r="O1175" t="s">
        <v>21</v>
      </c>
      <c r="P1175" t="str">
        <f>TEXT(Table1[[#This Row],[order_date]],"yyyy-mm")</f>
        <v>2025-12</v>
      </c>
      <c r="Q1175">
        <f>WEEKNUM(Table1[[#This Row],[order_date]])</f>
        <v>52</v>
      </c>
      <c r="R1175">
        <f>IF(Table1[[#This Row],[order_status]]="completed",1,0)</f>
        <v>0</v>
      </c>
    </row>
    <row r="1176" spans="1:18" x14ac:dyDescent="0.35">
      <c r="A1176">
        <v>1175</v>
      </c>
      <c r="B1176" s="1">
        <v>45935</v>
      </c>
      <c r="C1176">
        <v>1270</v>
      </c>
      <c r="D1176" t="s">
        <v>28</v>
      </c>
      <c r="E1176" t="s">
        <v>23</v>
      </c>
      <c r="F1176" t="s">
        <v>17</v>
      </c>
      <c r="G1176">
        <v>1</v>
      </c>
      <c r="H1176">
        <v>0</v>
      </c>
      <c r="I1176" t="s">
        <v>35</v>
      </c>
      <c r="J1176" t="s">
        <v>37</v>
      </c>
      <c r="K1176" t="s">
        <v>20</v>
      </c>
      <c r="L1176">
        <v>9</v>
      </c>
      <c r="M1176">
        <v>1</v>
      </c>
      <c r="N1176">
        <v>1</v>
      </c>
      <c r="O1176" t="s">
        <v>21</v>
      </c>
      <c r="P1176" t="str">
        <f>TEXT(Table1[[#This Row],[order_date]],"yyyy-mm")</f>
        <v>2025-10</v>
      </c>
      <c r="Q1176">
        <f>WEEKNUM(Table1[[#This Row],[order_date]])</f>
        <v>41</v>
      </c>
      <c r="R1176">
        <f>IF(Table1[[#This Row],[order_status]]="completed",1,0)</f>
        <v>0</v>
      </c>
    </row>
    <row r="1177" spans="1:18" x14ac:dyDescent="0.35">
      <c r="A1177">
        <v>1176</v>
      </c>
      <c r="B1177" s="1">
        <v>45966</v>
      </c>
      <c r="C1177">
        <v>1565</v>
      </c>
      <c r="D1177" t="s">
        <v>41</v>
      </c>
      <c r="E1177" t="s">
        <v>23</v>
      </c>
      <c r="F1177" t="s">
        <v>24</v>
      </c>
      <c r="G1177">
        <v>3</v>
      </c>
      <c r="H1177">
        <v>0</v>
      </c>
      <c r="I1177" t="s">
        <v>35</v>
      </c>
      <c r="J1177" t="s">
        <v>37</v>
      </c>
      <c r="K1177" t="s">
        <v>40</v>
      </c>
      <c r="L1177">
        <v>8</v>
      </c>
      <c r="M1177">
        <v>1</v>
      </c>
      <c r="N1177">
        <v>1</v>
      </c>
      <c r="O1177" t="s">
        <v>21</v>
      </c>
      <c r="P1177" t="str">
        <f>TEXT(Table1[[#This Row],[order_date]],"yyyy-mm")</f>
        <v>2025-11</v>
      </c>
      <c r="Q1177">
        <f>WEEKNUM(Table1[[#This Row],[order_date]])</f>
        <v>45</v>
      </c>
      <c r="R1177">
        <f>IF(Table1[[#This Row],[order_status]]="completed",1,0)</f>
        <v>0</v>
      </c>
    </row>
    <row r="1178" spans="1:18" x14ac:dyDescent="0.35">
      <c r="A1178">
        <v>1177</v>
      </c>
      <c r="B1178" s="1">
        <v>45869</v>
      </c>
      <c r="C1178">
        <v>1828</v>
      </c>
      <c r="D1178" t="s">
        <v>32</v>
      </c>
      <c r="E1178" t="s">
        <v>16</v>
      </c>
      <c r="F1178" t="s">
        <v>30</v>
      </c>
      <c r="G1178">
        <v>4</v>
      </c>
      <c r="H1178">
        <v>15376</v>
      </c>
      <c r="I1178" t="s">
        <v>39</v>
      </c>
      <c r="J1178" t="s">
        <v>19</v>
      </c>
      <c r="K1178" t="s">
        <v>20</v>
      </c>
      <c r="L1178">
        <v>10</v>
      </c>
      <c r="M1178">
        <v>1</v>
      </c>
      <c r="N1178">
        <v>0</v>
      </c>
      <c r="O1178" t="s">
        <v>21</v>
      </c>
      <c r="P1178" t="str">
        <f>TEXT(Table1[[#This Row],[order_date]],"yyyy-mm")</f>
        <v>2025-07</v>
      </c>
      <c r="Q1178">
        <f>WEEKNUM(Table1[[#This Row],[order_date]])</f>
        <v>31</v>
      </c>
      <c r="R1178">
        <f>IF(Table1[[#This Row],[order_status]]="completed",1,0)</f>
        <v>1</v>
      </c>
    </row>
    <row r="1179" spans="1:18" x14ac:dyDescent="0.35">
      <c r="A1179">
        <v>1178</v>
      </c>
      <c r="B1179" s="1">
        <v>45868</v>
      </c>
      <c r="C1179">
        <v>1828</v>
      </c>
      <c r="D1179" t="s">
        <v>32</v>
      </c>
      <c r="E1179" t="s">
        <v>16</v>
      </c>
      <c r="F1179" t="s">
        <v>17</v>
      </c>
      <c r="G1179">
        <v>3</v>
      </c>
      <c r="H1179">
        <v>0</v>
      </c>
      <c r="I1179" t="s">
        <v>18</v>
      </c>
      <c r="J1179" t="s">
        <v>37</v>
      </c>
      <c r="K1179" t="s">
        <v>26</v>
      </c>
      <c r="L1179">
        <v>6</v>
      </c>
      <c r="M1179">
        <v>0</v>
      </c>
      <c r="N1179">
        <v>0</v>
      </c>
      <c r="O1179" t="s">
        <v>27</v>
      </c>
      <c r="P1179" t="str">
        <f>TEXT(Table1[[#This Row],[order_date]],"yyyy-mm")</f>
        <v>2025-07</v>
      </c>
      <c r="Q1179">
        <f>WEEKNUM(Table1[[#This Row],[order_date]])</f>
        <v>31</v>
      </c>
      <c r="R1179">
        <f>IF(Table1[[#This Row],[order_status]]="completed",1,0)</f>
        <v>0</v>
      </c>
    </row>
    <row r="1180" spans="1:18" x14ac:dyDescent="0.35">
      <c r="A1180">
        <v>1179</v>
      </c>
      <c r="B1180" s="1">
        <v>45864</v>
      </c>
      <c r="C1180">
        <v>1114</v>
      </c>
      <c r="D1180" t="s">
        <v>22</v>
      </c>
      <c r="E1180" t="s">
        <v>33</v>
      </c>
      <c r="F1180" t="s">
        <v>17</v>
      </c>
      <c r="G1180">
        <v>1</v>
      </c>
      <c r="H1180">
        <v>0</v>
      </c>
      <c r="I1180" t="s">
        <v>39</v>
      </c>
      <c r="J1180" t="s">
        <v>37</v>
      </c>
      <c r="K1180" t="s">
        <v>20</v>
      </c>
      <c r="L1180">
        <v>8</v>
      </c>
      <c r="M1180">
        <v>0</v>
      </c>
      <c r="N1180">
        <v>1</v>
      </c>
      <c r="O1180" t="s">
        <v>27</v>
      </c>
      <c r="P1180" t="str">
        <f>TEXT(Table1[[#This Row],[order_date]],"yyyy-mm")</f>
        <v>2025-07</v>
      </c>
      <c r="Q1180">
        <f>WEEKNUM(Table1[[#This Row],[order_date]])</f>
        <v>30</v>
      </c>
      <c r="R1180">
        <f>IF(Table1[[#This Row],[order_status]]="completed",1,0)</f>
        <v>0</v>
      </c>
    </row>
    <row r="1181" spans="1:18" x14ac:dyDescent="0.35">
      <c r="A1181">
        <v>1180</v>
      </c>
      <c r="B1181" s="1">
        <v>45991</v>
      </c>
      <c r="C1181">
        <v>1991</v>
      </c>
      <c r="D1181" t="s">
        <v>28</v>
      </c>
      <c r="E1181" t="s">
        <v>29</v>
      </c>
      <c r="F1181" t="s">
        <v>30</v>
      </c>
      <c r="G1181">
        <v>1</v>
      </c>
      <c r="H1181">
        <v>0</v>
      </c>
      <c r="I1181" t="s">
        <v>39</v>
      </c>
      <c r="J1181" t="s">
        <v>37</v>
      </c>
      <c r="K1181" t="s">
        <v>20</v>
      </c>
      <c r="L1181">
        <v>4</v>
      </c>
      <c r="M1181">
        <v>0</v>
      </c>
      <c r="N1181">
        <v>0</v>
      </c>
      <c r="O1181" t="s">
        <v>21</v>
      </c>
      <c r="P1181" t="str">
        <f>TEXT(Table1[[#This Row],[order_date]],"yyyy-mm")</f>
        <v>2025-11</v>
      </c>
      <c r="Q1181">
        <f>WEEKNUM(Table1[[#This Row],[order_date]])</f>
        <v>49</v>
      </c>
      <c r="R1181">
        <f>IF(Table1[[#This Row],[order_status]]="completed",1,0)</f>
        <v>0</v>
      </c>
    </row>
    <row r="1182" spans="1:18" x14ac:dyDescent="0.35">
      <c r="A1182">
        <v>1181</v>
      </c>
      <c r="B1182" s="1">
        <v>45940</v>
      </c>
      <c r="C1182">
        <v>1006</v>
      </c>
      <c r="D1182" t="s">
        <v>41</v>
      </c>
      <c r="E1182" t="s">
        <v>16</v>
      </c>
      <c r="F1182" t="s">
        <v>17</v>
      </c>
      <c r="G1182">
        <v>3</v>
      </c>
      <c r="H1182">
        <v>0</v>
      </c>
      <c r="I1182" t="s">
        <v>25</v>
      </c>
      <c r="J1182" t="s">
        <v>31</v>
      </c>
      <c r="K1182" t="s">
        <v>20</v>
      </c>
      <c r="L1182">
        <v>2</v>
      </c>
      <c r="M1182">
        <v>0</v>
      </c>
      <c r="N1182">
        <v>1</v>
      </c>
      <c r="O1182" t="s">
        <v>21</v>
      </c>
      <c r="P1182" t="str">
        <f>TEXT(Table1[[#This Row],[order_date]],"yyyy-mm")</f>
        <v>2025-10</v>
      </c>
      <c r="Q1182">
        <f>WEEKNUM(Table1[[#This Row],[order_date]])</f>
        <v>41</v>
      </c>
      <c r="R1182">
        <f>IF(Table1[[#This Row],[order_status]]="completed",1,0)</f>
        <v>0</v>
      </c>
    </row>
    <row r="1183" spans="1:18" x14ac:dyDescent="0.35">
      <c r="A1183">
        <v>1182</v>
      </c>
      <c r="B1183" s="1">
        <v>46014</v>
      </c>
      <c r="C1183">
        <v>1644</v>
      </c>
      <c r="D1183" t="s">
        <v>15</v>
      </c>
      <c r="E1183" t="s">
        <v>36</v>
      </c>
      <c r="F1183" t="s">
        <v>17</v>
      </c>
      <c r="G1183">
        <v>4</v>
      </c>
      <c r="H1183">
        <v>7352</v>
      </c>
      <c r="I1183" t="s">
        <v>35</v>
      </c>
      <c r="J1183" t="s">
        <v>19</v>
      </c>
      <c r="K1183" t="s">
        <v>40</v>
      </c>
      <c r="L1183">
        <v>8</v>
      </c>
      <c r="M1183">
        <v>0</v>
      </c>
      <c r="N1183">
        <v>1</v>
      </c>
      <c r="O1183" t="s">
        <v>21</v>
      </c>
      <c r="P1183" t="str">
        <f>TEXT(Table1[[#This Row],[order_date]],"yyyy-mm")</f>
        <v>2025-12</v>
      </c>
      <c r="Q1183">
        <f>WEEKNUM(Table1[[#This Row],[order_date]])</f>
        <v>52</v>
      </c>
      <c r="R1183">
        <f>IF(Table1[[#This Row],[order_status]]="completed",1,0)</f>
        <v>1</v>
      </c>
    </row>
    <row r="1184" spans="1:18" x14ac:dyDescent="0.35">
      <c r="A1184">
        <v>1183</v>
      </c>
      <c r="B1184" s="1">
        <v>45908</v>
      </c>
      <c r="C1184">
        <v>1046</v>
      </c>
      <c r="D1184" t="s">
        <v>15</v>
      </c>
      <c r="E1184" t="s">
        <v>23</v>
      </c>
      <c r="F1184" t="s">
        <v>34</v>
      </c>
      <c r="G1184">
        <v>3</v>
      </c>
      <c r="H1184">
        <v>6267</v>
      </c>
      <c r="I1184" t="s">
        <v>35</v>
      </c>
      <c r="J1184" t="s">
        <v>19</v>
      </c>
      <c r="K1184" t="s">
        <v>26</v>
      </c>
      <c r="L1184">
        <v>3</v>
      </c>
      <c r="M1184">
        <v>0</v>
      </c>
      <c r="N1184">
        <v>0</v>
      </c>
      <c r="O1184" t="s">
        <v>27</v>
      </c>
      <c r="P1184" t="str">
        <f>TEXT(Table1[[#This Row],[order_date]],"yyyy-mm")</f>
        <v>2025-09</v>
      </c>
      <c r="Q1184">
        <f>WEEKNUM(Table1[[#This Row],[order_date]])</f>
        <v>37</v>
      </c>
      <c r="R1184">
        <f>IF(Table1[[#This Row],[order_status]]="completed",1,0)</f>
        <v>1</v>
      </c>
    </row>
    <row r="1185" spans="1:18" x14ac:dyDescent="0.35">
      <c r="A1185">
        <v>1184</v>
      </c>
      <c r="B1185" s="1">
        <v>45851</v>
      </c>
      <c r="C1185">
        <v>1544</v>
      </c>
      <c r="D1185" t="s">
        <v>22</v>
      </c>
      <c r="E1185" t="s">
        <v>23</v>
      </c>
      <c r="F1185" t="s">
        <v>17</v>
      </c>
      <c r="G1185">
        <v>1</v>
      </c>
      <c r="H1185">
        <v>3058</v>
      </c>
      <c r="I1185" t="s">
        <v>39</v>
      </c>
      <c r="J1185" t="s">
        <v>19</v>
      </c>
      <c r="K1185" t="s">
        <v>38</v>
      </c>
      <c r="L1185">
        <v>3</v>
      </c>
      <c r="M1185">
        <v>0</v>
      </c>
      <c r="N1185">
        <v>1</v>
      </c>
      <c r="O1185" t="s">
        <v>27</v>
      </c>
      <c r="P1185" t="str">
        <f>TEXT(Table1[[#This Row],[order_date]],"yyyy-mm")</f>
        <v>2025-07</v>
      </c>
      <c r="Q1185">
        <f>WEEKNUM(Table1[[#This Row],[order_date]])</f>
        <v>29</v>
      </c>
      <c r="R1185">
        <f>IF(Table1[[#This Row],[order_status]]="completed",1,0)</f>
        <v>1</v>
      </c>
    </row>
    <row r="1186" spans="1:18" x14ac:dyDescent="0.35">
      <c r="A1186">
        <v>1185</v>
      </c>
      <c r="B1186" s="1">
        <v>45919</v>
      </c>
      <c r="C1186">
        <v>1899</v>
      </c>
      <c r="D1186" t="s">
        <v>41</v>
      </c>
      <c r="E1186" t="s">
        <v>16</v>
      </c>
      <c r="F1186" t="s">
        <v>17</v>
      </c>
      <c r="G1186">
        <v>5</v>
      </c>
      <c r="H1186">
        <v>8605</v>
      </c>
      <c r="I1186" t="s">
        <v>18</v>
      </c>
      <c r="J1186" t="s">
        <v>19</v>
      </c>
      <c r="K1186" t="s">
        <v>40</v>
      </c>
      <c r="L1186">
        <v>8</v>
      </c>
      <c r="M1186">
        <v>0</v>
      </c>
      <c r="N1186">
        <v>0</v>
      </c>
      <c r="O1186" t="s">
        <v>21</v>
      </c>
      <c r="P1186" t="str">
        <f>TEXT(Table1[[#This Row],[order_date]],"yyyy-mm")</f>
        <v>2025-09</v>
      </c>
      <c r="Q1186">
        <f>WEEKNUM(Table1[[#This Row],[order_date]])</f>
        <v>38</v>
      </c>
      <c r="R1186">
        <f>IF(Table1[[#This Row],[order_status]]="completed",1,0)</f>
        <v>1</v>
      </c>
    </row>
    <row r="1187" spans="1:18" x14ac:dyDescent="0.35">
      <c r="A1187">
        <v>1186</v>
      </c>
      <c r="B1187" s="1">
        <v>45988</v>
      </c>
      <c r="C1187">
        <v>1238</v>
      </c>
      <c r="D1187" t="s">
        <v>15</v>
      </c>
      <c r="E1187" t="s">
        <v>29</v>
      </c>
      <c r="F1187" t="s">
        <v>17</v>
      </c>
      <c r="G1187">
        <v>4</v>
      </c>
      <c r="H1187">
        <v>0</v>
      </c>
      <c r="I1187" t="s">
        <v>25</v>
      </c>
      <c r="J1187" t="s">
        <v>37</v>
      </c>
      <c r="K1187" t="s">
        <v>38</v>
      </c>
      <c r="L1187">
        <v>7</v>
      </c>
      <c r="M1187">
        <v>1</v>
      </c>
      <c r="N1187">
        <v>0</v>
      </c>
      <c r="O1187" t="s">
        <v>21</v>
      </c>
      <c r="P1187" t="str">
        <f>TEXT(Table1[[#This Row],[order_date]],"yyyy-mm")</f>
        <v>2025-11</v>
      </c>
      <c r="Q1187">
        <f>WEEKNUM(Table1[[#This Row],[order_date]])</f>
        <v>48</v>
      </c>
      <c r="R1187">
        <f>IF(Table1[[#This Row],[order_status]]="completed",1,0)</f>
        <v>0</v>
      </c>
    </row>
    <row r="1188" spans="1:18" x14ac:dyDescent="0.35">
      <c r="A1188">
        <v>1187</v>
      </c>
      <c r="B1188" s="1">
        <v>45856</v>
      </c>
      <c r="C1188">
        <v>1253</v>
      </c>
      <c r="D1188" t="s">
        <v>22</v>
      </c>
      <c r="E1188" t="s">
        <v>36</v>
      </c>
      <c r="F1188" t="s">
        <v>17</v>
      </c>
      <c r="G1188">
        <v>1</v>
      </c>
      <c r="H1188">
        <v>2976</v>
      </c>
      <c r="I1188" t="s">
        <v>25</v>
      </c>
      <c r="J1188" t="s">
        <v>19</v>
      </c>
      <c r="K1188" t="s">
        <v>40</v>
      </c>
      <c r="L1188">
        <v>3</v>
      </c>
      <c r="M1188">
        <v>1</v>
      </c>
      <c r="N1188">
        <v>1</v>
      </c>
      <c r="O1188" t="s">
        <v>27</v>
      </c>
      <c r="P1188" t="str">
        <f>TEXT(Table1[[#This Row],[order_date]],"yyyy-mm")</f>
        <v>2025-07</v>
      </c>
      <c r="Q1188">
        <f>WEEKNUM(Table1[[#This Row],[order_date]])</f>
        <v>29</v>
      </c>
      <c r="R1188">
        <f>IF(Table1[[#This Row],[order_status]]="completed",1,0)</f>
        <v>1</v>
      </c>
    </row>
    <row r="1189" spans="1:18" x14ac:dyDescent="0.35">
      <c r="A1189">
        <v>1188</v>
      </c>
      <c r="B1189" s="1">
        <v>45886</v>
      </c>
      <c r="C1189">
        <v>1387</v>
      </c>
      <c r="D1189" t="s">
        <v>22</v>
      </c>
      <c r="E1189" t="s">
        <v>23</v>
      </c>
      <c r="F1189" t="s">
        <v>34</v>
      </c>
      <c r="G1189">
        <v>2</v>
      </c>
      <c r="H1189">
        <v>0</v>
      </c>
      <c r="I1189" t="s">
        <v>25</v>
      </c>
      <c r="J1189" t="s">
        <v>37</v>
      </c>
      <c r="K1189" t="s">
        <v>40</v>
      </c>
      <c r="L1189">
        <v>9</v>
      </c>
      <c r="M1189">
        <v>0</v>
      </c>
      <c r="N1189">
        <v>0</v>
      </c>
      <c r="O1189" t="s">
        <v>27</v>
      </c>
      <c r="P1189" t="str">
        <f>TEXT(Table1[[#This Row],[order_date]],"yyyy-mm")</f>
        <v>2025-08</v>
      </c>
      <c r="Q1189">
        <f>WEEKNUM(Table1[[#This Row],[order_date]])</f>
        <v>34</v>
      </c>
      <c r="R1189">
        <f>IF(Table1[[#This Row],[order_status]]="completed",1,0)</f>
        <v>0</v>
      </c>
    </row>
    <row r="1190" spans="1:18" x14ac:dyDescent="0.35">
      <c r="A1190">
        <v>1189</v>
      </c>
      <c r="B1190" s="1">
        <v>45965</v>
      </c>
      <c r="C1190">
        <v>1859</v>
      </c>
      <c r="D1190" t="s">
        <v>28</v>
      </c>
      <c r="E1190" t="s">
        <v>36</v>
      </c>
      <c r="F1190" t="s">
        <v>17</v>
      </c>
      <c r="G1190">
        <v>3</v>
      </c>
      <c r="H1190">
        <v>0</v>
      </c>
      <c r="I1190" t="s">
        <v>39</v>
      </c>
      <c r="J1190" t="s">
        <v>37</v>
      </c>
      <c r="K1190" t="s">
        <v>38</v>
      </c>
      <c r="L1190">
        <v>6</v>
      </c>
      <c r="M1190">
        <v>1</v>
      </c>
      <c r="N1190">
        <v>1</v>
      </c>
      <c r="O1190" t="s">
        <v>27</v>
      </c>
      <c r="P1190" t="str">
        <f>TEXT(Table1[[#This Row],[order_date]],"yyyy-mm")</f>
        <v>2025-11</v>
      </c>
      <c r="Q1190">
        <f>WEEKNUM(Table1[[#This Row],[order_date]])</f>
        <v>45</v>
      </c>
      <c r="R1190">
        <f>IF(Table1[[#This Row],[order_status]]="completed",1,0)</f>
        <v>0</v>
      </c>
    </row>
    <row r="1191" spans="1:18" x14ac:dyDescent="0.35">
      <c r="A1191">
        <v>1190</v>
      </c>
      <c r="B1191" s="1">
        <v>45940</v>
      </c>
      <c r="C1191">
        <v>1281</v>
      </c>
      <c r="D1191" t="s">
        <v>22</v>
      </c>
      <c r="E1191" t="s">
        <v>23</v>
      </c>
      <c r="F1191" t="s">
        <v>17</v>
      </c>
      <c r="G1191">
        <v>1</v>
      </c>
      <c r="H1191">
        <v>0</v>
      </c>
      <c r="I1191" t="s">
        <v>18</v>
      </c>
      <c r="J1191" t="s">
        <v>31</v>
      </c>
      <c r="K1191" t="s">
        <v>40</v>
      </c>
      <c r="L1191">
        <v>7</v>
      </c>
      <c r="M1191">
        <v>0</v>
      </c>
      <c r="N1191">
        <v>1</v>
      </c>
      <c r="O1191" t="s">
        <v>27</v>
      </c>
      <c r="P1191" t="str">
        <f>TEXT(Table1[[#This Row],[order_date]],"yyyy-mm")</f>
        <v>2025-10</v>
      </c>
      <c r="Q1191">
        <f>WEEKNUM(Table1[[#This Row],[order_date]])</f>
        <v>41</v>
      </c>
      <c r="R1191">
        <f>IF(Table1[[#This Row],[order_status]]="completed",1,0)</f>
        <v>0</v>
      </c>
    </row>
    <row r="1192" spans="1:18" x14ac:dyDescent="0.35">
      <c r="A1192">
        <v>1191</v>
      </c>
      <c r="B1192" s="1">
        <v>45902</v>
      </c>
      <c r="C1192">
        <v>1607</v>
      </c>
      <c r="D1192" t="s">
        <v>32</v>
      </c>
      <c r="E1192" t="s">
        <v>36</v>
      </c>
      <c r="F1192" t="s">
        <v>34</v>
      </c>
      <c r="G1192">
        <v>1</v>
      </c>
      <c r="H1192">
        <v>433</v>
      </c>
      <c r="I1192" t="s">
        <v>39</v>
      </c>
      <c r="J1192" t="s">
        <v>19</v>
      </c>
      <c r="K1192" t="s">
        <v>20</v>
      </c>
      <c r="L1192">
        <v>3</v>
      </c>
      <c r="M1192">
        <v>1</v>
      </c>
      <c r="N1192">
        <v>1</v>
      </c>
      <c r="O1192" t="s">
        <v>21</v>
      </c>
      <c r="P1192" t="str">
        <f>TEXT(Table1[[#This Row],[order_date]],"yyyy-mm")</f>
        <v>2025-09</v>
      </c>
      <c r="Q1192">
        <f>WEEKNUM(Table1[[#This Row],[order_date]])</f>
        <v>36</v>
      </c>
      <c r="R1192">
        <f>IF(Table1[[#This Row],[order_status]]="completed",1,0)</f>
        <v>1</v>
      </c>
    </row>
    <row r="1193" spans="1:18" x14ac:dyDescent="0.35">
      <c r="A1193">
        <v>1192</v>
      </c>
      <c r="B1193" s="1">
        <v>46013</v>
      </c>
      <c r="C1193">
        <v>1990</v>
      </c>
      <c r="D1193" t="s">
        <v>41</v>
      </c>
      <c r="E1193" t="s">
        <v>16</v>
      </c>
      <c r="F1193" t="s">
        <v>24</v>
      </c>
      <c r="G1193">
        <v>2</v>
      </c>
      <c r="H1193">
        <v>0</v>
      </c>
      <c r="I1193" t="s">
        <v>18</v>
      </c>
      <c r="J1193" t="s">
        <v>31</v>
      </c>
      <c r="K1193" t="s">
        <v>38</v>
      </c>
      <c r="L1193">
        <v>3</v>
      </c>
      <c r="M1193">
        <v>0</v>
      </c>
      <c r="N1193">
        <v>0</v>
      </c>
      <c r="O1193" t="s">
        <v>27</v>
      </c>
      <c r="P1193" t="str">
        <f>TEXT(Table1[[#This Row],[order_date]],"yyyy-mm")</f>
        <v>2025-12</v>
      </c>
      <c r="Q1193">
        <f>WEEKNUM(Table1[[#This Row],[order_date]])</f>
        <v>52</v>
      </c>
      <c r="R1193">
        <f>IF(Table1[[#This Row],[order_status]]="completed",1,0)</f>
        <v>0</v>
      </c>
    </row>
    <row r="1194" spans="1:18" x14ac:dyDescent="0.35">
      <c r="A1194">
        <v>1193</v>
      </c>
      <c r="B1194" s="1">
        <v>45896</v>
      </c>
      <c r="C1194">
        <v>1010</v>
      </c>
      <c r="D1194" t="s">
        <v>15</v>
      </c>
      <c r="E1194" t="s">
        <v>23</v>
      </c>
      <c r="F1194" t="s">
        <v>34</v>
      </c>
      <c r="G1194">
        <v>2</v>
      </c>
      <c r="H1194">
        <v>0</v>
      </c>
      <c r="I1194" t="s">
        <v>35</v>
      </c>
      <c r="J1194" t="s">
        <v>31</v>
      </c>
      <c r="K1194" t="s">
        <v>40</v>
      </c>
      <c r="L1194">
        <v>3</v>
      </c>
      <c r="M1194">
        <v>0</v>
      </c>
      <c r="N1194">
        <v>1</v>
      </c>
      <c r="O1194" t="s">
        <v>21</v>
      </c>
      <c r="P1194" t="str">
        <f>TEXT(Table1[[#This Row],[order_date]],"yyyy-mm")</f>
        <v>2025-08</v>
      </c>
      <c r="Q1194">
        <f>WEEKNUM(Table1[[#This Row],[order_date]])</f>
        <v>35</v>
      </c>
      <c r="R1194">
        <f>IF(Table1[[#This Row],[order_status]]="completed",1,0)</f>
        <v>0</v>
      </c>
    </row>
    <row r="1195" spans="1:18" x14ac:dyDescent="0.35">
      <c r="A1195">
        <v>1194</v>
      </c>
      <c r="B1195" s="1">
        <v>45870</v>
      </c>
      <c r="C1195">
        <v>1585</v>
      </c>
      <c r="D1195" t="s">
        <v>41</v>
      </c>
      <c r="E1195" t="s">
        <v>36</v>
      </c>
      <c r="F1195" t="s">
        <v>24</v>
      </c>
      <c r="G1195">
        <v>4</v>
      </c>
      <c r="H1195">
        <v>0</v>
      </c>
      <c r="I1195" t="s">
        <v>39</v>
      </c>
      <c r="J1195" t="s">
        <v>37</v>
      </c>
      <c r="K1195" t="s">
        <v>40</v>
      </c>
      <c r="L1195">
        <v>8</v>
      </c>
      <c r="M1195">
        <v>0</v>
      </c>
      <c r="N1195">
        <v>0</v>
      </c>
      <c r="O1195" t="s">
        <v>27</v>
      </c>
      <c r="P1195" t="str">
        <f>TEXT(Table1[[#This Row],[order_date]],"yyyy-mm")</f>
        <v>2025-08</v>
      </c>
      <c r="Q1195">
        <f>WEEKNUM(Table1[[#This Row],[order_date]])</f>
        <v>31</v>
      </c>
      <c r="R1195">
        <f>IF(Table1[[#This Row],[order_status]]="completed",1,0)</f>
        <v>0</v>
      </c>
    </row>
    <row r="1196" spans="1:18" x14ac:dyDescent="0.35">
      <c r="A1196">
        <v>1195</v>
      </c>
      <c r="B1196" s="1">
        <v>45883</v>
      </c>
      <c r="C1196">
        <v>1888</v>
      </c>
      <c r="D1196" t="s">
        <v>28</v>
      </c>
      <c r="E1196" t="s">
        <v>29</v>
      </c>
      <c r="F1196" t="s">
        <v>34</v>
      </c>
      <c r="G1196">
        <v>3</v>
      </c>
      <c r="H1196">
        <v>0</v>
      </c>
      <c r="I1196" t="s">
        <v>25</v>
      </c>
      <c r="J1196" t="s">
        <v>31</v>
      </c>
      <c r="K1196" t="s">
        <v>20</v>
      </c>
      <c r="L1196">
        <v>3</v>
      </c>
      <c r="M1196">
        <v>1</v>
      </c>
      <c r="N1196">
        <v>1</v>
      </c>
      <c r="O1196" t="s">
        <v>21</v>
      </c>
      <c r="P1196" t="str">
        <f>TEXT(Table1[[#This Row],[order_date]],"yyyy-mm")</f>
        <v>2025-08</v>
      </c>
      <c r="Q1196">
        <f>WEEKNUM(Table1[[#This Row],[order_date]])</f>
        <v>33</v>
      </c>
      <c r="R1196">
        <f>IF(Table1[[#This Row],[order_status]]="completed",1,0)</f>
        <v>0</v>
      </c>
    </row>
    <row r="1197" spans="1:18" x14ac:dyDescent="0.35">
      <c r="A1197">
        <v>1196</v>
      </c>
      <c r="B1197" s="1">
        <v>45984</v>
      </c>
      <c r="C1197">
        <v>1892</v>
      </c>
      <c r="D1197" t="s">
        <v>32</v>
      </c>
      <c r="E1197" t="s">
        <v>29</v>
      </c>
      <c r="F1197" t="s">
        <v>30</v>
      </c>
      <c r="G1197">
        <v>1</v>
      </c>
      <c r="H1197">
        <v>0</v>
      </c>
      <c r="I1197" t="s">
        <v>25</v>
      </c>
      <c r="J1197" t="s">
        <v>37</v>
      </c>
      <c r="K1197" t="s">
        <v>40</v>
      </c>
      <c r="L1197">
        <v>7</v>
      </c>
      <c r="M1197">
        <v>0</v>
      </c>
      <c r="N1197">
        <v>1</v>
      </c>
      <c r="O1197" t="s">
        <v>27</v>
      </c>
      <c r="P1197" t="str">
        <f>TEXT(Table1[[#This Row],[order_date]],"yyyy-mm")</f>
        <v>2025-11</v>
      </c>
      <c r="Q1197">
        <f>WEEKNUM(Table1[[#This Row],[order_date]])</f>
        <v>48</v>
      </c>
      <c r="R1197">
        <f>IF(Table1[[#This Row],[order_status]]="completed",1,0)</f>
        <v>0</v>
      </c>
    </row>
    <row r="1198" spans="1:18" x14ac:dyDescent="0.35">
      <c r="A1198">
        <v>1197</v>
      </c>
      <c r="B1198" s="1">
        <v>46026</v>
      </c>
      <c r="C1198">
        <v>1886</v>
      </c>
      <c r="D1198" t="s">
        <v>28</v>
      </c>
      <c r="E1198" t="s">
        <v>36</v>
      </c>
      <c r="F1198" t="s">
        <v>34</v>
      </c>
      <c r="G1198">
        <v>2</v>
      </c>
      <c r="H1198">
        <v>0</v>
      </c>
      <c r="I1198" t="s">
        <v>25</v>
      </c>
      <c r="J1198" t="s">
        <v>31</v>
      </c>
      <c r="K1198" t="s">
        <v>26</v>
      </c>
      <c r="L1198">
        <v>5</v>
      </c>
      <c r="M1198">
        <v>1</v>
      </c>
      <c r="N1198">
        <v>1</v>
      </c>
      <c r="O1198" t="s">
        <v>21</v>
      </c>
      <c r="P1198" t="str">
        <f>TEXT(Table1[[#This Row],[order_date]],"yyyy-mm")</f>
        <v>2026-01</v>
      </c>
      <c r="Q1198">
        <f>WEEKNUM(Table1[[#This Row],[order_date]])</f>
        <v>2</v>
      </c>
      <c r="R1198">
        <f>IF(Table1[[#This Row],[order_status]]="completed",1,0)</f>
        <v>0</v>
      </c>
    </row>
    <row r="1199" spans="1:18" x14ac:dyDescent="0.35">
      <c r="A1199">
        <v>1198</v>
      </c>
      <c r="B1199" s="1">
        <v>46019</v>
      </c>
      <c r="C1199">
        <v>1862</v>
      </c>
      <c r="D1199" t="s">
        <v>32</v>
      </c>
      <c r="E1199" t="s">
        <v>33</v>
      </c>
      <c r="F1199" t="s">
        <v>24</v>
      </c>
      <c r="G1199">
        <v>4</v>
      </c>
      <c r="H1199">
        <v>19080</v>
      </c>
      <c r="I1199" t="s">
        <v>18</v>
      </c>
      <c r="J1199" t="s">
        <v>19</v>
      </c>
      <c r="K1199" t="s">
        <v>26</v>
      </c>
      <c r="L1199">
        <v>10</v>
      </c>
      <c r="M1199">
        <v>0</v>
      </c>
      <c r="N1199">
        <v>1</v>
      </c>
      <c r="O1199" t="s">
        <v>21</v>
      </c>
      <c r="P1199" t="str">
        <f>TEXT(Table1[[#This Row],[order_date]],"yyyy-mm")</f>
        <v>2025-12</v>
      </c>
      <c r="Q1199">
        <f>WEEKNUM(Table1[[#This Row],[order_date]])</f>
        <v>53</v>
      </c>
      <c r="R1199">
        <f>IF(Table1[[#This Row],[order_status]]="completed",1,0)</f>
        <v>1</v>
      </c>
    </row>
    <row r="1200" spans="1:18" x14ac:dyDescent="0.35">
      <c r="A1200">
        <v>1199</v>
      </c>
      <c r="B1200" s="1">
        <v>45972</v>
      </c>
      <c r="C1200">
        <v>1752</v>
      </c>
      <c r="D1200" t="s">
        <v>15</v>
      </c>
      <c r="E1200" t="s">
        <v>33</v>
      </c>
      <c r="F1200" t="s">
        <v>24</v>
      </c>
      <c r="G1200">
        <v>3</v>
      </c>
      <c r="H1200">
        <v>12732</v>
      </c>
      <c r="I1200" t="s">
        <v>35</v>
      </c>
      <c r="J1200" t="s">
        <v>19</v>
      </c>
      <c r="K1200" t="s">
        <v>40</v>
      </c>
      <c r="L1200">
        <v>10</v>
      </c>
      <c r="M1200">
        <v>0</v>
      </c>
      <c r="N1200">
        <v>1</v>
      </c>
      <c r="O1200" t="s">
        <v>21</v>
      </c>
      <c r="P1200" t="str">
        <f>TEXT(Table1[[#This Row],[order_date]],"yyyy-mm")</f>
        <v>2025-11</v>
      </c>
      <c r="Q1200">
        <f>WEEKNUM(Table1[[#This Row],[order_date]])</f>
        <v>46</v>
      </c>
      <c r="R1200">
        <f>IF(Table1[[#This Row],[order_status]]="completed",1,0)</f>
        <v>1</v>
      </c>
    </row>
    <row r="1201" spans="1:18" x14ac:dyDescent="0.35">
      <c r="A1201">
        <v>1200</v>
      </c>
      <c r="B1201" s="1">
        <v>45908</v>
      </c>
      <c r="C1201">
        <v>1575</v>
      </c>
      <c r="D1201" t="s">
        <v>28</v>
      </c>
      <c r="E1201" t="s">
        <v>29</v>
      </c>
      <c r="F1201" t="s">
        <v>24</v>
      </c>
      <c r="G1201">
        <v>5</v>
      </c>
      <c r="H1201">
        <v>0</v>
      </c>
      <c r="I1201" t="s">
        <v>39</v>
      </c>
      <c r="J1201" t="s">
        <v>31</v>
      </c>
      <c r="K1201" t="s">
        <v>40</v>
      </c>
      <c r="L1201">
        <v>6</v>
      </c>
      <c r="M1201">
        <v>0</v>
      </c>
      <c r="N1201">
        <v>0</v>
      </c>
      <c r="O1201" t="s">
        <v>21</v>
      </c>
      <c r="P1201" t="str">
        <f>TEXT(Table1[[#This Row],[order_date]],"yyyy-mm")</f>
        <v>2025-09</v>
      </c>
      <c r="Q1201">
        <f>WEEKNUM(Table1[[#This Row],[order_date]])</f>
        <v>37</v>
      </c>
      <c r="R1201">
        <f>IF(Table1[[#This Row],[order_status]]="completed",1,0)</f>
        <v>0</v>
      </c>
    </row>
    <row r="1202" spans="1:18" x14ac:dyDescent="0.35">
      <c r="A1202">
        <v>1201</v>
      </c>
      <c r="B1202" s="1">
        <v>45990</v>
      </c>
      <c r="C1202">
        <v>1006</v>
      </c>
      <c r="D1202" t="s">
        <v>28</v>
      </c>
      <c r="E1202" t="s">
        <v>36</v>
      </c>
      <c r="F1202" t="s">
        <v>17</v>
      </c>
      <c r="G1202">
        <v>3</v>
      </c>
      <c r="H1202">
        <v>0</v>
      </c>
      <c r="I1202" t="s">
        <v>25</v>
      </c>
      <c r="J1202" t="s">
        <v>31</v>
      </c>
      <c r="K1202" t="s">
        <v>40</v>
      </c>
      <c r="L1202">
        <v>1</v>
      </c>
      <c r="M1202">
        <v>1</v>
      </c>
      <c r="N1202">
        <v>1</v>
      </c>
      <c r="O1202" t="s">
        <v>21</v>
      </c>
      <c r="P1202" t="str">
        <f>TEXT(Table1[[#This Row],[order_date]],"yyyy-mm")</f>
        <v>2025-11</v>
      </c>
      <c r="Q1202">
        <f>WEEKNUM(Table1[[#This Row],[order_date]])</f>
        <v>48</v>
      </c>
      <c r="R1202">
        <f>IF(Table1[[#This Row],[order_status]]="completed",1,0)</f>
        <v>0</v>
      </c>
    </row>
    <row r="1203" spans="1:18" x14ac:dyDescent="0.35">
      <c r="A1203">
        <v>1202</v>
      </c>
      <c r="B1203" s="1">
        <v>45980</v>
      </c>
      <c r="C1203">
        <v>1774</v>
      </c>
      <c r="D1203" t="s">
        <v>41</v>
      </c>
      <c r="E1203" t="s">
        <v>33</v>
      </c>
      <c r="F1203" t="s">
        <v>24</v>
      </c>
      <c r="G1203">
        <v>2</v>
      </c>
      <c r="H1203">
        <v>0</v>
      </c>
      <c r="I1203" t="s">
        <v>35</v>
      </c>
      <c r="J1203" t="s">
        <v>37</v>
      </c>
      <c r="K1203" t="s">
        <v>38</v>
      </c>
      <c r="L1203">
        <v>3</v>
      </c>
      <c r="M1203">
        <v>1</v>
      </c>
      <c r="N1203">
        <v>1</v>
      </c>
      <c r="O1203" t="s">
        <v>21</v>
      </c>
      <c r="P1203" t="str">
        <f>TEXT(Table1[[#This Row],[order_date]],"yyyy-mm")</f>
        <v>2025-11</v>
      </c>
      <c r="Q1203">
        <f>WEEKNUM(Table1[[#This Row],[order_date]])</f>
        <v>47</v>
      </c>
      <c r="R1203">
        <f>IF(Table1[[#This Row],[order_status]]="completed",1,0)</f>
        <v>0</v>
      </c>
    </row>
    <row r="1204" spans="1:18" x14ac:dyDescent="0.35">
      <c r="A1204">
        <v>1203</v>
      </c>
      <c r="B1204" s="1">
        <v>45887</v>
      </c>
      <c r="C1204">
        <v>1315</v>
      </c>
      <c r="D1204" t="s">
        <v>41</v>
      </c>
      <c r="E1204" t="s">
        <v>36</v>
      </c>
      <c r="F1204" t="s">
        <v>24</v>
      </c>
      <c r="G1204">
        <v>1</v>
      </c>
      <c r="H1204">
        <v>0</v>
      </c>
      <c r="I1204" t="s">
        <v>18</v>
      </c>
      <c r="J1204" t="s">
        <v>31</v>
      </c>
      <c r="K1204" t="s">
        <v>38</v>
      </c>
      <c r="L1204">
        <v>6</v>
      </c>
      <c r="M1204">
        <v>1</v>
      </c>
      <c r="N1204">
        <v>1</v>
      </c>
      <c r="O1204" t="s">
        <v>27</v>
      </c>
      <c r="P1204" t="str">
        <f>TEXT(Table1[[#This Row],[order_date]],"yyyy-mm")</f>
        <v>2025-08</v>
      </c>
      <c r="Q1204">
        <f>WEEKNUM(Table1[[#This Row],[order_date]])</f>
        <v>34</v>
      </c>
      <c r="R1204">
        <f>IF(Table1[[#This Row],[order_status]]="completed",1,0)</f>
        <v>0</v>
      </c>
    </row>
    <row r="1205" spans="1:18" x14ac:dyDescent="0.35">
      <c r="A1205">
        <v>1204</v>
      </c>
      <c r="B1205" s="1">
        <v>45996</v>
      </c>
      <c r="C1205">
        <v>1561</v>
      </c>
      <c r="D1205" t="s">
        <v>41</v>
      </c>
      <c r="E1205" t="s">
        <v>36</v>
      </c>
      <c r="F1205" t="s">
        <v>17</v>
      </c>
      <c r="G1205">
        <v>3</v>
      </c>
      <c r="H1205">
        <v>0</v>
      </c>
      <c r="I1205" t="s">
        <v>25</v>
      </c>
      <c r="J1205" t="s">
        <v>31</v>
      </c>
      <c r="K1205" t="s">
        <v>26</v>
      </c>
      <c r="L1205">
        <v>1</v>
      </c>
      <c r="M1205">
        <v>0</v>
      </c>
      <c r="N1205">
        <v>0</v>
      </c>
      <c r="O1205" t="s">
        <v>27</v>
      </c>
      <c r="P1205" t="str">
        <f>TEXT(Table1[[#This Row],[order_date]],"yyyy-mm")</f>
        <v>2025-12</v>
      </c>
      <c r="Q1205">
        <f>WEEKNUM(Table1[[#This Row],[order_date]])</f>
        <v>49</v>
      </c>
      <c r="R1205">
        <f>IF(Table1[[#This Row],[order_status]]="completed",1,0)</f>
        <v>0</v>
      </c>
    </row>
    <row r="1206" spans="1:18" x14ac:dyDescent="0.35">
      <c r="A1206">
        <v>1205</v>
      </c>
      <c r="B1206" s="1">
        <v>45948</v>
      </c>
      <c r="C1206">
        <v>1307</v>
      </c>
      <c r="D1206" t="s">
        <v>22</v>
      </c>
      <c r="E1206" t="s">
        <v>36</v>
      </c>
      <c r="F1206" t="s">
        <v>30</v>
      </c>
      <c r="G1206">
        <v>5</v>
      </c>
      <c r="H1206">
        <v>23185</v>
      </c>
      <c r="I1206" t="s">
        <v>39</v>
      </c>
      <c r="J1206" t="s">
        <v>19</v>
      </c>
      <c r="K1206" t="s">
        <v>40</v>
      </c>
      <c r="L1206">
        <v>4</v>
      </c>
      <c r="M1206">
        <v>0</v>
      </c>
      <c r="N1206">
        <v>0</v>
      </c>
      <c r="O1206" t="s">
        <v>21</v>
      </c>
      <c r="P1206" t="str">
        <f>TEXT(Table1[[#This Row],[order_date]],"yyyy-mm")</f>
        <v>2025-10</v>
      </c>
      <c r="Q1206">
        <f>WEEKNUM(Table1[[#This Row],[order_date]])</f>
        <v>42</v>
      </c>
      <c r="R1206">
        <f>IF(Table1[[#This Row],[order_status]]="completed",1,0)</f>
        <v>1</v>
      </c>
    </row>
    <row r="1207" spans="1:18" x14ac:dyDescent="0.35">
      <c r="A1207">
        <v>1206</v>
      </c>
      <c r="B1207" s="1">
        <v>45956</v>
      </c>
      <c r="C1207">
        <v>1822</v>
      </c>
      <c r="D1207" t="s">
        <v>41</v>
      </c>
      <c r="E1207" t="s">
        <v>29</v>
      </c>
      <c r="F1207" t="s">
        <v>30</v>
      </c>
      <c r="G1207">
        <v>1</v>
      </c>
      <c r="H1207">
        <v>0</v>
      </c>
      <c r="I1207" t="s">
        <v>35</v>
      </c>
      <c r="J1207" t="s">
        <v>37</v>
      </c>
      <c r="K1207" t="s">
        <v>40</v>
      </c>
      <c r="L1207">
        <v>2</v>
      </c>
      <c r="M1207">
        <v>1</v>
      </c>
      <c r="N1207">
        <v>0</v>
      </c>
      <c r="O1207" t="s">
        <v>27</v>
      </c>
      <c r="P1207" t="str">
        <f>TEXT(Table1[[#This Row],[order_date]],"yyyy-mm")</f>
        <v>2025-10</v>
      </c>
      <c r="Q1207">
        <f>WEEKNUM(Table1[[#This Row],[order_date]])</f>
        <v>44</v>
      </c>
      <c r="R1207">
        <f>IF(Table1[[#This Row],[order_status]]="completed",1,0)</f>
        <v>0</v>
      </c>
    </row>
    <row r="1208" spans="1:18" x14ac:dyDescent="0.35">
      <c r="A1208">
        <v>1207</v>
      </c>
      <c r="B1208" s="1">
        <v>45922</v>
      </c>
      <c r="C1208">
        <v>1893</v>
      </c>
      <c r="D1208" t="s">
        <v>22</v>
      </c>
      <c r="E1208" t="s">
        <v>36</v>
      </c>
      <c r="F1208" t="s">
        <v>34</v>
      </c>
      <c r="G1208">
        <v>5</v>
      </c>
      <c r="H1208">
        <v>0</v>
      </c>
      <c r="I1208" t="s">
        <v>25</v>
      </c>
      <c r="J1208" t="s">
        <v>31</v>
      </c>
      <c r="K1208" t="s">
        <v>20</v>
      </c>
      <c r="L1208">
        <v>8</v>
      </c>
      <c r="M1208">
        <v>1</v>
      </c>
      <c r="N1208">
        <v>0</v>
      </c>
      <c r="O1208" t="s">
        <v>27</v>
      </c>
      <c r="P1208" t="str">
        <f>TEXT(Table1[[#This Row],[order_date]],"yyyy-mm")</f>
        <v>2025-09</v>
      </c>
      <c r="Q1208">
        <f>WEEKNUM(Table1[[#This Row],[order_date]])</f>
        <v>39</v>
      </c>
      <c r="R1208">
        <f>IF(Table1[[#This Row],[order_status]]="completed",1,0)</f>
        <v>0</v>
      </c>
    </row>
    <row r="1209" spans="1:18" x14ac:dyDescent="0.35">
      <c r="A1209">
        <v>1208</v>
      </c>
      <c r="B1209" s="1">
        <v>45940</v>
      </c>
      <c r="C1209">
        <v>1780</v>
      </c>
      <c r="D1209" t="s">
        <v>32</v>
      </c>
      <c r="E1209" t="s">
        <v>23</v>
      </c>
      <c r="F1209" t="s">
        <v>24</v>
      </c>
      <c r="G1209">
        <v>1</v>
      </c>
      <c r="H1209">
        <v>0</v>
      </c>
      <c r="I1209" t="s">
        <v>25</v>
      </c>
      <c r="J1209" t="s">
        <v>31</v>
      </c>
      <c r="K1209" t="s">
        <v>40</v>
      </c>
      <c r="L1209">
        <v>3</v>
      </c>
      <c r="M1209">
        <v>1</v>
      </c>
      <c r="N1209">
        <v>0</v>
      </c>
      <c r="O1209" t="s">
        <v>27</v>
      </c>
      <c r="P1209" t="str">
        <f>TEXT(Table1[[#This Row],[order_date]],"yyyy-mm")</f>
        <v>2025-10</v>
      </c>
      <c r="Q1209">
        <f>WEEKNUM(Table1[[#This Row],[order_date]])</f>
        <v>41</v>
      </c>
      <c r="R1209">
        <f>IF(Table1[[#This Row],[order_status]]="completed",1,0)</f>
        <v>0</v>
      </c>
    </row>
    <row r="1210" spans="1:18" x14ac:dyDescent="0.35">
      <c r="A1210">
        <v>1209</v>
      </c>
      <c r="B1210" s="1">
        <v>45984</v>
      </c>
      <c r="C1210">
        <v>1178</v>
      </c>
      <c r="D1210" t="s">
        <v>32</v>
      </c>
      <c r="E1210" t="s">
        <v>16</v>
      </c>
      <c r="F1210" t="s">
        <v>30</v>
      </c>
      <c r="G1210">
        <v>3</v>
      </c>
      <c r="H1210">
        <v>0</v>
      </c>
      <c r="I1210" t="s">
        <v>25</v>
      </c>
      <c r="J1210" t="s">
        <v>37</v>
      </c>
      <c r="K1210" t="s">
        <v>38</v>
      </c>
      <c r="L1210">
        <v>10</v>
      </c>
      <c r="M1210">
        <v>0</v>
      </c>
      <c r="N1210">
        <v>0</v>
      </c>
      <c r="O1210" t="s">
        <v>21</v>
      </c>
      <c r="P1210" t="str">
        <f>TEXT(Table1[[#This Row],[order_date]],"yyyy-mm")</f>
        <v>2025-11</v>
      </c>
      <c r="Q1210">
        <f>WEEKNUM(Table1[[#This Row],[order_date]])</f>
        <v>48</v>
      </c>
      <c r="R1210">
        <f>IF(Table1[[#This Row],[order_status]]="completed",1,0)</f>
        <v>0</v>
      </c>
    </row>
    <row r="1211" spans="1:18" x14ac:dyDescent="0.35">
      <c r="A1211">
        <v>1210</v>
      </c>
      <c r="B1211" s="1">
        <v>45945</v>
      </c>
      <c r="C1211">
        <v>1512</v>
      </c>
      <c r="D1211" t="s">
        <v>15</v>
      </c>
      <c r="E1211" t="s">
        <v>36</v>
      </c>
      <c r="F1211" t="s">
        <v>17</v>
      </c>
      <c r="G1211">
        <v>1</v>
      </c>
      <c r="H1211">
        <v>0</v>
      </c>
      <c r="I1211" t="s">
        <v>39</v>
      </c>
      <c r="J1211" t="s">
        <v>37</v>
      </c>
      <c r="K1211" t="s">
        <v>40</v>
      </c>
      <c r="L1211">
        <v>1</v>
      </c>
      <c r="M1211">
        <v>0</v>
      </c>
      <c r="N1211">
        <v>0</v>
      </c>
      <c r="O1211" t="s">
        <v>21</v>
      </c>
      <c r="P1211" t="str">
        <f>TEXT(Table1[[#This Row],[order_date]],"yyyy-mm")</f>
        <v>2025-10</v>
      </c>
      <c r="Q1211">
        <f>WEEKNUM(Table1[[#This Row],[order_date]])</f>
        <v>42</v>
      </c>
      <c r="R1211">
        <f>IF(Table1[[#This Row],[order_status]]="completed",1,0)</f>
        <v>0</v>
      </c>
    </row>
    <row r="1212" spans="1:18" x14ac:dyDescent="0.35">
      <c r="A1212">
        <v>1211</v>
      </c>
      <c r="B1212" s="1">
        <v>45863</v>
      </c>
      <c r="C1212">
        <v>1366</v>
      </c>
      <c r="D1212" t="s">
        <v>41</v>
      </c>
      <c r="E1212" t="s">
        <v>29</v>
      </c>
      <c r="F1212" t="s">
        <v>30</v>
      </c>
      <c r="G1212">
        <v>3</v>
      </c>
      <c r="H1212">
        <v>0</v>
      </c>
      <c r="I1212" t="s">
        <v>18</v>
      </c>
      <c r="J1212" t="s">
        <v>31</v>
      </c>
      <c r="K1212" t="s">
        <v>38</v>
      </c>
      <c r="L1212">
        <v>4</v>
      </c>
      <c r="M1212">
        <v>0</v>
      </c>
      <c r="N1212">
        <v>0</v>
      </c>
      <c r="O1212" t="s">
        <v>21</v>
      </c>
      <c r="P1212" t="str">
        <f>TEXT(Table1[[#This Row],[order_date]],"yyyy-mm")</f>
        <v>2025-07</v>
      </c>
      <c r="Q1212">
        <f>WEEKNUM(Table1[[#This Row],[order_date]])</f>
        <v>30</v>
      </c>
      <c r="R1212">
        <f>IF(Table1[[#This Row],[order_status]]="completed",1,0)</f>
        <v>0</v>
      </c>
    </row>
    <row r="1213" spans="1:18" x14ac:dyDescent="0.35">
      <c r="A1213">
        <v>1212</v>
      </c>
      <c r="B1213" s="1">
        <v>45993</v>
      </c>
      <c r="C1213">
        <v>1763</v>
      </c>
      <c r="D1213" t="s">
        <v>28</v>
      </c>
      <c r="E1213" t="s">
        <v>33</v>
      </c>
      <c r="F1213" t="s">
        <v>34</v>
      </c>
      <c r="G1213">
        <v>2</v>
      </c>
      <c r="H1213">
        <v>0</v>
      </c>
      <c r="I1213" t="s">
        <v>35</v>
      </c>
      <c r="J1213" t="s">
        <v>37</v>
      </c>
      <c r="K1213" t="s">
        <v>26</v>
      </c>
      <c r="L1213">
        <v>7</v>
      </c>
      <c r="M1213">
        <v>0</v>
      </c>
      <c r="N1213">
        <v>1</v>
      </c>
      <c r="O1213" t="s">
        <v>21</v>
      </c>
      <c r="P1213" t="str">
        <f>TEXT(Table1[[#This Row],[order_date]],"yyyy-mm")</f>
        <v>2025-12</v>
      </c>
      <c r="Q1213">
        <f>WEEKNUM(Table1[[#This Row],[order_date]])</f>
        <v>49</v>
      </c>
      <c r="R1213">
        <f>IF(Table1[[#This Row],[order_status]]="completed",1,0)</f>
        <v>0</v>
      </c>
    </row>
    <row r="1214" spans="1:18" x14ac:dyDescent="0.35">
      <c r="A1214">
        <v>1213</v>
      </c>
      <c r="B1214" s="1">
        <v>45897</v>
      </c>
      <c r="C1214">
        <v>1636</v>
      </c>
      <c r="D1214" t="s">
        <v>32</v>
      </c>
      <c r="E1214" t="s">
        <v>29</v>
      </c>
      <c r="F1214" t="s">
        <v>34</v>
      </c>
      <c r="G1214">
        <v>5</v>
      </c>
      <c r="H1214">
        <v>0</v>
      </c>
      <c r="I1214" t="s">
        <v>39</v>
      </c>
      <c r="J1214" t="s">
        <v>37</v>
      </c>
      <c r="K1214" t="s">
        <v>40</v>
      </c>
      <c r="L1214">
        <v>4</v>
      </c>
      <c r="M1214">
        <v>0</v>
      </c>
      <c r="N1214">
        <v>1</v>
      </c>
      <c r="O1214" t="s">
        <v>21</v>
      </c>
      <c r="P1214" t="str">
        <f>TEXT(Table1[[#This Row],[order_date]],"yyyy-mm")</f>
        <v>2025-08</v>
      </c>
      <c r="Q1214">
        <f>WEEKNUM(Table1[[#This Row],[order_date]])</f>
        <v>35</v>
      </c>
      <c r="R1214">
        <f>IF(Table1[[#This Row],[order_status]]="completed",1,0)</f>
        <v>0</v>
      </c>
    </row>
    <row r="1215" spans="1:18" x14ac:dyDescent="0.35">
      <c r="A1215">
        <v>1214</v>
      </c>
      <c r="B1215" s="1">
        <v>45983</v>
      </c>
      <c r="C1215">
        <v>1291</v>
      </c>
      <c r="D1215" t="s">
        <v>22</v>
      </c>
      <c r="E1215" t="s">
        <v>29</v>
      </c>
      <c r="F1215" t="s">
        <v>34</v>
      </c>
      <c r="G1215">
        <v>2</v>
      </c>
      <c r="H1215">
        <v>0</v>
      </c>
      <c r="I1215" t="s">
        <v>25</v>
      </c>
      <c r="J1215" t="s">
        <v>37</v>
      </c>
      <c r="K1215" t="s">
        <v>20</v>
      </c>
      <c r="L1215">
        <v>7</v>
      </c>
      <c r="M1215">
        <v>1</v>
      </c>
      <c r="N1215">
        <v>1</v>
      </c>
      <c r="O1215" t="s">
        <v>27</v>
      </c>
      <c r="P1215" t="str">
        <f>TEXT(Table1[[#This Row],[order_date]],"yyyy-mm")</f>
        <v>2025-11</v>
      </c>
      <c r="Q1215">
        <f>WEEKNUM(Table1[[#This Row],[order_date]])</f>
        <v>47</v>
      </c>
      <c r="R1215">
        <f>IF(Table1[[#This Row],[order_status]]="completed",1,0)</f>
        <v>0</v>
      </c>
    </row>
    <row r="1216" spans="1:18" x14ac:dyDescent="0.35">
      <c r="A1216">
        <v>1215</v>
      </c>
      <c r="B1216" s="1">
        <v>45968</v>
      </c>
      <c r="C1216">
        <v>1830</v>
      </c>
      <c r="D1216" t="s">
        <v>32</v>
      </c>
      <c r="E1216" t="s">
        <v>16</v>
      </c>
      <c r="F1216" t="s">
        <v>30</v>
      </c>
      <c r="G1216">
        <v>3</v>
      </c>
      <c r="H1216">
        <v>14649</v>
      </c>
      <c r="I1216" t="s">
        <v>25</v>
      </c>
      <c r="J1216" t="s">
        <v>19</v>
      </c>
      <c r="K1216" t="s">
        <v>26</v>
      </c>
      <c r="L1216">
        <v>9</v>
      </c>
      <c r="M1216">
        <v>0</v>
      </c>
      <c r="N1216">
        <v>0</v>
      </c>
      <c r="O1216" t="s">
        <v>27</v>
      </c>
      <c r="P1216" t="str">
        <f>TEXT(Table1[[#This Row],[order_date]],"yyyy-mm")</f>
        <v>2025-11</v>
      </c>
      <c r="Q1216">
        <f>WEEKNUM(Table1[[#This Row],[order_date]])</f>
        <v>45</v>
      </c>
      <c r="R1216">
        <f>IF(Table1[[#This Row],[order_status]]="completed",1,0)</f>
        <v>1</v>
      </c>
    </row>
    <row r="1217" spans="1:18" x14ac:dyDescent="0.35">
      <c r="A1217">
        <v>1216</v>
      </c>
      <c r="B1217" s="1">
        <v>45854</v>
      </c>
      <c r="C1217">
        <v>1243</v>
      </c>
      <c r="D1217" t="s">
        <v>28</v>
      </c>
      <c r="E1217" t="s">
        <v>36</v>
      </c>
      <c r="F1217" t="s">
        <v>24</v>
      </c>
      <c r="G1217">
        <v>2</v>
      </c>
      <c r="H1217">
        <v>0</v>
      </c>
      <c r="I1217" t="s">
        <v>39</v>
      </c>
      <c r="J1217" t="s">
        <v>37</v>
      </c>
      <c r="K1217" t="s">
        <v>38</v>
      </c>
      <c r="L1217">
        <v>5</v>
      </c>
      <c r="M1217">
        <v>0</v>
      </c>
      <c r="N1217">
        <v>0</v>
      </c>
      <c r="O1217" t="s">
        <v>27</v>
      </c>
      <c r="P1217" t="str">
        <f>TEXT(Table1[[#This Row],[order_date]],"yyyy-mm")</f>
        <v>2025-07</v>
      </c>
      <c r="Q1217">
        <f>WEEKNUM(Table1[[#This Row],[order_date]])</f>
        <v>29</v>
      </c>
      <c r="R1217">
        <f>IF(Table1[[#This Row],[order_status]]="completed",1,0)</f>
        <v>0</v>
      </c>
    </row>
    <row r="1218" spans="1:18" x14ac:dyDescent="0.35">
      <c r="A1218">
        <v>1217</v>
      </c>
      <c r="B1218" s="1">
        <v>45945</v>
      </c>
      <c r="C1218">
        <v>1649</v>
      </c>
      <c r="D1218" t="s">
        <v>32</v>
      </c>
      <c r="E1218" t="s">
        <v>23</v>
      </c>
      <c r="F1218" t="s">
        <v>30</v>
      </c>
      <c r="G1218">
        <v>2</v>
      </c>
      <c r="H1218">
        <v>0</v>
      </c>
      <c r="I1218" t="s">
        <v>35</v>
      </c>
      <c r="J1218" t="s">
        <v>31</v>
      </c>
      <c r="K1218" t="s">
        <v>38</v>
      </c>
      <c r="L1218">
        <v>5</v>
      </c>
      <c r="M1218">
        <v>0</v>
      </c>
      <c r="N1218">
        <v>0</v>
      </c>
      <c r="O1218" t="s">
        <v>27</v>
      </c>
      <c r="P1218" t="str">
        <f>TEXT(Table1[[#This Row],[order_date]],"yyyy-mm")</f>
        <v>2025-10</v>
      </c>
      <c r="Q1218">
        <f>WEEKNUM(Table1[[#This Row],[order_date]])</f>
        <v>42</v>
      </c>
      <c r="R1218">
        <f>IF(Table1[[#This Row],[order_status]]="completed",1,0)</f>
        <v>0</v>
      </c>
    </row>
    <row r="1219" spans="1:18" x14ac:dyDescent="0.35">
      <c r="A1219">
        <v>1218</v>
      </c>
      <c r="B1219" s="1">
        <v>45943</v>
      </c>
      <c r="C1219">
        <v>1704</v>
      </c>
      <c r="D1219" t="s">
        <v>32</v>
      </c>
      <c r="E1219" t="s">
        <v>29</v>
      </c>
      <c r="F1219" t="s">
        <v>24</v>
      </c>
      <c r="G1219">
        <v>3</v>
      </c>
      <c r="H1219">
        <v>6570</v>
      </c>
      <c r="I1219" t="s">
        <v>25</v>
      </c>
      <c r="J1219" t="s">
        <v>19</v>
      </c>
      <c r="K1219" t="s">
        <v>20</v>
      </c>
      <c r="L1219">
        <v>2</v>
      </c>
      <c r="M1219">
        <v>0</v>
      </c>
      <c r="N1219">
        <v>1</v>
      </c>
      <c r="O1219" t="s">
        <v>21</v>
      </c>
      <c r="P1219" t="str">
        <f>TEXT(Table1[[#This Row],[order_date]],"yyyy-mm")</f>
        <v>2025-10</v>
      </c>
      <c r="Q1219">
        <f>WEEKNUM(Table1[[#This Row],[order_date]])</f>
        <v>42</v>
      </c>
      <c r="R1219">
        <f>IF(Table1[[#This Row],[order_status]]="completed",1,0)</f>
        <v>1</v>
      </c>
    </row>
    <row r="1220" spans="1:18" x14ac:dyDescent="0.35">
      <c r="A1220">
        <v>1219</v>
      </c>
      <c r="B1220" s="1">
        <v>46011</v>
      </c>
      <c r="C1220">
        <v>1480</v>
      </c>
      <c r="D1220" t="s">
        <v>22</v>
      </c>
      <c r="E1220" t="s">
        <v>29</v>
      </c>
      <c r="F1220" t="s">
        <v>30</v>
      </c>
      <c r="G1220">
        <v>5</v>
      </c>
      <c r="H1220">
        <v>0</v>
      </c>
      <c r="I1220" t="s">
        <v>18</v>
      </c>
      <c r="J1220" t="s">
        <v>31</v>
      </c>
      <c r="K1220" t="s">
        <v>20</v>
      </c>
      <c r="L1220">
        <v>3</v>
      </c>
      <c r="M1220">
        <v>0</v>
      </c>
      <c r="N1220">
        <v>1</v>
      </c>
      <c r="O1220" t="s">
        <v>21</v>
      </c>
      <c r="P1220" t="str">
        <f>TEXT(Table1[[#This Row],[order_date]],"yyyy-mm")</f>
        <v>2025-12</v>
      </c>
      <c r="Q1220">
        <f>WEEKNUM(Table1[[#This Row],[order_date]])</f>
        <v>51</v>
      </c>
      <c r="R1220">
        <f>IF(Table1[[#This Row],[order_status]]="completed",1,0)</f>
        <v>0</v>
      </c>
    </row>
    <row r="1221" spans="1:18" x14ac:dyDescent="0.35">
      <c r="A1221">
        <v>1220</v>
      </c>
      <c r="B1221" s="1">
        <v>45970</v>
      </c>
      <c r="C1221">
        <v>1808</v>
      </c>
      <c r="D1221" t="s">
        <v>41</v>
      </c>
      <c r="E1221" t="s">
        <v>33</v>
      </c>
      <c r="F1221" t="s">
        <v>24</v>
      </c>
      <c r="G1221">
        <v>4</v>
      </c>
      <c r="H1221">
        <v>0</v>
      </c>
      <c r="I1221" t="s">
        <v>39</v>
      </c>
      <c r="J1221" t="s">
        <v>31</v>
      </c>
      <c r="K1221" t="s">
        <v>26</v>
      </c>
      <c r="L1221">
        <v>3</v>
      </c>
      <c r="M1221">
        <v>0</v>
      </c>
      <c r="N1221">
        <v>0</v>
      </c>
      <c r="O1221" t="s">
        <v>27</v>
      </c>
      <c r="P1221" t="str">
        <f>TEXT(Table1[[#This Row],[order_date]],"yyyy-mm")</f>
        <v>2025-11</v>
      </c>
      <c r="Q1221">
        <f>WEEKNUM(Table1[[#This Row],[order_date]])</f>
        <v>46</v>
      </c>
      <c r="R1221">
        <f>IF(Table1[[#This Row],[order_status]]="completed",1,0)</f>
        <v>0</v>
      </c>
    </row>
    <row r="1222" spans="1:18" x14ac:dyDescent="0.35">
      <c r="A1222">
        <v>1221</v>
      </c>
      <c r="B1222" s="1">
        <v>45901</v>
      </c>
      <c r="C1222">
        <v>1468</v>
      </c>
      <c r="D1222" t="s">
        <v>41</v>
      </c>
      <c r="E1222" t="s">
        <v>29</v>
      </c>
      <c r="F1222" t="s">
        <v>17</v>
      </c>
      <c r="G1222">
        <v>5</v>
      </c>
      <c r="H1222">
        <v>12845</v>
      </c>
      <c r="I1222" t="s">
        <v>25</v>
      </c>
      <c r="J1222" t="s">
        <v>19</v>
      </c>
      <c r="K1222" t="s">
        <v>38</v>
      </c>
      <c r="L1222">
        <v>7</v>
      </c>
      <c r="M1222">
        <v>0</v>
      </c>
      <c r="N1222">
        <v>0</v>
      </c>
      <c r="O1222" t="s">
        <v>27</v>
      </c>
      <c r="P1222" t="str">
        <f>TEXT(Table1[[#This Row],[order_date]],"yyyy-mm")</f>
        <v>2025-09</v>
      </c>
      <c r="Q1222">
        <f>WEEKNUM(Table1[[#This Row],[order_date]])</f>
        <v>36</v>
      </c>
      <c r="R1222">
        <f>IF(Table1[[#This Row],[order_status]]="completed",1,0)</f>
        <v>1</v>
      </c>
    </row>
    <row r="1223" spans="1:18" x14ac:dyDescent="0.35">
      <c r="A1223">
        <v>1222</v>
      </c>
      <c r="B1223" s="1">
        <v>45875</v>
      </c>
      <c r="C1223">
        <v>1522</v>
      </c>
      <c r="D1223" t="s">
        <v>28</v>
      </c>
      <c r="E1223" t="s">
        <v>36</v>
      </c>
      <c r="F1223" t="s">
        <v>24</v>
      </c>
      <c r="G1223">
        <v>4</v>
      </c>
      <c r="H1223">
        <v>0</v>
      </c>
      <c r="I1223" t="s">
        <v>25</v>
      </c>
      <c r="J1223" t="s">
        <v>37</v>
      </c>
      <c r="K1223" t="s">
        <v>38</v>
      </c>
      <c r="L1223">
        <v>2</v>
      </c>
      <c r="M1223">
        <v>1</v>
      </c>
      <c r="N1223">
        <v>0</v>
      </c>
      <c r="O1223" t="s">
        <v>27</v>
      </c>
      <c r="P1223" t="str">
        <f>TEXT(Table1[[#This Row],[order_date]],"yyyy-mm")</f>
        <v>2025-08</v>
      </c>
      <c r="Q1223">
        <f>WEEKNUM(Table1[[#This Row],[order_date]])</f>
        <v>32</v>
      </c>
      <c r="R1223">
        <f>IF(Table1[[#This Row],[order_status]]="completed",1,0)</f>
        <v>0</v>
      </c>
    </row>
    <row r="1224" spans="1:18" x14ac:dyDescent="0.35">
      <c r="A1224">
        <v>1223</v>
      </c>
      <c r="B1224" s="1">
        <v>45958</v>
      </c>
      <c r="C1224">
        <v>1448</v>
      </c>
      <c r="D1224" t="s">
        <v>22</v>
      </c>
      <c r="E1224" t="s">
        <v>29</v>
      </c>
      <c r="F1224" t="s">
        <v>17</v>
      </c>
      <c r="G1224">
        <v>2</v>
      </c>
      <c r="H1224">
        <v>0</v>
      </c>
      <c r="I1224" t="s">
        <v>35</v>
      </c>
      <c r="J1224" t="s">
        <v>31</v>
      </c>
      <c r="K1224" t="s">
        <v>40</v>
      </c>
      <c r="L1224">
        <v>6</v>
      </c>
      <c r="M1224">
        <v>0</v>
      </c>
      <c r="N1224">
        <v>1</v>
      </c>
      <c r="O1224" t="s">
        <v>21</v>
      </c>
      <c r="P1224" t="str">
        <f>TEXT(Table1[[#This Row],[order_date]],"yyyy-mm")</f>
        <v>2025-10</v>
      </c>
      <c r="Q1224">
        <f>WEEKNUM(Table1[[#This Row],[order_date]])</f>
        <v>44</v>
      </c>
      <c r="R1224">
        <f>IF(Table1[[#This Row],[order_status]]="completed",1,0)</f>
        <v>0</v>
      </c>
    </row>
    <row r="1225" spans="1:18" x14ac:dyDescent="0.35">
      <c r="A1225">
        <v>1224</v>
      </c>
      <c r="B1225" s="1">
        <v>45905</v>
      </c>
      <c r="C1225">
        <v>1198</v>
      </c>
      <c r="D1225" t="s">
        <v>15</v>
      </c>
      <c r="E1225" t="s">
        <v>36</v>
      </c>
      <c r="F1225" t="s">
        <v>30</v>
      </c>
      <c r="G1225">
        <v>2</v>
      </c>
      <c r="H1225">
        <v>0</v>
      </c>
      <c r="I1225" t="s">
        <v>35</v>
      </c>
      <c r="J1225" t="s">
        <v>37</v>
      </c>
      <c r="K1225" t="s">
        <v>20</v>
      </c>
      <c r="L1225">
        <v>3</v>
      </c>
      <c r="M1225">
        <v>1</v>
      </c>
      <c r="N1225">
        <v>0</v>
      </c>
      <c r="O1225" t="s">
        <v>21</v>
      </c>
      <c r="P1225" t="str">
        <f>TEXT(Table1[[#This Row],[order_date]],"yyyy-mm")</f>
        <v>2025-09</v>
      </c>
      <c r="Q1225">
        <f>WEEKNUM(Table1[[#This Row],[order_date]])</f>
        <v>36</v>
      </c>
      <c r="R1225">
        <f>IF(Table1[[#This Row],[order_status]]="completed",1,0)</f>
        <v>0</v>
      </c>
    </row>
    <row r="1226" spans="1:18" x14ac:dyDescent="0.35">
      <c r="A1226">
        <v>1225</v>
      </c>
      <c r="B1226" s="1">
        <v>45967</v>
      </c>
      <c r="C1226">
        <v>1358</v>
      </c>
      <c r="D1226" t="s">
        <v>22</v>
      </c>
      <c r="E1226" t="s">
        <v>33</v>
      </c>
      <c r="F1226" t="s">
        <v>34</v>
      </c>
      <c r="G1226">
        <v>4</v>
      </c>
      <c r="H1226">
        <v>17644</v>
      </c>
      <c r="I1226" t="s">
        <v>25</v>
      </c>
      <c r="J1226" t="s">
        <v>19</v>
      </c>
      <c r="K1226" t="s">
        <v>20</v>
      </c>
      <c r="L1226">
        <v>5</v>
      </c>
      <c r="M1226">
        <v>0</v>
      </c>
      <c r="N1226">
        <v>1</v>
      </c>
      <c r="O1226" t="s">
        <v>21</v>
      </c>
      <c r="P1226" t="str">
        <f>TEXT(Table1[[#This Row],[order_date]],"yyyy-mm")</f>
        <v>2025-11</v>
      </c>
      <c r="Q1226">
        <f>WEEKNUM(Table1[[#This Row],[order_date]])</f>
        <v>45</v>
      </c>
      <c r="R1226">
        <f>IF(Table1[[#This Row],[order_status]]="completed",1,0)</f>
        <v>1</v>
      </c>
    </row>
    <row r="1227" spans="1:18" x14ac:dyDescent="0.35">
      <c r="A1227">
        <v>1226</v>
      </c>
      <c r="B1227" s="1">
        <v>45881</v>
      </c>
      <c r="C1227">
        <v>1430</v>
      </c>
      <c r="D1227" t="s">
        <v>28</v>
      </c>
      <c r="E1227" t="s">
        <v>33</v>
      </c>
      <c r="F1227" t="s">
        <v>17</v>
      </c>
      <c r="G1227">
        <v>1</v>
      </c>
      <c r="H1227">
        <v>0</v>
      </c>
      <c r="I1227" t="s">
        <v>35</v>
      </c>
      <c r="J1227" t="s">
        <v>37</v>
      </c>
      <c r="K1227" t="s">
        <v>26</v>
      </c>
      <c r="L1227">
        <v>9</v>
      </c>
      <c r="M1227">
        <v>1</v>
      </c>
      <c r="N1227">
        <v>0</v>
      </c>
      <c r="O1227" t="s">
        <v>27</v>
      </c>
      <c r="P1227" t="str">
        <f>TEXT(Table1[[#This Row],[order_date]],"yyyy-mm")</f>
        <v>2025-08</v>
      </c>
      <c r="Q1227">
        <f>WEEKNUM(Table1[[#This Row],[order_date]])</f>
        <v>33</v>
      </c>
      <c r="R1227">
        <f>IF(Table1[[#This Row],[order_status]]="completed",1,0)</f>
        <v>0</v>
      </c>
    </row>
    <row r="1228" spans="1:18" x14ac:dyDescent="0.35">
      <c r="A1228">
        <v>1227</v>
      </c>
      <c r="B1228" s="1">
        <v>45915</v>
      </c>
      <c r="C1228">
        <v>1369</v>
      </c>
      <c r="D1228" t="s">
        <v>32</v>
      </c>
      <c r="E1228" t="s">
        <v>36</v>
      </c>
      <c r="F1228" t="s">
        <v>24</v>
      </c>
      <c r="G1228">
        <v>2</v>
      </c>
      <c r="H1228">
        <v>716</v>
      </c>
      <c r="I1228" t="s">
        <v>35</v>
      </c>
      <c r="J1228" t="s">
        <v>19</v>
      </c>
      <c r="K1228" t="s">
        <v>20</v>
      </c>
      <c r="L1228">
        <v>9</v>
      </c>
      <c r="M1228">
        <v>1</v>
      </c>
      <c r="N1228">
        <v>1</v>
      </c>
      <c r="O1228" t="s">
        <v>27</v>
      </c>
      <c r="P1228" t="str">
        <f>TEXT(Table1[[#This Row],[order_date]],"yyyy-mm")</f>
        <v>2025-09</v>
      </c>
      <c r="Q1228">
        <f>WEEKNUM(Table1[[#This Row],[order_date]])</f>
        <v>38</v>
      </c>
      <c r="R1228">
        <f>IF(Table1[[#This Row],[order_status]]="completed",1,0)</f>
        <v>1</v>
      </c>
    </row>
    <row r="1229" spans="1:18" x14ac:dyDescent="0.35">
      <c r="A1229">
        <v>1228</v>
      </c>
      <c r="B1229" s="1">
        <v>45956</v>
      </c>
      <c r="C1229">
        <v>1638</v>
      </c>
      <c r="D1229" t="s">
        <v>32</v>
      </c>
      <c r="E1229" t="s">
        <v>36</v>
      </c>
      <c r="F1229" t="s">
        <v>34</v>
      </c>
      <c r="G1229">
        <v>1</v>
      </c>
      <c r="H1229">
        <v>0</v>
      </c>
      <c r="I1229" t="s">
        <v>25</v>
      </c>
      <c r="J1229" t="s">
        <v>31</v>
      </c>
      <c r="K1229" t="s">
        <v>38</v>
      </c>
      <c r="L1229">
        <v>8</v>
      </c>
      <c r="M1229">
        <v>0</v>
      </c>
      <c r="N1229">
        <v>1</v>
      </c>
      <c r="O1229" t="s">
        <v>21</v>
      </c>
      <c r="P1229" t="str">
        <f>TEXT(Table1[[#This Row],[order_date]],"yyyy-mm")</f>
        <v>2025-10</v>
      </c>
      <c r="Q1229">
        <f>WEEKNUM(Table1[[#This Row],[order_date]])</f>
        <v>44</v>
      </c>
      <c r="R1229">
        <f>IF(Table1[[#This Row],[order_status]]="completed",1,0)</f>
        <v>0</v>
      </c>
    </row>
    <row r="1230" spans="1:18" x14ac:dyDescent="0.35">
      <c r="A1230">
        <v>1229</v>
      </c>
      <c r="B1230" s="1">
        <v>45942</v>
      </c>
      <c r="C1230">
        <v>1584</v>
      </c>
      <c r="D1230" t="s">
        <v>28</v>
      </c>
      <c r="E1230" t="s">
        <v>36</v>
      </c>
      <c r="F1230" t="s">
        <v>24</v>
      </c>
      <c r="G1230">
        <v>4</v>
      </c>
      <c r="H1230">
        <v>0</v>
      </c>
      <c r="I1230" t="s">
        <v>25</v>
      </c>
      <c r="J1230" t="s">
        <v>37</v>
      </c>
      <c r="K1230" t="s">
        <v>38</v>
      </c>
      <c r="L1230">
        <v>3</v>
      </c>
      <c r="M1230">
        <v>1</v>
      </c>
      <c r="N1230">
        <v>1</v>
      </c>
      <c r="O1230" t="s">
        <v>27</v>
      </c>
      <c r="P1230" t="str">
        <f>TEXT(Table1[[#This Row],[order_date]],"yyyy-mm")</f>
        <v>2025-10</v>
      </c>
      <c r="Q1230">
        <f>WEEKNUM(Table1[[#This Row],[order_date]])</f>
        <v>42</v>
      </c>
      <c r="R1230">
        <f>IF(Table1[[#This Row],[order_status]]="completed",1,0)</f>
        <v>0</v>
      </c>
    </row>
    <row r="1231" spans="1:18" x14ac:dyDescent="0.35">
      <c r="A1231">
        <v>1230</v>
      </c>
      <c r="B1231" s="1">
        <v>45916</v>
      </c>
      <c r="C1231">
        <v>1708</v>
      </c>
      <c r="D1231" t="s">
        <v>32</v>
      </c>
      <c r="E1231" t="s">
        <v>23</v>
      </c>
      <c r="F1231" t="s">
        <v>24</v>
      </c>
      <c r="G1231">
        <v>5</v>
      </c>
      <c r="H1231">
        <v>0</v>
      </c>
      <c r="I1231" t="s">
        <v>25</v>
      </c>
      <c r="J1231" t="s">
        <v>31</v>
      </c>
      <c r="K1231" t="s">
        <v>20</v>
      </c>
      <c r="L1231">
        <v>4</v>
      </c>
      <c r="M1231">
        <v>1</v>
      </c>
      <c r="N1231">
        <v>0</v>
      </c>
      <c r="O1231" t="s">
        <v>21</v>
      </c>
      <c r="P1231" t="str">
        <f>TEXT(Table1[[#This Row],[order_date]],"yyyy-mm")</f>
        <v>2025-09</v>
      </c>
      <c r="Q1231">
        <f>WEEKNUM(Table1[[#This Row],[order_date]])</f>
        <v>38</v>
      </c>
      <c r="R1231">
        <f>IF(Table1[[#This Row],[order_status]]="completed",1,0)</f>
        <v>0</v>
      </c>
    </row>
    <row r="1232" spans="1:18" x14ac:dyDescent="0.35">
      <c r="A1232">
        <v>1231</v>
      </c>
      <c r="B1232" s="1">
        <v>45962</v>
      </c>
      <c r="C1232">
        <v>1893</v>
      </c>
      <c r="D1232" t="s">
        <v>22</v>
      </c>
      <c r="E1232" t="s">
        <v>23</v>
      </c>
      <c r="F1232" t="s">
        <v>17</v>
      </c>
      <c r="G1232">
        <v>3</v>
      </c>
      <c r="H1232">
        <v>0</v>
      </c>
      <c r="I1232" t="s">
        <v>25</v>
      </c>
      <c r="J1232" t="s">
        <v>31</v>
      </c>
      <c r="K1232" t="s">
        <v>26</v>
      </c>
      <c r="L1232">
        <v>5</v>
      </c>
      <c r="M1232">
        <v>1</v>
      </c>
      <c r="N1232">
        <v>0</v>
      </c>
      <c r="O1232" t="s">
        <v>27</v>
      </c>
      <c r="P1232" t="str">
        <f>TEXT(Table1[[#This Row],[order_date]],"yyyy-mm")</f>
        <v>2025-11</v>
      </c>
      <c r="Q1232">
        <f>WEEKNUM(Table1[[#This Row],[order_date]])</f>
        <v>44</v>
      </c>
      <c r="R1232">
        <f>IF(Table1[[#This Row],[order_status]]="completed",1,0)</f>
        <v>0</v>
      </c>
    </row>
    <row r="1233" spans="1:18" x14ac:dyDescent="0.35">
      <c r="A1233">
        <v>1232</v>
      </c>
      <c r="B1233" s="1">
        <v>45852</v>
      </c>
      <c r="C1233">
        <v>1508</v>
      </c>
      <c r="D1233" t="s">
        <v>15</v>
      </c>
      <c r="E1233" t="s">
        <v>16</v>
      </c>
      <c r="F1233" t="s">
        <v>17</v>
      </c>
      <c r="G1233">
        <v>2</v>
      </c>
      <c r="H1233">
        <v>1426</v>
      </c>
      <c r="I1233" t="s">
        <v>25</v>
      </c>
      <c r="J1233" t="s">
        <v>19</v>
      </c>
      <c r="K1233" t="s">
        <v>40</v>
      </c>
      <c r="L1233">
        <v>8</v>
      </c>
      <c r="M1233">
        <v>1</v>
      </c>
      <c r="N1233">
        <v>1</v>
      </c>
      <c r="O1233" t="s">
        <v>21</v>
      </c>
      <c r="P1233" t="str">
        <f>TEXT(Table1[[#This Row],[order_date]],"yyyy-mm")</f>
        <v>2025-07</v>
      </c>
      <c r="Q1233">
        <f>WEEKNUM(Table1[[#This Row],[order_date]])</f>
        <v>29</v>
      </c>
      <c r="R1233">
        <f>IF(Table1[[#This Row],[order_status]]="completed",1,0)</f>
        <v>1</v>
      </c>
    </row>
    <row r="1234" spans="1:18" x14ac:dyDescent="0.35">
      <c r="A1234">
        <v>1233</v>
      </c>
      <c r="B1234" s="1">
        <v>45985</v>
      </c>
      <c r="C1234">
        <v>1482</v>
      </c>
      <c r="D1234" t="s">
        <v>41</v>
      </c>
      <c r="E1234" t="s">
        <v>29</v>
      </c>
      <c r="F1234" t="s">
        <v>34</v>
      </c>
      <c r="G1234">
        <v>4</v>
      </c>
      <c r="H1234">
        <v>0</v>
      </c>
      <c r="I1234" t="s">
        <v>39</v>
      </c>
      <c r="J1234" t="s">
        <v>31</v>
      </c>
      <c r="K1234" t="s">
        <v>40</v>
      </c>
      <c r="L1234">
        <v>8</v>
      </c>
      <c r="M1234">
        <v>1</v>
      </c>
      <c r="N1234">
        <v>0</v>
      </c>
      <c r="O1234" t="s">
        <v>21</v>
      </c>
      <c r="P1234" t="str">
        <f>TEXT(Table1[[#This Row],[order_date]],"yyyy-mm")</f>
        <v>2025-11</v>
      </c>
      <c r="Q1234">
        <f>WEEKNUM(Table1[[#This Row],[order_date]])</f>
        <v>48</v>
      </c>
      <c r="R1234">
        <f>IF(Table1[[#This Row],[order_status]]="completed",1,0)</f>
        <v>0</v>
      </c>
    </row>
    <row r="1235" spans="1:18" x14ac:dyDescent="0.35">
      <c r="A1235">
        <v>1234</v>
      </c>
      <c r="B1235" s="1">
        <v>45892</v>
      </c>
      <c r="C1235">
        <v>1903</v>
      </c>
      <c r="D1235" t="s">
        <v>32</v>
      </c>
      <c r="E1235" t="s">
        <v>16</v>
      </c>
      <c r="F1235" t="s">
        <v>24</v>
      </c>
      <c r="G1235">
        <v>2</v>
      </c>
      <c r="H1235">
        <v>0</v>
      </c>
      <c r="I1235" t="s">
        <v>35</v>
      </c>
      <c r="J1235" t="s">
        <v>37</v>
      </c>
      <c r="K1235" t="s">
        <v>38</v>
      </c>
      <c r="L1235">
        <v>3</v>
      </c>
      <c r="M1235">
        <v>1</v>
      </c>
      <c r="N1235">
        <v>0</v>
      </c>
      <c r="O1235" t="s">
        <v>27</v>
      </c>
      <c r="P1235" t="str">
        <f>TEXT(Table1[[#This Row],[order_date]],"yyyy-mm")</f>
        <v>2025-08</v>
      </c>
      <c r="Q1235">
        <f>WEEKNUM(Table1[[#This Row],[order_date]])</f>
        <v>34</v>
      </c>
      <c r="R1235">
        <f>IF(Table1[[#This Row],[order_status]]="completed",1,0)</f>
        <v>0</v>
      </c>
    </row>
    <row r="1236" spans="1:18" x14ac:dyDescent="0.35">
      <c r="A1236">
        <v>1235</v>
      </c>
      <c r="B1236" s="1">
        <v>45990</v>
      </c>
      <c r="C1236">
        <v>1826</v>
      </c>
      <c r="D1236" t="s">
        <v>15</v>
      </c>
      <c r="E1236" t="s">
        <v>36</v>
      </c>
      <c r="F1236" t="s">
        <v>30</v>
      </c>
      <c r="G1236">
        <v>5</v>
      </c>
      <c r="H1236">
        <v>10375</v>
      </c>
      <c r="I1236" t="s">
        <v>39</v>
      </c>
      <c r="J1236" t="s">
        <v>19</v>
      </c>
      <c r="K1236" t="s">
        <v>26</v>
      </c>
      <c r="L1236">
        <v>7</v>
      </c>
      <c r="M1236">
        <v>0</v>
      </c>
      <c r="N1236">
        <v>0</v>
      </c>
      <c r="O1236" t="s">
        <v>27</v>
      </c>
      <c r="P1236" t="str">
        <f>TEXT(Table1[[#This Row],[order_date]],"yyyy-mm")</f>
        <v>2025-11</v>
      </c>
      <c r="Q1236">
        <f>WEEKNUM(Table1[[#This Row],[order_date]])</f>
        <v>48</v>
      </c>
      <c r="R1236">
        <f>IF(Table1[[#This Row],[order_status]]="completed",1,0)</f>
        <v>1</v>
      </c>
    </row>
    <row r="1237" spans="1:18" x14ac:dyDescent="0.35">
      <c r="A1237">
        <v>1236</v>
      </c>
      <c r="B1237" s="1">
        <v>46020</v>
      </c>
      <c r="C1237">
        <v>1211</v>
      </c>
      <c r="D1237" t="s">
        <v>15</v>
      </c>
      <c r="E1237" t="s">
        <v>33</v>
      </c>
      <c r="F1237" t="s">
        <v>34</v>
      </c>
      <c r="G1237">
        <v>1</v>
      </c>
      <c r="H1237">
        <v>0</v>
      </c>
      <c r="I1237" t="s">
        <v>39</v>
      </c>
      <c r="J1237" t="s">
        <v>37</v>
      </c>
      <c r="K1237" t="s">
        <v>20</v>
      </c>
      <c r="L1237">
        <v>8</v>
      </c>
      <c r="M1237">
        <v>1</v>
      </c>
      <c r="N1237">
        <v>0</v>
      </c>
      <c r="O1237" t="s">
        <v>27</v>
      </c>
      <c r="P1237" t="str">
        <f>TEXT(Table1[[#This Row],[order_date]],"yyyy-mm")</f>
        <v>2025-12</v>
      </c>
      <c r="Q1237">
        <f>WEEKNUM(Table1[[#This Row],[order_date]])</f>
        <v>53</v>
      </c>
      <c r="R1237">
        <f>IF(Table1[[#This Row],[order_status]]="completed",1,0)</f>
        <v>0</v>
      </c>
    </row>
    <row r="1238" spans="1:18" x14ac:dyDescent="0.35">
      <c r="A1238">
        <v>1237</v>
      </c>
      <c r="B1238" s="1">
        <v>45944</v>
      </c>
      <c r="C1238">
        <v>1852</v>
      </c>
      <c r="D1238" t="s">
        <v>32</v>
      </c>
      <c r="E1238" t="s">
        <v>23</v>
      </c>
      <c r="F1238" t="s">
        <v>17</v>
      </c>
      <c r="G1238">
        <v>5</v>
      </c>
      <c r="H1238">
        <v>18825</v>
      </c>
      <c r="I1238" t="s">
        <v>39</v>
      </c>
      <c r="J1238" t="s">
        <v>19</v>
      </c>
      <c r="K1238" t="s">
        <v>26</v>
      </c>
      <c r="L1238">
        <v>4</v>
      </c>
      <c r="M1238">
        <v>0</v>
      </c>
      <c r="N1238">
        <v>1</v>
      </c>
      <c r="O1238" t="s">
        <v>21</v>
      </c>
      <c r="P1238" t="str">
        <f>TEXT(Table1[[#This Row],[order_date]],"yyyy-mm")</f>
        <v>2025-10</v>
      </c>
      <c r="Q1238">
        <f>WEEKNUM(Table1[[#This Row],[order_date]])</f>
        <v>42</v>
      </c>
      <c r="R1238">
        <f>IF(Table1[[#This Row],[order_status]]="completed",1,0)</f>
        <v>1</v>
      </c>
    </row>
    <row r="1239" spans="1:18" x14ac:dyDescent="0.35">
      <c r="A1239">
        <v>1238</v>
      </c>
      <c r="B1239" s="1">
        <v>45927</v>
      </c>
      <c r="C1239">
        <v>1066</v>
      </c>
      <c r="D1239" t="s">
        <v>22</v>
      </c>
      <c r="E1239" t="s">
        <v>36</v>
      </c>
      <c r="F1239" t="s">
        <v>30</v>
      </c>
      <c r="G1239">
        <v>4</v>
      </c>
      <c r="H1239">
        <v>10424</v>
      </c>
      <c r="I1239" t="s">
        <v>25</v>
      </c>
      <c r="J1239" t="s">
        <v>19</v>
      </c>
      <c r="K1239" t="s">
        <v>20</v>
      </c>
      <c r="L1239">
        <v>6</v>
      </c>
      <c r="M1239">
        <v>0</v>
      </c>
      <c r="N1239">
        <v>1</v>
      </c>
      <c r="O1239" t="s">
        <v>21</v>
      </c>
      <c r="P1239" t="str">
        <f>TEXT(Table1[[#This Row],[order_date]],"yyyy-mm")</f>
        <v>2025-09</v>
      </c>
      <c r="Q1239">
        <f>WEEKNUM(Table1[[#This Row],[order_date]])</f>
        <v>39</v>
      </c>
      <c r="R1239">
        <f>IF(Table1[[#This Row],[order_status]]="completed",1,0)</f>
        <v>1</v>
      </c>
    </row>
    <row r="1240" spans="1:18" x14ac:dyDescent="0.35">
      <c r="A1240">
        <v>1239</v>
      </c>
      <c r="B1240" s="1">
        <v>45957</v>
      </c>
      <c r="C1240">
        <v>1659</v>
      </c>
      <c r="D1240" t="s">
        <v>15</v>
      </c>
      <c r="E1240" t="s">
        <v>23</v>
      </c>
      <c r="F1240" t="s">
        <v>24</v>
      </c>
      <c r="G1240">
        <v>2</v>
      </c>
      <c r="H1240">
        <v>0</v>
      </c>
      <c r="I1240" t="s">
        <v>35</v>
      </c>
      <c r="J1240" t="s">
        <v>31</v>
      </c>
      <c r="K1240" t="s">
        <v>26</v>
      </c>
      <c r="L1240">
        <v>6</v>
      </c>
      <c r="M1240">
        <v>0</v>
      </c>
      <c r="N1240">
        <v>1</v>
      </c>
      <c r="O1240" t="s">
        <v>21</v>
      </c>
      <c r="P1240" t="str">
        <f>TEXT(Table1[[#This Row],[order_date]],"yyyy-mm")</f>
        <v>2025-10</v>
      </c>
      <c r="Q1240">
        <f>WEEKNUM(Table1[[#This Row],[order_date]])</f>
        <v>44</v>
      </c>
      <c r="R1240">
        <f>IF(Table1[[#This Row],[order_status]]="completed",1,0)</f>
        <v>0</v>
      </c>
    </row>
    <row r="1241" spans="1:18" x14ac:dyDescent="0.35">
      <c r="A1241">
        <v>1240</v>
      </c>
      <c r="B1241" s="1">
        <v>45972</v>
      </c>
      <c r="C1241">
        <v>1937</v>
      </c>
      <c r="D1241" t="s">
        <v>15</v>
      </c>
      <c r="E1241" t="s">
        <v>29</v>
      </c>
      <c r="F1241" t="s">
        <v>24</v>
      </c>
      <c r="G1241">
        <v>4</v>
      </c>
      <c r="H1241">
        <v>0</v>
      </c>
      <c r="I1241" t="s">
        <v>25</v>
      </c>
      <c r="J1241" t="s">
        <v>31</v>
      </c>
      <c r="K1241" t="s">
        <v>38</v>
      </c>
      <c r="L1241">
        <v>9</v>
      </c>
      <c r="M1241">
        <v>1</v>
      </c>
      <c r="N1241">
        <v>1</v>
      </c>
      <c r="O1241" t="s">
        <v>21</v>
      </c>
      <c r="P1241" t="str">
        <f>TEXT(Table1[[#This Row],[order_date]],"yyyy-mm")</f>
        <v>2025-11</v>
      </c>
      <c r="Q1241">
        <f>WEEKNUM(Table1[[#This Row],[order_date]])</f>
        <v>46</v>
      </c>
      <c r="R1241">
        <f>IF(Table1[[#This Row],[order_status]]="completed",1,0)</f>
        <v>0</v>
      </c>
    </row>
    <row r="1242" spans="1:18" x14ac:dyDescent="0.35">
      <c r="A1242">
        <v>1241</v>
      </c>
      <c r="B1242" s="1">
        <v>45876</v>
      </c>
      <c r="C1242">
        <v>1355</v>
      </c>
      <c r="D1242" t="s">
        <v>28</v>
      </c>
      <c r="E1242" t="s">
        <v>33</v>
      </c>
      <c r="F1242" t="s">
        <v>17</v>
      </c>
      <c r="G1242">
        <v>2</v>
      </c>
      <c r="H1242">
        <v>0</v>
      </c>
      <c r="I1242" t="s">
        <v>25</v>
      </c>
      <c r="J1242" t="s">
        <v>37</v>
      </c>
      <c r="K1242" t="s">
        <v>38</v>
      </c>
      <c r="L1242">
        <v>4</v>
      </c>
      <c r="M1242">
        <v>1</v>
      </c>
      <c r="N1242">
        <v>0</v>
      </c>
      <c r="O1242" t="s">
        <v>27</v>
      </c>
      <c r="P1242" t="str">
        <f>TEXT(Table1[[#This Row],[order_date]],"yyyy-mm")</f>
        <v>2025-08</v>
      </c>
      <c r="Q1242">
        <f>WEEKNUM(Table1[[#This Row],[order_date]])</f>
        <v>32</v>
      </c>
      <c r="R1242">
        <f>IF(Table1[[#This Row],[order_status]]="completed",1,0)</f>
        <v>0</v>
      </c>
    </row>
    <row r="1243" spans="1:18" x14ac:dyDescent="0.35">
      <c r="A1243">
        <v>1242</v>
      </c>
      <c r="B1243" s="1">
        <v>45897</v>
      </c>
      <c r="C1243">
        <v>1142</v>
      </c>
      <c r="D1243" t="s">
        <v>15</v>
      </c>
      <c r="E1243" t="s">
        <v>29</v>
      </c>
      <c r="F1243" t="s">
        <v>34</v>
      </c>
      <c r="G1243">
        <v>2</v>
      </c>
      <c r="H1243">
        <v>0</v>
      </c>
      <c r="I1243" t="s">
        <v>35</v>
      </c>
      <c r="J1243" t="s">
        <v>37</v>
      </c>
      <c r="K1243" t="s">
        <v>26</v>
      </c>
      <c r="L1243">
        <v>7</v>
      </c>
      <c r="M1243">
        <v>0</v>
      </c>
      <c r="N1243">
        <v>0</v>
      </c>
      <c r="O1243" t="s">
        <v>21</v>
      </c>
      <c r="P1243" t="str">
        <f>TEXT(Table1[[#This Row],[order_date]],"yyyy-mm")</f>
        <v>2025-08</v>
      </c>
      <c r="Q1243">
        <f>WEEKNUM(Table1[[#This Row],[order_date]])</f>
        <v>35</v>
      </c>
      <c r="R1243">
        <f>IF(Table1[[#This Row],[order_status]]="completed",1,0)</f>
        <v>0</v>
      </c>
    </row>
    <row r="1244" spans="1:18" x14ac:dyDescent="0.35">
      <c r="A1244">
        <v>1243</v>
      </c>
      <c r="B1244" s="1">
        <v>45966</v>
      </c>
      <c r="C1244">
        <v>1666</v>
      </c>
      <c r="D1244" t="s">
        <v>32</v>
      </c>
      <c r="E1244" t="s">
        <v>33</v>
      </c>
      <c r="F1244" t="s">
        <v>17</v>
      </c>
      <c r="G1244">
        <v>3</v>
      </c>
      <c r="H1244">
        <v>0</v>
      </c>
      <c r="I1244" t="s">
        <v>18</v>
      </c>
      <c r="J1244" t="s">
        <v>37</v>
      </c>
      <c r="K1244" t="s">
        <v>38</v>
      </c>
      <c r="L1244">
        <v>3</v>
      </c>
      <c r="M1244">
        <v>0</v>
      </c>
      <c r="N1244">
        <v>1</v>
      </c>
      <c r="O1244" t="s">
        <v>27</v>
      </c>
      <c r="P1244" t="str">
        <f>TEXT(Table1[[#This Row],[order_date]],"yyyy-mm")</f>
        <v>2025-11</v>
      </c>
      <c r="Q1244">
        <f>WEEKNUM(Table1[[#This Row],[order_date]])</f>
        <v>45</v>
      </c>
      <c r="R1244">
        <f>IF(Table1[[#This Row],[order_status]]="completed",1,0)</f>
        <v>0</v>
      </c>
    </row>
    <row r="1245" spans="1:18" x14ac:dyDescent="0.35">
      <c r="A1245">
        <v>1244</v>
      </c>
      <c r="B1245" s="1">
        <v>45924</v>
      </c>
      <c r="C1245">
        <v>1424</v>
      </c>
      <c r="D1245" t="s">
        <v>28</v>
      </c>
      <c r="E1245" t="s">
        <v>16</v>
      </c>
      <c r="F1245" t="s">
        <v>24</v>
      </c>
      <c r="G1245">
        <v>3</v>
      </c>
      <c r="H1245">
        <v>0</v>
      </c>
      <c r="I1245" t="s">
        <v>18</v>
      </c>
      <c r="J1245" t="s">
        <v>37</v>
      </c>
      <c r="K1245" t="s">
        <v>20</v>
      </c>
      <c r="L1245">
        <v>9</v>
      </c>
      <c r="M1245">
        <v>0</v>
      </c>
      <c r="N1245">
        <v>0</v>
      </c>
      <c r="O1245" t="s">
        <v>21</v>
      </c>
      <c r="P1245" t="str">
        <f>TEXT(Table1[[#This Row],[order_date]],"yyyy-mm")</f>
        <v>2025-09</v>
      </c>
      <c r="Q1245">
        <f>WEEKNUM(Table1[[#This Row],[order_date]])</f>
        <v>39</v>
      </c>
      <c r="R1245">
        <f>IF(Table1[[#This Row],[order_status]]="completed",1,0)</f>
        <v>0</v>
      </c>
    </row>
    <row r="1246" spans="1:18" x14ac:dyDescent="0.35">
      <c r="A1246">
        <v>1245</v>
      </c>
      <c r="B1246" s="1">
        <v>45924</v>
      </c>
      <c r="C1246">
        <v>1517</v>
      </c>
      <c r="D1246" t="s">
        <v>15</v>
      </c>
      <c r="E1246" t="s">
        <v>29</v>
      </c>
      <c r="F1246" t="s">
        <v>17</v>
      </c>
      <c r="G1246">
        <v>2</v>
      </c>
      <c r="H1246">
        <v>0</v>
      </c>
      <c r="I1246" t="s">
        <v>18</v>
      </c>
      <c r="J1246" t="s">
        <v>31</v>
      </c>
      <c r="K1246" t="s">
        <v>26</v>
      </c>
      <c r="L1246">
        <v>2</v>
      </c>
      <c r="M1246">
        <v>0</v>
      </c>
      <c r="N1246">
        <v>1</v>
      </c>
      <c r="O1246" t="s">
        <v>27</v>
      </c>
      <c r="P1246" t="str">
        <f>TEXT(Table1[[#This Row],[order_date]],"yyyy-mm")</f>
        <v>2025-09</v>
      </c>
      <c r="Q1246">
        <f>WEEKNUM(Table1[[#This Row],[order_date]])</f>
        <v>39</v>
      </c>
      <c r="R1246">
        <f>IF(Table1[[#This Row],[order_status]]="completed",1,0)</f>
        <v>0</v>
      </c>
    </row>
    <row r="1247" spans="1:18" x14ac:dyDescent="0.35">
      <c r="A1247">
        <v>1246</v>
      </c>
      <c r="B1247" s="1">
        <v>45926</v>
      </c>
      <c r="C1247">
        <v>1669</v>
      </c>
      <c r="D1247" t="s">
        <v>32</v>
      </c>
      <c r="E1247" t="s">
        <v>33</v>
      </c>
      <c r="F1247" t="s">
        <v>24</v>
      </c>
      <c r="G1247">
        <v>3</v>
      </c>
      <c r="H1247">
        <v>0</v>
      </c>
      <c r="I1247" t="s">
        <v>35</v>
      </c>
      <c r="J1247" t="s">
        <v>31</v>
      </c>
      <c r="K1247" t="s">
        <v>20</v>
      </c>
      <c r="L1247">
        <v>4</v>
      </c>
      <c r="M1247">
        <v>1</v>
      </c>
      <c r="N1247">
        <v>1</v>
      </c>
      <c r="O1247" t="s">
        <v>27</v>
      </c>
      <c r="P1247" t="str">
        <f>TEXT(Table1[[#This Row],[order_date]],"yyyy-mm")</f>
        <v>2025-09</v>
      </c>
      <c r="Q1247">
        <f>WEEKNUM(Table1[[#This Row],[order_date]])</f>
        <v>39</v>
      </c>
      <c r="R1247">
        <f>IF(Table1[[#This Row],[order_status]]="completed",1,0)</f>
        <v>0</v>
      </c>
    </row>
    <row r="1248" spans="1:18" x14ac:dyDescent="0.35">
      <c r="A1248">
        <v>1247</v>
      </c>
      <c r="B1248" s="1">
        <v>46005</v>
      </c>
      <c r="C1248">
        <v>1003</v>
      </c>
      <c r="D1248" t="s">
        <v>22</v>
      </c>
      <c r="E1248" t="s">
        <v>29</v>
      </c>
      <c r="F1248" t="s">
        <v>24</v>
      </c>
      <c r="G1248">
        <v>5</v>
      </c>
      <c r="H1248">
        <v>0</v>
      </c>
      <c r="I1248" t="s">
        <v>35</v>
      </c>
      <c r="J1248" t="s">
        <v>31</v>
      </c>
      <c r="K1248" t="s">
        <v>38</v>
      </c>
      <c r="L1248">
        <v>4</v>
      </c>
      <c r="M1248">
        <v>0</v>
      </c>
      <c r="N1248">
        <v>1</v>
      </c>
      <c r="O1248" t="s">
        <v>21</v>
      </c>
      <c r="P1248" t="str">
        <f>TEXT(Table1[[#This Row],[order_date]],"yyyy-mm")</f>
        <v>2025-12</v>
      </c>
      <c r="Q1248">
        <f>WEEKNUM(Table1[[#This Row],[order_date]])</f>
        <v>51</v>
      </c>
      <c r="R1248">
        <f>IF(Table1[[#This Row],[order_status]]="completed",1,0)</f>
        <v>0</v>
      </c>
    </row>
    <row r="1249" spans="1:18" x14ac:dyDescent="0.35">
      <c r="A1249">
        <v>1248</v>
      </c>
      <c r="B1249" s="1">
        <v>45972</v>
      </c>
      <c r="C1249">
        <v>1391</v>
      </c>
      <c r="D1249" t="s">
        <v>28</v>
      </c>
      <c r="E1249" t="s">
        <v>36</v>
      </c>
      <c r="F1249" t="s">
        <v>24</v>
      </c>
      <c r="G1249">
        <v>4</v>
      </c>
      <c r="H1249">
        <v>0</v>
      </c>
      <c r="I1249" t="s">
        <v>35</v>
      </c>
      <c r="J1249" t="s">
        <v>37</v>
      </c>
      <c r="K1249" t="s">
        <v>26</v>
      </c>
      <c r="L1249">
        <v>5</v>
      </c>
      <c r="M1249">
        <v>0</v>
      </c>
      <c r="N1249">
        <v>1</v>
      </c>
      <c r="O1249" t="s">
        <v>27</v>
      </c>
      <c r="P1249" t="str">
        <f>TEXT(Table1[[#This Row],[order_date]],"yyyy-mm")</f>
        <v>2025-11</v>
      </c>
      <c r="Q1249">
        <f>WEEKNUM(Table1[[#This Row],[order_date]])</f>
        <v>46</v>
      </c>
      <c r="R1249">
        <f>IF(Table1[[#This Row],[order_status]]="completed",1,0)</f>
        <v>0</v>
      </c>
    </row>
    <row r="1250" spans="1:18" x14ac:dyDescent="0.35">
      <c r="A1250">
        <v>1249</v>
      </c>
      <c r="B1250" s="1">
        <v>45941</v>
      </c>
      <c r="C1250">
        <v>1958</v>
      </c>
      <c r="D1250" t="s">
        <v>15</v>
      </c>
      <c r="E1250" t="s">
        <v>23</v>
      </c>
      <c r="F1250" t="s">
        <v>17</v>
      </c>
      <c r="G1250">
        <v>4</v>
      </c>
      <c r="H1250">
        <v>4224</v>
      </c>
      <c r="I1250" t="s">
        <v>35</v>
      </c>
      <c r="J1250" t="s">
        <v>19</v>
      </c>
      <c r="K1250" t="s">
        <v>26</v>
      </c>
      <c r="L1250">
        <v>5</v>
      </c>
      <c r="M1250">
        <v>1</v>
      </c>
      <c r="N1250">
        <v>0</v>
      </c>
      <c r="O1250" t="s">
        <v>21</v>
      </c>
      <c r="P1250" t="str">
        <f>TEXT(Table1[[#This Row],[order_date]],"yyyy-mm")</f>
        <v>2025-10</v>
      </c>
      <c r="Q1250">
        <f>WEEKNUM(Table1[[#This Row],[order_date]])</f>
        <v>41</v>
      </c>
      <c r="R1250">
        <f>IF(Table1[[#This Row],[order_status]]="completed",1,0)</f>
        <v>1</v>
      </c>
    </row>
    <row r="1251" spans="1:18" x14ac:dyDescent="0.35">
      <c r="A1251">
        <v>1250</v>
      </c>
      <c r="B1251" s="1">
        <v>45899</v>
      </c>
      <c r="C1251">
        <v>1332</v>
      </c>
      <c r="D1251" t="s">
        <v>22</v>
      </c>
      <c r="E1251" t="s">
        <v>23</v>
      </c>
      <c r="F1251" t="s">
        <v>30</v>
      </c>
      <c r="G1251">
        <v>1</v>
      </c>
      <c r="H1251">
        <v>0</v>
      </c>
      <c r="I1251" t="s">
        <v>18</v>
      </c>
      <c r="J1251" t="s">
        <v>37</v>
      </c>
      <c r="K1251" t="s">
        <v>20</v>
      </c>
      <c r="L1251">
        <v>4</v>
      </c>
      <c r="M1251">
        <v>1</v>
      </c>
      <c r="N1251">
        <v>1</v>
      </c>
      <c r="O1251" t="s">
        <v>21</v>
      </c>
      <c r="P1251" t="str">
        <f>TEXT(Table1[[#This Row],[order_date]],"yyyy-mm")</f>
        <v>2025-08</v>
      </c>
      <c r="Q1251">
        <f>WEEKNUM(Table1[[#This Row],[order_date]])</f>
        <v>35</v>
      </c>
      <c r="R1251">
        <f>IF(Table1[[#This Row],[order_status]]="completed",1,0)</f>
        <v>0</v>
      </c>
    </row>
    <row r="1252" spans="1:18" x14ac:dyDescent="0.35">
      <c r="A1252">
        <v>1251</v>
      </c>
      <c r="B1252" s="1">
        <v>46024</v>
      </c>
      <c r="C1252">
        <v>1633</v>
      </c>
      <c r="D1252" t="s">
        <v>15</v>
      </c>
      <c r="E1252" t="s">
        <v>16</v>
      </c>
      <c r="F1252" t="s">
        <v>34</v>
      </c>
      <c r="G1252">
        <v>1</v>
      </c>
      <c r="H1252">
        <v>440</v>
      </c>
      <c r="I1252" t="s">
        <v>39</v>
      </c>
      <c r="J1252" t="s">
        <v>19</v>
      </c>
      <c r="K1252" t="s">
        <v>26</v>
      </c>
      <c r="L1252">
        <v>4</v>
      </c>
      <c r="M1252">
        <v>0</v>
      </c>
      <c r="N1252">
        <v>1</v>
      </c>
      <c r="O1252" t="s">
        <v>27</v>
      </c>
      <c r="P1252" t="str">
        <f>TEXT(Table1[[#This Row],[order_date]],"yyyy-mm")</f>
        <v>2026-01</v>
      </c>
      <c r="Q1252">
        <f>WEEKNUM(Table1[[#This Row],[order_date]])</f>
        <v>1</v>
      </c>
      <c r="R1252">
        <f>IF(Table1[[#This Row],[order_status]]="completed",1,0)</f>
        <v>1</v>
      </c>
    </row>
    <row r="1253" spans="1:18" x14ac:dyDescent="0.35">
      <c r="A1253">
        <v>1252</v>
      </c>
      <c r="B1253" s="1">
        <v>45987</v>
      </c>
      <c r="C1253">
        <v>1100</v>
      </c>
      <c r="D1253" t="s">
        <v>15</v>
      </c>
      <c r="E1253" t="s">
        <v>36</v>
      </c>
      <c r="F1253" t="s">
        <v>30</v>
      </c>
      <c r="G1253">
        <v>4</v>
      </c>
      <c r="H1253">
        <v>0</v>
      </c>
      <c r="I1253" t="s">
        <v>18</v>
      </c>
      <c r="J1253" t="s">
        <v>31</v>
      </c>
      <c r="K1253" t="s">
        <v>20</v>
      </c>
      <c r="L1253">
        <v>2</v>
      </c>
      <c r="M1253">
        <v>1</v>
      </c>
      <c r="N1253">
        <v>1</v>
      </c>
      <c r="O1253" t="s">
        <v>21</v>
      </c>
      <c r="P1253" t="str">
        <f>TEXT(Table1[[#This Row],[order_date]],"yyyy-mm")</f>
        <v>2025-11</v>
      </c>
      <c r="Q1253">
        <f>WEEKNUM(Table1[[#This Row],[order_date]])</f>
        <v>48</v>
      </c>
      <c r="R1253">
        <f>IF(Table1[[#This Row],[order_status]]="completed",1,0)</f>
        <v>0</v>
      </c>
    </row>
    <row r="1254" spans="1:18" x14ac:dyDescent="0.35">
      <c r="A1254">
        <v>1253</v>
      </c>
      <c r="B1254" s="1">
        <v>45986</v>
      </c>
      <c r="C1254">
        <v>1980</v>
      </c>
      <c r="D1254" t="s">
        <v>28</v>
      </c>
      <c r="E1254" t="s">
        <v>33</v>
      </c>
      <c r="F1254" t="s">
        <v>34</v>
      </c>
      <c r="G1254">
        <v>2</v>
      </c>
      <c r="H1254">
        <v>0</v>
      </c>
      <c r="I1254" t="s">
        <v>25</v>
      </c>
      <c r="J1254" t="s">
        <v>37</v>
      </c>
      <c r="K1254" t="s">
        <v>20</v>
      </c>
      <c r="L1254">
        <v>8</v>
      </c>
      <c r="M1254">
        <v>1</v>
      </c>
      <c r="N1254">
        <v>1</v>
      </c>
      <c r="O1254" t="s">
        <v>21</v>
      </c>
      <c r="P1254" t="str">
        <f>TEXT(Table1[[#This Row],[order_date]],"yyyy-mm")</f>
        <v>2025-11</v>
      </c>
      <c r="Q1254">
        <f>WEEKNUM(Table1[[#This Row],[order_date]])</f>
        <v>48</v>
      </c>
      <c r="R1254">
        <f>IF(Table1[[#This Row],[order_status]]="completed",1,0)</f>
        <v>0</v>
      </c>
    </row>
    <row r="1255" spans="1:18" x14ac:dyDescent="0.35">
      <c r="A1255">
        <v>1254</v>
      </c>
      <c r="B1255" s="1">
        <v>46026</v>
      </c>
      <c r="C1255">
        <v>1739</v>
      </c>
      <c r="D1255" t="s">
        <v>41</v>
      </c>
      <c r="E1255" t="s">
        <v>16</v>
      </c>
      <c r="F1255" t="s">
        <v>24</v>
      </c>
      <c r="G1255">
        <v>3</v>
      </c>
      <c r="H1255">
        <v>0</v>
      </c>
      <c r="I1255" t="s">
        <v>18</v>
      </c>
      <c r="J1255" t="s">
        <v>37</v>
      </c>
      <c r="K1255" t="s">
        <v>26</v>
      </c>
      <c r="L1255">
        <v>2</v>
      </c>
      <c r="M1255">
        <v>0</v>
      </c>
      <c r="N1255">
        <v>1</v>
      </c>
      <c r="O1255" t="s">
        <v>27</v>
      </c>
      <c r="P1255" t="str">
        <f>TEXT(Table1[[#This Row],[order_date]],"yyyy-mm")</f>
        <v>2026-01</v>
      </c>
      <c r="Q1255">
        <f>WEEKNUM(Table1[[#This Row],[order_date]])</f>
        <v>2</v>
      </c>
      <c r="R1255">
        <f>IF(Table1[[#This Row],[order_status]]="completed",1,0)</f>
        <v>0</v>
      </c>
    </row>
    <row r="1256" spans="1:18" x14ac:dyDescent="0.35">
      <c r="A1256">
        <v>1255</v>
      </c>
      <c r="B1256" s="1">
        <v>45862</v>
      </c>
      <c r="C1256">
        <v>1585</v>
      </c>
      <c r="D1256" t="s">
        <v>28</v>
      </c>
      <c r="E1256" t="s">
        <v>36</v>
      </c>
      <c r="F1256" t="s">
        <v>17</v>
      </c>
      <c r="G1256">
        <v>5</v>
      </c>
      <c r="H1256">
        <v>19575</v>
      </c>
      <c r="I1256" t="s">
        <v>18</v>
      </c>
      <c r="J1256" t="s">
        <v>19</v>
      </c>
      <c r="K1256" t="s">
        <v>26</v>
      </c>
      <c r="L1256">
        <v>10</v>
      </c>
      <c r="M1256">
        <v>0</v>
      </c>
      <c r="N1256">
        <v>0</v>
      </c>
      <c r="O1256" t="s">
        <v>21</v>
      </c>
      <c r="P1256" t="str">
        <f>TEXT(Table1[[#This Row],[order_date]],"yyyy-mm")</f>
        <v>2025-07</v>
      </c>
      <c r="Q1256">
        <f>WEEKNUM(Table1[[#This Row],[order_date]])</f>
        <v>30</v>
      </c>
      <c r="R1256">
        <f>IF(Table1[[#This Row],[order_status]]="completed",1,0)</f>
        <v>1</v>
      </c>
    </row>
    <row r="1257" spans="1:18" x14ac:dyDescent="0.35">
      <c r="A1257">
        <v>1256</v>
      </c>
      <c r="B1257" s="1">
        <v>45921</v>
      </c>
      <c r="C1257">
        <v>1268</v>
      </c>
      <c r="D1257" t="s">
        <v>41</v>
      </c>
      <c r="E1257" t="s">
        <v>23</v>
      </c>
      <c r="F1257" t="s">
        <v>24</v>
      </c>
      <c r="G1257">
        <v>3</v>
      </c>
      <c r="H1257">
        <v>6717</v>
      </c>
      <c r="I1257" t="s">
        <v>39</v>
      </c>
      <c r="J1257" t="s">
        <v>19</v>
      </c>
      <c r="K1257" t="s">
        <v>38</v>
      </c>
      <c r="L1257">
        <v>7</v>
      </c>
      <c r="M1257">
        <v>1</v>
      </c>
      <c r="N1257">
        <v>1</v>
      </c>
      <c r="O1257" t="s">
        <v>27</v>
      </c>
      <c r="P1257" t="str">
        <f>TEXT(Table1[[#This Row],[order_date]],"yyyy-mm")</f>
        <v>2025-09</v>
      </c>
      <c r="Q1257">
        <f>WEEKNUM(Table1[[#This Row],[order_date]])</f>
        <v>39</v>
      </c>
      <c r="R1257">
        <f>IF(Table1[[#This Row],[order_status]]="completed",1,0)</f>
        <v>1</v>
      </c>
    </row>
    <row r="1258" spans="1:18" x14ac:dyDescent="0.35">
      <c r="A1258">
        <v>1257</v>
      </c>
      <c r="B1258" s="1">
        <v>45932</v>
      </c>
      <c r="C1258">
        <v>1360</v>
      </c>
      <c r="D1258" t="s">
        <v>15</v>
      </c>
      <c r="E1258" t="s">
        <v>33</v>
      </c>
      <c r="F1258" t="s">
        <v>34</v>
      </c>
      <c r="G1258">
        <v>2</v>
      </c>
      <c r="H1258">
        <v>0</v>
      </c>
      <c r="I1258" t="s">
        <v>25</v>
      </c>
      <c r="J1258" t="s">
        <v>37</v>
      </c>
      <c r="K1258" t="s">
        <v>26</v>
      </c>
      <c r="L1258">
        <v>9</v>
      </c>
      <c r="M1258">
        <v>0</v>
      </c>
      <c r="N1258">
        <v>0</v>
      </c>
      <c r="O1258" t="s">
        <v>27</v>
      </c>
      <c r="P1258" t="str">
        <f>TEXT(Table1[[#This Row],[order_date]],"yyyy-mm")</f>
        <v>2025-10</v>
      </c>
      <c r="Q1258">
        <f>WEEKNUM(Table1[[#This Row],[order_date]])</f>
        <v>40</v>
      </c>
      <c r="R1258">
        <f>IF(Table1[[#This Row],[order_status]]="completed",1,0)</f>
        <v>0</v>
      </c>
    </row>
    <row r="1259" spans="1:18" x14ac:dyDescent="0.35">
      <c r="A1259">
        <v>1258</v>
      </c>
      <c r="B1259" s="1">
        <v>45854</v>
      </c>
      <c r="C1259">
        <v>1650</v>
      </c>
      <c r="D1259" t="s">
        <v>28</v>
      </c>
      <c r="E1259" t="s">
        <v>23</v>
      </c>
      <c r="F1259" t="s">
        <v>24</v>
      </c>
      <c r="G1259">
        <v>5</v>
      </c>
      <c r="H1259">
        <v>0</v>
      </c>
      <c r="I1259" t="s">
        <v>35</v>
      </c>
      <c r="J1259" t="s">
        <v>31</v>
      </c>
      <c r="K1259" t="s">
        <v>38</v>
      </c>
      <c r="L1259">
        <v>1</v>
      </c>
      <c r="M1259">
        <v>0</v>
      </c>
      <c r="N1259">
        <v>0</v>
      </c>
      <c r="O1259" t="s">
        <v>27</v>
      </c>
      <c r="P1259" t="str">
        <f>TEXT(Table1[[#This Row],[order_date]],"yyyy-mm")</f>
        <v>2025-07</v>
      </c>
      <c r="Q1259">
        <f>WEEKNUM(Table1[[#This Row],[order_date]])</f>
        <v>29</v>
      </c>
      <c r="R1259">
        <f>IF(Table1[[#This Row],[order_status]]="completed",1,0)</f>
        <v>0</v>
      </c>
    </row>
    <row r="1260" spans="1:18" x14ac:dyDescent="0.35">
      <c r="A1260">
        <v>1259</v>
      </c>
      <c r="B1260" s="1">
        <v>45862</v>
      </c>
      <c r="C1260">
        <v>1927</v>
      </c>
      <c r="D1260" t="s">
        <v>28</v>
      </c>
      <c r="E1260" t="s">
        <v>29</v>
      </c>
      <c r="F1260" t="s">
        <v>34</v>
      </c>
      <c r="G1260">
        <v>3</v>
      </c>
      <c r="H1260">
        <v>0</v>
      </c>
      <c r="I1260" t="s">
        <v>25</v>
      </c>
      <c r="J1260" t="s">
        <v>37</v>
      </c>
      <c r="K1260" t="s">
        <v>20</v>
      </c>
      <c r="L1260">
        <v>5</v>
      </c>
      <c r="M1260">
        <v>1</v>
      </c>
      <c r="N1260">
        <v>1</v>
      </c>
      <c r="O1260" t="s">
        <v>21</v>
      </c>
      <c r="P1260" t="str">
        <f>TEXT(Table1[[#This Row],[order_date]],"yyyy-mm")</f>
        <v>2025-07</v>
      </c>
      <c r="Q1260">
        <f>WEEKNUM(Table1[[#This Row],[order_date]])</f>
        <v>30</v>
      </c>
      <c r="R1260">
        <f>IF(Table1[[#This Row],[order_status]]="completed",1,0)</f>
        <v>0</v>
      </c>
    </row>
    <row r="1261" spans="1:18" x14ac:dyDescent="0.35">
      <c r="A1261">
        <v>1260</v>
      </c>
      <c r="B1261" s="1">
        <v>45878</v>
      </c>
      <c r="C1261">
        <v>1404</v>
      </c>
      <c r="D1261" t="s">
        <v>28</v>
      </c>
      <c r="E1261" t="s">
        <v>36</v>
      </c>
      <c r="F1261" t="s">
        <v>24</v>
      </c>
      <c r="G1261">
        <v>2</v>
      </c>
      <c r="H1261">
        <v>8474</v>
      </c>
      <c r="I1261" t="s">
        <v>35</v>
      </c>
      <c r="J1261" t="s">
        <v>19</v>
      </c>
      <c r="K1261" t="s">
        <v>38</v>
      </c>
      <c r="L1261">
        <v>8</v>
      </c>
      <c r="M1261">
        <v>0</v>
      </c>
      <c r="N1261">
        <v>1</v>
      </c>
      <c r="O1261" t="s">
        <v>21</v>
      </c>
      <c r="P1261" t="str">
        <f>TEXT(Table1[[#This Row],[order_date]],"yyyy-mm")</f>
        <v>2025-08</v>
      </c>
      <c r="Q1261">
        <f>WEEKNUM(Table1[[#This Row],[order_date]])</f>
        <v>32</v>
      </c>
      <c r="R1261">
        <f>IF(Table1[[#This Row],[order_status]]="completed",1,0)</f>
        <v>1</v>
      </c>
    </row>
    <row r="1262" spans="1:18" x14ac:dyDescent="0.35">
      <c r="A1262">
        <v>1261</v>
      </c>
      <c r="B1262" s="1">
        <v>45964</v>
      </c>
      <c r="C1262">
        <v>1105</v>
      </c>
      <c r="D1262" t="s">
        <v>22</v>
      </c>
      <c r="E1262" t="s">
        <v>33</v>
      </c>
      <c r="F1262" t="s">
        <v>17</v>
      </c>
      <c r="G1262">
        <v>5</v>
      </c>
      <c r="H1262">
        <v>0</v>
      </c>
      <c r="I1262" t="s">
        <v>25</v>
      </c>
      <c r="J1262" t="s">
        <v>31</v>
      </c>
      <c r="K1262" t="s">
        <v>40</v>
      </c>
      <c r="L1262">
        <v>6</v>
      </c>
      <c r="M1262">
        <v>1</v>
      </c>
      <c r="N1262">
        <v>0</v>
      </c>
      <c r="O1262" t="s">
        <v>21</v>
      </c>
      <c r="P1262" t="str">
        <f>TEXT(Table1[[#This Row],[order_date]],"yyyy-mm")</f>
        <v>2025-11</v>
      </c>
      <c r="Q1262">
        <f>WEEKNUM(Table1[[#This Row],[order_date]])</f>
        <v>45</v>
      </c>
      <c r="R1262">
        <f>IF(Table1[[#This Row],[order_status]]="completed",1,0)</f>
        <v>0</v>
      </c>
    </row>
    <row r="1263" spans="1:18" x14ac:dyDescent="0.35">
      <c r="A1263">
        <v>1262</v>
      </c>
      <c r="B1263" s="1">
        <v>45961</v>
      </c>
      <c r="C1263">
        <v>1535</v>
      </c>
      <c r="D1263" t="s">
        <v>41</v>
      </c>
      <c r="E1263" t="s">
        <v>36</v>
      </c>
      <c r="F1263" t="s">
        <v>17</v>
      </c>
      <c r="G1263">
        <v>4</v>
      </c>
      <c r="H1263">
        <v>1096</v>
      </c>
      <c r="I1263" t="s">
        <v>39</v>
      </c>
      <c r="J1263" t="s">
        <v>19</v>
      </c>
      <c r="K1263" t="s">
        <v>26</v>
      </c>
      <c r="L1263">
        <v>5</v>
      </c>
      <c r="M1263">
        <v>0</v>
      </c>
      <c r="N1263">
        <v>0</v>
      </c>
      <c r="O1263" t="s">
        <v>21</v>
      </c>
      <c r="P1263" t="str">
        <f>TEXT(Table1[[#This Row],[order_date]],"yyyy-mm")</f>
        <v>2025-10</v>
      </c>
      <c r="Q1263">
        <f>WEEKNUM(Table1[[#This Row],[order_date]])</f>
        <v>44</v>
      </c>
      <c r="R1263">
        <f>IF(Table1[[#This Row],[order_status]]="completed",1,0)</f>
        <v>1</v>
      </c>
    </row>
    <row r="1264" spans="1:18" x14ac:dyDescent="0.35">
      <c r="A1264">
        <v>1263</v>
      </c>
      <c r="B1264" s="1">
        <v>46010</v>
      </c>
      <c r="C1264">
        <v>1588</v>
      </c>
      <c r="D1264" t="s">
        <v>41</v>
      </c>
      <c r="E1264" t="s">
        <v>36</v>
      </c>
      <c r="F1264" t="s">
        <v>24</v>
      </c>
      <c r="G1264">
        <v>4</v>
      </c>
      <c r="H1264">
        <v>11672</v>
      </c>
      <c r="I1264" t="s">
        <v>35</v>
      </c>
      <c r="J1264" t="s">
        <v>19</v>
      </c>
      <c r="K1264" t="s">
        <v>26</v>
      </c>
      <c r="L1264">
        <v>1</v>
      </c>
      <c r="M1264">
        <v>0</v>
      </c>
      <c r="N1264">
        <v>0</v>
      </c>
      <c r="O1264" t="s">
        <v>27</v>
      </c>
      <c r="P1264" t="str">
        <f>TEXT(Table1[[#This Row],[order_date]],"yyyy-mm")</f>
        <v>2025-12</v>
      </c>
      <c r="Q1264">
        <f>WEEKNUM(Table1[[#This Row],[order_date]])</f>
        <v>51</v>
      </c>
      <c r="R1264">
        <f>IF(Table1[[#This Row],[order_status]]="completed",1,0)</f>
        <v>1</v>
      </c>
    </row>
    <row r="1265" spans="1:18" x14ac:dyDescent="0.35">
      <c r="A1265">
        <v>1264</v>
      </c>
      <c r="B1265" s="1">
        <v>46030</v>
      </c>
      <c r="C1265">
        <v>1476</v>
      </c>
      <c r="D1265" t="s">
        <v>15</v>
      </c>
      <c r="E1265" t="s">
        <v>16</v>
      </c>
      <c r="F1265" t="s">
        <v>24</v>
      </c>
      <c r="G1265">
        <v>4</v>
      </c>
      <c r="H1265">
        <v>0</v>
      </c>
      <c r="I1265" t="s">
        <v>18</v>
      </c>
      <c r="J1265" t="s">
        <v>31</v>
      </c>
      <c r="K1265" t="s">
        <v>38</v>
      </c>
      <c r="L1265">
        <v>3</v>
      </c>
      <c r="M1265">
        <v>0</v>
      </c>
      <c r="N1265">
        <v>0</v>
      </c>
      <c r="O1265" t="s">
        <v>27</v>
      </c>
      <c r="P1265" t="str">
        <f>TEXT(Table1[[#This Row],[order_date]],"yyyy-mm")</f>
        <v>2026-01</v>
      </c>
      <c r="Q1265">
        <f>WEEKNUM(Table1[[#This Row],[order_date]])</f>
        <v>2</v>
      </c>
      <c r="R1265">
        <f>IF(Table1[[#This Row],[order_status]]="completed",1,0)</f>
        <v>0</v>
      </c>
    </row>
    <row r="1266" spans="1:18" x14ac:dyDescent="0.35">
      <c r="A1266">
        <v>1265</v>
      </c>
      <c r="B1266" s="1">
        <v>45894</v>
      </c>
      <c r="C1266">
        <v>1621</v>
      </c>
      <c r="D1266" t="s">
        <v>15</v>
      </c>
      <c r="E1266" t="s">
        <v>33</v>
      </c>
      <c r="F1266" t="s">
        <v>24</v>
      </c>
      <c r="G1266">
        <v>2</v>
      </c>
      <c r="H1266">
        <v>0</v>
      </c>
      <c r="I1266" t="s">
        <v>39</v>
      </c>
      <c r="J1266" t="s">
        <v>37</v>
      </c>
      <c r="K1266" t="s">
        <v>38</v>
      </c>
      <c r="L1266">
        <v>2</v>
      </c>
      <c r="M1266">
        <v>1</v>
      </c>
      <c r="N1266">
        <v>1</v>
      </c>
      <c r="O1266" t="s">
        <v>21</v>
      </c>
      <c r="P1266" t="str">
        <f>TEXT(Table1[[#This Row],[order_date]],"yyyy-mm")</f>
        <v>2025-08</v>
      </c>
      <c r="Q1266">
        <f>WEEKNUM(Table1[[#This Row],[order_date]])</f>
        <v>35</v>
      </c>
      <c r="R1266">
        <f>IF(Table1[[#This Row],[order_status]]="completed",1,0)</f>
        <v>0</v>
      </c>
    </row>
    <row r="1267" spans="1:18" x14ac:dyDescent="0.35">
      <c r="A1267">
        <v>1266</v>
      </c>
      <c r="B1267" s="1">
        <v>45944</v>
      </c>
      <c r="C1267">
        <v>1716</v>
      </c>
      <c r="D1267" t="s">
        <v>22</v>
      </c>
      <c r="E1267" t="s">
        <v>23</v>
      </c>
      <c r="F1267" t="s">
        <v>24</v>
      </c>
      <c r="G1267">
        <v>1</v>
      </c>
      <c r="H1267">
        <v>0</v>
      </c>
      <c r="I1267" t="s">
        <v>18</v>
      </c>
      <c r="J1267" t="s">
        <v>37</v>
      </c>
      <c r="K1267" t="s">
        <v>38</v>
      </c>
      <c r="L1267">
        <v>6</v>
      </c>
      <c r="M1267">
        <v>0</v>
      </c>
      <c r="N1267">
        <v>1</v>
      </c>
      <c r="O1267" t="s">
        <v>27</v>
      </c>
      <c r="P1267" t="str">
        <f>TEXT(Table1[[#This Row],[order_date]],"yyyy-mm")</f>
        <v>2025-10</v>
      </c>
      <c r="Q1267">
        <f>WEEKNUM(Table1[[#This Row],[order_date]])</f>
        <v>42</v>
      </c>
      <c r="R1267">
        <f>IF(Table1[[#This Row],[order_status]]="completed",1,0)</f>
        <v>0</v>
      </c>
    </row>
    <row r="1268" spans="1:18" x14ac:dyDescent="0.35">
      <c r="A1268">
        <v>1267</v>
      </c>
      <c r="B1268" s="1">
        <v>45910</v>
      </c>
      <c r="C1268">
        <v>1305</v>
      </c>
      <c r="D1268" t="s">
        <v>15</v>
      </c>
      <c r="E1268" t="s">
        <v>23</v>
      </c>
      <c r="F1268" t="s">
        <v>17</v>
      </c>
      <c r="G1268">
        <v>2</v>
      </c>
      <c r="H1268">
        <v>0</v>
      </c>
      <c r="I1268" t="s">
        <v>39</v>
      </c>
      <c r="J1268" t="s">
        <v>37</v>
      </c>
      <c r="K1268" t="s">
        <v>26</v>
      </c>
      <c r="L1268">
        <v>2</v>
      </c>
      <c r="M1268">
        <v>0</v>
      </c>
      <c r="N1268">
        <v>1</v>
      </c>
      <c r="O1268" t="s">
        <v>21</v>
      </c>
      <c r="P1268" t="str">
        <f>TEXT(Table1[[#This Row],[order_date]],"yyyy-mm")</f>
        <v>2025-09</v>
      </c>
      <c r="Q1268">
        <f>WEEKNUM(Table1[[#This Row],[order_date]])</f>
        <v>37</v>
      </c>
      <c r="R1268">
        <f>IF(Table1[[#This Row],[order_status]]="completed",1,0)</f>
        <v>0</v>
      </c>
    </row>
    <row r="1269" spans="1:18" x14ac:dyDescent="0.35">
      <c r="A1269">
        <v>1268</v>
      </c>
      <c r="B1269" s="1">
        <v>45937</v>
      </c>
      <c r="C1269">
        <v>1806</v>
      </c>
      <c r="D1269" t="s">
        <v>28</v>
      </c>
      <c r="E1269" t="s">
        <v>16</v>
      </c>
      <c r="F1269" t="s">
        <v>24</v>
      </c>
      <c r="G1269">
        <v>1</v>
      </c>
      <c r="H1269">
        <v>0</v>
      </c>
      <c r="I1269" t="s">
        <v>39</v>
      </c>
      <c r="J1269" t="s">
        <v>31</v>
      </c>
      <c r="K1269" t="s">
        <v>40</v>
      </c>
      <c r="L1269">
        <v>7</v>
      </c>
      <c r="M1269">
        <v>0</v>
      </c>
      <c r="N1269">
        <v>1</v>
      </c>
      <c r="O1269" t="s">
        <v>21</v>
      </c>
      <c r="P1269" t="str">
        <f>TEXT(Table1[[#This Row],[order_date]],"yyyy-mm")</f>
        <v>2025-10</v>
      </c>
      <c r="Q1269">
        <f>WEEKNUM(Table1[[#This Row],[order_date]])</f>
        <v>41</v>
      </c>
      <c r="R1269">
        <f>IF(Table1[[#This Row],[order_status]]="completed",1,0)</f>
        <v>0</v>
      </c>
    </row>
    <row r="1270" spans="1:18" x14ac:dyDescent="0.35">
      <c r="A1270">
        <v>1269</v>
      </c>
      <c r="B1270" s="1">
        <v>45966</v>
      </c>
      <c r="C1270">
        <v>1357</v>
      </c>
      <c r="D1270" t="s">
        <v>41</v>
      </c>
      <c r="E1270" t="s">
        <v>36</v>
      </c>
      <c r="F1270" t="s">
        <v>30</v>
      </c>
      <c r="G1270">
        <v>1</v>
      </c>
      <c r="H1270">
        <v>3440</v>
      </c>
      <c r="I1270" t="s">
        <v>25</v>
      </c>
      <c r="J1270" t="s">
        <v>19</v>
      </c>
      <c r="K1270" t="s">
        <v>38</v>
      </c>
      <c r="L1270">
        <v>3</v>
      </c>
      <c r="M1270">
        <v>0</v>
      </c>
      <c r="N1270">
        <v>0</v>
      </c>
      <c r="O1270" t="s">
        <v>27</v>
      </c>
      <c r="P1270" t="str">
        <f>TEXT(Table1[[#This Row],[order_date]],"yyyy-mm")</f>
        <v>2025-11</v>
      </c>
      <c r="Q1270">
        <f>WEEKNUM(Table1[[#This Row],[order_date]])</f>
        <v>45</v>
      </c>
      <c r="R1270">
        <f>IF(Table1[[#This Row],[order_status]]="completed",1,0)</f>
        <v>1</v>
      </c>
    </row>
    <row r="1271" spans="1:18" x14ac:dyDescent="0.35">
      <c r="A1271">
        <v>1270</v>
      </c>
      <c r="B1271" s="1">
        <v>45894</v>
      </c>
      <c r="C1271">
        <v>1848</v>
      </c>
      <c r="D1271" t="s">
        <v>22</v>
      </c>
      <c r="E1271" t="s">
        <v>33</v>
      </c>
      <c r="F1271" t="s">
        <v>17</v>
      </c>
      <c r="G1271">
        <v>3</v>
      </c>
      <c r="H1271">
        <v>0</v>
      </c>
      <c r="I1271" t="s">
        <v>39</v>
      </c>
      <c r="J1271" t="s">
        <v>37</v>
      </c>
      <c r="K1271" t="s">
        <v>38</v>
      </c>
      <c r="L1271">
        <v>3</v>
      </c>
      <c r="M1271">
        <v>1</v>
      </c>
      <c r="N1271">
        <v>1</v>
      </c>
      <c r="O1271" t="s">
        <v>27</v>
      </c>
      <c r="P1271" t="str">
        <f>TEXT(Table1[[#This Row],[order_date]],"yyyy-mm")</f>
        <v>2025-08</v>
      </c>
      <c r="Q1271">
        <f>WEEKNUM(Table1[[#This Row],[order_date]])</f>
        <v>35</v>
      </c>
      <c r="R1271">
        <f>IF(Table1[[#This Row],[order_status]]="completed",1,0)</f>
        <v>0</v>
      </c>
    </row>
    <row r="1272" spans="1:18" x14ac:dyDescent="0.35">
      <c r="A1272">
        <v>1271</v>
      </c>
      <c r="B1272" s="1">
        <v>45916</v>
      </c>
      <c r="C1272">
        <v>1268</v>
      </c>
      <c r="D1272" t="s">
        <v>41</v>
      </c>
      <c r="E1272" t="s">
        <v>16</v>
      </c>
      <c r="F1272" t="s">
        <v>24</v>
      </c>
      <c r="G1272">
        <v>4</v>
      </c>
      <c r="H1272">
        <v>17444</v>
      </c>
      <c r="I1272" t="s">
        <v>35</v>
      </c>
      <c r="J1272" t="s">
        <v>19</v>
      </c>
      <c r="K1272" t="s">
        <v>40</v>
      </c>
      <c r="L1272">
        <v>1</v>
      </c>
      <c r="M1272">
        <v>0</v>
      </c>
      <c r="N1272">
        <v>0</v>
      </c>
      <c r="O1272" t="s">
        <v>27</v>
      </c>
      <c r="P1272" t="str">
        <f>TEXT(Table1[[#This Row],[order_date]],"yyyy-mm")</f>
        <v>2025-09</v>
      </c>
      <c r="Q1272">
        <f>WEEKNUM(Table1[[#This Row],[order_date]])</f>
        <v>38</v>
      </c>
      <c r="R1272">
        <f>IF(Table1[[#This Row],[order_status]]="completed",1,0)</f>
        <v>1</v>
      </c>
    </row>
    <row r="1273" spans="1:18" x14ac:dyDescent="0.35">
      <c r="A1273">
        <v>1272</v>
      </c>
      <c r="B1273" s="1">
        <v>46031</v>
      </c>
      <c r="C1273">
        <v>1423</v>
      </c>
      <c r="D1273" t="s">
        <v>15</v>
      </c>
      <c r="E1273" t="s">
        <v>16</v>
      </c>
      <c r="F1273" t="s">
        <v>30</v>
      </c>
      <c r="G1273">
        <v>3</v>
      </c>
      <c r="H1273">
        <v>0</v>
      </c>
      <c r="I1273" t="s">
        <v>39</v>
      </c>
      <c r="J1273" t="s">
        <v>31</v>
      </c>
      <c r="K1273" t="s">
        <v>38</v>
      </c>
      <c r="L1273">
        <v>1</v>
      </c>
      <c r="M1273">
        <v>0</v>
      </c>
      <c r="N1273">
        <v>1</v>
      </c>
      <c r="O1273" t="s">
        <v>21</v>
      </c>
      <c r="P1273" t="str">
        <f>TEXT(Table1[[#This Row],[order_date]],"yyyy-mm")</f>
        <v>2026-01</v>
      </c>
      <c r="Q1273">
        <f>WEEKNUM(Table1[[#This Row],[order_date]])</f>
        <v>2</v>
      </c>
      <c r="R1273">
        <f>IF(Table1[[#This Row],[order_status]]="completed",1,0)</f>
        <v>0</v>
      </c>
    </row>
    <row r="1274" spans="1:18" x14ac:dyDescent="0.35">
      <c r="A1274">
        <v>1273</v>
      </c>
      <c r="B1274" s="1">
        <v>45989</v>
      </c>
      <c r="C1274">
        <v>1259</v>
      </c>
      <c r="D1274" t="s">
        <v>28</v>
      </c>
      <c r="E1274" t="s">
        <v>33</v>
      </c>
      <c r="F1274" t="s">
        <v>17</v>
      </c>
      <c r="G1274">
        <v>3</v>
      </c>
      <c r="H1274">
        <v>6774</v>
      </c>
      <c r="I1274" t="s">
        <v>35</v>
      </c>
      <c r="J1274" t="s">
        <v>19</v>
      </c>
      <c r="K1274" t="s">
        <v>38</v>
      </c>
      <c r="L1274">
        <v>10</v>
      </c>
      <c r="M1274">
        <v>1</v>
      </c>
      <c r="N1274">
        <v>0</v>
      </c>
      <c r="O1274" t="s">
        <v>21</v>
      </c>
      <c r="P1274" t="str">
        <f>TEXT(Table1[[#This Row],[order_date]],"yyyy-mm")</f>
        <v>2025-11</v>
      </c>
      <c r="Q1274">
        <f>WEEKNUM(Table1[[#This Row],[order_date]])</f>
        <v>48</v>
      </c>
      <c r="R1274">
        <f>IF(Table1[[#This Row],[order_status]]="completed",1,0)</f>
        <v>1</v>
      </c>
    </row>
    <row r="1275" spans="1:18" x14ac:dyDescent="0.35">
      <c r="A1275">
        <v>1274</v>
      </c>
      <c r="B1275" s="1">
        <v>45961</v>
      </c>
      <c r="C1275">
        <v>1261</v>
      </c>
      <c r="D1275" t="s">
        <v>32</v>
      </c>
      <c r="E1275" t="s">
        <v>36</v>
      </c>
      <c r="F1275" t="s">
        <v>17</v>
      </c>
      <c r="G1275">
        <v>5</v>
      </c>
      <c r="H1275">
        <v>0</v>
      </c>
      <c r="I1275" t="s">
        <v>25</v>
      </c>
      <c r="J1275" t="s">
        <v>31</v>
      </c>
      <c r="K1275" t="s">
        <v>26</v>
      </c>
      <c r="L1275">
        <v>4</v>
      </c>
      <c r="M1275">
        <v>0</v>
      </c>
      <c r="N1275">
        <v>1</v>
      </c>
      <c r="O1275" t="s">
        <v>27</v>
      </c>
      <c r="P1275" t="str">
        <f>TEXT(Table1[[#This Row],[order_date]],"yyyy-mm")</f>
        <v>2025-10</v>
      </c>
      <c r="Q1275">
        <f>WEEKNUM(Table1[[#This Row],[order_date]])</f>
        <v>44</v>
      </c>
      <c r="R1275">
        <f>IF(Table1[[#This Row],[order_status]]="completed",1,0)</f>
        <v>0</v>
      </c>
    </row>
    <row r="1276" spans="1:18" x14ac:dyDescent="0.35">
      <c r="A1276">
        <v>1275</v>
      </c>
      <c r="B1276" s="1">
        <v>45949</v>
      </c>
      <c r="C1276">
        <v>1362</v>
      </c>
      <c r="D1276" t="s">
        <v>22</v>
      </c>
      <c r="E1276" t="s">
        <v>23</v>
      </c>
      <c r="F1276" t="s">
        <v>24</v>
      </c>
      <c r="G1276">
        <v>1</v>
      </c>
      <c r="H1276">
        <v>1467</v>
      </c>
      <c r="I1276" t="s">
        <v>25</v>
      </c>
      <c r="J1276" t="s">
        <v>19</v>
      </c>
      <c r="K1276" t="s">
        <v>40</v>
      </c>
      <c r="L1276">
        <v>1</v>
      </c>
      <c r="M1276">
        <v>1</v>
      </c>
      <c r="N1276">
        <v>0</v>
      </c>
      <c r="O1276" t="s">
        <v>21</v>
      </c>
      <c r="P1276" t="str">
        <f>TEXT(Table1[[#This Row],[order_date]],"yyyy-mm")</f>
        <v>2025-10</v>
      </c>
      <c r="Q1276">
        <f>WEEKNUM(Table1[[#This Row],[order_date]])</f>
        <v>43</v>
      </c>
      <c r="R1276">
        <f>IF(Table1[[#This Row],[order_status]]="completed",1,0)</f>
        <v>1</v>
      </c>
    </row>
    <row r="1277" spans="1:18" x14ac:dyDescent="0.35">
      <c r="A1277">
        <v>1276</v>
      </c>
      <c r="B1277" s="1">
        <v>46019</v>
      </c>
      <c r="C1277">
        <v>1936</v>
      </c>
      <c r="D1277" t="s">
        <v>32</v>
      </c>
      <c r="E1277" t="s">
        <v>16</v>
      </c>
      <c r="F1277" t="s">
        <v>30</v>
      </c>
      <c r="G1277">
        <v>5</v>
      </c>
      <c r="H1277">
        <v>0</v>
      </c>
      <c r="I1277" t="s">
        <v>25</v>
      </c>
      <c r="J1277" t="s">
        <v>31</v>
      </c>
      <c r="K1277" t="s">
        <v>26</v>
      </c>
      <c r="L1277">
        <v>9</v>
      </c>
      <c r="M1277">
        <v>0</v>
      </c>
      <c r="N1277">
        <v>0</v>
      </c>
      <c r="O1277" t="s">
        <v>21</v>
      </c>
      <c r="P1277" t="str">
        <f>TEXT(Table1[[#This Row],[order_date]],"yyyy-mm")</f>
        <v>2025-12</v>
      </c>
      <c r="Q1277">
        <f>WEEKNUM(Table1[[#This Row],[order_date]])</f>
        <v>53</v>
      </c>
      <c r="R1277">
        <f>IF(Table1[[#This Row],[order_status]]="completed",1,0)</f>
        <v>0</v>
      </c>
    </row>
    <row r="1278" spans="1:18" x14ac:dyDescent="0.35">
      <c r="A1278">
        <v>1277</v>
      </c>
      <c r="B1278" s="1">
        <v>46008</v>
      </c>
      <c r="C1278">
        <v>2000</v>
      </c>
      <c r="D1278" t="s">
        <v>32</v>
      </c>
      <c r="E1278" t="s">
        <v>29</v>
      </c>
      <c r="F1278" t="s">
        <v>17</v>
      </c>
      <c r="G1278">
        <v>3</v>
      </c>
      <c r="H1278">
        <v>0</v>
      </c>
      <c r="I1278" t="s">
        <v>35</v>
      </c>
      <c r="J1278" t="s">
        <v>31</v>
      </c>
      <c r="K1278" t="s">
        <v>20</v>
      </c>
      <c r="L1278">
        <v>3</v>
      </c>
      <c r="M1278">
        <v>1</v>
      </c>
      <c r="N1278">
        <v>1</v>
      </c>
      <c r="O1278" t="s">
        <v>27</v>
      </c>
      <c r="P1278" t="str">
        <f>TEXT(Table1[[#This Row],[order_date]],"yyyy-mm")</f>
        <v>2025-12</v>
      </c>
      <c r="Q1278">
        <f>WEEKNUM(Table1[[#This Row],[order_date]])</f>
        <v>51</v>
      </c>
      <c r="R1278">
        <f>IF(Table1[[#This Row],[order_status]]="completed",1,0)</f>
        <v>0</v>
      </c>
    </row>
    <row r="1279" spans="1:18" x14ac:dyDescent="0.35">
      <c r="A1279">
        <v>1278</v>
      </c>
      <c r="B1279" s="1">
        <v>45945</v>
      </c>
      <c r="C1279">
        <v>1382</v>
      </c>
      <c r="D1279" t="s">
        <v>15</v>
      </c>
      <c r="E1279" t="s">
        <v>29</v>
      </c>
      <c r="F1279" t="s">
        <v>24</v>
      </c>
      <c r="G1279">
        <v>4</v>
      </c>
      <c r="H1279">
        <v>0</v>
      </c>
      <c r="I1279" t="s">
        <v>39</v>
      </c>
      <c r="J1279" t="s">
        <v>31</v>
      </c>
      <c r="K1279" t="s">
        <v>20</v>
      </c>
      <c r="L1279">
        <v>3</v>
      </c>
      <c r="M1279">
        <v>0</v>
      </c>
      <c r="N1279">
        <v>0</v>
      </c>
      <c r="O1279" t="s">
        <v>27</v>
      </c>
      <c r="P1279" t="str">
        <f>TEXT(Table1[[#This Row],[order_date]],"yyyy-mm")</f>
        <v>2025-10</v>
      </c>
      <c r="Q1279">
        <f>WEEKNUM(Table1[[#This Row],[order_date]])</f>
        <v>42</v>
      </c>
      <c r="R1279">
        <f>IF(Table1[[#This Row],[order_status]]="completed",1,0)</f>
        <v>0</v>
      </c>
    </row>
    <row r="1280" spans="1:18" x14ac:dyDescent="0.35">
      <c r="A1280">
        <v>1279</v>
      </c>
      <c r="B1280" s="1">
        <v>45930</v>
      </c>
      <c r="C1280">
        <v>1040</v>
      </c>
      <c r="D1280" t="s">
        <v>28</v>
      </c>
      <c r="E1280" t="s">
        <v>16</v>
      </c>
      <c r="F1280" t="s">
        <v>34</v>
      </c>
      <c r="G1280">
        <v>3</v>
      </c>
      <c r="H1280">
        <v>5295</v>
      </c>
      <c r="I1280" t="s">
        <v>25</v>
      </c>
      <c r="J1280" t="s">
        <v>19</v>
      </c>
      <c r="K1280" t="s">
        <v>20</v>
      </c>
      <c r="L1280">
        <v>7</v>
      </c>
      <c r="M1280">
        <v>1</v>
      </c>
      <c r="N1280">
        <v>0</v>
      </c>
      <c r="O1280" t="s">
        <v>21</v>
      </c>
      <c r="P1280" t="str">
        <f>TEXT(Table1[[#This Row],[order_date]],"yyyy-mm")</f>
        <v>2025-09</v>
      </c>
      <c r="Q1280">
        <f>WEEKNUM(Table1[[#This Row],[order_date]])</f>
        <v>40</v>
      </c>
      <c r="R1280">
        <f>IF(Table1[[#This Row],[order_status]]="completed",1,0)</f>
        <v>1</v>
      </c>
    </row>
    <row r="1281" spans="1:18" x14ac:dyDescent="0.35">
      <c r="A1281">
        <v>1280</v>
      </c>
      <c r="B1281" s="1">
        <v>45949</v>
      </c>
      <c r="C1281">
        <v>1687</v>
      </c>
      <c r="D1281" t="s">
        <v>41</v>
      </c>
      <c r="E1281" t="s">
        <v>36</v>
      </c>
      <c r="F1281" t="s">
        <v>17</v>
      </c>
      <c r="G1281">
        <v>4</v>
      </c>
      <c r="H1281">
        <v>0</v>
      </c>
      <c r="I1281" t="s">
        <v>39</v>
      </c>
      <c r="J1281" t="s">
        <v>31</v>
      </c>
      <c r="K1281" t="s">
        <v>26</v>
      </c>
      <c r="L1281">
        <v>3</v>
      </c>
      <c r="M1281">
        <v>0</v>
      </c>
      <c r="N1281">
        <v>1</v>
      </c>
      <c r="O1281" t="s">
        <v>21</v>
      </c>
      <c r="P1281" t="str">
        <f>TEXT(Table1[[#This Row],[order_date]],"yyyy-mm")</f>
        <v>2025-10</v>
      </c>
      <c r="Q1281">
        <f>WEEKNUM(Table1[[#This Row],[order_date]])</f>
        <v>43</v>
      </c>
      <c r="R1281">
        <f>IF(Table1[[#This Row],[order_status]]="completed",1,0)</f>
        <v>0</v>
      </c>
    </row>
    <row r="1282" spans="1:18" x14ac:dyDescent="0.35">
      <c r="A1282">
        <v>1281</v>
      </c>
      <c r="B1282" s="1">
        <v>45904</v>
      </c>
      <c r="C1282">
        <v>1921</v>
      </c>
      <c r="D1282" t="s">
        <v>28</v>
      </c>
      <c r="E1282" t="s">
        <v>23</v>
      </c>
      <c r="F1282" t="s">
        <v>24</v>
      </c>
      <c r="G1282">
        <v>5</v>
      </c>
      <c r="H1282">
        <v>0</v>
      </c>
      <c r="I1282" t="s">
        <v>35</v>
      </c>
      <c r="J1282" t="s">
        <v>37</v>
      </c>
      <c r="K1282" t="s">
        <v>20</v>
      </c>
      <c r="L1282">
        <v>2</v>
      </c>
      <c r="M1282">
        <v>1</v>
      </c>
      <c r="N1282">
        <v>1</v>
      </c>
      <c r="O1282" t="s">
        <v>27</v>
      </c>
      <c r="P1282" t="str">
        <f>TEXT(Table1[[#This Row],[order_date]],"yyyy-mm")</f>
        <v>2025-09</v>
      </c>
      <c r="Q1282">
        <f>WEEKNUM(Table1[[#This Row],[order_date]])</f>
        <v>36</v>
      </c>
      <c r="R1282">
        <f>IF(Table1[[#This Row],[order_status]]="completed",1,0)</f>
        <v>0</v>
      </c>
    </row>
    <row r="1283" spans="1:18" x14ac:dyDescent="0.35">
      <c r="A1283">
        <v>1282</v>
      </c>
      <c r="B1283" s="1">
        <v>45916</v>
      </c>
      <c r="C1283">
        <v>1817</v>
      </c>
      <c r="D1283" t="s">
        <v>41</v>
      </c>
      <c r="E1283" t="s">
        <v>33</v>
      </c>
      <c r="F1283" t="s">
        <v>30</v>
      </c>
      <c r="G1283">
        <v>4</v>
      </c>
      <c r="H1283">
        <v>0</v>
      </c>
      <c r="I1283" t="s">
        <v>18</v>
      </c>
      <c r="J1283" t="s">
        <v>37</v>
      </c>
      <c r="K1283" t="s">
        <v>40</v>
      </c>
      <c r="L1283">
        <v>10</v>
      </c>
      <c r="M1283">
        <v>1</v>
      </c>
      <c r="N1283">
        <v>0</v>
      </c>
      <c r="O1283" t="s">
        <v>21</v>
      </c>
      <c r="P1283" t="str">
        <f>TEXT(Table1[[#This Row],[order_date]],"yyyy-mm")</f>
        <v>2025-09</v>
      </c>
      <c r="Q1283">
        <f>WEEKNUM(Table1[[#This Row],[order_date]])</f>
        <v>38</v>
      </c>
      <c r="R1283">
        <f>IF(Table1[[#This Row],[order_status]]="completed",1,0)</f>
        <v>0</v>
      </c>
    </row>
    <row r="1284" spans="1:18" x14ac:dyDescent="0.35">
      <c r="A1284">
        <v>1283</v>
      </c>
      <c r="B1284" s="1">
        <v>45955</v>
      </c>
      <c r="C1284">
        <v>1612</v>
      </c>
      <c r="D1284" t="s">
        <v>28</v>
      </c>
      <c r="E1284" t="s">
        <v>33</v>
      </c>
      <c r="F1284" t="s">
        <v>34</v>
      </c>
      <c r="G1284">
        <v>3</v>
      </c>
      <c r="H1284">
        <v>0</v>
      </c>
      <c r="I1284" t="s">
        <v>39</v>
      </c>
      <c r="J1284" t="s">
        <v>37</v>
      </c>
      <c r="K1284" t="s">
        <v>40</v>
      </c>
      <c r="L1284">
        <v>6</v>
      </c>
      <c r="M1284">
        <v>0</v>
      </c>
      <c r="N1284">
        <v>1</v>
      </c>
      <c r="O1284" t="s">
        <v>27</v>
      </c>
      <c r="P1284" t="str">
        <f>TEXT(Table1[[#This Row],[order_date]],"yyyy-mm")</f>
        <v>2025-10</v>
      </c>
      <c r="Q1284">
        <f>WEEKNUM(Table1[[#This Row],[order_date]])</f>
        <v>43</v>
      </c>
      <c r="R1284">
        <f>IF(Table1[[#This Row],[order_status]]="completed",1,0)</f>
        <v>0</v>
      </c>
    </row>
    <row r="1285" spans="1:18" x14ac:dyDescent="0.35">
      <c r="A1285">
        <v>1284</v>
      </c>
      <c r="B1285" s="1">
        <v>45984</v>
      </c>
      <c r="C1285">
        <v>1610</v>
      </c>
      <c r="D1285" t="s">
        <v>22</v>
      </c>
      <c r="E1285" t="s">
        <v>16</v>
      </c>
      <c r="F1285" t="s">
        <v>24</v>
      </c>
      <c r="G1285">
        <v>1</v>
      </c>
      <c r="H1285">
        <v>4432</v>
      </c>
      <c r="I1285" t="s">
        <v>18</v>
      </c>
      <c r="J1285" t="s">
        <v>19</v>
      </c>
      <c r="K1285" t="s">
        <v>38</v>
      </c>
      <c r="L1285">
        <v>4</v>
      </c>
      <c r="M1285">
        <v>1</v>
      </c>
      <c r="N1285">
        <v>1</v>
      </c>
      <c r="O1285" t="s">
        <v>21</v>
      </c>
      <c r="P1285" t="str">
        <f>TEXT(Table1[[#This Row],[order_date]],"yyyy-mm")</f>
        <v>2025-11</v>
      </c>
      <c r="Q1285">
        <f>WEEKNUM(Table1[[#This Row],[order_date]])</f>
        <v>48</v>
      </c>
      <c r="R1285">
        <f>IF(Table1[[#This Row],[order_status]]="completed",1,0)</f>
        <v>1</v>
      </c>
    </row>
    <row r="1286" spans="1:18" x14ac:dyDescent="0.35">
      <c r="A1286">
        <v>1285</v>
      </c>
      <c r="B1286" s="1">
        <v>45960</v>
      </c>
      <c r="C1286">
        <v>1327</v>
      </c>
      <c r="D1286" t="s">
        <v>41</v>
      </c>
      <c r="E1286" t="s">
        <v>16</v>
      </c>
      <c r="F1286" t="s">
        <v>34</v>
      </c>
      <c r="G1286">
        <v>3</v>
      </c>
      <c r="H1286">
        <v>0</v>
      </c>
      <c r="I1286" t="s">
        <v>25</v>
      </c>
      <c r="J1286" t="s">
        <v>37</v>
      </c>
      <c r="K1286" t="s">
        <v>40</v>
      </c>
      <c r="L1286">
        <v>9</v>
      </c>
      <c r="M1286">
        <v>1</v>
      </c>
      <c r="N1286">
        <v>0</v>
      </c>
      <c r="O1286" t="s">
        <v>21</v>
      </c>
      <c r="P1286" t="str">
        <f>TEXT(Table1[[#This Row],[order_date]],"yyyy-mm")</f>
        <v>2025-10</v>
      </c>
      <c r="Q1286">
        <f>WEEKNUM(Table1[[#This Row],[order_date]])</f>
        <v>44</v>
      </c>
      <c r="R1286">
        <f>IF(Table1[[#This Row],[order_status]]="completed",1,0)</f>
        <v>0</v>
      </c>
    </row>
    <row r="1287" spans="1:18" x14ac:dyDescent="0.35">
      <c r="A1287">
        <v>1286</v>
      </c>
      <c r="B1287" s="1">
        <v>45920</v>
      </c>
      <c r="C1287">
        <v>1218</v>
      </c>
      <c r="D1287" t="s">
        <v>22</v>
      </c>
      <c r="E1287" t="s">
        <v>33</v>
      </c>
      <c r="F1287" t="s">
        <v>34</v>
      </c>
      <c r="G1287">
        <v>1</v>
      </c>
      <c r="H1287">
        <v>0</v>
      </c>
      <c r="I1287" t="s">
        <v>39</v>
      </c>
      <c r="J1287" t="s">
        <v>37</v>
      </c>
      <c r="K1287" t="s">
        <v>20</v>
      </c>
      <c r="L1287">
        <v>3</v>
      </c>
      <c r="M1287">
        <v>1</v>
      </c>
      <c r="N1287">
        <v>0</v>
      </c>
      <c r="O1287" t="s">
        <v>21</v>
      </c>
      <c r="P1287" t="str">
        <f>TEXT(Table1[[#This Row],[order_date]],"yyyy-mm")</f>
        <v>2025-09</v>
      </c>
      <c r="Q1287">
        <f>WEEKNUM(Table1[[#This Row],[order_date]])</f>
        <v>38</v>
      </c>
      <c r="R1287">
        <f>IF(Table1[[#This Row],[order_status]]="completed",1,0)</f>
        <v>0</v>
      </c>
    </row>
    <row r="1288" spans="1:18" x14ac:dyDescent="0.35">
      <c r="A1288">
        <v>1287</v>
      </c>
      <c r="B1288" s="1">
        <v>45936</v>
      </c>
      <c r="C1288">
        <v>1799</v>
      </c>
      <c r="D1288" t="s">
        <v>22</v>
      </c>
      <c r="E1288" t="s">
        <v>36</v>
      </c>
      <c r="F1288" t="s">
        <v>17</v>
      </c>
      <c r="G1288">
        <v>1</v>
      </c>
      <c r="H1288">
        <v>0</v>
      </c>
      <c r="I1288" t="s">
        <v>18</v>
      </c>
      <c r="J1288" t="s">
        <v>37</v>
      </c>
      <c r="K1288" t="s">
        <v>20</v>
      </c>
      <c r="L1288">
        <v>8</v>
      </c>
      <c r="M1288">
        <v>1</v>
      </c>
      <c r="N1288">
        <v>1</v>
      </c>
      <c r="O1288" t="s">
        <v>27</v>
      </c>
      <c r="P1288" t="str">
        <f>TEXT(Table1[[#This Row],[order_date]],"yyyy-mm")</f>
        <v>2025-10</v>
      </c>
      <c r="Q1288">
        <f>WEEKNUM(Table1[[#This Row],[order_date]])</f>
        <v>41</v>
      </c>
      <c r="R1288">
        <f>IF(Table1[[#This Row],[order_status]]="completed",1,0)</f>
        <v>0</v>
      </c>
    </row>
    <row r="1289" spans="1:18" x14ac:dyDescent="0.35">
      <c r="A1289">
        <v>1288</v>
      </c>
      <c r="B1289" s="1">
        <v>45913</v>
      </c>
      <c r="C1289">
        <v>1155</v>
      </c>
      <c r="D1289" t="s">
        <v>22</v>
      </c>
      <c r="E1289" t="s">
        <v>16</v>
      </c>
      <c r="F1289" t="s">
        <v>17</v>
      </c>
      <c r="G1289">
        <v>3</v>
      </c>
      <c r="H1289">
        <v>0</v>
      </c>
      <c r="I1289" t="s">
        <v>35</v>
      </c>
      <c r="J1289" t="s">
        <v>31</v>
      </c>
      <c r="K1289" t="s">
        <v>40</v>
      </c>
      <c r="L1289">
        <v>2</v>
      </c>
      <c r="M1289">
        <v>0</v>
      </c>
      <c r="N1289">
        <v>1</v>
      </c>
      <c r="O1289" t="s">
        <v>27</v>
      </c>
      <c r="P1289" t="str">
        <f>TEXT(Table1[[#This Row],[order_date]],"yyyy-mm")</f>
        <v>2025-09</v>
      </c>
      <c r="Q1289">
        <f>WEEKNUM(Table1[[#This Row],[order_date]])</f>
        <v>37</v>
      </c>
      <c r="R1289">
        <f>IF(Table1[[#This Row],[order_status]]="completed",1,0)</f>
        <v>0</v>
      </c>
    </row>
    <row r="1290" spans="1:18" x14ac:dyDescent="0.35">
      <c r="A1290">
        <v>1289</v>
      </c>
      <c r="B1290" s="1">
        <v>45956</v>
      </c>
      <c r="C1290">
        <v>1494</v>
      </c>
      <c r="D1290" t="s">
        <v>28</v>
      </c>
      <c r="E1290" t="s">
        <v>23</v>
      </c>
      <c r="F1290" t="s">
        <v>24</v>
      </c>
      <c r="G1290">
        <v>4</v>
      </c>
      <c r="H1290">
        <v>0</v>
      </c>
      <c r="I1290" t="s">
        <v>39</v>
      </c>
      <c r="J1290" t="s">
        <v>31</v>
      </c>
      <c r="K1290" t="s">
        <v>26</v>
      </c>
      <c r="L1290">
        <v>6</v>
      </c>
      <c r="M1290">
        <v>1</v>
      </c>
      <c r="N1290">
        <v>1</v>
      </c>
      <c r="O1290" t="s">
        <v>27</v>
      </c>
      <c r="P1290" t="str">
        <f>TEXT(Table1[[#This Row],[order_date]],"yyyy-mm")</f>
        <v>2025-10</v>
      </c>
      <c r="Q1290">
        <f>WEEKNUM(Table1[[#This Row],[order_date]])</f>
        <v>44</v>
      </c>
      <c r="R1290">
        <f>IF(Table1[[#This Row],[order_status]]="completed",1,0)</f>
        <v>0</v>
      </c>
    </row>
    <row r="1291" spans="1:18" x14ac:dyDescent="0.35">
      <c r="A1291">
        <v>1290</v>
      </c>
      <c r="B1291" s="1">
        <v>45884</v>
      </c>
      <c r="C1291">
        <v>1328</v>
      </c>
      <c r="D1291" t="s">
        <v>28</v>
      </c>
      <c r="E1291" t="s">
        <v>16</v>
      </c>
      <c r="F1291" t="s">
        <v>34</v>
      </c>
      <c r="G1291">
        <v>1</v>
      </c>
      <c r="H1291">
        <v>0</v>
      </c>
      <c r="I1291" t="s">
        <v>18</v>
      </c>
      <c r="J1291" t="s">
        <v>31</v>
      </c>
      <c r="K1291" t="s">
        <v>26</v>
      </c>
      <c r="L1291">
        <v>3</v>
      </c>
      <c r="M1291">
        <v>1</v>
      </c>
      <c r="N1291">
        <v>1</v>
      </c>
      <c r="O1291" t="s">
        <v>27</v>
      </c>
      <c r="P1291" t="str">
        <f>TEXT(Table1[[#This Row],[order_date]],"yyyy-mm")</f>
        <v>2025-08</v>
      </c>
      <c r="Q1291">
        <f>WEEKNUM(Table1[[#This Row],[order_date]])</f>
        <v>33</v>
      </c>
      <c r="R1291">
        <f>IF(Table1[[#This Row],[order_status]]="completed",1,0)</f>
        <v>0</v>
      </c>
    </row>
    <row r="1292" spans="1:18" x14ac:dyDescent="0.35">
      <c r="A1292">
        <v>1291</v>
      </c>
      <c r="B1292" s="1">
        <v>45975</v>
      </c>
      <c r="C1292">
        <v>1474</v>
      </c>
      <c r="D1292" t="s">
        <v>22</v>
      </c>
      <c r="E1292" t="s">
        <v>36</v>
      </c>
      <c r="F1292" t="s">
        <v>24</v>
      </c>
      <c r="G1292">
        <v>2</v>
      </c>
      <c r="H1292">
        <v>0</v>
      </c>
      <c r="I1292" t="s">
        <v>25</v>
      </c>
      <c r="J1292" t="s">
        <v>37</v>
      </c>
      <c r="K1292" t="s">
        <v>26</v>
      </c>
      <c r="L1292">
        <v>3</v>
      </c>
      <c r="M1292">
        <v>1</v>
      </c>
      <c r="N1292">
        <v>1</v>
      </c>
      <c r="O1292" t="s">
        <v>27</v>
      </c>
      <c r="P1292" t="str">
        <f>TEXT(Table1[[#This Row],[order_date]],"yyyy-mm")</f>
        <v>2025-11</v>
      </c>
      <c r="Q1292">
        <f>WEEKNUM(Table1[[#This Row],[order_date]])</f>
        <v>46</v>
      </c>
      <c r="R1292">
        <f>IF(Table1[[#This Row],[order_status]]="completed",1,0)</f>
        <v>0</v>
      </c>
    </row>
    <row r="1293" spans="1:18" x14ac:dyDescent="0.35">
      <c r="A1293">
        <v>1292</v>
      </c>
      <c r="B1293" s="1">
        <v>45891</v>
      </c>
      <c r="C1293">
        <v>1298</v>
      </c>
      <c r="D1293" t="s">
        <v>41</v>
      </c>
      <c r="E1293" t="s">
        <v>16</v>
      </c>
      <c r="F1293" t="s">
        <v>30</v>
      </c>
      <c r="G1293">
        <v>5</v>
      </c>
      <c r="H1293">
        <v>1210</v>
      </c>
      <c r="I1293" t="s">
        <v>39</v>
      </c>
      <c r="J1293" t="s">
        <v>19</v>
      </c>
      <c r="K1293" t="s">
        <v>26</v>
      </c>
      <c r="L1293">
        <v>4</v>
      </c>
      <c r="M1293">
        <v>0</v>
      </c>
      <c r="N1293">
        <v>1</v>
      </c>
      <c r="O1293" t="s">
        <v>21</v>
      </c>
      <c r="P1293" t="str">
        <f>TEXT(Table1[[#This Row],[order_date]],"yyyy-mm")</f>
        <v>2025-08</v>
      </c>
      <c r="Q1293">
        <f>WEEKNUM(Table1[[#This Row],[order_date]])</f>
        <v>34</v>
      </c>
      <c r="R1293">
        <f>IF(Table1[[#This Row],[order_status]]="completed",1,0)</f>
        <v>1</v>
      </c>
    </row>
    <row r="1294" spans="1:18" x14ac:dyDescent="0.35">
      <c r="A1294">
        <v>1293</v>
      </c>
      <c r="B1294" s="1">
        <v>46017</v>
      </c>
      <c r="C1294">
        <v>1197</v>
      </c>
      <c r="D1294" t="s">
        <v>15</v>
      </c>
      <c r="E1294" t="s">
        <v>36</v>
      </c>
      <c r="F1294" t="s">
        <v>24</v>
      </c>
      <c r="G1294">
        <v>1</v>
      </c>
      <c r="H1294">
        <v>0</v>
      </c>
      <c r="I1294" t="s">
        <v>18</v>
      </c>
      <c r="J1294" t="s">
        <v>31</v>
      </c>
      <c r="K1294" t="s">
        <v>38</v>
      </c>
      <c r="L1294">
        <v>7</v>
      </c>
      <c r="M1294">
        <v>0</v>
      </c>
      <c r="N1294">
        <v>0</v>
      </c>
      <c r="O1294" t="s">
        <v>21</v>
      </c>
      <c r="P1294" t="str">
        <f>TEXT(Table1[[#This Row],[order_date]],"yyyy-mm")</f>
        <v>2025-12</v>
      </c>
      <c r="Q1294">
        <f>WEEKNUM(Table1[[#This Row],[order_date]])</f>
        <v>52</v>
      </c>
      <c r="R1294">
        <f>IF(Table1[[#This Row],[order_status]]="completed",1,0)</f>
        <v>0</v>
      </c>
    </row>
    <row r="1295" spans="1:18" x14ac:dyDescent="0.35">
      <c r="A1295">
        <v>1294</v>
      </c>
      <c r="B1295" s="1">
        <v>45917</v>
      </c>
      <c r="C1295">
        <v>1752</v>
      </c>
      <c r="D1295" t="s">
        <v>28</v>
      </c>
      <c r="E1295" t="s">
        <v>36</v>
      </c>
      <c r="F1295" t="s">
        <v>34</v>
      </c>
      <c r="G1295">
        <v>3</v>
      </c>
      <c r="H1295">
        <v>11634</v>
      </c>
      <c r="I1295" t="s">
        <v>25</v>
      </c>
      <c r="J1295" t="s">
        <v>19</v>
      </c>
      <c r="K1295" t="s">
        <v>20</v>
      </c>
      <c r="L1295">
        <v>2</v>
      </c>
      <c r="M1295">
        <v>0</v>
      </c>
      <c r="N1295">
        <v>0</v>
      </c>
      <c r="O1295" t="s">
        <v>27</v>
      </c>
      <c r="P1295" t="str">
        <f>TEXT(Table1[[#This Row],[order_date]],"yyyy-mm")</f>
        <v>2025-09</v>
      </c>
      <c r="Q1295">
        <f>WEEKNUM(Table1[[#This Row],[order_date]])</f>
        <v>38</v>
      </c>
      <c r="R1295">
        <f>IF(Table1[[#This Row],[order_status]]="completed",1,0)</f>
        <v>1</v>
      </c>
    </row>
    <row r="1296" spans="1:18" x14ac:dyDescent="0.35">
      <c r="A1296">
        <v>1295</v>
      </c>
      <c r="B1296" s="1">
        <v>46026</v>
      </c>
      <c r="C1296">
        <v>1055</v>
      </c>
      <c r="D1296" t="s">
        <v>28</v>
      </c>
      <c r="E1296" t="s">
        <v>23</v>
      </c>
      <c r="F1296" t="s">
        <v>30</v>
      </c>
      <c r="G1296">
        <v>5</v>
      </c>
      <c r="H1296">
        <v>0</v>
      </c>
      <c r="I1296" t="s">
        <v>35</v>
      </c>
      <c r="J1296" t="s">
        <v>37</v>
      </c>
      <c r="K1296" t="s">
        <v>40</v>
      </c>
      <c r="L1296">
        <v>10</v>
      </c>
      <c r="M1296">
        <v>0</v>
      </c>
      <c r="N1296">
        <v>1</v>
      </c>
      <c r="O1296" t="s">
        <v>21</v>
      </c>
      <c r="P1296" t="str">
        <f>TEXT(Table1[[#This Row],[order_date]],"yyyy-mm")</f>
        <v>2026-01</v>
      </c>
      <c r="Q1296">
        <f>WEEKNUM(Table1[[#This Row],[order_date]])</f>
        <v>2</v>
      </c>
      <c r="R1296">
        <f>IF(Table1[[#This Row],[order_status]]="completed",1,0)</f>
        <v>0</v>
      </c>
    </row>
    <row r="1297" spans="1:18" x14ac:dyDescent="0.35">
      <c r="A1297">
        <v>1296</v>
      </c>
      <c r="B1297" s="1">
        <v>45972</v>
      </c>
      <c r="C1297">
        <v>1347</v>
      </c>
      <c r="D1297" t="s">
        <v>32</v>
      </c>
      <c r="E1297" t="s">
        <v>36</v>
      </c>
      <c r="F1297" t="s">
        <v>24</v>
      </c>
      <c r="G1297">
        <v>4</v>
      </c>
      <c r="H1297">
        <v>0</v>
      </c>
      <c r="I1297" t="s">
        <v>39</v>
      </c>
      <c r="J1297" t="s">
        <v>31</v>
      </c>
      <c r="K1297" t="s">
        <v>26</v>
      </c>
      <c r="L1297">
        <v>9</v>
      </c>
      <c r="M1297">
        <v>1</v>
      </c>
      <c r="N1297">
        <v>1</v>
      </c>
      <c r="O1297" t="s">
        <v>21</v>
      </c>
      <c r="P1297" t="str">
        <f>TEXT(Table1[[#This Row],[order_date]],"yyyy-mm")</f>
        <v>2025-11</v>
      </c>
      <c r="Q1297">
        <f>WEEKNUM(Table1[[#This Row],[order_date]])</f>
        <v>46</v>
      </c>
      <c r="R1297">
        <f>IF(Table1[[#This Row],[order_status]]="completed",1,0)</f>
        <v>0</v>
      </c>
    </row>
    <row r="1298" spans="1:18" x14ac:dyDescent="0.35">
      <c r="A1298">
        <v>1297</v>
      </c>
      <c r="B1298" s="1">
        <v>45956</v>
      </c>
      <c r="C1298">
        <v>1637</v>
      </c>
      <c r="D1298" t="s">
        <v>22</v>
      </c>
      <c r="E1298" t="s">
        <v>33</v>
      </c>
      <c r="F1298" t="s">
        <v>30</v>
      </c>
      <c r="G1298">
        <v>2</v>
      </c>
      <c r="H1298">
        <v>0</v>
      </c>
      <c r="I1298" t="s">
        <v>18</v>
      </c>
      <c r="J1298" t="s">
        <v>31</v>
      </c>
      <c r="K1298" t="s">
        <v>40</v>
      </c>
      <c r="L1298">
        <v>7</v>
      </c>
      <c r="M1298">
        <v>1</v>
      </c>
      <c r="N1298">
        <v>0</v>
      </c>
      <c r="O1298" t="s">
        <v>21</v>
      </c>
      <c r="P1298" t="str">
        <f>TEXT(Table1[[#This Row],[order_date]],"yyyy-mm")</f>
        <v>2025-10</v>
      </c>
      <c r="Q1298">
        <f>WEEKNUM(Table1[[#This Row],[order_date]])</f>
        <v>44</v>
      </c>
      <c r="R1298">
        <f>IF(Table1[[#This Row],[order_status]]="completed",1,0)</f>
        <v>0</v>
      </c>
    </row>
    <row r="1299" spans="1:18" x14ac:dyDescent="0.35">
      <c r="A1299">
        <v>1298</v>
      </c>
      <c r="B1299" s="1">
        <v>45997</v>
      </c>
      <c r="C1299">
        <v>1181</v>
      </c>
      <c r="D1299" t="s">
        <v>28</v>
      </c>
      <c r="E1299" t="s">
        <v>16</v>
      </c>
      <c r="F1299" t="s">
        <v>30</v>
      </c>
      <c r="G1299">
        <v>5</v>
      </c>
      <c r="H1299">
        <v>0</v>
      </c>
      <c r="I1299" t="s">
        <v>39</v>
      </c>
      <c r="J1299" t="s">
        <v>31</v>
      </c>
      <c r="K1299" t="s">
        <v>38</v>
      </c>
      <c r="L1299">
        <v>2</v>
      </c>
      <c r="M1299">
        <v>0</v>
      </c>
      <c r="N1299">
        <v>0</v>
      </c>
      <c r="O1299" t="s">
        <v>21</v>
      </c>
      <c r="P1299" t="str">
        <f>TEXT(Table1[[#This Row],[order_date]],"yyyy-mm")</f>
        <v>2025-12</v>
      </c>
      <c r="Q1299">
        <f>WEEKNUM(Table1[[#This Row],[order_date]])</f>
        <v>49</v>
      </c>
      <c r="R1299">
        <f>IF(Table1[[#This Row],[order_status]]="completed",1,0)</f>
        <v>0</v>
      </c>
    </row>
    <row r="1300" spans="1:18" x14ac:dyDescent="0.35">
      <c r="A1300">
        <v>1299</v>
      </c>
      <c r="B1300" s="1">
        <v>45984</v>
      </c>
      <c r="C1300">
        <v>1056</v>
      </c>
      <c r="D1300" t="s">
        <v>15</v>
      </c>
      <c r="E1300" t="s">
        <v>33</v>
      </c>
      <c r="F1300" t="s">
        <v>34</v>
      </c>
      <c r="G1300">
        <v>5</v>
      </c>
      <c r="H1300">
        <v>0</v>
      </c>
      <c r="I1300" t="s">
        <v>18</v>
      </c>
      <c r="J1300" t="s">
        <v>37</v>
      </c>
      <c r="K1300" t="s">
        <v>20</v>
      </c>
      <c r="L1300">
        <v>6</v>
      </c>
      <c r="M1300">
        <v>0</v>
      </c>
      <c r="N1300">
        <v>1</v>
      </c>
      <c r="O1300" t="s">
        <v>21</v>
      </c>
      <c r="P1300" t="str">
        <f>TEXT(Table1[[#This Row],[order_date]],"yyyy-mm")</f>
        <v>2025-11</v>
      </c>
      <c r="Q1300">
        <f>WEEKNUM(Table1[[#This Row],[order_date]])</f>
        <v>48</v>
      </c>
      <c r="R1300">
        <f>IF(Table1[[#This Row],[order_status]]="completed",1,0)</f>
        <v>0</v>
      </c>
    </row>
    <row r="1301" spans="1:18" x14ac:dyDescent="0.35">
      <c r="A1301">
        <v>1300</v>
      </c>
      <c r="B1301" s="1">
        <v>45942</v>
      </c>
      <c r="C1301">
        <v>1688</v>
      </c>
      <c r="D1301" t="s">
        <v>28</v>
      </c>
      <c r="E1301" t="s">
        <v>23</v>
      </c>
      <c r="F1301" t="s">
        <v>24</v>
      </c>
      <c r="G1301">
        <v>1</v>
      </c>
      <c r="H1301">
        <v>0</v>
      </c>
      <c r="I1301" t="s">
        <v>25</v>
      </c>
      <c r="J1301" t="s">
        <v>31</v>
      </c>
      <c r="K1301" t="s">
        <v>38</v>
      </c>
      <c r="L1301">
        <v>8</v>
      </c>
      <c r="M1301">
        <v>0</v>
      </c>
      <c r="N1301">
        <v>1</v>
      </c>
      <c r="O1301" t="s">
        <v>27</v>
      </c>
      <c r="P1301" t="str">
        <f>TEXT(Table1[[#This Row],[order_date]],"yyyy-mm")</f>
        <v>2025-10</v>
      </c>
      <c r="Q1301">
        <f>WEEKNUM(Table1[[#This Row],[order_date]])</f>
        <v>42</v>
      </c>
      <c r="R1301">
        <f>IF(Table1[[#This Row],[order_status]]="completed",1,0)</f>
        <v>0</v>
      </c>
    </row>
    <row r="1302" spans="1:18" x14ac:dyDescent="0.35">
      <c r="A1302">
        <v>1301</v>
      </c>
      <c r="B1302" s="1">
        <v>46022</v>
      </c>
      <c r="C1302">
        <v>1594</v>
      </c>
      <c r="D1302" t="s">
        <v>28</v>
      </c>
      <c r="E1302" t="s">
        <v>16</v>
      </c>
      <c r="F1302" t="s">
        <v>34</v>
      </c>
      <c r="G1302">
        <v>5</v>
      </c>
      <c r="H1302">
        <v>4265</v>
      </c>
      <c r="I1302" t="s">
        <v>39</v>
      </c>
      <c r="J1302" t="s">
        <v>19</v>
      </c>
      <c r="K1302" t="s">
        <v>40</v>
      </c>
      <c r="L1302">
        <v>6</v>
      </c>
      <c r="M1302">
        <v>1</v>
      </c>
      <c r="N1302">
        <v>0</v>
      </c>
      <c r="O1302" t="s">
        <v>27</v>
      </c>
      <c r="P1302" t="str">
        <f>TEXT(Table1[[#This Row],[order_date]],"yyyy-mm")</f>
        <v>2025-12</v>
      </c>
      <c r="Q1302">
        <f>WEEKNUM(Table1[[#This Row],[order_date]])</f>
        <v>53</v>
      </c>
      <c r="R1302">
        <f>IF(Table1[[#This Row],[order_status]]="completed",1,0)</f>
        <v>1</v>
      </c>
    </row>
    <row r="1303" spans="1:18" x14ac:dyDescent="0.35">
      <c r="A1303">
        <v>1302</v>
      </c>
      <c r="B1303" s="1">
        <v>46024</v>
      </c>
      <c r="C1303">
        <v>1041</v>
      </c>
      <c r="D1303" t="s">
        <v>28</v>
      </c>
      <c r="E1303" t="s">
        <v>23</v>
      </c>
      <c r="F1303" t="s">
        <v>34</v>
      </c>
      <c r="G1303">
        <v>2</v>
      </c>
      <c r="H1303">
        <v>3988</v>
      </c>
      <c r="I1303" t="s">
        <v>25</v>
      </c>
      <c r="J1303" t="s">
        <v>19</v>
      </c>
      <c r="K1303" t="s">
        <v>40</v>
      </c>
      <c r="L1303">
        <v>6</v>
      </c>
      <c r="M1303">
        <v>1</v>
      </c>
      <c r="N1303">
        <v>1</v>
      </c>
      <c r="O1303" t="s">
        <v>27</v>
      </c>
      <c r="P1303" t="str">
        <f>TEXT(Table1[[#This Row],[order_date]],"yyyy-mm")</f>
        <v>2026-01</v>
      </c>
      <c r="Q1303">
        <f>WEEKNUM(Table1[[#This Row],[order_date]])</f>
        <v>1</v>
      </c>
      <c r="R1303">
        <f>IF(Table1[[#This Row],[order_status]]="completed",1,0)</f>
        <v>1</v>
      </c>
    </row>
    <row r="1304" spans="1:18" x14ac:dyDescent="0.35">
      <c r="A1304">
        <v>1303</v>
      </c>
      <c r="B1304" s="1">
        <v>45939</v>
      </c>
      <c r="C1304">
        <v>1737</v>
      </c>
      <c r="D1304" t="s">
        <v>22</v>
      </c>
      <c r="E1304" t="s">
        <v>36</v>
      </c>
      <c r="F1304" t="s">
        <v>17</v>
      </c>
      <c r="G1304">
        <v>1</v>
      </c>
      <c r="H1304">
        <v>982</v>
      </c>
      <c r="I1304" t="s">
        <v>35</v>
      </c>
      <c r="J1304" t="s">
        <v>19</v>
      </c>
      <c r="K1304" t="s">
        <v>26</v>
      </c>
      <c r="L1304">
        <v>10</v>
      </c>
      <c r="M1304">
        <v>0</v>
      </c>
      <c r="N1304">
        <v>1</v>
      </c>
      <c r="O1304" t="s">
        <v>21</v>
      </c>
      <c r="P1304" t="str">
        <f>TEXT(Table1[[#This Row],[order_date]],"yyyy-mm")</f>
        <v>2025-10</v>
      </c>
      <c r="Q1304">
        <f>WEEKNUM(Table1[[#This Row],[order_date]])</f>
        <v>41</v>
      </c>
      <c r="R1304">
        <f>IF(Table1[[#This Row],[order_status]]="completed",1,0)</f>
        <v>1</v>
      </c>
    </row>
    <row r="1305" spans="1:18" x14ac:dyDescent="0.35">
      <c r="A1305">
        <v>1304</v>
      </c>
      <c r="B1305" s="1">
        <v>45866</v>
      </c>
      <c r="C1305">
        <v>1608</v>
      </c>
      <c r="D1305" t="s">
        <v>41</v>
      </c>
      <c r="E1305" t="s">
        <v>33</v>
      </c>
      <c r="F1305" t="s">
        <v>30</v>
      </c>
      <c r="G1305">
        <v>1</v>
      </c>
      <c r="H1305">
        <v>0</v>
      </c>
      <c r="I1305" t="s">
        <v>18</v>
      </c>
      <c r="J1305" t="s">
        <v>31</v>
      </c>
      <c r="K1305" t="s">
        <v>38</v>
      </c>
      <c r="L1305">
        <v>5</v>
      </c>
      <c r="M1305">
        <v>1</v>
      </c>
      <c r="N1305">
        <v>1</v>
      </c>
      <c r="O1305" t="s">
        <v>27</v>
      </c>
      <c r="P1305" t="str">
        <f>TEXT(Table1[[#This Row],[order_date]],"yyyy-mm")</f>
        <v>2025-07</v>
      </c>
      <c r="Q1305">
        <f>WEEKNUM(Table1[[#This Row],[order_date]])</f>
        <v>31</v>
      </c>
      <c r="R1305">
        <f>IF(Table1[[#This Row],[order_status]]="completed",1,0)</f>
        <v>0</v>
      </c>
    </row>
    <row r="1306" spans="1:18" x14ac:dyDescent="0.35">
      <c r="A1306">
        <v>1305</v>
      </c>
      <c r="B1306" s="1">
        <v>46028</v>
      </c>
      <c r="C1306">
        <v>1944</v>
      </c>
      <c r="D1306" t="s">
        <v>41</v>
      </c>
      <c r="E1306" t="s">
        <v>36</v>
      </c>
      <c r="F1306" t="s">
        <v>34</v>
      </c>
      <c r="G1306">
        <v>4</v>
      </c>
      <c r="H1306">
        <v>7968</v>
      </c>
      <c r="I1306" t="s">
        <v>18</v>
      </c>
      <c r="J1306" t="s">
        <v>19</v>
      </c>
      <c r="K1306" t="s">
        <v>40</v>
      </c>
      <c r="L1306">
        <v>2</v>
      </c>
      <c r="M1306">
        <v>1</v>
      </c>
      <c r="N1306">
        <v>0</v>
      </c>
      <c r="O1306" t="s">
        <v>27</v>
      </c>
      <c r="P1306" t="str">
        <f>TEXT(Table1[[#This Row],[order_date]],"yyyy-mm")</f>
        <v>2026-01</v>
      </c>
      <c r="Q1306">
        <f>WEEKNUM(Table1[[#This Row],[order_date]])</f>
        <v>2</v>
      </c>
      <c r="R1306">
        <f>IF(Table1[[#This Row],[order_status]]="completed",1,0)</f>
        <v>1</v>
      </c>
    </row>
    <row r="1307" spans="1:18" x14ac:dyDescent="0.35">
      <c r="A1307">
        <v>1306</v>
      </c>
      <c r="B1307" s="1">
        <v>45876</v>
      </c>
      <c r="C1307">
        <v>1571</v>
      </c>
      <c r="D1307" t="s">
        <v>41</v>
      </c>
      <c r="E1307" t="s">
        <v>33</v>
      </c>
      <c r="F1307" t="s">
        <v>30</v>
      </c>
      <c r="G1307">
        <v>4</v>
      </c>
      <c r="H1307">
        <v>8364</v>
      </c>
      <c r="I1307" t="s">
        <v>18</v>
      </c>
      <c r="J1307" t="s">
        <v>19</v>
      </c>
      <c r="K1307" t="s">
        <v>38</v>
      </c>
      <c r="L1307">
        <v>5</v>
      </c>
      <c r="M1307">
        <v>0</v>
      </c>
      <c r="N1307">
        <v>0</v>
      </c>
      <c r="O1307" t="s">
        <v>21</v>
      </c>
      <c r="P1307" t="str">
        <f>TEXT(Table1[[#This Row],[order_date]],"yyyy-mm")</f>
        <v>2025-08</v>
      </c>
      <c r="Q1307">
        <f>WEEKNUM(Table1[[#This Row],[order_date]])</f>
        <v>32</v>
      </c>
      <c r="R1307">
        <f>IF(Table1[[#This Row],[order_status]]="completed",1,0)</f>
        <v>1</v>
      </c>
    </row>
    <row r="1308" spans="1:18" x14ac:dyDescent="0.35">
      <c r="A1308">
        <v>1307</v>
      </c>
      <c r="B1308" s="1">
        <v>46018</v>
      </c>
      <c r="C1308">
        <v>1466</v>
      </c>
      <c r="D1308" t="s">
        <v>15</v>
      </c>
      <c r="E1308" t="s">
        <v>36</v>
      </c>
      <c r="F1308" t="s">
        <v>30</v>
      </c>
      <c r="G1308">
        <v>3</v>
      </c>
      <c r="H1308">
        <v>0</v>
      </c>
      <c r="I1308" t="s">
        <v>25</v>
      </c>
      <c r="J1308" t="s">
        <v>37</v>
      </c>
      <c r="K1308" t="s">
        <v>40</v>
      </c>
      <c r="L1308">
        <v>2</v>
      </c>
      <c r="M1308">
        <v>0</v>
      </c>
      <c r="N1308">
        <v>0</v>
      </c>
      <c r="O1308" t="s">
        <v>21</v>
      </c>
      <c r="P1308" t="str">
        <f>TEXT(Table1[[#This Row],[order_date]],"yyyy-mm")</f>
        <v>2025-12</v>
      </c>
      <c r="Q1308">
        <f>WEEKNUM(Table1[[#This Row],[order_date]])</f>
        <v>52</v>
      </c>
      <c r="R1308">
        <f>IF(Table1[[#This Row],[order_status]]="completed",1,0)</f>
        <v>0</v>
      </c>
    </row>
    <row r="1309" spans="1:18" x14ac:dyDescent="0.35">
      <c r="A1309">
        <v>1308</v>
      </c>
      <c r="B1309" s="1">
        <v>45926</v>
      </c>
      <c r="C1309">
        <v>1168</v>
      </c>
      <c r="D1309" t="s">
        <v>15</v>
      </c>
      <c r="E1309" t="s">
        <v>16</v>
      </c>
      <c r="F1309" t="s">
        <v>24</v>
      </c>
      <c r="G1309">
        <v>4</v>
      </c>
      <c r="H1309">
        <v>11428</v>
      </c>
      <c r="I1309" t="s">
        <v>25</v>
      </c>
      <c r="J1309" t="s">
        <v>19</v>
      </c>
      <c r="K1309" t="s">
        <v>38</v>
      </c>
      <c r="L1309">
        <v>7</v>
      </c>
      <c r="M1309">
        <v>1</v>
      </c>
      <c r="N1309">
        <v>1</v>
      </c>
      <c r="O1309" t="s">
        <v>21</v>
      </c>
      <c r="P1309" t="str">
        <f>TEXT(Table1[[#This Row],[order_date]],"yyyy-mm")</f>
        <v>2025-09</v>
      </c>
      <c r="Q1309">
        <f>WEEKNUM(Table1[[#This Row],[order_date]])</f>
        <v>39</v>
      </c>
      <c r="R1309">
        <f>IF(Table1[[#This Row],[order_status]]="completed",1,0)</f>
        <v>1</v>
      </c>
    </row>
    <row r="1310" spans="1:18" x14ac:dyDescent="0.35">
      <c r="A1310">
        <v>1309</v>
      </c>
      <c r="B1310" s="1">
        <v>45953</v>
      </c>
      <c r="C1310">
        <v>1914</v>
      </c>
      <c r="D1310" t="s">
        <v>22</v>
      </c>
      <c r="E1310" t="s">
        <v>23</v>
      </c>
      <c r="F1310" t="s">
        <v>24</v>
      </c>
      <c r="G1310">
        <v>1</v>
      </c>
      <c r="H1310">
        <v>0</v>
      </c>
      <c r="I1310" t="s">
        <v>25</v>
      </c>
      <c r="J1310" t="s">
        <v>31</v>
      </c>
      <c r="K1310" t="s">
        <v>40</v>
      </c>
      <c r="L1310">
        <v>10</v>
      </c>
      <c r="M1310">
        <v>1</v>
      </c>
      <c r="N1310">
        <v>0</v>
      </c>
      <c r="O1310" t="s">
        <v>21</v>
      </c>
      <c r="P1310" t="str">
        <f>TEXT(Table1[[#This Row],[order_date]],"yyyy-mm")</f>
        <v>2025-10</v>
      </c>
      <c r="Q1310">
        <f>WEEKNUM(Table1[[#This Row],[order_date]])</f>
        <v>43</v>
      </c>
      <c r="R1310">
        <f>IF(Table1[[#This Row],[order_status]]="completed",1,0)</f>
        <v>0</v>
      </c>
    </row>
    <row r="1311" spans="1:18" x14ac:dyDescent="0.35">
      <c r="A1311">
        <v>1310</v>
      </c>
      <c r="B1311" s="1">
        <v>45893</v>
      </c>
      <c r="C1311">
        <v>1435</v>
      </c>
      <c r="D1311" t="s">
        <v>32</v>
      </c>
      <c r="E1311" t="s">
        <v>33</v>
      </c>
      <c r="F1311" t="s">
        <v>17</v>
      </c>
      <c r="G1311">
        <v>1</v>
      </c>
      <c r="H1311">
        <v>3765</v>
      </c>
      <c r="I1311" t="s">
        <v>25</v>
      </c>
      <c r="J1311" t="s">
        <v>19</v>
      </c>
      <c r="K1311" t="s">
        <v>40</v>
      </c>
      <c r="L1311">
        <v>7</v>
      </c>
      <c r="M1311">
        <v>0</v>
      </c>
      <c r="N1311">
        <v>1</v>
      </c>
      <c r="O1311" t="s">
        <v>27</v>
      </c>
      <c r="P1311" t="str">
        <f>TEXT(Table1[[#This Row],[order_date]],"yyyy-mm")</f>
        <v>2025-08</v>
      </c>
      <c r="Q1311">
        <f>WEEKNUM(Table1[[#This Row],[order_date]])</f>
        <v>35</v>
      </c>
      <c r="R1311">
        <f>IF(Table1[[#This Row],[order_status]]="completed",1,0)</f>
        <v>1</v>
      </c>
    </row>
    <row r="1312" spans="1:18" x14ac:dyDescent="0.35">
      <c r="A1312">
        <v>1311</v>
      </c>
      <c r="B1312" s="1">
        <v>45997</v>
      </c>
      <c r="C1312">
        <v>1066</v>
      </c>
      <c r="D1312" t="s">
        <v>15</v>
      </c>
      <c r="E1312" t="s">
        <v>16</v>
      </c>
      <c r="F1312" t="s">
        <v>34</v>
      </c>
      <c r="G1312">
        <v>1</v>
      </c>
      <c r="H1312">
        <v>0</v>
      </c>
      <c r="I1312" t="s">
        <v>25</v>
      </c>
      <c r="J1312" t="s">
        <v>37</v>
      </c>
      <c r="K1312" t="s">
        <v>20</v>
      </c>
      <c r="L1312">
        <v>3</v>
      </c>
      <c r="M1312">
        <v>0</v>
      </c>
      <c r="N1312">
        <v>1</v>
      </c>
      <c r="O1312" t="s">
        <v>27</v>
      </c>
      <c r="P1312" t="str">
        <f>TEXT(Table1[[#This Row],[order_date]],"yyyy-mm")</f>
        <v>2025-12</v>
      </c>
      <c r="Q1312">
        <f>WEEKNUM(Table1[[#This Row],[order_date]])</f>
        <v>49</v>
      </c>
      <c r="R1312">
        <f>IF(Table1[[#This Row],[order_status]]="completed",1,0)</f>
        <v>0</v>
      </c>
    </row>
    <row r="1313" spans="1:18" x14ac:dyDescent="0.35">
      <c r="A1313">
        <v>1312</v>
      </c>
      <c r="B1313" s="1">
        <v>45862</v>
      </c>
      <c r="C1313">
        <v>1670</v>
      </c>
      <c r="D1313" t="s">
        <v>41</v>
      </c>
      <c r="E1313" t="s">
        <v>36</v>
      </c>
      <c r="F1313" t="s">
        <v>34</v>
      </c>
      <c r="G1313">
        <v>2</v>
      </c>
      <c r="H1313">
        <v>0</v>
      </c>
      <c r="I1313" t="s">
        <v>18</v>
      </c>
      <c r="J1313" t="s">
        <v>37</v>
      </c>
      <c r="K1313" t="s">
        <v>40</v>
      </c>
      <c r="L1313">
        <v>7</v>
      </c>
      <c r="M1313">
        <v>0</v>
      </c>
      <c r="N1313">
        <v>1</v>
      </c>
      <c r="O1313" t="s">
        <v>21</v>
      </c>
      <c r="P1313" t="str">
        <f>TEXT(Table1[[#This Row],[order_date]],"yyyy-mm")</f>
        <v>2025-07</v>
      </c>
      <c r="Q1313">
        <f>WEEKNUM(Table1[[#This Row],[order_date]])</f>
        <v>30</v>
      </c>
      <c r="R1313">
        <f>IF(Table1[[#This Row],[order_status]]="completed",1,0)</f>
        <v>0</v>
      </c>
    </row>
    <row r="1314" spans="1:18" x14ac:dyDescent="0.35">
      <c r="A1314">
        <v>1313</v>
      </c>
      <c r="B1314" s="1">
        <v>45926</v>
      </c>
      <c r="C1314">
        <v>1561</v>
      </c>
      <c r="D1314" t="s">
        <v>32</v>
      </c>
      <c r="E1314" t="s">
        <v>36</v>
      </c>
      <c r="F1314" t="s">
        <v>24</v>
      </c>
      <c r="G1314">
        <v>4</v>
      </c>
      <c r="H1314">
        <v>15272</v>
      </c>
      <c r="I1314" t="s">
        <v>39</v>
      </c>
      <c r="J1314" t="s">
        <v>19</v>
      </c>
      <c r="K1314" t="s">
        <v>40</v>
      </c>
      <c r="L1314">
        <v>1</v>
      </c>
      <c r="M1314">
        <v>1</v>
      </c>
      <c r="N1314">
        <v>1</v>
      </c>
      <c r="O1314" t="s">
        <v>21</v>
      </c>
      <c r="P1314" t="str">
        <f>TEXT(Table1[[#This Row],[order_date]],"yyyy-mm")</f>
        <v>2025-09</v>
      </c>
      <c r="Q1314">
        <f>WEEKNUM(Table1[[#This Row],[order_date]])</f>
        <v>39</v>
      </c>
      <c r="R1314">
        <f>IF(Table1[[#This Row],[order_status]]="completed",1,0)</f>
        <v>1</v>
      </c>
    </row>
    <row r="1315" spans="1:18" x14ac:dyDescent="0.35">
      <c r="A1315">
        <v>1314</v>
      </c>
      <c r="B1315" s="1">
        <v>45956</v>
      </c>
      <c r="C1315">
        <v>1468</v>
      </c>
      <c r="D1315" t="s">
        <v>22</v>
      </c>
      <c r="E1315" t="s">
        <v>36</v>
      </c>
      <c r="F1315" t="s">
        <v>30</v>
      </c>
      <c r="G1315">
        <v>4</v>
      </c>
      <c r="H1315">
        <v>12728</v>
      </c>
      <c r="I1315" t="s">
        <v>18</v>
      </c>
      <c r="J1315" t="s">
        <v>19</v>
      </c>
      <c r="K1315" t="s">
        <v>20</v>
      </c>
      <c r="L1315">
        <v>9</v>
      </c>
      <c r="M1315">
        <v>1</v>
      </c>
      <c r="N1315">
        <v>1</v>
      </c>
      <c r="O1315" t="s">
        <v>27</v>
      </c>
      <c r="P1315" t="str">
        <f>TEXT(Table1[[#This Row],[order_date]],"yyyy-mm")</f>
        <v>2025-10</v>
      </c>
      <c r="Q1315">
        <f>WEEKNUM(Table1[[#This Row],[order_date]])</f>
        <v>44</v>
      </c>
      <c r="R1315">
        <f>IF(Table1[[#This Row],[order_status]]="completed",1,0)</f>
        <v>1</v>
      </c>
    </row>
    <row r="1316" spans="1:18" x14ac:dyDescent="0.35">
      <c r="A1316">
        <v>1315</v>
      </c>
      <c r="B1316" s="1">
        <v>45945</v>
      </c>
      <c r="C1316">
        <v>1462</v>
      </c>
      <c r="D1316" t="s">
        <v>22</v>
      </c>
      <c r="E1316" t="s">
        <v>36</v>
      </c>
      <c r="F1316" t="s">
        <v>30</v>
      </c>
      <c r="G1316">
        <v>3</v>
      </c>
      <c r="H1316">
        <v>0</v>
      </c>
      <c r="I1316" t="s">
        <v>25</v>
      </c>
      <c r="J1316" t="s">
        <v>31</v>
      </c>
      <c r="K1316" t="s">
        <v>26</v>
      </c>
      <c r="L1316">
        <v>1</v>
      </c>
      <c r="M1316">
        <v>0</v>
      </c>
      <c r="N1316">
        <v>1</v>
      </c>
      <c r="O1316" t="s">
        <v>21</v>
      </c>
      <c r="P1316" t="str">
        <f>TEXT(Table1[[#This Row],[order_date]],"yyyy-mm")</f>
        <v>2025-10</v>
      </c>
      <c r="Q1316">
        <f>WEEKNUM(Table1[[#This Row],[order_date]])</f>
        <v>42</v>
      </c>
      <c r="R1316">
        <f>IF(Table1[[#This Row],[order_status]]="completed",1,0)</f>
        <v>0</v>
      </c>
    </row>
    <row r="1317" spans="1:18" x14ac:dyDescent="0.35">
      <c r="A1317">
        <v>1316</v>
      </c>
      <c r="B1317" s="1">
        <v>46018</v>
      </c>
      <c r="C1317">
        <v>1992</v>
      </c>
      <c r="D1317" t="s">
        <v>15</v>
      </c>
      <c r="E1317" t="s">
        <v>16</v>
      </c>
      <c r="F1317" t="s">
        <v>34</v>
      </c>
      <c r="G1317">
        <v>2</v>
      </c>
      <c r="H1317">
        <v>5932</v>
      </c>
      <c r="I1317" t="s">
        <v>35</v>
      </c>
      <c r="J1317" t="s">
        <v>19</v>
      </c>
      <c r="K1317" t="s">
        <v>40</v>
      </c>
      <c r="L1317">
        <v>7</v>
      </c>
      <c r="M1317">
        <v>1</v>
      </c>
      <c r="N1317">
        <v>0</v>
      </c>
      <c r="O1317" t="s">
        <v>27</v>
      </c>
      <c r="P1317" t="str">
        <f>TEXT(Table1[[#This Row],[order_date]],"yyyy-mm")</f>
        <v>2025-12</v>
      </c>
      <c r="Q1317">
        <f>WEEKNUM(Table1[[#This Row],[order_date]])</f>
        <v>52</v>
      </c>
      <c r="R1317">
        <f>IF(Table1[[#This Row],[order_status]]="completed",1,0)</f>
        <v>1</v>
      </c>
    </row>
    <row r="1318" spans="1:18" x14ac:dyDescent="0.35">
      <c r="A1318">
        <v>1317</v>
      </c>
      <c r="B1318" s="1">
        <v>45883</v>
      </c>
      <c r="C1318">
        <v>1147</v>
      </c>
      <c r="D1318" t="s">
        <v>15</v>
      </c>
      <c r="E1318" t="s">
        <v>16</v>
      </c>
      <c r="F1318" t="s">
        <v>30</v>
      </c>
      <c r="G1318">
        <v>5</v>
      </c>
      <c r="H1318">
        <v>0</v>
      </c>
      <c r="I1318" t="s">
        <v>18</v>
      </c>
      <c r="J1318" t="s">
        <v>37</v>
      </c>
      <c r="K1318" t="s">
        <v>26</v>
      </c>
      <c r="L1318">
        <v>3</v>
      </c>
      <c r="M1318">
        <v>0</v>
      </c>
      <c r="N1318">
        <v>1</v>
      </c>
      <c r="O1318" t="s">
        <v>21</v>
      </c>
      <c r="P1318" t="str">
        <f>TEXT(Table1[[#This Row],[order_date]],"yyyy-mm")</f>
        <v>2025-08</v>
      </c>
      <c r="Q1318">
        <f>WEEKNUM(Table1[[#This Row],[order_date]])</f>
        <v>33</v>
      </c>
      <c r="R1318">
        <f>IF(Table1[[#This Row],[order_status]]="completed",1,0)</f>
        <v>0</v>
      </c>
    </row>
    <row r="1319" spans="1:18" x14ac:dyDescent="0.35">
      <c r="A1319">
        <v>1318</v>
      </c>
      <c r="B1319" s="1">
        <v>45924</v>
      </c>
      <c r="C1319">
        <v>1193</v>
      </c>
      <c r="D1319" t="s">
        <v>15</v>
      </c>
      <c r="E1319" t="s">
        <v>33</v>
      </c>
      <c r="F1319" t="s">
        <v>24</v>
      </c>
      <c r="G1319">
        <v>5</v>
      </c>
      <c r="H1319">
        <v>0</v>
      </c>
      <c r="I1319" t="s">
        <v>18</v>
      </c>
      <c r="J1319" t="s">
        <v>37</v>
      </c>
      <c r="K1319" t="s">
        <v>20</v>
      </c>
      <c r="L1319">
        <v>8</v>
      </c>
      <c r="M1319">
        <v>1</v>
      </c>
      <c r="N1319">
        <v>1</v>
      </c>
      <c r="O1319" t="s">
        <v>21</v>
      </c>
      <c r="P1319" t="str">
        <f>TEXT(Table1[[#This Row],[order_date]],"yyyy-mm")</f>
        <v>2025-09</v>
      </c>
      <c r="Q1319">
        <f>WEEKNUM(Table1[[#This Row],[order_date]])</f>
        <v>39</v>
      </c>
      <c r="R1319">
        <f>IF(Table1[[#This Row],[order_status]]="completed",1,0)</f>
        <v>0</v>
      </c>
    </row>
    <row r="1320" spans="1:18" x14ac:dyDescent="0.35">
      <c r="A1320">
        <v>1319</v>
      </c>
      <c r="B1320" s="1">
        <v>45963</v>
      </c>
      <c r="C1320">
        <v>1928</v>
      </c>
      <c r="D1320" t="s">
        <v>28</v>
      </c>
      <c r="E1320" t="s">
        <v>29</v>
      </c>
      <c r="F1320" t="s">
        <v>30</v>
      </c>
      <c r="G1320">
        <v>5</v>
      </c>
      <c r="H1320">
        <v>20680</v>
      </c>
      <c r="I1320" t="s">
        <v>39</v>
      </c>
      <c r="J1320" t="s">
        <v>19</v>
      </c>
      <c r="K1320" t="s">
        <v>20</v>
      </c>
      <c r="L1320">
        <v>1</v>
      </c>
      <c r="M1320">
        <v>1</v>
      </c>
      <c r="N1320">
        <v>0</v>
      </c>
      <c r="O1320" t="s">
        <v>27</v>
      </c>
      <c r="P1320" t="str">
        <f>TEXT(Table1[[#This Row],[order_date]],"yyyy-mm")</f>
        <v>2025-11</v>
      </c>
      <c r="Q1320">
        <f>WEEKNUM(Table1[[#This Row],[order_date]])</f>
        <v>45</v>
      </c>
      <c r="R1320">
        <f>IF(Table1[[#This Row],[order_status]]="completed",1,0)</f>
        <v>1</v>
      </c>
    </row>
    <row r="1321" spans="1:18" x14ac:dyDescent="0.35">
      <c r="A1321">
        <v>1320</v>
      </c>
      <c r="B1321" s="1">
        <v>45993</v>
      </c>
      <c r="C1321">
        <v>1348</v>
      </c>
      <c r="D1321" t="s">
        <v>15</v>
      </c>
      <c r="E1321" t="s">
        <v>29</v>
      </c>
      <c r="F1321" t="s">
        <v>17</v>
      </c>
      <c r="G1321">
        <v>3</v>
      </c>
      <c r="H1321">
        <v>6723</v>
      </c>
      <c r="I1321" t="s">
        <v>35</v>
      </c>
      <c r="J1321" t="s">
        <v>19</v>
      </c>
      <c r="K1321" t="s">
        <v>40</v>
      </c>
      <c r="L1321">
        <v>10</v>
      </c>
      <c r="M1321">
        <v>1</v>
      </c>
      <c r="N1321">
        <v>0</v>
      </c>
      <c r="O1321" t="s">
        <v>27</v>
      </c>
      <c r="P1321" t="str">
        <f>TEXT(Table1[[#This Row],[order_date]],"yyyy-mm")</f>
        <v>2025-12</v>
      </c>
      <c r="Q1321">
        <f>WEEKNUM(Table1[[#This Row],[order_date]])</f>
        <v>49</v>
      </c>
      <c r="R1321">
        <f>IF(Table1[[#This Row],[order_status]]="completed",1,0)</f>
        <v>1</v>
      </c>
    </row>
    <row r="1322" spans="1:18" x14ac:dyDescent="0.35">
      <c r="A1322">
        <v>1321</v>
      </c>
      <c r="B1322" s="1">
        <v>46018</v>
      </c>
      <c r="C1322">
        <v>1590</v>
      </c>
      <c r="D1322" t="s">
        <v>22</v>
      </c>
      <c r="E1322" t="s">
        <v>16</v>
      </c>
      <c r="F1322" t="s">
        <v>34</v>
      </c>
      <c r="G1322">
        <v>1</v>
      </c>
      <c r="H1322">
        <v>4693</v>
      </c>
      <c r="I1322" t="s">
        <v>35</v>
      </c>
      <c r="J1322" t="s">
        <v>19</v>
      </c>
      <c r="K1322" t="s">
        <v>38</v>
      </c>
      <c r="L1322">
        <v>1</v>
      </c>
      <c r="M1322">
        <v>0</v>
      </c>
      <c r="N1322">
        <v>0</v>
      </c>
      <c r="O1322" t="s">
        <v>27</v>
      </c>
      <c r="P1322" t="str">
        <f>TEXT(Table1[[#This Row],[order_date]],"yyyy-mm")</f>
        <v>2025-12</v>
      </c>
      <c r="Q1322">
        <f>WEEKNUM(Table1[[#This Row],[order_date]])</f>
        <v>52</v>
      </c>
      <c r="R1322">
        <f>IF(Table1[[#This Row],[order_status]]="completed",1,0)</f>
        <v>1</v>
      </c>
    </row>
    <row r="1323" spans="1:18" x14ac:dyDescent="0.35">
      <c r="A1323">
        <v>1322</v>
      </c>
      <c r="B1323" s="1">
        <v>45868</v>
      </c>
      <c r="C1323">
        <v>1399</v>
      </c>
      <c r="D1323" t="s">
        <v>28</v>
      </c>
      <c r="E1323" t="s">
        <v>29</v>
      </c>
      <c r="F1323" t="s">
        <v>34</v>
      </c>
      <c r="G1323">
        <v>1</v>
      </c>
      <c r="H1323">
        <v>0</v>
      </c>
      <c r="I1323" t="s">
        <v>25</v>
      </c>
      <c r="J1323" t="s">
        <v>37</v>
      </c>
      <c r="K1323" t="s">
        <v>26</v>
      </c>
      <c r="L1323">
        <v>6</v>
      </c>
      <c r="M1323">
        <v>1</v>
      </c>
      <c r="N1323">
        <v>0</v>
      </c>
      <c r="O1323" t="s">
        <v>21</v>
      </c>
      <c r="P1323" t="str">
        <f>TEXT(Table1[[#This Row],[order_date]],"yyyy-mm")</f>
        <v>2025-07</v>
      </c>
      <c r="Q1323">
        <f>WEEKNUM(Table1[[#This Row],[order_date]])</f>
        <v>31</v>
      </c>
      <c r="R1323">
        <f>IF(Table1[[#This Row],[order_status]]="completed",1,0)</f>
        <v>0</v>
      </c>
    </row>
    <row r="1324" spans="1:18" x14ac:dyDescent="0.35">
      <c r="A1324">
        <v>1323</v>
      </c>
      <c r="B1324" s="1">
        <v>45971</v>
      </c>
      <c r="C1324">
        <v>1575</v>
      </c>
      <c r="D1324" t="s">
        <v>15</v>
      </c>
      <c r="E1324" t="s">
        <v>33</v>
      </c>
      <c r="F1324" t="s">
        <v>30</v>
      </c>
      <c r="G1324">
        <v>1</v>
      </c>
      <c r="H1324">
        <v>0</v>
      </c>
      <c r="I1324" t="s">
        <v>35</v>
      </c>
      <c r="J1324" t="s">
        <v>37</v>
      </c>
      <c r="K1324" t="s">
        <v>20</v>
      </c>
      <c r="L1324">
        <v>9</v>
      </c>
      <c r="M1324">
        <v>1</v>
      </c>
      <c r="N1324">
        <v>1</v>
      </c>
      <c r="O1324" t="s">
        <v>21</v>
      </c>
      <c r="P1324" t="str">
        <f>TEXT(Table1[[#This Row],[order_date]],"yyyy-mm")</f>
        <v>2025-11</v>
      </c>
      <c r="Q1324">
        <f>WEEKNUM(Table1[[#This Row],[order_date]])</f>
        <v>46</v>
      </c>
      <c r="R1324">
        <f>IF(Table1[[#This Row],[order_status]]="completed",1,0)</f>
        <v>0</v>
      </c>
    </row>
    <row r="1325" spans="1:18" x14ac:dyDescent="0.35">
      <c r="A1325">
        <v>1324</v>
      </c>
      <c r="B1325" s="1">
        <v>45873</v>
      </c>
      <c r="C1325">
        <v>1376</v>
      </c>
      <c r="D1325" t="s">
        <v>22</v>
      </c>
      <c r="E1325" t="s">
        <v>36</v>
      </c>
      <c r="F1325" t="s">
        <v>34</v>
      </c>
      <c r="G1325">
        <v>5</v>
      </c>
      <c r="H1325">
        <v>0</v>
      </c>
      <c r="I1325" t="s">
        <v>25</v>
      </c>
      <c r="J1325" t="s">
        <v>31</v>
      </c>
      <c r="K1325" t="s">
        <v>26</v>
      </c>
      <c r="L1325">
        <v>3</v>
      </c>
      <c r="M1325">
        <v>0</v>
      </c>
      <c r="N1325">
        <v>1</v>
      </c>
      <c r="O1325" t="s">
        <v>27</v>
      </c>
      <c r="P1325" t="str">
        <f>TEXT(Table1[[#This Row],[order_date]],"yyyy-mm")</f>
        <v>2025-08</v>
      </c>
      <c r="Q1325">
        <f>WEEKNUM(Table1[[#This Row],[order_date]])</f>
        <v>32</v>
      </c>
      <c r="R1325">
        <f>IF(Table1[[#This Row],[order_status]]="completed",1,0)</f>
        <v>0</v>
      </c>
    </row>
    <row r="1326" spans="1:18" x14ac:dyDescent="0.35">
      <c r="A1326">
        <v>1325</v>
      </c>
      <c r="B1326" s="1">
        <v>45945</v>
      </c>
      <c r="C1326">
        <v>1852</v>
      </c>
      <c r="D1326" t="s">
        <v>15</v>
      </c>
      <c r="E1326" t="s">
        <v>23</v>
      </c>
      <c r="F1326" t="s">
        <v>30</v>
      </c>
      <c r="G1326">
        <v>4</v>
      </c>
      <c r="H1326">
        <v>0</v>
      </c>
      <c r="I1326" t="s">
        <v>35</v>
      </c>
      <c r="J1326" t="s">
        <v>31</v>
      </c>
      <c r="K1326" t="s">
        <v>40</v>
      </c>
      <c r="L1326">
        <v>5</v>
      </c>
      <c r="M1326">
        <v>1</v>
      </c>
      <c r="N1326">
        <v>1</v>
      </c>
      <c r="O1326" t="s">
        <v>27</v>
      </c>
      <c r="P1326" t="str">
        <f>TEXT(Table1[[#This Row],[order_date]],"yyyy-mm")</f>
        <v>2025-10</v>
      </c>
      <c r="Q1326">
        <f>WEEKNUM(Table1[[#This Row],[order_date]])</f>
        <v>42</v>
      </c>
      <c r="R1326">
        <f>IF(Table1[[#This Row],[order_status]]="completed",1,0)</f>
        <v>0</v>
      </c>
    </row>
    <row r="1327" spans="1:18" x14ac:dyDescent="0.35">
      <c r="A1327">
        <v>1326</v>
      </c>
      <c r="B1327" s="1">
        <v>45949</v>
      </c>
      <c r="C1327">
        <v>1563</v>
      </c>
      <c r="D1327" t="s">
        <v>22</v>
      </c>
      <c r="E1327" t="s">
        <v>29</v>
      </c>
      <c r="F1327" t="s">
        <v>24</v>
      </c>
      <c r="G1327">
        <v>5</v>
      </c>
      <c r="H1327">
        <v>0</v>
      </c>
      <c r="I1327" t="s">
        <v>18</v>
      </c>
      <c r="J1327" t="s">
        <v>37</v>
      </c>
      <c r="K1327" t="s">
        <v>26</v>
      </c>
      <c r="L1327">
        <v>8</v>
      </c>
      <c r="M1327">
        <v>0</v>
      </c>
      <c r="N1327">
        <v>1</v>
      </c>
      <c r="O1327" t="s">
        <v>21</v>
      </c>
      <c r="P1327" t="str">
        <f>TEXT(Table1[[#This Row],[order_date]],"yyyy-mm")</f>
        <v>2025-10</v>
      </c>
      <c r="Q1327">
        <f>WEEKNUM(Table1[[#This Row],[order_date]])</f>
        <v>43</v>
      </c>
      <c r="R1327">
        <f>IF(Table1[[#This Row],[order_status]]="completed",1,0)</f>
        <v>0</v>
      </c>
    </row>
    <row r="1328" spans="1:18" x14ac:dyDescent="0.35">
      <c r="A1328">
        <v>1327</v>
      </c>
      <c r="B1328" s="1">
        <v>46000</v>
      </c>
      <c r="C1328">
        <v>1155</v>
      </c>
      <c r="D1328" t="s">
        <v>28</v>
      </c>
      <c r="E1328" t="s">
        <v>23</v>
      </c>
      <c r="F1328" t="s">
        <v>30</v>
      </c>
      <c r="G1328">
        <v>1</v>
      </c>
      <c r="H1328">
        <v>0</v>
      </c>
      <c r="I1328" t="s">
        <v>25</v>
      </c>
      <c r="J1328" t="s">
        <v>31</v>
      </c>
      <c r="K1328" t="s">
        <v>26</v>
      </c>
      <c r="L1328">
        <v>3</v>
      </c>
      <c r="M1328">
        <v>0</v>
      </c>
      <c r="N1328">
        <v>0</v>
      </c>
      <c r="O1328" t="s">
        <v>21</v>
      </c>
      <c r="P1328" t="str">
        <f>TEXT(Table1[[#This Row],[order_date]],"yyyy-mm")</f>
        <v>2025-12</v>
      </c>
      <c r="Q1328">
        <f>WEEKNUM(Table1[[#This Row],[order_date]])</f>
        <v>50</v>
      </c>
      <c r="R1328">
        <f>IF(Table1[[#This Row],[order_status]]="completed",1,0)</f>
        <v>0</v>
      </c>
    </row>
    <row r="1329" spans="1:18" x14ac:dyDescent="0.35">
      <c r="A1329">
        <v>1328</v>
      </c>
      <c r="B1329" s="1">
        <v>45905</v>
      </c>
      <c r="C1329">
        <v>1118</v>
      </c>
      <c r="D1329" t="s">
        <v>15</v>
      </c>
      <c r="E1329" t="s">
        <v>16</v>
      </c>
      <c r="F1329" t="s">
        <v>34</v>
      </c>
      <c r="G1329">
        <v>5</v>
      </c>
      <c r="H1329">
        <v>24240</v>
      </c>
      <c r="I1329" t="s">
        <v>25</v>
      </c>
      <c r="J1329" t="s">
        <v>19</v>
      </c>
      <c r="K1329" t="s">
        <v>20</v>
      </c>
      <c r="L1329">
        <v>5</v>
      </c>
      <c r="M1329">
        <v>0</v>
      </c>
      <c r="N1329">
        <v>1</v>
      </c>
      <c r="O1329" t="s">
        <v>21</v>
      </c>
      <c r="P1329" t="str">
        <f>TEXT(Table1[[#This Row],[order_date]],"yyyy-mm")</f>
        <v>2025-09</v>
      </c>
      <c r="Q1329">
        <f>WEEKNUM(Table1[[#This Row],[order_date]])</f>
        <v>36</v>
      </c>
      <c r="R1329">
        <f>IF(Table1[[#This Row],[order_status]]="completed",1,0)</f>
        <v>1</v>
      </c>
    </row>
    <row r="1330" spans="1:18" x14ac:dyDescent="0.35">
      <c r="A1330">
        <v>1329</v>
      </c>
      <c r="B1330" s="1">
        <v>45966</v>
      </c>
      <c r="C1330">
        <v>1607</v>
      </c>
      <c r="D1330" t="s">
        <v>15</v>
      </c>
      <c r="E1330" t="s">
        <v>29</v>
      </c>
      <c r="F1330" t="s">
        <v>17</v>
      </c>
      <c r="G1330">
        <v>1</v>
      </c>
      <c r="H1330">
        <v>0</v>
      </c>
      <c r="I1330" t="s">
        <v>39</v>
      </c>
      <c r="J1330" t="s">
        <v>37</v>
      </c>
      <c r="K1330" t="s">
        <v>38</v>
      </c>
      <c r="L1330">
        <v>5</v>
      </c>
      <c r="M1330">
        <v>1</v>
      </c>
      <c r="N1330">
        <v>0</v>
      </c>
      <c r="O1330" t="s">
        <v>27</v>
      </c>
      <c r="P1330" t="str">
        <f>TEXT(Table1[[#This Row],[order_date]],"yyyy-mm")</f>
        <v>2025-11</v>
      </c>
      <c r="Q1330">
        <f>WEEKNUM(Table1[[#This Row],[order_date]])</f>
        <v>45</v>
      </c>
      <c r="R1330">
        <f>IF(Table1[[#This Row],[order_status]]="completed",1,0)</f>
        <v>0</v>
      </c>
    </row>
    <row r="1331" spans="1:18" x14ac:dyDescent="0.35">
      <c r="A1331">
        <v>1330</v>
      </c>
      <c r="B1331" s="1">
        <v>45964</v>
      </c>
      <c r="C1331">
        <v>1751</v>
      </c>
      <c r="D1331" t="s">
        <v>41</v>
      </c>
      <c r="E1331" t="s">
        <v>29</v>
      </c>
      <c r="F1331" t="s">
        <v>30</v>
      </c>
      <c r="G1331">
        <v>5</v>
      </c>
      <c r="H1331">
        <v>8935</v>
      </c>
      <c r="I1331" t="s">
        <v>18</v>
      </c>
      <c r="J1331" t="s">
        <v>19</v>
      </c>
      <c r="K1331" t="s">
        <v>26</v>
      </c>
      <c r="L1331">
        <v>9</v>
      </c>
      <c r="M1331">
        <v>0</v>
      </c>
      <c r="N1331">
        <v>1</v>
      </c>
      <c r="O1331" t="s">
        <v>27</v>
      </c>
      <c r="P1331" t="str">
        <f>TEXT(Table1[[#This Row],[order_date]],"yyyy-mm")</f>
        <v>2025-11</v>
      </c>
      <c r="Q1331">
        <f>WEEKNUM(Table1[[#This Row],[order_date]])</f>
        <v>45</v>
      </c>
      <c r="R1331">
        <f>IF(Table1[[#This Row],[order_status]]="completed",1,0)</f>
        <v>1</v>
      </c>
    </row>
    <row r="1332" spans="1:18" x14ac:dyDescent="0.35">
      <c r="A1332">
        <v>1331</v>
      </c>
      <c r="B1332" s="1">
        <v>46007</v>
      </c>
      <c r="C1332">
        <v>1120</v>
      </c>
      <c r="D1332" t="s">
        <v>41</v>
      </c>
      <c r="E1332" t="s">
        <v>36</v>
      </c>
      <c r="F1332" t="s">
        <v>24</v>
      </c>
      <c r="G1332">
        <v>3</v>
      </c>
      <c r="H1332">
        <v>8916</v>
      </c>
      <c r="I1332" t="s">
        <v>18</v>
      </c>
      <c r="J1332" t="s">
        <v>19</v>
      </c>
      <c r="K1332" t="s">
        <v>40</v>
      </c>
      <c r="L1332">
        <v>10</v>
      </c>
      <c r="M1332">
        <v>0</v>
      </c>
      <c r="N1332">
        <v>0</v>
      </c>
      <c r="O1332" t="s">
        <v>21</v>
      </c>
      <c r="P1332" t="str">
        <f>TEXT(Table1[[#This Row],[order_date]],"yyyy-mm")</f>
        <v>2025-12</v>
      </c>
      <c r="Q1332">
        <f>WEEKNUM(Table1[[#This Row],[order_date]])</f>
        <v>51</v>
      </c>
      <c r="R1332">
        <f>IF(Table1[[#This Row],[order_status]]="completed",1,0)</f>
        <v>1</v>
      </c>
    </row>
    <row r="1333" spans="1:18" x14ac:dyDescent="0.35">
      <c r="A1333">
        <v>1332</v>
      </c>
      <c r="B1333" s="1">
        <v>45975</v>
      </c>
      <c r="C1333">
        <v>1278</v>
      </c>
      <c r="D1333" t="s">
        <v>22</v>
      </c>
      <c r="E1333" t="s">
        <v>23</v>
      </c>
      <c r="F1333" t="s">
        <v>24</v>
      </c>
      <c r="G1333">
        <v>5</v>
      </c>
      <c r="H1333">
        <v>15375</v>
      </c>
      <c r="I1333" t="s">
        <v>18</v>
      </c>
      <c r="J1333" t="s">
        <v>19</v>
      </c>
      <c r="K1333" t="s">
        <v>38</v>
      </c>
      <c r="L1333">
        <v>8</v>
      </c>
      <c r="M1333">
        <v>1</v>
      </c>
      <c r="N1333">
        <v>1</v>
      </c>
      <c r="O1333" t="s">
        <v>21</v>
      </c>
      <c r="P1333" t="str">
        <f>TEXT(Table1[[#This Row],[order_date]],"yyyy-mm")</f>
        <v>2025-11</v>
      </c>
      <c r="Q1333">
        <f>WEEKNUM(Table1[[#This Row],[order_date]])</f>
        <v>46</v>
      </c>
      <c r="R1333">
        <f>IF(Table1[[#This Row],[order_status]]="completed",1,0)</f>
        <v>1</v>
      </c>
    </row>
    <row r="1334" spans="1:18" x14ac:dyDescent="0.35">
      <c r="A1334">
        <v>1333</v>
      </c>
      <c r="B1334" s="1">
        <v>45948</v>
      </c>
      <c r="C1334">
        <v>1993</v>
      </c>
      <c r="D1334" t="s">
        <v>22</v>
      </c>
      <c r="E1334" t="s">
        <v>33</v>
      </c>
      <c r="F1334" t="s">
        <v>34</v>
      </c>
      <c r="G1334">
        <v>4</v>
      </c>
      <c r="H1334">
        <v>6524</v>
      </c>
      <c r="I1334" t="s">
        <v>25</v>
      </c>
      <c r="J1334" t="s">
        <v>19</v>
      </c>
      <c r="K1334" t="s">
        <v>26</v>
      </c>
      <c r="L1334">
        <v>2</v>
      </c>
      <c r="M1334">
        <v>1</v>
      </c>
      <c r="N1334">
        <v>1</v>
      </c>
      <c r="O1334" t="s">
        <v>27</v>
      </c>
      <c r="P1334" t="str">
        <f>TEXT(Table1[[#This Row],[order_date]],"yyyy-mm")</f>
        <v>2025-10</v>
      </c>
      <c r="Q1334">
        <f>WEEKNUM(Table1[[#This Row],[order_date]])</f>
        <v>42</v>
      </c>
      <c r="R1334">
        <f>IF(Table1[[#This Row],[order_status]]="completed",1,0)</f>
        <v>1</v>
      </c>
    </row>
    <row r="1335" spans="1:18" x14ac:dyDescent="0.35">
      <c r="A1335">
        <v>1334</v>
      </c>
      <c r="B1335" s="1">
        <v>45938</v>
      </c>
      <c r="C1335">
        <v>1577</v>
      </c>
      <c r="D1335" t="s">
        <v>41</v>
      </c>
      <c r="E1335" t="s">
        <v>29</v>
      </c>
      <c r="F1335" t="s">
        <v>24</v>
      </c>
      <c r="G1335">
        <v>2</v>
      </c>
      <c r="H1335">
        <v>4964</v>
      </c>
      <c r="I1335" t="s">
        <v>35</v>
      </c>
      <c r="J1335" t="s">
        <v>19</v>
      </c>
      <c r="K1335" t="s">
        <v>20</v>
      </c>
      <c r="L1335">
        <v>5</v>
      </c>
      <c r="M1335">
        <v>0</v>
      </c>
      <c r="N1335">
        <v>0</v>
      </c>
      <c r="O1335" t="s">
        <v>21</v>
      </c>
      <c r="P1335" t="str">
        <f>TEXT(Table1[[#This Row],[order_date]],"yyyy-mm")</f>
        <v>2025-10</v>
      </c>
      <c r="Q1335">
        <f>WEEKNUM(Table1[[#This Row],[order_date]])</f>
        <v>41</v>
      </c>
      <c r="R1335">
        <f>IF(Table1[[#This Row],[order_status]]="completed",1,0)</f>
        <v>1</v>
      </c>
    </row>
    <row r="1336" spans="1:18" x14ac:dyDescent="0.35">
      <c r="A1336">
        <v>1335</v>
      </c>
      <c r="B1336" s="1">
        <v>45941</v>
      </c>
      <c r="C1336">
        <v>1725</v>
      </c>
      <c r="D1336" t="s">
        <v>15</v>
      </c>
      <c r="E1336" t="s">
        <v>23</v>
      </c>
      <c r="F1336" t="s">
        <v>30</v>
      </c>
      <c r="G1336">
        <v>3</v>
      </c>
      <c r="H1336">
        <v>0</v>
      </c>
      <c r="I1336" t="s">
        <v>18</v>
      </c>
      <c r="J1336" t="s">
        <v>31</v>
      </c>
      <c r="K1336" t="s">
        <v>26</v>
      </c>
      <c r="L1336">
        <v>5</v>
      </c>
      <c r="M1336">
        <v>1</v>
      </c>
      <c r="N1336">
        <v>0</v>
      </c>
      <c r="O1336" t="s">
        <v>27</v>
      </c>
      <c r="P1336" t="str">
        <f>TEXT(Table1[[#This Row],[order_date]],"yyyy-mm")</f>
        <v>2025-10</v>
      </c>
      <c r="Q1336">
        <f>WEEKNUM(Table1[[#This Row],[order_date]])</f>
        <v>41</v>
      </c>
      <c r="R1336">
        <f>IF(Table1[[#This Row],[order_status]]="completed",1,0)</f>
        <v>0</v>
      </c>
    </row>
    <row r="1337" spans="1:18" x14ac:dyDescent="0.35">
      <c r="A1337">
        <v>1336</v>
      </c>
      <c r="B1337" s="1">
        <v>45907</v>
      </c>
      <c r="C1337">
        <v>1967</v>
      </c>
      <c r="D1337" t="s">
        <v>32</v>
      </c>
      <c r="E1337" t="s">
        <v>16</v>
      </c>
      <c r="F1337" t="s">
        <v>34</v>
      </c>
      <c r="G1337">
        <v>5</v>
      </c>
      <c r="H1337">
        <v>0</v>
      </c>
      <c r="I1337" t="s">
        <v>35</v>
      </c>
      <c r="J1337" t="s">
        <v>31</v>
      </c>
      <c r="K1337" t="s">
        <v>40</v>
      </c>
      <c r="L1337">
        <v>2</v>
      </c>
      <c r="M1337">
        <v>1</v>
      </c>
      <c r="N1337">
        <v>1</v>
      </c>
      <c r="O1337" t="s">
        <v>27</v>
      </c>
      <c r="P1337" t="str">
        <f>TEXT(Table1[[#This Row],[order_date]],"yyyy-mm")</f>
        <v>2025-09</v>
      </c>
      <c r="Q1337">
        <f>WEEKNUM(Table1[[#This Row],[order_date]])</f>
        <v>37</v>
      </c>
      <c r="R1337">
        <f>IF(Table1[[#This Row],[order_status]]="completed",1,0)</f>
        <v>0</v>
      </c>
    </row>
    <row r="1338" spans="1:18" x14ac:dyDescent="0.35">
      <c r="A1338">
        <v>1337</v>
      </c>
      <c r="B1338" s="1">
        <v>46003</v>
      </c>
      <c r="C1338">
        <v>1519</v>
      </c>
      <c r="D1338" t="s">
        <v>15</v>
      </c>
      <c r="E1338" t="s">
        <v>23</v>
      </c>
      <c r="F1338" t="s">
        <v>17</v>
      </c>
      <c r="G1338">
        <v>2</v>
      </c>
      <c r="H1338">
        <v>0</v>
      </c>
      <c r="I1338" t="s">
        <v>39</v>
      </c>
      <c r="J1338" t="s">
        <v>37</v>
      </c>
      <c r="K1338" t="s">
        <v>40</v>
      </c>
      <c r="L1338">
        <v>7</v>
      </c>
      <c r="M1338">
        <v>0</v>
      </c>
      <c r="N1338">
        <v>0</v>
      </c>
      <c r="O1338" t="s">
        <v>27</v>
      </c>
      <c r="P1338" t="str">
        <f>TEXT(Table1[[#This Row],[order_date]],"yyyy-mm")</f>
        <v>2025-12</v>
      </c>
      <c r="Q1338">
        <f>WEEKNUM(Table1[[#This Row],[order_date]])</f>
        <v>50</v>
      </c>
      <c r="R1338">
        <f>IF(Table1[[#This Row],[order_status]]="completed",1,0)</f>
        <v>0</v>
      </c>
    </row>
    <row r="1339" spans="1:18" x14ac:dyDescent="0.35">
      <c r="A1339">
        <v>1338</v>
      </c>
      <c r="B1339" s="1">
        <v>45877</v>
      </c>
      <c r="C1339">
        <v>1745</v>
      </c>
      <c r="D1339" t="s">
        <v>41</v>
      </c>
      <c r="E1339" t="s">
        <v>33</v>
      </c>
      <c r="F1339" t="s">
        <v>17</v>
      </c>
      <c r="G1339">
        <v>5</v>
      </c>
      <c r="H1339">
        <v>0</v>
      </c>
      <c r="I1339" t="s">
        <v>25</v>
      </c>
      <c r="J1339" t="s">
        <v>31</v>
      </c>
      <c r="K1339" t="s">
        <v>38</v>
      </c>
      <c r="L1339">
        <v>9</v>
      </c>
      <c r="M1339">
        <v>1</v>
      </c>
      <c r="N1339">
        <v>0</v>
      </c>
      <c r="O1339" t="s">
        <v>27</v>
      </c>
      <c r="P1339" t="str">
        <f>TEXT(Table1[[#This Row],[order_date]],"yyyy-mm")</f>
        <v>2025-08</v>
      </c>
      <c r="Q1339">
        <f>WEEKNUM(Table1[[#This Row],[order_date]])</f>
        <v>32</v>
      </c>
      <c r="R1339">
        <f>IF(Table1[[#This Row],[order_status]]="completed",1,0)</f>
        <v>0</v>
      </c>
    </row>
    <row r="1340" spans="1:18" x14ac:dyDescent="0.35">
      <c r="A1340">
        <v>1339</v>
      </c>
      <c r="B1340" s="1">
        <v>45940</v>
      </c>
      <c r="C1340">
        <v>1087</v>
      </c>
      <c r="D1340" t="s">
        <v>15</v>
      </c>
      <c r="E1340" t="s">
        <v>29</v>
      </c>
      <c r="F1340" t="s">
        <v>30</v>
      </c>
      <c r="G1340">
        <v>2</v>
      </c>
      <c r="H1340">
        <v>7356</v>
      </c>
      <c r="I1340" t="s">
        <v>39</v>
      </c>
      <c r="J1340" t="s">
        <v>19</v>
      </c>
      <c r="K1340" t="s">
        <v>26</v>
      </c>
      <c r="L1340">
        <v>1</v>
      </c>
      <c r="M1340">
        <v>1</v>
      </c>
      <c r="N1340">
        <v>0</v>
      </c>
      <c r="O1340" t="s">
        <v>27</v>
      </c>
      <c r="P1340" t="str">
        <f>TEXT(Table1[[#This Row],[order_date]],"yyyy-mm")</f>
        <v>2025-10</v>
      </c>
      <c r="Q1340">
        <f>WEEKNUM(Table1[[#This Row],[order_date]])</f>
        <v>41</v>
      </c>
      <c r="R1340">
        <f>IF(Table1[[#This Row],[order_status]]="completed",1,0)</f>
        <v>1</v>
      </c>
    </row>
    <row r="1341" spans="1:18" x14ac:dyDescent="0.35">
      <c r="A1341">
        <v>1340</v>
      </c>
      <c r="B1341" s="1">
        <v>45876</v>
      </c>
      <c r="C1341">
        <v>1159</v>
      </c>
      <c r="D1341" t="s">
        <v>15</v>
      </c>
      <c r="E1341" t="s">
        <v>36</v>
      </c>
      <c r="F1341" t="s">
        <v>34</v>
      </c>
      <c r="G1341">
        <v>3</v>
      </c>
      <c r="H1341">
        <v>0</v>
      </c>
      <c r="I1341" t="s">
        <v>18</v>
      </c>
      <c r="J1341" t="s">
        <v>37</v>
      </c>
      <c r="K1341" t="s">
        <v>26</v>
      </c>
      <c r="L1341">
        <v>1</v>
      </c>
      <c r="M1341">
        <v>0</v>
      </c>
      <c r="N1341">
        <v>1</v>
      </c>
      <c r="O1341" t="s">
        <v>21</v>
      </c>
      <c r="P1341" t="str">
        <f>TEXT(Table1[[#This Row],[order_date]],"yyyy-mm")</f>
        <v>2025-08</v>
      </c>
      <c r="Q1341">
        <f>WEEKNUM(Table1[[#This Row],[order_date]])</f>
        <v>32</v>
      </c>
      <c r="R1341">
        <f>IF(Table1[[#This Row],[order_status]]="completed",1,0)</f>
        <v>0</v>
      </c>
    </row>
    <row r="1342" spans="1:18" x14ac:dyDescent="0.35">
      <c r="A1342">
        <v>1341</v>
      </c>
      <c r="B1342" s="1">
        <v>45854</v>
      </c>
      <c r="C1342">
        <v>1829</v>
      </c>
      <c r="D1342" t="s">
        <v>15</v>
      </c>
      <c r="E1342" t="s">
        <v>16</v>
      </c>
      <c r="F1342" t="s">
        <v>17</v>
      </c>
      <c r="G1342">
        <v>2</v>
      </c>
      <c r="H1342">
        <v>0</v>
      </c>
      <c r="I1342" t="s">
        <v>35</v>
      </c>
      <c r="J1342" t="s">
        <v>31</v>
      </c>
      <c r="K1342" t="s">
        <v>40</v>
      </c>
      <c r="L1342">
        <v>7</v>
      </c>
      <c r="M1342">
        <v>0</v>
      </c>
      <c r="N1342">
        <v>1</v>
      </c>
      <c r="O1342" t="s">
        <v>21</v>
      </c>
      <c r="P1342" t="str">
        <f>TEXT(Table1[[#This Row],[order_date]],"yyyy-mm")</f>
        <v>2025-07</v>
      </c>
      <c r="Q1342">
        <f>WEEKNUM(Table1[[#This Row],[order_date]])</f>
        <v>29</v>
      </c>
      <c r="R1342">
        <f>IF(Table1[[#This Row],[order_status]]="completed",1,0)</f>
        <v>0</v>
      </c>
    </row>
    <row r="1343" spans="1:18" x14ac:dyDescent="0.35">
      <c r="A1343">
        <v>1342</v>
      </c>
      <c r="B1343" s="1">
        <v>46005</v>
      </c>
      <c r="C1343">
        <v>1852</v>
      </c>
      <c r="D1343" t="s">
        <v>15</v>
      </c>
      <c r="E1343" t="s">
        <v>29</v>
      </c>
      <c r="F1343" t="s">
        <v>34</v>
      </c>
      <c r="G1343">
        <v>4</v>
      </c>
      <c r="H1343">
        <v>0</v>
      </c>
      <c r="I1343" t="s">
        <v>25</v>
      </c>
      <c r="J1343" t="s">
        <v>37</v>
      </c>
      <c r="K1343" t="s">
        <v>26</v>
      </c>
      <c r="L1343">
        <v>8</v>
      </c>
      <c r="M1343">
        <v>0</v>
      </c>
      <c r="N1343">
        <v>0</v>
      </c>
      <c r="O1343" t="s">
        <v>27</v>
      </c>
      <c r="P1343" t="str">
        <f>TEXT(Table1[[#This Row],[order_date]],"yyyy-mm")</f>
        <v>2025-12</v>
      </c>
      <c r="Q1343">
        <f>WEEKNUM(Table1[[#This Row],[order_date]])</f>
        <v>51</v>
      </c>
      <c r="R1343">
        <f>IF(Table1[[#This Row],[order_status]]="completed",1,0)</f>
        <v>0</v>
      </c>
    </row>
    <row r="1344" spans="1:18" x14ac:dyDescent="0.35">
      <c r="A1344">
        <v>1343</v>
      </c>
      <c r="B1344" s="1">
        <v>45867</v>
      </c>
      <c r="C1344">
        <v>1518</v>
      </c>
      <c r="D1344" t="s">
        <v>28</v>
      </c>
      <c r="E1344" t="s">
        <v>29</v>
      </c>
      <c r="F1344" t="s">
        <v>17</v>
      </c>
      <c r="G1344">
        <v>2</v>
      </c>
      <c r="H1344">
        <v>7960</v>
      </c>
      <c r="I1344" t="s">
        <v>25</v>
      </c>
      <c r="J1344" t="s">
        <v>19</v>
      </c>
      <c r="K1344" t="s">
        <v>20</v>
      </c>
      <c r="L1344">
        <v>6</v>
      </c>
      <c r="M1344">
        <v>0</v>
      </c>
      <c r="N1344">
        <v>0</v>
      </c>
      <c r="O1344" t="s">
        <v>27</v>
      </c>
      <c r="P1344" t="str">
        <f>TEXT(Table1[[#This Row],[order_date]],"yyyy-mm")</f>
        <v>2025-07</v>
      </c>
      <c r="Q1344">
        <f>WEEKNUM(Table1[[#This Row],[order_date]])</f>
        <v>31</v>
      </c>
      <c r="R1344">
        <f>IF(Table1[[#This Row],[order_status]]="completed",1,0)</f>
        <v>1</v>
      </c>
    </row>
    <row r="1345" spans="1:18" x14ac:dyDescent="0.35">
      <c r="A1345">
        <v>1344</v>
      </c>
      <c r="B1345" s="1">
        <v>45914</v>
      </c>
      <c r="C1345">
        <v>1307</v>
      </c>
      <c r="D1345" t="s">
        <v>22</v>
      </c>
      <c r="E1345" t="s">
        <v>33</v>
      </c>
      <c r="F1345" t="s">
        <v>17</v>
      </c>
      <c r="G1345">
        <v>3</v>
      </c>
      <c r="H1345">
        <v>0</v>
      </c>
      <c r="I1345" t="s">
        <v>18</v>
      </c>
      <c r="J1345" t="s">
        <v>37</v>
      </c>
      <c r="K1345" t="s">
        <v>20</v>
      </c>
      <c r="L1345">
        <v>2</v>
      </c>
      <c r="M1345">
        <v>1</v>
      </c>
      <c r="N1345">
        <v>1</v>
      </c>
      <c r="O1345" t="s">
        <v>21</v>
      </c>
      <c r="P1345" t="str">
        <f>TEXT(Table1[[#This Row],[order_date]],"yyyy-mm")</f>
        <v>2025-09</v>
      </c>
      <c r="Q1345">
        <f>WEEKNUM(Table1[[#This Row],[order_date]])</f>
        <v>38</v>
      </c>
      <c r="R1345">
        <f>IF(Table1[[#This Row],[order_status]]="completed",1,0)</f>
        <v>0</v>
      </c>
    </row>
    <row r="1346" spans="1:18" x14ac:dyDescent="0.35">
      <c r="A1346">
        <v>1345</v>
      </c>
      <c r="B1346" s="1">
        <v>46012</v>
      </c>
      <c r="C1346">
        <v>1644</v>
      </c>
      <c r="D1346" t="s">
        <v>32</v>
      </c>
      <c r="E1346" t="s">
        <v>16</v>
      </c>
      <c r="F1346" t="s">
        <v>17</v>
      </c>
      <c r="G1346">
        <v>5</v>
      </c>
      <c r="H1346">
        <v>0</v>
      </c>
      <c r="I1346" t="s">
        <v>39</v>
      </c>
      <c r="J1346" t="s">
        <v>37</v>
      </c>
      <c r="K1346" t="s">
        <v>26</v>
      </c>
      <c r="L1346">
        <v>2</v>
      </c>
      <c r="M1346">
        <v>1</v>
      </c>
      <c r="N1346">
        <v>1</v>
      </c>
      <c r="O1346" t="s">
        <v>21</v>
      </c>
      <c r="P1346" t="str">
        <f>TEXT(Table1[[#This Row],[order_date]],"yyyy-mm")</f>
        <v>2025-12</v>
      </c>
      <c r="Q1346">
        <f>WEEKNUM(Table1[[#This Row],[order_date]])</f>
        <v>52</v>
      </c>
      <c r="R1346">
        <f>IF(Table1[[#This Row],[order_status]]="completed",1,0)</f>
        <v>0</v>
      </c>
    </row>
    <row r="1347" spans="1:18" x14ac:dyDescent="0.35">
      <c r="A1347">
        <v>1346</v>
      </c>
      <c r="B1347" s="1">
        <v>45929</v>
      </c>
      <c r="C1347">
        <v>1053</v>
      </c>
      <c r="D1347" t="s">
        <v>28</v>
      </c>
      <c r="E1347" t="s">
        <v>23</v>
      </c>
      <c r="F1347" t="s">
        <v>30</v>
      </c>
      <c r="G1347">
        <v>4</v>
      </c>
      <c r="H1347">
        <v>0</v>
      </c>
      <c r="I1347" t="s">
        <v>25</v>
      </c>
      <c r="J1347" t="s">
        <v>37</v>
      </c>
      <c r="K1347" t="s">
        <v>38</v>
      </c>
      <c r="L1347">
        <v>7</v>
      </c>
      <c r="M1347">
        <v>1</v>
      </c>
      <c r="N1347">
        <v>0</v>
      </c>
      <c r="O1347" t="s">
        <v>27</v>
      </c>
      <c r="P1347" t="str">
        <f>TEXT(Table1[[#This Row],[order_date]],"yyyy-mm")</f>
        <v>2025-09</v>
      </c>
      <c r="Q1347">
        <f>WEEKNUM(Table1[[#This Row],[order_date]])</f>
        <v>40</v>
      </c>
      <c r="R1347">
        <f>IF(Table1[[#This Row],[order_status]]="completed",1,0)</f>
        <v>0</v>
      </c>
    </row>
    <row r="1348" spans="1:18" x14ac:dyDescent="0.35">
      <c r="A1348">
        <v>1347</v>
      </c>
      <c r="B1348" s="1">
        <v>45990</v>
      </c>
      <c r="C1348">
        <v>1593</v>
      </c>
      <c r="D1348" t="s">
        <v>32</v>
      </c>
      <c r="E1348" t="s">
        <v>16</v>
      </c>
      <c r="F1348" t="s">
        <v>34</v>
      </c>
      <c r="G1348">
        <v>4</v>
      </c>
      <c r="H1348">
        <v>7196</v>
      </c>
      <c r="I1348" t="s">
        <v>25</v>
      </c>
      <c r="J1348" t="s">
        <v>19</v>
      </c>
      <c r="K1348" t="s">
        <v>40</v>
      </c>
      <c r="L1348">
        <v>8</v>
      </c>
      <c r="M1348">
        <v>1</v>
      </c>
      <c r="N1348">
        <v>1</v>
      </c>
      <c r="O1348" t="s">
        <v>21</v>
      </c>
      <c r="P1348" t="str">
        <f>TEXT(Table1[[#This Row],[order_date]],"yyyy-mm")</f>
        <v>2025-11</v>
      </c>
      <c r="Q1348">
        <f>WEEKNUM(Table1[[#This Row],[order_date]])</f>
        <v>48</v>
      </c>
      <c r="R1348">
        <f>IF(Table1[[#This Row],[order_status]]="completed",1,0)</f>
        <v>1</v>
      </c>
    </row>
    <row r="1349" spans="1:18" x14ac:dyDescent="0.35">
      <c r="A1349">
        <v>1348</v>
      </c>
      <c r="B1349" s="1">
        <v>45962</v>
      </c>
      <c r="C1349">
        <v>1342</v>
      </c>
      <c r="D1349" t="s">
        <v>22</v>
      </c>
      <c r="E1349" t="s">
        <v>23</v>
      </c>
      <c r="F1349" t="s">
        <v>30</v>
      </c>
      <c r="G1349">
        <v>3</v>
      </c>
      <c r="H1349">
        <v>0</v>
      </c>
      <c r="I1349" t="s">
        <v>18</v>
      </c>
      <c r="J1349" t="s">
        <v>37</v>
      </c>
      <c r="K1349" t="s">
        <v>38</v>
      </c>
      <c r="L1349">
        <v>6</v>
      </c>
      <c r="M1349">
        <v>1</v>
      </c>
      <c r="N1349">
        <v>1</v>
      </c>
      <c r="O1349" t="s">
        <v>21</v>
      </c>
      <c r="P1349" t="str">
        <f>TEXT(Table1[[#This Row],[order_date]],"yyyy-mm")</f>
        <v>2025-11</v>
      </c>
      <c r="Q1349">
        <f>WEEKNUM(Table1[[#This Row],[order_date]])</f>
        <v>44</v>
      </c>
      <c r="R1349">
        <f>IF(Table1[[#This Row],[order_status]]="completed",1,0)</f>
        <v>0</v>
      </c>
    </row>
    <row r="1350" spans="1:18" x14ac:dyDescent="0.35">
      <c r="A1350">
        <v>1349</v>
      </c>
      <c r="B1350" s="1">
        <v>45988</v>
      </c>
      <c r="C1350">
        <v>1507</v>
      </c>
      <c r="D1350" t="s">
        <v>32</v>
      </c>
      <c r="E1350" t="s">
        <v>33</v>
      </c>
      <c r="F1350" t="s">
        <v>24</v>
      </c>
      <c r="G1350">
        <v>1</v>
      </c>
      <c r="H1350">
        <v>0</v>
      </c>
      <c r="I1350" t="s">
        <v>25</v>
      </c>
      <c r="J1350" t="s">
        <v>37</v>
      </c>
      <c r="K1350" t="s">
        <v>20</v>
      </c>
      <c r="L1350">
        <v>4</v>
      </c>
      <c r="M1350">
        <v>1</v>
      </c>
      <c r="N1350">
        <v>1</v>
      </c>
      <c r="O1350" t="s">
        <v>21</v>
      </c>
      <c r="P1350" t="str">
        <f>TEXT(Table1[[#This Row],[order_date]],"yyyy-mm")</f>
        <v>2025-11</v>
      </c>
      <c r="Q1350">
        <f>WEEKNUM(Table1[[#This Row],[order_date]])</f>
        <v>48</v>
      </c>
      <c r="R1350">
        <f>IF(Table1[[#This Row],[order_status]]="completed",1,0)</f>
        <v>0</v>
      </c>
    </row>
    <row r="1351" spans="1:18" x14ac:dyDescent="0.35">
      <c r="A1351">
        <v>1350</v>
      </c>
      <c r="B1351" s="1">
        <v>45983</v>
      </c>
      <c r="C1351">
        <v>1745</v>
      </c>
      <c r="D1351" t="s">
        <v>41</v>
      </c>
      <c r="E1351" t="s">
        <v>36</v>
      </c>
      <c r="F1351" t="s">
        <v>30</v>
      </c>
      <c r="G1351">
        <v>4</v>
      </c>
      <c r="H1351">
        <v>0</v>
      </c>
      <c r="I1351" t="s">
        <v>35</v>
      </c>
      <c r="J1351" t="s">
        <v>31</v>
      </c>
      <c r="K1351" t="s">
        <v>40</v>
      </c>
      <c r="L1351">
        <v>7</v>
      </c>
      <c r="M1351">
        <v>1</v>
      </c>
      <c r="N1351">
        <v>0</v>
      </c>
      <c r="O1351" t="s">
        <v>27</v>
      </c>
      <c r="P1351" t="str">
        <f>TEXT(Table1[[#This Row],[order_date]],"yyyy-mm")</f>
        <v>2025-11</v>
      </c>
      <c r="Q1351">
        <f>WEEKNUM(Table1[[#This Row],[order_date]])</f>
        <v>47</v>
      </c>
      <c r="R1351">
        <f>IF(Table1[[#This Row],[order_status]]="completed",1,0)</f>
        <v>0</v>
      </c>
    </row>
    <row r="1352" spans="1:18" x14ac:dyDescent="0.35">
      <c r="A1352">
        <v>1351</v>
      </c>
      <c r="B1352" s="1">
        <v>46023</v>
      </c>
      <c r="C1352">
        <v>1914</v>
      </c>
      <c r="D1352" t="s">
        <v>41</v>
      </c>
      <c r="E1352" t="s">
        <v>33</v>
      </c>
      <c r="F1352" t="s">
        <v>30</v>
      </c>
      <c r="G1352">
        <v>3</v>
      </c>
      <c r="H1352">
        <v>0</v>
      </c>
      <c r="I1352" t="s">
        <v>35</v>
      </c>
      <c r="J1352" t="s">
        <v>31</v>
      </c>
      <c r="K1352" t="s">
        <v>20</v>
      </c>
      <c r="L1352">
        <v>2</v>
      </c>
      <c r="M1352">
        <v>0</v>
      </c>
      <c r="N1352">
        <v>1</v>
      </c>
      <c r="O1352" t="s">
        <v>27</v>
      </c>
      <c r="P1352" t="str">
        <f>TEXT(Table1[[#This Row],[order_date]],"yyyy-mm")</f>
        <v>2026-01</v>
      </c>
      <c r="Q1352">
        <f>WEEKNUM(Table1[[#This Row],[order_date]])</f>
        <v>1</v>
      </c>
      <c r="R1352">
        <f>IF(Table1[[#This Row],[order_status]]="completed",1,0)</f>
        <v>0</v>
      </c>
    </row>
    <row r="1353" spans="1:18" x14ac:dyDescent="0.35">
      <c r="A1353">
        <v>1352</v>
      </c>
      <c r="B1353" s="1">
        <v>45948</v>
      </c>
      <c r="C1353">
        <v>1769</v>
      </c>
      <c r="D1353" t="s">
        <v>28</v>
      </c>
      <c r="E1353" t="s">
        <v>29</v>
      </c>
      <c r="F1353" t="s">
        <v>24</v>
      </c>
      <c r="G1353">
        <v>3</v>
      </c>
      <c r="H1353">
        <v>0</v>
      </c>
      <c r="I1353" t="s">
        <v>35</v>
      </c>
      <c r="J1353" t="s">
        <v>37</v>
      </c>
      <c r="K1353" t="s">
        <v>40</v>
      </c>
      <c r="L1353">
        <v>6</v>
      </c>
      <c r="M1353">
        <v>1</v>
      </c>
      <c r="N1353">
        <v>1</v>
      </c>
      <c r="O1353" t="s">
        <v>27</v>
      </c>
      <c r="P1353" t="str">
        <f>TEXT(Table1[[#This Row],[order_date]],"yyyy-mm")</f>
        <v>2025-10</v>
      </c>
      <c r="Q1353">
        <f>WEEKNUM(Table1[[#This Row],[order_date]])</f>
        <v>42</v>
      </c>
      <c r="R1353">
        <f>IF(Table1[[#This Row],[order_status]]="completed",1,0)</f>
        <v>0</v>
      </c>
    </row>
    <row r="1354" spans="1:18" x14ac:dyDescent="0.35">
      <c r="A1354">
        <v>1353</v>
      </c>
      <c r="B1354" s="1">
        <v>46018</v>
      </c>
      <c r="C1354">
        <v>1875</v>
      </c>
      <c r="D1354" t="s">
        <v>28</v>
      </c>
      <c r="E1354" t="s">
        <v>36</v>
      </c>
      <c r="F1354" t="s">
        <v>30</v>
      </c>
      <c r="G1354">
        <v>5</v>
      </c>
      <c r="H1354">
        <v>0</v>
      </c>
      <c r="I1354" t="s">
        <v>18</v>
      </c>
      <c r="J1354" t="s">
        <v>37</v>
      </c>
      <c r="K1354" t="s">
        <v>38</v>
      </c>
      <c r="L1354">
        <v>3</v>
      </c>
      <c r="M1354">
        <v>0</v>
      </c>
      <c r="N1354">
        <v>0</v>
      </c>
      <c r="O1354" t="s">
        <v>21</v>
      </c>
      <c r="P1354" t="str">
        <f>TEXT(Table1[[#This Row],[order_date]],"yyyy-mm")</f>
        <v>2025-12</v>
      </c>
      <c r="Q1354">
        <f>WEEKNUM(Table1[[#This Row],[order_date]])</f>
        <v>52</v>
      </c>
      <c r="R1354">
        <f>IF(Table1[[#This Row],[order_status]]="completed",1,0)</f>
        <v>0</v>
      </c>
    </row>
    <row r="1355" spans="1:18" x14ac:dyDescent="0.35">
      <c r="A1355">
        <v>1354</v>
      </c>
      <c r="B1355" s="1">
        <v>45926</v>
      </c>
      <c r="C1355">
        <v>1047</v>
      </c>
      <c r="D1355" t="s">
        <v>28</v>
      </c>
      <c r="E1355" t="s">
        <v>23</v>
      </c>
      <c r="F1355" t="s">
        <v>17</v>
      </c>
      <c r="G1355">
        <v>3</v>
      </c>
      <c r="H1355">
        <v>0</v>
      </c>
      <c r="I1355" t="s">
        <v>35</v>
      </c>
      <c r="J1355" t="s">
        <v>37</v>
      </c>
      <c r="K1355" t="s">
        <v>38</v>
      </c>
      <c r="L1355">
        <v>1</v>
      </c>
      <c r="M1355">
        <v>1</v>
      </c>
      <c r="N1355">
        <v>1</v>
      </c>
      <c r="O1355" t="s">
        <v>21</v>
      </c>
      <c r="P1355" t="str">
        <f>TEXT(Table1[[#This Row],[order_date]],"yyyy-mm")</f>
        <v>2025-09</v>
      </c>
      <c r="Q1355">
        <f>WEEKNUM(Table1[[#This Row],[order_date]])</f>
        <v>39</v>
      </c>
      <c r="R1355">
        <f>IF(Table1[[#This Row],[order_status]]="completed",1,0)</f>
        <v>0</v>
      </c>
    </row>
    <row r="1356" spans="1:18" x14ac:dyDescent="0.35">
      <c r="A1356">
        <v>1355</v>
      </c>
      <c r="B1356" s="1">
        <v>46029</v>
      </c>
      <c r="C1356">
        <v>1032</v>
      </c>
      <c r="D1356" t="s">
        <v>28</v>
      </c>
      <c r="E1356" t="s">
        <v>33</v>
      </c>
      <c r="F1356" t="s">
        <v>17</v>
      </c>
      <c r="G1356">
        <v>3</v>
      </c>
      <c r="H1356">
        <v>0</v>
      </c>
      <c r="I1356" t="s">
        <v>35</v>
      </c>
      <c r="J1356" t="s">
        <v>31</v>
      </c>
      <c r="K1356" t="s">
        <v>20</v>
      </c>
      <c r="L1356">
        <v>10</v>
      </c>
      <c r="M1356">
        <v>0</v>
      </c>
      <c r="N1356">
        <v>1</v>
      </c>
      <c r="O1356" t="s">
        <v>21</v>
      </c>
      <c r="P1356" t="str">
        <f>TEXT(Table1[[#This Row],[order_date]],"yyyy-mm")</f>
        <v>2026-01</v>
      </c>
      <c r="Q1356">
        <f>WEEKNUM(Table1[[#This Row],[order_date]])</f>
        <v>2</v>
      </c>
      <c r="R1356">
        <f>IF(Table1[[#This Row],[order_status]]="completed",1,0)</f>
        <v>0</v>
      </c>
    </row>
    <row r="1357" spans="1:18" x14ac:dyDescent="0.35">
      <c r="A1357">
        <v>1356</v>
      </c>
      <c r="B1357" s="1">
        <v>45984</v>
      </c>
      <c r="C1357">
        <v>1899</v>
      </c>
      <c r="D1357" t="s">
        <v>22</v>
      </c>
      <c r="E1357" t="s">
        <v>16</v>
      </c>
      <c r="F1357" t="s">
        <v>17</v>
      </c>
      <c r="G1357">
        <v>2</v>
      </c>
      <c r="H1357">
        <v>0</v>
      </c>
      <c r="I1357" t="s">
        <v>25</v>
      </c>
      <c r="J1357" t="s">
        <v>31</v>
      </c>
      <c r="K1357" t="s">
        <v>20</v>
      </c>
      <c r="L1357">
        <v>2</v>
      </c>
      <c r="M1357">
        <v>1</v>
      </c>
      <c r="N1357">
        <v>1</v>
      </c>
      <c r="O1357" t="s">
        <v>21</v>
      </c>
      <c r="P1357" t="str">
        <f>TEXT(Table1[[#This Row],[order_date]],"yyyy-mm")</f>
        <v>2025-11</v>
      </c>
      <c r="Q1357">
        <f>WEEKNUM(Table1[[#This Row],[order_date]])</f>
        <v>48</v>
      </c>
      <c r="R1357">
        <f>IF(Table1[[#This Row],[order_status]]="completed",1,0)</f>
        <v>0</v>
      </c>
    </row>
    <row r="1358" spans="1:18" x14ac:dyDescent="0.35">
      <c r="A1358">
        <v>1357</v>
      </c>
      <c r="B1358" s="1">
        <v>45975</v>
      </c>
      <c r="C1358">
        <v>1567</v>
      </c>
      <c r="D1358" t="s">
        <v>41</v>
      </c>
      <c r="E1358" t="s">
        <v>23</v>
      </c>
      <c r="F1358" t="s">
        <v>17</v>
      </c>
      <c r="G1358">
        <v>1</v>
      </c>
      <c r="H1358">
        <v>4154</v>
      </c>
      <c r="I1358" t="s">
        <v>35</v>
      </c>
      <c r="J1358" t="s">
        <v>19</v>
      </c>
      <c r="K1358" t="s">
        <v>26</v>
      </c>
      <c r="L1358">
        <v>5</v>
      </c>
      <c r="M1358">
        <v>0</v>
      </c>
      <c r="N1358">
        <v>0</v>
      </c>
      <c r="O1358" t="s">
        <v>21</v>
      </c>
      <c r="P1358" t="str">
        <f>TEXT(Table1[[#This Row],[order_date]],"yyyy-mm")</f>
        <v>2025-11</v>
      </c>
      <c r="Q1358">
        <f>WEEKNUM(Table1[[#This Row],[order_date]])</f>
        <v>46</v>
      </c>
      <c r="R1358">
        <f>IF(Table1[[#This Row],[order_status]]="completed",1,0)</f>
        <v>1</v>
      </c>
    </row>
    <row r="1359" spans="1:18" x14ac:dyDescent="0.35">
      <c r="A1359">
        <v>1358</v>
      </c>
      <c r="B1359" s="1">
        <v>45995</v>
      </c>
      <c r="C1359">
        <v>1452</v>
      </c>
      <c r="D1359" t="s">
        <v>22</v>
      </c>
      <c r="E1359" t="s">
        <v>36</v>
      </c>
      <c r="F1359" t="s">
        <v>17</v>
      </c>
      <c r="G1359">
        <v>1</v>
      </c>
      <c r="H1359">
        <v>3199</v>
      </c>
      <c r="I1359" t="s">
        <v>35</v>
      </c>
      <c r="J1359" t="s">
        <v>19</v>
      </c>
      <c r="K1359" t="s">
        <v>20</v>
      </c>
      <c r="L1359">
        <v>5</v>
      </c>
      <c r="M1359">
        <v>1</v>
      </c>
      <c r="N1359">
        <v>1</v>
      </c>
      <c r="O1359" t="s">
        <v>27</v>
      </c>
      <c r="P1359" t="str">
        <f>TEXT(Table1[[#This Row],[order_date]],"yyyy-mm")</f>
        <v>2025-12</v>
      </c>
      <c r="Q1359">
        <f>WEEKNUM(Table1[[#This Row],[order_date]])</f>
        <v>49</v>
      </c>
      <c r="R1359">
        <f>IF(Table1[[#This Row],[order_status]]="completed",1,0)</f>
        <v>1</v>
      </c>
    </row>
    <row r="1360" spans="1:18" x14ac:dyDescent="0.35">
      <c r="A1360">
        <v>1359</v>
      </c>
      <c r="B1360" s="1">
        <v>45947</v>
      </c>
      <c r="C1360">
        <v>1462</v>
      </c>
      <c r="D1360" t="s">
        <v>15</v>
      </c>
      <c r="E1360" t="s">
        <v>29</v>
      </c>
      <c r="F1360" t="s">
        <v>34</v>
      </c>
      <c r="G1360">
        <v>2</v>
      </c>
      <c r="H1360">
        <v>8588</v>
      </c>
      <c r="I1360" t="s">
        <v>39</v>
      </c>
      <c r="J1360" t="s">
        <v>19</v>
      </c>
      <c r="K1360" t="s">
        <v>38</v>
      </c>
      <c r="L1360">
        <v>4</v>
      </c>
      <c r="M1360">
        <v>0</v>
      </c>
      <c r="N1360">
        <v>0</v>
      </c>
      <c r="O1360" t="s">
        <v>27</v>
      </c>
      <c r="P1360" t="str">
        <f>TEXT(Table1[[#This Row],[order_date]],"yyyy-mm")</f>
        <v>2025-10</v>
      </c>
      <c r="Q1360">
        <f>WEEKNUM(Table1[[#This Row],[order_date]])</f>
        <v>42</v>
      </c>
      <c r="R1360">
        <f>IF(Table1[[#This Row],[order_status]]="completed",1,0)</f>
        <v>1</v>
      </c>
    </row>
    <row r="1361" spans="1:18" x14ac:dyDescent="0.35">
      <c r="A1361">
        <v>1360</v>
      </c>
      <c r="B1361" s="1">
        <v>46019</v>
      </c>
      <c r="C1361">
        <v>1524</v>
      </c>
      <c r="D1361" t="s">
        <v>22</v>
      </c>
      <c r="E1361" t="s">
        <v>36</v>
      </c>
      <c r="F1361" t="s">
        <v>17</v>
      </c>
      <c r="G1361">
        <v>2</v>
      </c>
      <c r="H1361">
        <v>0</v>
      </c>
      <c r="I1361" t="s">
        <v>35</v>
      </c>
      <c r="J1361" t="s">
        <v>31</v>
      </c>
      <c r="K1361" t="s">
        <v>20</v>
      </c>
      <c r="L1361">
        <v>1</v>
      </c>
      <c r="M1361">
        <v>0</v>
      </c>
      <c r="N1361">
        <v>0</v>
      </c>
      <c r="O1361" t="s">
        <v>21</v>
      </c>
      <c r="P1361" t="str">
        <f>TEXT(Table1[[#This Row],[order_date]],"yyyy-mm")</f>
        <v>2025-12</v>
      </c>
      <c r="Q1361">
        <f>WEEKNUM(Table1[[#This Row],[order_date]])</f>
        <v>53</v>
      </c>
      <c r="R1361">
        <f>IF(Table1[[#This Row],[order_status]]="completed",1,0)</f>
        <v>0</v>
      </c>
    </row>
    <row r="1362" spans="1:18" x14ac:dyDescent="0.35">
      <c r="A1362">
        <v>1361</v>
      </c>
      <c r="B1362" s="1">
        <v>45906</v>
      </c>
      <c r="C1362">
        <v>1675</v>
      </c>
      <c r="D1362" t="s">
        <v>32</v>
      </c>
      <c r="E1362" t="s">
        <v>36</v>
      </c>
      <c r="F1362" t="s">
        <v>17</v>
      </c>
      <c r="G1362">
        <v>1</v>
      </c>
      <c r="H1362">
        <v>0</v>
      </c>
      <c r="I1362" t="s">
        <v>35</v>
      </c>
      <c r="J1362" t="s">
        <v>37</v>
      </c>
      <c r="K1362" t="s">
        <v>38</v>
      </c>
      <c r="L1362">
        <v>5</v>
      </c>
      <c r="M1362">
        <v>1</v>
      </c>
      <c r="N1362">
        <v>1</v>
      </c>
      <c r="O1362" t="s">
        <v>21</v>
      </c>
      <c r="P1362" t="str">
        <f>TEXT(Table1[[#This Row],[order_date]],"yyyy-mm")</f>
        <v>2025-09</v>
      </c>
      <c r="Q1362">
        <f>WEEKNUM(Table1[[#This Row],[order_date]])</f>
        <v>36</v>
      </c>
      <c r="R1362">
        <f>IF(Table1[[#This Row],[order_status]]="completed",1,0)</f>
        <v>0</v>
      </c>
    </row>
    <row r="1363" spans="1:18" x14ac:dyDescent="0.35">
      <c r="A1363">
        <v>1362</v>
      </c>
      <c r="B1363" s="1">
        <v>45872</v>
      </c>
      <c r="C1363">
        <v>1603</v>
      </c>
      <c r="D1363" t="s">
        <v>15</v>
      </c>
      <c r="E1363" t="s">
        <v>33</v>
      </c>
      <c r="F1363" t="s">
        <v>34</v>
      </c>
      <c r="G1363">
        <v>2</v>
      </c>
      <c r="H1363">
        <v>3806</v>
      </c>
      <c r="I1363" t="s">
        <v>25</v>
      </c>
      <c r="J1363" t="s">
        <v>19</v>
      </c>
      <c r="K1363" t="s">
        <v>20</v>
      </c>
      <c r="L1363">
        <v>8</v>
      </c>
      <c r="M1363">
        <v>0</v>
      </c>
      <c r="N1363">
        <v>0</v>
      </c>
      <c r="O1363" t="s">
        <v>21</v>
      </c>
      <c r="P1363" t="str">
        <f>TEXT(Table1[[#This Row],[order_date]],"yyyy-mm")</f>
        <v>2025-08</v>
      </c>
      <c r="Q1363">
        <f>WEEKNUM(Table1[[#This Row],[order_date]])</f>
        <v>32</v>
      </c>
      <c r="R1363">
        <f>IF(Table1[[#This Row],[order_status]]="completed",1,0)</f>
        <v>1</v>
      </c>
    </row>
    <row r="1364" spans="1:18" x14ac:dyDescent="0.35">
      <c r="A1364">
        <v>1363</v>
      </c>
      <c r="B1364" s="1">
        <v>45915</v>
      </c>
      <c r="C1364">
        <v>1599</v>
      </c>
      <c r="D1364" t="s">
        <v>15</v>
      </c>
      <c r="E1364" t="s">
        <v>33</v>
      </c>
      <c r="F1364" t="s">
        <v>30</v>
      </c>
      <c r="G1364">
        <v>2</v>
      </c>
      <c r="H1364">
        <v>0</v>
      </c>
      <c r="I1364" t="s">
        <v>39</v>
      </c>
      <c r="J1364" t="s">
        <v>31</v>
      </c>
      <c r="K1364" t="s">
        <v>26</v>
      </c>
      <c r="L1364">
        <v>2</v>
      </c>
      <c r="M1364">
        <v>0</v>
      </c>
      <c r="N1364">
        <v>1</v>
      </c>
      <c r="O1364" t="s">
        <v>27</v>
      </c>
      <c r="P1364" t="str">
        <f>TEXT(Table1[[#This Row],[order_date]],"yyyy-mm")</f>
        <v>2025-09</v>
      </c>
      <c r="Q1364">
        <f>WEEKNUM(Table1[[#This Row],[order_date]])</f>
        <v>38</v>
      </c>
      <c r="R1364">
        <f>IF(Table1[[#This Row],[order_status]]="completed",1,0)</f>
        <v>0</v>
      </c>
    </row>
    <row r="1365" spans="1:18" x14ac:dyDescent="0.35">
      <c r="A1365">
        <v>1364</v>
      </c>
      <c r="B1365" s="1">
        <v>46016</v>
      </c>
      <c r="C1365">
        <v>1298</v>
      </c>
      <c r="D1365" t="s">
        <v>22</v>
      </c>
      <c r="E1365" t="s">
        <v>16</v>
      </c>
      <c r="F1365" t="s">
        <v>34</v>
      </c>
      <c r="G1365">
        <v>1</v>
      </c>
      <c r="H1365">
        <v>0</v>
      </c>
      <c r="I1365" t="s">
        <v>35</v>
      </c>
      <c r="J1365" t="s">
        <v>37</v>
      </c>
      <c r="K1365" t="s">
        <v>20</v>
      </c>
      <c r="L1365">
        <v>8</v>
      </c>
      <c r="M1365">
        <v>0</v>
      </c>
      <c r="N1365">
        <v>1</v>
      </c>
      <c r="O1365" t="s">
        <v>21</v>
      </c>
      <c r="P1365" t="str">
        <f>TEXT(Table1[[#This Row],[order_date]],"yyyy-mm")</f>
        <v>2025-12</v>
      </c>
      <c r="Q1365">
        <f>WEEKNUM(Table1[[#This Row],[order_date]])</f>
        <v>52</v>
      </c>
      <c r="R1365">
        <f>IF(Table1[[#This Row],[order_status]]="completed",1,0)</f>
        <v>0</v>
      </c>
    </row>
    <row r="1366" spans="1:18" x14ac:dyDescent="0.35">
      <c r="A1366">
        <v>1365</v>
      </c>
      <c r="B1366" s="1">
        <v>45923</v>
      </c>
      <c r="C1366">
        <v>1142</v>
      </c>
      <c r="D1366" t="s">
        <v>15</v>
      </c>
      <c r="E1366" t="s">
        <v>33</v>
      </c>
      <c r="F1366" t="s">
        <v>34</v>
      </c>
      <c r="G1366">
        <v>2</v>
      </c>
      <c r="H1366">
        <v>0</v>
      </c>
      <c r="I1366" t="s">
        <v>35</v>
      </c>
      <c r="J1366" t="s">
        <v>31</v>
      </c>
      <c r="K1366" t="s">
        <v>26</v>
      </c>
      <c r="L1366">
        <v>4</v>
      </c>
      <c r="M1366">
        <v>1</v>
      </c>
      <c r="N1366">
        <v>1</v>
      </c>
      <c r="O1366" t="s">
        <v>27</v>
      </c>
      <c r="P1366" t="str">
        <f>TEXT(Table1[[#This Row],[order_date]],"yyyy-mm")</f>
        <v>2025-09</v>
      </c>
      <c r="Q1366">
        <f>WEEKNUM(Table1[[#This Row],[order_date]])</f>
        <v>39</v>
      </c>
      <c r="R1366">
        <f>IF(Table1[[#This Row],[order_status]]="completed",1,0)</f>
        <v>0</v>
      </c>
    </row>
    <row r="1367" spans="1:18" x14ac:dyDescent="0.35">
      <c r="A1367">
        <v>1366</v>
      </c>
      <c r="B1367" s="1">
        <v>45998</v>
      </c>
      <c r="C1367">
        <v>1760</v>
      </c>
      <c r="D1367" t="s">
        <v>22</v>
      </c>
      <c r="E1367" t="s">
        <v>36</v>
      </c>
      <c r="F1367" t="s">
        <v>17</v>
      </c>
      <c r="G1367">
        <v>5</v>
      </c>
      <c r="H1367">
        <v>22760</v>
      </c>
      <c r="I1367" t="s">
        <v>39</v>
      </c>
      <c r="J1367" t="s">
        <v>19</v>
      </c>
      <c r="K1367" t="s">
        <v>40</v>
      </c>
      <c r="L1367">
        <v>5</v>
      </c>
      <c r="M1367">
        <v>1</v>
      </c>
      <c r="N1367">
        <v>0</v>
      </c>
      <c r="O1367" t="s">
        <v>27</v>
      </c>
      <c r="P1367" t="str">
        <f>TEXT(Table1[[#This Row],[order_date]],"yyyy-mm")</f>
        <v>2025-12</v>
      </c>
      <c r="Q1367">
        <f>WEEKNUM(Table1[[#This Row],[order_date]])</f>
        <v>50</v>
      </c>
      <c r="R1367">
        <f>IF(Table1[[#This Row],[order_status]]="completed",1,0)</f>
        <v>1</v>
      </c>
    </row>
    <row r="1368" spans="1:18" x14ac:dyDescent="0.35">
      <c r="A1368">
        <v>1367</v>
      </c>
      <c r="B1368" s="1">
        <v>46006</v>
      </c>
      <c r="C1368">
        <v>1778</v>
      </c>
      <c r="D1368" t="s">
        <v>41</v>
      </c>
      <c r="E1368" t="s">
        <v>23</v>
      </c>
      <c r="F1368" t="s">
        <v>30</v>
      </c>
      <c r="G1368">
        <v>4</v>
      </c>
      <c r="H1368">
        <v>17040</v>
      </c>
      <c r="I1368" t="s">
        <v>35</v>
      </c>
      <c r="J1368" t="s">
        <v>19</v>
      </c>
      <c r="K1368" t="s">
        <v>40</v>
      </c>
      <c r="L1368">
        <v>4</v>
      </c>
      <c r="M1368">
        <v>1</v>
      </c>
      <c r="N1368">
        <v>0</v>
      </c>
      <c r="O1368" t="s">
        <v>21</v>
      </c>
      <c r="P1368" t="str">
        <f>TEXT(Table1[[#This Row],[order_date]],"yyyy-mm")</f>
        <v>2025-12</v>
      </c>
      <c r="Q1368">
        <f>WEEKNUM(Table1[[#This Row],[order_date]])</f>
        <v>51</v>
      </c>
      <c r="R1368">
        <f>IF(Table1[[#This Row],[order_status]]="completed",1,0)</f>
        <v>1</v>
      </c>
    </row>
    <row r="1369" spans="1:18" x14ac:dyDescent="0.35">
      <c r="A1369">
        <v>1368</v>
      </c>
      <c r="B1369" s="1">
        <v>46001</v>
      </c>
      <c r="C1369">
        <v>1091</v>
      </c>
      <c r="D1369" t="s">
        <v>15</v>
      </c>
      <c r="E1369" t="s">
        <v>23</v>
      </c>
      <c r="F1369" t="s">
        <v>17</v>
      </c>
      <c r="G1369">
        <v>5</v>
      </c>
      <c r="H1369">
        <v>0</v>
      </c>
      <c r="I1369" t="s">
        <v>25</v>
      </c>
      <c r="J1369" t="s">
        <v>37</v>
      </c>
      <c r="K1369" t="s">
        <v>20</v>
      </c>
      <c r="L1369">
        <v>6</v>
      </c>
      <c r="M1369">
        <v>0</v>
      </c>
      <c r="N1369">
        <v>1</v>
      </c>
      <c r="O1369" t="s">
        <v>21</v>
      </c>
      <c r="P1369" t="str">
        <f>TEXT(Table1[[#This Row],[order_date]],"yyyy-mm")</f>
        <v>2025-12</v>
      </c>
      <c r="Q1369">
        <f>WEEKNUM(Table1[[#This Row],[order_date]])</f>
        <v>50</v>
      </c>
      <c r="R1369">
        <f>IF(Table1[[#This Row],[order_status]]="completed",1,0)</f>
        <v>0</v>
      </c>
    </row>
    <row r="1370" spans="1:18" x14ac:dyDescent="0.35">
      <c r="A1370">
        <v>1369</v>
      </c>
      <c r="B1370" s="1">
        <v>45993</v>
      </c>
      <c r="C1370">
        <v>1381</v>
      </c>
      <c r="D1370" t="s">
        <v>32</v>
      </c>
      <c r="E1370" t="s">
        <v>33</v>
      </c>
      <c r="F1370" t="s">
        <v>34</v>
      </c>
      <c r="G1370">
        <v>3</v>
      </c>
      <c r="H1370">
        <v>0</v>
      </c>
      <c r="I1370" t="s">
        <v>18</v>
      </c>
      <c r="J1370" t="s">
        <v>37</v>
      </c>
      <c r="K1370" t="s">
        <v>20</v>
      </c>
      <c r="L1370">
        <v>7</v>
      </c>
      <c r="M1370">
        <v>0</v>
      </c>
      <c r="N1370">
        <v>0</v>
      </c>
      <c r="O1370" t="s">
        <v>21</v>
      </c>
      <c r="P1370" t="str">
        <f>TEXT(Table1[[#This Row],[order_date]],"yyyy-mm")</f>
        <v>2025-12</v>
      </c>
      <c r="Q1370">
        <f>WEEKNUM(Table1[[#This Row],[order_date]])</f>
        <v>49</v>
      </c>
      <c r="R1370">
        <f>IF(Table1[[#This Row],[order_status]]="completed",1,0)</f>
        <v>0</v>
      </c>
    </row>
    <row r="1371" spans="1:18" x14ac:dyDescent="0.35">
      <c r="A1371">
        <v>1370</v>
      </c>
      <c r="B1371" s="1">
        <v>45882</v>
      </c>
      <c r="C1371">
        <v>1557</v>
      </c>
      <c r="D1371" t="s">
        <v>22</v>
      </c>
      <c r="E1371" t="s">
        <v>36</v>
      </c>
      <c r="F1371" t="s">
        <v>24</v>
      </c>
      <c r="G1371">
        <v>2</v>
      </c>
      <c r="H1371">
        <v>0</v>
      </c>
      <c r="I1371" t="s">
        <v>18</v>
      </c>
      <c r="J1371" t="s">
        <v>37</v>
      </c>
      <c r="K1371" t="s">
        <v>38</v>
      </c>
      <c r="L1371">
        <v>2</v>
      </c>
      <c r="M1371">
        <v>0</v>
      </c>
      <c r="N1371">
        <v>1</v>
      </c>
      <c r="O1371" t="s">
        <v>27</v>
      </c>
      <c r="P1371" t="str">
        <f>TEXT(Table1[[#This Row],[order_date]],"yyyy-mm")</f>
        <v>2025-08</v>
      </c>
      <c r="Q1371">
        <f>WEEKNUM(Table1[[#This Row],[order_date]])</f>
        <v>33</v>
      </c>
      <c r="R1371">
        <f>IF(Table1[[#This Row],[order_status]]="completed",1,0)</f>
        <v>0</v>
      </c>
    </row>
    <row r="1372" spans="1:18" x14ac:dyDescent="0.35">
      <c r="A1372">
        <v>1371</v>
      </c>
      <c r="B1372" s="1">
        <v>45910</v>
      </c>
      <c r="C1372">
        <v>1133</v>
      </c>
      <c r="D1372" t="s">
        <v>41</v>
      </c>
      <c r="E1372" t="s">
        <v>23</v>
      </c>
      <c r="F1372" t="s">
        <v>17</v>
      </c>
      <c r="G1372">
        <v>3</v>
      </c>
      <c r="H1372">
        <v>3012</v>
      </c>
      <c r="I1372" t="s">
        <v>39</v>
      </c>
      <c r="J1372" t="s">
        <v>19</v>
      </c>
      <c r="K1372" t="s">
        <v>38</v>
      </c>
      <c r="L1372">
        <v>1</v>
      </c>
      <c r="M1372">
        <v>0</v>
      </c>
      <c r="N1372">
        <v>1</v>
      </c>
      <c r="O1372" t="s">
        <v>27</v>
      </c>
      <c r="P1372" t="str">
        <f>TEXT(Table1[[#This Row],[order_date]],"yyyy-mm")</f>
        <v>2025-09</v>
      </c>
      <c r="Q1372">
        <f>WEEKNUM(Table1[[#This Row],[order_date]])</f>
        <v>37</v>
      </c>
      <c r="R1372">
        <f>IF(Table1[[#This Row],[order_status]]="completed",1,0)</f>
        <v>1</v>
      </c>
    </row>
    <row r="1373" spans="1:18" x14ac:dyDescent="0.35">
      <c r="A1373">
        <v>1372</v>
      </c>
      <c r="B1373" s="1">
        <v>45967</v>
      </c>
      <c r="C1373">
        <v>1875</v>
      </c>
      <c r="D1373" t="s">
        <v>22</v>
      </c>
      <c r="E1373" t="s">
        <v>23</v>
      </c>
      <c r="F1373" t="s">
        <v>34</v>
      </c>
      <c r="G1373">
        <v>5</v>
      </c>
      <c r="H1373">
        <v>0</v>
      </c>
      <c r="I1373" t="s">
        <v>39</v>
      </c>
      <c r="J1373" t="s">
        <v>37</v>
      </c>
      <c r="K1373" t="s">
        <v>38</v>
      </c>
      <c r="L1373">
        <v>10</v>
      </c>
      <c r="M1373">
        <v>0</v>
      </c>
      <c r="N1373">
        <v>0</v>
      </c>
      <c r="O1373" t="s">
        <v>21</v>
      </c>
      <c r="P1373" t="str">
        <f>TEXT(Table1[[#This Row],[order_date]],"yyyy-mm")</f>
        <v>2025-11</v>
      </c>
      <c r="Q1373">
        <f>WEEKNUM(Table1[[#This Row],[order_date]])</f>
        <v>45</v>
      </c>
      <c r="R1373">
        <f>IF(Table1[[#This Row],[order_status]]="completed",1,0)</f>
        <v>0</v>
      </c>
    </row>
    <row r="1374" spans="1:18" x14ac:dyDescent="0.35">
      <c r="A1374">
        <v>1373</v>
      </c>
      <c r="B1374" s="1">
        <v>45919</v>
      </c>
      <c r="C1374">
        <v>1447</v>
      </c>
      <c r="D1374" t="s">
        <v>41</v>
      </c>
      <c r="E1374" t="s">
        <v>16</v>
      </c>
      <c r="F1374" t="s">
        <v>17</v>
      </c>
      <c r="G1374">
        <v>3</v>
      </c>
      <c r="H1374">
        <v>0</v>
      </c>
      <c r="I1374" t="s">
        <v>35</v>
      </c>
      <c r="J1374" t="s">
        <v>31</v>
      </c>
      <c r="K1374" t="s">
        <v>26</v>
      </c>
      <c r="L1374">
        <v>3</v>
      </c>
      <c r="M1374">
        <v>0</v>
      </c>
      <c r="N1374">
        <v>0</v>
      </c>
      <c r="O1374" t="s">
        <v>21</v>
      </c>
      <c r="P1374" t="str">
        <f>TEXT(Table1[[#This Row],[order_date]],"yyyy-mm")</f>
        <v>2025-09</v>
      </c>
      <c r="Q1374">
        <f>WEEKNUM(Table1[[#This Row],[order_date]])</f>
        <v>38</v>
      </c>
      <c r="R1374">
        <f>IF(Table1[[#This Row],[order_status]]="completed",1,0)</f>
        <v>0</v>
      </c>
    </row>
    <row r="1375" spans="1:18" x14ac:dyDescent="0.35">
      <c r="A1375">
        <v>1374</v>
      </c>
      <c r="B1375" s="1">
        <v>45921</v>
      </c>
      <c r="C1375">
        <v>1203</v>
      </c>
      <c r="D1375" t="s">
        <v>32</v>
      </c>
      <c r="E1375" t="s">
        <v>36</v>
      </c>
      <c r="F1375" t="s">
        <v>17</v>
      </c>
      <c r="G1375">
        <v>4</v>
      </c>
      <c r="H1375">
        <v>0</v>
      </c>
      <c r="I1375" t="s">
        <v>25</v>
      </c>
      <c r="J1375" t="s">
        <v>37</v>
      </c>
      <c r="K1375" t="s">
        <v>26</v>
      </c>
      <c r="L1375">
        <v>3</v>
      </c>
      <c r="M1375">
        <v>0</v>
      </c>
      <c r="N1375">
        <v>1</v>
      </c>
      <c r="O1375" t="s">
        <v>21</v>
      </c>
      <c r="P1375" t="str">
        <f>TEXT(Table1[[#This Row],[order_date]],"yyyy-mm")</f>
        <v>2025-09</v>
      </c>
      <c r="Q1375">
        <f>WEEKNUM(Table1[[#This Row],[order_date]])</f>
        <v>39</v>
      </c>
      <c r="R1375">
        <f>IF(Table1[[#This Row],[order_status]]="completed",1,0)</f>
        <v>0</v>
      </c>
    </row>
    <row r="1376" spans="1:18" x14ac:dyDescent="0.35">
      <c r="A1376">
        <v>1375</v>
      </c>
      <c r="B1376" s="1">
        <v>45964</v>
      </c>
      <c r="C1376">
        <v>1952</v>
      </c>
      <c r="D1376" t="s">
        <v>32</v>
      </c>
      <c r="E1376" t="s">
        <v>33</v>
      </c>
      <c r="F1376" t="s">
        <v>34</v>
      </c>
      <c r="G1376">
        <v>3</v>
      </c>
      <c r="H1376">
        <v>0</v>
      </c>
      <c r="I1376" t="s">
        <v>25</v>
      </c>
      <c r="J1376" t="s">
        <v>31</v>
      </c>
      <c r="K1376" t="s">
        <v>40</v>
      </c>
      <c r="L1376">
        <v>5</v>
      </c>
      <c r="M1376">
        <v>1</v>
      </c>
      <c r="N1376">
        <v>0</v>
      </c>
      <c r="O1376" t="s">
        <v>21</v>
      </c>
      <c r="P1376" t="str">
        <f>TEXT(Table1[[#This Row],[order_date]],"yyyy-mm")</f>
        <v>2025-11</v>
      </c>
      <c r="Q1376">
        <f>WEEKNUM(Table1[[#This Row],[order_date]])</f>
        <v>45</v>
      </c>
      <c r="R1376">
        <f>IF(Table1[[#This Row],[order_status]]="completed",1,0)</f>
        <v>0</v>
      </c>
    </row>
    <row r="1377" spans="1:18" x14ac:dyDescent="0.35">
      <c r="A1377">
        <v>1376</v>
      </c>
      <c r="B1377" s="1">
        <v>45889</v>
      </c>
      <c r="C1377">
        <v>1046</v>
      </c>
      <c r="D1377" t="s">
        <v>22</v>
      </c>
      <c r="E1377" t="s">
        <v>33</v>
      </c>
      <c r="F1377" t="s">
        <v>30</v>
      </c>
      <c r="G1377">
        <v>3</v>
      </c>
      <c r="H1377">
        <v>0</v>
      </c>
      <c r="I1377" t="s">
        <v>25</v>
      </c>
      <c r="J1377" t="s">
        <v>31</v>
      </c>
      <c r="K1377" t="s">
        <v>20</v>
      </c>
      <c r="L1377">
        <v>4</v>
      </c>
      <c r="M1377">
        <v>0</v>
      </c>
      <c r="N1377">
        <v>1</v>
      </c>
      <c r="O1377" t="s">
        <v>21</v>
      </c>
      <c r="P1377" t="str">
        <f>TEXT(Table1[[#This Row],[order_date]],"yyyy-mm")</f>
        <v>2025-08</v>
      </c>
      <c r="Q1377">
        <f>WEEKNUM(Table1[[#This Row],[order_date]])</f>
        <v>34</v>
      </c>
      <c r="R1377">
        <f>IF(Table1[[#This Row],[order_status]]="completed",1,0)</f>
        <v>0</v>
      </c>
    </row>
    <row r="1378" spans="1:18" x14ac:dyDescent="0.35">
      <c r="A1378">
        <v>1377</v>
      </c>
      <c r="B1378" s="1">
        <v>45945</v>
      </c>
      <c r="C1378">
        <v>1965</v>
      </c>
      <c r="D1378" t="s">
        <v>28</v>
      </c>
      <c r="E1378" t="s">
        <v>29</v>
      </c>
      <c r="F1378" t="s">
        <v>17</v>
      </c>
      <c r="G1378">
        <v>4</v>
      </c>
      <c r="H1378">
        <v>7856</v>
      </c>
      <c r="I1378" t="s">
        <v>18</v>
      </c>
      <c r="J1378" t="s">
        <v>19</v>
      </c>
      <c r="K1378" t="s">
        <v>40</v>
      </c>
      <c r="L1378">
        <v>3</v>
      </c>
      <c r="M1378">
        <v>0</v>
      </c>
      <c r="N1378">
        <v>1</v>
      </c>
      <c r="O1378" t="s">
        <v>27</v>
      </c>
      <c r="P1378" t="str">
        <f>TEXT(Table1[[#This Row],[order_date]],"yyyy-mm")</f>
        <v>2025-10</v>
      </c>
      <c r="Q1378">
        <f>WEEKNUM(Table1[[#This Row],[order_date]])</f>
        <v>42</v>
      </c>
      <c r="R1378">
        <f>IF(Table1[[#This Row],[order_status]]="completed",1,0)</f>
        <v>1</v>
      </c>
    </row>
    <row r="1379" spans="1:18" x14ac:dyDescent="0.35">
      <c r="A1379">
        <v>1378</v>
      </c>
      <c r="B1379" s="1">
        <v>45920</v>
      </c>
      <c r="C1379">
        <v>1071</v>
      </c>
      <c r="D1379" t="s">
        <v>22</v>
      </c>
      <c r="E1379" t="s">
        <v>16</v>
      </c>
      <c r="F1379" t="s">
        <v>30</v>
      </c>
      <c r="G1379">
        <v>4</v>
      </c>
      <c r="H1379">
        <v>0</v>
      </c>
      <c r="I1379" t="s">
        <v>25</v>
      </c>
      <c r="J1379" t="s">
        <v>37</v>
      </c>
      <c r="K1379" t="s">
        <v>40</v>
      </c>
      <c r="L1379">
        <v>3</v>
      </c>
      <c r="M1379">
        <v>1</v>
      </c>
      <c r="N1379">
        <v>0</v>
      </c>
      <c r="O1379" t="s">
        <v>27</v>
      </c>
      <c r="P1379" t="str">
        <f>TEXT(Table1[[#This Row],[order_date]],"yyyy-mm")</f>
        <v>2025-09</v>
      </c>
      <c r="Q1379">
        <f>WEEKNUM(Table1[[#This Row],[order_date]])</f>
        <v>38</v>
      </c>
      <c r="R1379">
        <f>IF(Table1[[#This Row],[order_status]]="completed",1,0)</f>
        <v>0</v>
      </c>
    </row>
    <row r="1380" spans="1:18" x14ac:dyDescent="0.35">
      <c r="A1380">
        <v>1379</v>
      </c>
      <c r="B1380" s="1">
        <v>45877</v>
      </c>
      <c r="C1380">
        <v>1301</v>
      </c>
      <c r="D1380" t="s">
        <v>32</v>
      </c>
      <c r="E1380" t="s">
        <v>33</v>
      </c>
      <c r="F1380" t="s">
        <v>24</v>
      </c>
      <c r="G1380">
        <v>3</v>
      </c>
      <c r="H1380">
        <v>14685</v>
      </c>
      <c r="I1380" t="s">
        <v>25</v>
      </c>
      <c r="J1380" t="s">
        <v>19</v>
      </c>
      <c r="K1380" t="s">
        <v>26</v>
      </c>
      <c r="L1380">
        <v>5</v>
      </c>
      <c r="M1380">
        <v>0</v>
      </c>
      <c r="N1380">
        <v>0</v>
      </c>
      <c r="O1380" t="s">
        <v>21</v>
      </c>
      <c r="P1380" t="str">
        <f>TEXT(Table1[[#This Row],[order_date]],"yyyy-mm")</f>
        <v>2025-08</v>
      </c>
      <c r="Q1380">
        <f>WEEKNUM(Table1[[#This Row],[order_date]])</f>
        <v>32</v>
      </c>
      <c r="R1380">
        <f>IF(Table1[[#This Row],[order_status]]="completed",1,0)</f>
        <v>1</v>
      </c>
    </row>
    <row r="1381" spans="1:18" x14ac:dyDescent="0.35">
      <c r="A1381">
        <v>1380</v>
      </c>
      <c r="B1381" s="1">
        <v>45868</v>
      </c>
      <c r="C1381">
        <v>1154</v>
      </c>
      <c r="D1381" t="s">
        <v>41</v>
      </c>
      <c r="E1381" t="s">
        <v>33</v>
      </c>
      <c r="F1381" t="s">
        <v>24</v>
      </c>
      <c r="G1381">
        <v>4</v>
      </c>
      <c r="H1381">
        <v>0</v>
      </c>
      <c r="I1381" t="s">
        <v>18</v>
      </c>
      <c r="J1381" t="s">
        <v>37</v>
      </c>
      <c r="K1381" t="s">
        <v>38</v>
      </c>
      <c r="L1381">
        <v>3</v>
      </c>
      <c r="M1381">
        <v>1</v>
      </c>
      <c r="N1381">
        <v>0</v>
      </c>
      <c r="O1381" t="s">
        <v>21</v>
      </c>
      <c r="P1381" t="str">
        <f>TEXT(Table1[[#This Row],[order_date]],"yyyy-mm")</f>
        <v>2025-07</v>
      </c>
      <c r="Q1381">
        <f>WEEKNUM(Table1[[#This Row],[order_date]])</f>
        <v>31</v>
      </c>
      <c r="R1381">
        <f>IF(Table1[[#This Row],[order_status]]="completed",1,0)</f>
        <v>0</v>
      </c>
    </row>
    <row r="1382" spans="1:18" x14ac:dyDescent="0.35">
      <c r="A1382">
        <v>1381</v>
      </c>
      <c r="B1382" s="1">
        <v>45869</v>
      </c>
      <c r="C1382">
        <v>1146</v>
      </c>
      <c r="D1382" t="s">
        <v>32</v>
      </c>
      <c r="E1382" t="s">
        <v>33</v>
      </c>
      <c r="F1382" t="s">
        <v>24</v>
      </c>
      <c r="G1382">
        <v>4</v>
      </c>
      <c r="H1382">
        <v>0</v>
      </c>
      <c r="I1382" t="s">
        <v>39</v>
      </c>
      <c r="J1382" t="s">
        <v>37</v>
      </c>
      <c r="K1382" t="s">
        <v>26</v>
      </c>
      <c r="L1382">
        <v>3</v>
      </c>
      <c r="M1382">
        <v>0</v>
      </c>
      <c r="N1382">
        <v>0</v>
      </c>
      <c r="O1382" t="s">
        <v>27</v>
      </c>
      <c r="P1382" t="str">
        <f>TEXT(Table1[[#This Row],[order_date]],"yyyy-mm")</f>
        <v>2025-07</v>
      </c>
      <c r="Q1382">
        <f>WEEKNUM(Table1[[#This Row],[order_date]])</f>
        <v>31</v>
      </c>
      <c r="R1382">
        <f>IF(Table1[[#This Row],[order_status]]="completed",1,0)</f>
        <v>0</v>
      </c>
    </row>
    <row r="1383" spans="1:18" x14ac:dyDescent="0.35">
      <c r="A1383">
        <v>1382</v>
      </c>
      <c r="B1383" s="1">
        <v>45948</v>
      </c>
      <c r="C1383">
        <v>1833</v>
      </c>
      <c r="D1383" t="s">
        <v>28</v>
      </c>
      <c r="E1383" t="s">
        <v>16</v>
      </c>
      <c r="F1383" t="s">
        <v>17</v>
      </c>
      <c r="G1383">
        <v>2</v>
      </c>
      <c r="H1383">
        <v>0</v>
      </c>
      <c r="I1383" t="s">
        <v>39</v>
      </c>
      <c r="J1383" t="s">
        <v>37</v>
      </c>
      <c r="K1383" t="s">
        <v>40</v>
      </c>
      <c r="L1383">
        <v>4</v>
      </c>
      <c r="M1383">
        <v>1</v>
      </c>
      <c r="N1383">
        <v>0</v>
      </c>
      <c r="O1383" t="s">
        <v>27</v>
      </c>
      <c r="P1383" t="str">
        <f>TEXT(Table1[[#This Row],[order_date]],"yyyy-mm")</f>
        <v>2025-10</v>
      </c>
      <c r="Q1383">
        <f>WEEKNUM(Table1[[#This Row],[order_date]])</f>
        <v>42</v>
      </c>
      <c r="R1383">
        <f>IF(Table1[[#This Row],[order_status]]="completed",1,0)</f>
        <v>0</v>
      </c>
    </row>
    <row r="1384" spans="1:18" x14ac:dyDescent="0.35">
      <c r="A1384">
        <v>1383</v>
      </c>
      <c r="B1384" s="1">
        <v>45861</v>
      </c>
      <c r="C1384">
        <v>1973</v>
      </c>
      <c r="D1384" t="s">
        <v>41</v>
      </c>
      <c r="E1384" t="s">
        <v>36</v>
      </c>
      <c r="F1384" t="s">
        <v>17</v>
      </c>
      <c r="G1384">
        <v>5</v>
      </c>
      <c r="H1384">
        <v>0</v>
      </c>
      <c r="I1384" t="s">
        <v>25</v>
      </c>
      <c r="J1384" t="s">
        <v>37</v>
      </c>
      <c r="K1384" t="s">
        <v>38</v>
      </c>
      <c r="L1384">
        <v>4</v>
      </c>
      <c r="M1384">
        <v>1</v>
      </c>
      <c r="N1384">
        <v>1</v>
      </c>
      <c r="O1384" t="s">
        <v>21</v>
      </c>
      <c r="P1384" t="str">
        <f>TEXT(Table1[[#This Row],[order_date]],"yyyy-mm")</f>
        <v>2025-07</v>
      </c>
      <c r="Q1384">
        <f>WEEKNUM(Table1[[#This Row],[order_date]])</f>
        <v>30</v>
      </c>
      <c r="R1384">
        <f>IF(Table1[[#This Row],[order_status]]="completed",1,0)</f>
        <v>0</v>
      </c>
    </row>
    <row r="1385" spans="1:18" x14ac:dyDescent="0.35">
      <c r="A1385">
        <v>1384</v>
      </c>
      <c r="B1385" s="1">
        <v>45856</v>
      </c>
      <c r="C1385">
        <v>1786</v>
      </c>
      <c r="D1385" t="s">
        <v>28</v>
      </c>
      <c r="E1385" t="s">
        <v>29</v>
      </c>
      <c r="F1385" t="s">
        <v>30</v>
      </c>
      <c r="G1385">
        <v>3</v>
      </c>
      <c r="H1385">
        <v>9444</v>
      </c>
      <c r="I1385" t="s">
        <v>35</v>
      </c>
      <c r="J1385" t="s">
        <v>19</v>
      </c>
      <c r="K1385" t="s">
        <v>20</v>
      </c>
      <c r="L1385">
        <v>4</v>
      </c>
      <c r="M1385">
        <v>1</v>
      </c>
      <c r="N1385">
        <v>0</v>
      </c>
      <c r="O1385" t="s">
        <v>21</v>
      </c>
      <c r="P1385" t="str">
        <f>TEXT(Table1[[#This Row],[order_date]],"yyyy-mm")</f>
        <v>2025-07</v>
      </c>
      <c r="Q1385">
        <f>WEEKNUM(Table1[[#This Row],[order_date]])</f>
        <v>29</v>
      </c>
      <c r="R1385">
        <f>IF(Table1[[#This Row],[order_status]]="completed",1,0)</f>
        <v>1</v>
      </c>
    </row>
    <row r="1386" spans="1:18" x14ac:dyDescent="0.35">
      <c r="A1386">
        <v>1385</v>
      </c>
      <c r="B1386" s="1">
        <v>45891</v>
      </c>
      <c r="C1386">
        <v>1197</v>
      </c>
      <c r="D1386" t="s">
        <v>15</v>
      </c>
      <c r="E1386" t="s">
        <v>23</v>
      </c>
      <c r="F1386" t="s">
        <v>30</v>
      </c>
      <c r="G1386">
        <v>4</v>
      </c>
      <c r="H1386">
        <v>0</v>
      </c>
      <c r="I1386" t="s">
        <v>35</v>
      </c>
      <c r="J1386" t="s">
        <v>37</v>
      </c>
      <c r="K1386" t="s">
        <v>20</v>
      </c>
      <c r="L1386">
        <v>4</v>
      </c>
      <c r="M1386">
        <v>1</v>
      </c>
      <c r="N1386">
        <v>1</v>
      </c>
      <c r="O1386" t="s">
        <v>21</v>
      </c>
      <c r="P1386" t="str">
        <f>TEXT(Table1[[#This Row],[order_date]],"yyyy-mm")</f>
        <v>2025-08</v>
      </c>
      <c r="Q1386">
        <f>WEEKNUM(Table1[[#This Row],[order_date]])</f>
        <v>34</v>
      </c>
      <c r="R1386">
        <f>IF(Table1[[#This Row],[order_status]]="completed",1,0)</f>
        <v>0</v>
      </c>
    </row>
    <row r="1387" spans="1:18" x14ac:dyDescent="0.35">
      <c r="A1387">
        <v>1386</v>
      </c>
      <c r="B1387" s="1">
        <v>45996</v>
      </c>
      <c r="C1387">
        <v>1712</v>
      </c>
      <c r="D1387" t="s">
        <v>41</v>
      </c>
      <c r="E1387" t="s">
        <v>29</v>
      </c>
      <c r="F1387" t="s">
        <v>24</v>
      </c>
      <c r="G1387">
        <v>1</v>
      </c>
      <c r="H1387">
        <v>0</v>
      </c>
      <c r="I1387" t="s">
        <v>18</v>
      </c>
      <c r="J1387" t="s">
        <v>37</v>
      </c>
      <c r="K1387" t="s">
        <v>26</v>
      </c>
      <c r="L1387">
        <v>2</v>
      </c>
      <c r="M1387">
        <v>0</v>
      </c>
      <c r="N1387">
        <v>0</v>
      </c>
      <c r="O1387" t="s">
        <v>21</v>
      </c>
      <c r="P1387" t="str">
        <f>TEXT(Table1[[#This Row],[order_date]],"yyyy-mm")</f>
        <v>2025-12</v>
      </c>
      <c r="Q1387">
        <f>WEEKNUM(Table1[[#This Row],[order_date]])</f>
        <v>49</v>
      </c>
      <c r="R1387">
        <f>IF(Table1[[#This Row],[order_status]]="completed",1,0)</f>
        <v>0</v>
      </c>
    </row>
    <row r="1388" spans="1:18" x14ac:dyDescent="0.35">
      <c r="A1388">
        <v>1387</v>
      </c>
      <c r="B1388" s="1">
        <v>45996</v>
      </c>
      <c r="C1388">
        <v>1201</v>
      </c>
      <c r="D1388" t="s">
        <v>28</v>
      </c>
      <c r="E1388" t="s">
        <v>29</v>
      </c>
      <c r="F1388" t="s">
        <v>34</v>
      </c>
      <c r="G1388">
        <v>4</v>
      </c>
      <c r="H1388">
        <v>0</v>
      </c>
      <c r="I1388" t="s">
        <v>18</v>
      </c>
      <c r="J1388" t="s">
        <v>31</v>
      </c>
      <c r="K1388" t="s">
        <v>40</v>
      </c>
      <c r="L1388">
        <v>2</v>
      </c>
      <c r="M1388">
        <v>1</v>
      </c>
      <c r="N1388">
        <v>1</v>
      </c>
      <c r="O1388" t="s">
        <v>21</v>
      </c>
      <c r="P1388" t="str">
        <f>TEXT(Table1[[#This Row],[order_date]],"yyyy-mm")</f>
        <v>2025-12</v>
      </c>
      <c r="Q1388">
        <f>WEEKNUM(Table1[[#This Row],[order_date]])</f>
        <v>49</v>
      </c>
      <c r="R1388">
        <f>IF(Table1[[#This Row],[order_status]]="completed",1,0)</f>
        <v>0</v>
      </c>
    </row>
    <row r="1389" spans="1:18" x14ac:dyDescent="0.35">
      <c r="A1389">
        <v>1388</v>
      </c>
      <c r="B1389" s="1">
        <v>45860</v>
      </c>
      <c r="C1389">
        <v>1211</v>
      </c>
      <c r="D1389" t="s">
        <v>15</v>
      </c>
      <c r="E1389" t="s">
        <v>36</v>
      </c>
      <c r="F1389" t="s">
        <v>17</v>
      </c>
      <c r="G1389">
        <v>1</v>
      </c>
      <c r="H1389">
        <v>0</v>
      </c>
      <c r="I1389" t="s">
        <v>18</v>
      </c>
      <c r="J1389" t="s">
        <v>37</v>
      </c>
      <c r="K1389" t="s">
        <v>38</v>
      </c>
      <c r="L1389">
        <v>1</v>
      </c>
      <c r="M1389">
        <v>0</v>
      </c>
      <c r="N1389">
        <v>1</v>
      </c>
      <c r="O1389" t="s">
        <v>21</v>
      </c>
      <c r="P1389" t="str">
        <f>TEXT(Table1[[#This Row],[order_date]],"yyyy-mm")</f>
        <v>2025-07</v>
      </c>
      <c r="Q1389">
        <f>WEEKNUM(Table1[[#This Row],[order_date]])</f>
        <v>30</v>
      </c>
      <c r="R1389">
        <f>IF(Table1[[#This Row],[order_status]]="completed",1,0)</f>
        <v>0</v>
      </c>
    </row>
    <row r="1390" spans="1:18" x14ac:dyDescent="0.35">
      <c r="A1390">
        <v>1389</v>
      </c>
      <c r="B1390" s="1">
        <v>45869</v>
      </c>
      <c r="C1390">
        <v>1501</v>
      </c>
      <c r="D1390" t="s">
        <v>41</v>
      </c>
      <c r="E1390" t="s">
        <v>16</v>
      </c>
      <c r="F1390" t="s">
        <v>34</v>
      </c>
      <c r="G1390">
        <v>3</v>
      </c>
      <c r="H1390">
        <v>6843</v>
      </c>
      <c r="I1390" t="s">
        <v>39</v>
      </c>
      <c r="J1390" t="s">
        <v>19</v>
      </c>
      <c r="K1390" t="s">
        <v>26</v>
      </c>
      <c r="L1390">
        <v>10</v>
      </c>
      <c r="M1390">
        <v>0</v>
      </c>
      <c r="N1390">
        <v>0</v>
      </c>
      <c r="O1390" t="s">
        <v>21</v>
      </c>
      <c r="P1390" t="str">
        <f>TEXT(Table1[[#This Row],[order_date]],"yyyy-mm")</f>
        <v>2025-07</v>
      </c>
      <c r="Q1390">
        <f>WEEKNUM(Table1[[#This Row],[order_date]])</f>
        <v>31</v>
      </c>
      <c r="R1390">
        <f>IF(Table1[[#This Row],[order_status]]="completed",1,0)</f>
        <v>1</v>
      </c>
    </row>
    <row r="1391" spans="1:18" x14ac:dyDescent="0.35">
      <c r="A1391">
        <v>1390</v>
      </c>
      <c r="B1391" s="1">
        <v>45900</v>
      </c>
      <c r="C1391">
        <v>1740</v>
      </c>
      <c r="D1391" t="s">
        <v>41</v>
      </c>
      <c r="E1391" t="s">
        <v>33</v>
      </c>
      <c r="F1391" t="s">
        <v>24</v>
      </c>
      <c r="G1391">
        <v>5</v>
      </c>
      <c r="H1391">
        <v>0</v>
      </c>
      <c r="I1391" t="s">
        <v>35</v>
      </c>
      <c r="J1391" t="s">
        <v>31</v>
      </c>
      <c r="K1391" t="s">
        <v>38</v>
      </c>
      <c r="L1391">
        <v>2</v>
      </c>
      <c r="M1391">
        <v>1</v>
      </c>
      <c r="N1391">
        <v>1</v>
      </c>
      <c r="O1391" t="s">
        <v>21</v>
      </c>
      <c r="P1391" t="str">
        <f>TEXT(Table1[[#This Row],[order_date]],"yyyy-mm")</f>
        <v>2025-08</v>
      </c>
      <c r="Q1391">
        <f>WEEKNUM(Table1[[#This Row],[order_date]])</f>
        <v>36</v>
      </c>
      <c r="R1391">
        <f>IF(Table1[[#This Row],[order_status]]="completed",1,0)</f>
        <v>0</v>
      </c>
    </row>
    <row r="1392" spans="1:18" x14ac:dyDescent="0.35">
      <c r="A1392">
        <v>1391</v>
      </c>
      <c r="B1392" s="1">
        <v>45974</v>
      </c>
      <c r="C1392">
        <v>1522</v>
      </c>
      <c r="D1392" t="s">
        <v>15</v>
      </c>
      <c r="E1392" t="s">
        <v>23</v>
      </c>
      <c r="F1392" t="s">
        <v>30</v>
      </c>
      <c r="G1392">
        <v>2</v>
      </c>
      <c r="H1392">
        <v>0</v>
      </c>
      <c r="I1392" t="s">
        <v>18</v>
      </c>
      <c r="J1392" t="s">
        <v>37</v>
      </c>
      <c r="K1392" t="s">
        <v>26</v>
      </c>
      <c r="L1392">
        <v>8</v>
      </c>
      <c r="M1392">
        <v>1</v>
      </c>
      <c r="N1392">
        <v>0</v>
      </c>
      <c r="O1392" t="s">
        <v>21</v>
      </c>
      <c r="P1392" t="str">
        <f>TEXT(Table1[[#This Row],[order_date]],"yyyy-mm")</f>
        <v>2025-11</v>
      </c>
      <c r="Q1392">
        <f>WEEKNUM(Table1[[#This Row],[order_date]])</f>
        <v>46</v>
      </c>
      <c r="R1392">
        <f>IF(Table1[[#This Row],[order_status]]="completed",1,0)</f>
        <v>0</v>
      </c>
    </row>
    <row r="1393" spans="1:18" x14ac:dyDescent="0.35">
      <c r="A1393">
        <v>1392</v>
      </c>
      <c r="B1393" s="1">
        <v>45998</v>
      </c>
      <c r="C1393">
        <v>1753</v>
      </c>
      <c r="D1393" t="s">
        <v>32</v>
      </c>
      <c r="E1393" t="s">
        <v>23</v>
      </c>
      <c r="F1393" t="s">
        <v>24</v>
      </c>
      <c r="G1393">
        <v>1</v>
      </c>
      <c r="H1393">
        <v>0</v>
      </c>
      <c r="I1393" t="s">
        <v>35</v>
      </c>
      <c r="J1393" t="s">
        <v>37</v>
      </c>
      <c r="K1393" t="s">
        <v>20</v>
      </c>
      <c r="L1393">
        <v>9</v>
      </c>
      <c r="M1393">
        <v>0</v>
      </c>
      <c r="N1393">
        <v>1</v>
      </c>
      <c r="O1393" t="s">
        <v>21</v>
      </c>
      <c r="P1393" t="str">
        <f>TEXT(Table1[[#This Row],[order_date]],"yyyy-mm")</f>
        <v>2025-12</v>
      </c>
      <c r="Q1393">
        <f>WEEKNUM(Table1[[#This Row],[order_date]])</f>
        <v>50</v>
      </c>
      <c r="R1393">
        <f>IF(Table1[[#This Row],[order_status]]="completed",1,0)</f>
        <v>0</v>
      </c>
    </row>
    <row r="1394" spans="1:18" x14ac:dyDescent="0.35">
      <c r="A1394">
        <v>1393</v>
      </c>
      <c r="B1394" s="1">
        <v>45959</v>
      </c>
      <c r="C1394">
        <v>1344</v>
      </c>
      <c r="D1394" t="s">
        <v>28</v>
      </c>
      <c r="E1394" t="s">
        <v>29</v>
      </c>
      <c r="F1394" t="s">
        <v>34</v>
      </c>
      <c r="G1394">
        <v>1</v>
      </c>
      <c r="H1394">
        <v>0</v>
      </c>
      <c r="I1394" t="s">
        <v>35</v>
      </c>
      <c r="J1394" t="s">
        <v>31</v>
      </c>
      <c r="K1394" t="s">
        <v>38</v>
      </c>
      <c r="L1394">
        <v>5</v>
      </c>
      <c r="M1394">
        <v>0</v>
      </c>
      <c r="N1394">
        <v>0</v>
      </c>
      <c r="O1394" t="s">
        <v>27</v>
      </c>
      <c r="P1394" t="str">
        <f>TEXT(Table1[[#This Row],[order_date]],"yyyy-mm")</f>
        <v>2025-10</v>
      </c>
      <c r="Q1394">
        <f>WEEKNUM(Table1[[#This Row],[order_date]])</f>
        <v>44</v>
      </c>
      <c r="R1394">
        <f>IF(Table1[[#This Row],[order_status]]="completed",1,0)</f>
        <v>0</v>
      </c>
    </row>
    <row r="1395" spans="1:18" x14ac:dyDescent="0.35">
      <c r="A1395">
        <v>1394</v>
      </c>
      <c r="B1395" s="1">
        <v>46006</v>
      </c>
      <c r="C1395">
        <v>1381</v>
      </c>
      <c r="D1395" t="s">
        <v>28</v>
      </c>
      <c r="E1395" t="s">
        <v>33</v>
      </c>
      <c r="F1395" t="s">
        <v>30</v>
      </c>
      <c r="G1395">
        <v>3</v>
      </c>
      <c r="H1395">
        <v>0</v>
      </c>
      <c r="I1395" t="s">
        <v>18</v>
      </c>
      <c r="J1395" t="s">
        <v>31</v>
      </c>
      <c r="K1395" t="s">
        <v>40</v>
      </c>
      <c r="L1395">
        <v>6</v>
      </c>
      <c r="M1395">
        <v>0</v>
      </c>
      <c r="N1395">
        <v>0</v>
      </c>
      <c r="O1395" t="s">
        <v>27</v>
      </c>
      <c r="P1395" t="str">
        <f>TEXT(Table1[[#This Row],[order_date]],"yyyy-mm")</f>
        <v>2025-12</v>
      </c>
      <c r="Q1395">
        <f>WEEKNUM(Table1[[#This Row],[order_date]])</f>
        <v>51</v>
      </c>
      <c r="R1395">
        <f>IF(Table1[[#This Row],[order_status]]="completed",1,0)</f>
        <v>0</v>
      </c>
    </row>
    <row r="1396" spans="1:18" x14ac:dyDescent="0.35">
      <c r="A1396">
        <v>1395</v>
      </c>
      <c r="B1396" s="1">
        <v>46015</v>
      </c>
      <c r="C1396">
        <v>1634</v>
      </c>
      <c r="D1396" t="s">
        <v>32</v>
      </c>
      <c r="E1396" t="s">
        <v>23</v>
      </c>
      <c r="F1396" t="s">
        <v>24</v>
      </c>
      <c r="G1396">
        <v>5</v>
      </c>
      <c r="H1396">
        <v>0</v>
      </c>
      <c r="I1396" t="s">
        <v>39</v>
      </c>
      <c r="J1396" t="s">
        <v>31</v>
      </c>
      <c r="K1396" t="s">
        <v>20</v>
      </c>
      <c r="L1396">
        <v>3</v>
      </c>
      <c r="M1396">
        <v>1</v>
      </c>
      <c r="N1396">
        <v>1</v>
      </c>
      <c r="O1396" t="s">
        <v>27</v>
      </c>
      <c r="P1396" t="str">
        <f>TEXT(Table1[[#This Row],[order_date]],"yyyy-mm")</f>
        <v>2025-12</v>
      </c>
      <c r="Q1396">
        <f>WEEKNUM(Table1[[#This Row],[order_date]])</f>
        <v>52</v>
      </c>
      <c r="R1396">
        <f>IF(Table1[[#This Row],[order_status]]="completed",1,0)</f>
        <v>0</v>
      </c>
    </row>
    <row r="1397" spans="1:18" x14ac:dyDescent="0.35">
      <c r="A1397">
        <v>1396</v>
      </c>
      <c r="B1397" s="1">
        <v>45856</v>
      </c>
      <c r="C1397">
        <v>1828</v>
      </c>
      <c r="D1397" t="s">
        <v>41</v>
      </c>
      <c r="E1397" t="s">
        <v>23</v>
      </c>
      <c r="F1397" t="s">
        <v>17</v>
      </c>
      <c r="G1397">
        <v>5</v>
      </c>
      <c r="H1397">
        <v>23585</v>
      </c>
      <c r="I1397" t="s">
        <v>18</v>
      </c>
      <c r="J1397" t="s">
        <v>19</v>
      </c>
      <c r="K1397" t="s">
        <v>38</v>
      </c>
      <c r="L1397">
        <v>9</v>
      </c>
      <c r="M1397">
        <v>0</v>
      </c>
      <c r="N1397">
        <v>0</v>
      </c>
      <c r="O1397" t="s">
        <v>27</v>
      </c>
      <c r="P1397" t="str">
        <f>TEXT(Table1[[#This Row],[order_date]],"yyyy-mm")</f>
        <v>2025-07</v>
      </c>
      <c r="Q1397">
        <f>WEEKNUM(Table1[[#This Row],[order_date]])</f>
        <v>29</v>
      </c>
      <c r="R1397">
        <f>IF(Table1[[#This Row],[order_status]]="completed",1,0)</f>
        <v>1</v>
      </c>
    </row>
    <row r="1398" spans="1:18" x14ac:dyDescent="0.35">
      <c r="A1398">
        <v>1397</v>
      </c>
      <c r="B1398" s="1">
        <v>46007</v>
      </c>
      <c r="C1398">
        <v>1656</v>
      </c>
      <c r="D1398" t="s">
        <v>32</v>
      </c>
      <c r="E1398" t="s">
        <v>33</v>
      </c>
      <c r="F1398" t="s">
        <v>30</v>
      </c>
      <c r="G1398">
        <v>5</v>
      </c>
      <c r="H1398">
        <v>13930</v>
      </c>
      <c r="I1398" t="s">
        <v>25</v>
      </c>
      <c r="J1398" t="s">
        <v>19</v>
      </c>
      <c r="K1398" t="s">
        <v>20</v>
      </c>
      <c r="L1398">
        <v>1</v>
      </c>
      <c r="M1398">
        <v>0</v>
      </c>
      <c r="N1398">
        <v>1</v>
      </c>
      <c r="O1398" t="s">
        <v>27</v>
      </c>
      <c r="P1398" t="str">
        <f>TEXT(Table1[[#This Row],[order_date]],"yyyy-mm")</f>
        <v>2025-12</v>
      </c>
      <c r="Q1398">
        <f>WEEKNUM(Table1[[#This Row],[order_date]])</f>
        <v>51</v>
      </c>
      <c r="R1398">
        <f>IF(Table1[[#This Row],[order_status]]="completed",1,0)</f>
        <v>1</v>
      </c>
    </row>
    <row r="1399" spans="1:18" x14ac:dyDescent="0.35">
      <c r="A1399">
        <v>1398</v>
      </c>
      <c r="B1399" s="1">
        <v>45884</v>
      </c>
      <c r="C1399">
        <v>1678</v>
      </c>
      <c r="D1399" t="s">
        <v>28</v>
      </c>
      <c r="E1399" t="s">
        <v>16</v>
      </c>
      <c r="F1399" t="s">
        <v>30</v>
      </c>
      <c r="G1399">
        <v>2</v>
      </c>
      <c r="H1399">
        <v>0</v>
      </c>
      <c r="I1399" t="s">
        <v>25</v>
      </c>
      <c r="J1399" t="s">
        <v>37</v>
      </c>
      <c r="K1399" t="s">
        <v>26</v>
      </c>
      <c r="L1399">
        <v>1</v>
      </c>
      <c r="M1399">
        <v>1</v>
      </c>
      <c r="N1399">
        <v>0</v>
      </c>
      <c r="O1399" t="s">
        <v>27</v>
      </c>
      <c r="P1399" t="str">
        <f>TEXT(Table1[[#This Row],[order_date]],"yyyy-mm")</f>
        <v>2025-08</v>
      </c>
      <c r="Q1399">
        <f>WEEKNUM(Table1[[#This Row],[order_date]])</f>
        <v>33</v>
      </c>
      <c r="R1399">
        <f>IF(Table1[[#This Row],[order_status]]="completed",1,0)</f>
        <v>0</v>
      </c>
    </row>
    <row r="1400" spans="1:18" x14ac:dyDescent="0.35">
      <c r="A1400">
        <v>1399</v>
      </c>
      <c r="B1400" s="1">
        <v>45875</v>
      </c>
      <c r="C1400">
        <v>1896</v>
      </c>
      <c r="D1400" t="s">
        <v>41</v>
      </c>
      <c r="E1400" t="s">
        <v>23</v>
      </c>
      <c r="F1400" t="s">
        <v>30</v>
      </c>
      <c r="G1400">
        <v>4</v>
      </c>
      <c r="H1400">
        <v>0</v>
      </c>
      <c r="I1400" t="s">
        <v>25</v>
      </c>
      <c r="J1400" t="s">
        <v>31</v>
      </c>
      <c r="K1400" t="s">
        <v>26</v>
      </c>
      <c r="L1400">
        <v>8</v>
      </c>
      <c r="M1400">
        <v>0</v>
      </c>
      <c r="N1400">
        <v>1</v>
      </c>
      <c r="O1400" t="s">
        <v>27</v>
      </c>
      <c r="P1400" t="str">
        <f>TEXT(Table1[[#This Row],[order_date]],"yyyy-mm")</f>
        <v>2025-08</v>
      </c>
      <c r="Q1400">
        <f>WEEKNUM(Table1[[#This Row],[order_date]])</f>
        <v>32</v>
      </c>
      <c r="R1400">
        <f>IF(Table1[[#This Row],[order_status]]="completed",1,0)</f>
        <v>0</v>
      </c>
    </row>
    <row r="1401" spans="1:18" x14ac:dyDescent="0.35">
      <c r="A1401">
        <v>1400</v>
      </c>
      <c r="B1401" s="1">
        <v>45969</v>
      </c>
      <c r="C1401">
        <v>1967</v>
      </c>
      <c r="D1401" t="s">
        <v>15</v>
      </c>
      <c r="E1401" t="s">
        <v>33</v>
      </c>
      <c r="F1401" t="s">
        <v>17</v>
      </c>
      <c r="G1401">
        <v>3</v>
      </c>
      <c r="H1401">
        <v>5787</v>
      </c>
      <c r="I1401" t="s">
        <v>35</v>
      </c>
      <c r="J1401" t="s">
        <v>19</v>
      </c>
      <c r="K1401" t="s">
        <v>40</v>
      </c>
      <c r="L1401">
        <v>1</v>
      </c>
      <c r="M1401">
        <v>0</v>
      </c>
      <c r="N1401">
        <v>0</v>
      </c>
      <c r="O1401" t="s">
        <v>27</v>
      </c>
      <c r="P1401" t="str">
        <f>TEXT(Table1[[#This Row],[order_date]],"yyyy-mm")</f>
        <v>2025-11</v>
      </c>
      <c r="Q1401">
        <f>WEEKNUM(Table1[[#This Row],[order_date]])</f>
        <v>45</v>
      </c>
      <c r="R1401">
        <f>IF(Table1[[#This Row],[order_status]]="completed",1,0)</f>
        <v>1</v>
      </c>
    </row>
    <row r="1402" spans="1:18" x14ac:dyDescent="0.35">
      <c r="A1402">
        <v>1401</v>
      </c>
      <c r="B1402" s="1">
        <v>45940</v>
      </c>
      <c r="C1402">
        <v>1626</v>
      </c>
      <c r="D1402" t="s">
        <v>41</v>
      </c>
      <c r="E1402" t="s">
        <v>23</v>
      </c>
      <c r="F1402" t="s">
        <v>34</v>
      </c>
      <c r="G1402">
        <v>3</v>
      </c>
      <c r="H1402">
        <v>14784</v>
      </c>
      <c r="I1402" t="s">
        <v>18</v>
      </c>
      <c r="J1402" t="s">
        <v>19</v>
      </c>
      <c r="K1402" t="s">
        <v>26</v>
      </c>
      <c r="L1402">
        <v>7</v>
      </c>
      <c r="M1402">
        <v>1</v>
      </c>
      <c r="N1402">
        <v>0</v>
      </c>
      <c r="O1402" t="s">
        <v>21</v>
      </c>
      <c r="P1402" t="str">
        <f>TEXT(Table1[[#This Row],[order_date]],"yyyy-mm")</f>
        <v>2025-10</v>
      </c>
      <c r="Q1402">
        <f>WEEKNUM(Table1[[#This Row],[order_date]])</f>
        <v>41</v>
      </c>
      <c r="R1402">
        <f>IF(Table1[[#This Row],[order_status]]="completed",1,0)</f>
        <v>1</v>
      </c>
    </row>
    <row r="1403" spans="1:18" x14ac:dyDescent="0.35">
      <c r="A1403">
        <v>1402</v>
      </c>
      <c r="B1403" s="1">
        <v>46021</v>
      </c>
      <c r="C1403">
        <v>1240</v>
      </c>
      <c r="D1403" t="s">
        <v>22</v>
      </c>
      <c r="E1403" t="s">
        <v>33</v>
      </c>
      <c r="F1403" t="s">
        <v>24</v>
      </c>
      <c r="G1403">
        <v>2</v>
      </c>
      <c r="H1403">
        <v>5230</v>
      </c>
      <c r="I1403" t="s">
        <v>18</v>
      </c>
      <c r="J1403" t="s">
        <v>19</v>
      </c>
      <c r="K1403" t="s">
        <v>38</v>
      </c>
      <c r="L1403">
        <v>1</v>
      </c>
      <c r="M1403">
        <v>0</v>
      </c>
      <c r="N1403">
        <v>0</v>
      </c>
      <c r="O1403" t="s">
        <v>21</v>
      </c>
      <c r="P1403" t="str">
        <f>TEXT(Table1[[#This Row],[order_date]],"yyyy-mm")</f>
        <v>2025-12</v>
      </c>
      <c r="Q1403">
        <f>WEEKNUM(Table1[[#This Row],[order_date]])</f>
        <v>53</v>
      </c>
      <c r="R1403">
        <f>IF(Table1[[#This Row],[order_status]]="completed",1,0)</f>
        <v>1</v>
      </c>
    </row>
    <row r="1404" spans="1:18" x14ac:dyDescent="0.35">
      <c r="A1404">
        <v>1403</v>
      </c>
      <c r="B1404" s="1">
        <v>45964</v>
      </c>
      <c r="C1404">
        <v>1894</v>
      </c>
      <c r="D1404" t="s">
        <v>22</v>
      </c>
      <c r="E1404" t="s">
        <v>29</v>
      </c>
      <c r="F1404" t="s">
        <v>24</v>
      </c>
      <c r="G1404">
        <v>2</v>
      </c>
      <c r="H1404">
        <v>0</v>
      </c>
      <c r="I1404" t="s">
        <v>18</v>
      </c>
      <c r="J1404" t="s">
        <v>37</v>
      </c>
      <c r="K1404" t="s">
        <v>26</v>
      </c>
      <c r="L1404">
        <v>7</v>
      </c>
      <c r="M1404">
        <v>0</v>
      </c>
      <c r="N1404">
        <v>1</v>
      </c>
      <c r="O1404" t="s">
        <v>21</v>
      </c>
      <c r="P1404" t="str">
        <f>TEXT(Table1[[#This Row],[order_date]],"yyyy-mm")</f>
        <v>2025-11</v>
      </c>
      <c r="Q1404">
        <f>WEEKNUM(Table1[[#This Row],[order_date]])</f>
        <v>45</v>
      </c>
      <c r="R1404">
        <f>IF(Table1[[#This Row],[order_status]]="completed",1,0)</f>
        <v>0</v>
      </c>
    </row>
    <row r="1405" spans="1:18" x14ac:dyDescent="0.35">
      <c r="A1405">
        <v>1404</v>
      </c>
      <c r="B1405" s="1">
        <v>45981</v>
      </c>
      <c r="C1405">
        <v>1684</v>
      </c>
      <c r="D1405" t="s">
        <v>15</v>
      </c>
      <c r="E1405" t="s">
        <v>23</v>
      </c>
      <c r="F1405" t="s">
        <v>34</v>
      </c>
      <c r="G1405">
        <v>1</v>
      </c>
      <c r="H1405">
        <v>0</v>
      </c>
      <c r="I1405" t="s">
        <v>25</v>
      </c>
      <c r="J1405" t="s">
        <v>31</v>
      </c>
      <c r="K1405" t="s">
        <v>38</v>
      </c>
      <c r="L1405">
        <v>10</v>
      </c>
      <c r="M1405">
        <v>0</v>
      </c>
      <c r="N1405">
        <v>0</v>
      </c>
      <c r="O1405" t="s">
        <v>21</v>
      </c>
      <c r="P1405" t="str">
        <f>TEXT(Table1[[#This Row],[order_date]],"yyyy-mm")</f>
        <v>2025-11</v>
      </c>
      <c r="Q1405">
        <f>WEEKNUM(Table1[[#This Row],[order_date]])</f>
        <v>47</v>
      </c>
      <c r="R1405">
        <f>IF(Table1[[#This Row],[order_status]]="completed",1,0)</f>
        <v>0</v>
      </c>
    </row>
    <row r="1406" spans="1:18" x14ac:dyDescent="0.35">
      <c r="A1406">
        <v>1405</v>
      </c>
      <c r="B1406" s="1">
        <v>46017</v>
      </c>
      <c r="C1406">
        <v>1446</v>
      </c>
      <c r="D1406" t="s">
        <v>32</v>
      </c>
      <c r="E1406" t="s">
        <v>23</v>
      </c>
      <c r="F1406" t="s">
        <v>34</v>
      </c>
      <c r="G1406">
        <v>4</v>
      </c>
      <c r="H1406">
        <v>0</v>
      </c>
      <c r="I1406" t="s">
        <v>18</v>
      </c>
      <c r="J1406" t="s">
        <v>31</v>
      </c>
      <c r="K1406" t="s">
        <v>26</v>
      </c>
      <c r="L1406">
        <v>3</v>
      </c>
      <c r="M1406">
        <v>0</v>
      </c>
      <c r="N1406">
        <v>0</v>
      </c>
      <c r="O1406" t="s">
        <v>27</v>
      </c>
      <c r="P1406" t="str">
        <f>TEXT(Table1[[#This Row],[order_date]],"yyyy-mm")</f>
        <v>2025-12</v>
      </c>
      <c r="Q1406">
        <f>WEEKNUM(Table1[[#This Row],[order_date]])</f>
        <v>52</v>
      </c>
      <c r="R1406">
        <f>IF(Table1[[#This Row],[order_status]]="completed",1,0)</f>
        <v>0</v>
      </c>
    </row>
    <row r="1407" spans="1:18" x14ac:dyDescent="0.35">
      <c r="A1407">
        <v>1406</v>
      </c>
      <c r="B1407" s="1">
        <v>45910</v>
      </c>
      <c r="C1407">
        <v>1325</v>
      </c>
      <c r="D1407" t="s">
        <v>22</v>
      </c>
      <c r="E1407" t="s">
        <v>29</v>
      </c>
      <c r="F1407" t="s">
        <v>17</v>
      </c>
      <c r="G1407">
        <v>2</v>
      </c>
      <c r="H1407">
        <v>5626</v>
      </c>
      <c r="I1407" t="s">
        <v>39</v>
      </c>
      <c r="J1407" t="s">
        <v>19</v>
      </c>
      <c r="K1407" t="s">
        <v>26</v>
      </c>
      <c r="L1407">
        <v>1</v>
      </c>
      <c r="M1407">
        <v>0</v>
      </c>
      <c r="N1407">
        <v>1</v>
      </c>
      <c r="O1407" t="s">
        <v>27</v>
      </c>
      <c r="P1407" t="str">
        <f>TEXT(Table1[[#This Row],[order_date]],"yyyy-mm")</f>
        <v>2025-09</v>
      </c>
      <c r="Q1407">
        <f>WEEKNUM(Table1[[#This Row],[order_date]])</f>
        <v>37</v>
      </c>
      <c r="R1407">
        <f>IF(Table1[[#This Row],[order_status]]="completed",1,0)</f>
        <v>1</v>
      </c>
    </row>
    <row r="1408" spans="1:18" x14ac:dyDescent="0.35">
      <c r="A1408">
        <v>1407</v>
      </c>
      <c r="B1408" s="1">
        <v>46021</v>
      </c>
      <c r="C1408">
        <v>1802</v>
      </c>
      <c r="D1408" t="s">
        <v>28</v>
      </c>
      <c r="E1408" t="s">
        <v>36</v>
      </c>
      <c r="F1408" t="s">
        <v>24</v>
      </c>
      <c r="G1408">
        <v>5</v>
      </c>
      <c r="H1408">
        <v>7415</v>
      </c>
      <c r="I1408" t="s">
        <v>39</v>
      </c>
      <c r="J1408" t="s">
        <v>19</v>
      </c>
      <c r="K1408" t="s">
        <v>38</v>
      </c>
      <c r="L1408">
        <v>9</v>
      </c>
      <c r="M1408">
        <v>1</v>
      </c>
      <c r="N1408">
        <v>1</v>
      </c>
      <c r="O1408" t="s">
        <v>27</v>
      </c>
      <c r="P1408" t="str">
        <f>TEXT(Table1[[#This Row],[order_date]],"yyyy-mm")</f>
        <v>2025-12</v>
      </c>
      <c r="Q1408">
        <f>WEEKNUM(Table1[[#This Row],[order_date]])</f>
        <v>53</v>
      </c>
      <c r="R1408">
        <f>IF(Table1[[#This Row],[order_status]]="completed",1,0)</f>
        <v>1</v>
      </c>
    </row>
    <row r="1409" spans="1:18" x14ac:dyDescent="0.35">
      <c r="A1409">
        <v>1408</v>
      </c>
      <c r="B1409" s="1">
        <v>45920</v>
      </c>
      <c r="C1409">
        <v>1857</v>
      </c>
      <c r="D1409" t="s">
        <v>28</v>
      </c>
      <c r="E1409" t="s">
        <v>23</v>
      </c>
      <c r="F1409" t="s">
        <v>34</v>
      </c>
      <c r="G1409">
        <v>1</v>
      </c>
      <c r="H1409">
        <v>0</v>
      </c>
      <c r="I1409" t="s">
        <v>39</v>
      </c>
      <c r="J1409" t="s">
        <v>37</v>
      </c>
      <c r="K1409" t="s">
        <v>38</v>
      </c>
      <c r="L1409">
        <v>2</v>
      </c>
      <c r="M1409">
        <v>1</v>
      </c>
      <c r="N1409">
        <v>1</v>
      </c>
      <c r="O1409" t="s">
        <v>27</v>
      </c>
      <c r="P1409" t="str">
        <f>TEXT(Table1[[#This Row],[order_date]],"yyyy-mm")</f>
        <v>2025-09</v>
      </c>
      <c r="Q1409">
        <f>WEEKNUM(Table1[[#This Row],[order_date]])</f>
        <v>38</v>
      </c>
      <c r="R1409">
        <f>IF(Table1[[#This Row],[order_status]]="completed",1,0)</f>
        <v>0</v>
      </c>
    </row>
    <row r="1410" spans="1:18" x14ac:dyDescent="0.35">
      <c r="A1410">
        <v>1409</v>
      </c>
      <c r="B1410" s="1">
        <v>45931</v>
      </c>
      <c r="C1410">
        <v>1610</v>
      </c>
      <c r="D1410" t="s">
        <v>28</v>
      </c>
      <c r="E1410" t="s">
        <v>16</v>
      </c>
      <c r="F1410" t="s">
        <v>30</v>
      </c>
      <c r="G1410">
        <v>4</v>
      </c>
      <c r="H1410">
        <v>0</v>
      </c>
      <c r="I1410" t="s">
        <v>35</v>
      </c>
      <c r="J1410" t="s">
        <v>31</v>
      </c>
      <c r="K1410" t="s">
        <v>20</v>
      </c>
      <c r="L1410">
        <v>7</v>
      </c>
      <c r="M1410">
        <v>1</v>
      </c>
      <c r="N1410">
        <v>1</v>
      </c>
      <c r="O1410" t="s">
        <v>27</v>
      </c>
      <c r="P1410" t="str">
        <f>TEXT(Table1[[#This Row],[order_date]],"yyyy-mm")</f>
        <v>2025-10</v>
      </c>
      <c r="Q1410">
        <f>WEEKNUM(Table1[[#This Row],[order_date]])</f>
        <v>40</v>
      </c>
      <c r="R1410">
        <f>IF(Table1[[#This Row],[order_status]]="completed",1,0)</f>
        <v>0</v>
      </c>
    </row>
    <row r="1411" spans="1:18" x14ac:dyDescent="0.35">
      <c r="A1411">
        <v>1410</v>
      </c>
      <c r="B1411" s="1">
        <v>45874</v>
      </c>
      <c r="C1411">
        <v>1645</v>
      </c>
      <c r="D1411" t="s">
        <v>41</v>
      </c>
      <c r="E1411" t="s">
        <v>16</v>
      </c>
      <c r="F1411" t="s">
        <v>30</v>
      </c>
      <c r="G1411">
        <v>4</v>
      </c>
      <c r="H1411">
        <v>13840</v>
      </c>
      <c r="I1411" t="s">
        <v>39</v>
      </c>
      <c r="J1411" t="s">
        <v>19</v>
      </c>
      <c r="K1411" t="s">
        <v>40</v>
      </c>
      <c r="L1411">
        <v>3</v>
      </c>
      <c r="M1411">
        <v>1</v>
      </c>
      <c r="N1411">
        <v>1</v>
      </c>
      <c r="O1411" t="s">
        <v>27</v>
      </c>
      <c r="P1411" t="str">
        <f>TEXT(Table1[[#This Row],[order_date]],"yyyy-mm")</f>
        <v>2025-08</v>
      </c>
      <c r="Q1411">
        <f>WEEKNUM(Table1[[#This Row],[order_date]])</f>
        <v>32</v>
      </c>
      <c r="R1411">
        <f>IF(Table1[[#This Row],[order_status]]="completed",1,0)</f>
        <v>1</v>
      </c>
    </row>
    <row r="1412" spans="1:18" x14ac:dyDescent="0.35">
      <c r="A1412">
        <v>1411</v>
      </c>
      <c r="B1412" s="1">
        <v>45922</v>
      </c>
      <c r="C1412">
        <v>1290</v>
      </c>
      <c r="D1412" t="s">
        <v>28</v>
      </c>
      <c r="E1412" t="s">
        <v>29</v>
      </c>
      <c r="F1412" t="s">
        <v>24</v>
      </c>
      <c r="G1412">
        <v>1</v>
      </c>
      <c r="H1412">
        <v>0</v>
      </c>
      <c r="I1412" t="s">
        <v>35</v>
      </c>
      <c r="J1412" t="s">
        <v>37</v>
      </c>
      <c r="K1412" t="s">
        <v>26</v>
      </c>
      <c r="L1412">
        <v>3</v>
      </c>
      <c r="M1412">
        <v>1</v>
      </c>
      <c r="N1412">
        <v>0</v>
      </c>
      <c r="O1412" t="s">
        <v>27</v>
      </c>
      <c r="P1412" t="str">
        <f>TEXT(Table1[[#This Row],[order_date]],"yyyy-mm")</f>
        <v>2025-09</v>
      </c>
      <c r="Q1412">
        <f>WEEKNUM(Table1[[#This Row],[order_date]])</f>
        <v>39</v>
      </c>
      <c r="R1412">
        <f>IF(Table1[[#This Row],[order_status]]="completed",1,0)</f>
        <v>0</v>
      </c>
    </row>
    <row r="1413" spans="1:18" x14ac:dyDescent="0.35">
      <c r="A1413">
        <v>1412</v>
      </c>
      <c r="B1413" s="1">
        <v>45965</v>
      </c>
      <c r="C1413">
        <v>1480</v>
      </c>
      <c r="D1413" t="s">
        <v>32</v>
      </c>
      <c r="E1413" t="s">
        <v>23</v>
      </c>
      <c r="F1413" t="s">
        <v>24</v>
      </c>
      <c r="G1413">
        <v>2</v>
      </c>
      <c r="H1413">
        <v>0</v>
      </c>
      <c r="I1413" t="s">
        <v>35</v>
      </c>
      <c r="J1413" t="s">
        <v>31</v>
      </c>
      <c r="K1413" t="s">
        <v>26</v>
      </c>
      <c r="L1413">
        <v>7</v>
      </c>
      <c r="M1413">
        <v>0</v>
      </c>
      <c r="N1413">
        <v>0</v>
      </c>
      <c r="O1413" t="s">
        <v>27</v>
      </c>
      <c r="P1413" t="str">
        <f>TEXT(Table1[[#This Row],[order_date]],"yyyy-mm")</f>
        <v>2025-11</v>
      </c>
      <c r="Q1413">
        <f>WEEKNUM(Table1[[#This Row],[order_date]])</f>
        <v>45</v>
      </c>
      <c r="R1413">
        <f>IF(Table1[[#This Row],[order_status]]="completed",1,0)</f>
        <v>0</v>
      </c>
    </row>
    <row r="1414" spans="1:18" x14ac:dyDescent="0.35">
      <c r="A1414">
        <v>1413</v>
      </c>
      <c r="B1414" s="1">
        <v>45906</v>
      </c>
      <c r="C1414">
        <v>1546</v>
      </c>
      <c r="D1414" t="s">
        <v>28</v>
      </c>
      <c r="E1414" t="s">
        <v>23</v>
      </c>
      <c r="F1414" t="s">
        <v>17</v>
      </c>
      <c r="G1414">
        <v>3</v>
      </c>
      <c r="H1414">
        <v>7854</v>
      </c>
      <c r="I1414" t="s">
        <v>25</v>
      </c>
      <c r="J1414" t="s">
        <v>19</v>
      </c>
      <c r="K1414" t="s">
        <v>26</v>
      </c>
      <c r="L1414">
        <v>4</v>
      </c>
      <c r="M1414">
        <v>1</v>
      </c>
      <c r="N1414">
        <v>0</v>
      </c>
      <c r="O1414" t="s">
        <v>27</v>
      </c>
      <c r="P1414" t="str">
        <f>TEXT(Table1[[#This Row],[order_date]],"yyyy-mm")</f>
        <v>2025-09</v>
      </c>
      <c r="Q1414">
        <f>WEEKNUM(Table1[[#This Row],[order_date]])</f>
        <v>36</v>
      </c>
      <c r="R1414">
        <f>IF(Table1[[#This Row],[order_status]]="completed",1,0)</f>
        <v>1</v>
      </c>
    </row>
    <row r="1415" spans="1:18" x14ac:dyDescent="0.35">
      <c r="A1415">
        <v>1414</v>
      </c>
      <c r="B1415" s="1">
        <v>45978</v>
      </c>
      <c r="C1415">
        <v>1809</v>
      </c>
      <c r="D1415" t="s">
        <v>22</v>
      </c>
      <c r="E1415" t="s">
        <v>36</v>
      </c>
      <c r="F1415" t="s">
        <v>24</v>
      </c>
      <c r="G1415">
        <v>3</v>
      </c>
      <c r="H1415">
        <v>0</v>
      </c>
      <c r="I1415" t="s">
        <v>25</v>
      </c>
      <c r="J1415" t="s">
        <v>31</v>
      </c>
      <c r="K1415" t="s">
        <v>26</v>
      </c>
      <c r="L1415">
        <v>1</v>
      </c>
      <c r="M1415">
        <v>0</v>
      </c>
      <c r="N1415">
        <v>1</v>
      </c>
      <c r="O1415" t="s">
        <v>21</v>
      </c>
      <c r="P1415" t="str">
        <f>TEXT(Table1[[#This Row],[order_date]],"yyyy-mm")</f>
        <v>2025-11</v>
      </c>
      <c r="Q1415">
        <f>WEEKNUM(Table1[[#This Row],[order_date]])</f>
        <v>47</v>
      </c>
      <c r="R1415">
        <f>IF(Table1[[#This Row],[order_status]]="completed",1,0)</f>
        <v>0</v>
      </c>
    </row>
    <row r="1416" spans="1:18" x14ac:dyDescent="0.35">
      <c r="A1416">
        <v>1415</v>
      </c>
      <c r="B1416" s="1">
        <v>46006</v>
      </c>
      <c r="C1416">
        <v>1762</v>
      </c>
      <c r="D1416" t="s">
        <v>28</v>
      </c>
      <c r="E1416" t="s">
        <v>23</v>
      </c>
      <c r="F1416" t="s">
        <v>30</v>
      </c>
      <c r="G1416">
        <v>1</v>
      </c>
      <c r="H1416">
        <v>4815</v>
      </c>
      <c r="I1416" t="s">
        <v>35</v>
      </c>
      <c r="J1416" t="s">
        <v>19</v>
      </c>
      <c r="K1416" t="s">
        <v>38</v>
      </c>
      <c r="L1416">
        <v>5</v>
      </c>
      <c r="M1416">
        <v>1</v>
      </c>
      <c r="N1416">
        <v>0</v>
      </c>
      <c r="O1416" t="s">
        <v>21</v>
      </c>
      <c r="P1416" t="str">
        <f>TEXT(Table1[[#This Row],[order_date]],"yyyy-mm")</f>
        <v>2025-12</v>
      </c>
      <c r="Q1416">
        <f>WEEKNUM(Table1[[#This Row],[order_date]])</f>
        <v>51</v>
      </c>
      <c r="R1416">
        <f>IF(Table1[[#This Row],[order_status]]="completed",1,0)</f>
        <v>1</v>
      </c>
    </row>
    <row r="1417" spans="1:18" x14ac:dyDescent="0.35">
      <c r="A1417">
        <v>1416</v>
      </c>
      <c r="B1417" s="1">
        <v>45902</v>
      </c>
      <c r="C1417">
        <v>1037</v>
      </c>
      <c r="D1417" t="s">
        <v>22</v>
      </c>
      <c r="E1417" t="s">
        <v>36</v>
      </c>
      <c r="F1417" t="s">
        <v>34</v>
      </c>
      <c r="G1417">
        <v>5</v>
      </c>
      <c r="H1417">
        <v>0</v>
      </c>
      <c r="I1417" t="s">
        <v>25</v>
      </c>
      <c r="J1417" t="s">
        <v>31</v>
      </c>
      <c r="K1417" t="s">
        <v>40</v>
      </c>
      <c r="L1417">
        <v>2</v>
      </c>
      <c r="M1417">
        <v>0</v>
      </c>
      <c r="N1417">
        <v>1</v>
      </c>
      <c r="O1417" t="s">
        <v>21</v>
      </c>
      <c r="P1417" t="str">
        <f>TEXT(Table1[[#This Row],[order_date]],"yyyy-mm")</f>
        <v>2025-09</v>
      </c>
      <c r="Q1417">
        <f>WEEKNUM(Table1[[#This Row],[order_date]])</f>
        <v>36</v>
      </c>
      <c r="R1417">
        <f>IF(Table1[[#This Row],[order_status]]="completed",1,0)</f>
        <v>0</v>
      </c>
    </row>
    <row r="1418" spans="1:18" x14ac:dyDescent="0.35">
      <c r="A1418">
        <v>1417</v>
      </c>
      <c r="B1418" s="1">
        <v>45998</v>
      </c>
      <c r="C1418">
        <v>1187</v>
      </c>
      <c r="D1418" t="s">
        <v>15</v>
      </c>
      <c r="E1418" t="s">
        <v>33</v>
      </c>
      <c r="F1418" t="s">
        <v>17</v>
      </c>
      <c r="G1418">
        <v>2</v>
      </c>
      <c r="H1418">
        <v>0</v>
      </c>
      <c r="I1418" t="s">
        <v>18</v>
      </c>
      <c r="J1418" t="s">
        <v>31</v>
      </c>
      <c r="K1418" t="s">
        <v>26</v>
      </c>
      <c r="L1418">
        <v>2</v>
      </c>
      <c r="M1418">
        <v>0</v>
      </c>
      <c r="N1418">
        <v>1</v>
      </c>
      <c r="O1418" t="s">
        <v>27</v>
      </c>
      <c r="P1418" t="str">
        <f>TEXT(Table1[[#This Row],[order_date]],"yyyy-mm")</f>
        <v>2025-12</v>
      </c>
      <c r="Q1418">
        <f>WEEKNUM(Table1[[#This Row],[order_date]])</f>
        <v>50</v>
      </c>
      <c r="R1418">
        <f>IF(Table1[[#This Row],[order_status]]="completed",1,0)</f>
        <v>0</v>
      </c>
    </row>
    <row r="1419" spans="1:18" x14ac:dyDescent="0.35">
      <c r="A1419">
        <v>1418</v>
      </c>
      <c r="B1419" s="1">
        <v>46011</v>
      </c>
      <c r="C1419">
        <v>1683</v>
      </c>
      <c r="D1419" t="s">
        <v>22</v>
      </c>
      <c r="E1419" t="s">
        <v>29</v>
      </c>
      <c r="F1419" t="s">
        <v>24</v>
      </c>
      <c r="G1419">
        <v>5</v>
      </c>
      <c r="H1419">
        <v>10915</v>
      </c>
      <c r="I1419" t="s">
        <v>25</v>
      </c>
      <c r="J1419" t="s">
        <v>19</v>
      </c>
      <c r="K1419" t="s">
        <v>26</v>
      </c>
      <c r="L1419">
        <v>7</v>
      </c>
      <c r="M1419">
        <v>1</v>
      </c>
      <c r="N1419">
        <v>0</v>
      </c>
      <c r="O1419" t="s">
        <v>27</v>
      </c>
      <c r="P1419" t="str">
        <f>TEXT(Table1[[#This Row],[order_date]],"yyyy-mm")</f>
        <v>2025-12</v>
      </c>
      <c r="Q1419">
        <f>WEEKNUM(Table1[[#This Row],[order_date]])</f>
        <v>51</v>
      </c>
      <c r="R1419">
        <f>IF(Table1[[#This Row],[order_status]]="completed",1,0)</f>
        <v>1</v>
      </c>
    </row>
    <row r="1420" spans="1:18" x14ac:dyDescent="0.35">
      <c r="A1420">
        <v>1419</v>
      </c>
      <c r="B1420" s="1">
        <v>45963</v>
      </c>
      <c r="C1420">
        <v>1080</v>
      </c>
      <c r="D1420" t="s">
        <v>32</v>
      </c>
      <c r="E1420" t="s">
        <v>23</v>
      </c>
      <c r="F1420" t="s">
        <v>30</v>
      </c>
      <c r="G1420">
        <v>5</v>
      </c>
      <c r="H1420">
        <v>0</v>
      </c>
      <c r="I1420" t="s">
        <v>35</v>
      </c>
      <c r="J1420" t="s">
        <v>31</v>
      </c>
      <c r="K1420" t="s">
        <v>38</v>
      </c>
      <c r="L1420">
        <v>9</v>
      </c>
      <c r="M1420">
        <v>1</v>
      </c>
      <c r="N1420">
        <v>0</v>
      </c>
      <c r="O1420" t="s">
        <v>21</v>
      </c>
      <c r="P1420" t="str">
        <f>TEXT(Table1[[#This Row],[order_date]],"yyyy-mm")</f>
        <v>2025-11</v>
      </c>
      <c r="Q1420">
        <f>WEEKNUM(Table1[[#This Row],[order_date]])</f>
        <v>45</v>
      </c>
      <c r="R1420">
        <f>IF(Table1[[#This Row],[order_status]]="completed",1,0)</f>
        <v>0</v>
      </c>
    </row>
    <row r="1421" spans="1:18" x14ac:dyDescent="0.35">
      <c r="A1421">
        <v>1420</v>
      </c>
      <c r="B1421" s="1">
        <v>45952</v>
      </c>
      <c r="C1421">
        <v>1115</v>
      </c>
      <c r="D1421" t="s">
        <v>15</v>
      </c>
      <c r="E1421" t="s">
        <v>36</v>
      </c>
      <c r="F1421" t="s">
        <v>34</v>
      </c>
      <c r="G1421">
        <v>5</v>
      </c>
      <c r="H1421">
        <v>6910</v>
      </c>
      <c r="I1421" t="s">
        <v>18</v>
      </c>
      <c r="J1421" t="s">
        <v>19</v>
      </c>
      <c r="K1421" t="s">
        <v>20</v>
      </c>
      <c r="L1421">
        <v>7</v>
      </c>
      <c r="M1421">
        <v>1</v>
      </c>
      <c r="N1421">
        <v>0</v>
      </c>
      <c r="O1421" t="s">
        <v>27</v>
      </c>
      <c r="P1421" t="str">
        <f>TEXT(Table1[[#This Row],[order_date]],"yyyy-mm")</f>
        <v>2025-10</v>
      </c>
      <c r="Q1421">
        <f>WEEKNUM(Table1[[#This Row],[order_date]])</f>
        <v>43</v>
      </c>
      <c r="R1421">
        <f>IF(Table1[[#This Row],[order_status]]="completed",1,0)</f>
        <v>1</v>
      </c>
    </row>
    <row r="1422" spans="1:18" x14ac:dyDescent="0.35">
      <c r="A1422">
        <v>1421</v>
      </c>
      <c r="B1422" s="1">
        <v>45852</v>
      </c>
      <c r="C1422">
        <v>1128</v>
      </c>
      <c r="D1422" t="s">
        <v>28</v>
      </c>
      <c r="E1422" t="s">
        <v>16</v>
      </c>
      <c r="F1422" t="s">
        <v>30</v>
      </c>
      <c r="G1422">
        <v>3</v>
      </c>
      <c r="H1422">
        <v>0</v>
      </c>
      <c r="I1422" t="s">
        <v>18</v>
      </c>
      <c r="J1422" t="s">
        <v>31</v>
      </c>
      <c r="K1422" t="s">
        <v>40</v>
      </c>
      <c r="L1422">
        <v>7</v>
      </c>
      <c r="M1422">
        <v>1</v>
      </c>
      <c r="N1422">
        <v>1</v>
      </c>
      <c r="O1422" t="s">
        <v>27</v>
      </c>
      <c r="P1422" t="str">
        <f>TEXT(Table1[[#This Row],[order_date]],"yyyy-mm")</f>
        <v>2025-07</v>
      </c>
      <c r="Q1422">
        <f>WEEKNUM(Table1[[#This Row],[order_date]])</f>
        <v>29</v>
      </c>
      <c r="R1422">
        <f>IF(Table1[[#This Row],[order_status]]="completed",1,0)</f>
        <v>0</v>
      </c>
    </row>
    <row r="1423" spans="1:18" x14ac:dyDescent="0.35">
      <c r="A1423">
        <v>1422</v>
      </c>
      <c r="B1423" s="1">
        <v>45946</v>
      </c>
      <c r="C1423">
        <v>1066</v>
      </c>
      <c r="D1423" t="s">
        <v>15</v>
      </c>
      <c r="E1423" t="s">
        <v>36</v>
      </c>
      <c r="F1423" t="s">
        <v>34</v>
      </c>
      <c r="G1423">
        <v>1</v>
      </c>
      <c r="H1423">
        <v>0</v>
      </c>
      <c r="I1423" t="s">
        <v>39</v>
      </c>
      <c r="J1423" t="s">
        <v>31</v>
      </c>
      <c r="K1423" t="s">
        <v>20</v>
      </c>
      <c r="L1423">
        <v>10</v>
      </c>
      <c r="M1423">
        <v>0</v>
      </c>
      <c r="N1423">
        <v>1</v>
      </c>
      <c r="O1423" t="s">
        <v>27</v>
      </c>
      <c r="P1423" t="str">
        <f>TEXT(Table1[[#This Row],[order_date]],"yyyy-mm")</f>
        <v>2025-10</v>
      </c>
      <c r="Q1423">
        <f>WEEKNUM(Table1[[#This Row],[order_date]])</f>
        <v>42</v>
      </c>
      <c r="R1423">
        <f>IF(Table1[[#This Row],[order_status]]="completed",1,0)</f>
        <v>0</v>
      </c>
    </row>
    <row r="1424" spans="1:18" x14ac:dyDescent="0.35">
      <c r="A1424">
        <v>1423</v>
      </c>
      <c r="B1424" s="1">
        <v>45999</v>
      </c>
      <c r="C1424">
        <v>1627</v>
      </c>
      <c r="D1424" t="s">
        <v>41</v>
      </c>
      <c r="E1424" t="s">
        <v>29</v>
      </c>
      <c r="F1424" t="s">
        <v>17</v>
      </c>
      <c r="G1424">
        <v>2</v>
      </c>
      <c r="H1424">
        <v>6772</v>
      </c>
      <c r="I1424" t="s">
        <v>18</v>
      </c>
      <c r="J1424" t="s">
        <v>19</v>
      </c>
      <c r="K1424" t="s">
        <v>20</v>
      </c>
      <c r="L1424">
        <v>7</v>
      </c>
      <c r="M1424">
        <v>1</v>
      </c>
      <c r="N1424">
        <v>1</v>
      </c>
      <c r="O1424" t="s">
        <v>27</v>
      </c>
      <c r="P1424" t="str">
        <f>TEXT(Table1[[#This Row],[order_date]],"yyyy-mm")</f>
        <v>2025-12</v>
      </c>
      <c r="Q1424">
        <f>WEEKNUM(Table1[[#This Row],[order_date]])</f>
        <v>50</v>
      </c>
      <c r="R1424">
        <f>IF(Table1[[#This Row],[order_status]]="completed",1,0)</f>
        <v>1</v>
      </c>
    </row>
    <row r="1425" spans="1:18" x14ac:dyDescent="0.35">
      <c r="A1425">
        <v>1424</v>
      </c>
      <c r="B1425" s="1">
        <v>46025</v>
      </c>
      <c r="C1425">
        <v>1301</v>
      </c>
      <c r="D1425" t="s">
        <v>28</v>
      </c>
      <c r="E1425" t="s">
        <v>16</v>
      </c>
      <c r="F1425" t="s">
        <v>30</v>
      </c>
      <c r="G1425">
        <v>1</v>
      </c>
      <c r="H1425">
        <v>0</v>
      </c>
      <c r="I1425" t="s">
        <v>39</v>
      </c>
      <c r="J1425" t="s">
        <v>37</v>
      </c>
      <c r="K1425" t="s">
        <v>20</v>
      </c>
      <c r="L1425">
        <v>9</v>
      </c>
      <c r="M1425">
        <v>0</v>
      </c>
      <c r="N1425">
        <v>1</v>
      </c>
      <c r="O1425" t="s">
        <v>21</v>
      </c>
      <c r="P1425" t="str">
        <f>TEXT(Table1[[#This Row],[order_date]],"yyyy-mm")</f>
        <v>2026-01</v>
      </c>
      <c r="Q1425">
        <f>WEEKNUM(Table1[[#This Row],[order_date]])</f>
        <v>1</v>
      </c>
      <c r="R1425">
        <f>IF(Table1[[#This Row],[order_status]]="completed",1,0)</f>
        <v>0</v>
      </c>
    </row>
    <row r="1426" spans="1:18" x14ac:dyDescent="0.35">
      <c r="A1426">
        <v>1425</v>
      </c>
      <c r="B1426" s="1">
        <v>45919</v>
      </c>
      <c r="C1426">
        <v>1161</v>
      </c>
      <c r="D1426" t="s">
        <v>22</v>
      </c>
      <c r="E1426" t="s">
        <v>23</v>
      </c>
      <c r="F1426" t="s">
        <v>24</v>
      </c>
      <c r="G1426">
        <v>5</v>
      </c>
      <c r="H1426">
        <v>0</v>
      </c>
      <c r="I1426" t="s">
        <v>39</v>
      </c>
      <c r="J1426" t="s">
        <v>37</v>
      </c>
      <c r="K1426" t="s">
        <v>38</v>
      </c>
      <c r="L1426">
        <v>1</v>
      </c>
      <c r="M1426">
        <v>1</v>
      </c>
      <c r="N1426">
        <v>1</v>
      </c>
      <c r="O1426" t="s">
        <v>21</v>
      </c>
      <c r="P1426" t="str">
        <f>TEXT(Table1[[#This Row],[order_date]],"yyyy-mm")</f>
        <v>2025-09</v>
      </c>
      <c r="Q1426">
        <f>WEEKNUM(Table1[[#This Row],[order_date]])</f>
        <v>38</v>
      </c>
      <c r="R1426">
        <f>IF(Table1[[#This Row],[order_status]]="completed",1,0)</f>
        <v>0</v>
      </c>
    </row>
    <row r="1427" spans="1:18" x14ac:dyDescent="0.35">
      <c r="A1427">
        <v>1426</v>
      </c>
      <c r="B1427" s="1">
        <v>45935</v>
      </c>
      <c r="C1427">
        <v>1907</v>
      </c>
      <c r="D1427" t="s">
        <v>28</v>
      </c>
      <c r="E1427" t="s">
        <v>23</v>
      </c>
      <c r="F1427" t="s">
        <v>17</v>
      </c>
      <c r="G1427">
        <v>2</v>
      </c>
      <c r="H1427">
        <v>0</v>
      </c>
      <c r="I1427" t="s">
        <v>18</v>
      </c>
      <c r="J1427" t="s">
        <v>37</v>
      </c>
      <c r="K1427" t="s">
        <v>40</v>
      </c>
      <c r="L1427">
        <v>10</v>
      </c>
      <c r="M1427">
        <v>1</v>
      </c>
      <c r="N1427">
        <v>0</v>
      </c>
      <c r="O1427" t="s">
        <v>21</v>
      </c>
      <c r="P1427" t="str">
        <f>TEXT(Table1[[#This Row],[order_date]],"yyyy-mm")</f>
        <v>2025-10</v>
      </c>
      <c r="Q1427">
        <f>WEEKNUM(Table1[[#This Row],[order_date]])</f>
        <v>41</v>
      </c>
      <c r="R1427">
        <f>IF(Table1[[#This Row],[order_status]]="completed",1,0)</f>
        <v>0</v>
      </c>
    </row>
    <row r="1428" spans="1:18" x14ac:dyDescent="0.35">
      <c r="A1428">
        <v>1427</v>
      </c>
      <c r="B1428" s="1">
        <v>45975</v>
      </c>
      <c r="C1428">
        <v>1369</v>
      </c>
      <c r="D1428" t="s">
        <v>28</v>
      </c>
      <c r="E1428" t="s">
        <v>33</v>
      </c>
      <c r="F1428" t="s">
        <v>17</v>
      </c>
      <c r="G1428">
        <v>1</v>
      </c>
      <c r="H1428">
        <v>0</v>
      </c>
      <c r="I1428" t="s">
        <v>39</v>
      </c>
      <c r="J1428" t="s">
        <v>31</v>
      </c>
      <c r="K1428" t="s">
        <v>38</v>
      </c>
      <c r="L1428">
        <v>6</v>
      </c>
      <c r="M1428">
        <v>1</v>
      </c>
      <c r="N1428">
        <v>0</v>
      </c>
      <c r="O1428" t="s">
        <v>27</v>
      </c>
      <c r="P1428" t="str">
        <f>TEXT(Table1[[#This Row],[order_date]],"yyyy-mm")</f>
        <v>2025-11</v>
      </c>
      <c r="Q1428">
        <f>WEEKNUM(Table1[[#This Row],[order_date]])</f>
        <v>46</v>
      </c>
      <c r="R1428">
        <f>IF(Table1[[#This Row],[order_status]]="completed",1,0)</f>
        <v>0</v>
      </c>
    </row>
    <row r="1429" spans="1:18" x14ac:dyDescent="0.35">
      <c r="A1429">
        <v>1428</v>
      </c>
      <c r="B1429" s="1">
        <v>46022</v>
      </c>
      <c r="C1429">
        <v>1582</v>
      </c>
      <c r="D1429" t="s">
        <v>32</v>
      </c>
      <c r="E1429" t="s">
        <v>23</v>
      </c>
      <c r="F1429" t="s">
        <v>30</v>
      </c>
      <c r="G1429">
        <v>3</v>
      </c>
      <c r="H1429">
        <v>780</v>
      </c>
      <c r="I1429" t="s">
        <v>18</v>
      </c>
      <c r="J1429" t="s">
        <v>19</v>
      </c>
      <c r="K1429" t="s">
        <v>38</v>
      </c>
      <c r="L1429">
        <v>10</v>
      </c>
      <c r="M1429">
        <v>0</v>
      </c>
      <c r="N1429">
        <v>0</v>
      </c>
      <c r="O1429" t="s">
        <v>27</v>
      </c>
      <c r="P1429" t="str">
        <f>TEXT(Table1[[#This Row],[order_date]],"yyyy-mm")</f>
        <v>2025-12</v>
      </c>
      <c r="Q1429">
        <f>WEEKNUM(Table1[[#This Row],[order_date]])</f>
        <v>53</v>
      </c>
      <c r="R1429">
        <f>IF(Table1[[#This Row],[order_status]]="completed",1,0)</f>
        <v>1</v>
      </c>
    </row>
    <row r="1430" spans="1:18" x14ac:dyDescent="0.35">
      <c r="A1430">
        <v>1429</v>
      </c>
      <c r="B1430" s="1">
        <v>45858</v>
      </c>
      <c r="C1430">
        <v>1495</v>
      </c>
      <c r="D1430" t="s">
        <v>28</v>
      </c>
      <c r="E1430" t="s">
        <v>36</v>
      </c>
      <c r="F1430" t="s">
        <v>30</v>
      </c>
      <c r="G1430">
        <v>2</v>
      </c>
      <c r="H1430">
        <v>7412</v>
      </c>
      <c r="I1430" t="s">
        <v>25</v>
      </c>
      <c r="J1430" t="s">
        <v>19</v>
      </c>
      <c r="K1430" t="s">
        <v>20</v>
      </c>
      <c r="L1430">
        <v>5</v>
      </c>
      <c r="M1430">
        <v>1</v>
      </c>
      <c r="N1430">
        <v>1</v>
      </c>
      <c r="O1430" t="s">
        <v>21</v>
      </c>
      <c r="P1430" t="str">
        <f>TEXT(Table1[[#This Row],[order_date]],"yyyy-mm")</f>
        <v>2025-07</v>
      </c>
      <c r="Q1430">
        <f>WEEKNUM(Table1[[#This Row],[order_date]])</f>
        <v>30</v>
      </c>
      <c r="R1430">
        <f>IF(Table1[[#This Row],[order_status]]="completed",1,0)</f>
        <v>1</v>
      </c>
    </row>
    <row r="1431" spans="1:18" x14ac:dyDescent="0.35">
      <c r="A1431">
        <v>1430</v>
      </c>
      <c r="B1431" s="1">
        <v>45923</v>
      </c>
      <c r="C1431">
        <v>1175</v>
      </c>
      <c r="D1431" t="s">
        <v>28</v>
      </c>
      <c r="E1431" t="s">
        <v>16</v>
      </c>
      <c r="F1431" t="s">
        <v>34</v>
      </c>
      <c r="G1431">
        <v>3</v>
      </c>
      <c r="H1431">
        <v>8454</v>
      </c>
      <c r="I1431" t="s">
        <v>39</v>
      </c>
      <c r="J1431" t="s">
        <v>19</v>
      </c>
      <c r="K1431" t="s">
        <v>38</v>
      </c>
      <c r="L1431">
        <v>2</v>
      </c>
      <c r="M1431">
        <v>1</v>
      </c>
      <c r="N1431">
        <v>0</v>
      </c>
      <c r="O1431" t="s">
        <v>27</v>
      </c>
      <c r="P1431" t="str">
        <f>TEXT(Table1[[#This Row],[order_date]],"yyyy-mm")</f>
        <v>2025-09</v>
      </c>
      <c r="Q1431">
        <f>WEEKNUM(Table1[[#This Row],[order_date]])</f>
        <v>39</v>
      </c>
      <c r="R1431">
        <f>IF(Table1[[#This Row],[order_status]]="completed",1,0)</f>
        <v>1</v>
      </c>
    </row>
    <row r="1432" spans="1:18" x14ac:dyDescent="0.35">
      <c r="A1432">
        <v>1431</v>
      </c>
      <c r="B1432" s="1">
        <v>45980</v>
      </c>
      <c r="C1432">
        <v>1087</v>
      </c>
      <c r="D1432" t="s">
        <v>41</v>
      </c>
      <c r="E1432" t="s">
        <v>29</v>
      </c>
      <c r="F1432" t="s">
        <v>17</v>
      </c>
      <c r="G1432">
        <v>3</v>
      </c>
      <c r="H1432">
        <v>0</v>
      </c>
      <c r="I1432" t="s">
        <v>18</v>
      </c>
      <c r="J1432" t="s">
        <v>37</v>
      </c>
      <c r="K1432" t="s">
        <v>40</v>
      </c>
      <c r="L1432">
        <v>2</v>
      </c>
      <c r="M1432">
        <v>1</v>
      </c>
      <c r="N1432">
        <v>1</v>
      </c>
      <c r="O1432" t="s">
        <v>27</v>
      </c>
      <c r="P1432" t="str">
        <f>TEXT(Table1[[#This Row],[order_date]],"yyyy-mm")</f>
        <v>2025-11</v>
      </c>
      <c r="Q1432">
        <f>WEEKNUM(Table1[[#This Row],[order_date]])</f>
        <v>47</v>
      </c>
      <c r="R1432">
        <f>IF(Table1[[#This Row],[order_status]]="completed",1,0)</f>
        <v>0</v>
      </c>
    </row>
    <row r="1433" spans="1:18" x14ac:dyDescent="0.35">
      <c r="A1433">
        <v>1432</v>
      </c>
      <c r="B1433" s="1">
        <v>46018</v>
      </c>
      <c r="C1433">
        <v>1737</v>
      </c>
      <c r="D1433" t="s">
        <v>22</v>
      </c>
      <c r="E1433" t="s">
        <v>16</v>
      </c>
      <c r="F1433" t="s">
        <v>17</v>
      </c>
      <c r="G1433">
        <v>2</v>
      </c>
      <c r="H1433">
        <v>514</v>
      </c>
      <c r="I1433" t="s">
        <v>35</v>
      </c>
      <c r="J1433" t="s">
        <v>19</v>
      </c>
      <c r="K1433" t="s">
        <v>26</v>
      </c>
      <c r="L1433">
        <v>10</v>
      </c>
      <c r="M1433">
        <v>0</v>
      </c>
      <c r="N1433">
        <v>0</v>
      </c>
      <c r="O1433" t="s">
        <v>21</v>
      </c>
      <c r="P1433" t="str">
        <f>TEXT(Table1[[#This Row],[order_date]],"yyyy-mm")</f>
        <v>2025-12</v>
      </c>
      <c r="Q1433">
        <f>WEEKNUM(Table1[[#This Row],[order_date]])</f>
        <v>52</v>
      </c>
      <c r="R1433">
        <f>IF(Table1[[#This Row],[order_status]]="completed",1,0)</f>
        <v>1</v>
      </c>
    </row>
    <row r="1434" spans="1:18" x14ac:dyDescent="0.35">
      <c r="A1434">
        <v>1433</v>
      </c>
      <c r="B1434" s="1">
        <v>45953</v>
      </c>
      <c r="C1434">
        <v>1122</v>
      </c>
      <c r="D1434" t="s">
        <v>15</v>
      </c>
      <c r="E1434" t="s">
        <v>16</v>
      </c>
      <c r="F1434" t="s">
        <v>17</v>
      </c>
      <c r="G1434">
        <v>4</v>
      </c>
      <c r="H1434">
        <v>0</v>
      </c>
      <c r="I1434" t="s">
        <v>35</v>
      </c>
      <c r="J1434" t="s">
        <v>37</v>
      </c>
      <c r="K1434" t="s">
        <v>40</v>
      </c>
      <c r="L1434">
        <v>1</v>
      </c>
      <c r="M1434">
        <v>0</v>
      </c>
      <c r="N1434">
        <v>1</v>
      </c>
      <c r="O1434" t="s">
        <v>21</v>
      </c>
      <c r="P1434" t="str">
        <f>TEXT(Table1[[#This Row],[order_date]],"yyyy-mm")</f>
        <v>2025-10</v>
      </c>
      <c r="Q1434">
        <f>WEEKNUM(Table1[[#This Row],[order_date]])</f>
        <v>43</v>
      </c>
      <c r="R1434">
        <f>IF(Table1[[#This Row],[order_status]]="completed",1,0)</f>
        <v>0</v>
      </c>
    </row>
    <row r="1435" spans="1:18" x14ac:dyDescent="0.35">
      <c r="A1435">
        <v>1434</v>
      </c>
      <c r="B1435" s="1">
        <v>46017</v>
      </c>
      <c r="C1435">
        <v>1463</v>
      </c>
      <c r="D1435" t="s">
        <v>15</v>
      </c>
      <c r="E1435" t="s">
        <v>29</v>
      </c>
      <c r="F1435" t="s">
        <v>30</v>
      </c>
      <c r="G1435">
        <v>4</v>
      </c>
      <c r="H1435">
        <v>17380</v>
      </c>
      <c r="I1435" t="s">
        <v>35</v>
      </c>
      <c r="J1435" t="s">
        <v>19</v>
      </c>
      <c r="K1435" t="s">
        <v>26</v>
      </c>
      <c r="L1435">
        <v>1</v>
      </c>
      <c r="M1435">
        <v>0</v>
      </c>
      <c r="N1435">
        <v>0</v>
      </c>
      <c r="O1435" t="s">
        <v>27</v>
      </c>
      <c r="P1435" t="str">
        <f>TEXT(Table1[[#This Row],[order_date]],"yyyy-mm")</f>
        <v>2025-12</v>
      </c>
      <c r="Q1435">
        <f>WEEKNUM(Table1[[#This Row],[order_date]])</f>
        <v>52</v>
      </c>
      <c r="R1435">
        <f>IF(Table1[[#This Row],[order_status]]="completed",1,0)</f>
        <v>1</v>
      </c>
    </row>
    <row r="1436" spans="1:18" x14ac:dyDescent="0.35">
      <c r="A1436">
        <v>1435</v>
      </c>
      <c r="B1436" s="1">
        <v>45982</v>
      </c>
      <c r="C1436">
        <v>1211</v>
      </c>
      <c r="D1436" t="s">
        <v>15</v>
      </c>
      <c r="E1436" t="s">
        <v>33</v>
      </c>
      <c r="F1436" t="s">
        <v>24</v>
      </c>
      <c r="G1436">
        <v>2</v>
      </c>
      <c r="H1436">
        <v>9414</v>
      </c>
      <c r="I1436" t="s">
        <v>25</v>
      </c>
      <c r="J1436" t="s">
        <v>19</v>
      </c>
      <c r="K1436" t="s">
        <v>38</v>
      </c>
      <c r="L1436">
        <v>1</v>
      </c>
      <c r="M1436">
        <v>0</v>
      </c>
      <c r="N1436">
        <v>1</v>
      </c>
      <c r="O1436" t="s">
        <v>27</v>
      </c>
      <c r="P1436" t="str">
        <f>TEXT(Table1[[#This Row],[order_date]],"yyyy-mm")</f>
        <v>2025-11</v>
      </c>
      <c r="Q1436">
        <f>WEEKNUM(Table1[[#This Row],[order_date]])</f>
        <v>47</v>
      </c>
      <c r="R1436">
        <f>IF(Table1[[#This Row],[order_status]]="completed",1,0)</f>
        <v>1</v>
      </c>
    </row>
    <row r="1437" spans="1:18" x14ac:dyDescent="0.35">
      <c r="A1437">
        <v>1436</v>
      </c>
      <c r="B1437" s="1">
        <v>46014</v>
      </c>
      <c r="C1437">
        <v>1062</v>
      </c>
      <c r="D1437" t="s">
        <v>41</v>
      </c>
      <c r="E1437" t="s">
        <v>16</v>
      </c>
      <c r="F1437" t="s">
        <v>17</v>
      </c>
      <c r="G1437">
        <v>4</v>
      </c>
      <c r="H1437">
        <v>0</v>
      </c>
      <c r="I1437" t="s">
        <v>35</v>
      </c>
      <c r="J1437" t="s">
        <v>31</v>
      </c>
      <c r="K1437" t="s">
        <v>38</v>
      </c>
      <c r="L1437">
        <v>5</v>
      </c>
      <c r="M1437">
        <v>1</v>
      </c>
      <c r="N1437">
        <v>0</v>
      </c>
      <c r="O1437" t="s">
        <v>27</v>
      </c>
      <c r="P1437" t="str">
        <f>TEXT(Table1[[#This Row],[order_date]],"yyyy-mm")</f>
        <v>2025-12</v>
      </c>
      <c r="Q1437">
        <f>WEEKNUM(Table1[[#This Row],[order_date]])</f>
        <v>52</v>
      </c>
      <c r="R1437">
        <f>IF(Table1[[#This Row],[order_status]]="completed",1,0)</f>
        <v>0</v>
      </c>
    </row>
    <row r="1438" spans="1:18" x14ac:dyDescent="0.35">
      <c r="A1438">
        <v>1437</v>
      </c>
      <c r="B1438" s="1">
        <v>45916</v>
      </c>
      <c r="C1438">
        <v>1115</v>
      </c>
      <c r="D1438" t="s">
        <v>41</v>
      </c>
      <c r="E1438" t="s">
        <v>33</v>
      </c>
      <c r="F1438" t="s">
        <v>24</v>
      </c>
      <c r="G1438">
        <v>1</v>
      </c>
      <c r="H1438">
        <v>0</v>
      </c>
      <c r="I1438" t="s">
        <v>25</v>
      </c>
      <c r="J1438" t="s">
        <v>31</v>
      </c>
      <c r="K1438" t="s">
        <v>26</v>
      </c>
      <c r="L1438">
        <v>4</v>
      </c>
      <c r="M1438">
        <v>0</v>
      </c>
      <c r="N1438">
        <v>0</v>
      </c>
      <c r="O1438" t="s">
        <v>21</v>
      </c>
      <c r="P1438" t="str">
        <f>TEXT(Table1[[#This Row],[order_date]],"yyyy-mm")</f>
        <v>2025-09</v>
      </c>
      <c r="Q1438">
        <f>WEEKNUM(Table1[[#This Row],[order_date]])</f>
        <v>38</v>
      </c>
      <c r="R1438">
        <f>IF(Table1[[#This Row],[order_status]]="completed",1,0)</f>
        <v>0</v>
      </c>
    </row>
    <row r="1439" spans="1:18" x14ac:dyDescent="0.35">
      <c r="A1439">
        <v>1438</v>
      </c>
      <c r="B1439" s="1">
        <v>45950</v>
      </c>
      <c r="C1439">
        <v>1422</v>
      </c>
      <c r="D1439" t="s">
        <v>15</v>
      </c>
      <c r="E1439" t="s">
        <v>33</v>
      </c>
      <c r="F1439" t="s">
        <v>30</v>
      </c>
      <c r="G1439">
        <v>3</v>
      </c>
      <c r="H1439">
        <v>2637</v>
      </c>
      <c r="I1439" t="s">
        <v>39</v>
      </c>
      <c r="J1439" t="s">
        <v>19</v>
      </c>
      <c r="K1439" t="s">
        <v>26</v>
      </c>
      <c r="L1439">
        <v>9</v>
      </c>
      <c r="M1439">
        <v>0</v>
      </c>
      <c r="N1439">
        <v>0</v>
      </c>
      <c r="O1439" t="s">
        <v>21</v>
      </c>
      <c r="P1439" t="str">
        <f>TEXT(Table1[[#This Row],[order_date]],"yyyy-mm")</f>
        <v>2025-10</v>
      </c>
      <c r="Q1439">
        <f>WEEKNUM(Table1[[#This Row],[order_date]])</f>
        <v>43</v>
      </c>
      <c r="R1439">
        <f>IF(Table1[[#This Row],[order_status]]="completed",1,0)</f>
        <v>1</v>
      </c>
    </row>
    <row r="1440" spans="1:18" x14ac:dyDescent="0.35">
      <c r="A1440">
        <v>1439</v>
      </c>
      <c r="B1440" s="1">
        <v>45872</v>
      </c>
      <c r="C1440">
        <v>1608</v>
      </c>
      <c r="D1440" t="s">
        <v>22</v>
      </c>
      <c r="E1440" t="s">
        <v>23</v>
      </c>
      <c r="F1440" t="s">
        <v>17</v>
      </c>
      <c r="G1440">
        <v>1</v>
      </c>
      <c r="H1440">
        <v>1188</v>
      </c>
      <c r="I1440" t="s">
        <v>39</v>
      </c>
      <c r="J1440" t="s">
        <v>19</v>
      </c>
      <c r="K1440" t="s">
        <v>20</v>
      </c>
      <c r="L1440">
        <v>5</v>
      </c>
      <c r="M1440">
        <v>0</v>
      </c>
      <c r="N1440">
        <v>1</v>
      </c>
      <c r="O1440" t="s">
        <v>27</v>
      </c>
      <c r="P1440" t="str">
        <f>TEXT(Table1[[#This Row],[order_date]],"yyyy-mm")</f>
        <v>2025-08</v>
      </c>
      <c r="Q1440">
        <f>WEEKNUM(Table1[[#This Row],[order_date]])</f>
        <v>32</v>
      </c>
      <c r="R1440">
        <f>IF(Table1[[#This Row],[order_status]]="completed",1,0)</f>
        <v>1</v>
      </c>
    </row>
    <row r="1441" spans="1:18" x14ac:dyDescent="0.35">
      <c r="A1441">
        <v>1440</v>
      </c>
      <c r="B1441" s="1">
        <v>45923</v>
      </c>
      <c r="C1441">
        <v>1184</v>
      </c>
      <c r="D1441" t="s">
        <v>15</v>
      </c>
      <c r="E1441" t="s">
        <v>29</v>
      </c>
      <c r="F1441" t="s">
        <v>34</v>
      </c>
      <c r="G1441">
        <v>2</v>
      </c>
      <c r="H1441">
        <v>0</v>
      </c>
      <c r="I1441" t="s">
        <v>35</v>
      </c>
      <c r="J1441" t="s">
        <v>37</v>
      </c>
      <c r="K1441" t="s">
        <v>26</v>
      </c>
      <c r="L1441">
        <v>9</v>
      </c>
      <c r="M1441">
        <v>1</v>
      </c>
      <c r="N1441">
        <v>0</v>
      </c>
      <c r="O1441" t="s">
        <v>21</v>
      </c>
      <c r="P1441" t="str">
        <f>TEXT(Table1[[#This Row],[order_date]],"yyyy-mm")</f>
        <v>2025-09</v>
      </c>
      <c r="Q1441">
        <f>WEEKNUM(Table1[[#This Row],[order_date]])</f>
        <v>39</v>
      </c>
      <c r="R1441">
        <f>IF(Table1[[#This Row],[order_status]]="completed",1,0)</f>
        <v>0</v>
      </c>
    </row>
    <row r="1442" spans="1:18" x14ac:dyDescent="0.35">
      <c r="A1442">
        <v>1441</v>
      </c>
      <c r="B1442" s="1">
        <v>45971</v>
      </c>
      <c r="C1442">
        <v>1764</v>
      </c>
      <c r="D1442" t="s">
        <v>41</v>
      </c>
      <c r="E1442" t="s">
        <v>23</v>
      </c>
      <c r="F1442" t="s">
        <v>24</v>
      </c>
      <c r="G1442">
        <v>5</v>
      </c>
      <c r="H1442">
        <v>0</v>
      </c>
      <c r="I1442" t="s">
        <v>18</v>
      </c>
      <c r="J1442" t="s">
        <v>37</v>
      </c>
      <c r="K1442" t="s">
        <v>20</v>
      </c>
      <c r="L1442">
        <v>9</v>
      </c>
      <c r="M1442">
        <v>0</v>
      </c>
      <c r="N1442">
        <v>0</v>
      </c>
      <c r="O1442" t="s">
        <v>27</v>
      </c>
      <c r="P1442" t="str">
        <f>TEXT(Table1[[#This Row],[order_date]],"yyyy-mm")</f>
        <v>2025-11</v>
      </c>
      <c r="Q1442">
        <f>WEEKNUM(Table1[[#This Row],[order_date]])</f>
        <v>46</v>
      </c>
      <c r="R1442">
        <f>IF(Table1[[#This Row],[order_status]]="completed",1,0)</f>
        <v>0</v>
      </c>
    </row>
    <row r="1443" spans="1:18" x14ac:dyDescent="0.35">
      <c r="A1443">
        <v>1442</v>
      </c>
      <c r="B1443" s="1">
        <v>45893</v>
      </c>
      <c r="C1443">
        <v>1421</v>
      </c>
      <c r="D1443" t="s">
        <v>32</v>
      </c>
      <c r="E1443" t="s">
        <v>23</v>
      </c>
      <c r="F1443" t="s">
        <v>17</v>
      </c>
      <c r="G1443">
        <v>4</v>
      </c>
      <c r="H1443">
        <v>0</v>
      </c>
      <c r="I1443" t="s">
        <v>39</v>
      </c>
      <c r="J1443" t="s">
        <v>31</v>
      </c>
      <c r="K1443" t="s">
        <v>38</v>
      </c>
      <c r="L1443">
        <v>7</v>
      </c>
      <c r="M1443">
        <v>1</v>
      </c>
      <c r="N1443">
        <v>1</v>
      </c>
      <c r="O1443" t="s">
        <v>27</v>
      </c>
      <c r="P1443" t="str">
        <f>TEXT(Table1[[#This Row],[order_date]],"yyyy-mm")</f>
        <v>2025-08</v>
      </c>
      <c r="Q1443">
        <f>WEEKNUM(Table1[[#This Row],[order_date]])</f>
        <v>35</v>
      </c>
      <c r="R1443">
        <f>IF(Table1[[#This Row],[order_status]]="completed",1,0)</f>
        <v>0</v>
      </c>
    </row>
    <row r="1444" spans="1:18" x14ac:dyDescent="0.35">
      <c r="A1444">
        <v>1443</v>
      </c>
      <c r="B1444" s="1">
        <v>45988</v>
      </c>
      <c r="C1444">
        <v>1662</v>
      </c>
      <c r="D1444" t="s">
        <v>22</v>
      </c>
      <c r="E1444" t="s">
        <v>16</v>
      </c>
      <c r="F1444" t="s">
        <v>34</v>
      </c>
      <c r="G1444">
        <v>1</v>
      </c>
      <c r="H1444">
        <v>0</v>
      </c>
      <c r="I1444" t="s">
        <v>18</v>
      </c>
      <c r="J1444" t="s">
        <v>31</v>
      </c>
      <c r="K1444" t="s">
        <v>20</v>
      </c>
      <c r="L1444">
        <v>8</v>
      </c>
      <c r="M1444">
        <v>1</v>
      </c>
      <c r="N1444">
        <v>0</v>
      </c>
      <c r="O1444" t="s">
        <v>27</v>
      </c>
      <c r="P1444" t="str">
        <f>TEXT(Table1[[#This Row],[order_date]],"yyyy-mm")</f>
        <v>2025-11</v>
      </c>
      <c r="Q1444">
        <f>WEEKNUM(Table1[[#This Row],[order_date]])</f>
        <v>48</v>
      </c>
      <c r="R1444">
        <f>IF(Table1[[#This Row],[order_status]]="completed",1,0)</f>
        <v>0</v>
      </c>
    </row>
    <row r="1445" spans="1:18" x14ac:dyDescent="0.35">
      <c r="A1445">
        <v>1444</v>
      </c>
      <c r="B1445" s="1">
        <v>45967</v>
      </c>
      <c r="C1445">
        <v>1908</v>
      </c>
      <c r="D1445" t="s">
        <v>32</v>
      </c>
      <c r="E1445" t="s">
        <v>36</v>
      </c>
      <c r="F1445" t="s">
        <v>24</v>
      </c>
      <c r="G1445">
        <v>5</v>
      </c>
      <c r="H1445">
        <v>0</v>
      </c>
      <c r="I1445" t="s">
        <v>35</v>
      </c>
      <c r="J1445" t="s">
        <v>31</v>
      </c>
      <c r="K1445" t="s">
        <v>38</v>
      </c>
      <c r="L1445">
        <v>4</v>
      </c>
      <c r="M1445">
        <v>0</v>
      </c>
      <c r="N1445">
        <v>1</v>
      </c>
      <c r="O1445" t="s">
        <v>21</v>
      </c>
      <c r="P1445" t="str">
        <f>TEXT(Table1[[#This Row],[order_date]],"yyyy-mm")</f>
        <v>2025-11</v>
      </c>
      <c r="Q1445">
        <f>WEEKNUM(Table1[[#This Row],[order_date]])</f>
        <v>45</v>
      </c>
      <c r="R1445">
        <f>IF(Table1[[#This Row],[order_status]]="completed",1,0)</f>
        <v>0</v>
      </c>
    </row>
    <row r="1446" spans="1:18" x14ac:dyDescent="0.35">
      <c r="A1446">
        <v>1445</v>
      </c>
      <c r="B1446" s="1">
        <v>45861</v>
      </c>
      <c r="C1446">
        <v>1401</v>
      </c>
      <c r="D1446" t="s">
        <v>28</v>
      </c>
      <c r="E1446" t="s">
        <v>36</v>
      </c>
      <c r="F1446" t="s">
        <v>34</v>
      </c>
      <c r="G1446">
        <v>2</v>
      </c>
      <c r="H1446">
        <v>3938</v>
      </c>
      <c r="I1446" t="s">
        <v>39</v>
      </c>
      <c r="J1446" t="s">
        <v>19</v>
      </c>
      <c r="K1446" t="s">
        <v>38</v>
      </c>
      <c r="L1446">
        <v>6</v>
      </c>
      <c r="M1446">
        <v>1</v>
      </c>
      <c r="N1446">
        <v>1</v>
      </c>
      <c r="O1446" t="s">
        <v>27</v>
      </c>
      <c r="P1446" t="str">
        <f>TEXT(Table1[[#This Row],[order_date]],"yyyy-mm")</f>
        <v>2025-07</v>
      </c>
      <c r="Q1446">
        <f>WEEKNUM(Table1[[#This Row],[order_date]])</f>
        <v>30</v>
      </c>
      <c r="R1446">
        <f>IF(Table1[[#This Row],[order_status]]="completed",1,0)</f>
        <v>1</v>
      </c>
    </row>
    <row r="1447" spans="1:18" x14ac:dyDescent="0.35">
      <c r="A1447">
        <v>1446</v>
      </c>
      <c r="B1447" s="1">
        <v>46024</v>
      </c>
      <c r="C1447">
        <v>1426</v>
      </c>
      <c r="D1447" t="s">
        <v>15</v>
      </c>
      <c r="E1447" t="s">
        <v>23</v>
      </c>
      <c r="F1447" t="s">
        <v>17</v>
      </c>
      <c r="G1447">
        <v>2</v>
      </c>
      <c r="H1447">
        <v>9066</v>
      </c>
      <c r="I1447" t="s">
        <v>18</v>
      </c>
      <c r="J1447" t="s">
        <v>19</v>
      </c>
      <c r="K1447" t="s">
        <v>26</v>
      </c>
      <c r="L1447">
        <v>5</v>
      </c>
      <c r="M1447">
        <v>0</v>
      </c>
      <c r="N1447">
        <v>0</v>
      </c>
      <c r="O1447" t="s">
        <v>21</v>
      </c>
      <c r="P1447" t="str">
        <f>TEXT(Table1[[#This Row],[order_date]],"yyyy-mm")</f>
        <v>2026-01</v>
      </c>
      <c r="Q1447">
        <f>WEEKNUM(Table1[[#This Row],[order_date]])</f>
        <v>1</v>
      </c>
      <c r="R1447">
        <f>IF(Table1[[#This Row],[order_status]]="completed",1,0)</f>
        <v>1</v>
      </c>
    </row>
    <row r="1448" spans="1:18" x14ac:dyDescent="0.35">
      <c r="A1448">
        <v>1447</v>
      </c>
      <c r="B1448" s="1">
        <v>45930</v>
      </c>
      <c r="C1448">
        <v>1024</v>
      </c>
      <c r="D1448" t="s">
        <v>15</v>
      </c>
      <c r="E1448" t="s">
        <v>29</v>
      </c>
      <c r="F1448" t="s">
        <v>30</v>
      </c>
      <c r="G1448">
        <v>2</v>
      </c>
      <c r="H1448">
        <v>0</v>
      </c>
      <c r="I1448" t="s">
        <v>18</v>
      </c>
      <c r="J1448" t="s">
        <v>37</v>
      </c>
      <c r="K1448" t="s">
        <v>20</v>
      </c>
      <c r="L1448">
        <v>4</v>
      </c>
      <c r="M1448">
        <v>1</v>
      </c>
      <c r="N1448">
        <v>1</v>
      </c>
      <c r="O1448" t="s">
        <v>27</v>
      </c>
      <c r="P1448" t="str">
        <f>TEXT(Table1[[#This Row],[order_date]],"yyyy-mm")</f>
        <v>2025-09</v>
      </c>
      <c r="Q1448">
        <f>WEEKNUM(Table1[[#This Row],[order_date]])</f>
        <v>40</v>
      </c>
      <c r="R1448">
        <f>IF(Table1[[#This Row],[order_status]]="completed",1,0)</f>
        <v>0</v>
      </c>
    </row>
    <row r="1449" spans="1:18" x14ac:dyDescent="0.35">
      <c r="A1449">
        <v>1448</v>
      </c>
      <c r="B1449" s="1">
        <v>45967</v>
      </c>
      <c r="C1449">
        <v>1065</v>
      </c>
      <c r="D1449" t="s">
        <v>41</v>
      </c>
      <c r="E1449" t="s">
        <v>36</v>
      </c>
      <c r="F1449" t="s">
        <v>24</v>
      </c>
      <c r="G1449">
        <v>3</v>
      </c>
      <c r="H1449">
        <v>0</v>
      </c>
      <c r="I1449" t="s">
        <v>25</v>
      </c>
      <c r="J1449" t="s">
        <v>37</v>
      </c>
      <c r="K1449" t="s">
        <v>26</v>
      </c>
      <c r="L1449">
        <v>4</v>
      </c>
      <c r="M1449">
        <v>1</v>
      </c>
      <c r="N1449">
        <v>1</v>
      </c>
      <c r="O1449" t="s">
        <v>21</v>
      </c>
      <c r="P1449" t="str">
        <f>TEXT(Table1[[#This Row],[order_date]],"yyyy-mm")</f>
        <v>2025-11</v>
      </c>
      <c r="Q1449">
        <f>WEEKNUM(Table1[[#This Row],[order_date]])</f>
        <v>45</v>
      </c>
      <c r="R1449">
        <f>IF(Table1[[#This Row],[order_status]]="completed",1,0)</f>
        <v>0</v>
      </c>
    </row>
    <row r="1450" spans="1:18" x14ac:dyDescent="0.35">
      <c r="A1450">
        <v>1449</v>
      </c>
      <c r="B1450" s="1">
        <v>45981</v>
      </c>
      <c r="C1450">
        <v>1082</v>
      </c>
      <c r="D1450" t="s">
        <v>28</v>
      </c>
      <c r="E1450" t="s">
        <v>33</v>
      </c>
      <c r="F1450" t="s">
        <v>30</v>
      </c>
      <c r="G1450">
        <v>2</v>
      </c>
      <c r="H1450">
        <v>0</v>
      </c>
      <c r="I1450" t="s">
        <v>18</v>
      </c>
      <c r="J1450" t="s">
        <v>31</v>
      </c>
      <c r="K1450" t="s">
        <v>26</v>
      </c>
      <c r="L1450">
        <v>8</v>
      </c>
      <c r="M1450">
        <v>0</v>
      </c>
      <c r="N1450">
        <v>0</v>
      </c>
      <c r="O1450" t="s">
        <v>27</v>
      </c>
      <c r="P1450" t="str">
        <f>TEXT(Table1[[#This Row],[order_date]],"yyyy-mm")</f>
        <v>2025-11</v>
      </c>
      <c r="Q1450">
        <f>WEEKNUM(Table1[[#This Row],[order_date]])</f>
        <v>47</v>
      </c>
      <c r="R1450">
        <f>IF(Table1[[#This Row],[order_status]]="completed",1,0)</f>
        <v>0</v>
      </c>
    </row>
    <row r="1451" spans="1:18" x14ac:dyDescent="0.35">
      <c r="A1451">
        <v>1450</v>
      </c>
      <c r="B1451" s="1">
        <v>45965</v>
      </c>
      <c r="C1451">
        <v>1458</v>
      </c>
      <c r="D1451" t="s">
        <v>22</v>
      </c>
      <c r="E1451" t="s">
        <v>36</v>
      </c>
      <c r="F1451" t="s">
        <v>34</v>
      </c>
      <c r="G1451">
        <v>4</v>
      </c>
      <c r="H1451">
        <v>0</v>
      </c>
      <c r="I1451" t="s">
        <v>25</v>
      </c>
      <c r="J1451" t="s">
        <v>37</v>
      </c>
      <c r="K1451" t="s">
        <v>38</v>
      </c>
      <c r="L1451">
        <v>10</v>
      </c>
      <c r="M1451">
        <v>1</v>
      </c>
      <c r="N1451">
        <v>0</v>
      </c>
      <c r="O1451" t="s">
        <v>27</v>
      </c>
      <c r="P1451" t="str">
        <f>TEXT(Table1[[#This Row],[order_date]],"yyyy-mm")</f>
        <v>2025-11</v>
      </c>
      <c r="Q1451">
        <f>WEEKNUM(Table1[[#This Row],[order_date]])</f>
        <v>45</v>
      </c>
      <c r="R1451">
        <f>IF(Table1[[#This Row],[order_status]]="completed",1,0)</f>
        <v>0</v>
      </c>
    </row>
    <row r="1452" spans="1:18" x14ac:dyDescent="0.35">
      <c r="A1452">
        <v>1451</v>
      </c>
      <c r="B1452" s="1">
        <v>45982</v>
      </c>
      <c r="C1452">
        <v>1921</v>
      </c>
      <c r="D1452" t="s">
        <v>22</v>
      </c>
      <c r="E1452" t="s">
        <v>16</v>
      </c>
      <c r="F1452" t="s">
        <v>24</v>
      </c>
      <c r="G1452">
        <v>2</v>
      </c>
      <c r="H1452">
        <v>0</v>
      </c>
      <c r="I1452" t="s">
        <v>25</v>
      </c>
      <c r="J1452" t="s">
        <v>31</v>
      </c>
      <c r="K1452" t="s">
        <v>26</v>
      </c>
      <c r="L1452">
        <v>6</v>
      </c>
      <c r="M1452">
        <v>1</v>
      </c>
      <c r="N1452">
        <v>1</v>
      </c>
      <c r="O1452" t="s">
        <v>27</v>
      </c>
      <c r="P1452" t="str">
        <f>TEXT(Table1[[#This Row],[order_date]],"yyyy-mm")</f>
        <v>2025-11</v>
      </c>
      <c r="Q1452">
        <f>WEEKNUM(Table1[[#This Row],[order_date]])</f>
        <v>47</v>
      </c>
      <c r="R1452">
        <f>IF(Table1[[#This Row],[order_status]]="completed",1,0)</f>
        <v>0</v>
      </c>
    </row>
    <row r="1453" spans="1:18" x14ac:dyDescent="0.35">
      <c r="A1453">
        <v>1452</v>
      </c>
      <c r="B1453" s="1">
        <v>45866</v>
      </c>
      <c r="C1453">
        <v>1463</v>
      </c>
      <c r="D1453" t="s">
        <v>32</v>
      </c>
      <c r="E1453" t="s">
        <v>33</v>
      </c>
      <c r="F1453" t="s">
        <v>17</v>
      </c>
      <c r="G1453">
        <v>3</v>
      </c>
      <c r="H1453">
        <v>9933</v>
      </c>
      <c r="I1453" t="s">
        <v>35</v>
      </c>
      <c r="J1453" t="s">
        <v>19</v>
      </c>
      <c r="K1453" t="s">
        <v>40</v>
      </c>
      <c r="L1453">
        <v>3</v>
      </c>
      <c r="M1453">
        <v>1</v>
      </c>
      <c r="N1453">
        <v>1</v>
      </c>
      <c r="O1453" t="s">
        <v>21</v>
      </c>
      <c r="P1453" t="str">
        <f>TEXT(Table1[[#This Row],[order_date]],"yyyy-mm")</f>
        <v>2025-07</v>
      </c>
      <c r="Q1453">
        <f>WEEKNUM(Table1[[#This Row],[order_date]])</f>
        <v>31</v>
      </c>
      <c r="R1453">
        <f>IF(Table1[[#This Row],[order_status]]="completed",1,0)</f>
        <v>1</v>
      </c>
    </row>
    <row r="1454" spans="1:18" x14ac:dyDescent="0.35">
      <c r="A1454">
        <v>1453</v>
      </c>
      <c r="B1454" s="1">
        <v>45877</v>
      </c>
      <c r="C1454">
        <v>1905</v>
      </c>
      <c r="D1454" t="s">
        <v>32</v>
      </c>
      <c r="E1454" t="s">
        <v>33</v>
      </c>
      <c r="F1454" t="s">
        <v>24</v>
      </c>
      <c r="G1454">
        <v>3</v>
      </c>
      <c r="H1454">
        <v>0</v>
      </c>
      <c r="I1454" t="s">
        <v>35</v>
      </c>
      <c r="J1454" t="s">
        <v>31</v>
      </c>
      <c r="K1454" t="s">
        <v>38</v>
      </c>
      <c r="L1454">
        <v>4</v>
      </c>
      <c r="M1454">
        <v>1</v>
      </c>
      <c r="N1454">
        <v>0</v>
      </c>
      <c r="O1454" t="s">
        <v>21</v>
      </c>
      <c r="P1454" t="str">
        <f>TEXT(Table1[[#This Row],[order_date]],"yyyy-mm")</f>
        <v>2025-08</v>
      </c>
      <c r="Q1454">
        <f>WEEKNUM(Table1[[#This Row],[order_date]])</f>
        <v>32</v>
      </c>
      <c r="R1454">
        <f>IF(Table1[[#This Row],[order_status]]="completed",1,0)</f>
        <v>0</v>
      </c>
    </row>
    <row r="1455" spans="1:18" x14ac:dyDescent="0.35">
      <c r="A1455">
        <v>1454</v>
      </c>
      <c r="B1455" s="1">
        <v>45913</v>
      </c>
      <c r="C1455">
        <v>1469</v>
      </c>
      <c r="D1455" t="s">
        <v>22</v>
      </c>
      <c r="E1455" t="s">
        <v>36</v>
      </c>
      <c r="F1455" t="s">
        <v>17</v>
      </c>
      <c r="G1455">
        <v>5</v>
      </c>
      <c r="H1455">
        <v>0</v>
      </c>
      <c r="I1455" t="s">
        <v>35</v>
      </c>
      <c r="J1455" t="s">
        <v>31</v>
      </c>
      <c r="K1455" t="s">
        <v>26</v>
      </c>
      <c r="L1455">
        <v>5</v>
      </c>
      <c r="M1455">
        <v>1</v>
      </c>
      <c r="N1455">
        <v>1</v>
      </c>
      <c r="O1455" t="s">
        <v>27</v>
      </c>
      <c r="P1455" t="str">
        <f>TEXT(Table1[[#This Row],[order_date]],"yyyy-mm")</f>
        <v>2025-09</v>
      </c>
      <c r="Q1455">
        <f>WEEKNUM(Table1[[#This Row],[order_date]])</f>
        <v>37</v>
      </c>
      <c r="R1455">
        <f>IF(Table1[[#This Row],[order_status]]="completed",1,0)</f>
        <v>0</v>
      </c>
    </row>
    <row r="1456" spans="1:18" x14ac:dyDescent="0.35">
      <c r="A1456">
        <v>1455</v>
      </c>
      <c r="B1456" s="1">
        <v>45984</v>
      </c>
      <c r="C1456">
        <v>1332</v>
      </c>
      <c r="D1456" t="s">
        <v>41</v>
      </c>
      <c r="E1456" t="s">
        <v>16</v>
      </c>
      <c r="F1456" t="s">
        <v>24</v>
      </c>
      <c r="G1456">
        <v>2</v>
      </c>
      <c r="H1456">
        <v>0</v>
      </c>
      <c r="I1456" t="s">
        <v>39</v>
      </c>
      <c r="J1456" t="s">
        <v>37</v>
      </c>
      <c r="K1456" t="s">
        <v>26</v>
      </c>
      <c r="L1456">
        <v>7</v>
      </c>
      <c r="M1456">
        <v>1</v>
      </c>
      <c r="N1456">
        <v>1</v>
      </c>
      <c r="O1456" t="s">
        <v>21</v>
      </c>
      <c r="P1456" t="str">
        <f>TEXT(Table1[[#This Row],[order_date]],"yyyy-mm")</f>
        <v>2025-11</v>
      </c>
      <c r="Q1456">
        <f>WEEKNUM(Table1[[#This Row],[order_date]])</f>
        <v>48</v>
      </c>
      <c r="R1456">
        <f>IF(Table1[[#This Row],[order_status]]="completed",1,0)</f>
        <v>0</v>
      </c>
    </row>
    <row r="1457" spans="1:18" x14ac:dyDescent="0.35">
      <c r="A1457">
        <v>1456</v>
      </c>
      <c r="B1457" s="1">
        <v>45978</v>
      </c>
      <c r="C1457">
        <v>1712</v>
      </c>
      <c r="D1457" t="s">
        <v>41</v>
      </c>
      <c r="E1457" t="s">
        <v>33</v>
      </c>
      <c r="F1457" t="s">
        <v>30</v>
      </c>
      <c r="G1457">
        <v>5</v>
      </c>
      <c r="H1457">
        <v>19095</v>
      </c>
      <c r="I1457" t="s">
        <v>25</v>
      </c>
      <c r="J1457" t="s">
        <v>19</v>
      </c>
      <c r="K1457" t="s">
        <v>20</v>
      </c>
      <c r="L1457">
        <v>4</v>
      </c>
      <c r="M1457">
        <v>0</v>
      </c>
      <c r="N1457">
        <v>0</v>
      </c>
      <c r="O1457" t="s">
        <v>21</v>
      </c>
      <c r="P1457" t="str">
        <f>TEXT(Table1[[#This Row],[order_date]],"yyyy-mm")</f>
        <v>2025-11</v>
      </c>
      <c r="Q1457">
        <f>WEEKNUM(Table1[[#This Row],[order_date]])</f>
        <v>47</v>
      </c>
      <c r="R1457">
        <f>IF(Table1[[#This Row],[order_status]]="completed",1,0)</f>
        <v>1</v>
      </c>
    </row>
    <row r="1458" spans="1:18" x14ac:dyDescent="0.35">
      <c r="A1458">
        <v>1457</v>
      </c>
      <c r="B1458" s="1">
        <v>45961</v>
      </c>
      <c r="C1458">
        <v>1958</v>
      </c>
      <c r="D1458" t="s">
        <v>22</v>
      </c>
      <c r="E1458" t="s">
        <v>29</v>
      </c>
      <c r="F1458" t="s">
        <v>30</v>
      </c>
      <c r="G1458">
        <v>2</v>
      </c>
      <c r="H1458">
        <v>0</v>
      </c>
      <c r="I1458" t="s">
        <v>39</v>
      </c>
      <c r="J1458" t="s">
        <v>31</v>
      </c>
      <c r="K1458" t="s">
        <v>26</v>
      </c>
      <c r="L1458">
        <v>6</v>
      </c>
      <c r="M1458">
        <v>1</v>
      </c>
      <c r="N1458">
        <v>1</v>
      </c>
      <c r="O1458" t="s">
        <v>27</v>
      </c>
      <c r="P1458" t="str">
        <f>TEXT(Table1[[#This Row],[order_date]],"yyyy-mm")</f>
        <v>2025-10</v>
      </c>
      <c r="Q1458">
        <f>WEEKNUM(Table1[[#This Row],[order_date]])</f>
        <v>44</v>
      </c>
      <c r="R1458">
        <f>IF(Table1[[#This Row],[order_status]]="completed",1,0)</f>
        <v>0</v>
      </c>
    </row>
    <row r="1459" spans="1:18" x14ac:dyDescent="0.35">
      <c r="A1459">
        <v>1458</v>
      </c>
      <c r="B1459" s="1">
        <v>45919</v>
      </c>
      <c r="C1459">
        <v>1705</v>
      </c>
      <c r="D1459" t="s">
        <v>15</v>
      </c>
      <c r="E1459" t="s">
        <v>33</v>
      </c>
      <c r="F1459" t="s">
        <v>34</v>
      </c>
      <c r="G1459">
        <v>1</v>
      </c>
      <c r="H1459">
        <v>4741</v>
      </c>
      <c r="I1459" t="s">
        <v>35</v>
      </c>
      <c r="J1459" t="s">
        <v>19</v>
      </c>
      <c r="K1459" t="s">
        <v>26</v>
      </c>
      <c r="L1459">
        <v>3</v>
      </c>
      <c r="M1459">
        <v>1</v>
      </c>
      <c r="N1459">
        <v>0</v>
      </c>
      <c r="O1459" t="s">
        <v>21</v>
      </c>
      <c r="P1459" t="str">
        <f>TEXT(Table1[[#This Row],[order_date]],"yyyy-mm")</f>
        <v>2025-09</v>
      </c>
      <c r="Q1459">
        <f>WEEKNUM(Table1[[#This Row],[order_date]])</f>
        <v>38</v>
      </c>
      <c r="R1459">
        <f>IF(Table1[[#This Row],[order_status]]="completed",1,0)</f>
        <v>1</v>
      </c>
    </row>
    <row r="1460" spans="1:18" x14ac:dyDescent="0.35">
      <c r="A1460">
        <v>1459</v>
      </c>
      <c r="B1460" s="1">
        <v>45905</v>
      </c>
      <c r="C1460">
        <v>1142</v>
      </c>
      <c r="D1460" t="s">
        <v>15</v>
      </c>
      <c r="E1460" t="s">
        <v>29</v>
      </c>
      <c r="F1460" t="s">
        <v>34</v>
      </c>
      <c r="G1460">
        <v>2</v>
      </c>
      <c r="H1460">
        <v>3844</v>
      </c>
      <c r="I1460" t="s">
        <v>39</v>
      </c>
      <c r="J1460" t="s">
        <v>19</v>
      </c>
      <c r="K1460" t="s">
        <v>38</v>
      </c>
      <c r="L1460">
        <v>9</v>
      </c>
      <c r="M1460">
        <v>1</v>
      </c>
      <c r="N1460">
        <v>1</v>
      </c>
      <c r="O1460" t="s">
        <v>27</v>
      </c>
      <c r="P1460" t="str">
        <f>TEXT(Table1[[#This Row],[order_date]],"yyyy-mm")</f>
        <v>2025-09</v>
      </c>
      <c r="Q1460">
        <f>WEEKNUM(Table1[[#This Row],[order_date]])</f>
        <v>36</v>
      </c>
      <c r="R1460">
        <f>IF(Table1[[#This Row],[order_status]]="completed",1,0)</f>
        <v>1</v>
      </c>
    </row>
    <row r="1461" spans="1:18" x14ac:dyDescent="0.35">
      <c r="A1461">
        <v>1460</v>
      </c>
      <c r="B1461" s="1">
        <v>45958</v>
      </c>
      <c r="C1461">
        <v>1809</v>
      </c>
      <c r="D1461" t="s">
        <v>41</v>
      </c>
      <c r="E1461" t="s">
        <v>23</v>
      </c>
      <c r="F1461" t="s">
        <v>24</v>
      </c>
      <c r="G1461">
        <v>5</v>
      </c>
      <c r="H1461">
        <v>18070</v>
      </c>
      <c r="I1461" t="s">
        <v>18</v>
      </c>
      <c r="J1461" t="s">
        <v>19</v>
      </c>
      <c r="K1461" t="s">
        <v>38</v>
      </c>
      <c r="L1461">
        <v>4</v>
      </c>
      <c r="M1461">
        <v>0</v>
      </c>
      <c r="N1461">
        <v>0</v>
      </c>
      <c r="O1461" t="s">
        <v>27</v>
      </c>
      <c r="P1461" t="str">
        <f>TEXT(Table1[[#This Row],[order_date]],"yyyy-mm")</f>
        <v>2025-10</v>
      </c>
      <c r="Q1461">
        <f>WEEKNUM(Table1[[#This Row],[order_date]])</f>
        <v>44</v>
      </c>
      <c r="R1461">
        <f>IF(Table1[[#This Row],[order_status]]="completed",1,0)</f>
        <v>1</v>
      </c>
    </row>
    <row r="1462" spans="1:18" x14ac:dyDescent="0.35">
      <c r="A1462">
        <v>1461</v>
      </c>
      <c r="B1462" s="1">
        <v>45866</v>
      </c>
      <c r="C1462">
        <v>1404</v>
      </c>
      <c r="D1462" t="s">
        <v>41</v>
      </c>
      <c r="E1462" t="s">
        <v>23</v>
      </c>
      <c r="F1462" t="s">
        <v>17</v>
      </c>
      <c r="G1462">
        <v>3</v>
      </c>
      <c r="H1462">
        <v>0</v>
      </c>
      <c r="I1462" t="s">
        <v>25</v>
      </c>
      <c r="J1462" t="s">
        <v>31</v>
      </c>
      <c r="K1462" t="s">
        <v>26</v>
      </c>
      <c r="L1462">
        <v>6</v>
      </c>
      <c r="M1462">
        <v>1</v>
      </c>
      <c r="N1462">
        <v>0</v>
      </c>
      <c r="O1462" t="s">
        <v>21</v>
      </c>
      <c r="P1462" t="str">
        <f>TEXT(Table1[[#This Row],[order_date]],"yyyy-mm")</f>
        <v>2025-07</v>
      </c>
      <c r="Q1462">
        <f>WEEKNUM(Table1[[#This Row],[order_date]])</f>
        <v>31</v>
      </c>
      <c r="R1462">
        <f>IF(Table1[[#This Row],[order_status]]="completed",1,0)</f>
        <v>0</v>
      </c>
    </row>
    <row r="1463" spans="1:18" x14ac:dyDescent="0.35">
      <c r="A1463">
        <v>1462</v>
      </c>
      <c r="B1463" s="1">
        <v>45934</v>
      </c>
      <c r="C1463">
        <v>1262</v>
      </c>
      <c r="D1463" t="s">
        <v>15</v>
      </c>
      <c r="E1463" t="s">
        <v>36</v>
      </c>
      <c r="F1463" t="s">
        <v>17</v>
      </c>
      <c r="G1463">
        <v>4</v>
      </c>
      <c r="H1463">
        <v>3144</v>
      </c>
      <c r="I1463" t="s">
        <v>35</v>
      </c>
      <c r="J1463" t="s">
        <v>19</v>
      </c>
      <c r="K1463" t="s">
        <v>20</v>
      </c>
      <c r="L1463">
        <v>3</v>
      </c>
      <c r="M1463">
        <v>0</v>
      </c>
      <c r="N1463">
        <v>1</v>
      </c>
      <c r="O1463" t="s">
        <v>27</v>
      </c>
      <c r="P1463" t="str">
        <f>TEXT(Table1[[#This Row],[order_date]],"yyyy-mm")</f>
        <v>2025-10</v>
      </c>
      <c r="Q1463">
        <f>WEEKNUM(Table1[[#This Row],[order_date]])</f>
        <v>40</v>
      </c>
      <c r="R1463">
        <f>IF(Table1[[#This Row],[order_status]]="completed",1,0)</f>
        <v>1</v>
      </c>
    </row>
    <row r="1464" spans="1:18" x14ac:dyDescent="0.35">
      <c r="A1464">
        <v>1463</v>
      </c>
      <c r="B1464" s="1">
        <v>45866</v>
      </c>
      <c r="C1464">
        <v>1479</v>
      </c>
      <c r="D1464" t="s">
        <v>32</v>
      </c>
      <c r="E1464" t="s">
        <v>16</v>
      </c>
      <c r="F1464" t="s">
        <v>24</v>
      </c>
      <c r="G1464">
        <v>2</v>
      </c>
      <c r="H1464">
        <v>0</v>
      </c>
      <c r="I1464" t="s">
        <v>39</v>
      </c>
      <c r="J1464" t="s">
        <v>37</v>
      </c>
      <c r="K1464" t="s">
        <v>26</v>
      </c>
      <c r="L1464">
        <v>7</v>
      </c>
      <c r="M1464">
        <v>0</v>
      </c>
      <c r="N1464">
        <v>0</v>
      </c>
      <c r="O1464" t="s">
        <v>27</v>
      </c>
      <c r="P1464" t="str">
        <f>TEXT(Table1[[#This Row],[order_date]],"yyyy-mm")</f>
        <v>2025-07</v>
      </c>
      <c r="Q1464">
        <f>WEEKNUM(Table1[[#This Row],[order_date]])</f>
        <v>31</v>
      </c>
      <c r="R1464">
        <f>IF(Table1[[#This Row],[order_status]]="completed",1,0)</f>
        <v>0</v>
      </c>
    </row>
    <row r="1465" spans="1:18" x14ac:dyDescent="0.35">
      <c r="A1465">
        <v>1464</v>
      </c>
      <c r="B1465" s="1">
        <v>46023</v>
      </c>
      <c r="C1465">
        <v>1912</v>
      </c>
      <c r="D1465" t="s">
        <v>22</v>
      </c>
      <c r="E1465" t="s">
        <v>16</v>
      </c>
      <c r="F1465" t="s">
        <v>30</v>
      </c>
      <c r="G1465">
        <v>4</v>
      </c>
      <c r="H1465">
        <v>15476</v>
      </c>
      <c r="I1465" t="s">
        <v>18</v>
      </c>
      <c r="J1465" t="s">
        <v>19</v>
      </c>
      <c r="K1465" t="s">
        <v>38</v>
      </c>
      <c r="L1465">
        <v>10</v>
      </c>
      <c r="M1465">
        <v>1</v>
      </c>
      <c r="N1465">
        <v>1</v>
      </c>
      <c r="O1465" t="s">
        <v>21</v>
      </c>
      <c r="P1465" t="str">
        <f>TEXT(Table1[[#This Row],[order_date]],"yyyy-mm")</f>
        <v>2026-01</v>
      </c>
      <c r="Q1465">
        <f>WEEKNUM(Table1[[#This Row],[order_date]])</f>
        <v>1</v>
      </c>
      <c r="R1465">
        <f>IF(Table1[[#This Row],[order_status]]="completed",1,0)</f>
        <v>1</v>
      </c>
    </row>
    <row r="1466" spans="1:18" x14ac:dyDescent="0.35">
      <c r="A1466">
        <v>1465</v>
      </c>
      <c r="B1466" s="1">
        <v>45991</v>
      </c>
      <c r="C1466">
        <v>1494</v>
      </c>
      <c r="D1466" t="s">
        <v>32</v>
      </c>
      <c r="E1466" t="s">
        <v>33</v>
      </c>
      <c r="F1466" t="s">
        <v>17</v>
      </c>
      <c r="G1466">
        <v>4</v>
      </c>
      <c r="H1466">
        <v>0</v>
      </c>
      <c r="I1466" t="s">
        <v>18</v>
      </c>
      <c r="J1466" t="s">
        <v>31</v>
      </c>
      <c r="K1466" t="s">
        <v>20</v>
      </c>
      <c r="L1466">
        <v>1</v>
      </c>
      <c r="M1466">
        <v>1</v>
      </c>
      <c r="N1466">
        <v>1</v>
      </c>
      <c r="O1466" t="s">
        <v>21</v>
      </c>
      <c r="P1466" t="str">
        <f>TEXT(Table1[[#This Row],[order_date]],"yyyy-mm")</f>
        <v>2025-11</v>
      </c>
      <c r="Q1466">
        <f>WEEKNUM(Table1[[#This Row],[order_date]])</f>
        <v>49</v>
      </c>
      <c r="R1466">
        <f>IF(Table1[[#This Row],[order_status]]="completed",1,0)</f>
        <v>0</v>
      </c>
    </row>
    <row r="1467" spans="1:18" x14ac:dyDescent="0.35">
      <c r="A1467">
        <v>1466</v>
      </c>
      <c r="B1467" s="1">
        <v>45987</v>
      </c>
      <c r="C1467">
        <v>1432</v>
      </c>
      <c r="D1467" t="s">
        <v>41</v>
      </c>
      <c r="E1467" t="s">
        <v>23</v>
      </c>
      <c r="F1467" t="s">
        <v>30</v>
      </c>
      <c r="G1467">
        <v>2</v>
      </c>
      <c r="H1467">
        <v>3420</v>
      </c>
      <c r="I1467" t="s">
        <v>25</v>
      </c>
      <c r="J1467" t="s">
        <v>19</v>
      </c>
      <c r="K1467" t="s">
        <v>40</v>
      </c>
      <c r="L1467">
        <v>4</v>
      </c>
      <c r="M1467">
        <v>0</v>
      </c>
      <c r="N1467">
        <v>1</v>
      </c>
      <c r="O1467" t="s">
        <v>21</v>
      </c>
      <c r="P1467" t="str">
        <f>TEXT(Table1[[#This Row],[order_date]],"yyyy-mm")</f>
        <v>2025-11</v>
      </c>
      <c r="Q1467">
        <f>WEEKNUM(Table1[[#This Row],[order_date]])</f>
        <v>48</v>
      </c>
      <c r="R1467">
        <f>IF(Table1[[#This Row],[order_status]]="completed",1,0)</f>
        <v>1</v>
      </c>
    </row>
    <row r="1468" spans="1:18" x14ac:dyDescent="0.35">
      <c r="A1468">
        <v>1467</v>
      </c>
      <c r="B1468" s="1">
        <v>45955</v>
      </c>
      <c r="C1468">
        <v>1352</v>
      </c>
      <c r="D1468" t="s">
        <v>15</v>
      </c>
      <c r="E1468" t="s">
        <v>23</v>
      </c>
      <c r="F1468" t="s">
        <v>34</v>
      </c>
      <c r="G1468">
        <v>5</v>
      </c>
      <c r="H1468">
        <v>0</v>
      </c>
      <c r="I1468" t="s">
        <v>39</v>
      </c>
      <c r="J1468" t="s">
        <v>37</v>
      </c>
      <c r="K1468" t="s">
        <v>38</v>
      </c>
      <c r="L1468">
        <v>1</v>
      </c>
      <c r="M1468">
        <v>0</v>
      </c>
      <c r="N1468">
        <v>1</v>
      </c>
      <c r="O1468" t="s">
        <v>27</v>
      </c>
      <c r="P1468" t="str">
        <f>TEXT(Table1[[#This Row],[order_date]],"yyyy-mm")</f>
        <v>2025-10</v>
      </c>
      <c r="Q1468">
        <f>WEEKNUM(Table1[[#This Row],[order_date]])</f>
        <v>43</v>
      </c>
      <c r="R1468">
        <f>IF(Table1[[#This Row],[order_status]]="completed",1,0)</f>
        <v>0</v>
      </c>
    </row>
    <row r="1469" spans="1:18" x14ac:dyDescent="0.35">
      <c r="A1469">
        <v>1468</v>
      </c>
      <c r="B1469" s="1">
        <v>46001</v>
      </c>
      <c r="C1469">
        <v>1308</v>
      </c>
      <c r="D1469" t="s">
        <v>28</v>
      </c>
      <c r="E1469" t="s">
        <v>16</v>
      </c>
      <c r="F1469" t="s">
        <v>30</v>
      </c>
      <c r="G1469">
        <v>4</v>
      </c>
      <c r="H1469">
        <v>0</v>
      </c>
      <c r="I1469" t="s">
        <v>39</v>
      </c>
      <c r="J1469" t="s">
        <v>31</v>
      </c>
      <c r="K1469" t="s">
        <v>20</v>
      </c>
      <c r="L1469">
        <v>9</v>
      </c>
      <c r="M1469">
        <v>0</v>
      </c>
      <c r="N1469">
        <v>1</v>
      </c>
      <c r="O1469" t="s">
        <v>21</v>
      </c>
      <c r="P1469" t="str">
        <f>TEXT(Table1[[#This Row],[order_date]],"yyyy-mm")</f>
        <v>2025-12</v>
      </c>
      <c r="Q1469">
        <f>WEEKNUM(Table1[[#This Row],[order_date]])</f>
        <v>50</v>
      </c>
      <c r="R1469">
        <f>IF(Table1[[#This Row],[order_status]]="completed",1,0)</f>
        <v>0</v>
      </c>
    </row>
    <row r="1470" spans="1:18" x14ac:dyDescent="0.35">
      <c r="A1470">
        <v>1469</v>
      </c>
      <c r="B1470" s="1">
        <v>45939</v>
      </c>
      <c r="C1470">
        <v>1534</v>
      </c>
      <c r="D1470" t="s">
        <v>41</v>
      </c>
      <c r="E1470" t="s">
        <v>33</v>
      </c>
      <c r="F1470" t="s">
        <v>17</v>
      </c>
      <c r="G1470">
        <v>3</v>
      </c>
      <c r="H1470">
        <v>0</v>
      </c>
      <c r="I1470" t="s">
        <v>39</v>
      </c>
      <c r="J1470" t="s">
        <v>37</v>
      </c>
      <c r="K1470" t="s">
        <v>40</v>
      </c>
      <c r="L1470">
        <v>4</v>
      </c>
      <c r="M1470">
        <v>1</v>
      </c>
      <c r="N1470">
        <v>1</v>
      </c>
      <c r="O1470" t="s">
        <v>21</v>
      </c>
      <c r="P1470" t="str">
        <f>TEXT(Table1[[#This Row],[order_date]],"yyyy-mm")</f>
        <v>2025-10</v>
      </c>
      <c r="Q1470">
        <f>WEEKNUM(Table1[[#This Row],[order_date]])</f>
        <v>41</v>
      </c>
      <c r="R1470">
        <f>IF(Table1[[#This Row],[order_status]]="completed",1,0)</f>
        <v>0</v>
      </c>
    </row>
    <row r="1471" spans="1:18" x14ac:dyDescent="0.35">
      <c r="A1471">
        <v>1470</v>
      </c>
      <c r="B1471" s="1">
        <v>45967</v>
      </c>
      <c r="C1471">
        <v>1206</v>
      </c>
      <c r="D1471" t="s">
        <v>28</v>
      </c>
      <c r="E1471" t="s">
        <v>36</v>
      </c>
      <c r="F1471" t="s">
        <v>17</v>
      </c>
      <c r="G1471">
        <v>5</v>
      </c>
      <c r="H1471">
        <v>0</v>
      </c>
      <c r="I1471" t="s">
        <v>18</v>
      </c>
      <c r="J1471" t="s">
        <v>31</v>
      </c>
      <c r="K1471" t="s">
        <v>38</v>
      </c>
      <c r="L1471">
        <v>6</v>
      </c>
      <c r="M1471">
        <v>1</v>
      </c>
      <c r="N1471">
        <v>0</v>
      </c>
      <c r="O1471" t="s">
        <v>27</v>
      </c>
      <c r="P1471" t="str">
        <f>TEXT(Table1[[#This Row],[order_date]],"yyyy-mm")</f>
        <v>2025-11</v>
      </c>
      <c r="Q1471">
        <f>WEEKNUM(Table1[[#This Row],[order_date]])</f>
        <v>45</v>
      </c>
      <c r="R1471">
        <f>IF(Table1[[#This Row],[order_status]]="completed",1,0)</f>
        <v>0</v>
      </c>
    </row>
    <row r="1472" spans="1:18" x14ac:dyDescent="0.35">
      <c r="A1472">
        <v>1471</v>
      </c>
      <c r="B1472" s="1">
        <v>45871</v>
      </c>
      <c r="C1472">
        <v>1351</v>
      </c>
      <c r="D1472" t="s">
        <v>28</v>
      </c>
      <c r="E1472" t="s">
        <v>23</v>
      </c>
      <c r="F1472" t="s">
        <v>30</v>
      </c>
      <c r="G1472">
        <v>1</v>
      </c>
      <c r="H1472">
        <v>0</v>
      </c>
      <c r="I1472" t="s">
        <v>39</v>
      </c>
      <c r="J1472" t="s">
        <v>31</v>
      </c>
      <c r="K1472" t="s">
        <v>26</v>
      </c>
      <c r="L1472">
        <v>2</v>
      </c>
      <c r="M1472">
        <v>1</v>
      </c>
      <c r="N1472">
        <v>0</v>
      </c>
      <c r="O1472" t="s">
        <v>21</v>
      </c>
      <c r="P1472" t="str">
        <f>TEXT(Table1[[#This Row],[order_date]],"yyyy-mm")</f>
        <v>2025-08</v>
      </c>
      <c r="Q1472">
        <f>WEEKNUM(Table1[[#This Row],[order_date]])</f>
        <v>31</v>
      </c>
      <c r="R1472">
        <f>IF(Table1[[#This Row],[order_status]]="completed",1,0)</f>
        <v>0</v>
      </c>
    </row>
    <row r="1473" spans="1:18" x14ac:dyDescent="0.35">
      <c r="A1473">
        <v>1472</v>
      </c>
      <c r="B1473" s="1">
        <v>45916</v>
      </c>
      <c r="C1473">
        <v>1896</v>
      </c>
      <c r="D1473" t="s">
        <v>28</v>
      </c>
      <c r="E1473" t="s">
        <v>23</v>
      </c>
      <c r="F1473" t="s">
        <v>24</v>
      </c>
      <c r="G1473">
        <v>4</v>
      </c>
      <c r="H1473">
        <v>0</v>
      </c>
      <c r="I1473" t="s">
        <v>25</v>
      </c>
      <c r="J1473" t="s">
        <v>31</v>
      </c>
      <c r="K1473" t="s">
        <v>20</v>
      </c>
      <c r="L1473">
        <v>3</v>
      </c>
      <c r="M1473">
        <v>0</v>
      </c>
      <c r="N1473">
        <v>1</v>
      </c>
      <c r="O1473" t="s">
        <v>27</v>
      </c>
      <c r="P1473" t="str">
        <f>TEXT(Table1[[#This Row],[order_date]],"yyyy-mm")</f>
        <v>2025-09</v>
      </c>
      <c r="Q1473">
        <f>WEEKNUM(Table1[[#This Row],[order_date]])</f>
        <v>38</v>
      </c>
      <c r="R1473">
        <f>IF(Table1[[#This Row],[order_status]]="completed",1,0)</f>
        <v>0</v>
      </c>
    </row>
    <row r="1474" spans="1:18" x14ac:dyDescent="0.35">
      <c r="A1474">
        <v>1473</v>
      </c>
      <c r="B1474" s="1">
        <v>45971</v>
      </c>
      <c r="C1474">
        <v>1658</v>
      </c>
      <c r="D1474" t="s">
        <v>32</v>
      </c>
      <c r="E1474" t="s">
        <v>29</v>
      </c>
      <c r="F1474" t="s">
        <v>24</v>
      </c>
      <c r="G1474">
        <v>1</v>
      </c>
      <c r="H1474">
        <v>0</v>
      </c>
      <c r="I1474" t="s">
        <v>25</v>
      </c>
      <c r="J1474" t="s">
        <v>31</v>
      </c>
      <c r="K1474" t="s">
        <v>26</v>
      </c>
      <c r="L1474">
        <v>4</v>
      </c>
      <c r="M1474">
        <v>1</v>
      </c>
      <c r="N1474">
        <v>0</v>
      </c>
      <c r="O1474" t="s">
        <v>21</v>
      </c>
      <c r="P1474" t="str">
        <f>TEXT(Table1[[#This Row],[order_date]],"yyyy-mm")</f>
        <v>2025-11</v>
      </c>
      <c r="Q1474">
        <f>WEEKNUM(Table1[[#This Row],[order_date]])</f>
        <v>46</v>
      </c>
      <c r="R1474">
        <f>IF(Table1[[#This Row],[order_status]]="completed",1,0)</f>
        <v>0</v>
      </c>
    </row>
    <row r="1475" spans="1:18" x14ac:dyDescent="0.35">
      <c r="A1475">
        <v>1474</v>
      </c>
      <c r="B1475" s="1">
        <v>45932</v>
      </c>
      <c r="C1475">
        <v>1475</v>
      </c>
      <c r="D1475" t="s">
        <v>28</v>
      </c>
      <c r="E1475" t="s">
        <v>29</v>
      </c>
      <c r="F1475" t="s">
        <v>30</v>
      </c>
      <c r="G1475">
        <v>3</v>
      </c>
      <c r="H1475">
        <v>0</v>
      </c>
      <c r="I1475" t="s">
        <v>39</v>
      </c>
      <c r="J1475" t="s">
        <v>31</v>
      </c>
      <c r="K1475" t="s">
        <v>20</v>
      </c>
      <c r="L1475">
        <v>4</v>
      </c>
      <c r="M1475">
        <v>1</v>
      </c>
      <c r="N1475">
        <v>1</v>
      </c>
      <c r="O1475" t="s">
        <v>21</v>
      </c>
      <c r="P1475" t="str">
        <f>TEXT(Table1[[#This Row],[order_date]],"yyyy-mm")</f>
        <v>2025-10</v>
      </c>
      <c r="Q1475">
        <f>WEEKNUM(Table1[[#This Row],[order_date]])</f>
        <v>40</v>
      </c>
      <c r="R1475">
        <f>IF(Table1[[#This Row],[order_status]]="completed",1,0)</f>
        <v>0</v>
      </c>
    </row>
    <row r="1476" spans="1:18" x14ac:dyDescent="0.35">
      <c r="A1476">
        <v>1475</v>
      </c>
      <c r="B1476" s="1">
        <v>45918</v>
      </c>
      <c r="C1476">
        <v>1729</v>
      </c>
      <c r="D1476" t="s">
        <v>41</v>
      </c>
      <c r="E1476" t="s">
        <v>29</v>
      </c>
      <c r="F1476" t="s">
        <v>24</v>
      </c>
      <c r="G1476">
        <v>3</v>
      </c>
      <c r="H1476">
        <v>3543</v>
      </c>
      <c r="I1476" t="s">
        <v>18</v>
      </c>
      <c r="J1476" t="s">
        <v>19</v>
      </c>
      <c r="K1476" t="s">
        <v>38</v>
      </c>
      <c r="L1476">
        <v>1</v>
      </c>
      <c r="M1476">
        <v>1</v>
      </c>
      <c r="N1476">
        <v>1</v>
      </c>
      <c r="O1476" t="s">
        <v>21</v>
      </c>
      <c r="P1476" t="str">
        <f>TEXT(Table1[[#This Row],[order_date]],"yyyy-mm")</f>
        <v>2025-09</v>
      </c>
      <c r="Q1476">
        <f>WEEKNUM(Table1[[#This Row],[order_date]])</f>
        <v>38</v>
      </c>
      <c r="R1476">
        <f>IF(Table1[[#This Row],[order_status]]="completed",1,0)</f>
        <v>1</v>
      </c>
    </row>
    <row r="1477" spans="1:18" x14ac:dyDescent="0.35">
      <c r="A1477">
        <v>1476</v>
      </c>
      <c r="B1477" s="1">
        <v>45924</v>
      </c>
      <c r="C1477">
        <v>1892</v>
      </c>
      <c r="D1477" t="s">
        <v>15</v>
      </c>
      <c r="E1477" t="s">
        <v>29</v>
      </c>
      <c r="F1477" t="s">
        <v>24</v>
      </c>
      <c r="G1477">
        <v>1</v>
      </c>
      <c r="H1477">
        <v>0</v>
      </c>
      <c r="I1477" t="s">
        <v>39</v>
      </c>
      <c r="J1477" t="s">
        <v>37</v>
      </c>
      <c r="K1477" t="s">
        <v>26</v>
      </c>
      <c r="L1477">
        <v>4</v>
      </c>
      <c r="M1477">
        <v>0</v>
      </c>
      <c r="N1477">
        <v>1</v>
      </c>
      <c r="O1477" t="s">
        <v>21</v>
      </c>
      <c r="P1477" t="str">
        <f>TEXT(Table1[[#This Row],[order_date]],"yyyy-mm")</f>
        <v>2025-09</v>
      </c>
      <c r="Q1477">
        <f>WEEKNUM(Table1[[#This Row],[order_date]])</f>
        <v>39</v>
      </c>
      <c r="R1477">
        <f>IF(Table1[[#This Row],[order_status]]="completed",1,0)</f>
        <v>0</v>
      </c>
    </row>
    <row r="1478" spans="1:18" x14ac:dyDescent="0.35">
      <c r="A1478">
        <v>1477</v>
      </c>
      <c r="B1478" s="1">
        <v>45947</v>
      </c>
      <c r="C1478">
        <v>1014</v>
      </c>
      <c r="D1478" t="s">
        <v>28</v>
      </c>
      <c r="E1478" t="s">
        <v>36</v>
      </c>
      <c r="F1478" t="s">
        <v>17</v>
      </c>
      <c r="G1478">
        <v>2</v>
      </c>
      <c r="H1478">
        <v>0</v>
      </c>
      <c r="I1478" t="s">
        <v>39</v>
      </c>
      <c r="J1478" t="s">
        <v>31</v>
      </c>
      <c r="K1478" t="s">
        <v>40</v>
      </c>
      <c r="L1478">
        <v>5</v>
      </c>
      <c r="M1478">
        <v>0</v>
      </c>
      <c r="N1478">
        <v>0</v>
      </c>
      <c r="O1478" t="s">
        <v>27</v>
      </c>
      <c r="P1478" t="str">
        <f>TEXT(Table1[[#This Row],[order_date]],"yyyy-mm")</f>
        <v>2025-10</v>
      </c>
      <c r="Q1478">
        <f>WEEKNUM(Table1[[#This Row],[order_date]])</f>
        <v>42</v>
      </c>
      <c r="R1478">
        <f>IF(Table1[[#This Row],[order_status]]="completed",1,0)</f>
        <v>0</v>
      </c>
    </row>
    <row r="1479" spans="1:18" x14ac:dyDescent="0.35">
      <c r="A1479">
        <v>1478</v>
      </c>
      <c r="B1479" s="1">
        <v>46015</v>
      </c>
      <c r="C1479">
        <v>1067</v>
      </c>
      <c r="D1479" t="s">
        <v>22</v>
      </c>
      <c r="E1479" t="s">
        <v>29</v>
      </c>
      <c r="F1479" t="s">
        <v>30</v>
      </c>
      <c r="G1479">
        <v>5</v>
      </c>
      <c r="H1479">
        <v>0</v>
      </c>
      <c r="I1479" t="s">
        <v>39</v>
      </c>
      <c r="J1479" t="s">
        <v>31</v>
      </c>
      <c r="K1479" t="s">
        <v>38</v>
      </c>
      <c r="L1479">
        <v>7</v>
      </c>
      <c r="M1479">
        <v>1</v>
      </c>
      <c r="N1479">
        <v>0</v>
      </c>
      <c r="O1479" t="s">
        <v>27</v>
      </c>
      <c r="P1479" t="str">
        <f>TEXT(Table1[[#This Row],[order_date]],"yyyy-mm")</f>
        <v>2025-12</v>
      </c>
      <c r="Q1479">
        <f>WEEKNUM(Table1[[#This Row],[order_date]])</f>
        <v>52</v>
      </c>
      <c r="R1479">
        <f>IF(Table1[[#This Row],[order_status]]="completed",1,0)</f>
        <v>0</v>
      </c>
    </row>
    <row r="1480" spans="1:18" x14ac:dyDescent="0.35">
      <c r="A1480">
        <v>1479</v>
      </c>
      <c r="B1480" s="1">
        <v>45992</v>
      </c>
      <c r="C1480">
        <v>1149</v>
      </c>
      <c r="D1480" t="s">
        <v>15</v>
      </c>
      <c r="E1480" t="s">
        <v>23</v>
      </c>
      <c r="F1480" t="s">
        <v>17</v>
      </c>
      <c r="G1480">
        <v>5</v>
      </c>
      <c r="H1480">
        <v>4655</v>
      </c>
      <c r="I1480" t="s">
        <v>25</v>
      </c>
      <c r="J1480" t="s">
        <v>19</v>
      </c>
      <c r="K1480" t="s">
        <v>20</v>
      </c>
      <c r="L1480">
        <v>1</v>
      </c>
      <c r="M1480">
        <v>1</v>
      </c>
      <c r="N1480">
        <v>0</v>
      </c>
      <c r="O1480" t="s">
        <v>21</v>
      </c>
      <c r="P1480" t="str">
        <f>TEXT(Table1[[#This Row],[order_date]],"yyyy-mm")</f>
        <v>2025-12</v>
      </c>
      <c r="Q1480">
        <f>WEEKNUM(Table1[[#This Row],[order_date]])</f>
        <v>49</v>
      </c>
      <c r="R1480">
        <f>IF(Table1[[#This Row],[order_status]]="completed",1,0)</f>
        <v>1</v>
      </c>
    </row>
    <row r="1481" spans="1:18" x14ac:dyDescent="0.35">
      <c r="A1481">
        <v>1480</v>
      </c>
      <c r="B1481" s="1">
        <v>45887</v>
      </c>
      <c r="C1481">
        <v>1532</v>
      </c>
      <c r="D1481" t="s">
        <v>32</v>
      </c>
      <c r="E1481" t="s">
        <v>16</v>
      </c>
      <c r="F1481" t="s">
        <v>24</v>
      </c>
      <c r="G1481">
        <v>1</v>
      </c>
      <c r="H1481">
        <v>4214</v>
      </c>
      <c r="I1481" t="s">
        <v>25</v>
      </c>
      <c r="J1481" t="s">
        <v>19</v>
      </c>
      <c r="K1481" t="s">
        <v>40</v>
      </c>
      <c r="L1481">
        <v>2</v>
      </c>
      <c r="M1481">
        <v>0</v>
      </c>
      <c r="N1481">
        <v>0</v>
      </c>
      <c r="O1481" t="s">
        <v>21</v>
      </c>
      <c r="P1481" t="str">
        <f>TEXT(Table1[[#This Row],[order_date]],"yyyy-mm")</f>
        <v>2025-08</v>
      </c>
      <c r="Q1481">
        <f>WEEKNUM(Table1[[#This Row],[order_date]])</f>
        <v>34</v>
      </c>
      <c r="R1481">
        <f>IF(Table1[[#This Row],[order_status]]="completed",1,0)</f>
        <v>1</v>
      </c>
    </row>
    <row r="1482" spans="1:18" x14ac:dyDescent="0.35">
      <c r="A1482">
        <v>1481</v>
      </c>
      <c r="B1482" s="1">
        <v>46031</v>
      </c>
      <c r="C1482">
        <v>1710</v>
      </c>
      <c r="D1482" t="s">
        <v>28</v>
      </c>
      <c r="E1482" t="s">
        <v>36</v>
      </c>
      <c r="F1482" t="s">
        <v>34</v>
      </c>
      <c r="G1482">
        <v>4</v>
      </c>
      <c r="H1482">
        <v>0</v>
      </c>
      <c r="I1482" t="s">
        <v>25</v>
      </c>
      <c r="J1482" t="s">
        <v>37</v>
      </c>
      <c r="K1482" t="s">
        <v>38</v>
      </c>
      <c r="L1482">
        <v>4</v>
      </c>
      <c r="M1482">
        <v>1</v>
      </c>
      <c r="N1482">
        <v>1</v>
      </c>
      <c r="O1482" t="s">
        <v>27</v>
      </c>
      <c r="P1482" t="str">
        <f>TEXT(Table1[[#This Row],[order_date]],"yyyy-mm")</f>
        <v>2026-01</v>
      </c>
      <c r="Q1482">
        <f>WEEKNUM(Table1[[#This Row],[order_date]])</f>
        <v>2</v>
      </c>
      <c r="R1482">
        <f>IF(Table1[[#This Row],[order_status]]="completed",1,0)</f>
        <v>0</v>
      </c>
    </row>
    <row r="1483" spans="1:18" x14ac:dyDescent="0.35">
      <c r="A1483">
        <v>1482</v>
      </c>
      <c r="B1483" s="1">
        <v>45854</v>
      </c>
      <c r="C1483">
        <v>1145</v>
      </c>
      <c r="D1483" t="s">
        <v>41</v>
      </c>
      <c r="E1483" t="s">
        <v>23</v>
      </c>
      <c r="F1483" t="s">
        <v>34</v>
      </c>
      <c r="G1483">
        <v>4</v>
      </c>
      <c r="H1483">
        <v>0</v>
      </c>
      <c r="I1483" t="s">
        <v>18</v>
      </c>
      <c r="J1483" t="s">
        <v>37</v>
      </c>
      <c r="K1483" t="s">
        <v>40</v>
      </c>
      <c r="L1483">
        <v>3</v>
      </c>
      <c r="M1483">
        <v>0</v>
      </c>
      <c r="N1483">
        <v>0</v>
      </c>
      <c r="O1483" t="s">
        <v>21</v>
      </c>
      <c r="P1483" t="str">
        <f>TEXT(Table1[[#This Row],[order_date]],"yyyy-mm")</f>
        <v>2025-07</v>
      </c>
      <c r="Q1483">
        <f>WEEKNUM(Table1[[#This Row],[order_date]])</f>
        <v>29</v>
      </c>
      <c r="R1483">
        <f>IF(Table1[[#This Row],[order_status]]="completed",1,0)</f>
        <v>0</v>
      </c>
    </row>
    <row r="1484" spans="1:18" x14ac:dyDescent="0.35">
      <c r="A1484">
        <v>1483</v>
      </c>
      <c r="B1484" s="1">
        <v>45990</v>
      </c>
      <c r="C1484">
        <v>1561</v>
      </c>
      <c r="D1484" t="s">
        <v>28</v>
      </c>
      <c r="E1484" t="s">
        <v>29</v>
      </c>
      <c r="F1484" t="s">
        <v>30</v>
      </c>
      <c r="G1484">
        <v>5</v>
      </c>
      <c r="H1484">
        <v>0</v>
      </c>
      <c r="I1484" t="s">
        <v>35</v>
      </c>
      <c r="J1484" t="s">
        <v>37</v>
      </c>
      <c r="K1484" t="s">
        <v>26</v>
      </c>
      <c r="L1484">
        <v>10</v>
      </c>
      <c r="M1484">
        <v>1</v>
      </c>
      <c r="N1484">
        <v>0</v>
      </c>
      <c r="O1484" t="s">
        <v>27</v>
      </c>
      <c r="P1484" t="str">
        <f>TEXT(Table1[[#This Row],[order_date]],"yyyy-mm")</f>
        <v>2025-11</v>
      </c>
      <c r="Q1484">
        <f>WEEKNUM(Table1[[#This Row],[order_date]])</f>
        <v>48</v>
      </c>
      <c r="R1484">
        <f>IF(Table1[[#This Row],[order_status]]="completed",1,0)</f>
        <v>0</v>
      </c>
    </row>
    <row r="1485" spans="1:18" x14ac:dyDescent="0.35">
      <c r="A1485">
        <v>1484</v>
      </c>
      <c r="B1485" s="1">
        <v>45964</v>
      </c>
      <c r="C1485">
        <v>1874</v>
      </c>
      <c r="D1485" t="s">
        <v>28</v>
      </c>
      <c r="E1485" t="s">
        <v>33</v>
      </c>
      <c r="F1485" t="s">
        <v>30</v>
      </c>
      <c r="G1485">
        <v>3</v>
      </c>
      <c r="H1485">
        <v>9219</v>
      </c>
      <c r="I1485" t="s">
        <v>18</v>
      </c>
      <c r="J1485" t="s">
        <v>19</v>
      </c>
      <c r="K1485" t="s">
        <v>20</v>
      </c>
      <c r="L1485">
        <v>1</v>
      </c>
      <c r="M1485">
        <v>1</v>
      </c>
      <c r="N1485">
        <v>1</v>
      </c>
      <c r="O1485" t="s">
        <v>27</v>
      </c>
      <c r="P1485" t="str">
        <f>TEXT(Table1[[#This Row],[order_date]],"yyyy-mm")</f>
        <v>2025-11</v>
      </c>
      <c r="Q1485">
        <f>WEEKNUM(Table1[[#This Row],[order_date]])</f>
        <v>45</v>
      </c>
      <c r="R1485">
        <f>IF(Table1[[#This Row],[order_status]]="completed",1,0)</f>
        <v>1</v>
      </c>
    </row>
    <row r="1486" spans="1:18" x14ac:dyDescent="0.35">
      <c r="A1486">
        <v>1485</v>
      </c>
      <c r="B1486" s="1">
        <v>46013</v>
      </c>
      <c r="C1486">
        <v>1411</v>
      </c>
      <c r="D1486" t="s">
        <v>15</v>
      </c>
      <c r="E1486" t="s">
        <v>36</v>
      </c>
      <c r="F1486" t="s">
        <v>34</v>
      </c>
      <c r="G1486">
        <v>2</v>
      </c>
      <c r="H1486">
        <v>0</v>
      </c>
      <c r="I1486" t="s">
        <v>18</v>
      </c>
      <c r="J1486" t="s">
        <v>31</v>
      </c>
      <c r="K1486" t="s">
        <v>40</v>
      </c>
      <c r="L1486">
        <v>10</v>
      </c>
      <c r="M1486">
        <v>1</v>
      </c>
      <c r="N1486">
        <v>0</v>
      </c>
      <c r="O1486" t="s">
        <v>21</v>
      </c>
      <c r="P1486" t="str">
        <f>TEXT(Table1[[#This Row],[order_date]],"yyyy-mm")</f>
        <v>2025-12</v>
      </c>
      <c r="Q1486">
        <f>WEEKNUM(Table1[[#This Row],[order_date]])</f>
        <v>52</v>
      </c>
      <c r="R1486">
        <f>IF(Table1[[#This Row],[order_status]]="completed",1,0)</f>
        <v>0</v>
      </c>
    </row>
    <row r="1487" spans="1:18" x14ac:dyDescent="0.35">
      <c r="A1487">
        <v>1486</v>
      </c>
      <c r="B1487" s="1">
        <v>45965</v>
      </c>
      <c r="C1487">
        <v>1578</v>
      </c>
      <c r="D1487" t="s">
        <v>15</v>
      </c>
      <c r="E1487" t="s">
        <v>29</v>
      </c>
      <c r="F1487" t="s">
        <v>34</v>
      </c>
      <c r="G1487">
        <v>5</v>
      </c>
      <c r="H1487">
        <v>0</v>
      </c>
      <c r="I1487" t="s">
        <v>25</v>
      </c>
      <c r="J1487" t="s">
        <v>37</v>
      </c>
      <c r="K1487" t="s">
        <v>20</v>
      </c>
      <c r="L1487">
        <v>2</v>
      </c>
      <c r="M1487">
        <v>1</v>
      </c>
      <c r="N1487">
        <v>0</v>
      </c>
      <c r="O1487" t="s">
        <v>21</v>
      </c>
      <c r="P1487" t="str">
        <f>TEXT(Table1[[#This Row],[order_date]],"yyyy-mm")</f>
        <v>2025-11</v>
      </c>
      <c r="Q1487">
        <f>WEEKNUM(Table1[[#This Row],[order_date]])</f>
        <v>45</v>
      </c>
      <c r="R1487">
        <f>IF(Table1[[#This Row],[order_status]]="completed",1,0)</f>
        <v>0</v>
      </c>
    </row>
    <row r="1488" spans="1:18" x14ac:dyDescent="0.35">
      <c r="A1488">
        <v>1487</v>
      </c>
      <c r="B1488" s="1">
        <v>45977</v>
      </c>
      <c r="C1488">
        <v>1870</v>
      </c>
      <c r="D1488" t="s">
        <v>22</v>
      </c>
      <c r="E1488" t="s">
        <v>33</v>
      </c>
      <c r="F1488" t="s">
        <v>30</v>
      </c>
      <c r="G1488">
        <v>2</v>
      </c>
      <c r="H1488">
        <v>9388</v>
      </c>
      <c r="I1488" t="s">
        <v>39</v>
      </c>
      <c r="J1488" t="s">
        <v>19</v>
      </c>
      <c r="K1488" t="s">
        <v>40</v>
      </c>
      <c r="L1488">
        <v>3</v>
      </c>
      <c r="M1488">
        <v>0</v>
      </c>
      <c r="N1488">
        <v>1</v>
      </c>
      <c r="O1488" t="s">
        <v>27</v>
      </c>
      <c r="P1488" t="str">
        <f>TEXT(Table1[[#This Row],[order_date]],"yyyy-mm")</f>
        <v>2025-11</v>
      </c>
      <c r="Q1488">
        <f>WEEKNUM(Table1[[#This Row],[order_date]])</f>
        <v>47</v>
      </c>
      <c r="R1488">
        <f>IF(Table1[[#This Row],[order_status]]="completed",1,0)</f>
        <v>1</v>
      </c>
    </row>
    <row r="1489" spans="1:18" x14ac:dyDescent="0.35">
      <c r="A1489">
        <v>1488</v>
      </c>
      <c r="B1489" s="1">
        <v>45972</v>
      </c>
      <c r="C1489">
        <v>1726</v>
      </c>
      <c r="D1489" t="s">
        <v>28</v>
      </c>
      <c r="E1489" t="s">
        <v>36</v>
      </c>
      <c r="F1489" t="s">
        <v>30</v>
      </c>
      <c r="G1489">
        <v>4</v>
      </c>
      <c r="H1489">
        <v>0</v>
      </c>
      <c r="I1489" t="s">
        <v>25</v>
      </c>
      <c r="J1489" t="s">
        <v>31</v>
      </c>
      <c r="K1489" t="s">
        <v>20</v>
      </c>
      <c r="L1489">
        <v>8</v>
      </c>
      <c r="M1489">
        <v>0</v>
      </c>
      <c r="N1489">
        <v>1</v>
      </c>
      <c r="O1489" t="s">
        <v>27</v>
      </c>
      <c r="P1489" t="str">
        <f>TEXT(Table1[[#This Row],[order_date]],"yyyy-mm")</f>
        <v>2025-11</v>
      </c>
      <c r="Q1489">
        <f>WEEKNUM(Table1[[#This Row],[order_date]])</f>
        <v>46</v>
      </c>
      <c r="R1489">
        <f>IF(Table1[[#This Row],[order_status]]="completed",1,0)</f>
        <v>0</v>
      </c>
    </row>
    <row r="1490" spans="1:18" x14ac:dyDescent="0.35">
      <c r="A1490">
        <v>1489</v>
      </c>
      <c r="B1490" s="1">
        <v>45896</v>
      </c>
      <c r="C1490">
        <v>1672</v>
      </c>
      <c r="D1490" t="s">
        <v>15</v>
      </c>
      <c r="E1490" t="s">
        <v>29</v>
      </c>
      <c r="F1490" t="s">
        <v>24</v>
      </c>
      <c r="G1490">
        <v>3</v>
      </c>
      <c r="H1490">
        <v>2340</v>
      </c>
      <c r="I1490" t="s">
        <v>25</v>
      </c>
      <c r="J1490" t="s">
        <v>19</v>
      </c>
      <c r="K1490" t="s">
        <v>26</v>
      </c>
      <c r="L1490">
        <v>4</v>
      </c>
      <c r="M1490">
        <v>0</v>
      </c>
      <c r="N1490">
        <v>1</v>
      </c>
      <c r="O1490" t="s">
        <v>21</v>
      </c>
      <c r="P1490" t="str">
        <f>TEXT(Table1[[#This Row],[order_date]],"yyyy-mm")</f>
        <v>2025-08</v>
      </c>
      <c r="Q1490">
        <f>WEEKNUM(Table1[[#This Row],[order_date]])</f>
        <v>35</v>
      </c>
      <c r="R1490">
        <f>IF(Table1[[#This Row],[order_status]]="completed",1,0)</f>
        <v>1</v>
      </c>
    </row>
    <row r="1491" spans="1:18" x14ac:dyDescent="0.35">
      <c r="A1491">
        <v>1490</v>
      </c>
      <c r="B1491" s="1">
        <v>45989</v>
      </c>
      <c r="C1491">
        <v>1605</v>
      </c>
      <c r="D1491" t="s">
        <v>28</v>
      </c>
      <c r="E1491" t="s">
        <v>29</v>
      </c>
      <c r="F1491" t="s">
        <v>24</v>
      </c>
      <c r="G1491">
        <v>4</v>
      </c>
      <c r="H1491">
        <v>11544</v>
      </c>
      <c r="I1491" t="s">
        <v>18</v>
      </c>
      <c r="J1491" t="s">
        <v>19</v>
      </c>
      <c r="K1491" t="s">
        <v>38</v>
      </c>
      <c r="L1491">
        <v>2</v>
      </c>
      <c r="M1491">
        <v>0</v>
      </c>
      <c r="N1491">
        <v>1</v>
      </c>
      <c r="O1491" t="s">
        <v>21</v>
      </c>
      <c r="P1491" t="str">
        <f>TEXT(Table1[[#This Row],[order_date]],"yyyy-mm")</f>
        <v>2025-11</v>
      </c>
      <c r="Q1491">
        <f>WEEKNUM(Table1[[#This Row],[order_date]])</f>
        <v>48</v>
      </c>
      <c r="R1491">
        <f>IF(Table1[[#This Row],[order_status]]="completed",1,0)</f>
        <v>1</v>
      </c>
    </row>
    <row r="1492" spans="1:18" x14ac:dyDescent="0.35">
      <c r="A1492">
        <v>1491</v>
      </c>
      <c r="B1492" s="1">
        <v>45978</v>
      </c>
      <c r="C1492">
        <v>1286</v>
      </c>
      <c r="D1492" t="s">
        <v>22</v>
      </c>
      <c r="E1492" t="s">
        <v>23</v>
      </c>
      <c r="F1492" t="s">
        <v>17</v>
      </c>
      <c r="G1492">
        <v>4</v>
      </c>
      <c r="H1492">
        <v>0</v>
      </c>
      <c r="I1492" t="s">
        <v>25</v>
      </c>
      <c r="J1492" t="s">
        <v>31</v>
      </c>
      <c r="K1492" t="s">
        <v>20</v>
      </c>
      <c r="L1492">
        <v>8</v>
      </c>
      <c r="M1492">
        <v>0</v>
      </c>
      <c r="N1492">
        <v>1</v>
      </c>
      <c r="O1492" t="s">
        <v>21</v>
      </c>
      <c r="P1492" t="str">
        <f>TEXT(Table1[[#This Row],[order_date]],"yyyy-mm")</f>
        <v>2025-11</v>
      </c>
      <c r="Q1492">
        <f>WEEKNUM(Table1[[#This Row],[order_date]])</f>
        <v>47</v>
      </c>
      <c r="R1492">
        <f>IF(Table1[[#This Row],[order_status]]="completed",1,0)</f>
        <v>0</v>
      </c>
    </row>
    <row r="1493" spans="1:18" x14ac:dyDescent="0.35">
      <c r="A1493">
        <v>1492</v>
      </c>
      <c r="B1493" s="1">
        <v>45861</v>
      </c>
      <c r="C1493">
        <v>1706</v>
      </c>
      <c r="D1493" t="s">
        <v>22</v>
      </c>
      <c r="E1493" t="s">
        <v>23</v>
      </c>
      <c r="F1493" t="s">
        <v>30</v>
      </c>
      <c r="G1493">
        <v>2</v>
      </c>
      <c r="H1493">
        <v>0</v>
      </c>
      <c r="I1493" t="s">
        <v>35</v>
      </c>
      <c r="J1493" t="s">
        <v>31</v>
      </c>
      <c r="K1493" t="s">
        <v>20</v>
      </c>
      <c r="L1493">
        <v>3</v>
      </c>
      <c r="M1493">
        <v>0</v>
      </c>
      <c r="N1493">
        <v>1</v>
      </c>
      <c r="O1493" t="s">
        <v>27</v>
      </c>
      <c r="P1493" t="str">
        <f>TEXT(Table1[[#This Row],[order_date]],"yyyy-mm")</f>
        <v>2025-07</v>
      </c>
      <c r="Q1493">
        <f>WEEKNUM(Table1[[#This Row],[order_date]])</f>
        <v>30</v>
      </c>
      <c r="R1493">
        <f>IF(Table1[[#This Row],[order_status]]="completed",1,0)</f>
        <v>0</v>
      </c>
    </row>
    <row r="1494" spans="1:18" x14ac:dyDescent="0.35">
      <c r="A1494">
        <v>1493</v>
      </c>
      <c r="B1494" s="1">
        <v>46000</v>
      </c>
      <c r="C1494">
        <v>1906</v>
      </c>
      <c r="D1494" t="s">
        <v>32</v>
      </c>
      <c r="E1494" t="s">
        <v>23</v>
      </c>
      <c r="F1494" t="s">
        <v>24</v>
      </c>
      <c r="G1494">
        <v>4</v>
      </c>
      <c r="H1494">
        <v>0</v>
      </c>
      <c r="I1494" t="s">
        <v>35</v>
      </c>
      <c r="J1494" t="s">
        <v>31</v>
      </c>
      <c r="K1494" t="s">
        <v>20</v>
      </c>
      <c r="L1494">
        <v>6</v>
      </c>
      <c r="M1494">
        <v>1</v>
      </c>
      <c r="N1494">
        <v>0</v>
      </c>
      <c r="O1494" t="s">
        <v>27</v>
      </c>
      <c r="P1494" t="str">
        <f>TEXT(Table1[[#This Row],[order_date]],"yyyy-mm")</f>
        <v>2025-12</v>
      </c>
      <c r="Q1494">
        <f>WEEKNUM(Table1[[#This Row],[order_date]])</f>
        <v>50</v>
      </c>
      <c r="R1494">
        <f>IF(Table1[[#This Row],[order_status]]="completed",1,0)</f>
        <v>0</v>
      </c>
    </row>
    <row r="1495" spans="1:18" x14ac:dyDescent="0.35">
      <c r="A1495">
        <v>1494</v>
      </c>
      <c r="B1495" s="1">
        <v>45894</v>
      </c>
      <c r="C1495">
        <v>1978</v>
      </c>
      <c r="D1495" t="s">
        <v>22</v>
      </c>
      <c r="E1495" t="s">
        <v>23</v>
      </c>
      <c r="F1495" t="s">
        <v>17</v>
      </c>
      <c r="G1495">
        <v>2</v>
      </c>
      <c r="H1495">
        <v>0</v>
      </c>
      <c r="I1495" t="s">
        <v>18</v>
      </c>
      <c r="J1495" t="s">
        <v>37</v>
      </c>
      <c r="K1495" t="s">
        <v>38</v>
      </c>
      <c r="L1495">
        <v>2</v>
      </c>
      <c r="M1495">
        <v>1</v>
      </c>
      <c r="N1495">
        <v>0</v>
      </c>
      <c r="O1495" t="s">
        <v>21</v>
      </c>
      <c r="P1495" t="str">
        <f>TEXT(Table1[[#This Row],[order_date]],"yyyy-mm")</f>
        <v>2025-08</v>
      </c>
      <c r="Q1495">
        <f>WEEKNUM(Table1[[#This Row],[order_date]])</f>
        <v>35</v>
      </c>
      <c r="R1495">
        <f>IF(Table1[[#This Row],[order_status]]="completed",1,0)</f>
        <v>0</v>
      </c>
    </row>
    <row r="1496" spans="1:18" x14ac:dyDescent="0.35">
      <c r="A1496">
        <v>1495</v>
      </c>
      <c r="B1496" s="1">
        <v>45968</v>
      </c>
      <c r="C1496">
        <v>1601</v>
      </c>
      <c r="D1496" t="s">
        <v>32</v>
      </c>
      <c r="E1496" t="s">
        <v>33</v>
      </c>
      <c r="F1496" t="s">
        <v>24</v>
      </c>
      <c r="G1496">
        <v>4</v>
      </c>
      <c r="H1496">
        <v>0</v>
      </c>
      <c r="I1496" t="s">
        <v>18</v>
      </c>
      <c r="J1496" t="s">
        <v>31</v>
      </c>
      <c r="K1496" t="s">
        <v>20</v>
      </c>
      <c r="L1496">
        <v>3</v>
      </c>
      <c r="M1496">
        <v>1</v>
      </c>
      <c r="N1496">
        <v>1</v>
      </c>
      <c r="O1496" t="s">
        <v>21</v>
      </c>
      <c r="P1496" t="str">
        <f>TEXT(Table1[[#This Row],[order_date]],"yyyy-mm")</f>
        <v>2025-11</v>
      </c>
      <c r="Q1496">
        <f>WEEKNUM(Table1[[#This Row],[order_date]])</f>
        <v>45</v>
      </c>
      <c r="R1496">
        <f>IF(Table1[[#This Row],[order_status]]="completed",1,0)</f>
        <v>0</v>
      </c>
    </row>
    <row r="1497" spans="1:18" x14ac:dyDescent="0.35">
      <c r="A1497">
        <v>1496</v>
      </c>
      <c r="B1497" s="1">
        <v>45978</v>
      </c>
      <c r="C1497">
        <v>1676</v>
      </c>
      <c r="D1497" t="s">
        <v>41</v>
      </c>
      <c r="E1497" t="s">
        <v>36</v>
      </c>
      <c r="F1497" t="s">
        <v>30</v>
      </c>
      <c r="G1497">
        <v>4</v>
      </c>
      <c r="H1497">
        <v>0</v>
      </c>
      <c r="I1497" t="s">
        <v>18</v>
      </c>
      <c r="J1497" t="s">
        <v>31</v>
      </c>
      <c r="K1497" t="s">
        <v>26</v>
      </c>
      <c r="L1497">
        <v>4</v>
      </c>
      <c r="M1497">
        <v>1</v>
      </c>
      <c r="N1497">
        <v>0</v>
      </c>
      <c r="O1497" t="s">
        <v>27</v>
      </c>
      <c r="P1497" t="str">
        <f>TEXT(Table1[[#This Row],[order_date]],"yyyy-mm")</f>
        <v>2025-11</v>
      </c>
      <c r="Q1497">
        <f>WEEKNUM(Table1[[#This Row],[order_date]])</f>
        <v>47</v>
      </c>
      <c r="R1497">
        <f>IF(Table1[[#This Row],[order_status]]="completed",1,0)</f>
        <v>0</v>
      </c>
    </row>
    <row r="1498" spans="1:18" x14ac:dyDescent="0.35">
      <c r="A1498">
        <v>1497</v>
      </c>
      <c r="B1498" s="1">
        <v>45957</v>
      </c>
      <c r="C1498">
        <v>1582</v>
      </c>
      <c r="D1498" t="s">
        <v>32</v>
      </c>
      <c r="E1498" t="s">
        <v>29</v>
      </c>
      <c r="F1498" t="s">
        <v>24</v>
      </c>
      <c r="G1498">
        <v>3</v>
      </c>
      <c r="H1498">
        <v>0</v>
      </c>
      <c r="I1498" t="s">
        <v>18</v>
      </c>
      <c r="J1498" t="s">
        <v>31</v>
      </c>
      <c r="K1498" t="s">
        <v>40</v>
      </c>
      <c r="L1498">
        <v>8</v>
      </c>
      <c r="M1498">
        <v>0</v>
      </c>
      <c r="N1498">
        <v>1</v>
      </c>
      <c r="O1498" t="s">
        <v>27</v>
      </c>
      <c r="P1498" t="str">
        <f>TEXT(Table1[[#This Row],[order_date]],"yyyy-mm")</f>
        <v>2025-10</v>
      </c>
      <c r="Q1498">
        <f>WEEKNUM(Table1[[#This Row],[order_date]])</f>
        <v>44</v>
      </c>
      <c r="R1498">
        <f>IF(Table1[[#This Row],[order_status]]="completed",1,0)</f>
        <v>0</v>
      </c>
    </row>
    <row r="1499" spans="1:18" x14ac:dyDescent="0.35">
      <c r="A1499">
        <v>1498</v>
      </c>
      <c r="B1499" s="1">
        <v>45917</v>
      </c>
      <c r="C1499">
        <v>1746</v>
      </c>
      <c r="D1499" t="s">
        <v>15</v>
      </c>
      <c r="E1499" t="s">
        <v>29</v>
      </c>
      <c r="F1499" t="s">
        <v>24</v>
      </c>
      <c r="G1499">
        <v>2</v>
      </c>
      <c r="H1499">
        <v>8990</v>
      </c>
      <c r="I1499" t="s">
        <v>39</v>
      </c>
      <c r="J1499" t="s">
        <v>19</v>
      </c>
      <c r="K1499" t="s">
        <v>38</v>
      </c>
      <c r="L1499">
        <v>4</v>
      </c>
      <c r="M1499">
        <v>0</v>
      </c>
      <c r="N1499">
        <v>0</v>
      </c>
      <c r="O1499" t="s">
        <v>21</v>
      </c>
      <c r="P1499" t="str">
        <f>TEXT(Table1[[#This Row],[order_date]],"yyyy-mm")</f>
        <v>2025-09</v>
      </c>
      <c r="Q1499">
        <f>WEEKNUM(Table1[[#This Row],[order_date]])</f>
        <v>38</v>
      </c>
      <c r="R1499">
        <f>IF(Table1[[#This Row],[order_status]]="completed",1,0)</f>
        <v>1</v>
      </c>
    </row>
    <row r="1500" spans="1:18" x14ac:dyDescent="0.35">
      <c r="A1500">
        <v>1499</v>
      </c>
      <c r="B1500" s="1">
        <v>45882</v>
      </c>
      <c r="C1500">
        <v>1498</v>
      </c>
      <c r="D1500" t="s">
        <v>32</v>
      </c>
      <c r="E1500" t="s">
        <v>33</v>
      </c>
      <c r="F1500" t="s">
        <v>17</v>
      </c>
      <c r="G1500">
        <v>5</v>
      </c>
      <c r="H1500">
        <v>0</v>
      </c>
      <c r="I1500" t="s">
        <v>25</v>
      </c>
      <c r="J1500" t="s">
        <v>37</v>
      </c>
      <c r="K1500" t="s">
        <v>40</v>
      </c>
      <c r="L1500">
        <v>8</v>
      </c>
      <c r="M1500">
        <v>0</v>
      </c>
      <c r="N1500">
        <v>0</v>
      </c>
      <c r="O1500" t="s">
        <v>27</v>
      </c>
      <c r="P1500" t="str">
        <f>TEXT(Table1[[#This Row],[order_date]],"yyyy-mm")</f>
        <v>2025-08</v>
      </c>
      <c r="Q1500">
        <f>WEEKNUM(Table1[[#This Row],[order_date]])</f>
        <v>33</v>
      </c>
      <c r="R1500">
        <f>IF(Table1[[#This Row],[order_status]]="completed",1,0)</f>
        <v>0</v>
      </c>
    </row>
    <row r="1501" spans="1:18" x14ac:dyDescent="0.35">
      <c r="A1501">
        <v>1500</v>
      </c>
      <c r="B1501" s="1">
        <v>45884</v>
      </c>
      <c r="C1501">
        <v>1437</v>
      </c>
      <c r="D1501" t="s">
        <v>32</v>
      </c>
      <c r="E1501" t="s">
        <v>23</v>
      </c>
      <c r="F1501" t="s">
        <v>34</v>
      </c>
      <c r="G1501">
        <v>3</v>
      </c>
      <c r="H1501">
        <v>0</v>
      </c>
      <c r="I1501" t="s">
        <v>35</v>
      </c>
      <c r="J1501" t="s">
        <v>37</v>
      </c>
      <c r="K1501" t="s">
        <v>38</v>
      </c>
      <c r="L1501">
        <v>4</v>
      </c>
      <c r="M1501">
        <v>0</v>
      </c>
      <c r="N1501">
        <v>0</v>
      </c>
      <c r="O1501" t="s">
        <v>21</v>
      </c>
      <c r="P1501" t="str">
        <f>TEXT(Table1[[#This Row],[order_date]],"yyyy-mm")</f>
        <v>2025-08</v>
      </c>
      <c r="Q1501">
        <f>WEEKNUM(Table1[[#This Row],[order_date]])</f>
        <v>33</v>
      </c>
      <c r="R1501">
        <f>IF(Table1[[#This Row],[order_status]]="completed",1,0)</f>
        <v>0</v>
      </c>
    </row>
    <row r="1502" spans="1:18" x14ac:dyDescent="0.35">
      <c r="A1502">
        <v>1501</v>
      </c>
      <c r="B1502" s="1">
        <v>45919</v>
      </c>
      <c r="C1502">
        <v>1113</v>
      </c>
      <c r="D1502" t="s">
        <v>41</v>
      </c>
      <c r="E1502" t="s">
        <v>16</v>
      </c>
      <c r="F1502" t="s">
        <v>34</v>
      </c>
      <c r="G1502">
        <v>5</v>
      </c>
      <c r="H1502">
        <v>0</v>
      </c>
      <c r="I1502" t="s">
        <v>35</v>
      </c>
      <c r="J1502" t="s">
        <v>31</v>
      </c>
      <c r="K1502" t="s">
        <v>20</v>
      </c>
      <c r="L1502">
        <v>9</v>
      </c>
      <c r="M1502">
        <v>0</v>
      </c>
      <c r="N1502">
        <v>1</v>
      </c>
      <c r="O1502" t="s">
        <v>27</v>
      </c>
      <c r="P1502" t="str">
        <f>TEXT(Table1[[#This Row],[order_date]],"yyyy-mm")</f>
        <v>2025-09</v>
      </c>
      <c r="Q1502">
        <f>WEEKNUM(Table1[[#This Row],[order_date]])</f>
        <v>38</v>
      </c>
      <c r="R1502">
        <f>IF(Table1[[#This Row],[order_status]]="completed",1,0)</f>
        <v>0</v>
      </c>
    </row>
    <row r="1503" spans="1:18" x14ac:dyDescent="0.35">
      <c r="A1503">
        <v>1502</v>
      </c>
      <c r="B1503" s="1">
        <v>45888</v>
      </c>
      <c r="C1503">
        <v>1122</v>
      </c>
      <c r="D1503" t="s">
        <v>32</v>
      </c>
      <c r="E1503" t="s">
        <v>29</v>
      </c>
      <c r="F1503" t="s">
        <v>17</v>
      </c>
      <c r="G1503">
        <v>1</v>
      </c>
      <c r="H1503">
        <v>3787</v>
      </c>
      <c r="I1503" t="s">
        <v>25</v>
      </c>
      <c r="J1503" t="s">
        <v>19</v>
      </c>
      <c r="K1503" t="s">
        <v>40</v>
      </c>
      <c r="L1503">
        <v>2</v>
      </c>
      <c r="M1503">
        <v>1</v>
      </c>
      <c r="N1503">
        <v>1</v>
      </c>
      <c r="O1503" t="s">
        <v>27</v>
      </c>
      <c r="P1503" t="str">
        <f>TEXT(Table1[[#This Row],[order_date]],"yyyy-mm")</f>
        <v>2025-08</v>
      </c>
      <c r="Q1503">
        <f>WEEKNUM(Table1[[#This Row],[order_date]])</f>
        <v>34</v>
      </c>
      <c r="R1503">
        <f>IF(Table1[[#This Row],[order_status]]="completed",1,0)</f>
        <v>1</v>
      </c>
    </row>
    <row r="1504" spans="1:18" x14ac:dyDescent="0.35">
      <c r="A1504">
        <v>1503</v>
      </c>
      <c r="B1504" s="1">
        <v>45904</v>
      </c>
      <c r="C1504">
        <v>1824</v>
      </c>
      <c r="D1504" t="s">
        <v>15</v>
      </c>
      <c r="E1504" t="s">
        <v>33</v>
      </c>
      <c r="F1504" t="s">
        <v>24</v>
      </c>
      <c r="G1504">
        <v>1</v>
      </c>
      <c r="H1504">
        <v>0</v>
      </c>
      <c r="I1504" t="s">
        <v>18</v>
      </c>
      <c r="J1504" t="s">
        <v>37</v>
      </c>
      <c r="K1504" t="s">
        <v>38</v>
      </c>
      <c r="L1504">
        <v>5</v>
      </c>
      <c r="M1504">
        <v>0</v>
      </c>
      <c r="N1504">
        <v>0</v>
      </c>
      <c r="O1504" t="s">
        <v>21</v>
      </c>
      <c r="P1504" t="str">
        <f>TEXT(Table1[[#This Row],[order_date]],"yyyy-mm")</f>
        <v>2025-09</v>
      </c>
      <c r="Q1504">
        <f>WEEKNUM(Table1[[#This Row],[order_date]])</f>
        <v>36</v>
      </c>
      <c r="R1504">
        <f>IF(Table1[[#This Row],[order_status]]="completed",1,0)</f>
        <v>0</v>
      </c>
    </row>
    <row r="1505" spans="1:18" x14ac:dyDescent="0.35">
      <c r="A1505">
        <v>1504</v>
      </c>
      <c r="B1505" s="1">
        <v>45883</v>
      </c>
      <c r="C1505">
        <v>1386</v>
      </c>
      <c r="D1505" t="s">
        <v>22</v>
      </c>
      <c r="E1505" t="s">
        <v>36</v>
      </c>
      <c r="F1505" t="s">
        <v>24</v>
      </c>
      <c r="G1505">
        <v>3</v>
      </c>
      <c r="H1505">
        <v>0</v>
      </c>
      <c r="I1505" t="s">
        <v>35</v>
      </c>
      <c r="J1505" t="s">
        <v>37</v>
      </c>
      <c r="K1505" t="s">
        <v>38</v>
      </c>
      <c r="L1505">
        <v>6</v>
      </c>
      <c r="M1505">
        <v>1</v>
      </c>
      <c r="N1505">
        <v>1</v>
      </c>
      <c r="O1505" t="s">
        <v>27</v>
      </c>
      <c r="P1505" t="str">
        <f>TEXT(Table1[[#This Row],[order_date]],"yyyy-mm")</f>
        <v>2025-08</v>
      </c>
      <c r="Q1505">
        <f>WEEKNUM(Table1[[#This Row],[order_date]])</f>
        <v>33</v>
      </c>
      <c r="R1505">
        <f>IF(Table1[[#This Row],[order_status]]="completed",1,0)</f>
        <v>0</v>
      </c>
    </row>
    <row r="1506" spans="1:18" x14ac:dyDescent="0.35">
      <c r="A1506">
        <v>1505</v>
      </c>
      <c r="B1506" s="1">
        <v>45967</v>
      </c>
      <c r="C1506">
        <v>1504</v>
      </c>
      <c r="D1506" t="s">
        <v>41</v>
      </c>
      <c r="E1506" t="s">
        <v>29</v>
      </c>
      <c r="F1506" t="s">
        <v>34</v>
      </c>
      <c r="G1506">
        <v>2</v>
      </c>
      <c r="H1506">
        <v>0</v>
      </c>
      <c r="I1506" t="s">
        <v>35</v>
      </c>
      <c r="J1506" t="s">
        <v>31</v>
      </c>
      <c r="K1506" t="s">
        <v>20</v>
      </c>
      <c r="L1506">
        <v>10</v>
      </c>
      <c r="M1506">
        <v>0</v>
      </c>
      <c r="N1506">
        <v>0</v>
      </c>
      <c r="O1506" t="s">
        <v>21</v>
      </c>
      <c r="P1506" t="str">
        <f>TEXT(Table1[[#This Row],[order_date]],"yyyy-mm")</f>
        <v>2025-11</v>
      </c>
      <c r="Q1506">
        <f>WEEKNUM(Table1[[#This Row],[order_date]])</f>
        <v>45</v>
      </c>
      <c r="R1506">
        <f>IF(Table1[[#This Row],[order_status]]="completed",1,0)</f>
        <v>0</v>
      </c>
    </row>
    <row r="1507" spans="1:18" x14ac:dyDescent="0.35">
      <c r="A1507">
        <v>1506</v>
      </c>
      <c r="B1507" s="1">
        <v>45968</v>
      </c>
      <c r="C1507">
        <v>1046</v>
      </c>
      <c r="D1507" t="s">
        <v>41</v>
      </c>
      <c r="E1507" t="s">
        <v>36</v>
      </c>
      <c r="F1507" t="s">
        <v>24</v>
      </c>
      <c r="G1507">
        <v>1</v>
      </c>
      <c r="H1507">
        <v>0</v>
      </c>
      <c r="I1507" t="s">
        <v>18</v>
      </c>
      <c r="J1507" t="s">
        <v>31</v>
      </c>
      <c r="K1507" t="s">
        <v>20</v>
      </c>
      <c r="L1507">
        <v>10</v>
      </c>
      <c r="M1507">
        <v>0</v>
      </c>
      <c r="N1507">
        <v>1</v>
      </c>
      <c r="O1507" t="s">
        <v>21</v>
      </c>
      <c r="P1507" t="str">
        <f>TEXT(Table1[[#This Row],[order_date]],"yyyy-mm")</f>
        <v>2025-11</v>
      </c>
      <c r="Q1507">
        <f>WEEKNUM(Table1[[#This Row],[order_date]])</f>
        <v>45</v>
      </c>
      <c r="R1507">
        <f>IF(Table1[[#This Row],[order_status]]="completed",1,0)</f>
        <v>0</v>
      </c>
    </row>
    <row r="1508" spans="1:18" x14ac:dyDescent="0.35">
      <c r="A1508">
        <v>1507</v>
      </c>
      <c r="B1508" s="1">
        <v>45978</v>
      </c>
      <c r="C1508">
        <v>1011</v>
      </c>
      <c r="D1508" t="s">
        <v>41</v>
      </c>
      <c r="E1508" t="s">
        <v>33</v>
      </c>
      <c r="F1508" t="s">
        <v>24</v>
      </c>
      <c r="G1508">
        <v>2</v>
      </c>
      <c r="H1508">
        <v>0</v>
      </c>
      <c r="I1508" t="s">
        <v>18</v>
      </c>
      <c r="J1508" t="s">
        <v>31</v>
      </c>
      <c r="K1508" t="s">
        <v>40</v>
      </c>
      <c r="L1508">
        <v>9</v>
      </c>
      <c r="M1508">
        <v>0</v>
      </c>
      <c r="N1508">
        <v>0</v>
      </c>
      <c r="O1508" t="s">
        <v>27</v>
      </c>
      <c r="P1508" t="str">
        <f>TEXT(Table1[[#This Row],[order_date]],"yyyy-mm")</f>
        <v>2025-11</v>
      </c>
      <c r="Q1508">
        <f>WEEKNUM(Table1[[#This Row],[order_date]])</f>
        <v>47</v>
      </c>
      <c r="R1508">
        <f>IF(Table1[[#This Row],[order_status]]="completed",1,0)</f>
        <v>0</v>
      </c>
    </row>
    <row r="1509" spans="1:18" x14ac:dyDescent="0.35">
      <c r="A1509">
        <v>1508</v>
      </c>
      <c r="B1509" s="1">
        <v>45871</v>
      </c>
      <c r="C1509">
        <v>1972</v>
      </c>
      <c r="D1509" t="s">
        <v>22</v>
      </c>
      <c r="E1509" t="s">
        <v>29</v>
      </c>
      <c r="F1509" t="s">
        <v>34</v>
      </c>
      <c r="G1509">
        <v>1</v>
      </c>
      <c r="H1509">
        <v>2850</v>
      </c>
      <c r="I1509" t="s">
        <v>18</v>
      </c>
      <c r="J1509" t="s">
        <v>19</v>
      </c>
      <c r="K1509" t="s">
        <v>38</v>
      </c>
      <c r="L1509">
        <v>9</v>
      </c>
      <c r="M1509">
        <v>1</v>
      </c>
      <c r="N1509">
        <v>0</v>
      </c>
      <c r="O1509" t="s">
        <v>27</v>
      </c>
      <c r="P1509" t="str">
        <f>TEXT(Table1[[#This Row],[order_date]],"yyyy-mm")</f>
        <v>2025-08</v>
      </c>
      <c r="Q1509">
        <f>WEEKNUM(Table1[[#This Row],[order_date]])</f>
        <v>31</v>
      </c>
      <c r="R1509">
        <f>IF(Table1[[#This Row],[order_status]]="completed",1,0)</f>
        <v>1</v>
      </c>
    </row>
    <row r="1510" spans="1:18" x14ac:dyDescent="0.35">
      <c r="A1510">
        <v>1509</v>
      </c>
      <c r="B1510" s="1">
        <v>45967</v>
      </c>
      <c r="C1510">
        <v>1821</v>
      </c>
      <c r="D1510" t="s">
        <v>22</v>
      </c>
      <c r="E1510" t="s">
        <v>33</v>
      </c>
      <c r="F1510" t="s">
        <v>17</v>
      </c>
      <c r="G1510">
        <v>1</v>
      </c>
      <c r="H1510">
        <v>1917</v>
      </c>
      <c r="I1510" t="s">
        <v>25</v>
      </c>
      <c r="J1510" t="s">
        <v>19</v>
      </c>
      <c r="K1510" t="s">
        <v>26</v>
      </c>
      <c r="L1510">
        <v>2</v>
      </c>
      <c r="M1510">
        <v>1</v>
      </c>
      <c r="N1510">
        <v>0</v>
      </c>
      <c r="O1510" t="s">
        <v>27</v>
      </c>
      <c r="P1510" t="str">
        <f>TEXT(Table1[[#This Row],[order_date]],"yyyy-mm")</f>
        <v>2025-11</v>
      </c>
      <c r="Q1510">
        <f>WEEKNUM(Table1[[#This Row],[order_date]])</f>
        <v>45</v>
      </c>
      <c r="R1510">
        <f>IF(Table1[[#This Row],[order_status]]="completed",1,0)</f>
        <v>1</v>
      </c>
    </row>
    <row r="1511" spans="1:18" x14ac:dyDescent="0.35">
      <c r="A1511">
        <v>1510</v>
      </c>
      <c r="B1511" s="1">
        <v>45972</v>
      </c>
      <c r="C1511">
        <v>1371</v>
      </c>
      <c r="D1511" t="s">
        <v>15</v>
      </c>
      <c r="E1511" t="s">
        <v>23</v>
      </c>
      <c r="F1511" t="s">
        <v>34</v>
      </c>
      <c r="G1511">
        <v>3</v>
      </c>
      <c r="H1511">
        <v>13086</v>
      </c>
      <c r="I1511" t="s">
        <v>25</v>
      </c>
      <c r="J1511" t="s">
        <v>19</v>
      </c>
      <c r="K1511" t="s">
        <v>26</v>
      </c>
      <c r="L1511">
        <v>10</v>
      </c>
      <c r="M1511">
        <v>1</v>
      </c>
      <c r="N1511">
        <v>1</v>
      </c>
      <c r="O1511" t="s">
        <v>27</v>
      </c>
      <c r="P1511" t="str">
        <f>TEXT(Table1[[#This Row],[order_date]],"yyyy-mm")</f>
        <v>2025-11</v>
      </c>
      <c r="Q1511">
        <f>WEEKNUM(Table1[[#This Row],[order_date]])</f>
        <v>46</v>
      </c>
      <c r="R1511">
        <f>IF(Table1[[#This Row],[order_status]]="completed",1,0)</f>
        <v>1</v>
      </c>
    </row>
    <row r="1512" spans="1:18" x14ac:dyDescent="0.35">
      <c r="A1512">
        <v>1511</v>
      </c>
      <c r="B1512" s="1">
        <v>45986</v>
      </c>
      <c r="C1512">
        <v>1035</v>
      </c>
      <c r="D1512" t="s">
        <v>15</v>
      </c>
      <c r="E1512" t="s">
        <v>29</v>
      </c>
      <c r="F1512" t="s">
        <v>24</v>
      </c>
      <c r="G1512">
        <v>1</v>
      </c>
      <c r="H1512">
        <v>0</v>
      </c>
      <c r="I1512" t="s">
        <v>18</v>
      </c>
      <c r="J1512" t="s">
        <v>31</v>
      </c>
      <c r="K1512" t="s">
        <v>38</v>
      </c>
      <c r="L1512">
        <v>7</v>
      </c>
      <c r="M1512">
        <v>1</v>
      </c>
      <c r="N1512">
        <v>0</v>
      </c>
      <c r="O1512" t="s">
        <v>21</v>
      </c>
      <c r="P1512" t="str">
        <f>TEXT(Table1[[#This Row],[order_date]],"yyyy-mm")</f>
        <v>2025-11</v>
      </c>
      <c r="Q1512">
        <f>WEEKNUM(Table1[[#This Row],[order_date]])</f>
        <v>48</v>
      </c>
      <c r="R1512">
        <f>IF(Table1[[#This Row],[order_status]]="completed",1,0)</f>
        <v>0</v>
      </c>
    </row>
    <row r="1513" spans="1:18" x14ac:dyDescent="0.35">
      <c r="A1513">
        <v>1512</v>
      </c>
      <c r="B1513" s="1">
        <v>46029</v>
      </c>
      <c r="C1513">
        <v>1205</v>
      </c>
      <c r="D1513" t="s">
        <v>28</v>
      </c>
      <c r="E1513" t="s">
        <v>23</v>
      </c>
      <c r="F1513" t="s">
        <v>30</v>
      </c>
      <c r="G1513">
        <v>1</v>
      </c>
      <c r="H1513">
        <v>0</v>
      </c>
      <c r="I1513" t="s">
        <v>25</v>
      </c>
      <c r="J1513" t="s">
        <v>31</v>
      </c>
      <c r="K1513" t="s">
        <v>38</v>
      </c>
      <c r="L1513">
        <v>5</v>
      </c>
      <c r="M1513">
        <v>0</v>
      </c>
      <c r="N1513">
        <v>1</v>
      </c>
      <c r="O1513" t="s">
        <v>21</v>
      </c>
      <c r="P1513" t="str">
        <f>TEXT(Table1[[#This Row],[order_date]],"yyyy-mm")</f>
        <v>2026-01</v>
      </c>
      <c r="Q1513">
        <f>WEEKNUM(Table1[[#This Row],[order_date]])</f>
        <v>2</v>
      </c>
      <c r="R1513">
        <f>IF(Table1[[#This Row],[order_status]]="completed",1,0)</f>
        <v>0</v>
      </c>
    </row>
    <row r="1514" spans="1:18" x14ac:dyDescent="0.35">
      <c r="A1514">
        <v>1513</v>
      </c>
      <c r="B1514" s="1">
        <v>45908</v>
      </c>
      <c r="C1514">
        <v>1949</v>
      </c>
      <c r="D1514" t="s">
        <v>15</v>
      </c>
      <c r="E1514" t="s">
        <v>36</v>
      </c>
      <c r="F1514" t="s">
        <v>17</v>
      </c>
      <c r="G1514">
        <v>5</v>
      </c>
      <c r="H1514">
        <v>0</v>
      </c>
      <c r="I1514" t="s">
        <v>25</v>
      </c>
      <c r="J1514" t="s">
        <v>31</v>
      </c>
      <c r="K1514" t="s">
        <v>26</v>
      </c>
      <c r="L1514">
        <v>10</v>
      </c>
      <c r="M1514">
        <v>1</v>
      </c>
      <c r="N1514">
        <v>0</v>
      </c>
      <c r="O1514" t="s">
        <v>21</v>
      </c>
      <c r="P1514" t="str">
        <f>TEXT(Table1[[#This Row],[order_date]],"yyyy-mm")</f>
        <v>2025-09</v>
      </c>
      <c r="Q1514">
        <f>WEEKNUM(Table1[[#This Row],[order_date]])</f>
        <v>37</v>
      </c>
      <c r="R1514">
        <f>IF(Table1[[#This Row],[order_status]]="completed",1,0)</f>
        <v>0</v>
      </c>
    </row>
    <row r="1515" spans="1:18" x14ac:dyDescent="0.35">
      <c r="A1515">
        <v>1514</v>
      </c>
      <c r="B1515" s="1">
        <v>45852</v>
      </c>
      <c r="C1515">
        <v>1404</v>
      </c>
      <c r="D1515" t="s">
        <v>32</v>
      </c>
      <c r="E1515" t="s">
        <v>23</v>
      </c>
      <c r="F1515" t="s">
        <v>34</v>
      </c>
      <c r="G1515">
        <v>2</v>
      </c>
      <c r="H1515">
        <v>0</v>
      </c>
      <c r="I1515" t="s">
        <v>35</v>
      </c>
      <c r="J1515" t="s">
        <v>37</v>
      </c>
      <c r="K1515" t="s">
        <v>20</v>
      </c>
      <c r="L1515">
        <v>3</v>
      </c>
      <c r="M1515">
        <v>0</v>
      </c>
      <c r="N1515">
        <v>0</v>
      </c>
      <c r="O1515" t="s">
        <v>27</v>
      </c>
      <c r="P1515" t="str">
        <f>TEXT(Table1[[#This Row],[order_date]],"yyyy-mm")</f>
        <v>2025-07</v>
      </c>
      <c r="Q1515">
        <f>WEEKNUM(Table1[[#This Row],[order_date]])</f>
        <v>29</v>
      </c>
      <c r="R1515">
        <f>IF(Table1[[#This Row],[order_status]]="completed",1,0)</f>
        <v>0</v>
      </c>
    </row>
    <row r="1516" spans="1:18" x14ac:dyDescent="0.35">
      <c r="A1516">
        <v>1515</v>
      </c>
      <c r="B1516" s="1">
        <v>46012</v>
      </c>
      <c r="C1516">
        <v>1130</v>
      </c>
      <c r="D1516" t="s">
        <v>15</v>
      </c>
      <c r="E1516" t="s">
        <v>16</v>
      </c>
      <c r="F1516" t="s">
        <v>17</v>
      </c>
      <c r="G1516">
        <v>1</v>
      </c>
      <c r="H1516">
        <v>0</v>
      </c>
      <c r="I1516" t="s">
        <v>39</v>
      </c>
      <c r="J1516" t="s">
        <v>37</v>
      </c>
      <c r="K1516" t="s">
        <v>20</v>
      </c>
      <c r="L1516">
        <v>1</v>
      </c>
      <c r="M1516">
        <v>1</v>
      </c>
      <c r="N1516">
        <v>0</v>
      </c>
      <c r="O1516" t="s">
        <v>27</v>
      </c>
      <c r="P1516" t="str">
        <f>TEXT(Table1[[#This Row],[order_date]],"yyyy-mm")</f>
        <v>2025-12</v>
      </c>
      <c r="Q1516">
        <f>WEEKNUM(Table1[[#This Row],[order_date]])</f>
        <v>52</v>
      </c>
      <c r="R1516">
        <f>IF(Table1[[#This Row],[order_status]]="completed",1,0)</f>
        <v>0</v>
      </c>
    </row>
    <row r="1517" spans="1:18" x14ac:dyDescent="0.35">
      <c r="A1517">
        <v>1516</v>
      </c>
      <c r="B1517" s="1">
        <v>45955</v>
      </c>
      <c r="C1517">
        <v>1224</v>
      </c>
      <c r="D1517" t="s">
        <v>41</v>
      </c>
      <c r="E1517" t="s">
        <v>36</v>
      </c>
      <c r="F1517" t="s">
        <v>30</v>
      </c>
      <c r="G1517">
        <v>1</v>
      </c>
      <c r="H1517">
        <v>0</v>
      </c>
      <c r="I1517" t="s">
        <v>25</v>
      </c>
      <c r="J1517" t="s">
        <v>31</v>
      </c>
      <c r="K1517" t="s">
        <v>40</v>
      </c>
      <c r="L1517">
        <v>1</v>
      </c>
      <c r="M1517">
        <v>0</v>
      </c>
      <c r="N1517">
        <v>1</v>
      </c>
      <c r="O1517" t="s">
        <v>21</v>
      </c>
      <c r="P1517" t="str">
        <f>TEXT(Table1[[#This Row],[order_date]],"yyyy-mm")</f>
        <v>2025-10</v>
      </c>
      <c r="Q1517">
        <f>WEEKNUM(Table1[[#This Row],[order_date]])</f>
        <v>43</v>
      </c>
      <c r="R1517">
        <f>IF(Table1[[#This Row],[order_status]]="completed",1,0)</f>
        <v>0</v>
      </c>
    </row>
    <row r="1518" spans="1:18" x14ac:dyDescent="0.35">
      <c r="A1518">
        <v>1517</v>
      </c>
      <c r="B1518" s="1">
        <v>46006</v>
      </c>
      <c r="C1518">
        <v>1323</v>
      </c>
      <c r="D1518" t="s">
        <v>32</v>
      </c>
      <c r="E1518" t="s">
        <v>33</v>
      </c>
      <c r="F1518" t="s">
        <v>34</v>
      </c>
      <c r="G1518">
        <v>1</v>
      </c>
      <c r="H1518">
        <v>0</v>
      </c>
      <c r="I1518" t="s">
        <v>25</v>
      </c>
      <c r="J1518" t="s">
        <v>37</v>
      </c>
      <c r="K1518" t="s">
        <v>40</v>
      </c>
      <c r="L1518">
        <v>8</v>
      </c>
      <c r="M1518">
        <v>1</v>
      </c>
      <c r="N1518">
        <v>1</v>
      </c>
      <c r="O1518" t="s">
        <v>27</v>
      </c>
      <c r="P1518" t="str">
        <f>TEXT(Table1[[#This Row],[order_date]],"yyyy-mm")</f>
        <v>2025-12</v>
      </c>
      <c r="Q1518">
        <f>WEEKNUM(Table1[[#This Row],[order_date]])</f>
        <v>51</v>
      </c>
      <c r="R1518">
        <f>IF(Table1[[#This Row],[order_status]]="completed",1,0)</f>
        <v>0</v>
      </c>
    </row>
    <row r="1519" spans="1:18" x14ac:dyDescent="0.35">
      <c r="A1519">
        <v>1518</v>
      </c>
      <c r="B1519" s="1">
        <v>45985</v>
      </c>
      <c r="C1519">
        <v>1451</v>
      </c>
      <c r="D1519" t="s">
        <v>15</v>
      </c>
      <c r="E1519" t="s">
        <v>33</v>
      </c>
      <c r="F1519" t="s">
        <v>17</v>
      </c>
      <c r="G1519">
        <v>1</v>
      </c>
      <c r="H1519">
        <v>0</v>
      </c>
      <c r="I1519" t="s">
        <v>25</v>
      </c>
      <c r="J1519" t="s">
        <v>37</v>
      </c>
      <c r="K1519" t="s">
        <v>20</v>
      </c>
      <c r="L1519">
        <v>10</v>
      </c>
      <c r="M1519">
        <v>0</v>
      </c>
      <c r="N1519">
        <v>1</v>
      </c>
      <c r="O1519" t="s">
        <v>27</v>
      </c>
      <c r="P1519" t="str">
        <f>TEXT(Table1[[#This Row],[order_date]],"yyyy-mm")</f>
        <v>2025-11</v>
      </c>
      <c r="Q1519">
        <f>WEEKNUM(Table1[[#This Row],[order_date]])</f>
        <v>48</v>
      </c>
      <c r="R1519">
        <f>IF(Table1[[#This Row],[order_status]]="completed",1,0)</f>
        <v>0</v>
      </c>
    </row>
    <row r="1520" spans="1:18" x14ac:dyDescent="0.35">
      <c r="A1520">
        <v>1519</v>
      </c>
      <c r="B1520" s="1">
        <v>45986</v>
      </c>
      <c r="C1520">
        <v>1179</v>
      </c>
      <c r="D1520" t="s">
        <v>28</v>
      </c>
      <c r="E1520" t="s">
        <v>29</v>
      </c>
      <c r="F1520" t="s">
        <v>24</v>
      </c>
      <c r="G1520">
        <v>4</v>
      </c>
      <c r="H1520">
        <v>0</v>
      </c>
      <c r="I1520" t="s">
        <v>39</v>
      </c>
      <c r="J1520" t="s">
        <v>37</v>
      </c>
      <c r="K1520" t="s">
        <v>40</v>
      </c>
      <c r="L1520">
        <v>4</v>
      </c>
      <c r="M1520">
        <v>1</v>
      </c>
      <c r="N1520">
        <v>0</v>
      </c>
      <c r="O1520" t="s">
        <v>21</v>
      </c>
      <c r="P1520" t="str">
        <f>TEXT(Table1[[#This Row],[order_date]],"yyyy-mm")</f>
        <v>2025-11</v>
      </c>
      <c r="Q1520">
        <f>WEEKNUM(Table1[[#This Row],[order_date]])</f>
        <v>48</v>
      </c>
      <c r="R1520">
        <f>IF(Table1[[#This Row],[order_status]]="completed",1,0)</f>
        <v>0</v>
      </c>
    </row>
    <row r="1521" spans="1:18" x14ac:dyDescent="0.35">
      <c r="A1521">
        <v>1520</v>
      </c>
      <c r="B1521" s="1">
        <v>45882</v>
      </c>
      <c r="C1521">
        <v>1257</v>
      </c>
      <c r="D1521" t="s">
        <v>15</v>
      </c>
      <c r="E1521" t="s">
        <v>23</v>
      </c>
      <c r="F1521" t="s">
        <v>24</v>
      </c>
      <c r="G1521">
        <v>1</v>
      </c>
      <c r="H1521">
        <v>0</v>
      </c>
      <c r="I1521" t="s">
        <v>35</v>
      </c>
      <c r="J1521" t="s">
        <v>37</v>
      </c>
      <c r="K1521" t="s">
        <v>26</v>
      </c>
      <c r="L1521">
        <v>10</v>
      </c>
      <c r="M1521">
        <v>1</v>
      </c>
      <c r="N1521">
        <v>1</v>
      </c>
      <c r="O1521" t="s">
        <v>21</v>
      </c>
      <c r="P1521" t="str">
        <f>TEXT(Table1[[#This Row],[order_date]],"yyyy-mm")</f>
        <v>2025-08</v>
      </c>
      <c r="Q1521">
        <f>WEEKNUM(Table1[[#This Row],[order_date]])</f>
        <v>33</v>
      </c>
      <c r="R1521">
        <f>IF(Table1[[#This Row],[order_status]]="completed",1,0)</f>
        <v>0</v>
      </c>
    </row>
    <row r="1522" spans="1:18" x14ac:dyDescent="0.35">
      <c r="A1522">
        <v>1521</v>
      </c>
      <c r="B1522" s="1">
        <v>45982</v>
      </c>
      <c r="C1522">
        <v>1064</v>
      </c>
      <c r="D1522" t="s">
        <v>22</v>
      </c>
      <c r="E1522" t="s">
        <v>33</v>
      </c>
      <c r="F1522" t="s">
        <v>30</v>
      </c>
      <c r="G1522">
        <v>1</v>
      </c>
      <c r="H1522">
        <v>3023</v>
      </c>
      <c r="I1522" t="s">
        <v>25</v>
      </c>
      <c r="J1522" t="s">
        <v>19</v>
      </c>
      <c r="K1522" t="s">
        <v>26</v>
      </c>
      <c r="L1522">
        <v>10</v>
      </c>
      <c r="M1522">
        <v>0</v>
      </c>
      <c r="N1522">
        <v>0</v>
      </c>
      <c r="O1522" t="s">
        <v>21</v>
      </c>
      <c r="P1522" t="str">
        <f>TEXT(Table1[[#This Row],[order_date]],"yyyy-mm")</f>
        <v>2025-11</v>
      </c>
      <c r="Q1522">
        <f>WEEKNUM(Table1[[#This Row],[order_date]])</f>
        <v>47</v>
      </c>
      <c r="R1522">
        <f>IF(Table1[[#This Row],[order_status]]="completed",1,0)</f>
        <v>1</v>
      </c>
    </row>
    <row r="1523" spans="1:18" x14ac:dyDescent="0.35">
      <c r="A1523">
        <v>1522</v>
      </c>
      <c r="B1523" s="1">
        <v>45966</v>
      </c>
      <c r="C1523">
        <v>1955</v>
      </c>
      <c r="D1523" t="s">
        <v>15</v>
      </c>
      <c r="E1523" t="s">
        <v>36</v>
      </c>
      <c r="F1523" t="s">
        <v>17</v>
      </c>
      <c r="G1523">
        <v>2</v>
      </c>
      <c r="H1523">
        <v>0</v>
      </c>
      <c r="I1523" t="s">
        <v>39</v>
      </c>
      <c r="J1523" t="s">
        <v>31</v>
      </c>
      <c r="K1523" t="s">
        <v>38</v>
      </c>
      <c r="L1523">
        <v>4</v>
      </c>
      <c r="M1523">
        <v>1</v>
      </c>
      <c r="N1523">
        <v>1</v>
      </c>
      <c r="O1523" t="s">
        <v>21</v>
      </c>
      <c r="P1523" t="str">
        <f>TEXT(Table1[[#This Row],[order_date]],"yyyy-mm")</f>
        <v>2025-11</v>
      </c>
      <c r="Q1523">
        <f>WEEKNUM(Table1[[#This Row],[order_date]])</f>
        <v>45</v>
      </c>
      <c r="R1523">
        <f>IF(Table1[[#This Row],[order_status]]="completed",1,0)</f>
        <v>0</v>
      </c>
    </row>
    <row r="1524" spans="1:18" x14ac:dyDescent="0.35">
      <c r="A1524">
        <v>1523</v>
      </c>
      <c r="B1524" s="1">
        <v>45890</v>
      </c>
      <c r="C1524">
        <v>1805</v>
      </c>
      <c r="D1524" t="s">
        <v>28</v>
      </c>
      <c r="E1524" t="s">
        <v>16</v>
      </c>
      <c r="F1524" t="s">
        <v>24</v>
      </c>
      <c r="G1524">
        <v>5</v>
      </c>
      <c r="H1524">
        <v>0</v>
      </c>
      <c r="I1524" t="s">
        <v>35</v>
      </c>
      <c r="J1524" t="s">
        <v>37</v>
      </c>
      <c r="K1524" t="s">
        <v>38</v>
      </c>
      <c r="L1524">
        <v>5</v>
      </c>
      <c r="M1524">
        <v>0</v>
      </c>
      <c r="N1524">
        <v>1</v>
      </c>
      <c r="O1524" t="s">
        <v>21</v>
      </c>
      <c r="P1524" t="str">
        <f>TEXT(Table1[[#This Row],[order_date]],"yyyy-mm")</f>
        <v>2025-08</v>
      </c>
      <c r="Q1524">
        <f>WEEKNUM(Table1[[#This Row],[order_date]])</f>
        <v>34</v>
      </c>
      <c r="R1524">
        <f>IF(Table1[[#This Row],[order_status]]="completed",1,0)</f>
        <v>0</v>
      </c>
    </row>
    <row r="1525" spans="1:18" x14ac:dyDescent="0.35">
      <c r="A1525">
        <v>1524</v>
      </c>
      <c r="B1525" s="1">
        <v>45998</v>
      </c>
      <c r="C1525">
        <v>1711</v>
      </c>
      <c r="D1525" t="s">
        <v>41</v>
      </c>
      <c r="E1525" t="s">
        <v>16</v>
      </c>
      <c r="F1525" t="s">
        <v>17</v>
      </c>
      <c r="G1525">
        <v>3</v>
      </c>
      <c r="H1525">
        <v>0</v>
      </c>
      <c r="I1525" t="s">
        <v>39</v>
      </c>
      <c r="J1525" t="s">
        <v>37</v>
      </c>
      <c r="K1525" t="s">
        <v>38</v>
      </c>
      <c r="L1525">
        <v>7</v>
      </c>
      <c r="M1525">
        <v>1</v>
      </c>
      <c r="N1525">
        <v>0</v>
      </c>
      <c r="O1525" t="s">
        <v>21</v>
      </c>
      <c r="P1525" t="str">
        <f>TEXT(Table1[[#This Row],[order_date]],"yyyy-mm")</f>
        <v>2025-12</v>
      </c>
      <c r="Q1525">
        <f>WEEKNUM(Table1[[#This Row],[order_date]])</f>
        <v>50</v>
      </c>
      <c r="R1525">
        <f>IF(Table1[[#This Row],[order_status]]="completed",1,0)</f>
        <v>0</v>
      </c>
    </row>
    <row r="1526" spans="1:18" x14ac:dyDescent="0.35">
      <c r="A1526">
        <v>1525</v>
      </c>
      <c r="B1526" s="1">
        <v>45979</v>
      </c>
      <c r="C1526">
        <v>1760</v>
      </c>
      <c r="D1526" t="s">
        <v>22</v>
      </c>
      <c r="E1526" t="s">
        <v>33</v>
      </c>
      <c r="F1526" t="s">
        <v>34</v>
      </c>
      <c r="G1526">
        <v>3</v>
      </c>
      <c r="H1526">
        <v>0</v>
      </c>
      <c r="I1526" t="s">
        <v>35</v>
      </c>
      <c r="J1526" t="s">
        <v>37</v>
      </c>
      <c r="K1526" t="s">
        <v>40</v>
      </c>
      <c r="L1526">
        <v>4</v>
      </c>
      <c r="M1526">
        <v>1</v>
      </c>
      <c r="N1526">
        <v>1</v>
      </c>
      <c r="O1526" t="s">
        <v>21</v>
      </c>
      <c r="P1526" t="str">
        <f>TEXT(Table1[[#This Row],[order_date]],"yyyy-mm")</f>
        <v>2025-11</v>
      </c>
      <c r="Q1526">
        <f>WEEKNUM(Table1[[#This Row],[order_date]])</f>
        <v>47</v>
      </c>
      <c r="R1526">
        <f>IF(Table1[[#This Row],[order_status]]="completed",1,0)</f>
        <v>0</v>
      </c>
    </row>
    <row r="1527" spans="1:18" x14ac:dyDescent="0.35">
      <c r="A1527">
        <v>1526</v>
      </c>
      <c r="B1527" s="1">
        <v>46022</v>
      </c>
      <c r="C1527">
        <v>1433</v>
      </c>
      <c r="D1527" t="s">
        <v>41</v>
      </c>
      <c r="E1527" t="s">
        <v>23</v>
      </c>
      <c r="F1527" t="s">
        <v>17</v>
      </c>
      <c r="G1527">
        <v>1</v>
      </c>
      <c r="H1527">
        <v>0</v>
      </c>
      <c r="I1527" t="s">
        <v>25</v>
      </c>
      <c r="J1527" t="s">
        <v>37</v>
      </c>
      <c r="K1527" t="s">
        <v>26</v>
      </c>
      <c r="L1527">
        <v>1</v>
      </c>
      <c r="M1527">
        <v>1</v>
      </c>
      <c r="N1527">
        <v>0</v>
      </c>
      <c r="O1527" t="s">
        <v>27</v>
      </c>
      <c r="P1527" t="str">
        <f>TEXT(Table1[[#This Row],[order_date]],"yyyy-mm")</f>
        <v>2025-12</v>
      </c>
      <c r="Q1527">
        <f>WEEKNUM(Table1[[#This Row],[order_date]])</f>
        <v>53</v>
      </c>
      <c r="R1527">
        <f>IF(Table1[[#This Row],[order_status]]="completed",1,0)</f>
        <v>0</v>
      </c>
    </row>
    <row r="1528" spans="1:18" x14ac:dyDescent="0.35">
      <c r="A1528">
        <v>1527</v>
      </c>
      <c r="B1528" s="1">
        <v>45940</v>
      </c>
      <c r="C1528">
        <v>1381</v>
      </c>
      <c r="D1528" t="s">
        <v>22</v>
      </c>
      <c r="E1528" t="s">
        <v>29</v>
      </c>
      <c r="F1528" t="s">
        <v>30</v>
      </c>
      <c r="G1528">
        <v>4</v>
      </c>
      <c r="H1528">
        <v>0</v>
      </c>
      <c r="I1528" t="s">
        <v>18</v>
      </c>
      <c r="J1528" t="s">
        <v>37</v>
      </c>
      <c r="K1528" t="s">
        <v>26</v>
      </c>
      <c r="L1528">
        <v>5</v>
      </c>
      <c r="M1528">
        <v>0</v>
      </c>
      <c r="N1528">
        <v>0</v>
      </c>
      <c r="O1528" t="s">
        <v>21</v>
      </c>
      <c r="P1528" t="str">
        <f>TEXT(Table1[[#This Row],[order_date]],"yyyy-mm")</f>
        <v>2025-10</v>
      </c>
      <c r="Q1528">
        <f>WEEKNUM(Table1[[#This Row],[order_date]])</f>
        <v>41</v>
      </c>
      <c r="R1528">
        <f>IF(Table1[[#This Row],[order_status]]="completed",1,0)</f>
        <v>0</v>
      </c>
    </row>
    <row r="1529" spans="1:18" x14ac:dyDescent="0.35">
      <c r="A1529">
        <v>1528</v>
      </c>
      <c r="B1529" s="1">
        <v>45994</v>
      </c>
      <c r="C1529">
        <v>1922</v>
      </c>
      <c r="D1529" t="s">
        <v>15</v>
      </c>
      <c r="E1529" t="s">
        <v>29</v>
      </c>
      <c r="F1529" t="s">
        <v>24</v>
      </c>
      <c r="G1529">
        <v>4</v>
      </c>
      <c r="H1529">
        <v>0</v>
      </c>
      <c r="I1529" t="s">
        <v>39</v>
      </c>
      <c r="J1529" t="s">
        <v>37</v>
      </c>
      <c r="K1529" t="s">
        <v>40</v>
      </c>
      <c r="L1529">
        <v>8</v>
      </c>
      <c r="M1529">
        <v>0</v>
      </c>
      <c r="N1529">
        <v>1</v>
      </c>
      <c r="O1529" t="s">
        <v>21</v>
      </c>
      <c r="P1529" t="str">
        <f>TEXT(Table1[[#This Row],[order_date]],"yyyy-mm")</f>
        <v>2025-12</v>
      </c>
      <c r="Q1529">
        <f>WEEKNUM(Table1[[#This Row],[order_date]])</f>
        <v>49</v>
      </c>
      <c r="R1529">
        <f>IF(Table1[[#This Row],[order_status]]="completed",1,0)</f>
        <v>0</v>
      </c>
    </row>
    <row r="1530" spans="1:18" x14ac:dyDescent="0.35">
      <c r="A1530">
        <v>1529</v>
      </c>
      <c r="B1530" s="1">
        <v>45929</v>
      </c>
      <c r="C1530">
        <v>1491</v>
      </c>
      <c r="D1530" t="s">
        <v>28</v>
      </c>
      <c r="E1530" t="s">
        <v>33</v>
      </c>
      <c r="F1530" t="s">
        <v>17</v>
      </c>
      <c r="G1530">
        <v>4</v>
      </c>
      <c r="H1530">
        <v>1288</v>
      </c>
      <c r="I1530" t="s">
        <v>35</v>
      </c>
      <c r="J1530" t="s">
        <v>19</v>
      </c>
      <c r="K1530" t="s">
        <v>40</v>
      </c>
      <c r="L1530">
        <v>8</v>
      </c>
      <c r="M1530">
        <v>0</v>
      </c>
      <c r="N1530">
        <v>0</v>
      </c>
      <c r="O1530" t="s">
        <v>21</v>
      </c>
      <c r="P1530" t="str">
        <f>TEXT(Table1[[#This Row],[order_date]],"yyyy-mm")</f>
        <v>2025-09</v>
      </c>
      <c r="Q1530">
        <f>WEEKNUM(Table1[[#This Row],[order_date]])</f>
        <v>40</v>
      </c>
      <c r="R1530">
        <f>IF(Table1[[#This Row],[order_status]]="completed",1,0)</f>
        <v>1</v>
      </c>
    </row>
    <row r="1531" spans="1:18" x14ac:dyDescent="0.35">
      <c r="A1531">
        <v>1530</v>
      </c>
      <c r="B1531" s="1">
        <v>45980</v>
      </c>
      <c r="C1531">
        <v>1582</v>
      </c>
      <c r="D1531" t="s">
        <v>28</v>
      </c>
      <c r="E1531" t="s">
        <v>36</v>
      </c>
      <c r="F1531" t="s">
        <v>34</v>
      </c>
      <c r="G1531">
        <v>1</v>
      </c>
      <c r="H1531">
        <v>939</v>
      </c>
      <c r="I1531" t="s">
        <v>39</v>
      </c>
      <c r="J1531" t="s">
        <v>19</v>
      </c>
      <c r="K1531" t="s">
        <v>38</v>
      </c>
      <c r="L1531">
        <v>8</v>
      </c>
      <c r="M1531">
        <v>0</v>
      </c>
      <c r="N1531">
        <v>0</v>
      </c>
      <c r="O1531" t="s">
        <v>21</v>
      </c>
      <c r="P1531" t="str">
        <f>TEXT(Table1[[#This Row],[order_date]],"yyyy-mm")</f>
        <v>2025-11</v>
      </c>
      <c r="Q1531">
        <f>WEEKNUM(Table1[[#This Row],[order_date]])</f>
        <v>47</v>
      </c>
      <c r="R1531">
        <f>IF(Table1[[#This Row],[order_status]]="completed",1,0)</f>
        <v>1</v>
      </c>
    </row>
    <row r="1532" spans="1:18" x14ac:dyDescent="0.35">
      <c r="A1532">
        <v>1531</v>
      </c>
      <c r="B1532" s="1">
        <v>46026</v>
      </c>
      <c r="C1532">
        <v>1617</v>
      </c>
      <c r="D1532" t="s">
        <v>32</v>
      </c>
      <c r="E1532" t="s">
        <v>29</v>
      </c>
      <c r="F1532" t="s">
        <v>17</v>
      </c>
      <c r="G1532">
        <v>3</v>
      </c>
      <c r="H1532">
        <v>0</v>
      </c>
      <c r="I1532" t="s">
        <v>25</v>
      </c>
      <c r="J1532" t="s">
        <v>37</v>
      </c>
      <c r="K1532" t="s">
        <v>38</v>
      </c>
      <c r="L1532">
        <v>7</v>
      </c>
      <c r="M1532">
        <v>0</v>
      </c>
      <c r="N1532">
        <v>1</v>
      </c>
      <c r="O1532" t="s">
        <v>27</v>
      </c>
      <c r="P1532" t="str">
        <f>TEXT(Table1[[#This Row],[order_date]],"yyyy-mm")</f>
        <v>2026-01</v>
      </c>
      <c r="Q1532">
        <f>WEEKNUM(Table1[[#This Row],[order_date]])</f>
        <v>2</v>
      </c>
      <c r="R1532">
        <f>IF(Table1[[#This Row],[order_status]]="completed",1,0)</f>
        <v>0</v>
      </c>
    </row>
    <row r="1533" spans="1:18" x14ac:dyDescent="0.35">
      <c r="A1533">
        <v>1532</v>
      </c>
      <c r="B1533" s="1">
        <v>45974</v>
      </c>
      <c r="C1533">
        <v>1066</v>
      </c>
      <c r="D1533" t="s">
        <v>22</v>
      </c>
      <c r="E1533" t="s">
        <v>36</v>
      </c>
      <c r="F1533" t="s">
        <v>24</v>
      </c>
      <c r="G1533">
        <v>1</v>
      </c>
      <c r="H1533">
        <v>0</v>
      </c>
      <c r="I1533" t="s">
        <v>39</v>
      </c>
      <c r="J1533" t="s">
        <v>31</v>
      </c>
      <c r="K1533" t="s">
        <v>40</v>
      </c>
      <c r="L1533">
        <v>10</v>
      </c>
      <c r="M1533">
        <v>0</v>
      </c>
      <c r="N1533">
        <v>0</v>
      </c>
      <c r="O1533" t="s">
        <v>27</v>
      </c>
      <c r="P1533" t="str">
        <f>TEXT(Table1[[#This Row],[order_date]],"yyyy-mm")</f>
        <v>2025-11</v>
      </c>
      <c r="Q1533">
        <f>WEEKNUM(Table1[[#This Row],[order_date]])</f>
        <v>46</v>
      </c>
      <c r="R1533">
        <f>IF(Table1[[#This Row],[order_status]]="completed",1,0)</f>
        <v>0</v>
      </c>
    </row>
    <row r="1534" spans="1:18" x14ac:dyDescent="0.35">
      <c r="A1534">
        <v>1533</v>
      </c>
      <c r="B1534" s="1">
        <v>45893</v>
      </c>
      <c r="C1534">
        <v>1087</v>
      </c>
      <c r="D1534" t="s">
        <v>32</v>
      </c>
      <c r="E1534" t="s">
        <v>36</v>
      </c>
      <c r="F1534" t="s">
        <v>17</v>
      </c>
      <c r="G1534">
        <v>5</v>
      </c>
      <c r="H1534">
        <v>0</v>
      </c>
      <c r="I1534" t="s">
        <v>39</v>
      </c>
      <c r="J1534" t="s">
        <v>31</v>
      </c>
      <c r="K1534" t="s">
        <v>20</v>
      </c>
      <c r="L1534">
        <v>1</v>
      </c>
      <c r="M1534">
        <v>0</v>
      </c>
      <c r="N1534">
        <v>1</v>
      </c>
      <c r="O1534" t="s">
        <v>21</v>
      </c>
      <c r="P1534" t="str">
        <f>TEXT(Table1[[#This Row],[order_date]],"yyyy-mm")</f>
        <v>2025-08</v>
      </c>
      <c r="Q1534">
        <f>WEEKNUM(Table1[[#This Row],[order_date]])</f>
        <v>35</v>
      </c>
      <c r="R1534">
        <f>IF(Table1[[#This Row],[order_status]]="completed",1,0)</f>
        <v>0</v>
      </c>
    </row>
    <row r="1535" spans="1:18" x14ac:dyDescent="0.35">
      <c r="A1535">
        <v>1534</v>
      </c>
      <c r="B1535" s="1">
        <v>45904</v>
      </c>
      <c r="C1535">
        <v>1466</v>
      </c>
      <c r="D1535" t="s">
        <v>22</v>
      </c>
      <c r="E1535" t="s">
        <v>29</v>
      </c>
      <c r="F1535" t="s">
        <v>24</v>
      </c>
      <c r="G1535">
        <v>5</v>
      </c>
      <c r="H1535">
        <v>11670</v>
      </c>
      <c r="I1535" t="s">
        <v>25</v>
      </c>
      <c r="J1535" t="s">
        <v>19</v>
      </c>
      <c r="K1535" t="s">
        <v>40</v>
      </c>
      <c r="L1535">
        <v>10</v>
      </c>
      <c r="M1535">
        <v>0</v>
      </c>
      <c r="N1535">
        <v>0</v>
      </c>
      <c r="O1535" t="s">
        <v>21</v>
      </c>
      <c r="P1535" t="str">
        <f>TEXT(Table1[[#This Row],[order_date]],"yyyy-mm")</f>
        <v>2025-09</v>
      </c>
      <c r="Q1535">
        <f>WEEKNUM(Table1[[#This Row],[order_date]])</f>
        <v>36</v>
      </c>
      <c r="R1535">
        <f>IF(Table1[[#This Row],[order_status]]="completed",1,0)</f>
        <v>1</v>
      </c>
    </row>
    <row r="1536" spans="1:18" x14ac:dyDescent="0.35">
      <c r="A1536">
        <v>1535</v>
      </c>
      <c r="B1536" s="1">
        <v>45976</v>
      </c>
      <c r="C1536">
        <v>1690</v>
      </c>
      <c r="D1536" t="s">
        <v>22</v>
      </c>
      <c r="E1536" t="s">
        <v>16</v>
      </c>
      <c r="F1536" t="s">
        <v>24</v>
      </c>
      <c r="G1536">
        <v>3</v>
      </c>
      <c r="H1536">
        <v>0</v>
      </c>
      <c r="I1536" t="s">
        <v>39</v>
      </c>
      <c r="J1536" t="s">
        <v>31</v>
      </c>
      <c r="K1536" t="s">
        <v>40</v>
      </c>
      <c r="L1536">
        <v>4</v>
      </c>
      <c r="M1536">
        <v>0</v>
      </c>
      <c r="N1536">
        <v>1</v>
      </c>
      <c r="O1536" t="s">
        <v>27</v>
      </c>
      <c r="P1536" t="str">
        <f>TEXT(Table1[[#This Row],[order_date]],"yyyy-mm")</f>
        <v>2025-11</v>
      </c>
      <c r="Q1536">
        <f>WEEKNUM(Table1[[#This Row],[order_date]])</f>
        <v>46</v>
      </c>
      <c r="R1536">
        <f>IF(Table1[[#This Row],[order_status]]="completed",1,0)</f>
        <v>0</v>
      </c>
    </row>
    <row r="1537" spans="1:18" x14ac:dyDescent="0.35">
      <c r="A1537">
        <v>1536</v>
      </c>
      <c r="B1537" s="1">
        <v>45961</v>
      </c>
      <c r="C1537">
        <v>1296</v>
      </c>
      <c r="D1537" t="s">
        <v>32</v>
      </c>
      <c r="E1537" t="s">
        <v>29</v>
      </c>
      <c r="F1537" t="s">
        <v>24</v>
      </c>
      <c r="G1537">
        <v>5</v>
      </c>
      <c r="H1537">
        <v>0</v>
      </c>
      <c r="I1537" t="s">
        <v>25</v>
      </c>
      <c r="J1537" t="s">
        <v>37</v>
      </c>
      <c r="K1537" t="s">
        <v>38</v>
      </c>
      <c r="L1537">
        <v>1</v>
      </c>
      <c r="M1537">
        <v>1</v>
      </c>
      <c r="N1537">
        <v>0</v>
      </c>
      <c r="O1537" t="s">
        <v>27</v>
      </c>
      <c r="P1537" t="str">
        <f>TEXT(Table1[[#This Row],[order_date]],"yyyy-mm")</f>
        <v>2025-10</v>
      </c>
      <c r="Q1537">
        <f>WEEKNUM(Table1[[#This Row],[order_date]])</f>
        <v>44</v>
      </c>
      <c r="R1537">
        <f>IF(Table1[[#This Row],[order_status]]="completed",1,0)</f>
        <v>0</v>
      </c>
    </row>
    <row r="1538" spans="1:18" x14ac:dyDescent="0.35">
      <c r="A1538">
        <v>1537</v>
      </c>
      <c r="B1538" s="1">
        <v>45937</v>
      </c>
      <c r="C1538">
        <v>1414</v>
      </c>
      <c r="D1538" t="s">
        <v>32</v>
      </c>
      <c r="E1538" t="s">
        <v>16</v>
      </c>
      <c r="F1538" t="s">
        <v>34</v>
      </c>
      <c r="G1538">
        <v>3</v>
      </c>
      <c r="H1538">
        <v>0</v>
      </c>
      <c r="I1538" t="s">
        <v>18</v>
      </c>
      <c r="J1538" t="s">
        <v>37</v>
      </c>
      <c r="K1538" t="s">
        <v>40</v>
      </c>
      <c r="L1538">
        <v>2</v>
      </c>
      <c r="M1538">
        <v>0</v>
      </c>
      <c r="N1538">
        <v>1</v>
      </c>
      <c r="O1538" t="s">
        <v>21</v>
      </c>
      <c r="P1538" t="str">
        <f>TEXT(Table1[[#This Row],[order_date]],"yyyy-mm")</f>
        <v>2025-10</v>
      </c>
      <c r="Q1538">
        <f>WEEKNUM(Table1[[#This Row],[order_date]])</f>
        <v>41</v>
      </c>
      <c r="R1538">
        <f>IF(Table1[[#This Row],[order_status]]="completed",1,0)</f>
        <v>0</v>
      </c>
    </row>
    <row r="1539" spans="1:18" x14ac:dyDescent="0.35">
      <c r="A1539">
        <v>1538</v>
      </c>
      <c r="B1539" s="1">
        <v>46001</v>
      </c>
      <c r="C1539">
        <v>1449</v>
      </c>
      <c r="D1539" t="s">
        <v>15</v>
      </c>
      <c r="E1539" t="s">
        <v>33</v>
      </c>
      <c r="F1539" t="s">
        <v>34</v>
      </c>
      <c r="G1539">
        <v>3</v>
      </c>
      <c r="H1539">
        <v>0</v>
      </c>
      <c r="I1539" t="s">
        <v>25</v>
      </c>
      <c r="J1539" t="s">
        <v>31</v>
      </c>
      <c r="K1539" t="s">
        <v>26</v>
      </c>
      <c r="L1539">
        <v>6</v>
      </c>
      <c r="M1539">
        <v>1</v>
      </c>
      <c r="N1539">
        <v>1</v>
      </c>
      <c r="O1539" t="s">
        <v>21</v>
      </c>
      <c r="P1539" t="str">
        <f>TEXT(Table1[[#This Row],[order_date]],"yyyy-mm")</f>
        <v>2025-12</v>
      </c>
      <c r="Q1539">
        <f>WEEKNUM(Table1[[#This Row],[order_date]])</f>
        <v>50</v>
      </c>
      <c r="R1539">
        <f>IF(Table1[[#This Row],[order_status]]="completed",1,0)</f>
        <v>0</v>
      </c>
    </row>
    <row r="1540" spans="1:18" x14ac:dyDescent="0.35">
      <c r="A1540">
        <v>1539</v>
      </c>
      <c r="B1540" s="1">
        <v>45895</v>
      </c>
      <c r="C1540">
        <v>1889</v>
      </c>
      <c r="D1540" t="s">
        <v>28</v>
      </c>
      <c r="E1540" t="s">
        <v>16</v>
      </c>
      <c r="F1540" t="s">
        <v>34</v>
      </c>
      <c r="G1540">
        <v>4</v>
      </c>
      <c r="H1540">
        <v>0</v>
      </c>
      <c r="I1540" t="s">
        <v>35</v>
      </c>
      <c r="J1540" t="s">
        <v>37</v>
      </c>
      <c r="K1540" t="s">
        <v>40</v>
      </c>
      <c r="L1540">
        <v>8</v>
      </c>
      <c r="M1540">
        <v>0</v>
      </c>
      <c r="N1540">
        <v>1</v>
      </c>
      <c r="O1540" t="s">
        <v>21</v>
      </c>
      <c r="P1540" t="str">
        <f>TEXT(Table1[[#This Row],[order_date]],"yyyy-mm")</f>
        <v>2025-08</v>
      </c>
      <c r="Q1540">
        <f>WEEKNUM(Table1[[#This Row],[order_date]])</f>
        <v>35</v>
      </c>
      <c r="R1540">
        <f>IF(Table1[[#This Row],[order_status]]="completed",1,0)</f>
        <v>0</v>
      </c>
    </row>
    <row r="1541" spans="1:18" x14ac:dyDescent="0.35">
      <c r="A1541">
        <v>1540</v>
      </c>
      <c r="B1541" s="1">
        <v>45994</v>
      </c>
      <c r="C1541">
        <v>1494</v>
      </c>
      <c r="D1541" t="s">
        <v>15</v>
      </c>
      <c r="E1541" t="s">
        <v>23</v>
      </c>
      <c r="F1541" t="s">
        <v>34</v>
      </c>
      <c r="G1541">
        <v>1</v>
      </c>
      <c r="H1541">
        <v>0</v>
      </c>
      <c r="I1541" t="s">
        <v>35</v>
      </c>
      <c r="J1541" t="s">
        <v>37</v>
      </c>
      <c r="K1541" t="s">
        <v>38</v>
      </c>
      <c r="L1541">
        <v>1</v>
      </c>
      <c r="M1541">
        <v>1</v>
      </c>
      <c r="N1541">
        <v>0</v>
      </c>
      <c r="O1541" t="s">
        <v>27</v>
      </c>
      <c r="P1541" t="str">
        <f>TEXT(Table1[[#This Row],[order_date]],"yyyy-mm")</f>
        <v>2025-12</v>
      </c>
      <c r="Q1541">
        <f>WEEKNUM(Table1[[#This Row],[order_date]])</f>
        <v>49</v>
      </c>
      <c r="R1541">
        <f>IF(Table1[[#This Row],[order_status]]="completed",1,0)</f>
        <v>0</v>
      </c>
    </row>
    <row r="1542" spans="1:18" x14ac:dyDescent="0.35">
      <c r="A1542">
        <v>1541</v>
      </c>
      <c r="B1542" s="1">
        <v>45981</v>
      </c>
      <c r="C1542">
        <v>1850</v>
      </c>
      <c r="D1542" t="s">
        <v>28</v>
      </c>
      <c r="E1542" t="s">
        <v>36</v>
      </c>
      <c r="F1542" t="s">
        <v>30</v>
      </c>
      <c r="G1542">
        <v>5</v>
      </c>
      <c r="H1542">
        <v>21220</v>
      </c>
      <c r="I1542" t="s">
        <v>25</v>
      </c>
      <c r="J1542" t="s">
        <v>19</v>
      </c>
      <c r="K1542" t="s">
        <v>40</v>
      </c>
      <c r="L1542">
        <v>7</v>
      </c>
      <c r="M1542">
        <v>1</v>
      </c>
      <c r="N1542">
        <v>0</v>
      </c>
      <c r="O1542" t="s">
        <v>27</v>
      </c>
      <c r="P1542" t="str">
        <f>TEXT(Table1[[#This Row],[order_date]],"yyyy-mm")</f>
        <v>2025-11</v>
      </c>
      <c r="Q1542">
        <f>WEEKNUM(Table1[[#This Row],[order_date]])</f>
        <v>47</v>
      </c>
      <c r="R1542">
        <f>IF(Table1[[#This Row],[order_status]]="completed",1,0)</f>
        <v>1</v>
      </c>
    </row>
    <row r="1543" spans="1:18" x14ac:dyDescent="0.35">
      <c r="A1543">
        <v>1542</v>
      </c>
      <c r="B1543" s="1">
        <v>45926</v>
      </c>
      <c r="C1543">
        <v>1739</v>
      </c>
      <c r="D1543" t="s">
        <v>28</v>
      </c>
      <c r="E1543" t="s">
        <v>33</v>
      </c>
      <c r="F1543" t="s">
        <v>17</v>
      </c>
      <c r="G1543">
        <v>4</v>
      </c>
      <c r="H1543">
        <v>0</v>
      </c>
      <c r="I1543" t="s">
        <v>39</v>
      </c>
      <c r="J1543" t="s">
        <v>37</v>
      </c>
      <c r="K1543" t="s">
        <v>26</v>
      </c>
      <c r="L1543">
        <v>3</v>
      </c>
      <c r="M1543">
        <v>0</v>
      </c>
      <c r="N1543">
        <v>0</v>
      </c>
      <c r="O1543" t="s">
        <v>27</v>
      </c>
      <c r="P1543" t="str">
        <f>TEXT(Table1[[#This Row],[order_date]],"yyyy-mm")</f>
        <v>2025-09</v>
      </c>
      <c r="Q1543">
        <f>WEEKNUM(Table1[[#This Row],[order_date]])</f>
        <v>39</v>
      </c>
      <c r="R1543">
        <f>IF(Table1[[#This Row],[order_status]]="completed",1,0)</f>
        <v>0</v>
      </c>
    </row>
    <row r="1544" spans="1:18" x14ac:dyDescent="0.35">
      <c r="A1544">
        <v>1543</v>
      </c>
      <c r="B1544" s="1">
        <v>45858</v>
      </c>
      <c r="C1544">
        <v>1939</v>
      </c>
      <c r="D1544" t="s">
        <v>22</v>
      </c>
      <c r="E1544" t="s">
        <v>23</v>
      </c>
      <c r="F1544" t="s">
        <v>17</v>
      </c>
      <c r="G1544">
        <v>5</v>
      </c>
      <c r="H1544">
        <v>0</v>
      </c>
      <c r="I1544" t="s">
        <v>18</v>
      </c>
      <c r="J1544" t="s">
        <v>37</v>
      </c>
      <c r="K1544" t="s">
        <v>20</v>
      </c>
      <c r="L1544">
        <v>6</v>
      </c>
      <c r="M1544">
        <v>0</v>
      </c>
      <c r="N1544">
        <v>0</v>
      </c>
      <c r="O1544" t="s">
        <v>21</v>
      </c>
      <c r="P1544" t="str">
        <f>TEXT(Table1[[#This Row],[order_date]],"yyyy-mm")</f>
        <v>2025-07</v>
      </c>
      <c r="Q1544">
        <f>WEEKNUM(Table1[[#This Row],[order_date]])</f>
        <v>30</v>
      </c>
      <c r="R1544">
        <f>IF(Table1[[#This Row],[order_status]]="completed",1,0)</f>
        <v>0</v>
      </c>
    </row>
    <row r="1545" spans="1:18" x14ac:dyDescent="0.35">
      <c r="A1545">
        <v>1544</v>
      </c>
      <c r="B1545" s="1">
        <v>45931</v>
      </c>
      <c r="C1545">
        <v>1547</v>
      </c>
      <c r="D1545" t="s">
        <v>32</v>
      </c>
      <c r="E1545" t="s">
        <v>33</v>
      </c>
      <c r="F1545" t="s">
        <v>34</v>
      </c>
      <c r="G1545">
        <v>1</v>
      </c>
      <c r="H1545">
        <v>0</v>
      </c>
      <c r="I1545" t="s">
        <v>35</v>
      </c>
      <c r="J1545" t="s">
        <v>31</v>
      </c>
      <c r="K1545" t="s">
        <v>40</v>
      </c>
      <c r="L1545">
        <v>10</v>
      </c>
      <c r="M1545">
        <v>1</v>
      </c>
      <c r="N1545">
        <v>0</v>
      </c>
      <c r="O1545" t="s">
        <v>27</v>
      </c>
      <c r="P1545" t="str">
        <f>TEXT(Table1[[#This Row],[order_date]],"yyyy-mm")</f>
        <v>2025-10</v>
      </c>
      <c r="Q1545">
        <f>WEEKNUM(Table1[[#This Row],[order_date]])</f>
        <v>40</v>
      </c>
      <c r="R1545">
        <f>IF(Table1[[#This Row],[order_status]]="completed",1,0)</f>
        <v>0</v>
      </c>
    </row>
    <row r="1546" spans="1:18" x14ac:dyDescent="0.35">
      <c r="A1546">
        <v>1545</v>
      </c>
      <c r="B1546" s="1">
        <v>45861</v>
      </c>
      <c r="C1546">
        <v>1466</v>
      </c>
      <c r="D1546" t="s">
        <v>15</v>
      </c>
      <c r="E1546" t="s">
        <v>33</v>
      </c>
      <c r="F1546" t="s">
        <v>34</v>
      </c>
      <c r="G1546">
        <v>3</v>
      </c>
      <c r="H1546">
        <v>0</v>
      </c>
      <c r="I1546" t="s">
        <v>39</v>
      </c>
      <c r="J1546" t="s">
        <v>31</v>
      </c>
      <c r="K1546" t="s">
        <v>26</v>
      </c>
      <c r="L1546">
        <v>3</v>
      </c>
      <c r="M1546">
        <v>1</v>
      </c>
      <c r="N1546">
        <v>0</v>
      </c>
      <c r="O1546" t="s">
        <v>21</v>
      </c>
      <c r="P1546" t="str">
        <f>TEXT(Table1[[#This Row],[order_date]],"yyyy-mm")</f>
        <v>2025-07</v>
      </c>
      <c r="Q1546">
        <f>WEEKNUM(Table1[[#This Row],[order_date]])</f>
        <v>30</v>
      </c>
      <c r="R1546">
        <f>IF(Table1[[#This Row],[order_status]]="completed",1,0)</f>
        <v>0</v>
      </c>
    </row>
    <row r="1547" spans="1:18" x14ac:dyDescent="0.35">
      <c r="A1547">
        <v>1546</v>
      </c>
      <c r="B1547" s="1">
        <v>45998</v>
      </c>
      <c r="C1547">
        <v>1234</v>
      </c>
      <c r="D1547" t="s">
        <v>28</v>
      </c>
      <c r="E1547" t="s">
        <v>36</v>
      </c>
      <c r="F1547" t="s">
        <v>34</v>
      </c>
      <c r="G1547">
        <v>1</v>
      </c>
      <c r="H1547">
        <v>0</v>
      </c>
      <c r="I1547" t="s">
        <v>25</v>
      </c>
      <c r="J1547" t="s">
        <v>31</v>
      </c>
      <c r="K1547" t="s">
        <v>40</v>
      </c>
      <c r="L1547">
        <v>1</v>
      </c>
      <c r="M1547">
        <v>0</v>
      </c>
      <c r="N1547">
        <v>1</v>
      </c>
      <c r="O1547" t="s">
        <v>21</v>
      </c>
      <c r="P1547" t="str">
        <f>TEXT(Table1[[#This Row],[order_date]],"yyyy-mm")</f>
        <v>2025-12</v>
      </c>
      <c r="Q1547">
        <f>WEEKNUM(Table1[[#This Row],[order_date]])</f>
        <v>50</v>
      </c>
      <c r="R1547">
        <f>IF(Table1[[#This Row],[order_status]]="completed",1,0)</f>
        <v>0</v>
      </c>
    </row>
    <row r="1548" spans="1:18" x14ac:dyDescent="0.35">
      <c r="A1548">
        <v>1547</v>
      </c>
      <c r="B1548" s="1">
        <v>45869</v>
      </c>
      <c r="C1548">
        <v>1284</v>
      </c>
      <c r="D1548" t="s">
        <v>22</v>
      </c>
      <c r="E1548" t="s">
        <v>33</v>
      </c>
      <c r="F1548" t="s">
        <v>34</v>
      </c>
      <c r="G1548">
        <v>3</v>
      </c>
      <c r="H1548">
        <v>0</v>
      </c>
      <c r="I1548" t="s">
        <v>25</v>
      </c>
      <c r="J1548" t="s">
        <v>37</v>
      </c>
      <c r="K1548" t="s">
        <v>20</v>
      </c>
      <c r="L1548">
        <v>8</v>
      </c>
      <c r="M1548">
        <v>1</v>
      </c>
      <c r="N1548">
        <v>1</v>
      </c>
      <c r="O1548" t="s">
        <v>27</v>
      </c>
      <c r="P1548" t="str">
        <f>TEXT(Table1[[#This Row],[order_date]],"yyyy-mm")</f>
        <v>2025-07</v>
      </c>
      <c r="Q1548">
        <f>WEEKNUM(Table1[[#This Row],[order_date]])</f>
        <v>31</v>
      </c>
      <c r="R1548">
        <f>IF(Table1[[#This Row],[order_status]]="completed",1,0)</f>
        <v>0</v>
      </c>
    </row>
    <row r="1549" spans="1:18" x14ac:dyDescent="0.35">
      <c r="A1549">
        <v>1548</v>
      </c>
      <c r="B1549" s="1">
        <v>46012</v>
      </c>
      <c r="C1549">
        <v>1352</v>
      </c>
      <c r="D1549" t="s">
        <v>28</v>
      </c>
      <c r="E1549" t="s">
        <v>16</v>
      </c>
      <c r="F1549" t="s">
        <v>34</v>
      </c>
      <c r="G1549">
        <v>5</v>
      </c>
      <c r="H1549">
        <v>0</v>
      </c>
      <c r="I1549" t="s">
        <v>25</v>
      </c>
      <c r="J1549" t="s">
        <v>37</v>
      </c>
      <c r="K1549" t="s">
        <v>38</v>
      </c>
      <c r="L1549">
        <v>9</v>
      </c>
      <c r="M1549">
        <v>0</v>
      </c>
      <c r="N1549">
        <v>1</v>
      </c>
      <c r="O1549" t="s">
        <v>21</v>
      </c>
      <c r="P1549" t="str">
        <f>TEXT(Table1[[#This Row],[order_date]],"yyyy-mm")</f>
        <v>2025-12</v>
      </c>
      <c r="Q1549">
        <f>WEEKNUM(Table1[[#This Row],[order_date]])</f>
        <v>52</v>
      </c>
      <c r="R1549">
        <f>IF(Table1[[#This Row],[order_status]]="completed",1,0)</f>
        <v>0</v>
      </c>
    </row>
    <row r="1550" spans="1:18" x14ac:dyDescent="0.35">
      <c r="A1550">
        <v>1549</v>
      </c>
      <c r="B1550" s="1">
        <v>45870</v>
      </c>
      <c r="C1550">
        <v>1611</v>
      </c>
      <c r="D1550" t="s">
        <v>32</v>
      </c>
      <c r="E1550" t="s">
        <v>33</v>
      </c>
      <c r="F1550" t="s">
        <v>30</v>
      </c>
      <c r="G1550">
        <v>3</v>
      </c>
      <c r="H1550">
        <v>1479</v>
      </c>
      <c r="I1550" t="s">
        <v>39</v>
      </c>
      <c r="J1550" t="s">
        <v>19</v>
      </c>
      <c r="K1550" t="s">
        <v>40</v>
      </c>
      <c r="L1550">
        <v>3</v>
      </c>
      <c r="M1550">
        <v>0</v>
      </c>
      <c r="N1550">
        <v>0</v>
      </c>
      <c r="O1550" t="s">
        <v>21</v>
      </c>
      <c r="P1550" t="str">
        <f>TEXT(Table1[[#This Row],[order_date]],"yyyy-mm")</f>
        <v>2025-08</v>
      </c>
      <c r="Q1550">
        <f>WEEKNUM(Table1[[#This Row],[order_date]])</f>
        <v>31</v>
      </c>
      <c r="R1550">
        <f>IF(Table1[[#This Row],[order_status]]="completed",1,0)</f>
        <v>1</v>
      </c>
    </row>
    <row r="1551" spans="1:18" x14ac:dyDescent="0.35">
      <c r="A1551">
        <v>1550</v>
      </c>
      <c r="B1551" s="1">
        <v>45912</v>
      </c>
      <c r="C1551">
        <v>1432</v>
      </c>
      <c r="D1551" t="s">
        <v>22</v>
      </c>
      <c r="E1551" t="s">
        <v>36</v>
      </c>
      <c r="F1551" t="s">
        <v>34</v>
      </c>
      <c r="G1551">
        <v>3</v>
      </c>
      <c r="H1551">
        <v>0</v>
      </c>
      <c r="I1551" t="s">
        <v>18</v>
      </c>
      <c r="J1551" t="s">
        <v>31</v>
      </c>
      <c r="K1551" t="s">
        <v>20</v>
      </c>
      <c r="L1551">
        <v>7</v>
      </c>
      <c r="M1551">
        <v>0</v>
      </c>
      <c r="N1551">
        <v>1</v>
      </c>
      <c r="O1551" t="s">
        <v>21</v>
      </c>
      <c r="P1551" t="str">
        <f>TEXT(Table1[[#This Row],[order_date]],"yyyy-mm")</f>
        <v>2025-09</v>
      </c>
      <c r="Q1551">
        <f>WEEKNUM(Table1[[#This Row],[order_date]])</f>
        <v>37</v>
      </c>
      <c r="R1551">
        <f>IF(Table1[[#This Row],[order_status]]="completed",1,0)</f>
        <v>0</v>
      </c>
    </row>
    <row r="1552" spans="1:18" x14ac:dyDescent="0.35">
      <c r="A1552">
        <v>1551</v>
      </c>
      <c r="B1552" s="1">
        <v>45857</v>
      </c>
      <c r="C1552">
        <v>1535</v>
      </c>
      <c r="D1552" t="s">
        <v>22</v>
      </c>
      <c r="E1552" t="s">
        <v>36</v>
      </c>
      <c r="F1552" t="s">
        <v>24</v>
      </c>
      <c r="G1552">
        <v>3</v>
      </c>
      <c r="H1552">
        <v>0</v>
      </c>
      <c r="I1552" t="s">
        <v>25</v>
      </c>
      <c r="J1552" t="s">
        <v>37</v>
      </c>
      <c r="K1552" t="s">
        <v>38</v>
      </c>
      <c r="L1552">
        <v>3</v>
      </c>
      <c r="M1552">
        <v>0</v>
      </c>
      <c r="N1552">
        <v>0</v>
      </c>
      <c r="O1552" t="s">
        <v>27</v>
      </c>
      <c r="P1552" t="str">
        <f>TEXT(Table1[[#This Row],[order_date]],"yyyy-mm")</f>
        <v>2025-07</v>
      </c>
      <c r="Q1552">
        <f>WEEKNUM(Table1[[#This Row],[order_date]])</f>
        <v>29</v>
      </c>
      <c r="R1552">
        <f>IF(Table1[[#This Row],[order_status]]="completed",1,0)</f>
        <v>0</v>
      </c>
    </row>
    <row r="1553" spans="1:18" x14ac:dyDescent="0.35">
      <c r="A1553">
        <v>1552</v>
      </c>
      <c r="B1553" s="1">
        <v>45901</v>
      </c>
      <c r="C1553">
        <v>1988</v>
      </c>
      <c r="D1553" t="s">
        <v>41</v>
      </c>
      <c r="E1553" t="s">
        <v>29</v>
      </c>
      <c r="F1553" t="s">
        <v>17</v>
      </c>
      <c r="G1553">
        <v>2</v>
      </c>
      <c r="H1553">
        <v>0</v>
      </c>
      <c r="I1553" t="s">
        <v>39</v>
      </c>
      <c r="J1553" t="s">
        <v>31</v>
      </c>
      <c r="K1553" t="s">
        <v>26</v>
      </c>
      <c r="L1553">
        <v>8</v>
      </c>
      <c r="M1553">
        <v>0</v>
      </c>
      <c r="N1553">
        <v>1</v>
      </c>
      <c r="O1553" t="s">
        <v>21</v>
      </c>
      <c r="P1553" t="str">
        <f>TEXT(Table1[[#This Row],[order_date]],"yyyy-mm")</f>
        <v>2025-09</v>
      </c>
      <c r="Q1553">
        <f>WEEKNUM(Table1[[#This Row],[order_date]])</f>
        <v>36</v>
      </c>
      <c r="R1553">
        <f>IF(Table1[[#This Row],[order_status]]="completed",1,0)</f>
        <v>0</v>
      </c>
    </row>
    <row r="1554" spans="1:18" x14ac:dyDescent="0.35">
      <c r="A1554">
        <v>1553</v>
      </c>
      <c r="B1554" s="1">
        <v>46014</v>
      </c>
      <c r="C1554">
        <v>1973</v>
      </c>
      <c r="D1554" t="s">
        <v>28</v>
      </c>
      <c r="E1554" t="s">
        <v>33</v>
      </c>
      <c r="F1554" t="s">
        <v>17</v>
      </c>
      <c r="G1554">
        <v>3</v>
      </c>
      <c r="H1554">
        <v>0</v>
      </c>
      <c r="I1554" t="s">
        <v>18</v>
      </c>
      <c r="J1554" t="s">
        <v>37</v>
      </c>
      <c r="K1554" t="s">
        <v>26</v>
      </c>
      <c r="L1554">
        <v>3</v>
      </c>
      <c r="M1554">
        <v>0</v>
      </c>
      <c r="N1554">
        <v>0</v>
      </c>
      <c r="O1554" t="s">
        <v>21</v>
      </c>
      <c r="P1554" t="str">
        <f>TEXT(Table1[[#This Row],[order_date]],"yyyy-mm")</f>
        <v>2025-12</v>
      </c>
      <c r="Q1554">
        <f>WEEKNUM(Table1[[#This Row],[order_date]])</f>
        <v>52</v>
      </c>
      <c r="R1554">
        <f>IF(Table1[[#This Row],[order_status]]="completed",1,0)</f>
        <v>0</v>
      </c>
    </row>
    <row r="1555" spans="1:18" x14ac:dyDescent="0.35">
      <c r="A1555">
        <v>1554</v>
      </c>
      <c r="B1555" s="1">
        <v>45976</v>
      </c>
      <c r="C1555">
        <v>1500</v>
      </c>
      <c r="D1555" t="s">
        <v>22</v>
      </c>
      <c r="E1555" t="s">
        <v>16</v>
      </c>
      <c r="F1555" t="s">
        <v>30</v>
      </c>
      <c r="G1555">
        <v>1</v>
      </c>
      <c r="H1555">
        <v>2298</v>
      </c>
      <c r="I1555" t="s">
        <v>35</v>
      </c>
      <c r="J1555" t="s">
        <v>19</v>
      </c>
      <c r="K1555" t="s">
        <v>38</v>
      </c>
      <c r="L1555">
        <v>4</v>
      </c>
      <c r="M1555">
        <v>1</v>
      </c>
      <c r="N1555">
        <v>1</v>
      </c>
      <c r="O1555" t="s">
        <v>27</v>
      </c>
      <c r="P1555" t="str">
        <f>TEXT(Table1[[#This Row],[order_date]],"yyyy-mm")</f>
        <v>2025-11</v>
      </c>
      <c r="Q1555">
        <f>WEEKNUM(Table1[[#This Row],[order_date]])</f>
        <v>46</v>
      </c>
      <c r="R1555">
        <f>IF(Table1[[#This Row],[order_status]]="completed",1,0)</f>
        <v>1</v>
      </c>
    </row>
    <row r="1556" spans="1:18" x14ac:dyDescent="0.35">
      <c r="A1556">
        <v>1555</v>
      </c>
      <c r="B1556" s="1">
        <v>45939</v>
      </c>
      <c r="C1556">
        <v>1157</v>
      </c>
      <c r="D1556" t="s">
        <v>32</v>
      </c>
      <c r="E1556" t="s">
        <v>16</v>
      </c>
      <c r="F1556" t="s">
        <v>34</v>
      </c>
      <c r="G1556">
        <v>5</v>
      </c>
      <c r="H1556">
        <v>23045</v>
      </c>
      <c r="I1556" t="s">
        <v>39</v>
      </c>
      <c r="J1556" t="s">
        <v>19</v>
      </c>
      <c r="K1556" t="s">
        <v>38</v>
      </c>
      <c r="L1556">
        <v>6</v>
      </c>
      <c r="M1556">
        <v>1</v>
      </c>
      <c r="N1556">
        <v>0</v>
      </c>
      <c r="O1556" t="s">
        <v>27</v>
      </c>
      <c r="P1556" t="str">
        <f>TEXT(Table1[[#This Row],[order_date]],"yyyy-mm")</f>
        <v>2025-10</v>
      </c>
      <c r="Q1556">
        <f>WEEKNUM(Table1[[#This Row],[order_date]])</f>
        <v>41</v>
      </c>
      <c r="R1556">
        <f>IF(Table1[[#This Row],[order_status]]="completed",1,0)</f>
        <v>1</v>
      </c>
    </row>
    <row r="1557" spans="1:18" x14ac:dyDescent="0.35">
      <c r="A1557">
        <v>1556</v>
      </c>
      <c r="B1557" s="1">
        <v>45936</v>
      </c>
      <c r="C1557">
        <v>1134</v>
      </c>
      <c r="D1557" t="s">
        <v>32</v>
      </c>
      <c r="E1557" t="s">
        <v>29</v>
      </c>
      <c r="F1557" t="s">
        <v>17</v>
      </c>
      <c r="G1557">
        <v>5</v>
      </c>
      <c r="H1557">
        <v>0</v>
      </c>
      <c r="I1557" t="s">
        <v>25</v>
      </c>
      <c r="J1557" t="s">
        <v>31</v>
      </c>
      <c r="K1557" t="s">
        <v>40</v>
      </c>
      <c r="L1557">
        <v>2</v>
      </c>
      <c r="M1557">
        <v>1</v>
      </c>
      <c r="N1557">
        <v>1</v>
      </c>
      <c r="O1557" t="s">
        <v>27</v>
      </c>
      <c r="P1557" t="str">
        <f>TEXT(Table1[[#This Row],[order_date]],"yyyy-mm")</f>
        <v>2025-10</v>
      </c>
      <c r="Q1557">
        <f>WEEKNUM(Table1[[#This Row],[order_date]])</f>
        <v>41</v>
      </c>
      <c r="R1557">
        <f>IF(Table1[[#This Row],[order_status]]="completed",1,0)</f>
        <v>0</v>
      </c>
    </row>
    <row r="1558" spans="1:18" x14ac:dyDescent="0.35">
      <c r="A1558">
        <v>1557</v>
      </c>
      <c r="B1558" s="1">
        <v>45936</v>
      </c>
      <c r="C1558">
        <v>1915</v>
      </c>
      <c r="D1558" t="s">
        <v>15</v>
      </c>
      <c r="E1558" t="s">
        <v>16</v>
      </c>
      <c r="F1558" t="s">
        <v>24</v>
      </c>
      <c r="G1558">
        <v>5</v>
      </c>
      <c r="H1558">
        <v>4980</v>
      </c>
      <c r="I1558" t="s">
        <v>25</v>
      </c>
      <c r="J1558" t="s">
        <v>19</v>
      </c>
      <c r="K1558" t="s">
        <v>40</v>
      </c>
      <c r="L1558">
        <v>10</v>
      </c>
      <c r="M1558">
        <v>0</v>
      </c>
      <c r="N1558">
        <v>1</v>
      </c>
      <c r="O1558" t="s">
        <v>27</v>
      </c>
      <c r="P1558" t="str">
        <f>TEXT(Table1[[#This Row],[order_date]],"yyyy-mm")</f>
        <v>2025-10</v>
      </c>
      <c r="Q1558">
        <f>WEEKNUM(Table1[[#This Row],[order_date]])</f>
        <v>41</v>
      </c>
      <c r="R1558">
        <f>IF(Table1[[#This Row],[order_status]]="completed",1,0)</f>
        <v>1</v>
      </c>
    </row>
    <row r="1559" spans="1:18" x14ac:dyDescent="0.35">
      <c r="A1559">
        <v>1558</v>
      </c>
      <c r="B1559" s="1">
        <v>45898</v>
      </c>
      <c r="C1559">
        <v>1101</v>
      </c>
      <c r="D1559" t="s">
        <v>15</v>
      </c>
      <c r="E1559" t="s">
        <v>33</v>
      </c>
      <c r="F1559" t="s">
        <v>30</v>
      </c>
      <c r="G1559">
        <v>2</v>
      </c>
      <c r="H1559">
        <v>0</v>
      </c>
      <c r="I1559" t="s">
        <v>18</v>
      </c>
      <c r="J1559" t="s">
        <v>31</v>
      </c>
      <c r="K1559" t="s">
        <v>26</v>
      </c>
      <c r="L1559">
        <v>8</v>
      </c>
      <c r="M1559">
        <v>1</v>
      </c>
      <c r="N1559">
        <v>0</v>
      </c>
      <c r="O1559" t="s">
        <v>21</v>
      </c>
      <c r="P1559" t="str">
        <f>TEXT(Table1[[#This Row],[order_date]],"yyyy-mm")</f>
        <v>2025-08</v>
      </c>
      <c r="Q1559">
        <f>WEEKNUM(Table1[[#This Row],[order_date]])</f>
        <v>35</v>
      </c>
      <c r="R1559">
        <f>IF(Table1[[#This Row],[order_status]]="completed",1,0)</f>
        <v>0</v>
      </c>
    </row>
    <row r="1560" spans="1:18" x14ac:dyDescent="0.35">
      <c r="A1560">
        <v>1559</v>
      </c>
      <c r="B1560" s="1">
        <v>45900</v>
      </c>
      <c r="C1560">
        <v>1324</v>
      </c>
      <c r="D1560" t="s">
        <v>28</v>
      </c>
      <c r="E1560" t="s">
        <v>36</v>
      </c>
      <c r="F1560" t="s">
        <v>30</v>
      </c>
      <c r="G1560">
        <v>3</v>
      </c>
      <c r="H1560">
        <v>0</v>
      </c>
      <c r="I1560" t="s">
        <v>39</v>
      </c>
      <c r="J1560" t="s">
        <v>37</v>
      </c>
      <c r="K1560" t="s">
        <v>38</v>
      </c>
      <c r="L1560">
        <v>6</v>
      </c>
      <c r="M1560">
        <v>0</v>
      </c>
      <c r="N1560">
        <v>0</v>
      </c>
      <c r="O1560" t="s">
        <v>21</v>
      </c>
      <c r="P1560" t="str">
        <f>TEXT(Table1[[#This Row],[order_date]],"yyyy-mm")</f>
        <v>2025-08</v>
      </c>
      <c r="Q1560">
        <f>WEEKNUM(Table1[[#This Row],[order_date]])</f>
        <v>36</v>
      </c>
      <c r="R1560">
        <f>IF(Table1[[#This Row],[order_status]]="completed",1,0)</f>
        <v>0</v>
      </c>
    </row>
    <row r="1561" spans="1:18" x14ac:dyDescent="0.35">
      <c r="A1561">
        <v>1560</v>
      </c>
      <c r="B1561" s="1">
        <v>45909</v>
      </c>
      <c r="C1561">
        <v>1795</v>
      </c>
      <c r="D1561" t="s">
        <v>41</v>
      </c>
      <c r="E1561" t="s">
        <v>29</v>
      </c>
      <c r="F1561" t="s">
        <v>34</v>
      </c>
      <c r="G1561">
        <v>1</v>
      </c>
      <c r="H1561">
        <v>0</v>
      </c>
      <c r="I1561" t="s">
        <v>39</v>
      </c>
      <c r="J1561" t="s">
        <v>37</v>
      </c>
      <c r="K1561" t="s">
        <v>38</v>
      </c>
      <c r="L1561">
        <v>9</v>
      </c>
      <c r="M1561">
        <v>0</v>
      </c>
      <c r="N1561">
        <v>0</v>
      </c>
      <c r="O1561" t="s">
        <v>27</v>
      </c>
      <c r="P1561" t="str">
        <f>TEXT(Table1[[#This Row],[order_date]],"yyyy-mm")</f>
        <v>2025-09</v>
      </c>
      <c r="Q1561">
        <f>WEEKNUM(Table1[[#This Row],[order_date]])</f>
        <v>37</v>
      </c>
      <c r="R1561">
        <f>IF(Table1[[#This Row],[order_status]]="completed",1,0)</f>
        <v>0</v>
      </c>
    </row>
    <row r="1562" spans="1:18" x14ac:dyDescent="0.35">
      <c r="A1562">
        <v>1561</v>
      </c>
      <c r="B1562" s="1">
        <v>46015</v>
      </c>
      <c r="C1562">
        <v>1957</v>
      </c>
      <c r="D1562" t="s">
        <v>22</v>
      </c>
      <c r="E1562" t="s">
        <v>29</v>
      </c>
      <c r="F1562" t="s">
        <v>24</v>
      </c>
      <c r="G1562">
        <v>2</v>
      </c>
      <c r="H1562">
        <v>0</v>
      </c>
      <c r="I1562" t="s">
        <v>18</v>
      </c>
      <c r="J1562" t="s">
        <v>37</v>
      </c>
      <c r="K1562" t="s">
        <v>40</v>
      </c>
      <c r="L1562">
        <v>6</v>
      </c>
      <c r="M1562">
        <v>1</v>
      </c>
      <c r="N1562">
        <v>1</v>
      </c>
      <c r="O1562" t="s">
        <v>27</v>
      </c>
      <c r="P1562" t="str">
        <f>TEXT(Table1[[#This Row],[order_date]],"yyyy-mm")</f>
        <v>2025-12</v>
      </c>
      <c r="Q1562">
        <f>WEEKNUM(Table1[[#This Row],[order_date]])</f>
        <v>52</v>
      </c>
      <c r="R1562">
        <f>IF(Table1[[#This Row],[order_status]]="completed",1,0)</f>
        <v>0</v>
      </c>
    </row>
    <row r="1563" spans="1:18" x14ac:dyDescent="0.35">
      <c r="A1563">
        <v>1562</v>
      </c>
      <c r="B1563" s="1">
        <v>45936</v>
      </c>
      <c r="C1563">
        <v>1854</v>
      </c>
      <c r="D1563" t="s">
        <v>41</v>
      </c>
      <c r="E1563" t="s">
        <v>23</v>
      </c>
      <c r="F1563" t="s">
        <v>24</v>
      </c>
      <c r="G1563">
        <v>3</v>
      </c>
      <c r="H1563">
        <v>6387</v>
      </c>
      <c r="I1563" t="s">
        <v>39</v>
      </c>
      <c r="J1563" t="s">
        <v>19</v>
      </c>
      <c r="K1563" t="s">
        <v>38</v>
      </c>
      <c r="L1563">
        <v>8</v>
      </c>
      <c r="M1563">
        <v>1</v>
      </c>
      <c r="N1563">
        <v>0</v>
      </c>
      <c r="O1563" t="s">
        <v>21</v>
      </c>
      <c r="P1563" t="str">
        <f>TEXT(Table1[[#This Row],[order_date]],"yyyy-mm")</f>
        <v>2025-10</v>
      </c>
      <c r="Q1563">
        <f>WEEKNUM(Table1[[#This Row],[order_date]])</f>
        <v>41</v>
      </c>
      <c r="R1563">
        <f>IF(Table1[[#This Row],[order_status]]="completed",1,0)</f>
        <v>1</v>
      </c>
    </row>
    <row r="1564" spans="1:18" x14ac:dyDescent="0.35">
      <c r="A1564">
        <v>1563</v>
      </c>
      <c r="B1564" s="1">
        <v>45913</v>
      </c>
      <c r="C1564">
        <v>1896</v>
      </c>
      <c r="D1564" t="s">
        <v>32</v>
      </c>
      <c r="E1564" t="s">
        <v>29</v>
      </c>
      <c r="F1564" t="s">
        <v>24</v>
      </c>
      <c r="G1564">
        <v>4</v>
      </c>
      <c r="H1564">
        <v>2208</v>
      </c>
      <c r="I1564" t="s">
        <v>39</v>
      </c>
      <c r="J1564" t="s">
        <v>19</v>
      </c>
      <c r="K1564" t="s">
        <v>40</v>
      </c>
      <c r="L1564">
        <v>6</v>
      </c>
      <c r="M1564">
        <v>0</v>
      </c>
      <c r="N1564">
        <v>1</v>
      </c>
      <c r="O1564" t="s">
        <v>21</v>
      </c>
      <c r="P1564" t="str">
        <f>TEXT(Table1[[#This Row],[order_date]],"yyyy-mm")</f>
        <v>2025-09</v>
      </c>
      <c r="Q1564">
        <f>WEEKNUM(Table1[[#This Row],[order_date]])</f>
        <v>37</v>
      </c>
      <c r="R1564">
        <f>IF(Table1[[#This Row],[order_status]]="completed",1,0)</f>
        <v>1</v>
      </c>
    </row>
    <row r="1565" spans="1:18" x14ac:dyDescent="0.35">
      <c r="A1565">
        <v>1564</v>
      </c>
      <c r="B1565" s="1">
        <v>46011</v>
      </c>
      <c r="C1565">
        <v>1754</v>
      </c>
      <c r="D1565" t="s">
        <v>32</v>
      </c>
      <c r="E1565" t="s">
        <v>33</v>
      </c>
      <c r="F1565" t="s">
        <v>34</v>
      </c>
      <c r="G1565">
        <v>5</v>
      </c>
      <c r="H1565">
        <v>0</v>
      </c>
      <c r="I1565" t="s">
        <v>18</v>
      </c>
      <c r="J1565" t="s">
        <v>37</v>
      </c>
      <c r="K1565" t="s">
        <v>20</v>
      </c>
      <c r="L1565">
        <v>10</v>
      </c>
      <c r="M1565">
        <v>0</v>
      </c>
      <c r="N1565">
        <v>1</v>
      </c>
      <c r="O1565" t="s">
        <v>27</v>
      </c>
      <c r="P1565" t="str">
        <f>TEXT(Table1[[#This Row],[order_date]],"yyyy-mm")</f>
        <v>2025-12</v>
      </c>
      <c r="Q1565">
        <f>WEEKNUM(Table1[[#This Row],[order_date]])</f>
        <v>51</v>
      </c>
      <c r="R1565">
        <f>IF(Table1[[#This Row],[order_status]]="completed",1,0)</f>
        <v>0</v>
      </c>
    </row>
    <row r="1566" spans="1:18" x14ac:dyDescent="0.35">
      <c r="A1566">
        <v>1565</v>
      </c>
      <c r="B1566" s="1">
        <v>46026</v>
      </c>
      <c r="C1566">
        <v>1336</v>
      </c>
      <c r="D1566" t="s">
        <v>32</v>
      </c>
      <c r="E1566" t="s">
        <v>23</v>
      </c>
      <c r="F1566" t="s">
        <v>17</v>
      </c>
      <c r="G1566">
        <v>3</v>
      </c>
      <c r="H1566">
        <v>0</v>
      </c>
      <c r="I1566" t="s">
        <v>35</v>
      </c>
      <c r="J1566" t="s">
        <v>31</v>
      </c>
      <c r="K1566" t="s">
        <v>38</v>
      </c>
      <c r="L1566">
        <v>8</v>
      </c>
      <c r="M1566">
        <v>1</v>
      </c>
      <c r="N1566">
        <v>0</v>
      </c>
      <c r="O1566" t="s">
        <v>27</v>
      </c>
      <c r="P1566" t="str">
        <f>TEXT(Table1[[#This Row],[order_date]],"yyyy-mm")</f>
        <v>2026-01</v>
      </c>
      <c r="Q1566">
        <f>WEEKNUM(Table1[[#This Row],[order_date]])</f>
        <v>2</v>
      </c>
      <c r="R1566">
        <f>IF(Table1[[#This Row],[order_status]]="completed",1,0)</f>
        <v>0</v>
      </c>
    </row>
    <row r="1567" spans="1:18" x14ac:dyDescent="0.35">
      <c r="A1567">
        <v>1566</v>
      </c>
      <c r="B1567" s="1">
        <v>45883</v>
      </c>
      <c r="C1567">
        <v>1501</v>
      </c>
      <c r="D1567" t="s">
        <v>22</v>
      </c>
      <c r="E1567" t="s">
        <v>29</v>
      </c>
      <c r="F1567" t="s">
        <v>24</v>
      </c>
      <c r="G1567">
        <v>4</v>
      </c>
      <c r="H1567">
        <v>0</v>
      </c>
      <c r="I1567" t="s">
        <v>39</v>
      </c>
      <c r="J1567" t="s">
        <v>31</v>
      </c>
      <c r="K1567" t="s">
        <v>20</v>
      </c>
      <c r="L1567">
        <v>5</v>
      </c>
      <c r="M1567">
        <v>0</v>
      </c>
      <c r="N1567">
        <v>0</v>
      </c>
      <c r="O1567" t="s">
        <v>27</v>
      </c>
      <c r="P1567" t="str">
        <f>TEXT(Table1[[#This Row],[order_date]],"yyyy-mm")</f>
        <v>2025-08</v>
      </c>
      <c r="Q1567">
        <f>WEEKNUM(Table1[[#This Row],[order_date]])</f>
        <v>33</v>
      </c>
      <c r="R1567">
        <f>IF(Table1[[#This Row],[order_status]]="completed",1,0)</f>
        <v>0</v>
      </c>
    </row>
    <row r="1568" spans="1:18" x14ac:dyDescent="0.35">
      <c r="A1568">
        <v>1567</v>
      </c>
      <c r="B1568" s="1">
        <v>45898</v>
      </c>
      <c r="C1568">
        <v>1299</v>
      </c>
      <c r="D1568" t="s">
        <v>41</v>
      </c>
      <c r="E1568" t="s">
        <v>23</v>
      </c>
      <c r="F1568" t="s">
        <v>17</v>
      </c>
      <c r="G1568">
        <v>4</v>
      </c>
      <c r="H1568">
        <v>0</v>
      </c>
      <c r="I1568" t="s">
        <v>39</v>
      </c>
      <c r="J1568" t="s">
        <v>31</v>
      </c>
      <c r="K1568" t="s">
        <v>38</v>
      </c>
      <c r="L1568">
        <v>10</v>
      </c>
      <c r="M1568">
        <v>1</v>
      </c>
      <c r="N1568">
        <v>0</v>
      </c>
      <c r="O1568" t="s">
        <v>21</v>
      </c>
      <c r="P1568" t="str">
        <f>TEXT(Table1[[#This Row],[order_date]],"yyyy-mm")</f>
        <v>2025-08</v>
      </c>
      <c r="Q1568">
        <f>WEEKNUM(Table1[[#This Row],[order_date]])</f>
        <v>35</v>
      </c>
      <c r="R1568">
        <f>IF(Table1[[#This Row],[order_status]]="completed",1,0)</f>
        <v>0</v>
      </c>
    </row>
    <row r="1569" spans="1:18" x14ac:dyDescent="0.35">
      <c r="A1569">
        <v>1568</v>
      </c>
      <c r="B1569" s="1">
        <v>46023</v>
      </c>
      <c r="C1569">
        <v>1710</v>
      </c>
      <c r="D1569" t="s">
        <v>22</v>
      </c>
      <c r="E1569" t="s">
        <v>23</v>
      </c>
      <c r="F1569" t="s">
        <v>24</v>
      </c>
      <c r="G1569">
        <v>4</v>
      </c>
      <c r="H1569">
        <v>0</v>
      </c>
      <c r="I1569" t="s">
        <v>18</v>
      </c>
      <c r="J1569" t="s">
        <v>37</v>
      </c>
      <c r="K1569" t="s">
        <v>38</v>
      </c>
      <c r="L1569">
        <v>2</v>
      </c>
      <c r="M1569">
        <v>1</v>
      </c>
      <c r="N1569">
        <v>0</v>
      </c>
      <c r="O1569" t="s">
        <v>21</v>
      </c>
      <c r="P1569" t="str">
        <f>TEXT(Table1[[#This Row],[order_date]],"yyyy-mm")</f>
        <v>2026-01</v>
      </c>
      <c r="Q1569">
        <f>WEEKNUM(Table1[[#This Row],[order_date]])</f>
        <v>1</v>
      </c>
      <c r="R1569">
        <f>IF(Table1[[#This Row],[order_status]]="completed",1,0)</f>
        <v>0</v>
      </c>
    </row>
    <row r="1570" spans="1:18" x14ac:dyDescent="0.35">
      <c r="A1570">
        <v>1569</v>
      </c>
      <c r="B1570" s="1">
        <v>45984</v>
      </c>
      <c r="C1570">
        <v>1769</v>
      </c>
      <c r="D1570" t="s">
        <v>28</v>
      </c>
      <c r="E1570" t="s">
        <v>29</v>
      </c>
      <c r="F1570" t="s">
        <v>24</v>
      </c>
      <c r="G1570">
        <v>2</v>
      </c>
      <c r="H1570">
        <v>2752</v>
      </c>
      <c r="I1570" t="s">
        <v>35</v>
      </c>
      <c r="J1570" t="s">
        <v>19</v>
      </c>
      <c r="K1570" t="s">
        <v>20</v>
      </c>
      <c r="L1570">
        <v>7</v>
      </c>
      <c r="M1570">
        <v>1</v>
      </c>
      <c r="N1570">
        <v>1</v>
      </c>
      <c r="O1570" t="s">
        <v>27</v>
      </c>
      <c r="P1570" t="str">
        <f>TEXT(Table1[[#This Row],[order_date]],"yyyy-mm")</f>
        <v>2025-11</v>
      </c>
      <c r="Q1570">
        <f>WEEKNUM(Table1[[#This Row],[order_date]])</f>
        <v>48</v>
      </c>
      <c r="R1570">
        <f>IF(Table1[[#This Row],[order_status]]="completed",1,0)</f>
        <v>1</v>
      </c>
    </row>
    <row r="1571" spans="1:18" x14ac:dyDescent="0.35">
      <c r="A1571">
        <v>1570</v>
      </c>
      <c r="B1571" s="1">
        <v>45867</v>
      </c>
      <c r="C1571">
        <v>1778</v>
      </c>
      <c r="D1571" t="s">
        <v>15</v>
      </c>
      <c r="E1571" t="s">
        <v>23</v>
      </c>
      <c r="F1571" t="s">
        <v>24</v>
      </c>
      <c r="G1571">
        <v>3</v>
      </c>
      <c r="H1571">
        <v>0</v>
      </c>
      <c r="I1571" t="s">
        <v>25</v>
      </c>
      <c r="J1571" t="s">
        <v>37</v>
      </c>
      <c r="K1571" t="s">
        <v>38</v>
      </c>
      <c r="L1571">
        <v>5</v>
      </c>
      <c r="M1571">
        <v>0</v>
      </c>
      <c r="N1571">
        <v>1</v>
      </c>
      <c r="O1571" t="s">
        <v>27</v>
      </c>
      <c r="P1571" t="str">
        <f>TEXT(Table1[[#This Row],[order_date]],"yyyy-mm")</f>
        <v>2025-07</v>
      </c>
      <c r="Q1571">
        <f>WEEKNUM(Table1[[#This Row],[order_date]])</f>
        <v>31</v>
      </c>
      <c r="R1571">
        <f>IF(Table1[[#This Row],[order_status]]="completed",1,0)</f>
        <v>0</v>
      </c>
    </row>
    <row r="1572" spans="1:18" x14ac:dyDescent="0.35">
      <c r="A1572">
        <v>1571</v>
      </c>
      <c r="B1572" s="1">
        <v>45899</v>
      </c>
      <c r="C1572">
        <v>1823</v>
      </c>
      <c r="D1572" t="s">
        <v>32</v>
      </c>
      <c r="E1572" t="s">
        <v>36</v>
      </c>
      <c r="F1572" t="s">
        <v>24</v>
      </c>
      <c r="G1572">
        <v>3</v>
      </c>
      <c r="H1572">
        <v>6396</v>
      </c>
      <c r="I1572" t="s">
        <v>18</v>
      </c>
      <c r="J1572" t="s">
        <v>19</v>
      </c>
      <c r="K1572" t="s">
        <v>26</v>
      </c>
      <c r="L1572">
        <v>4</v>
      </c>
      <c r="M1572">
        <v>1</v>
      </c>
      <c r="N1572">
        <v>1</v>
      </c>
      <c r="O1572" t="s">
        <v>21</v>
      </c>
      <c r="P1572" t="str">
        <f>TEXT(Table1[[#This Row],[order_date]],"yyyy-mm")</f>
        <v>2025-08</v>
      </c>
      <c r="Q1572">
        <f>WEEKNUM(Table1[[#This Row],[order_date]])</f>
        <v>35</v>
      </c>
      <c r="R1572">
        <f>IF(Table1[[#This Row],[order_status]]="completed",1,0)</f>
        <v>1</v>
      </c>
    </row>
    <row r="1573" spans="1:18" x14ac:dyDescent="0.35">
      <c r="A1573">
        <v>1572</v>
      </c>
      <c r="B1573" s="1">
        <v>45995</v>
      </c>
      <c r="C1573">
        <v>1212</v>
      </c>
      <c r="D1573" t="s">
        <v>41</v>
      </c>
      <c r="E1573" t="s">
        <v>29</v>
      </c>
      <c r="F1573" t="s">
        <v>30</v>
      </c>
      <c r="G1573">
        <v>2</v>
      </c>
      <c r="H1573">
        <v>0</v>
      </c>
      <c r="I1573" t="s">
        <v>35</v>
      </c>
      <c r="J1573" t="s">
        <v>37</v>
      </c>
      <c r="K1573" t="s">
        <v>38</v>
      </c>
      <c r="L1573">
        <v>5</v>
      </c>
      <c r="M1573">
        <v>0</v>
      </c>
      <c r="N1573">
        <v>1</v>
      </c>
      <c r="O1573" t="s">
        <v>21</v>
      </c>
      <c r="P1573" t="str">
        <f>TEXT(Table1[[#This Row],[order_date]],"yyyy-mm")</f>
        <v>2025-12</v>
      </c>
      <c r="Q1573">
        <f>WEEKNUM(Table1[[#This Row],[order_date]])</f>
        <v>49</v>
      </c>
      <c r="R1573">
        <f>IF(Table1[[#This Row],[order_status]]="completed",1,0)</f>
        <v>0</v>
      </c>
    </row>
    <row r="1574" spans="1:18" x14ac:dyDescent="0.35">
      <c r="A1574">
        <v>1573</v>
      </c>
      <c r="B1574" s="1">
        <v>45924</v>
      </c>
      <c r="C1574">
        <v>1448</v>
      </c>
      <c r="D1574" t="s">
        <v>41</v>
      </c>
      <c r="E1574" t="s">
        <v>16</v>
      </c>
      <c r="F1574" t="s">
        <v>24</v>
      </c>
      <c r="G1574">
        <v>5</v>
      </c>
      <c r="H1574">
        <v>0</v>
      </c>
      <c r="I1574" t="s">
        <v>35</v>
      </c>
      <c r="J1574" t="s">
        <v>31</v>
      </c>
      <c r="K1574" t="s">
        <v>26</v>
      </c>
      <c r="L1574">
        <v>6</v>
      </c>
      <c r="M1574">
        <v>0</v>
      </c>
      <c r="N1574">
        <v>1</v>
      </c>
      <c r="O1574" t="s">
        <v>27</v>
      </c>
      <c r="P1574" t="str">
        <f>TEXT(Table1[[#This Row],[order_date]],"yyyy-mm")</f>
        <v>2025-09</v>
      </c>
      <c r="Q1574">
        <f>WEEKNUM(Table1[[#This Row],[order_date]])</f>
        <v>39</v>
      </c>
      <c r="R1574">
        <f>IF(Table1[[#This Row],[order_status]]="completed",1,0)</f>
        <v>0</v>
      </c>
    </row>
    <row r="1575" spans="1:18" x14ac:dyDescent="0.35">
      <c r="A1575">
        <v>1574</v>
      </c>
      <c r="B1575" s="1">
        <v>45954</v>
      </c>
      <c r="C1575">
        <v>1347</v>
      </c>
      <c r="D1575" t="s">
        <v>22</v>
      </c>
      <c r="E1575" t="s">
        <v>36</v>
      </c>
      <c r="F1575" t="s">
        <v>24</v>
      </c>
      <c r="G1575">
        <v>1</v>
      </c>
      <c r="H1575">
        <v>0</v>
      </c>
      <c r="I1575" t="s">
        <v>18</v>
      </c>
      <c r="J1575" t="s">
        <v>31</v>
      </c>
      <c r="K1575" t="s">
        <v>26</v>
      </c>
      <c r="L1575">
        <v>5</v>
      </c>
      <c r="M1575">
        <v>0</v>
      </c>
      <c r="N1575">
        <v>1</v>
      </c>
      <c r="O1575" t="s">
        <v>27</v>
      </c>
      <c r="P1575" t="str">
        <f>TEXT(Table1[[#This Row],[order_date]],"yyyy-mm")</f>
        <v>2025-10</v>
      </c>
      <c r="Q1575">
        <f>WEEKNUM(Table1[[#This Row],[order_date]])</f>
        <v>43</v>
      </c>
      <c r="R1575">
        <f>IF(Table1[[#This Row],[order_status]]="completed",1,0)</f>
        <v>0</v>
      </c>
    </row>
    <row r="1576" spans="1:18" x14ac:dyDescent="0.35">
      <c r="A1576">
        <v>1575</v>
      </c>
      <c r="B1576" s="1">
        <v>45865</v>
      </c>
      <c r="C1576">
        <v>1340</v>
      </c>
      <c r="D1576" t="s">
        <v>41</v>
      </c>
      <c r="E1576" t="s">
        <v>36</v>
      </c>
      <c r="F1576" t="s">
        <v>17</v>
      </c>
      <c r="G1576">
        <v>1</v>
      </c>
      <c r="H1576">
        <v>1008</v>
      </c>
      <c r="I1576" t="s">
        <v>35</v>
      </c>
      <c r="J1576" t="s">
        <v>19</v>
      </c>
      <c r="K1576" t="s">
        <v>40</v>
      </c>
      <c r="L1576">
        <v>8</v>
      </c>
      <c r="M1576">
        <v>0</v>
      </c>
      <c r="N1576">
        <v>0</v>
      </c>
      <c r="O1576" t="s">
        <v>21</v>
      </c>
      <c r="P1576" t="str">
        <f>TEXT(Table1[[#This Row],[order_date]],"yyyy-mm")</f>
        <v>2025-07</v>
      </c>
      <c r="Q1576">
        <f>WEEKNUM(Table1[[#This Row],[order_date]])</f>
        <v>31</v>
      </c>
      <c r="R1576">
        <f>IF(Table1[[#This Row],[order_status]]="completed",1,0)</f>
        <v>1</v>
      </c>
    </row>
    <row r="1577" spans="1:18" x14ac:dyDescent="0.35">
      <c r="A1577">
        <v>1576</v>
      </c>
      <c r="B1577" s="1">
        <v>45909</v>
      </c>
      <c r="C1577">
        <v>1261</v>
      </c>
      <c r="D1577" t="s">
        <v>41</v>
      </c>
      <c r="E1577" t="s">
        <v>16</v>
      </c>
      <c r="F1577" t="s">
        <v>17</v>
      </c>
      <c r="G1577">
        <v>2</v>
      </c>
      <c r="H1577">
        <v>0</v>
      </c>
      <c r="I1577" t="s">
        <v>39</v>
      </c>
      <c r="J1577" t="s">
        <v>31</v>
      </c>
      <c r="K1577" t="s">
        <v>26</v>
      </c>
      <c r="L1577">
        <v>3</v>
      </c>
      <c r="M1577">
        <v>0</v>
      </c>
      <c r="N1577">
        <v>0</v>
      </c>
      <c r="O1577" t="s">
        <v>21</v>
      </c>
      <c r="P1577" t="str">
        <f>TEXT(Table1[[#This Row],[order_date]],"yyyy-mm")</f>
        <v>2025-09</v>
      </c>
      <c r="Q1577">
        <f>WEEKNUM(Table1[[#This Row],[order_date]])</f>
        <v>37</v>
      </c>
      <c r="R1577">
        <f>IF(Table1[[#This Row],[order_status]]="completed",1,0)</f>
        <v>0</v>
      </c>
    </row>
    <row r="1578" spans="1:18" x14ac:dyDescent="0.35">
      <c r="A1578">
        <v>1577</v>
      </c>
      <c r="B1578" s="1">
        <v>45980</v>
      </c>
      <c r="C1578">
        <v>1687</v>
      </c>
      <c r="D1578" t="s">
        <v>15</v>
      </c>
      <c r="E1578" t="s">
        <v>36</v>
      </c>
      <c r="F1578" t="s">
        <v>17</v>
      </c>
      <c r="G1578">
        <v>2</v>
      </c>
      <c r="H1578">
        <v>6170</v>
      </c>
      <c r="I1578" t="s">
        <v>18</v>
      </c>
      <c r="J1578" t="s">
        <v>19</v>
      </c>
      <c r="K1578" t="s">
        <v>38</v>
      </c>
      <c r="L1578">
        <v>6</v>
      </c>
      <c r="M1578">
        <v>1</v>
      </c>
      <c r="N1578">
        <v>1</v>
      </c>
      <c r="O1578" t="s">
        <v>21</v>
      </c>
      <c r="P1578" t="str">
        <f>TEXT(Table1[[#This Row],[order_date]],"yyyy-mm")</f>
        <v>2025-11</v>
      </c>
      <c r="Q1578">
        <f>WEEKNUM(Table1[[#This Row],[order_date]])</f>
        <v>47</v>
      </c>
      <c r="R1578">
        <f>IF(Table1[[#This Row],[order_status]]="completed",1,0)</f>
        <v>1</v>
      </c>
    </row>
    <row r="1579" spans="1:18" x14ac:dyDescent="0.35">
      <c r="A1579">
        <v>1578</v>
      </c>
      <c r="B1579" s="1">
        <v>45986</v>
      </c>
      <c r="C1579">
        <v>1392</v>
      </c>
      <c r="D1579" t="s">
        <v>28</v>
      </c>
      <c r="E1579" t="s">
        <v>23</v>
      </c>
      <c r="F1579" t="s">
        <v>30</v>
      </c>
      <c r="G1579">
        <v>4</v>
      </c>
      <c r="H1579">
        <v>0</v>
      </c>
      <c r="I1579" t="s">
        <v>25</v>
      </c>
      <c r="J1579" t="s">
        <v>37</v>
      </c>
      <c r="K1579" t="s">
        <v>26</v>
      </c>
      <c r="L1579">
        <v>8</v>
      </c>
      <c r="M1579">
        <v>1</v>
      </c>
      <c r="N1579">
        <v>0</v>
      </c>
      <c r="O1579" t="s">
        <v>21</v>
      </c>
      <c r="P1579" t="str">
        <f>TEXT(Table1[[#This Row],[order_date]],"yyyy-mm")</f>
        <v>2025-11</v>
      </c>
      <c r="Q1579">
        <f>WEEKNUM(Table1[[#This Row],[order_date]])</f>
        <v>48</v>
      </c>
      <c r="R1579">
        <f>IF(Table1[[#This Row],[order_status]]="completed",1,0)</f>
        <v>0</v>
      </c>
    </row>
    <row r="1580" spans="1:18" x14ac:dyDescent="0.35">
      <c r="A1580">
        <v>1579</v>
      </c>
      <c r="B1580" s="1">
        <v>45911</v>
      </c>
      <c r="C1580">
        <v>1455</v>
      </c>
      <c r="D1580" t="s">
        <v>32</v>
      </c>
      <c r="E1580" t="s">
        <v>33</v>
      </c>
      <c r="F1580" t="s">
        <v>34</v>
      </c>
      <c r="G1580">
        <v>2</v>
      </c>
      <c r="H1580">
        <v>9190</v>
      </c>
      <c r="I1580" t="s">
        <v>25</v>
      </c>
      <c r="J1580" t="s">
        <v>19</v>
      </c>
      <c r="K1580" t="s">
        <v>20</v>
      </c>
      <c r="L1580">
        <v>8</v>
      </c>
      <c r="M1580">
        <v>0</v>
      </c>
      <c r="N1580">
        <v>0</v>
      </c>
      <c r="O1580" t="s">
        <v>21</v>
      </c>
      <c r="P1580" t="str">
        <f>TEXT(Table1[[#This Row],[order_date]],"yyyy-mm")</f>
        <v>2025-09</v>
      </c>
      <c r="Q1580">
        <f>WEEKNUM(Table1[[#This Row],[order_date]])</f>
        <v>37</v>
      </c>
      <c r="R1580">
        <f>IF(Table1[[#This Row],[order_status]]="completed",1,0)</f>
        <v>1</v>
      </c>
    </row>
    <row r="1581" spans="1:18" x14ac:dyDescent="0.35">
      <c r="A1581">
        <v>1580</v>
      </c>
      <c r="B1581" s="1">
        <v>45883</v>
      </c>
      <c r="C1581">
        <v>1851</v>
      </c>
      <c r="D1581" t="s">
        <v>22</v>
      </c>
      <c r="E1581" t="s">
        <v>36</v>
      </c>
      <c r="F1581" t="s">
        <v>17</v>
      </c>
      <c r="G1581">
        <v>5</v>
      </c>
      <c r="H1581">
        <v>0</v>
      </c>
      <c r="I1581" t="s">
        <v>35</v>
      </c>
      <c r="J1581" t="s">
        <v>31</v>
      </c>
      <c r="K1581" t="s">
        <v>26</v>
      </c>
      <c r="L1581">
        <v>3</v>
      </c>
      <c r="M1581">
        <v>0</v>
      </c>
      <c r="N1581">
        <v>0</v>
      </c>
      <c r="O1581" t="s">
        <v>21</v>
      </c>
      <c r="P1581" t="str">
        <f>TEXT(Table1[[#This Row],[order_date]],"yyyy-mm")</f>
        <v>2025-08</v>
      </c>
      <c r="Q1581">
        <f>WEEKNUM(Table1[[#This Row],[order_date]])</f>
        <v>33</v>
      </c>
      <c r="R1581">
        <f>IF(Table1[[#This Row],[order_status]]="completed",1,0)</f>
        <v>0</v>
      </c>
    </row>
    <row r="1582" spans="1:18" x14ac:dyDescent="0.35">
      <c r="A1582">
        <v>1581</v>
      </c>
      <c r="B1582" s="1">
        <v>46005</v>
      </c>
      <c r="C1582">
        <v>1467</v>
      </c>
      <c r="D1582" t="s">
        <v>22</v>
      </c>
      <c r="E1582" t="s">
        <v>33</v>
      </c>
      <c r="F1582" t="s">
        <v>30</v>
      </c>
      <c r="G1582">
        <v>2</v>
      </c>
      <c r="H1582">
        <v>0</v>
      </c>
      <c r="I1582" t="s">
        <v>18</v>
      </c>
      <c r="J1582" t="s">
        <v>37</v>
      </c>
      <c r="K1582" t="s">
        <v>20</v>
      </c>
      <c r="L1582">
        <v>7</v>
      </c>
      <c r="M1582">
        <v>0</v>
      </c>
      <c r="N1582">
        <v>0</v>
      </c>
      <c r="O1582" t="s">
        <v>27</v>
      </c>
      <c r="P1582" t="str">
        <f>TEXT(Table1[[#This Row],[order_date]],"yyyy-mm")</f>
        <v>2025-12</v>
      </c>
      <c r="Q1582">
        <f>WEEKNUM(Table1[[#This Row],[order_date]])</f>
        <v>51</v>
      </c>
      <c r="R1582">
        <f>IF(Table1[[#This Row],[order_status]]="completed",1,0)</f>
        <v>0</v>
      </c>
    </row>
    <row r="1583" spans="1:18" x14ac:dyDescent="0.35">
      <c r="A1583">
        <v>1582</v>
      </c>
      <c r="B1583" s="1">
        <v>45972</v>
      </c>
      <c r="C1583">
        <v>1852</v>
      </c>
      <c r="D1583" t="s">
        <v>28</v>
      </c>
      <c r="E1583" t="s">
        <v>36</v>
      </c>
      <c r="F1583" t="s">
        <v>34</v>
      </c>
      <c r="G1583">
        <v>2</v>
      </c>
      <c r="H1583">
        <v>0</v>
      </c>
      <c r="I1583" t="s">
        <v>25</v>
      </c>
      <c r="J1583" t="s">
        <v>37</v>
      </c>
      <c r="K1583" t="s">
        <v>38</v>
      </c>
      <c r="L1583">
        <v>6</v>
      </c>
      <c r="M1583">
        <v>1</v>
      </c>
      <c r="N1583">
        <v>0</v>
      </c>
      <c r="O1583" t="s">
        <v>27</v>
      </c>
      <c r="P1583" t="str">
        <f>TEXT(Table1[[#This Row],[order_date]],"yyyy-mm")</f>
        <v>2025-11</v>
      </c>
      <c r="Q1583">
        <f>WEEKNUM(Table1[[#This Row],[order_date]])</f>
        <v>46</v>
      </c>
      <c r="R1583">
        <f>IF(Table1[[#This Row],[order_status]]="completed",1,0)</f>
        <v>0</v>
      </c>
    </row>
    <row r="1584" spans="1:18" x14ac:dyDescent="0.35">
      <c r="A1584">
        <v>1583</v>
      </c>
      <c r="B1584" s="1">
        <v>45912</v>
      </c>
      <c r="C1584">
        <v>1083</v>
      </c>
      <c r="D1584" t="s">
        <v>28</v>
      </c>
      <c r="E1584" t="s">
        <v>23</v>
      </c>
      <c r="F1584" t="s">
        <v>24</v>
      </c>
      <c r="G1584">
        <v>2</v>
      </c>
      <c r="H1584">
        <v>5184</v>
      </c>
      <c r="I1584" t="s">
        <v>25</v>
      </c>
      <c r="J1584" t="s">
        <v>19</v>
      </c>
      <c r="K1584" t="s">
        <v>26</v>
      </c>
      <c r="L1584">
        <v>4</v>
      </c>
      <c r="M1584">
        <v>0</v>
      </c>
      <c r="N1584">
        <v>1</v>
      </c>
      <c r="O1584" t="s">
        <v>21</v>
      </c>
      <c r="P1584" t="str">
        <f>TEXT(Table1[[#This Row],[order_date]],"yyyy-mm")</f>
        <v>2025-09</v>
      </c>
      <c r="Q1584">
        <f>WEEKNUM(Table1[[#This Row],[order_date]])</f>
        <v>37</v>
      </c>
      <c r="R1584">
        <f>IF(Table1[[#This Row],[order_status]]="completed",1,0)</f>
        <v>1</v>
      </c>
    </row>
    <row r="1585" spans="1:18" x14ac:dyDescent="0.35">
      <c r="A1585">
        <v>1584</v>
      </c>
      <c r="B1585" s="1">
        <v>46020</v>
      </c>
      <c r="C1585">
        <v>1824</v>
      </c>
      <c r="D1585" t="s">
        <v>28</v>
      </c>
      <c r="E1585" t="s">
        <v>16</v>
      </c>
      <c r="F1585" t="s">
        <v>30</v>
      </c>
      <c r="G1585">
        <v>3</v>
      </c>
      <c r="H1585">
        <v>0</v>
      </c>
      <c r="I1585" t="s">
        <v>39</v>
      </c>
      <c r="J1585" t="s">
        <v>31</v>
      </c>
      <c r="K1585" t="s">
        <v>20</v>
      </c>
      <c r="L1585">
        <v>3</v>
      </c>
      <c r="M1585">
        <v>0</v>
      </c>
      <c r="N1585">
        <v>1</v>
      </c>
      <c r="O1585" t="s">
        <v>27</v>
      </c>
      <c r="P1585" t="str">
        <f>TEXT(Table1[[#This Row],[order_date]],"yyyy-mm")</f>
        <v>2025-12</v>
      </c>
      <c r="Q1585">
        <f>WEEKNUM(Table1[[#This Row],[order_date]])</f>
        <v>53</v>
      </c>
      <c r="R1585">
        <f>IF(Table1[[#This Row],[order_status]]="completed",1,0)</f>
        <v>0</v>
      </c>
    </row>
    <row r="1586" spans="1:18" x14ac:dyDescent="0.35">
      <c r="A1586">
        <v>1585</v>
      </c>
      <c r="B1586" s="1">
        <v>45905</v>
      </c>
      <c r="C1586">
        <v>1582</v>
      </c>
      <c r="D1586" t="s">
        <v>28</v>
      </c>
      <c r="E1586" t="s">
        <v>36</v>
      </c>
      <c r="F1586" t="s">
        <v>34</v>
      </c>
      <c r="G1586">
        <v>1</v>
      </c>
      <c r="H1586">
        <v>3118</v>
      </c>
      <c r="I1586" t="s">
        <v>39</v>
      </c>
      <c r="J1586" t="s">
        <v>19</v>
      </c>
      <c r="K1586" t="s">
        <v>40</v>
      </c>
      <c r="L1586">
        <v>8</v>
      </c>
      <c r="M1586">
        <v>0</v>
      </c>
      <c r="N1586">
        <v>1</v>
      </c>
      <c r="O1586" t="s">
        <v>21</v>
      </c>
      <c r="P1586" t="str">
        <f>TEXT(Table1[[#This Row],[order_date]],"yyyy-mm")</f>
        <v>2025-09</v>
      </c>
      <c r="Q1586">
        <f>WEEKNUM(Table1[[#This Row],[order_date]])</f>
        <v>36</v>
      </c>
      <c r="R1586">
        <f>IF(Table1[[#This Row],[order_status]]="completed",1,0)</f>
        <v>1</v>
      </c>
    </row>
    <row r="1587" spans="1:18" x14ac:dyDescent="0.35">
      <c r="A1587">
        <v>1586</v>
      </c>
      <c r="B1587" s="1">
        <v>45983</v>
      </c>
      <c r="C1587">
        <v>1242</v>
      </c>
      <c r="D1587" t="s">
        <v>28</v>
      </c>
      <c r="E1587" t="s">
        <v>16</v>
      </c>
      <c r="F1587" t="s">
        <v>30</v>
      </c>
      <c r="G1587">
        <v>2</v>
      </c>
      <c r="H1587">
        <v>0</v>
      </c>
      <c r="I1587" t="s">
        <v>39</v>
      </c>
      <c r="J1587" t="s">
        <v>31</v>
      </c>
      <c r="K1587" t="s">
        <v>40</v>
      </c>
      <c r="L1587">
        <v>9</v>
      </c>
      <c r="M1587">
        <v>1</v>
      </c>
      <c r="N1587">
        <v>0</v>
      </c>
      <c r="O1587" t="s">
        <v>21</v>
      </c>
      <c r="P1587" t="str">
        <f>TEXT(Table1[[#This Row],[order_date]],"yyyy-mm")</f>
        <v>2025-11</v>
      </c>
      <c r="Q1587">
        <f>WEEKNUM(Table1[[#This Row],[order_date]])</f>
        <v>47</v>
      </c>
      <c r="R1587">
        <f>IF(Table1[[#This Row],[order_status]]="completed",1,0)</f>
        <v>0</v>
      </c>
    </row>
    <row r="1588" spans="1:18" x14ac:dyDescent="0.35">
      <c r="A1588">
        <v>1587</v>
      </c>
      <c r="B1588" s="1">
        <v>46002</v>
      </c>
      <c r="C1588">
        <v>1836</v>
      </c>
      <c r="D1588" t="s">
        <v>41</v>
      </c>
      <c r="E1588" t="s">
        <v>23</v>
      </c>
      <c r="F1588" t="s">
        <v>24</v>
      </c>
      <c r="G1588">
        <v>4</v>
      </c>
      <c r="H1588">
        <v>15992</v>
      </c>
      <c r="I1588" t="s">
        <v>18</v>
      </c>
      <c r="J1588" t="s">
        <v>19</v>
      </c>
      <c r="K1588" t="s">
        <v>20</v>
      </c>
      <c r="L1588">
        <v>4</v>
      </c>
      <c r="M1588">
        <v>1</v>
      </c>
      <c r="N1588">
        <v>1</v>
      </c>
      <c r="O1588" t="s">
        <v>21</v>
      </c>
      <c r="P1588" t="str">
        <f>TEXT(Table1[[#This Row],[order_date]],"yyyy-mm")</f>
        <v>2025-12</v>
      </c>
      <c r="Q1588">
        <f>WEEKNUM(Table1[[#This Row],[order_date]])</f>
        <v>50</v>
      </c>
      <c r="R1588">
        <f>IF(Table1[[#This Row],[order_status]]="completed",1,0)</f>
        <v>1</v>
      </c>
    </row>
    <row r="1589" spans="1:18" x14ac:dyDescent="0.35">
      <c r="A1589">
        <v>1588</v>
      </c>
      <c r="B1589" s="1">
        <v>45971</v>
      </c>
      <c r="C1589">
        <v>1994</v>
      </c>
      <c r="D1589" t="s">
        <v>41</v>
      </c>
      <c r="E1589" t="s">
        <v>16</v>
      </c>
      <c r="F1589" t="s">
        <v>17</v>
      </c>
      <c r="G1589">
        <v>5</v>
      </c>
      <c r="H1589">
        <v>0</v>
      </c>
      <c r="I1589" t="s">
        <v>25</v>
      </c>
      <c r="J1589" t="s">
        <v>31</v>
      </c>
      <c r="K1589" t="s">
        <v>38</v>
      </c>
      <c r="L1589">
        <v>6</v>
      </c>
      <c r="M1589">
        <v>1</v>
      </c>
      <c r="N1589">
        <v>1</v>
      </c>
      <c r="O1589" t="s">
        <v>21</v>
      </c>
      <c r="P1589" t="str">
        <f>TEXT(Table1[[#This Row],[order_date]],"yyyy-mm")</f>
        <v>2025-11</v>
      </c>
      <c r="Q1589">
        <f>WEEKNUM(Table1[[#This Row],[order_date]])</f>
        <v>46</v>
      </c>
      <c r="R1589">
        <f>IF(Table1[[#This Row],[order_status]]="completed",1,0)</f>
        <v>0</v>
      </c>
    </row>
    <row r="1590" spans="1:18" x14ac:dyDescent="0.35">
      <c r="A1590">
        <v>1589</v>
      </c>
      <c r="B1590" s="1">
        <v>45863</v>
      </c>
      <c r="C1590">
        <v>1085</v>
      </c>
      <c r="D1590" t="s">
        <v>28</v>
      </c>
      <c r="E1590" t="s">
        <v>29</v>
      </c>
      <c r="F1590" t="s">
        <v>30</v>
      </c>
      <c r="G1590">
        <v>3</v>
      </c>
      <c r="H1590">
        <v>0</v>
      </c>
      <c r="I1590" t="s">
        <v>25</v>
      </c>
      <c r="J1590" t="s">
        <v>31</v>
      </c>
      <c r="K1590" t="s">
        <v>20</v>
      </c>
      <c r="L1590">
        <v>4</v>
      </c>
      <c r="M1590">
        <v>1</v>
      </c>
      <c r="N1590">
        <v>0</v>
      </c>
      <c r="O1590" t="s">
        <v>21</v>
      </c>
      <c r="P1590" t="str">
        <f>TEXT(Table1[[#This Row],[order_date]],"yyyy-mm")</f>
        <v>2025-07</v>
      </c>
      <c r="Q1590">
        <f>WEEKNUM(Table1[[#This Row],[order_date]])</f>
        <v>30</v>
      </c>
      <c r="R1590">
        <f>IF(Table1[[#This Row],[order_status]]="completed",1,0)</f>
        <v>0</v>
      </c>
    </row>
    <row r="1591" spans="1:18" x14ac:dyDescent="0.35">
      <c r="A1591">
        <v>1590</v>
      </c>
      <c r="B1591" s="1">
        <v>45863</v>
      </c>
      <c r="C1591">
        <v>1152</v>
      </c>
      <c r="D1591" t="s">
        <v>22</v>
      </c>
      <c r="E1591" t="s">
        <v>23</v>
      </c>
      <c r="F1591" t="s">
        <v>24</v>
      </c>
      <c r="G1591">
        <v>2</v>
      </c>
      <c r="H1591">
        <v>0</v>
      </c>
      <c r="I1591" t="s">
        <v>35</v>
      </c>
      <c r="J1591" t="s">
        <v>37</v>
      </c>
      <c r="K1591" t="s">
        <v>26</v>
      </c>
      <c r="L1591">
        <v>9</v>
      </c>
      <c r="M1591">
        <v>0</v>
      </c>
      <c r="N1591">
        <v>1</v>
      </c>
      <c r="O1591" t="s">
        <v>27</v>
      </c>
      <c r="P1591" t="str">
        <f>TEXT(Table1[[#This Row],[order_date]],"yyyy-mm")</f>
        <v>2025-07</v>
      </c>
      <c r="Q1591">
        <f>WEEKNUM(Table1[[#This Row],[order_date]])</f>
        <v>30</v>
      </c>
      <c r="R1591">
        <f>IF(Table1[[#This Row],[order_status]]="completed",1,0)</f>
        <v>0</v>
      </c>
    </row>
    <row r="1592" spans="1:18" x14ac:dyDescent="0.35">
      <c r="A1592">
        <v>1591</v>
      </c>
      <c r="B1592" s="1">
        <v>45902</v>
      </c>
      <c r="C1592">
        <v>1925</v>
      </c>
      <c r="D1592" t="s">
        <v>15</v>
      </c>
      <c r="E1592" t="s">
        <v>33</v>
      </c>
      <c r="F1592" t="s">
        <v>17</v>
      </c>
      <c r="G1592">
        <v>5</v>
      </c>
      <c r="H1592">
        <v>11390</v>
      </c>
      <c r="I1592" t="s">
        <v>25</v>
      </c>
      <c r="J1592" t="s">
        <v>19</v>
      </c>
      <c r="K1592" t="s">
        <v>38</v>
      </c>
      <c r="L1592">
        <v>5</v>
      </c>
      <c r="M1592">
        <v>1</v>
      </c>
      <c r="N1592">
        <v>1</v>
      </c>
      <c r="O1592" t="s">
        <v>27</v>
      </c>
      <c r="P1592" t="str">
        <f>TEXT(Table1[[#This Row],[order_date]],"yyyy-mm")</f>
        <v>2025-09</v>
      </c>
      <c r="Q1592">
        <f>WEEKNUM(Table1[[#This Row],[order_date]])</f>
        <v>36</v>
      </c>
      <c r="R1592">
        <f>IF(Table1[[#This Row],[order_status]]="completed",1,0)</f>
        <v>1</v>
      </c>
    </row>
    <row r="1593" spans="1:18" x14ac:dyDescent="0.35">
      <c r="A1593">
        <v>1592</v>
      </c>
      <c r="B1593" s="1">
        <v>46008</v>
      </c>
      <c r="C1593">
        <v>1962</v>
      </c>
      <c r="D1593" t="s">
        <v>32</v>
      </c>
      <c r="E1593" t="s">
        <v>36</v>
      </c>
      <c r="F1593" t="s">
        <v>17</v>
      </c>
      <c r="G1593">
        <v>1</v>
      </c>
      <c r="H1593">
        <v>0</v>
      </c>
      <c r="I1593" t="s">
        <v>39</v>
      </c>
      <c r="J1593" t="s">
        <v>37</v>
      </c>
      <c r="K1593" t="s">
        <v>20</v>
      </c>
      <c r="L1593">
        <v>7</v>
      </c>
      <c r="M1593">
        <v>1</v>
      </c>
      <c r="N1593">
        <v>0</v>
      </c>
      <c r="O1593" t="s">
        <v>21</v>
      </c>
      <c r="P1593" t="str">
        <f>TEXT(Table1[[#This Row],[order_date]],"yyyy-mm")</f>
        <v>2025-12</v>
      </c>
      <c r="Q1593">
        <f>WEEKNUM(Table1[[#This Row],[order_date]])</f>
        <v>51</v>
      </c>
      <c r="R1593">
        <f>IF(Table1[[#This Row],[order_status]]="completed",1,0)</f>
        <v>0</v>
      </c>
    </row>
    <row r="1594" spans="1:18" x14ac:dyDescent="0.35">
      <c r="A1594">
        <v>1593</v>
      </c>
      <c r="B1594" s="1">
        <v>45996</v>
      </c>
      <c r="C1594">
        <v>1281</v>
      </c>
      <c r="D1594" t="s">
        <v>32</v>
      </c>
      <c r="E1594" t="s">
        <v>29</v>
      </c>
      <c r="F1594" t="s">
        <v>17</v>
      </c>
      <c r="G1594">
        <v>1</v>
      </c>
      <c r="H1594">
        <v>3973</v>
      </c>
      <c r="I1594" t="s">
        <v>35</v>
      </c>
      <c r="J1594" t="s">
        <v>19</v>
      </c>
      <c r="K1594" t="s">
        <v>26</v>
      </c>
      <c r="L1594">
        <v>4</v>
      </c>
      <c r="M1594">
        <v>1</v>
      </c>
      <c r="N1594">
        <v>1</v>
      </c>
      <c r="O1594" t="s">
        <v>27</v>
      </c>
      <c r="P1594" t="str">
        <f>TEXT(Table1[[#This Row],[order_date]],"yyyy-mm")</f>
        <v>2025-12</v>
      </c>
      <c r="Q1594">
        <f>WEEKNUM(Table1[[#This Row],[order_date]])</f>
        <v>49</v>
      </c>
      <c r="R1594">
        <f>IF(Table1[[#This Row],[order_status]]="completed",1,0)</f>
        <v>1</v>
      </c>
    </row>
    <row r="1595" spans="1:18" x14ac:dyDescent="0.35">
      <c r="A1595">
        <v>1594</v>
      </c>
      <c r="B1595" s="1">
        <v>45945</v>
      </c>
      <c r="C1595">
        <v>1680</v>
      </c>
      <c r="D1595" t="s">
        <v>41</v>
      </c>
      <c r="E1595" t="s">
        <v>16</v>
      </c>
      <c r="F1595" t="s">
        <v>17</v>
      </c>
      <c r="G1595">
        <v>5</v>
      </c>
      <c r="H1595">
        <v>0</v>
      </c>
      <c r="I1595" t="s">
        <v>25</v>
      </c>
      <c r="J1595" t="s">
        <v>37</v>
      </c>
      <c r="K1595" t="s">
        <v>38</v>
      </c>
      <c r="L1595">
        <v>1</v>
      </c>
      <c r="M1595">
        <v>0</v>
      </c>
      <c r="N1595">
        <v>0</v>
      </c>
      <c r="O1595" t="s">
        <v>21</v>
      </c>
      <c r="P1595" t="str">
        <f>TEXT(Table1[[#This Row],[order_date]],"yyyy-mm")</f>
        <v>2025-10</v>
      </c>
      <c r="Q1595">
        <f>WEEKNUM(Table1[[#This Row],[order_date]])</f>
        <v>42</v>
      </c>
      <c r="R1595">
        <f>IF(Table1[[#This Row],[order_status]]="completed",1,0)</f>
        <v>0</v>
      </c>
    </row>
    <row r="1596" spans="1:18" x14ac:dyDescent="0.35">
      <c r="A1596">
        <v>1595</v>
      </c>
      <c r="B1596" s="1">
        <v>45862</v>
      </c>
      <c r="C1596">
        <v>1791</v>
      </c>
      <c r="D1596" t="s">
        <v>28</v>
      </c>
      <c r="E1596" t="s">
        <v>29</v>
      </c>
      <c r="F1596" t="s">
        <v>30</v>
      </c>
      <c r="G1596">
        <v>3</v>
      </c>
      <c r="H1596">
        <v>0</v>
      </c>
      <c r="I1596" t="s">
        <v>18</v>
      </c>
      <c r="J1596" t="s">
        <v>37</v>
      </c>
      <c r="K1596" t="s">
        <v>26</v>
      </c>
      <c r="L1596">
        <v>2</v>
      </c>
      <c r="M1596">
        <v>0</v>
      </c>
      <c r="N1596">
        <v>1</v>
      </c>
      <c r="O1596" t="s">
        <v>27</v>
      </c>
      <c r="P1596" t="str">
        <f>TEXT(Table1[[#This Row],[order_date]],"yyyy-mm")</f>
        <v>2025-07</v>
      </c>
      <c r="Q1596">
        <f>WEEKNUM(Table1[[#This Row],[order_date]])</f>
        <v>30</v>
      </c>
      <c r="R1596">
        <f>IF(Table1[[#This Row],[order_status]]="completed",1,0)</f>
        <v>0</v>
      </c>
    </row>
    <row r="1597" spans="1:18" x14ac:dyDescent="0.35">
      <c r="A1597">
        <v>1596</v>
      </c>
      <c r="B1597" s="1">
        <v>45916</v>
      </c>
      <c r="C1597">
        <v>1521</v>
      </c>
      <c r="D1597" t="s">
        <v>41</v>
      </c>
      <c r="E1597" t="s">
        <v>33</v>
      </c>
      <c r="F1597" t="s">
        <v>24</v>
      </c>
      <c r="G1597">
        <v>4</v>
      </c>
      <c r="H1597">
        <v>0</v>
      </c>
      <c r="I1597" t="s">
        <v>25</v>
      </c>
      <c r="J1597" t="s">
        <v>31</v>
      </c>
      <c r="K1597" t="s">
        <v>20</v>
      </c>
      <c r="L1597">
        <v>8</v>
      </c>
      <c r="M1597">
        <v>1</v>
      </c>
      <c r="N1597">
        <v>0</v>
      </c>
      <c r="O1597" t="s">
        <v>21</v>
      </c>
      <c r="P1597" t="str">
        <f>TEXT(Table1[[#This Row],[order_date]],"yyyy-mm")</f>
        <v>2025-09</v>
      </c>
      <c r="Q1597">
        <f>WEEKNUM(Table1[[#This Row],[order_date]])</f>
        <v>38</v>
      </c>
      <c r="R1597">
        <f>IF(Table1[[#This Row],[order_status]]="completed",1,0)</f>
        <v>0</v>
      </c>
    </row>
    <row r="1598" spans="1:18" x14ac:dyDescent="0.35">
      <c r="A1598">
        <v>1597</v>
      </c>
      <c r="B1598" s="1">
        <v>46013</v>
      </c>
      <c r="C1598">
        <v>1028</v>
      </c>
      <c r="D1598" t="s">
        <v>22</v>
      </c>
      <c r="E1598" t="s">
        <v>29</v>
      </c>
      <c r="F1598" t="s">
        <v>24</v>
      </c>
      <c r="G1598">
        <v>5</v>
      </c>
      <c r="H1598">
        <v>0</v>
      </c>
      <c r="I1598" t="s">
        <v>35</v>
      </c>
      <c r="J1598" t="s">
        <v>31</v>
      </c>
      <c r="K1598" t="s">
        <v>40</v>
      </c>
      <c r="L1598">
        <v>3</v>
      </c>
      <c r="M1598">
        <v>1</v>
      </c>
      <c r="N1598">
        <v>0</v>
      </c>
      <c r="O1598" t="s">
        <v>27</v>
      </c>
      <c r="P1598" t="str">
        <f>TEXT(Table1[[#This Row],[order_date]],"yyyy-mm")</f>
        <v>2025-12</v>
      </c>
      <c r="Q1598">
        <f>WEEKNUM(Table1[[#This Row],[order_date]])</f>
        <v>52</v>
      </c>
      <c r="R1598">
        <f>IF(Table1[[#This Row],[order_status]]="completed",1,0)</f>
        <v>0</v>
      </c>
    </row>
    <row r="1599" spans="1:18" x14ac:dyDescent="0.35">
      <c r="A1599">
        <v>1598</v>
      </c>
      <c r="B1599" s="1">
        <v>46008</v>
      </c>
      <c r="C1599">
        <v>1479</v>
      </c>
      <c r="D1599" t="s">
        <v>41</v>
      </c>
      <c r="E1599" t="s">
        <v>29</v>
      </c>
      <c r="F1599" t="s">
        <v>17</v>
      </c>
      <c r="G1599">
        <v>1</v>
      </c>
      <c r="H1599">
        <v>3100</v>
      </c>
      <c r="I1599" t="s">
        <v>18</v>
      </c>
      <c r="J1599" t="s">
        <v>19</v>
      </c>
      <c r="K1599" t="s">
        <v>40</v>
      </c>
      <c r="L1599">
        <v>4</v>
      </c>
      <c r="M1599">
        <v>0</v>
      </c>
      <c r="N1599">
        <v>0</v>
      </c>
      <c r="O1599" t="s">
        <v>21</v>
      </c>
      <c r="P1599" t="str">
        <f>TEXT(Table1[[#This Row],[order_date]],"yyyy-mm")</f>
        <v>2025-12</v>
      </c>
      <c r="Q1599">
        <f>WEEKNUM(Table1[[#This Row],[order_date]])</f>
        <v>51</v>
      </c>
      <c r="R1599">
        <f>IF(Table1[[#This Row],[order_status]]="completed",1,0)</f>
        <v>1</v>
      </c>
    </row>
    <row r="1600" spans="1:18" x14ac:dyDescent="0.35">
      <c r="A1600">
        <v>1599</v>
      </c>
      <c r="B1600" s="1">
        <v>45885</v>
      </c>
      <c r="C1600">
        <v>1748</v>
      </c>
      <c r="D1600" t="s">
        <v>22</v>
      </c>
      <c r="E1600" t="s">
        <v>36</v>
      </c>
      <c r="F1600" t="s">
        <v>30</v>
      </c>
      <c r="G1600">
        <v>3</v>
      </c>
      <c r="H1600">
        <v>7977</v>
      </c>
      <c r="I1600" t="s">
        <v>18</v>
      </c>
      <c r="J1600" t="s">
        <v>19</v>
      </c>
      <c r="K1600" t="s">
        <v>20</v>
      </c>
      <c r="L1600">
        <v>6</v>
      </c>
      <c r="M1600">
        <v>0</v>
      </c>
      <c r="N1600">
        <v>1</v>
      </c>
      <c r="O1600" t="s">
        <v>21</v>
      </c>
      <c r="P1600" t="str">
        <f>TEXT(Table1[[#This Row],[order_date]],"yyyy-mm")</f>
        <v>2025-08</v>
      </c>
      <c r="Q1600">
        <f>WEEKNUM(Table1[[#This Row],[order_date]])</f>
        <v>33</v>
      </c>
      <c r="R1600">
        <f>IF(Table1[[#This Row],[order_status]]="completed",1,0)</f>
        <v>1</v>
      </c>
    </row>
    <row r="1601" spans="1:18" x14ac:dyDescent="0.35">
      <c r="A1601">
        <v>1600</v>
      </c>
      <c r="B1601" s="1">
        <v>45982</v>
      </c>
      <c r="C1601">
        <v>1606</v>
      </c>
      <c r="D1601" t="s">
        <v>15</v>
      </c>
      <c r="E1601" t="s">
        <v>33</v>
      </c>
      <c r="F1601" t="s">
        <v>17</v>
      </c>
      <c r="G1601">
        <v>2</v>
      </c>
      <c r="H1601">
        <v>0</v>
      </c>
      <c r="I1601" t="s">
        <v>18</v>
      </c>
      <c r="J1601" t="s">
        <v>31</v>
      </c>
      <c r="K1601" t="s">
        <v>38</v>
      </c>
      <c r="L1601">
        <v>10</v>
      </c>
      <c r="M1601">
        <v>0</v>
      </c>
      <c r="N1601">
        <v>0</v>
      </c>
      <c r="O1601" t="s">
        <v>21</v>
      </c>
      <c r="P1601" t="str">
        <f>TEXT(Table1[[#This Row],[order_date]],"yyyy-mm")</f>
        <v>2025-11</v>
      </c>
      <c r="Q1601">
        <f>WEEKNUM(Table1[[#This Row],[order_date]])</f>
        <v>47</v>
      </c>
      <c r="R1601">
        <f>IF(Table1[[#This Row],[order_status]]="completed",1,0)</f>
        <v>0</v>
      </c>
    </row>
    <row r="1602" spans="1:18" x14ac:dyDescent="0.35">
      <c r="A1602">
        <v>1601</v>
      </c>
      <c r="B1602" s="1">
        <v>45934</v>
      </c>
      <c r="C1602">
        <v>1034</v>
      </c>
      <c r="D1602" t="s">
        <v>28</v>
      </c>
      <c r="E1602" t="s">
        <v>33</v>
      </c>
      <c r="F1602" t="s">
        <v>30</v>
      </c>
      <c r="G1602">
        <v>4</v>
      </c>
      <c r="H1602">
        <v>0</v>
      </c>
      <c r="I1602" t="s">
        <v>35</v>
      </c>
      <c r="J1602" t="s">
        <v>37</v>
      </c>
      <c r="K1602" t="s">
        <v>40</v>
      </c>
      <c r="L1602">
        <v>9</v>
      </c>
      <c r="M1602">
        <v>0</v>
      </c>
      <c r="N1602">
        <v>0</v>
      </c>
      <c r="O1602" t="s">
        <v>21</v>
      </c>
      <c r="P1602" t="str">
        <f>TEXT(Table1[[#This Row],[order_date]],"yyyy-mm")</f>
        <v>2025-10</v>
      </c>
      <c r="Q1602">
        <f>WEEKNUM(Table1[[#This Row],[order_date]])</f>
        <v>40</v>
      </c>
      <c r="R1602">
        <f>IF(Table1[[#This Row],[order_status]]="completed",1,0)</f>
        <v>0</v>
      </c>
    </row>
    <row r="1603" spans="1:18" x14ac:dyDescent="0.35">
      <c r="A1603">
        <v>1602</v>
      </c>
      <c r="B1603" s="1">
        <v>45991</v>
      </c>
      <c r="C1603">
        <v>1809</v>
      </c>
      <c r="D1603" t="s">
        <v>15</v>
      </c>
      <c r="E1603" t="s">
        <v>16</v>
      </c>
      <c r="F1603" t="s">
        <v>30</v>
      </c>
      <c r="G1603">
        <v>2</v>
      </c>
      <c r="H1603">
        <v>7218</v>
      </c>
      <c r="I1603" t="s">
        <v>35</v>
      </c>
      <c r="J1603" t="s">
        <v>19</v>
      </c>
      <c r="K1603" t="s">
        <v>26</v>
      </c>
      <c r="L1603">
        <v>10</v>
      </c>
      <c r="M1603">
        <v>0</v>
      </c>
      <c r="N1603">
        <v>1</v>
      </c>
      <c r="O1603" t="s">
        <v>21</v>
      </c>
      <c r="P1603" t="str">
        <f>TEXT(Table1[[#This Row],[order_date]],"yyyy-mm")</f>
        <v>2025-11</v>
      </c>
      <c r="Q1603">
        <f>WEEKNUM(Table1[[#This Row],[order_date]])</f>
        <v>49</v>
      </c>
      <c r="R1603">
        <f>IF(Table1[[#This Row],[order_status]]="completed",1,0)</f>
        <v>1</v>
      </c>
    </row>
    <row r="1604" spans="1:18" x14ac:dyDescent="0.35">
      <c r="A1604">
        <v>1603</v>
      </c>
      <c r="B1604" s="1">
        <v>45923</v>
      </c>
      <c r="C1604">
        <v>1054</v>
      </c>
      <c r="D1604" t="s">
        <v>28</v>
      </c>
      <c r="E1604" t="s">
        <v>36</v>
      </c>
      <c r="F1604" t="s">
        <v>24</v>
      </c>
      <c r="G1604">
        <v>4</v>
      </c>
      <c r="H1604">
        <v>0</v>
      </c>
      <c r="I1604" t="s">
        <v>18</v>
      </c>
      <c r="J1604" t="s">
        <v>31</v>
      </c>
      <c r="K1604" t="s">
        <v>40</v>
      </c>
      <c r="L1604">
        <v>3</v>
      </c>
      <c r="M1604">
        <v>1</v>
      </c>
      <c r="N1604">
        <v>0</v>
      </c>
      <c r="O1604" t="s">
        <v>27</v>
      </c>
      <c r="P1604" t="str">
        <f>TEXT(Table1[[#This Row],[order_date]],"yyyy-mm")</f>
        <v>2025-09</v>
      </c>
      <c r="Q1604">
        <f>WEEKNUM(Table1[[#This Row],[order_date]])</f>
        <v>39</v>
      </c>
      <c r="R1604">
        <f>IF(Table1[[#This Row],[order_status]]="completed",1,0)</f>
        <v>0</v>
      </c>
    </row>
    <row r="1605" spans="1:18" x14ac:dyDescent="0.35">
      <c r="A1605">
        <v>1604</v>
      </c>
      <c r="B1605" s="1">
        <v>45956</v>
      </c>
      <c r="C1605">
        <v>1870</v>
      </c>
      <c r="D1605" t="s">
        <v>22</v>
      </c>
      <c r="E1605" t="s">
        <v>16</v>
      </c>
      <c r="F1605" t="s">
        <v>30</v>
      </c>
      <c r="G1605">
        <v>3</v>
      </c>
      <c r="H1605">
        <v>13839</v>
      </c>
      <c r="I1605" t="s">
        <v>35</v>
      </c>
      <c r="J1605" t="s">
        <v>19</v>
      </c>
      <c r="K1605" t="s">
        <v>40</v>
      </c>
      <c r="L1605">
        <v>1</v>
      </c>
      <c r="M1605">
        <v>0</v>
      </c>
      <c r="N1605">
        <v>0</v>
      </c>
      <c r="O1605" t="s">
        <v>27</v>
      </c>
      <c r="P1605" t="str">
        <f>TEXT(Table1[[#This Row],[order_date]],"yyyy-mm")</f>
        <v>2025-10</v>
      </c>
      <c r="Q1605">
        <f>WEEKNUM(Table1[[#This Row],[order_date]])</f>
        <v>44</v>
      </c>
      <c r="R1605">
        <f>IF(Table1[[#This Row],[order_status]]="completed",1,0)</f>
        <v>1</v>
      </c>
    </row>
    <row r="1606" spans="1:18" x14ac:dyDescent="0.35">
      <c r="A1606">
        <v>1605</v>
      </c>
      <c r="B1606" s="1">
        <v>45996</v>
      </c>
      <c r="C1606">
        <v>1895</v>
      </c>
      <c r="D1606" t="s">
        <v>22</v>
      </c>
      <c r="E1606" t="s">
        <v>33</v>
      </c>
      <c r="F1606" t="s">
        <v>30</v>
      </c>
      <c r="G1606">
        <v>4</v>
      </c>
      <c r="H1606">
        <v>0</v>
      </c>
      <c r="I1606" t="s">
        <v>35</v>
      </c>
      <c r="J1606" t="s">
        <v>37</v>
      </c>
      <c r="K1606" t="s">
        <v>26</v>
      </c>
      <c r="L1606">
        <v>8</v>
      </c>
      <c r="M1606">
        <v>1</v>
      </c>
      <c r="N1606">
        <v>0</v>
      </c>
      <c r="O1606" t="s">
        <v>21</v>
      </c>
      <c r="P1606" t="str">
        <f>TEXT(Table1[[#This Row],[order_date]],"yyyy-mm")</f>
        <v>2025-12</v>
      </c>
      <c r="Q1606">
        <f>WEEKNUM(Table1[[#This Row],[order_date]])</f>
        <v>49</v>
      </c>
      <c r="R1606">
        <f>IF(Table1[[#This Row],[order_status]]="completed",1,0)</f>
        <v>0</v>
      </c>
    </row>
    <row r="1607" spans="1:18" x14ac:dyDescent="0.35">
      <c r="A1607">
        <v>1606</v>
      </c>
      <c r="B1607" s="1">
        <v>45993</v>
      </c>
      <c r="C1607">
        <v>1038</v>
      </c>
      <c r="D1607" t="s">
        <v>32</v>
      </c>
      <c r="E1607" t="s">
        <v>29</v>
      </c>
      <c r="F1607" t="s">
        <v>34</v>
      </c>
      <c r="G1607">
        <v>2</v>
      </c>
      <c r="H1607">
        <v>6726</v>
      </c>
      <c r="I1607" t="s">
        <v>39</v>
      </c>
      <c r="J1607" t="s">
        <v>19</v>
      </c>
      <c r="K1607" t="s">
        <v>38</v>
      </c>
      <c r="L1607">
        <v>4</v>
      </c>
      <c r="M1607">
        <v>0</v>
      </c>
      <c r="N1607">
        <v>0</v>
      </c>
      <c r="O1607" t="s">
        <v>27</v>
      </c>
      <c r="P1607" t="str">
        <f>TEXT(Table1[[#This Row],[order_date]],"yyyy-mm")</f>
        <v>2025-12</v>
      </c>
      <c r="Q1607">
        <f>WEEKNUM(Table1[[#This Row],[order_date]])</f>
        <v>49</v>
      </c>
      <c r="R1607">
        <f>IF(Table1[[#This Row],[order_status]]="completed",1,0)</f>
        <v>1</v>
      </c>
    </row>
    <row r="1608" spans="1:18" x14ac:dyDescent="0.35">
      <c r="A1608">
        <v>1607</v>
      </c>
      <c r="B1608" s="1">
        <v>45932</v>
      </c>
      <c r="C1608">
        <v>1221</v>
      </c>
      <c r="D1608" t="s">
        <v>15</v>
      </c>
      <c r="E1608" t="s">
        <v>36</v>
      </c>
      <c r="F1608" t="s">
        <v>17</v>
      </c>
      <c r="G1608">
        <v>2</v>
      </c>
      <c r="H1608">
        <v>4274</v>
      </c>
      <c r="I1608" t="s">
        <v>35</v>
      </c>
      <c r="J1608" t="s">
        <v>19</v>
      </c>
      <c r="K1608" t="s">
        <v>26</v>
      </c>
      <c r="L1608">
        <v>4</v>
      </c>
      <c r="M1608">
        <v>1</v>
      </c>
      <c r="N1608">
        <v>0</v>
      </c>
      <c r="O1608" t="s">
        <v>21</v>
      </c>
      <c r="P1608" t="str">
        <f>TEXT(Table1[[#This Row],[order_date]],"yyyy-mm")</f>
        <v>2025-10</v>
      </c>
      <c r="Q1608">
        <f>WEEKNUM(Table1[[#This Row],[order_date]])</f>
        <v>40</v>
      </c>
      <c r="R1608">
        <f>IF(Table1[[#This Row],[order_status]]="completed",1,0)</f>
        <v>1</v>
      </c>
    </row>
    <row r="1609" spans="1:18" x14ac:dyDescent="0.35">
      <c r="A1609">
        <v>1608</v>
      </c>
      <c r="B1609" s="1">
        <v>45950</v>
      </c>
      <c r="C1609">
        <v>1677</v>
      </c>
      <c r="D1609" t="s">
        <v>41</v>
      </c>
      <c r="E1609" t="s">
        <v>29</v>
      </c>
      <c r="F1609" t="s">
        <v>24</v>
      </c>
      <c r="G1609">
        <v>5</v>
      </c>
      <c r="H1609">
        <v>20005</v>
      </c>
      <c r="I1609" t="s">
        <v>18</v>
      </c>
      <c r="J1609" t="s">
        <v>19</v>
      </c>
      <c r="K1609" t="s">
        <v>20</v>
      </c>
      <c r="L1609">
        <v>4</v>
      </c>
      <c r="M1609">
        <v>1</v>
      </c>
      <c r="N1609">
        <v>0</v>
      </c>
      <c r="O1609" t="s">
        <v>27</v>
      </c>
      <c r="P1609" t="str">
        <f>TEXT(Table1[[#This Row],[order_date]],"yyyy-mm")</f>
        <v>2025-10</v>
      </c>
      <c r="Q1609">
        <f>WEEKNUM(Table1[[#This Row],[order_date]])</f>
        <v>43</v>
      </c>
      <c r="R1609">
        <f>IF(Table1[[#This Row],[order_status]]="completed",1,0)</f>
        <v>1</v>
      </c>
    </row>
    <row r="1610" spans="1:18" x14ac:dyDescent="0.35">
      <c r="A1610">
        <v>1609</v>
      </c>
      <c r="B1610" s="1">
        <v>45915</v>
      </c>
      <c r="C1610">
        <v>1836</v>
      </c>
      <c r="D1610" t="s">
        <v>22</v>
      </c>
      <c r="E1610" t="s">
        <v>36</v>
      </c>
      <c r="F1610" t="s">
        <v>24</v>
      </c>
      <c r="G1610">
        <v>5</v>
      </c>
      <c r="H1610">
        <v>0</v>
      </c>
      <c r="I1610" t="s">
        <v>39</v>
      </c>
      <c r="J1610" t="s">
        <v>31</v>
      </c>
      <c r="K1610" t="s">
        <v>26</v>
      </c>
      <c r="L1610">
        <v>2</v>
      </c>
      <c r="M1610">
        <v>0</v>
      </c>
      <c r="N1610">
        <v>0</v>
      </c>
      <c r="O1610" t="s">
        <v>27</v>
      </c>
      <c r="P1610" t="str">
        <f>TEXT(Table1[[#This Row],[order_date]],"yyyy-mm")</f>
        <v>2025-09</v>
      </c>
      <c r="Q1610">
        <f>WEEKNUM(Table1[[#This Row],[order_date]])</f>
        <v>38</v>
      </c>
      <c r="R1610">
        <f>IF(Table1[[#This Row],[order_status]]="completed",1,0)</f>
        <v>0</v>
      </c>
    </row>
    <row r="1611" spans="1:18" x14ac:dyDescent="0.35">
      <c r="A1611">
        <v>1610</v>
      </c>
      <c r="B1611" s="1">
        <v>45912</v>
      </c>
      <c r="C1611">
        <v>1703</v>
      </c>
      <c r="D1611" t="s">
        <v>41</v>
      </c>
      <c r="E1611" t="s">
        <v>16</v>
      </c>
      <c r="F1611" t="s">
        <v>24</v>
      </c>
      <c r="G1611">
        <v>5</v>
      </c>
      <c r="H1611">
        <v>0</v>
      </c>
      <c r="I1611" t="s">
        <v>35</v>
      </c>
      <c r="J1611" t="s">
        <v>37</v>
      </c>
      <c r="K1611" t="s">
        <v>20</v>
      </c>
      <c r="L1611">
        <v>6</v>
      </c>
      <c r="M1611">
        <v>1</v>
      </c>
      <c r="N1611">
        <v>1</v>
      </c>
      <c r="O1611" t="s">
        <v>27</v>
      </c>
      <c r="P1611" t="str">
        <f>TEXT(Table1[[#This Row],[order_date]],"yyyy-mm")</f>
        <v>2025-09</v>
      </c>
      <c r="Q1611">
        <f>WEEKNUM(Table1[[#This Row],[order_date]])</f>
        <v>37</v>
      </c>
      <c r="R1611">
        <f>IF(Table1[[#This Row],[order_status]]="completed",1,0)</f>
        <v>0</v>
      </c>
    </row>
    <row r="1612" spans="1:18" x14ac:dyDescent="0.35">
      <c r="A1612">
        <v>1611</v>
      </c>
      <c r="B1612" s="1">
        <v>45961</v>
      </c>
      <c r="C1612">
        <v>1686</v>
      </c>
      <c r="D1612" t="s">
        <v>15</v>
      </c>
      <c r="E1612" t="s">
        <v>36</v>
      </c>
      <c r="F1612" t="s">
        <v>24</v>
      </c>
      <c r="G1612">
        <v>3</v>
      </c>
      <c r="H1612">
        <v>0</v>
      </c>
      <c r="I1612" t="s">
        <v>25</v>
      </c>
      <c r="J1612" t="s">
        <v>31</v>
      </c>
      <c r="K1612" t="s">
        <v>38</v>
      </c>
      <c r="L1612">
        <v>2</v>
      </c>
      <c r="M1612">
        <v>1</v>
      </c>
      <c r="N1612">
        <v>1</v>
      </c>
      <c r="O1612" t="s">
        <v>21</v>
      </c>
      <c r="P1612" t="str">
        <f>TEXT(Table1[[#This Row],[order_date]],"yyyy-mm")</f>
        <v>2025-10</v>
      </c>
      <c r="Q1612">
        <f>WEEKNUM(Table1[[#This Row],[order_date]])</f>
        <v>44</v>
      </c>
      <c r="R1612">
        <f>IF(Table1[[#This Row],[order_status]]="completed",1,0)</f>
        <v>0</v>
      </c>
    </row>
    <row r="1613" spans="1:18" x14ac:dyDescent="0.35">
      <c r="A1613">
        <v>1612</v>
      </c>
      <c r="B1613" s="1">
        <v>45918</v>
      </c>
      <c r="C1613">
        <v>1868</v>
      </c>
      <c r="D1613" t="s">
        <v>15</v>
      </c>
      <c r="E1613" t="s">
        <v>16</v>
      </c>
      <c r="F1613" t="s">
        <v>24</v>
      </c>
      <c r="G1613">
        <v>2</v>
      </c>
      <c r="H1613">
        <v>9890</v>
      </c>
      <c r="I1613" t="s">
        <v>25</v>
      </c>
      <c r="J1613" t="s">
        <v>19</v>
      </c>
      <c r="K1613" t="s">
        <v>26</v>
      </c>
      <c r="L1613">
        <v>9</v>
      </c>
      <c r="M1613">
        <v>1</v>
      </c>
      <c r="N1613">
        <v>0</v>
      </c>
      <c r="O1613" t="s">
        <v>27</v>
      </c>
      <c r="P1613" t="str">
        <f>TEXT(Table1[[#This Row],[order_date]],"yyyy-mm")</f>
        <v>2025-09</v>
      </c>
      <c r="Q1613">
        <f>WEEKNUM(Table1[[#This Row],[order_date]])</f>
        <v>38</v>
      </c>
      <c r="R1613">
        <f>IF(Table1[[#This Row],[order_status]]="completed",1,0)</f>
        <v>1</v>
      </c>
    </row>
    <row r="1614" spans="1:18" x14ac:dyDescent="0.35">
      <c r="A1614">
        <v>1613</v>
      </c>
      <c r="B1614" s="1">
        <v>45860</v>
      </c>
      <c r="C1614">
        <v>1791</v>
      </c>
      <c r="D1614" t="s">
        <v>32</v>
      </c>
      <c r="E1614" t="s">
        <v>29</v>
      </c>
      <c r="F1614" t="s">
        <v>17</v>
      </c>
      <c r="G1614">
        <v>2</v>
      </c>
      <c r="H1614">
        <v>0</v>
      </c>
      <c r="I1614" t="s">
        <v>25</v>
      </c>
      <c r="J1614" t="s">
        <v>31</v>
      </c>
      <c r="K1614" t="s">
        <v>38</v>
      </c>
      <c r="L1614">
        <v>4</v>
      </c>
      <c r="M1614">
        <v>0</v>
      </c>
      <c r="N1614">
        <v>1</v>
      </c>
      <c r="O1614" t="s">
        <v>27</v>
      </c>
      <c r="P1614" t="str">
        <f>TEXT(Table1[[#This Row],[order_date]],"yyyy-mm")</f>
        <v>2025-07</v>
      </c>
      <c r="Q1614">
        <f>WEEKNUM(Table1[[#This Row],[order_date]])</f>
        <v>30</v>
      </c>
      <c r="R1614">
        <f>IF(Table1[[#This Row],[order_status]]="completed",1,0)</f>
        <v>0</v>
      </c>
    </row>
    <row r="1615" spans="1:18" x14ac:dyDescent="0.35">
      <c r="A1615">
        <v>1614</v>
      </c>
      <c r="B1615" s="1">
        <v>46015</v>
      </c>
      <c r="C1615">
        <v>1329</v>
      </c>
      <c r="D1615" t="s">
        <v>32</v>
      </c>
      <c r="E1615" t="s">
        <v>23</v>
      </c>
      <c r="F1615" t="s">
        <v>24</v>
      </c>
      <c r="G1615">
        <v>1</v>
      </c>
      <c r="H1615">
        <v>0</v>
      </c>
      <c r="I1615" t="s">
        <v>39</v>
      </c>
      <c r="J1615" t="s">
        <v>37</v>
      </c>
      <c r="K1615" t="s">
        <v>40</v>
      </c>
      <c r="L1615">
        <v>6</v>
      </c>
      <c r="M1615">
        <v>1</v>
      </c>
      <c r="N1615">
        <v>1</v>
      </c>
      <c r="O1615" t="s">
        <v>21</v>
      </c>
      <c r="P1615" t="str">
        <f>TEXT(Table1[[#This Row],[order_date]],"yyyy-mm")</f>
        <v>2025-12</v>
      </c>
      <c r="Q1615">
        <f>WEEKNUM(Table1[[#This Row],[order_date]])</f>
        <v>52</v>
      </c>
      <c r="R1615">
        <f>IF(Table1[[#This Row],[order_status]]="completed",1,0)</f>
        <v>0</v>
      </c>
    </row>
    <row r="1616" spans="1:18" x14ac:dyDescent="0.35">
      <c r="A1616">
        <v>1615</v>
      </c>
      <c r="B1616" s="1">
        <v>45887</v>
      </c>
      <c r="C1616">
        <v>1260</v>
      </c>
      <c r="D1616" t="s">
        <v>41</v>
      </c>
      <c r="E1616" t="s">
        <v>23</v>
      </c>
      <c r="F1616" t="s">
        <v>24</v>
      </c>
      <c r="G1616">
        <v>2</v>
      </c>
      <c r="H1616">
        <v>0</v>
      </c>
      <c r="I1616" t="s">
        <v>39</v>
      </c>
      <c r="J1616" t="s">
        <v>31</v>
      </c>
      <c r="K1616" t="s">
        <v>20</v>
      </c>
      <c r="L1616">
        <v>6</v>
      </c>
      <c r="M1616">
        <v>1</v>
      </c>
      <c r="N1616">
        <v>0</v>
      </c>
      <c r="O1616" t="s">
        <v>27</v>
      </c>
      <c r="P1616" t="str">
        <f>TEXT(Table1[[#This Row],[order_date]],"yyyy-mm")</f>
        <v>2025-08</v>
      </c>
      <c r="Q1616">
        <f>WEEKNUM(Table1[[#This Row],[order_date]])</f>
        <v>34</v>
      </c>
      <c r="R1616">
        <f>IF(Table1[[#This Row],[order_status]]="completed",1,0)</f>
        <v>0</v>
      </c>
    </row>
    <row r="1617" spans="1:18" x14ac:dyDescent="0.35">
      <c r="A1617">
        <v>1616</v>
      </c>
      <c r="B1617" s="1">
        <v>45987</v>
      </c>
      <c r="C1617">
        <v>1050</v>
      </c>
      <c r="D1617" t="s">
        <v>15</v>
      </c>
      <c r="E1617" t="s">
        <v>36</v>
      </c>
      <c r="F1617" t="s">
        <v>24</v>
      </c>
      <c r="G1617">
        <v>3</v>
      </c>
      <c r="H1617">
        <v>1173</v>
      </c>
      <c r="I1617" t="s">
        <v>25</v>
      </c>
      <c r="J1617" t="s">
        <v>19</v>
      </c>
      <c r="K1617" t="s">
        <v>38</v>
      </c>
      <c r="L1617">
        <v>7</v>
      </c>
      <c r="M1617">
        <v>0</v>
      </c>
      <c r="N1617">
        <v>1</v>
      </c>
      <c r="O1617" t="s">
        <v>27</v>
      </c>
      <c r="P1617" t="str">
        <f>TEXT(Table1[[#This Row],[order_date]],"yyyy-mm")</f>
        <v>2025-11</v>
      </c>
      <c r="Q1617">
        <f>WEEKNUM(Table1[[#This Row],[order_date]])</f>
        <v>48</v>
      </c>
      <c r="R1617">
        <f>IF(Table1[[#This Row],[order_status]]="completed",1,0)</f>
        <v>1</v>
      </c>
    </row>
    <row r="1618" spans="1:18" x14ac:dyDescent="0.35">
      <c r="A1618">
        <v>1617</v>
      </c>
      <c r="B1618" s="1">
        <v>45865</v>
      </c>
      <c r="C1618">
        <v>1253</v>
      </c>
      <c r="D1618" t="s">
        <v>22</v>
      </c>
      <c r="E1618" t="s">
        <v>23</v>
      </c>
      <c r="F1618" t="s">
        <v>30</v>
      </c>
      <c r="G1618">
        <v>4</v>
      </c>
      <c r="H1618">
        <v>8852</v>
      </c>
      <c r="I1618" t="s">
        <v>25</v>
      </c>
      <c r="J1618" t="s">
        <v>19</v>
      </c>
      <c r="K1618" t="s">
        <v>40</v>
      </c>
      <c r="L1618">
        <v>9</v>
      </c>
      <c r="M1618">
        <v>0</v>
      </c>
      <c r="N1618">
        <v>1</v>
      </c>
      <c r="O1618" t="s">
        <v>27</v>
      </c>
      <c r="P1618" t="str">
        <f>TEXT(Table1[[#This Row],[order_date]],"yyyy-mm")</f>
        <v>2025-07</v>
      </c>
      <c r="Q1618">
        <f>WEEKNUM(Table1[[#This Row],[order_date]])</f>
        <v>31</v>
      </c>
      <c r="R1618">
        <f>IF(Table1[[#This Row],[order_status]]="completed",1,0)</f>
        <v>1</v>
      </c>
    </row>
    <row r="1619" spans="1:18" x14ac:dyDescent="0.35">
      <c r="A1619">
        <v>1618</v>
      </c>
      <c r="B1619" s="1">
        <v>45881</v>
      </c>
      <c r="C1619">
        <v>1779</v>
      </c>
      <c r="D1619" t="s">
        <v>15</v>
      </c>
      <c r="E1619" t="s">
        <v>33</v>
      </c>
      <c r="F1619" t="s">
        <v>24</v>
      </c>
      <c r="G1619">
        <v>4</v>
      </c>
      <c r="H1619">
        <v>12544</v>
      </c>
      <c r="I1619" t="s">
        <v>35</v>
      </c>
      <c r="J1619" t="s">
        <v>19</v>
      </c>
      <c r="K1619" t="s">
        <v>26</v>
      </c>
      <c r="L1619">
        <v>7</v>
      </c>
      <c r="M1619">
        <v>0</v>
      </c>
      <c r="N1619">
        <v>1</v>
      </c>
      <c r="O1619" t="s">
        <v>21</v>
      </c>
      <c r="P1619" t="str">
        <f>TEXT(Table1[[#This Row],[order_date]],"yyyy-mm")</f>
        <v>2025-08</v>
      </c>
      <c r="Q1619">
        <f>WEEKNUM(Table1[[#This Row],[order_date]])</f>
        <v>33</v>
      </c>
      <c r="R1619">
        <f>IF(Table1[[#This Row],[order_status]]="completed",1,0)</f>
        <v>1</v>
      </c>
    </row>
    <row r="1620" spans="1:18" x14ac:dyDescent="0.35">
      <c r="A1620">
        <v>1619</v>
      </c>
      <c r="B1620" s="1">
        <v>45963</v>
      </c>
      <c r="C1620">
        <v>1090</v>
      </c>
      <c r="D1620" t="s">
        <v>32</v>
      </c>
      <c r="E1620" t="s">
        <v>23</v>
      </c>
      <c r="F1620" t="s">
        <v>17</v>
      </c>
      <c r="G1620">
        <v>5</v>
      </c>
      <c r="H1620">
        <v>14760</v>
      </c>
      <c r="I1620" t="s">
        <v>25</v>
      </c>
      <c r="J1620" t="s">
        <v>19</v>
      </c>
      <c r="K1620" t="s">
        <v>40</v>
      </c>
      <c r="L1620">
        <v>4</v>
      </c>
      <c r="M1620">
        <v>1</v>
      </c>
      <c r="N1620">
        <v>1</v>
      </c>
      <c r="O1620" t="s">
        <v>27</v>
      </c>
      <c r="P1620" t="str">
        <f>TEXT(Table1[[#This Row],[order_date]],"yyyy-mm")</f>
        <v>2025-11</v>
      </c>
      <c r="Q1620">
        <f>WEEKNUM(Table1[[#This Row],[order_date]])</f>
        <v>45</v>
      </c>
      <c r="R1620">
        <f>IF(Table1[[#This Row],[order_status]]="completed",1,0)</f>
        <v>1</v>
      </c>
    </row>
    <row r="1621" spans="1:18" x14ac:dyDescent="0.35">
      <c r="A1621">
        <v>1620</v>
      </c>
      <c r="B1621" s="1">
        <v>46003</v>
      </c>
      <c r="C1621">
        <v>1550</v>
      </c>
      <c r="D1621" t="s">
        <v>28</v>
      </c>
      <c r="E1621" t="s">
        <v>16</v>
      </c>
      <c r="F1621" t="s">
        <v>34</v>
      </c>
      <c r="G1621">
        <v>2</v>
      </c>
      <c r="H1621">
        <v>9808</v>
      </c>
      <c r="I1621" t="s">
        <v>35</v>
      </c>
      <c r="J1621" t="s">
        <v>19</v>
      </c>
      <c r="K1621" t="s">
        <v>26</v>
      </c>
      <c r="L1621">
        <v>9</v>
      </c>
      <c r="M1621">
        <v>1</v>
      </c>
      <c r="N1621">
        <v>0</v>
      </c>
      <c r="O1621" t="s">
        <v>27</v>
      </c>
      <c r="P1621" t="str">
        <f>TEXT(Table1[[#This Row],[order_date]],"yyyy-mm")</f>
        <v>2025-12</v>
      </c>
      <c r="Q1621">
        <f>WEEKNUM(Table1[[#This Row],[order_date]])</f>
        <v>50</v>
      </c>
      <c r="R1621">
        <f>IF(Table1[[#This Row],[order_status]]="completed",1,0)</f>
        <v>1</v>
      </c>
    </row>
    <row r="1622" spans="1:18" x14ac:dyDescent="0.35">
      <c r="A1622">
        <v>1621</v>
      </c>
      <c r="B1622" s="1">
        <v>45904</v>
      </c>
      <c r="C1622">
        <v>1936</v>
      </c>
      <c r="D1622" t="s">
        <v>28</v>
      </c>
      <c r="E1622" t="s">
        <v>23</v>
      </c>
      <c r="F1622" t="s">
        <v>17</v>
      </c>
      <c r="G1622">
        <v>2</v>
      </c>
      <c r="H1622">
        <v>9290</v>
      </c>
      <c r="I1622" t="s">
        <v>18</v>
      </c>
      <c r="J1622" t="s">
        <v>19</v>
      </c>
      <c r="K1622" t="s">
        <v>20</v>
      </c>
      <c r="L1622">
        <v>7</v>
      </c>
      <c r="M1622">
        <v>0</v>
      </c>
      <c r="N1622">
        <v>1</v>
      </c>
      <c r="O1622" t="s">
        <v>27</v>
      </c>
      <c r="P1622" t="str">
        <f>TEXT(Table1[[#This Row],[order_date]],"yyyy-mm")</f>
        <v>2025-09</v>
      </c>
      <c r="Q1622">
        <f>WEEKNUM(Table1[[#This Row],[order_date]])</f>
        <v>36</v>
      </c>
      <c r="R1622">
        <f>IF(Table1[[#This Row],[order_status]]="completed",1,0)</f>
        <v>1</v>
      </c>
    </row>
    <row r="1623" spans="1:18" x14ac:dyDescent="0.35">
      <c r="A1623">
        <v>1622</v>
      </c>
      <c r="B1623" s="1">
        <v>45995</v>
      </c>
      <c r="C1623">
        <v>1641</v>
      </c>
      <c r="D1623" t="s">
        <v>22</v>
      </c>
      <c r="E1623" t="s">
        <v>33</v>
      </c>
      <c r="F1623" t="s">
        <v>24</v>
      </c>
      <c r="G1623">
        <v>4</v>
      </c>
      <c r="H1623">
        <v>0</v>
      </c>
      <c r="I1623" t="s">
        <v>39</v>
      </c>
      <c r="J1623" t="s">
        <v>37</v>
      </c>
      <c r="K1623" t="s">
        <v>26</v>
      </c>
      <c r="L1623">
        <v>7</v>
      </c>
      <c r="M1623">
        <v>0</v>
      </c>
      <c r="N1623">
        <v>0</v>
      </c>
      <c r="O1623" t="s">
        <v>27</v>
      </c>
      <c r="P1623" t="str">
        <f>TEXT(Table1[[#This Row],[order_date]],"yyyy-mm")</f>
        <v>2025-12</v>
      </c>
      <c r="Q1623">
        <f>WEEKNUM(Table1[[#This Row],[order_date]])</f>
        <v>49</v>
      </c>
      <c r="R1623">
        <f>IF(Table1[[#This Row],[order_status]]="completed",1,0)</f>
        <v>0</v>
      </c>
    </row>
    <row r="1624" spans="1:18" x14ac:dyDescent="0.35">
      <c r="A1624">
        <v>1623</v>
      </c>
      <c r="B1624" s="1">
        <v>45894</v>
      </c>
      <c r="C1624">
        <v>1457</v>
      </c>
      <c r="D1624" t="s">
        <v>41</v>
      </c>
      <c r="E1624" t="s">
        <v>36</v>
      </c>
      <c r="F1624" t="s">
        <v>24</v>
      </c>
      <c r="G1624">
        <v>4</v>
      </c>
      <c r="H1624">
        <v>9336</v>
      </c>
      <c r="I1624" t="s">
        <v>35</v>
      </c>
      <c r="J1624" t="s">
        <v>19</v>
      </c>
      <c r="K1624" t="s">
        <v>26</v>
      </c>
      <c r="L1624">
        <v>6</v>
      </c>
      <c r="M1624">
        <v>1</v>
      </c>
      <c r="N1624">
        <v>0</v>
      </c>
      <c r="O1624" t="s">
        <v>27</v>
      </c>
      <c r="P1624" t="str">
        <f>TEXT(Table1[[#This Row],[order_date]],"yyyy-mm")</f>
        <v>2025-08</v>
      </c>
      <c r="Q1624">
        <f>WEEKNUM(Table1[[#This Row],[order_date]])</f>
        <v>35</v>
      </c>
      <c r="R1624">
        <f>IF(Table1[[#This Row],[order_status]]="completed",1,0)</f>
        <v>1</v>
      </c>
    </row>
    <row r="1625" spans="1:18" x14ac:dyDescent="0.35">
      <c r="A1625">
        <v>1624</v>
      </c>
      <c r="B1625" s="1">
        <v>45930</v>
      </c>
      <c r="C1625">
        <v>1594</v>
      </c>
      <c r="D1625" t="s">
        <v>22</v>
      </c>
      <c r="E1625" t="s">
        <v>36</v>
      </c>
      <c r="F1625" t="s">
        <v>24</v>
      </c>
      <c r="G1625">
        <v>5</v>
      </c>
      <c r="H1625">
        <v>0</v>
      </c>
      <c r="I1625" t="s">
        <v>39</v>
      </c>
      <c r="J1625" t="s">
        <v>37</v>
      </c>
      <c r="K1625" t="s">
        <v>26</v>
      </c>
      <c r="L1625">
        <v>2</v>
      </c>
      <c r="M1625">
        <v>0</v>
      </c>
      <c r="N1625">
        <v>1</v>
      </c>
      <c r="O1625" t="s">
        <v>27</v>
      </c>
      <c r="P1625" t="str">
        <f>TEXT(Table1[[#This Row],[order_date]],"yyyy-mm")</f>
        <v>2025-09</v>
      </c>
      <c r="Q1625">
        <f>WEEKNUM(Table1[[#This Row],[order_date]])</f>
        <v>40</v>
      </c>
      <c r="R1625">
        <f>IF(Table1[[#This Row],[order_status]]="completed",1,0)</f>
        <v>0</v>
      </c>
    </row>
    <row r="1626" spans="1:18" x14ac:dyDescent="0.35">
      <c r="A1626">
        <v>1625</v>
      </c>
      <c r="B1626" s="1">
        <v>45889</v>
      </c>
      <c r="C1626">
        <v>1052</v>
      </c>
      <c r="D1626" t="s">
        <v>32</v>
      </c>
      <c r="E1626" t="s">
        <v>33</v>
      </c>
      <c r="F1626" t="s">
        <v>34</v>
      </c>
      <c r="G1626">
        <v>2</v>
      </c>
      <c r="H1626">
        <v>0</v>
      </c>
      <c r="I1626" t="s">
        <v>39</v>
      </c>
      <c r="J1626" t="s">
        <v>31</v>
      </c>
      <c r="K1626" t="s">
        <v>20</v>
      </c>
      <c r="L1626">
        <v>9</v>
      </c>
      <c r="M1626">
        <v>0</v>
      </c>
      <c r="N1626">
        <v>0</v>
      </c>
      <c r="O1626" t="s">
        <v>27</v>
      </c>
      <c r="P1626" t="str">
        <f>TEXT(Table1[[#This Row],[order_date]],"yyyy-mm")</f>
        <v>2025-08</v>
      </c>
      <c r="Q1626">
        <f>WEEKNUM(Table1[[#This Row],[order_date]])</f>
        <v>34</v>
      </c>
      <c r="R1626">
        <f>IF(Table1[[#This Row],[order_status]]="completed",1,0)</f>
        <v>0</v>
      </c>
    </row>
    <row r="1627" spans="1:18" x14ac:dyDescent="0.35">
      <c r="A1627">
        <v>1626</v>
      </c>
      <c r="B1627" s="1">
        <v>45863</v>
      </c>
      <c r="C1627">
        <v>1278</v>
      </c>
      <c r="D1627" t="s">
        <v>32</v>
      </c>
      <c r="E1627" t="s">
        <v>36</v>
      </c>
      <c r="F1627" t="s">
        <v>34</v>
      </c>
      <c r="G1627">
        <v>3</v>
      </c>
      <c r="H1627">
        <v>0</v>
      </c>
      <c r="I1627" t="s">
        <v>35</v>
      </c>
      <c r="J1627" t="s">
        <v>37</v>
      </c>
      <c r="K1627" t="s">
        <v>20</v>
      </c>
      <c r="L1627">
        <v>7</v>
      </c>
      <c r="M1627">
        <v>0</v>
      </c>
      <c r="N1627">
        <v>0</v>
      </c>
      <c r="O1627" t="s">
        <v>21</v>
      </c>
      <c r="P1627" t="str">
        <f>TEXT(Table1[[#This Row],[order_date]],"yyyy-mm")</f>
        <v>2025-07</v>
      </c>
      <c r="Q1627">
        <f>WEEKNUM(Table1[[#This Row],[order_date]])</f>
        <v>30</v>
      </c>
      <c r="R1627">
        <f>IF(Table1[[#This Row],[order_status]]="completed",1,0)</f>
        <v>0</v>
      </c>
    </row>
    <row r="1628" spans="1:18" x14ac:dyDescent="0.35">
      <c r="A1628">
        <v>1627</v>
      </c>
      <c r="B1628" s="1">
        <v>46014</v>
      </c>
      <c r="C1628">
        <v>1308</v>
      </c>
      <c r="D1628" t="s">
        <v>22</v>
      </c>
      <c r="E1628" t="s">
        <v>16</v>
      </c>
      <c r="F1628" t="s">
        <v>30</v>
      </c>
      <c r="G1628">
        <v>3</v>
      </c>
      <c r="H1628">
        <v>0</v>
      </c>
      <c r="I1628" t="s">
        <v>25</v>
      </c>
      <c r="J1628" t="s">
        <v>31</v>
      </c>
      <c r="K1628" t="s">
        <v>40</v>
      </c>
      <c r="L1628">
        <v>8</v>
      </c>
      <c r="M1628">
        <v>0</v>
      </c>
      <c r="N1628">
        <v>0</v>
      </c>
      <c r="O1628" t="s">
        <v>27</v>
      </c>
      <c r="P1628" t="str">
        <f>TEXT(Table1[[#This Row],[order_date]],"yyyy-mm")</f>
        <v>2025-12</v>
      </c>
      <c r="Q1628">
        <f>WEEKNUM(Table1[[#This Row],[order_date]])</f>
        <v>52</v>
      </c>
      <c r="R1628">
        <f>IF(Table1[[#This Row],[order_status]]="completed",1,0)</f>
        <v>0</v>
      </c>
    </row>
    <row r="1629" spans="1:18" x14ac:dyDescent="0.35">
      <c r="A1629">
        <v>1628</v>
      </c>
      <c r="B1629" s="1">
        <v>46005</v>
      </c>
      <c r="C1629">
        <v>1508</v>
      </c>
      <c r="D1629" t="s">
        <v>22</v>
      </c>
      <c r="E1629" t="s">
        <v>36</v>
      </c>
      <c r="F1629" t="s">
        <v>24</v>
      </c>
      <c r="G1629">
        <v>2</v>
      </c>
      <c r="H1629">
        <v>0</v>
      </c>
      <c r="I1629" t="s">
        <v>18</v>
      </c>
      <c r="J1629" t="s">
        <v>31</v>
      </c>
      <c r="K1629" t="s">
        <v>38</v>
      </c>
      <c r="L1629">
        <v>2</v>
      </c>
      <c r="M1629">
        <v>0</v>
      </c>
      <c r="N1629">
        <v>0</v>
      </c>
      <c r="O1629" t="s">
        <v>21</v>
      </c>
      <c r="P1629" t="str">
        <f>TEXT(Table1[[#This Row],[order_date]],"yyyy-mm")</f>
        <v>2025-12</v>
      </c>
      <c r="Q1629">
        <f>WEEKNUM(Table1[[#This Row],[order_date]])</f>
        <v>51</v>
      </c>
      <c r="R1629">
        <f>IF(Table1[[#This Row],[order_status]]="completed",1,0)</f>
        <v>0</v>
      </c>
    </row>
    <row r="1630" spans="1:18" x14ac:dyDescent="0.35">
      <c r="A1630">
        <v>1629</v>
      </c>
      <c r="B1630" s="1">
        <v>45911</v>
      </c>
      <c r="C1630">
        <v>1797</v>
      </c>
      <c r="D1630" t="s">
        <v>41</v>
      </c>
      <c r="E1630" t="s">
        <v>23</v>
      </c>
      <c r="F1630" t="s">
        <v>17</v>
      </c>
      <c r="G1630">
        <v>4</v>
      </c>
      <c r="H1630">
        <v>0</v>
      </c>
      <c r="I1630" t="s">
        <v>35</v>
      </c>
      <c r="J1630" t="s">
        <v>31</v>
      </c>
      <c r="K1630" t="s">
        <v>38</v>
      </c>
      <c r="L1630">
        <v>2</v>
      </c>
      <c r="M1630">
        <v>1</v>
      </c>
      <c r="N1630">
        <v>0</v>
      </c>
      <c r="O1630" t="s">
        <v>27</v>
      </c>
      <c r="P1630" t="str">
        <f>TEXT(Table1[[#This Row],[order_date]],"yyyy-mm")</f>
        <v>2025-09</v>
      </c>
      <c r="Q1630">
        <f>WEEKNUM(Table1[[#This Row],[order_date]])</f>
        <v>37</v>
      </c>
      <c r="R1630">
        <f>IF(Table1[[#This Row],[order_status]]="completed",1,0)</f>
        <v>0</v>
      </c>
    </row>
    <row r="1631" spans="1:18" x14ac:dyDescent="0.35">
      <c r="A1631">
        <v>1630</v>
      </c>
      <c r="B1631" s="1">
        <v>46004</v>
      </c>
      <c r="C1631">
        <v>1396</v>
      </c>
      <c r="D1631" t="s">
        <v>15</v>
      </c>
      <c r="E1631" t="s">
        <v>23</v>
      </c>
      <c r="F1631" t="s">
        <v>30</v>
      </c>
      <c r="G1631">
        <v>4</v>
      </c>
      <c r="H1631">
        <v>13116</v>
      </c>
      <c r="I1631" t="s">
        <v>35</v>
      </c>
      <c r="J1631" t="s">
        <v>19</v>
      </c>
      <c r="K1631" t="s">
        <v>38</v>
      </c>
      <c r="L1631">
        <v>7</v>
      </c>
      <c r="M1631">
        <v>0</v>
      </c>
      <c r="N1631">
        <v>1</v>
      </c>
      <c r="O1631" t="s">
        <v>27</v>
      </c>
      <c r="P1631" t="str">
        <f>TEXT(Table1[[#This Row],[order_date]],"yyyy-mm")</f>
        <v>2025-12</v>
      </c>
      <c r="Q1631">
        <f>WEEKNUM(Table1[[#This Row],[order_date]])</f>
        <v>50</v>
      </c>
      <c r="R1631">
        <f>IF(Table1[[#This Row],[order_status]]="completed",1,0)</f>
        <v>1</v>
      </c>
    </row>
    <row r="1632" spans="1:18" x14ac:dyDescent="0.35">
      <c r="A1632">
        <v>1631</v>
      </c>
      <c r="B1632" s="1">
        <v>45853</v>
      </c>
      <c r="C1632">
        <v>1101</v>
      </c>
      <c r="D1632" t="s">
        <v>15</v>
      </c>
      <c r="E1632" t="s">
        <v>33</v>
      </c>
      <c r="F1632" t="s">
        <v>30</v>
      </c>
      <c r="G1632">
        <v>3</v>
      </c>
      <c r="H1632">
        <v>13839</v>
      </c>
      <c r="I1632" t="s">
        <v>39</v>
      </c>
      <c r="J1632" t="s">
        <v>19</v>
      </c>
      <c r="K1632" t="s">
        <v>26</v>
      </c>
      <c r="L1632">
        <v>10</v>
      </c>
      <c r="M1632">
        <v>0</v>
      </c>
      <c r="N1632">
        <v>1</v>
      </c>
      <c r="O1632" t="s">
        <v>27</v>
      </c>
      <c r="P1632" t="str">
        <f>TEXT(Table1[[#This Row],[order_date]],"yyyy-mm")</f>
        <v>2025-07</v>
      </c>
      <c r="Q1632">
        <f>WEEKNUM(Table1[[#This Row],[order_date]])</f>
        <v>29</v>
      </c>
      <c r="R1632">
        <f>IF(Table1[[#This Row],[order_status]]="completed",1,0)</f>
        <v>1</v>
      </c>
    </row>
    <row r="1633" spans="1:18" x14ac:dyDescent="0.35">
      <c r="A1633">
        <v>1632</v>
      </c>
      <c r="B1633" s="1">
        <v>45987</v>
      </c>
      <c r="C1633">
        <v>1825</v>
      </c>
      <c r="D1633" t="s">
        <v>32</v>
      </c>
      <c r="E1633" t="s">
        <v>33</v>
      </c>
      <c r="F1633" t="s">
        <v>17</v>
      </c>
      <c r="G1633">
        <v>5</v>
      </c>
      <c r="H1633">
        <v>0</v>
      </c>
      <c r="I1633" t="s">
        <v>39</v>
      </c>
      <c r="J1633" t="s">
        <v>37</v>
      </c>
      <c r="K1633" t="s">
        <v>20</v>
      </c>
      <c r="L1633">
        <v>5</v>
      </c>
      <c r="M1633">
        <v>0</v>
      </c>
      <c r="N1633">
        <v>1</v>
      </c>
      <c r="O1633" t="s">
        <v>21</v>
      </c>
      <c r="P1633" t="str">
        <f>TEXT(Table1[[#This Row],[order_date]],"yyyy-mm")</f>
        <v>2025-11</v>
      </c>
      <c r="Q1633">
        <f>WEEKNUM(Table1[[#This Row],[order_date]])</f>
        <v>48</v>
      </c>
      <c r="R1633">
        <f>IF(Table1[[#This Row],[order_status]]="completed",1,0)</f>
        <v>0</v>
      </c>
    </row>
    <row r="1634" spans="1:18" x14ac:dyDescent="0.35">
      <c r="A1634">
        <v>1633</v>
      </c>
      <c r="B1634" s="1">
        <v>45861</v>
      </c>
      <c r="C1634">
        <v>1294</v>
      </c>
      <c r="D1634" t="s">
        <v>32</v>
      </c>
      <c r="E1634" t="s">
        <v>29</v>
      </c>
      <c r="F1634" t="s">
        <v>17</v>
      </c>
      <c r="G1634">
        <v>1</v>
      </c>
      <c r="H1634">
        <v>857</v>
      </c>
      <c r="I1634" t="s">
        <v>35</v>
      </c>
      <c r="J1634" t="s">
        <v>19</v>
      </c>
      <c r="K1634" t="s">
        <v>26</v>
      </c>
      <c r="L1634">
        <v>8</v>
      </c>
      <c r="M1634">
        <v>1</v>
      </c>
      <c r="N1634">
        <v>1</v>
      </c>
      <c r="O1634" t="s">
        <v>27</v>
      </c>
      <c r="P1634" t="str">
        <f>TEXT(Table1[[#This Row],[order_date]],"yyyy-mm")</f>
        <v>2025-07</v>
      </c>
      <c r="Q1634">
        <f>WEEKNUM(Table1[[#This Row],[order_date]])</f>
        <v>30</v>
      </c>
      <c r="R1634">
        <f>IF(Table1[[#This Row],[order_status]]="completed",1,0)</f>
        <v>1</v>
      </c>
    </row>
    <row r="1635" spans="1:18" x14ac:dyDescent="0.35">
      <c r="A1635">
        <v>1634</v>
      </c>
      <c r="B1635" s="1">
        <v>45999</v>
      </c>
      <c r="C1635">
        <v>1711</v>
      </c>
      <c r="D1635" t="s">
        <v>41</v>
      </c>
      <c r="E1635" t="s">
        <v>36</v>
      </c>
      <c r="F1635" t="s">
        <v>30</v>
      </c>
      <c r="G1635">
        <v>2</v>
      </c>
      <c r="H1635">
        <v>0</v>
      </c>
      <c r="I1635" t="s">
        <v>18</v>
      </c>
      <c r="J1635" t="s">
        <v>31</v>
      </c>
      <c r="K1635" t="s">
        <v>26</v>
      </c>
      <c r="L1635">
        <v>8</v>
      </c>
      <c r="M1635">
        <v>1</v>
      </c>
      <c r="N1635">
        <v>1</v>
      </c>
      <c r="O1635" t="s">
        <v>21</v>
      </c>
      <c r="P1635" t="str">
        <f>TEXT(Table1[[#This Row],[order_date]],"yyyy-mm")</f>
        <v>2025-12</v>
      </c>
      <c r="Q1635">
        <f>WEEKNUM(Table1[[#This Row],[order_date]])</f>
        <v>50</v>
      </c>
      <c r="R1635">
        <f>IF(Table1[[#This Row],[order_status]]="completed",1,0)</f>
        <v>0</v>
      </c>
    </row>
    <row r="1636" spans="1:18" x14ac:dyDescent="0.35">
      <c r="A1636">
        <v>1635</v>
      </c>
      <c r="B1636" s="1">
        <v>46002</v>
      </c>
      <c r="C1636">
        <v>1372</v>
      </c>
      <c r="D1636" t="s">
        <v>28</v>
      </c>
      <c r="E1636" t="s">
        <v>16</v>
      </c>
      <c r="F1636" t="s">
        <v>30</v>
      </c>
      <c r="G1636">
        <v>5</v>
      </c>
      <c r="H1636">
        <v>0</v>
      </c>
      <c r="I1636" t="s">
        <v>25</v>
      </c>
      <c r="J1636" t="s">
        <v>37</v>
      </c>
      <c r="K1636" t="s">
        <v>38</v>
      </c>
      <c r="L1636">
        <v>3</v>
      </c>
      <c r="M1636">
        <v>0</v>
      </c>
      <c r="N1636">
        <v>0</v>
      </c>
      <c r="O1636" t="s">
        <v>21</v>
      </c>
      <c r="P1636" t="str">
        <f>TEXT(Table1[[#This Row],[order_date]],"yyyy-mm")</f>
        <v>2025-12</v>
      </c>
      <c r="Q1636">
        <f>WEEKNUM(Table1[[#This Row],[order_date]])</f>
        <v>50</v>
      </c>
      <c r="R1636">
        <f>IF(Table1[[#This Row],[order_status]]="completed",1,0)</f>
        <v>0</v>
      </c>
    </row>
    <row r="1637" spans="1:18" x14ac:dyDescent="0.35">
      <c r="A1637">
        <v>1636</v>
      </c>
      <c r="B1637" s="1">
        <v>45934</v>
      </c>
      <c r="C1637">
        <v>1522</v>
      </c>
      <c r="D1637" t="s">
        <v>41</v>
      </c>
      <c r="E1637" t="s">
        <v>36</v>
      </c>
      <c r="F1637" t="s">
        <v>24</v>
      </c>
      <c r="G1637">
        <v>1</v>
      </c>
      <c r="H1637">
        <v>2587</v>
      </c>
      <c r="I1637" t="s">
        <v>18</v>
      </c>
      <c r="J1637" t="s">
        <v>19</v>
      </c>
      <c r="K1637" t="s">
        <v>40</v>
      </c>
      <c r="L1637">
        <v>8</v>
      </c>
      <c r="M1637">
        <v>0</v>
      </c>
      <c r="N1637">
        <v>1</v>
      </c>
      <c r="O1637" t="s">
        <v>21</v>
      </c>
      <c r="P1637" t="str">
        <f>TEXT(Table1[[#This Row],[order_date]],"yyyy-mm")</f>
        <v>2025-10</v>
      </c>
      <c r="Q1637">
        <f>WEEKNUM(Table1[[#This Row],[order_date]])</f>
        <v>40</v>
      </c>
      <c r="R1637">
        <f>IF(Table1[[#This Row],[order_status]]="completed",1,0)</f>
        <v>1</v>
      </c>
    </row>
    <row r="1638" spans="1:18" x14ac:dyDescent="0.35">
      <c r="A1638">
        <v>1637</v>
      </c>
      <c r="B1638" s="1">
        <v>45974</v>
      </c>
      <c r="C1638">
        <v>1600</v>
      </c>
      <c r="D1638" t="s">
        <v>28</v>
      </c>
      <c r="E1638" t="s">
        <v>29</v>
      </c>
      <c r="F1638" t="s">
        <v>24</v>
      </c>
      <c r="G1638">
        <v>2</v>
      </c>
      <c r="H1638">
        <v>0</v>
      </c>
      <c r="I1638" t="s">
        <v>25</v>
      </c>
      <c r="J1638" t="s">
        <v>37</v>
      </c>
      <c r="K1638" t="s">
        <v>38</v>
      </c>
      <c r="L1638">
        <v>10</v>
      </c>
      <c r="M1638">
        <v>0</v>
      </c>
      <c r="N1638">
        <v>1</v>
      </c>
      <c r="O1638" t="s">
        <v>21</v>
      </c>
      <c r="P1638" t="str">
        <f>TEXT(Table1[[#This Row],[order_date]],"yyyy-mm")</f>
        <v>2025-11</v>
      </c>
      <c r="Q1638">
        <f>WEEKNUM(Table1[[#This Row],[order_date]])</f>
        <v>46</v>
      </c>
      <c r="R1638">
        <f>IF(Table1[[#This Row],[order_status]]="completed",1,0)</f>
        <v>0</v>
      </c>
    </row>
    <row r="1639" spans="1:18" x14ac:dyDescent="0.35">
      <c r="A1639">
        <v>1638</v>
      </c>
      <c r="B1639" s="1">
        <v>45940</v>
      </c>
      <c r="C1639">
        <v>1553</v>
      </c>
      <c r="D1639" t="s">
        <v>22</v>
      </c>
      <c r="E1639" t="s">
        <v>33</v>
      </c>
      <c r="F1639" t="s">
        <v>34</v>
      </c>
      <c r="G1639">
        <v>1</v>
      </c>
      <c r="H1639">
        <v>3124</v>
      </c>
      <c r="I1639" t="s">
        <v>18</v>
      </c>
      <c r="J1639" t="s">
        <v>19</v>
      </c>
      <c r="K1639" t="s">
        <v>20</v>
      </c>
      <c r="L1639">
        <v>1</v>
      </c>
      <c r="M1639">
        <v>0</v>
      </c>
      <c r="N1639">
        <v>1</v>
      </c>
      <c r="O1639" t="s">
        <v>21</v>
      </c>
      <c r="P1639" t="str">
        <f>TEXT(Table1[[#This Row],[order_date]],"yyyy-mm")</f>
        <v>2025-10</v>
      </c>
      <c r="Q1639">
        <f>WEEKNUM(Table1[[#This Row],[order_date]])</f>
        <v>41</v>
      </c>
      <c r="R1639">
        <f>IF(Table1[[#This Row],[order_status]]="completed",1,0)</f>
        <v>1</v>
      </c>
    </row>
    <row r="1640" spans="1:18" x14ac:dyDescent="0.35">
      <c r="A1640">
        <v>1639</v>
      </c>
      <c r="B1640" s="1">
        <v>45907</v>
      </c>
      <c r="C1640">
        <v>1814</v>
      </c>
      <c r="D1640" t="s">
        <v>15</v>
      </c>
      <c r="E1640" t="s">
        <v>23</v>
      </c>
      <c r="F1640" t="s">
        <v>34</v>
      </c>
      <c r="G1640">
        <v>1</v>
      </c>
      <c r="H1640">
        <v>0</v>
      </c>
      <c r="I1640" t="s">
        <v>25</v>
      </c>
      <c r="J1640" t="s">
        <v>37</v>
      </c>
      <c r="K1640" t="s">
        <v>26</v>
      </c>
      <c r="L1640">
        <v>5</v>
      </c>
      <c r="M1640">
        <v>0</v>
      </c>
      <c r="N1640">
        <v>0</v>
      </c>
      <c r="O1640" t="s">
        <v>27</v>
      </c>
      <c r="P1640" t="str">
        <f>TEXT(Table1[[#This Row],[order_date]],"yyyy-mm")</f>
        <v>2025-09</v>
      </c>
      <c r="Q1640">
        <f>WEEKNUM(Table1[[#This Row],[order_date]])</f>
        <v>37</v>
      </c>
      <c r="R1640">
        <f>IF(Table1[[#This Row],[order_status]]="completed",1,0)</f>
        <v>0</v>
      </c>
    </row>
    <row r="1641" spans="1:18" x14ac:dyDescent="0.35">
      <c r="A1641">
        <v>1640</v>
      </c>
      <c r="B1641" s="1">
        <v>45934</v>
      </c>
      <c r="C1641">
        <v>1759</v>
      </c>
      <c r="D1641" t="s">
        <v>32</v>
      </c>
      <c r="E1641" t="s">
        <v>33</v>
      </c>
      <c r="F1641" t="s">
        <v>24</v>
      </c>
      <c r="G1641">
        <v>4</v>
      </c>
      <c r="H1641">
        <v>10320</v>
      </c>
      <c r="I1641" t="s">
        <v>18</v>
      </c>
      <c r="J1641" t="s">
        <v>19</v>
      </c>
      <c r="K1641" t="s">
        <v>20</v>
      </c>
      <c r="L1641">
        <v>8</v>
      </c>
      <c r="M1641">
        <v>0</v>
      </c>
      <c r="N1641">
        <v>1</v>
      </c>
      <c r="O1641" t="s">
        <v>21</v>
      </c>
      <c r="P1641" t="str">
        <f>TEXT(Table1[[#This Row],[order_date]],"yyyy-mm")</f>
        <v>2025-10</v>
      </c>
      <c r="Q1641">
        <f>WEEKNUM(Table1[[#This Row],[order_date]])</f>
        <v>40</v>
      </c>
      <c r="R1641">
        <f>IF(Table1[[#This Row],[order_status]]="completed",1,0)</f>
        <v>1</v>
      </c>
    </row>
    <row r="1642" spans="1:18" x14ac:dyDescent="0.35">
      <c r="A1642">
        <v>1641</v>
      </c>
      <c r="B1642" s="1">
        <v>45980</v>
      </c>
      <c r="C1642">
        <v>1208</v>
      </c>
      <c r="D1642" t="s">
        <v>15</v>
      </c>
      <c r="E1642" t="s">
        <v>33</v>
      </c>
      <c r="F1642" t="s">
        <v>34</v>
      </c>
      <c r="G1642">
        <v>5</v>
      </c>
      <c r="H1642">
        <v>11860</v>
      </c>
      <c r="I1642" t="s">
        <v>18</v>
      </c>
      <c r="J1642" t="s">
        <v>19</v>
      </c>
      <c r="K1642" t="s">
        <v>40</v>
      </c>
      <c r="L1642">
        <v>10</v>
      </c>
      <c r="M1642">
        <v>0</v>
      </c>
      <c r="N1642">
        <v>0</v>
      </c>
      <c r="O1642" t="s">
        <v>21</v>
      </c>
      <c r="P1642" t="str">
        <f>TEXT(Table1[[#This Row],[order_date]],"yyyy-mm")</f>
        <v>2025-11</v>
      </c>
      <c r="Q1642">
        <f>WEEKNUM(Table1[[#This Row],[order_date]])</f>
        <v>47</v>
      </c>
      <c r="R1642">
        <f>IF(Table1[[#This Row],[order_status]]="completed",1,0)</f>
        <v>1</v>
      </c>
    </row>
    <row r="1643" spans="1:18" x14ac:dyDescent="0.35">
      <c r="A1643">
        <v>1642</v>
      </c>
      <c r="B1643" s="1">
        <v>45953</v>
      </c>
      <c r="C1643">
        <v>1267</v>
      </c>
      <c r="D1643" t="s">
        <v>32</v>
      </c>
      <c r="E1643" t="s">
        <v>36</v>
      </c>
      <c r="F1643" t="s">
        <v>34</v>
      </c>
      <c r="G1643">
        <v>1</v>
      </c>
      <c r="H1643">
        <v>0</v>
      </c>
      <c r="I1643" t="s">
        <v>25</v>
      </c>
      <c r="J1643" t="s">
        <v>37</v>
      </c>
      <c r="K1643" t="s">
        <v>20</v>
      </c>
      <c r="L1643">
        <v>10</v>
      </c>
      <c r="M1643">
        <v>1</v>
      </c>
      <c r="N1643">
        <v>0</v>
      </c>
      <c r="O1643" t="s">
        <v>27</v>
      </c>
      <c r="P1643" t="str">
        <f>TEXT(Table1[[#This Row],[order_date]],"yyyy-mm")</f>
        <v>2025-10</v>
      </c>
      <c r="Q1643">
        <f>WEEKNUM(Table1[[#This Row],[order_date]])</f>
        <v>43</v>
      </c>
      <c r="R1643">
        <f>IF(Table1[[#This Row],[order_status]]="completed",1,0)</f>
        <v>0</v>
      </c>
    </row>
    <row r="1644" spans="1:18" x14ac:dyDescent="0.35">
      <c r="A1644">
        <v>1643</v>
      </c>
      <c r="B1644" s="1">
        <v>45929</v>
      </c>
      <c r="C1644">
        <v>1638</v>
      </c>
      <c r="D1644" t="s">
        <v>41</v>
      </c>
      <c r="E1644" t="s">
        <v>33</v>
      </c>
      <c r="F1644" t="s">
        <v>34</v>
      </c>
      <c r="G1644">
        <v>4</v>
      </c>
      <c r="H1644">
        <v>0</v>
      </c>
      <c r="I1644" t="s">
        <v>18</v>
      </c>
      <c r="J1644" t="s">
        <v>31</v>
      </c>
      <c r="K1644" t="s">
        <v>20</v>
      </c>
      <c r="L1644">
        <v>3</v>
      </c>
      <c r="M1644">
        <v>1</v>
      </c>
      <c r="N1644">
        <v>1</v>
      </c>
      <c r="O1644" t="s">
        <v>27</v>
      </c>
      <c r="P1644" t="str">
        <f>TEXT(Table1[[#This Row],[order_date]],"yyyy-mm")</f>
        <v>2025-09</v>
      </c>
      <c r="Q1644">
        <f>WEEKNUM(Table1[[#This Row],[order_date]])</f>
        <v>40</v>
      </c>
      <c r="R1644">
        <f>IF(Table1[[#This Row],[order_status]]="completed",1,0)</f>
        <v>0</v>
      </c>
    </row>
    <row r="1645" spans="1:18" x14ac:dyDescent="0.35">
      <c r="A1645">
        <v>1644</v>
      </c>
      <c r="B1645" s="1">
        <v>45958</v>
      </c>
      <c r="C1645">
        <v>1233</v>
      </c>
      <c r="D1645" t="s">
        <v>22</v>
      </c>
      <c r="E1645" t="s">
        <v>33</v>
      </c>
      <c r="F1645" t="s">
        <v>17</v>
      </c>
      <c r="G1645">
        <v>5</v>
      </c>
      <c r="H1645">
        <v>17005</v>
      </c>
      <c r="I1645" t="s">
        <v>39</v>
      </c>
      <c r="J1645" t="s">
        <v>19</v>
      </c>
      <c r="K1645" t="s">
        <v>20</v>
      </c>
      <c r="L1645">
        <v>10</v>
      </c>
      <c r="M1645">
        <v>1</v>
      </c>
      <c r="N1645">
        <v>0</v>
      </c>
      <c r="O1645" t="s">
        <v>21</v>
      </c>
      <c r="P1645" t="str">
        <f>TEXT(Table1[[#This Row],[order_date]],"yyyy-mm")</f>
        <v>2025-10</v>
      </c>
      <c r="Q1645">
        <f>WEEKNUM(Table1[[#This Row],[order_date]])</f>
        <v>44</v>
      </c>
      <c r="R1645">
        <f>IF(Table1[[#This Row],[order_status]]="completed",1,0)</f>
        <v>1</v>
      </c>
    </row>
    <row r="1646" spans="1:18" x14ac:dyDescent="0.35">
      <c r="A1646">
        <v>1645</v>
      </c>
      <c r="B1646" s="1">
        <v>45952</v>
      </c>
      <c r="C1646">
        <v>1600</v>
      </c>
      <c r="D1646" t="s">
        <v>22</v>
      </c>
      <c r="E1646" t="s">
        <v>23</v>
      </c>
      <c r="F1646" t="s">
        <v>30</v>
      </c>
      <c r="G1646">
        <v>3</v>
      </c>
      <c r="H1646">
        <v>0</v>
      </c>
      <c r="I1646" t="s">
        <v>39</v>
      </c>
      <c r="J1646" t="s">
        <v>37</v>
      </c>
      <c r="K1646" t="s">
        <v>20</v>
      </c>
      <c r="L1646">
        <v>5</v>
      </c>
      <c r="M1646">
        <v>0</v>
      </c>
      <c r="N1646">
        <v>1</v>
      </c>
      <c r="O1646" t="s">
        <v>21</v>
      </c>
      <c r="P1646" t="str">
        <f>TEXT(Table1[[#This Row],[order_date]],"yyyy-mm")</f>
        <v>2025-10</v>
      </c>
      <c r="Q1646">
        <f>WEEKNUM(Table1[[#This Row],[order_date]])</f>
        <v>43</v>
      </c>
      <c r="R1646">
        <f>IF(Table1[[#This Row],[order_status]]="completed",1,0)</f>
        <v>0</v>
      </c>
    </row>
    <row r="1647" spans="1:18" x14ac:dyDescent="0.35">
      <c r="A1647">
        <v>1646</v>
      </c>
      <c r="B1647" s="1">
        <v>45979</v>
      </c>
      <c r="C1647">
        <v>1272</v>
      </c>
      <c r="D1647" t="s">
        <v>22</v>
      </c>
      <c r="E1647" t="s">
        <v>16</v>
      </c>
      <c r="F1647" t="s">
        <v>30</v>
      </c>
      <c r="G1647">
        <v>3</v>
      </c>
      <c r="H1647">
        <v>0</v>
      </c>
      <c r="I1647" t="s">
        <v>18</v>
      </c>
      <c r="J1647" t="s">
        <v>37</v>
      </c>
      <c r="K1647" t="s">
        <v>40</v>
      </c>
      <c r="L1647">
        <v>2</v>
      </c>
      <c r="M1647">
        <v>1</v>
      </c>
      <c r="N1647">
        <v>0</v>
      </c>
      <c r="O1647" t="s">
        <v>27</v>
      </c>
      <c r="P1647" t="str">
        <f>TEXT(Table1[[#This Row],[order_date]],"yyyy-mm")</f>
        <v>2025-11</v>
      </c>
      <c r="Q1647">
        <f>WEEKNUM(Table1[[#This Row],[order_date]])</f>
        <v>47</v>
      </c>
      <c r="R1647">
        <f>IF(Table1[[#This Row],[order_status]]="completed",1,0)</f>
        <v>0</v>
      </c>
    </row>
    <row r="1648" spans="1:18" x14ac:dyDescent="0.35">
      <c r="A1648">
        <v>1647</v>
      </c>
      <c r="B1648" s="1">
        <v>45886</v>
      </c>
      <c r="C1648">
        <v>1820</v>
      </c>
      <c r="D1648" t="s">
        <v>22</v>
      </c>
      <c r="E1648" t="s">
        <v>33</v>
      </c>
      <c r="F1648" t="s">
        <v>24</v>
      </c>
      <c r="G1648">
        <v>2</v>
      </c>
      <c r="H1648">
        <v>0</v>
      </c>
      <c r="I1648" t="s">
        <v>35</v>
      </c>
      <c r="J1648" t="s">
        <v>31</v>
      </c>
      <c r="K1648" t="s">
        <v>40</v>
      </c>
      <c r="L1648">
        <v>6</v>
      </c>
      <c r="M1648">
        <v>0</v>
      </c>
      <c r="N1648">
        <v>0</v>
      </c>
      <c r="O1648" t="s">
        <v>27</v>
      </c>
      <c r="P1648" t="str">
        <f>TEXT(Table1[[#This Row],[order_date]],"yyyy-mm")</f>
        <v>2025-08</v>
      </c>
      <c r="Q1648">
        <f>WEEKNUM(Table1[[#This Row],[order_date]])</f>
        <v>34</v>
      </c>
      <c r="R1648">
        <f>IF(Table1[[#This Row],[order_status]]="completed",1,0)</f>
        <v>0</v>
      </c>
    </row>
    <row r="1649" spans="1:18" x14ac:dyDescent="0.35">
      <c r="A1649">
        <v>1648</v>
      </c>
      <c r="B1649" s="1">
        <v>46018</v>
      </c>
      <c r="C1649">
        <v>1879</v>
      </c>
      <c r="D1649" t="s">
        <v>41</v>
      </c>
      <c r="E1649" t="s">
        <v>16</v>
      </c>
      <c r="F1649" t="s">
        <v>30</v>
      </c>
      <c r="G1649">
        <v>5</v>
      </c>
      <c r="H1649">
        <v>0</v>
      </c>
      <c r="I1649" t="s">
        <v>35</v>
      </c>
      <c r="J1649" t="s">
        <v>31</v>
      </c>
      <c r="K1649" t="s">
        <v>20</v>
      </c>
      <c r="L1649">
        <v>6</v>
      </c>
      <c r="M1649">
        <v>0</v>
      </c>
      <c r="N1649">
        <v>0</v>
      </c>
      <c r="O1649" t="s">
        <v>27</v>
      </c>
      <c r="P1649" t="str">
        <f>TEXT(Table1[[#This Row],[order_date]],"yyyy-mm")</f>
        <v>2025-12</v>
      </c>
      <c r="Q1649">
        <f>WEEKNUM(Table1[[#This Row],[order_date]])</f>
        <v>52</v>
      </c>
      <c r="R1649">
        <f>IF(Table1[[#This Row],[order_status]]="completed",1,0)</f>
        <v>0</v>
      </c>
    </row>
    <row r="1650" spans="1:18" x14ac:dyDescent="0.35">
      <c r="A1650">
        <v>1649</v>
      </c>
      <c r="B1650" s="1">
        <v>45952</v>
      </c>
      <c r="C1650">
        <v>1463</v>
      </c>
      <c r="D1650" t="s">
        <v>41</v>
      </c>
      <c r="E1650" t="s">
        <v>23</v>
      </c>
      <c r="F1650" t="s">
        <v>24</v>
      </c>
      <c r="G1650">
        <v>3</v>
      </c>
      <c r="H1650">
        <v>9969</v>
      </c>
      <c r="I1650" t="s">
        <v>39</v>
      </c>
      <c r="J1650" t="s">
        <v>19</v>
      </c>
      <c r="K1650" t="s">
        <v>20</v>
      </c>
      <c r="L1650">
        <v>8</v>
      </c>
      <c r="M1650">
        <v>0</v>
      </c>
      <c r="N1650">
        <v>1</v>
      </c>
      <c r="O1650" t="s">
        <v>21</v>
      </c>
      <c r="P1650" t="str">
        <f>TEXT(Table1[[#This Row],[order_date]],"yyyy-mm")</f>
        <v>2025-10</v>
      </c>
      <c r="Q1650">
        <f>WEEKNUM(Table1[[#This Row],[order_date]])</f>
        <v>43</v>
      </c>
      <c r="R1650">
        <f>IF(Table1[[#This Row],[order_status]]="completed",1,0)</f>
        <v>1</v>
      </c>
    </row>
    <row r="1651" spans="1:18" x14ac:dyDescent="0.35">
      <c r="A1651">
        <v>1650</v>
      </c>
      <c r="B1651" s="1">
        <v>45950</v>
      </c>
      <c r="C1651">
        <v>1149</v>
      </c>
      <c r="D1651" t="s">
        <v>41</v>
      </c>
      <c r="E1651" t="s">
        <v>23</v>
      </c>
      <c r="F1651" t="s">
        <v>24</v>
      </c>
      <c r="G1651">
        <v>1</v>
      </c>
      <c r="H1651">
        <v>4645</v>
      </c>
      <c r="I1651" t="s">
        <v>18</v>
      </c>
      <c r="J1651" t="s">
        <v>19</v>
      </c>
      <c r="K1651" t="s">
        <v>38</v>
      </c>
      <c r="L1651">
        <v>1</v>
      </c>
      <c r="M1651">
        <v>0</v>
      </c>
      <c r="N1651">
        <v>1</v>
      </c>
      <c r="O1651" t="s">
        <v>27</v>
      </c>
      <c r="P1651" t="str">
        <f>TEXT(Table1[[#This Row],[order_date]],"yyyy-mm")</f>
        <v>2025-10</v>
      </c>
      <c r="Q1651">
        <f>WEEKNUM(Table1[[#This Row],[order_date]])</f>
        <v>43</v>
      </c>
      <c r="R1651">
        <f>IF(Table1[[#This Row],[order_status]]="completed",1,0)</f>
        <v>1</v>
      </c>
    </row>
    <row r="1652" spans="1:18" x14ac:dyDescent="0.35">
      <c r="A1652">
        <v>1651</v>
      </c>
      <c r="B1652" s="1">
        <v>45931</v>
      </c>
      <c r="C1652">
        <v>1919</v>
      </c>
      <c r="D1652" t="s">
        <v>28</v>
      </c>
      <c r="E1652" t="s">
        <v>33</v>
      </c>
      <c r="F1652" t="s">
        <v>24</v>
      </c>
      <c r="G1652">
        <v>2</v>
      </c>
      <c r="H1652">
        <v>5506</v>
      </c>
      <c r="I1652" t="s">
        <v>25</v>
      </c>
      <c r="J1652" t="s">
        <v>19</v>
      </c>
      <c r="K1652" t="s">
        <v>20</v>
      </c>
      <c r="L1652">
        <v>2</v>
      </c>
      <c r="M1652">
        <v>1</v>
      </c>
      <c r="N1652">
        <v>1</v>
      </c>
      <c r="O1652" t="s">
        <v>27</v>
      </c>
      <c r="P1652" t="str">
        <f>TEXT(Table1[[#This Row],[order_date]],"yyyy-mm")</f>
        <v>2025-10</v>
      </c>
      <c r="Q1652">
        <f>WEEKNUM(Table1[[#This Row],[order_date]])</f>
        <v>40</v>
      </c>
      <c r="R1652">
        <f>IF(Table1[[#This Row],[order_status]]="completed",1,0)</f>
        <v>1</v>
      </c>
    </row>
    <row r="1653" spans="1:18" x14ac:dyDescent="0.35">
      <c r="A1653">
        <v>1652</v>
      </c>
      <c r="B1653" s="1">
        <v>45892</v>
      </c>
      <c r="C1653">
        <v>1379</v>
      </c>
      <c r="D1653" t="s">
        <v>15</v>
      </c>
      <c r="E1653" t="s">
        <v>33</v>
      </c>
      <c r="F1653" t="s">
        <v>17</v>
      </c>
      <c r="G1653">
        <v>2</v>
      </c>
      <c r="H1653">
        <v>0</v>
      </c>
      <c r="I1653" t="s">
        <v>25</v>
      </c>
      <c r="J1653" t="s">
        <v>37</v>
      </c>
      <c r="K1653" t="s">
        <v>20</v>
      </c>
      <c r="L1653">
        <v>2</v>
      </c>
      <c r="M1653">
        <v>1</v>
      </c>
      <c r="N1653">
        <v>0</v>
      </c>
      <c r="O1653" t="s">
        <v>27</v>
      </c>
      <c r="P1653" t="str">
        <f>TEXT(Table1[[#This Row],[order_date]],"yyyy-mm")</f>
        <v>2025-08</v>
      </c>
      <c r="Q1653">
        <f>WEEKNUM(Table1[[#This Row],[order_date]])</f>
        <v>34</v>
      </c>
      <c r="R1653">
        <f>IF(Table1[[#This Row],[order_status]]="completed",1,0)</f>
        <v>0</v>
      </c>
    </row>
    <row r="1654" spans="1:18" x14ac:dyDescent="0.35">
      <c r="A1654">
        <v>1653</v>
      </c>
      <c r="B1654" s="1">
        <v>46013</v>
      </c>
      <c r="C1654">
        <v>1775</v>
      </c>
      <c r="D1654" t="s">
        <v>32</v>
      </c>
      <c r="E1654" t="s">
        <v>36</v>
      </c>
      <c r="F1654" t="s">
        <v>30</v>
      </c>
      <c r="G1654">
        <v>3</v>
      </c>
      <c r="H1654">
        <v>0</v>
      </c>
      <c r="I1654" t="s">
        <v>39</v>
      </c>
      <c r="J1654" t="s">
        <v>37</v>
      </c>
      <c r="K1654" t="s">
        <v>40</v>
      </c>
      <c r="L1654">
        <v>7</v>
      </c>
      <c r="M1654">
        <v>0</v>
      </c>
      <c r="N1654">
        <v>0</v>
      </c>
      <c r="O1654" t="s">
        <v>27</v>
      </c>
      <c r="P1654" t="str">
        <f>TEXT(Table1[[#This Row],[order_date]],"yyyy-mm")</f>
        <v>2025-12</v>
      </c>
      <c r="Q1654">
        <f>WEEKNUM(Table1[[#This Row],[order_date]])</f>
        <v>52</v>
      </c>
      <c r="R1654">
        <f>IF(Table1[[#This Row],[order_status]]="completed",1,0)</f>
        <v>0</v>
      </c>
    </row>
    <row r="1655" spans="1:18" x14ac:dyDescent="0.35">
      <c r="A1655">
        <v>1654</v>
      </c>
      <c r="B1655" s="1">
        <v>45966</v>
      </c>
      <c r="C1655">
        <v>1996</v>
      </c>
      <c r="D1655" t="s">
        <v>28</v>
      </c>
      <c r="E1655" t="s">
        <v>23</v>
      </c>
      <c r="F1655" t="s">
        <v>24</v>
      </c>
      <c r="G1655">
        <v>1</v>
      </c>
      <c r="H1655">
        <v>1766</v>
      </c>
      <c r="I1655" t="s">
        <v>25</v>
      </c>
      <c r="J1655" t="s">
        <v>19</v>
      </c>
      <c r="K1655" t="s">
        <v>38</v>
      </c>
      <c r="L1655">
        <v>8</v>
      </c>
      <c r="M1655">
        <v>0</v>
      </c>
      <c r="N1655">
        <v>1</v>
      </c>
      <c r="O1655" t="s">
        <v>21</v>
      </c>
      <c r="P1655" t="str">
        <f>TEXT(Table1[[#This Row],[order_date]],"yyyy-mm")</f>
        <v>2025-11</v>
      </c>
      <c r="Q1655">
        <f>WEEKNUM(Table1[[#This Row],[order_date]])</f>
        <v>45</v>
      </c>
      <c r="R1655">
        <f>IF(Table1[[#This Row],[order_status]]="completed",1,0)</f>
        <v>1</v>
      </c>
    </row>
    <row r="1656" spans="1:18" x14ac:dyDescent="0.35">
      <c r="A1656">
        <v>1655</v>
      </c>
      <c r="B1656" s="1">
        <v>46030</v>
      </c>
      <c r="C1656">
        <v>1303</v>
      </c>
      <c r="D1656" t="s">
        <v>41</v>
      </c>
      <c r="E1656" t="s">
        <v>29</v>
      </c>
      <c r="F1656" t="s">
        <v>30</v>
      </c>
      <c r="G1656">
        <v>4</v>
      </c>
      <c r="H1656">
        <v>16928</v>
      </c>
      <c r="I1656" t="s">
        <v>18</v>
      </c>
      <c r="J1656" t="s">
        <v>19</v>
      </c>
      <c r="K1656" t="s">
        <v>40</v>
      </c>
      <c r="L1656">
        <v>1</v>
      </c>
      <c r="M1656">
        <v>0</v>
      </c>
      <c r="N1656">
        <v>0</v>
      </c>
      <c r="O1656" t="s">
        <v>21</v>
      </c>
      <c r="P1656" t="str">
        <f>TEXT(Table1[[#This Row],[order_date]],"yyyy-mm")</f>
        <v>2026-01</v>
      </c>
      <c r="Q1656">
        <f>WEEKNUM(Table1[[#This Row],[order_date]])</f>
        <v>2</v>
      </c>
      <c r="R1656">
        <f>IF(Table1[[#This Row],[order_status]]="completed",1,0)</f>
        <v>1</v>
      </c>
    </row>
    <row r="1657" spans="1:18" x14ac:dyDescent="0.35">
      <c r="A1657">
        <v>1656</v>
      </c>
      <c r="B1657" s="1">
        <v>46030</v>
      </c>
      <c r="C1657">
        <v>1835</v>
      </c>
      <c r="D1657" t="s">
        <v>22</v>
      </c>
      <c r="E1657" t="s">
        <v>16</v>
      </c>
      <c r="F1657" t="s">
        <v>24</v>
      </c>
      <c r="G1657">
        <v>5</v>
      </c>
      <c r="H1657">
        <v>24390</v>
      </c>
      <c r="I1657" t="s">
        <v>39</v>
      </c>
      <c r="J1657" t="s">
        <v>19</v>
      </c>
      <c r="K1657" t="s">
        <v>26</v>
      </c>
      <c r="L1657">
        <v>10</v>
      </c>
      <c r="M1657">
        <v>1</v>
      </c>
      <c r="N1657">
        <v>1</v>
      </c>
      <c r="O1657" t="s">
        <v>27</v>
      </c>
      <c r="P1657" t="str">
        <f>TEXT(Table1[[#This Row],[order_date]],"yyyy-mm")</f>
        <v>2026-01</v>
      </c>
      <c r="Q1657">
        <f>WEEKNUM(Table1[[#This Row],[order_date]])</f>
        <v>2</v>
      </c>
      <c r="R1657">
        <f>IF(Table1[[#This Row],[order_status]]="completed",1,0)</f>
        <v>1</v>
      </c>
    </row>
    <row r="1658" spans="1:18" x14ac:dyDescent="0.35">
      <c r="A1658">
        <v>1657</v>
      </c>
      <c r="B1658" s="1">
        <v>45947</v>
      </c>
      <c r="C1658">
        <v>1844</v>
      </c>
      <c r="D1658" t="s">
        <v>22</v>
      </c>
      <c r="E1658" t="s">
        <v>23</v>
      </c>
      <c r="F1658" t="s">
        <v>30</v>
      </c>
      <c r="G1658">
        <v>4</v>
      </c>
      <c r="H1658">
        <v>0</v>
      </c>
      <c r="I1658" t="s">
        <v>39</v>
      </c>
      <c r="J1658" t="s">
        <v>31</v>
      </c>
      <c r="K1658" t="s">
        <v>20</v>
      </c>
      <c r="L1658">
        <v>7</v>
      </c>
      <c r="M1658">
        <v>1</v>
      </c>
      <c r="N1658">
        <v>1</v>
      </c>
      <c r="O1658" t="s">
        <v>27</v>
      </c>
      <c r="P1658" t="str">
        <f>TEXT(Table1[[#This Row],[order_date]],"yyyy-mm")</f>
        <v>2025-10</v>
      </c>
      <c r="Q1658">
        <f>WEEKNUM(Table1[[#This Row],[order_date]])</f>
        <v>42</v>
      </c>
      <c r="R1658">
        <f>IF(Table1[[#This Row],[order_status]]="completed",1,0)</f>
        <v>0</v>
      </c>
    </row>
    <row r="1659" spans="1:18" x14ac:dyDescent="0.35">
      <c r="A1659">
        <v>1658</v>
      </c>
      <c r="B1659" s="1">
        <v>45994</v>
      </c>
      <c r="C1659">
        <v>1658</v>
      </c>
      <c r="D1659" t="s">
        <v>22</v>
      </c>
      <c r="E1659" t="s">
        <v>23</v>
      </c>
      <c r="F1659" t="s">
        <v>30</v>
      </c>
      <c r="G1659">
        <v>3</v>
      </c>
      <c r="H1659">
        <v>0</v>
      </c>
      <c r="I1659" t="s">
        <v>39</v>
      </c>
      <c r="J1659" t="s">
        <v>31</v>
      </c>
      <c r="K1659" t="s">
        <v>38</v>
      </c>
      <c r="L1659">
        <v>3</v>
      </c>
      <c r="M1659">
        <v>0</v>
      </c>
      <c r="N1659">
        <v>1</v>
      </c>
      <c r="O1659" t="s">
        <v>27</v>
      </c>
      <c r="P1659" t="str">
        <f>TEXT(Table1[[#This Row],[order_date]],"yyyy-mm")</f>
        <v>2025-12</v>
      </c>
      <c r="Q1659">
        <f>WEEKNUM(Table1[[#This Row],[order_date]])</f>
        <v>49</v>
      </c>
      <c r="R1659">
        <f>IF(Table1[[#This Row],[order_status]]="completed",1,0)</f>
        <v>0</v>
      </c>
    </row>
    <row r="1660" spans="1:18" x14ac:dyDescent="0.35">
      <c r="A1660">
        <v>1659</v>
      </c>
      <c r="B1660" s="1">
        <v>45894</v>
      </c>
      <c r="C1660">
        <v>1082</v>
      </c>
      <c r="D1660" t="s">
        <v>32</v>
      </c>
      <c r="E1660" t="s">
        <v>23</v>
      </c>
      <c r="F1660" t="s">
        <v>24</v>
      </c>
      <c r="G1660">
        <v>3</v>
      </c>
      <c r="H1660">
        <v>0</v>
      </c>
      <c r="I1660" t="s">
        <v>18</v>
      </c>
      <c r="J1660" t="s">
        <v>31</v>
      </c>
      <c r="K1660" t="s">
        <v>26</v>
      </c>
      <c r="L1660">
        <v>5</v>
      </c>
      <c r="M1660">
        <v>0</v>
      </c>
      <c r="N1660">
        <v>1</v>
      </c>
      <c r="O1660" t="s">
        <v>21</v>
      </c>
      <c r="P1660" t="str">
        <f>TEXT(Table1[[#This Row],[order_date]],"yyyy-mm")</f>
        <v>2025-08</v>
      </c>
      <c r="Q1660">
        <f>WEEKNUM(Table1[[#This Row],[order_date]])</f>
        <v>35</v>
      </c>
      <c r="R1660">
        <f>IF(Table1[[#This Row],[order_status]]="completed",1,0)</f>
        <v>0</v>
      </c>
    </row>
    <row r="1661" spans="1:18" x14ac:dyDescent="0.35">
      <c r="A1661">
        <v>1660</v>
      </c>
      <c r="B1661" s="1">
        <v>45991</v>
      </c>
      <c r="C1661">
        <v>1487</v>
      </c>
      <c r="D1661" t="s">
        <v>28</v>
      </c>
      <c r="E1661" t="s">
        <v>36</v>
      </c>
      <c r="F1661" t="s">
        <v>30</v>
      </c>
      <c r="G1661">
        <v>2</v>
      </c>
      <c r="H1661">
        <v>0</v>
      </c>
      <c r="I1661" t="s">
        <v>18</v>
      </c>
      <c r="J1661" t="s">
        <v>37</v>
      </c>
      <c r="K1661" t="s">
        <v>40</v>
      </c>
      <c r="L1661">
        <v>4</v>
      </c>
      <c r="M1661">
        <v>0</v>
      </c>
      <c r="N1661">
        <v>0</v>
      </c>
      <c r="O1661" t="s">
        <v>27</v>
      </c>
      <c r="P1661" t="str">
        <f>TEXT(Table1[[#This Row],[order_date]],"yyyy-mm")</f>
        <v>2025-11</v>
      </c>
      <c r="Q1661">
        <f>WEEKNUM(Table1[[#This Row],[order_date]])</f>
        <v>49</v>
      </c>
      <c r="R1661">
        <f>IF(Table1[[#This Row],[order_status]]="completed",1,0)</f>
        <v>0</v>
      </c>
    </row>
    <row r="1662" spans="1:18" x14ac:dyDescent="0.35">
      <c r="A1662">
        <v>1661</v>
      </c>
      <c r="B1662" s="1">
        <v>45982</v>
      </c>
      <c r="C1662">
        <v>1753</v>
      </c>
      <c r="D1662" t="s">
        <v>22</v>
      </c>
      <c r="E1662" t="s">
        <v>23</v>
      </c>
      <c r="F1662" t="s">
        <v>17</v>
      </c>
      <c r="G1662">
        <v>2</v>
      </c>
      <c r="H1662">
        <v>0</v>
      </c>
      <c r="I1662" t="s">
        <v>18</v>
      </c>
      <c r="J1662" t="s">
        <v>37</v>
      </c>
      <c r="K1662" t="s">
        <v>38</v>
      </c>
      <c r="L1662">
        <v>7</v>
      </c>
      <c r="M1662">
        <v>0</v>
      </c>
      <c r="N1662">
        <v>1</v>
      </c>
      <c r="O1662" t="s">
        <v>21</v>
      </c>
      <c r="P1662" t="str">
        <f>TEXT(Table1[[#This Row],[order_date]],"yyyy-mm")</f>
        <v>2025-11</v>
      </c>
      <c r="Q1662">
        <f>WEEKNUM(Table1[[#This Row],[order_date]])</f>
        <v>47</v>
      </c>
      <c r="R1662">
        <f>IF(Table1[[#This Row],[order_status]]="completed",1,0)</f>
        <v>0</v>
      </c>
    </row>
    <row r="1663" spans="1:18" x14ac:dyDescent="0.35">
      <c r="A1663">
        <v>1662</v>
      </c>
      <c r="B1663" s="1">
        <v>45897</v>
      </c>
      <c r="C1663">
        <v>1700</v>
      </c>
      <c r="D1663" t="s">
        <v>28</v>
      </c>
      <c r="E1663" t="s">
        <v>33</v>
      </c>
      <c r="F1663" t="s">
        <v>17</v>
      </c>
      <c r="G1663">
        <v>5</v>
      </c>
      <c r="H1663">
        <v>0</v>
      </c>
      <c r="I1663" t="s">
        <v>35</v>
      </c>
      <c r="J1663" t="s">
        <v>37</v>
      </c>
      <c r="K1663" t="s">
        <v>26</v>
      </c>
      <c r="L1663">
        <v>6</v>
      </c>
      <c r="M1663">
        <v>1</v>
      </c>
      <c r="N1663">
        <v>0</v>
      </c>
      <c r="O1663" t="s">
        <v>21</v>
      </c>
      <c r="P1663" t="str">
        <f>TEXT(Table1[[#This Row],[order_date]],"yyyy-mm")</f>
        <v>2025-08</v>
      </c>
      <c r="Q1663">
        <f>WEEKNUM(Table1[[#This Row],[order_date]])</f>
        <v>35</v>
      </c>
      <c r="R1663">
        <f>IF(Table1[[#This Row],[order_status]]="completed",1,0)</f>
        <v>0</v>
      </c>
    </row>
    <row r="1664" spans="1:18" x14ac:dyDescent="0.35">
      <c r="A1664">
        <v>1663</v>
      </c>
      <c r="B1664" s="1">
        <v>45966</v>
      </c>
      <c r="C1664">
        <v>1709</v>
      </c>
      <c r="D1664" t="s">
        <v>41</v>
      </c>
      <c r="E1664" t="s">
        <v>33</v>
      </c>
      <c r="F1664" t="s">
        <v>30</v>
      </c>
      <c r="G1664">
        <v>5</v>
      </c>
      <c r="H1664">
        <v>12960</v>
      </c>
      <c r="I1664" t="s">
        <v>25</v>
      </c>
      <c r="J1664" t="s">
        <v>19</v>
      </c>
      <c r="K1664" t="s">
        <v>26</v>
      </c>
      <c r="L1664">
        <v>10</v>
      </c>
      <c r="M1664">
        <v>1</v>
      </c>
      <c r="N1664">
        <v>0</v>
      </c>
      <c r="O1664" t="s">
        <v>27</v>
      </c>
      <c r="P1664" t="str">
        <f>TEXT(Table1[[#This Row],[order_date]],"yyyy-mm")</f>
        <v>2025-11</v>
      </c>
      <c r="Q1664">
        <f>WEEKNUM(Table1[[#This Row],[order_date]])</f>
        <v>45</v>
      </c>
      <c r="R1664">
        <f>IF(Table1[[#This Row],[order_status]]="completed",1,0)</f>
        <v>1</v>
      </c>
    </row>
    <row r="1665" spans="1:18" x14ac:dyDescent="0.35">
      <c r="A1665">
        <v>1664</v>
      </c>
      <c r="B1665" s="1">
        <v>45934</v>
      </c>
      <c r="C1665">
        <v>1169</v>
      </c>
      <c r="D1665" t="s">
        <v>32</v>
      </c>
      <c r="E1665" t="s">
        <v>36</v>
      </c>
      <c r="F1665" t="s">
        <v>17</v>
      </c>
      <c r="G1665">
        <v>2</v>
      </c>
      <c r="H1665">
        <v>0</v>
      </c>
      <c r="I1665" t="s">
        <v>25</v>
      </c>
      <c r="J1665" t="s">
        <v>31</v>
      </c>
      <c r="K1665" t="s">
        <v>26</v>
      </c>
      <c r="L1665">
        <v>7</v>
      </c>
      <c r="M1665">
        <v>0</v>
      </c>
      <c r="N1665">
        <v>0</v>
      </c>
      <c r="O1665" t="s">
        <v>21</v>
      </c>
      <c r="P1665" t="str">
        <f>TEXT(Table1[[#This Row],[order_date]],"yyyy-mm")</f>
        <v>2025-10</v>
      </c>
      <c r="Q1665">
        <f>WEEKNUM(Table1[[#This Row],[order_date]])</f>
        <v>40</v>
      </c>
      <c r="R1665">
        <f>IF(Table1[[#This Row],[order_status]]="completed",1,0)</f>
        <v>0</v>
      </c>
    </row>
    <row r="1666" spans="1:18" x14ac:dyDescent="0.35">
      <c r="A1666">
        <v>1665</v>
      </c>
      <c r="B1666" s="1">
        <v>45941</v>
      </c>
      <c r="C1666">
        <v>1946</v>
      </c>
      <c r="D1666" t="s">
        <v>22</v>
      </c>
      <c r="E1666" t="s">
        <v>16</v>
      </c>
      <c r="F1666" t="s">
        <v>34</v>
      </c>
      <c r="G1666">
        <v>4</v>
      </c>
      <c r="H1666">
        <v>0</v>
      </c>
      <c r="I1666" t="s">
        <v>35</v>
      </c>
      <c r="J1666" t="s">
        <v>31</v>
      </c>
      <c r="K1666" t="s">
        <v>26</v>
      </c>
      <c r="L1666">
        <v>7</v>
      </c>
      <c r="M1666">
        <v>1</v>
      </c>
      <c r="N1666">
        <v>1</v>
      </c>
      <c r="O1666" t="s">
        <v>21</v>
      </c>
      <c r="P1666" t="str">
        <f>TEXT(Table1[[#This Row],[order_date]],"yyyy-mm")</f>
        <v>2025-10</v>
      </c>
      <c r="Q1666">
        <f>WEEKNUM(Table1[[#This Row],[order_date]])</f>
        <v>41</v>
      </c>
      <c r="R1666">
        <f>IF(Table1[[#This Row],[order_status]]="completed",1,0)</f>
        <v>0</v>
      </c>
    </row>
    <row r="1667" spans="1:18" x14ac:dyDescent="0.35">
      <c r="A1667">
        <v>1666</v>
      </c>
      <c r="B1667" s="1">
        <v>45956</v>
      </c>
      <c r="C1667">
        <v>1671</v>
      </c>
      <c r="D1667" t="s">
        <v>41</v>
      </c>
      <c r="E1667" t="s">
        <v>29</v>
      </c>
      <c r="F1667" t="s">
        <v>34</v>
      </c>
      <c r="G1667">
        <v>1</v>
      </c>
      <c r="H1667">
        <v>4112</v>
      </c>
      <c r="I1667" t="s">
        <v>39</v>
      </c>
      <c r="J1667" t="s">
        <v>19</v>
      </c>
      <c r="K1667" t="s">
        <v>26</v>
      </c>
      <c r="L1667">
        <v>9</v>
      </c>
      <c r="M1667">
        <v>1</v>
      </c>
      <c r="N1667">
        <v>0</v>
      </c>
      <c r="O1667" t="s">
        <v>27</v>
      </c>
      <c r="P1667" t="str">
        <f>TEXT(Table1[[#This Row],[order_date]],"yyyy-mm")</f>
        <v>2025-10</v>
      </c>
      <c r="Q1667">
        <f>WEEKNUM(Table1[[#This Row],[order_date]])</f>
        <v>44</v>
      </c>
      <c r="R1667">
        <f>IF(Table1[[#This Row],[order_status]]="completed",1,0)</f>
        <v>1</v>
      </c>
    </row>
    <row r="1668" spans="1:18" x14ac:dyDescent="0.35">
      <c r="A1668">
        <v>1667</v>
      </c>
      <c r="B1668" s="1">
        <v>45864</v>
      </c>
      <c r="C1668">
        <v>1854</v>
      </c>
      <c r="D1668" t="s">
        <v>28</v>
      </c>
      <c r="E1668" t="s">
        <v>29</v>
      </c>
      <c r="F1668" t="s">
        <v>34</v>
      </c>
      <c r="G1668">
        <v>3</v>
      </c>
      <c r="H1668">
        <v>9336</v>
      </c>
      <c r="I1668" t="s">
        <v>35</v>
      </c>
      <c r="J1668" t="s">
        <v>19</v>
      </c>
      <c r="K1668" t="s">
        <v>20</v>
      </c>
      <c r="L1668">
        <v>7</v>
      </c>
      <c r="M1668">
        <v>0</v>
      </c>
      <c r="N1668">
        <v>0</v>
      </c>
      <c r="O1668" t="s">
        <v>21</v>
      </c>
      <c r="P1668" t="str">
        <f>TEXT(Table1[[#This Row],[order_date]],"yyyy-mm")</f>
        <v>2025-07</v>
      </c>
      <c r="Q1668">
        <f>WEEKNUM(Table1[[#This Row],[order_date]])</f>
        <v>30</v>
      </c>
      <c r="R1668">
        <f>IF(Table1[[#This Row],[order_status]]="completed",1,0)</f>
        <v>1</v>
      </c>
    </row>
    <row r="1669" spans="1:18" x14ac:dyDescent="0.35">
      <c r="A1669">
        <v>1668</v>
      </c>
      <c r="B1669" s="1">
        <v>45936</v>
      </c>
      <c r="C1669">
        <v>1081</v>
      </c>
      <c r="D1669" t="s">
        <v>22</v>
      </c>
      <c r="E1669" t="s">
        <v>33</v>
      </c>
      <c r="F1669" t="s">
        <v>34</v>
      </c>
      <c r="G1669">
        <v>5</v>
      </c>
      <c r="H1669">
        <v>0</v>
      </c>
      <c r="I1669" t="s">
        <v>39</v>
      </c>
      <c r="J1669" t="s">
        <v>31</v>
      </c>
      <c r="K1669" t="s">
        <v>20</v>
      </c>
      <c r="L1669">
        <v>4</v>
      </c>
      <c r="M1669">
        <v>1</v>
      </c>
      <c r="N1669">
        <v>1</v>
      </c>
      <c r="O1669" t="s">
        <v>21</v>
      </c>
      <c r="P1669" t="str">
        <f>TEXT(Table1[[#This Row],[order_date]],"yyyy-mm")</f>
        <v>2025-10</v>
      </c>
      <c r="Q1669">
        <f>WEEKNUM(Table1[[#This Row],[order_date]])</f>
        <v>41</v>
      </c>
      <c r="R1669">
        <f>IF(Table1[[#This Row],[order_status]]="completed",1,0)</f>
        <v>0</v>
      </c>
    </row>
    <row r="1670" spans="1:18" x14ac:dyDescent="0.35">
      <c r="A1670">
        <v>1669</v>
      </c>
      <c r="B1670" s="1">
        <v>45895</v>
      </c>
      <c r="C1670">
        <v>1232</v>
      </c>
      <c r="D1670" t="s">
        <v>22</v>
      </c>
      <c r="E1670" t="s">
        <v>16</v>
      </c>
      <c r="F1670" t="s">
        <v>24</v>
      </c>
      <c r="G1670">
        <v>2</v>
      </c>
      <c r="H1670">
        <v>0</v>
      </c>
      <c r="I1670" t="s">
        <v>39</v>
      </c>
      <c r="J1670" t="s">
        <v>31</v>
      </c>
      <c r="K1670" t="s">
        <v>20</v>
      </c>
      <c r="L1670">
        <v>8</v>
      </c>
      <c r="M1670">
        <v>0</v>
      </c>
      <c r="N1670">
        <v>0</v>
      </c>
      <c r="O1670" t="s">
        <v>21</v>
      </c>
      <c r="P1670" t="str">
        <f>TEXT(Table1[[#This Row],[order_date]],"yyyy-mm")</f>
        <v>2025-08</v>
      </c>
      <c r="Q1670">
        <f>WEEKNUM(Table1[[#This Row],[order_date]])</f>
        <v>35</v>
      </c>
      <c r="R1670">
        <f>IF(Table1[[#This Row],[order_status]]="completed",1,0)</f>
        <v>0</v>
      </c>
    </row>
    <row r="1671" spans="1:18" x14ac:dyDescent="0.35">
      <c r="A1671">
        <v>1670</v>
      </c>
      <c r="B1671" s="1">
        <v>45921</v>
      </c>
      <c r="C1671">
        <v>1986</v>
      </c>
      <c r="D1671" t="s">
        <v>28</v>
      </c>
      <c r="E1671" t="s">
        <v>33</v>
      </c>
      <c r="F1671" t="s">
        <v>24</v>
      </c>
      <c r="G1671">
        <v>3</v>
      </c>
      <c r="H1671">
        <v>5751</v>
      </c>
      <c r="I1671" t="s">
        <v>18</v>
      </c>
      <c r="J1671" t="s">
        <v>19</v>
      </c>
      <c r="K1671" t="s">
        <v>26</v>
      </c>
      <c r="L1671">
        <v>9</v>
      </c>
      <c r="M1671">
        <v>0</v>
      </c>
      <c r="N1671">
        <v>1</v>
      </c>
      <c r="O1671" t="s">
        <v>27</v>
      </c>
      <c r="P1671" t="str">
        <f>TEXT(Table1[[#This Row],[order_date]],"yyyy-mm")</f>
        <v>2025-09</v>
      </c>
      <c r="Q1671">
        <f>WEEKNUM(Table1[[#This Row],[order_date]])</f>
        <v>39</v>
      </c>
      <c r="R1671">
        <f>IF(Table1[[#This Row],[order_status]]="completed",1,0)</f>
        <v>1</v>
      </c>
    </row>
    <row r="1672" spans="1:18" x14ac:dyDescent="0.35">
      <c r="A1672">
        <v>1671</v>
      </c>
      <c r="B1672" s="1">
        <v>45910</v>
      </c>
      <c r="C1672">
        <v>1922</v>
      </c>
      <c r="D1672" t="s">
        <v>28</v>
      </c>
      <c r="E1672" t="s">
        <v>16</v>
      </c>
      <c r="F1672" t="s">
        <v>34</v>
      </c>
      <c r="G1672">
        <v>3</v>
      </c>
      <c r="H1672">
        <v>5610</v>
      </c>
      <c r="I1672" t="s">
        <v>35</v>
      </c>
      <c r="J1672" t="s">
        <v>19</v>
      </c>
      <c r="K1672" t="s">
        <v>26</v>
      </c>
      <c r="L1672">
        <v>7</v>
      </c>
      <c r="M1672">
        <v>1</v>
      </c>
      <c r="N1672">
        <v>0</v>
      </c>
      <c r="O1672" t="s">
        <v>21</v>
      </c>
      <c r="P1672" t="str">
        <f>TEXT(Table1[[#This Row],[order_date]],"yyyy-mm")</f>
        <v>2025-09</v>
      </c>
      <c r="Q1672">
        <f>WEEKNUM(Table1[[#This Row],[order_date]])</f>
        <v>37</v>
      </c>
      <c r="R1672">
        <f>IF(Table1[[#This Row],[order_status]]="completed",1,0)</f>
        <v>1</v>
      </c>
    </row>
    <row r="1673" spans="1:18" x14ac:dyDescent="0.35">
      <c r="A1673">
        <v>1672</v>
      </c>
      <c r="B1673" s="1">
        <v>45980</v>
      </c>
      <c r="C1673">
        <v>1358</v>
      </c>
      <c r="D1673" t="s">
        <v>15</v>
      </c>
      <c r="E1673" t="s">
        <v>36</v>
      </c>
      <c r="F1673" t="s">
        <v>34</v>
      </c>
      <c r="G1673">
        <v>3</v>
      </c>
      <c r="H1673">
        <v>1722</v>
      </c>
      <c r="I1673" t="s">
        <v>35</v>
      </c>
      <c r="J1673" t="s">
        <v>19</v>
      </c>
      <c r="K1673" t="s">
        <v>38</v>
      </c>
      <c r="L1673">
        <v>9</v>
      </c>
      <c r="M1673">
        <v>0</v>
      </c>
      <c r="N1673">
        <v>0</v>
      </c>
      <c r="O1673" t="s">
        <v>27</v>
      </c>
      <c r="P1673" t="str">
        <f>TEXT(Table1[[#This Row],[order_date]],"yyyy-mm")</f>
        <v>2025-11</v>
      </c>
      <c r="Q1673">
        <f>WEEKNUM(Table1[[#This Row],[order_date]])</f>
        <v>47</v>
      </c>
      <c r="R1673">
        <f>IF(Table1[[#This Row],[order_status]]="completed",1,0)</f>
        <v>1</v>
      </c>
    </row>
    <row r="1674" spans="1:18" x14ac:dyDescent="0.35">
      <c r="A1674">
        <v>1673</v>
      </c>
      <c r="B1674" s="1">
        <v>45999</v>
      </c>
      <c r="C1674">
        <v>1015</v>
      </c>
      <c r="D1674" t="s">
        <v>15</v>
      </c>
      <c r="E1674" t="s">
        <v>36</v>
      </c>
      <c r="F1674" t="s">
        <v>24</v>
      </c>
      <c r="G1674">
        <v>2</v>
      </c>
      <c r="H1674">
        <v>0</v>
      </c>
      <c r="I1674" t="s">
        <v>35</v>
      </c>
      <c r="J1674" t="s">
        <v>31</v>
      </c>
      <c r="K1674" t="s">
        <v>20</v>
      </c>
      <c r="L1674">
        <v>7</v>
      </c>
      <c r="M1674">
        <v>0</v>
      </c>
      <c r="N1674">
        <v>0</v>
      </c>
      <c r="O1674" t="s">
        <v>27</v>
      </c>
      <c r="P1674" t="str">
        <f>TEXT(Table1[[#This Row],[order_date]],"yyyy-mm")</f>
        <v>2025-12</v>
      </c>
      <c r="Q1674">
        <f>WEEKNUM(Table1[[#This Row],[order_date]])</f>
        <v>50</v>
      </c>
      <c r="R1674">
        <f>IF(Table1[[#This Row],[order_status]]="completed",1,0)</f>
        <v>0</v>
      </c>
    </row>
    <row r="1675" spans="1:18" x14ac:dyDescent="0.35">
      <c r="A1675">
        <v>1674</v>
      </c>
      <c r="B1675" s="1">
        <v>45890</v>
      </c>
      <c r="C1675">
        <v>1753</v>
      </c>
      <c r="D1675" t="s">
        <v>22</v>
      </c>
      <c r="E1675" t="s">
        <v>36</v>
      </c>
      <c r="F1675" t="s">
        <v>30</v>
      </c>
      <c r="G1675">
        <v>4</v>
      </c>
      <c r="H1675">
        <v>0</v>
      </c>
      <c r="I1675" t="s">
        <v>25</v>
      </c>
      <c r="J1675" t="s">
        <v>31</v>
      </c>
      <c r="K1675" t="s">
        <v>20</v>
      </c>
      <c r="L1675">
        <v>1</v>
      </c>
      <c r="M1675">
        <v>1</v>
      </c>
      <c r="N1675">
        <v>0</v>
      </c>
      <c r="O1675" t="s">
        <v>21</v>
      </c>
      <c r="P1675" t="str">
        <f>TEXT(Table1[[#This Row],[order_date]],"yyyy-mm")</f>
        <v>2025-08</v>
      </c>
      <c r="Q1675">
        <f>WEEKNUM(Table1[[#This Row],[order_date]])</f>
        <v>34</v>
      </c>
      <c r="R1675">
        <f>IF(Table1[[#This Row],[order_status]]="completed",1,0)</f>
        <v>0</v>
      </c>
    </row>
    <row r="1676" spans="1:18" x14ac:dyDescent="0.35">
      <c r="A1676">
        <v>1675</v>
      </c>
      <c r="B1676" s="1">
        <v>45955</v>
      </c>
      <c r="C1676">
        <v>1844</v>
      </c>
      <c r="D1676" t="s">
        <v>28</v>
      </c>
      <c r="E1676" t="s">
        <v>33</v>
      </c>
      <c r="F1676" t="s">
        <v>17</v>
      </c>
      <c r="G1676">
        <v>5</v>
      </c>
      <c r="H1676">
        <v>0</v>
      </c>
      <c r="I1676" t="s">
        <v>39</v>
      </c>
      <c r="J1676" t="s">
        <v>37</v>
      </c>
      <c r="K1676" t="s">
        <v>26</v>
      </c>
      <c r="L1676">
        <v>1</v>
      </c>
      <c r="M1676">
        <v>1</v>
      </c>
      <c r="N1676">
        <v>1</v>
      </c>
      <c r="O1676" t="s">
        <v>21</v>
      </c>
      <c r="P1676" t="str">
        <f>TEXT(Table1[[#This Row],[order_date]],"yyyy-mm")</f>
        <v>2025-10</v>
      </c>
      <c r="Q1676">
        <f>WEEKNUM(Table1[[#This Row],[order_date]])</f>
        <v>43</v>
      </c>
      <c r="R1676">
        <f>IF(Table1[[#This Row],[order_status]]="completed",1,0)</f>
        <v>0</v>
      </c>
    </row>
    <row r="1677" spans="1:18" x14ac:dyDescent="0.35">
      <c r="A1677">
        <v>1676</v>
      </c>
      <c r="B1677" s="1">
        <v>45984</v>
      </c>
      <c r="C1677">
        <v>1871</v>
      </c>
      <c r="D1677" t="s">
        <v>15</v>
      </c>
      <c r="E1677" t="s">
        <v>23</v>
      </c>
      <c r="F1677" t="s">
        <v>24</v>
      </c>
      <c r="G1677">
        <v>5</v>
      </c>
      <c r="H1677">
        <v>0</v>
      </c>
      <c r="I1677" t="s">
        <v>18</v>
      </c>
      <c r="J1677" t="s">
        <v>37</v>
      </c>
      <c r="K1677" t="s">
        <v>26</v>
      </c>
      <c r="L1677">
        <v>2</v>
      </c>
      <c r="M1677">
        <v>0</v>
      </c>
      <c r="N1677">
        <v>1</v>
      </c>
      <c r="O1677" t="s">
        <v>21</v>
      </c>
      <c r="P1677" t="str">
        <f>TEXT(Table1[[#This Row],[order_date]],"yyyy-mm")</f>
        <v>2025-11</v>
      </c>
      <c r="Q1677">
        <f>WEEKNUM(Table1[[#This Row],[order_date]])</f>
        <v>48</v>
      </c>
      <c r="R1677">
        <f>IF(Table1[[#This Row],[order_status]]="completed",1,0)</f>
        <v>0</v>
      </c>
    </row>
    <row r="1678" spans="1:18" x14ac:dyDescent="0.35">
      <c r="A1678">
        <v>1677</v>
      </c>
      <c r="B1678" s="1">
        <v>45913</v>
      </c>
      <c r="C1678">
        <v>1686</v>
      </c>
      <c r="D1678" t="s">
        <v>28</v>
      </c>
      <c r="E1678" t="s">
        <v>33</v>
      </c>
      <c r="F1678" t="s">
        <v>34</v>
      </c>
      <c r="G1678">
        <v>2</v>
      </c>
      <c r="H1678">
        <v>0</v>
      </c>
      <c r="I1678" t="s">
        <v>35</v>
      </c>
      <c r="J1678" t="s">
        <v>37</v>
      </c>
      <c r="K1678" t="s">
        <v>38</v>
      </c>
      <c r="L1678">
        <v>4</v>
      </c>
      <c r="M1678">
        <v>0</v>
      </c>
      <c r="N1678">
        <v>0</v>
      </c>
      <c r="O1678" t="s">
        <v>27</v>
      </c>
      <c r="P1678" t="str">
        <f>TEXT(Table1[[#This Row],[order_date]],"yyyy-mm")</f>
        <v>2025-09</v>
      </c>
      <c r="Q1678">
        <f>WEEKNUM(Table1[[#This Row],[order_date]])</f>
        <v>37</v>
      </c>
      <c r="R1678">
        <f>IF(Table1[[#This Row],[order_status]]="completed",1,0)</f>
        <v>0</v>
      </c>
    </row>
    <row r="1679" spans="1:18" x14ac:dyDescent="0.35">
      <c r="A1679">
        <v>1678</v>
      </c>
      <c r="B1679" s="1">
        <v>45923</v>
      </c>
      <c r="C1679">
        <v>1788</v>
      </c>
      <c r="D1679" t="s">
        <v>41</v>
      </c>
      <c r="E1679" t="s">
        <v>33</v>
      </c>
      <c r="F1679" t="s">
        <v>30</v>
      </c>
      <c r="G1679">
        <v>3</v>
      </c>
      <c r="H1679">
        <v>11769</v>
      </c>
      <c r="I1679" t="s">
        <v>39</v>
      </c>
      <c r="J1679" t="s">
        <v>19</v>
      </c>
      <c r="K1679" t="s">
        <v>26</v>
      </c>
      <c r="L1679">
        <v>2</v>
      </c>
      <c r="M1679">
        <v>1</v>
      </c>
      <c r="N1679">
        <v>1</v>
      </c>
      <c r="O1679" t="s">
        <v>27</v>
      </c>
      <c r="P1679" t="str">
        <f>TEXT(Table1[[#This Row],[order_date]],"yyyy-mm")</f>
        <v>2025-09</v>
      </c>
      <c r="Q1679">
        <f>WEEKNUM(Table1[[#This Row],[order_date]])</f>
        <v>39</v>
      </c>
      <c r="R1679">
        <f>IF(Table1[[#This Row],[order_status]]="completed",1,0)</f>
        <v>1</v>
      </c>
    </row>
    <row r="1680" spans="1:18" x14ac:dyDescent="0.35">
      <c r="A1680">
        <v>1679</v>
      </c>
      <c r="B1680" s="1">
        <v>45952</v>
      </c>
      <c r="C1680">
        <v>1304</v>
      </c>
      <c r="D1680" t="s">
        <v>32</v>
      </c>
      <c r="E1680" t="s">
        <v>33</v>
      </c>
      <c r="F1680" t="s">
        <v>17</v>
      </c>
      <c r="G1680">
        <v>4</v>
      </c>
      <c r="H1680">
        <v>0</v>
      </c>
      <c r="I1680" t="s">
        <v>39</v>
      </c>
      <c r="J1680" t="s">
        <v>37</v>
      </c>
      <c r="K1680" t="s">
        <v>40</v>
      </c>
      <c r="L1680">
        <v>3</v>
      </c>
      <c r="M1680">
        <v>1</v>
      </c>
      <c r="N1680">
        <v>0</v>
      </c>
      <c r="O1680" t="s">
        <v>27</v>
      </c>
      <c r="P1680" t="str">
        <f>TEXT(Table1[[#This Row],[order_date]],"yyyy-mm")</f>
        <v>2025-10</v>
      </c>
      <c r="Q1680">
        <f>WEEKNUM(Table1[[#This Row],[order_date]])</f>
        <v>43</v>
      </c>
      <c r="R1680">
        <f>IF(Table1[[#This Row],[order_status]]="completed",1,0)</f>
        <v>0</v>
      </c>
    </row>
    <row r="1681" spans="1:18" x14ac:dyDescent="0.35">
      <c r="A1681">
        <v>1680</v>
      </c>
      <c r="B1681" s="1">
        <v>45856</v>
      </c>
      <c r="C1681">
        <v>1223</v>
      </c>
      <c r="D1681" t="s">
        <v>15</v>
      </c>
      <c r="E1681" t="s">
        <v>29</v>
      </c>
      <c r="F1681" t="s">
        <v>24</v>
      </c>
      <c r="G1681">
        <v>1</v>
      </c>
      <c r="H1681">
        <v>0</v>
      </c>
      <c r="I1681" t="s">
        <v>25</v>
      </c>
      <c r="J1681" t="s">
        <v>31</v>
      </c>
      <c r="K1681" t="s">
        <v>40</v>
      </c>
      <c r="L1681">
        <v>9</v>
      </c>
      <c r="M1681">
        <v>0</v>
      </c>
      <c r="N1681">
        <v>0</v>
      </c>
      <c r="O1681" t="s">
        <v>21</v>
      </c>
      <c r="P1681" t="str">
        <f>TEXT(Table1[[#This Row],[order_date]],"yyyy-mm")</f>
        <v>2025-07</v>
      </c>
      <c r="Q1681">
        <f>WEEKNUM(Table1[[#This Row],[order_date]])</f>
        <v>29</v>
      </c>
      <c r="R1681">
        <f>IF(Table1[[#This Row],[order_status]]="completed",1,0)</f>
        <v>0</v>
      </c>
    </row>
    <row r="1682" spans="1:18" x14ac:dyDescent="0.35">
      <c r="A1682">
        <v>1681</v>
      </c>
      <c r="B1682" s="1">
        <v>45876</v>
      </c>
      <c r="C1682">
        <v>1389</v>
      </c>
      <c r="D1682" t="s">
        <v>28</v>
      </c>
      <c r="E1682" t="s">
        <v>29</v>
      </c>
      <c r="F1682" t="s">
        <v>17</v>
      </c>
      <c r="G1682">
        <v>3</v>
      </c>
      <c r="H1682">
        <v>0</v>
      </c>
      <c r="I1682" t="s">
        <v>35</v>
      </c>
      <c r="J1682" t="s">
        <v>31</v>
      </c>
      <c r="K1682" t="s">
        <v>38</v>
      </c>
      <c r="L1682">
        <v>5</v>
      </c>
      <c r="M1682">
        <v>1</v>
      </c>
      <c r="N1682">
        <v>0</v>
      </c>
      <c r="O1682" t="s">
        <v>27</v>
      </c>
      <c r="P1682" t="str">
        <f>TEXT(Table1[[#This Row],[order_date]],"yyyy-mm")</f>
        <v>2025-08</v>
      </c>
      <c r="Q1682">
        <f>WEEKNUM(Table1[[#This Row],[order_date]])</f>
        <v>32</v>
      </c>
      <c r="R1682">
        <f>IF(Table1[[#This Row],[order_status]]="completed",1,0)</f>
        <v>0</v>
      </c>
    </row>
    <row r="1683" spans="1:18" x14ac:dyDescent="0.35">
      <c r="A1683">
        <v>1682</v>
      </c>
      <c r="B1683" s="1">
        <v>45937</v>
      </c>
      <c r="C1683">
        <v>1891</v>
      </c>
      <c r="D1683" t="s">
        <v>41</v>
      </c>
      <c r="E1683" t="s">
        <v>33</v>
      </c>
      <c r="F1683" t="s">
        <v>34</v>
      </c>
      <c r="G1683">
        <v>4</v>
      </c>
      <c r="H1683">
        <v>0</v>
      </c>
      <c r="I1683" t="s">
        <v>18</v>
      </c>
      <c r="J1683" t="s">
        <v>37</v>
      </c>
      <c r="K1683" t="s">
        <v>40</v>
      </c>
      <c r="L1683">
        <v>9</v>
      </c>
      <c r="M1683">
        <v>0</v>
      </c>
      <c r="N1683">
        <v>0</v>
      </c>
      <c r="O1683" t="s">
        <v>27</v>
      </c>
      <c r="P1683" t="str">
        <f>TEXT(Table1[[#This Row],[order_date]],"yyyy-mm")</f>
        <v>2025-10</v>
      </c>
      <c r="Q1683">
        <f>WEEKNUM(Table1[[#This Row],[order_date]])</f>
        <v>41</v>
      </c>
      <c r="R1683">
        <f>IF(Table1[[#This Row],[order_status]]="completed",1,0)</f>
        <v>0</v>
      </c>
    </row>
    <row r="1684" spans="1:18" x14ac:dyDescent="0.35">
      <c r="A1684">
        <v>1683</v>
      </c>
      <c r="B1684" s="1">
        <v>45912</v>
      </c>
      <c r="C1684">
        <v>1928</v>
      </c>
      <c r="D1684" t="s">
        <v>15</v>
      </c>
      <c r="E1684" t="s">
        <v>16</v>
      </c>
      <c r="F1684" t="s">
        <v>17</v>
      </c>
      <c r="G1684">
        <v>1</v>
      </c>
      <c r="H1684">
        <v>0</v>
      </c>
      <c r="I1684" t="s">
        <v>39</v>
      </c>
      <c r="J1684" t="s">
        <v>31</v>
      </c>
      <c r="K1684" t="s">
        <v>38</v>
      </c>
      <c r="L1684">
        <v>10</v>
      </c>
      <c r="M1684">
        <v>0</v>
      </c>
      <c r="N1684">
        <v>1</v>
      </c>
      <c r="O1684" t="s">
        <v>27</v>
      </c>
      <c r="P1684" t="str">
        <f>TEXT(Table1[[#This Row],[order_date]],"yyyy-mm")</f>
        <v>2025-09</v>
      </c>
      <c r="Q1684">
        <f>WEEKNUM(Table1[[#This Row],[order_date]])</f>
        <v>37</v>
      </c>
      <c r="R1684">
        <f>IF(Table1[[#This Row],[order_status]]="completed",1,0)</f>
        <v>0</v>
      </c>
    </row>
    <row r="1685" spans="1:18" x14ac:dyDescent="0.35">
      <c r="A1685">
        <v>1684</v>
      </c>
      <c r="B1685" s="1">
        <v>45925</v>
      </c>
      <c r="C1685">
        <v>1335</v>
      </c>
      <c r="D1685" t="s">
        <v>32</v>
      </c>
      <c r="E1685" t="s">
        <v>16</v>
      </c>
      <c r="F1685" t="s">
        <v>24</v>
      </c>
      <c r="G1685">
        <v>2</v>
      </c>
      <c r="H1685">
        <v>0</v>
      </c>
      <c r="I1685" t="s">
        <v>39</v>
      </c>
      <c r="J1685" t="s">
        <v>31</v>
      </c>
      <c r="K1685" t="s">
        <v>40</v>
      </c>
      <c r="L1685">
        <v>9</v>
      </c>
      <c r="M1685">
        <v>0</v>
      </c>
      <c r="N1685">
        <v>1</v>
      </c>
      <c r="O1685" t="s">
        <v>21</v>
      </c>
      <c r="P1685" t="str">
        <f>TEXT(Table1[[#This Row],[order_date]],"yyyy-mm")</f>
        <v>2025-09</v>
      </c>
      <c r="Q1685">
        <f>WEEKNUM(Table1[[#This Row],[order_date]])</f>
        <v>39</v>
      </c>
      <c r="R1685">
        <f>IF(Table1[[#This Row],[order_status]]="completed",1,0)</f>
        <v>0</v>
      </c>
    </row>
    <row r="1686" spans="1:18" x14ac:dyDescent="0.35">
      <c r="A1686">
        <v>1685</v>
      </c>
      <c r="B1686" s="1">
        <v>45910</v>
      </c>
      <c r="C1686">
        <v>1818</v>
      </c>
      <c r="D1686" t="s">
        <v>28</v>
      </c>
      <c r="E1686" t="s">
        <v>33</v>
      </c>
      <c r="F1686" t="s">
        <v>34</v>
      </c>
      <c r="G1686">
        <v>1</v>
      </c>
      <c r="H1686">
        <v>0</v>
      </c>
      <c r="I1686" t="s">
        <v>39</v>
      </c>
      <c r="J1686" t="s">
        <v>31</v>
      </c>
      <c r="K1686" t="s">
        <v>26</v>
      </c>
      <c r="L1686">
        <v>4</v>
      </c>
      <c r="M1686">
        <v>1</v>
      </c>
      <c r="N1686">
        <v>1</v>
      </c>
      <c r="O1686" t="s">
        <v>21</v>
      </c>
      <c r="P1686" t="str">
        <f>TEXT(Table1[[#This Row],[order_date]],"yyyy-mm")</f>
        <v>2025-09</v>
      </c>
      <c r="Q1686">
        <f>WEEKNUM(Table1[[#This Row],[order_date]])</f>
        <v>37</v>
      </c>
      <c r="R1686">
        <f>IF(Table1[[#This Row],[order_status]]="completed",1,0)</f>
        <v>0</v>
      </c>
    </row>
    <row r="1687" spans="1:18" x14ac:dyDescent="0.35">
      <c r="A1687">
        <v>1686</v>
      </c>
      <c r="B1687" s="1">
        <v>45962</v>
      </c>
      <c r="C1687">
        <v>1838</v>
      </c>
      <c r="D1687" t="s">
        <v>15</v>
      </c>
      <c r="E1687" t="s">
        <v>23</v>
      </c>
      <c r="F1687" t="s">
        <v>34</v>
      </c>
      <c r="G1687">
        <v>4</v>
      </c>
      <c r="H1687">
        <v>0</v>
      </c>
      <c r="I1687" t="s">
        <v>39</v>
      </c>
      <c r="J1687" t="s">
        <v>37</v>
      </c>
      <c r="K1687" t="s">
        <v>38</v>
      </c>
      <c r="L1687">
        <v>5</v>
      </c>
      <c r="M1687">
        <v>1</v>
      </c>
      <c r="N1687">
        <v>0</v>
      </c>
      <c r="O1687" t="s">
        <v>27</v>
      </c>
      <c r="P1687" t="str">
        <f>TEXT(Table1[[#This Row],[order_date]],"yyyy-mm")</f>
        <v>2025-11</v>
      </c>
      <c r="Q1687">
        <f>WEEKNUM(Table1[[#This Row],[order_date]])</f>
        <v>44</v>
      </c>
      <c r="R1687">
        <f>IF(Table1[[#This Row],[order_status]]="completed",1,0)</f>
        <v>0</v>
      </c>
    </row>
    <row r="1688" spans="1:18" x14ac:dyDescent="0.35">
      <c r="A1688">
        <v>1687</v>
      </c>
      <c r="B1688" s="1">
        <v>45893</v>
      </c>
      <c r="C1688">
        <v>1995</v>
      </c>
      <c r="D1688" t="s">
        <v>22</v>
      </c>
      <c r="E1688" t="s">
        <v>33</v>
      </c>
      <c r="F1688" t="s">
        <v>17</v>
      </c>
      <c r="G1688">
        <v>1</v>
      </c>
      <c r="H1688">
        <v>0</v>
      </c>
      <c r="I1688" t="s">
        <v>18</v>
      </c>
      <c r="J1688" t="s">
        <v>37</v>
      </c>
      <c r="K1688" t="s">
        <v>26</v>
      </c>
      <c r="L1688">
        <v>3</v>
      </c>
      <c r="M1688">
        <v>0</v>
      </c>
      <c r="N1688">
        <v>1</v>
      </c>
      <c r="O1688" t="s">
        <v>21</v>
      </c>
      <c r="P1688" t="str">
        <f>TEXT(Table1[[#This Row],[order_date]],"yyyy-mm")</f>
        <v>2025-08</v>
      </c>
      <c r="Q1688">
        <f>WEEKNUM(Table1[[#This Row],[order_date]])</f>
        <v>35</v>
      </c>
      <c r="R1688">
        <f>IF(Table1[[#This Row],[order_status]]="completed",1,0)</f>
        <v>0</v>
      </c>
    </row>
    <row r="1689" spans="1:18" x14ac:dyDescent="0.35">
      <c r="A1689">
        <v>1688</v>
      </c>
      <c r="B1689" s="1">
        <v>45960</v>
      </c>
      <c r="C1689">
        <v>1794</v>
      </c>
      <c r="D1689" t="s">
        <v>15</v>
      </c>
      <c r="E1689" t="s">
        <v>23</v>
      </c>
      <c r="F1689" t="s">
        <v>17</v>
      </c>
      <c r="G1689">
        <v>4</v>
      </c>
      <c r="H1689">
        <v>0</v>
      </c>
      <c r="I1689" t="s">
        <v>39</v>
      </c>
      <c r="J1689" t="s">
        <v>37</v>
      </c>
      <c r="K1689" t="s">
        <v>20</v>
      </c>
      <c r="L1689">
        <v>2</v>
      </c>
      <c r="M1689">
        <v>1</v>
      </c>
      <c r="N1689">
        <v>0</v>
      </c>
      <c r="O1689" t="s">
        <v>21</v>
      </c>
      <c r="P1689" t="str">
        <f>TEXT(Table1[[#This Row],[order_date]],"yyyy-mm")</f>
        <v>2025-10</v>
      </c>
      <c r="Q1689">
        <f>WEEKNUM(Table1[[#This Row],[order_date]])</f>
        <v>44</v>
      </c>
      <c r="R1689">
        <f>IF(Table1[[#This Row],[order_status]]="completed",1,0)</f>
        <v>0</v>
      </c>
    </row>
    <row r="1690" spans="1:18" x14ac:dyDescent="0.35">
      <c r="A1690">
        <v>1689</v>
      </c>
      <c r="B1690" s="1">
        <v>45948</v>
      </c>
      <c r="C1690">
        <v>1291</v>
      </c>
      <c r="D1690" t="s">
        <v>28</v>
      </c>
      <c r="E1690" t="s">
        <v>29</v>
      </c>
      <c r="F1690" t="s">
        <v>34</v>
      </c>
      <c r="G1690">
        <v>4</v>
      </c>
      <c r="H1690">
        <v>0</v>
      </c>
      <c r="I1690" t="s">
        <v>25</v>
      </c>
      <c r="J1690" t="s">
        <v>37</v>
      </c>
      <c r="K1690" t="s">
        <v>26</v>
      </c>
      <c r="L1690">
        <v>6</v>
      </c>
      <c r="M1690">
        <v>0</v>
      </c>
      <c r="N1690">
        <v>0</v>
      </c>
      <c r="O1690" t="s">
        <v>27</v>
      </c>
      <c r="P1690" t="str">
        <f>TEXT(Table1[[#This Row],[order_date]],"yyyy-mm")</f>
        <v>2025-10</v>
      </c>
      <c r="Q1690">
        <f>WEEKNUM(Table1[[#This Row],[order_date]])</f>
        <v>42</v>
      </c>
      <c r="R1690">
        <f>IF(Table1[[#This Row],[order_status]]="completed",1,0)</f>
        <v>0</v>
      </c>
    </row>
    <row r="1691" spans="1:18" x14ac:dyDescent="0.35">
      <c r="A1691">
        <v>1690</v>
      </c>
      <c r="B1691" s="1">
        <v>46019</v>
      </c>
      <c r="C1691">
        <v>1743</v>
      </c>
      <c r="D1691" t="s">
        <v>41</v>
      </c>
      <c r="E1691" t="s">
        <v>29</v>
      </c>
      <c r="F1691" t="s">
        <v>24</v>
      </c>
      <c r="G1691">
        <v>2</v>
      </c>
      <c r="H1691">
        <v>0</v>
      </c>
      <c r="I1691" t="s">
        <v>25</v>
      </c>
      <c r="J1691" t="s">
        <v>37</v>
      </c>
      <c r="K1691" t="s">
        <v>38</v>
      </c>
      <c r="L1691">
        <v>3</v>
      </c>
      <c r="M1691">
        <v>0</v>
      </c>
      <c r="N1691">
        <v>0</v>
      </c>
      <c r="O1691" t="s">
        <v>27</v>
      </c>
      <c r="P1691" t="str">
        <f>TEXT(Table1[[#This Row],[order_date]],"yyyy-mm")</f>
        <v>2025-12</v>
      </c>
      <c r="Q1691">
        <f>WEEKNUM(Table1[[#This Row],[order_date]])</f>
        <v>53</v>
      </c>
      <c r="R1691">
        <f>IF(Table1[[#This Row],[order_status]]="completed",1,0)</f>
        <v>0</v>
      </c>
    </row>
    <row r="1692" spans="1:18" x14ac:dyDescent="0.35">
      <c r="A1692">
        <v>1691</v>
      </c>
      <c r="B1692" s="1">
        <v>45861</v>
      </c>
      <c r="C1692">
        <v>1218</v>
      </c>
      <c r="D1692" t="s">
        <v>22</v>
      </c>
      <c r="E1692" t="s">
        <v>36</v>
      </c>
      <c r="F1692" t="s">
        <v>30</v>
      </c>
      <c r="G1692">
        <v>1</v>
      </c>
      <c r="H1692">
        <v>0</v>
      </c>
      <c r="I1692" t="s">
        <v>35</v>
      </c>
      <c r="J1692" t="s">
        <v>37</v>
      </c>
      <c r="K1692" t="s">
        <v>26</v>
      </c>
      <c r="L1692">
        <v>8</v>
      </c>
      <c r="M1692">
        <v>1</v>
      </c>
      <c r="N1692">
        <v>0</v>
      </c>
      <c r="O1692" t="s">
        <v>27</v>
      </c>
      <c r="P1692" t="str">
        <f>TEXT(Table1[[#This Row],[order_date]],"yyyy-mm")</f>
        <v>2025-07</v>
      </c>
      <c r="Q1692">
        <f>WEEKNUM(Table1[[#This Row],[order_date]])</f>
        <v>30</v>
      </c>
      <c r="R1692">
        <f>IF(Table1[[#This Row],[order_status]]="completed",1,0)</f>
        <v>0</v>
      </c>
    </row>
    <row r="1693" spans="1:18" x14ac:dyDescent="0.35">
      <c r="A1693">
        <v>1692</v>
      </c>
      <c r="B1693" s="1">
        <v>45965</v>
      </c>
      <c r="C1693">
        <v>1073</v>
      </c>
      <c r="D1693" t="s">
        <v>15</v>
      </c>
      <c r="E1693" t="s">
        <v>33</v>
      </c>
      <c r="F1693" t="s">
        <v>30</v>
      </c>
      <c r="G1693">
        <v>1</v>
      </c>
      <c r="H1693">
        <v>0</v>
      </c>
      <c r="I1693" t="s">
        <v>39</v>
      </c>
      <c r="J1693" t="s">
        <v>37</v>
      </c>
      <c r="K1693" t="s">
        <v>38</v>
      </c>
      <c r="L1693">
        <v>4</v>
      </c>
      <c r="M1693">
        <v>0</v>
      </c>
      <c r="N1693">
        <v>0</v>
      </c>
      <c r="O1693" t="s">
        <v>27</v>
      </c>
      <c r="P1693" t="str">
        <f>TEXT(Table1[[#This Row],[order_date]],"yyyy-mm")</f>
        <v>2025-11</v>
      </c>
      <c r="Q1693">
        <f>WEEKNUM(Table1[[#This Row],[order_date]])</f>
        <v>45</v>
      </c>
      <c r="R1693">
        <f>IF(Table1[[#This Row],[order_status]]="completed",1,0)</f>
        <v>0</v>
      </c>
    </row>
    <row r="1694" spans="1:18" x14ac:dyDescent="0.35">
      <c r="A1694">
        <v>1693</v>
      </c>
      <c r="B1694" s="1">
        <v>45915</v>
      </c>
      <c r="C1694">
        <v>1499</v>
      </c>
      <c r="D1694" t="s">
        <v>41</v>
      </c>
      <c r="E1694" t="s">
        <v>16</v>
      </c>
      <c r="F1694" t="s">
        <v>24</v>
      </c>
      <c r="G1694">
        <v>4</v>
      </c>
      <c r="H1694">
        <v>0</v>
      </c>
      <c r="I1694" t="s">
        <v>35</v>
      </c>
      <c r="J1694" t="s">
        <v>37</v>
      </c>
      <c r="K1694" t="s">
        <v>40</v>
      </c>
      <c r="L1694">
        <v>3</v>
      </c>
      <c r="M1694">
        <v>0</v>
      </c>
      <c r="N1694">
        <v>0</v>
      </c>
      <c r="O1694" t="s">
        <v>21</v>
      </c>
      <c r="P1694" t="str">
        <f>TEXT(Table1[[#This Row],[order_date]],"yyyy-mm")</f>
        <v>2025-09</v>
      </c>
      <c r="Q1694">
        <f>WEEKNUM(Table1[[#This Row],[order_date]])</f>
        <v>38</v>
      </c>
      <c r="R1694">
        <f>IF(Table1[[#This Row],[order_status]]="completed",1,0)</f>
        <v>0</v>
      </c>
    </row>
    <row r="1695" spans="1:18" x14ac:dyDescent="0.35">
      <c r="A1695">
        <v>1694</v>
      </c>
      <c r="B1695" s="1">
        <v>45974</v>
      </c>
      <c r="C1695">
        <v>1973</v>
      </c>
      <c r="D1695" t="s">
        <v>28</v>
      </c>
      <c r="E1695" t="s">
        <v>16</v>
      </c>
      <c r="F1695" t="s">
        <v>17</v>
      </c>
      <c r="G1695">
        <v>2</v>
      </c>
      <c r="H1695">
        <v>0</v>
      </c>
      <c r="I1695" t="s">
        <v>35</v>
      </c>
      <c r="J1695" t="s">
        <v>37</v>
      </c>
      <c r="K1695" t="s">
        <v>40</v>
      </c>
      <c r="L1695">
        <v>8</v>
      </c>
      <c r="M1695">
        <v>1</v>
      </c>
      <c r="N1695">
        <v>0</v>
      </c>
      <c r="O1695" t="s">
        <v>21</v>
      </c>
      <c r="P1695" t="str">
        <f>TEXT(Table1[[#This Row],[order_date]],"yyyy-mm")</f>
        <v>2025-11</v>
      </c>
      <c r="Q1695">
        <f>WEEKNUM(Table1[[#This Row],[order_date]])</f>
        <v>46</v>
      </c>
      <c r="R1695">
        <f>IF(Table1[[#This Row],[order_status]]="completed",1,0)</f>
        <v>0</v>
      </c>
    </row>
    <row r="1696" spans="1:18" x14ac:dyDescent="0.35">
      <c r="A1696">
        <v>1695</v>
      </c>
      <c r="B1696" s="1">
        <v>45966</v>
      </c>
      <c r="C1696">
        <v>1340</v>
      </c>
      <c r="D1696" t="s">
        <v>15</v>
      </c>
      <c r="E1696" t="s">
        <v>16</v>
      </c>
      <c r="F1696" t="s">
        <v>17</v>
      </c>
      <c r="G1696">
        <v>3</v>
      </c>
      <c r="H1696">
        <v>0</v>
      </c>
      <c r="I1696" t="s">
        <v>18</v>
      </c>
      <c r="J1696" t="s">
        <v>31</v>
      </c>
      <c r="K1696" t="s">
        <v>20</v>
      </c>
      <c r="L1696">
        <v>10</v>
      </c>
      <c r="M1696">
        <v>0</v>
      </c>
      <c r="N1696">
        <v>1</v>
      </c>
      <c r="O1696" t="s">
        <v>27</v>
      </c>
      <c r="P1696" t="str">
        <f>TEXT(Table1[[#This Row],[order_date]],"yyyy-mm")</f>
        <v>2025-11</v>
      </c>
      <c r="Q1696">
        <f>WEEKNUM(Table1[[#This Row],[order_date]])</f>
        <v>45</v>
      </c>
      <c r="R1696">
        <f>IF(Table1[[#This Row],[order_status]]="completed",1,0)</f>
        <v>0</v>
      </c>
    </row>
    <row r="1697" spans="1:18" x14ac:dyDescent="0.35">
      <c r="A1697">
        <v>1696</v>
      </c>
      <c r="B1697" s="1">
        <v>45920</v>
      </c>
      <c r="C1697">
        <v>1217</v>
      </c>
      <c r="D1697" t="s">
        <v>28</v>
      </c>
      <c r="E1697" t="s">
        <v>36</v>
      </c>
      <c r="F1697" t="s">
        <v>30</v>
      </c>
      <c r="G1697">
        <v>4</v>
      </c>
      <c r="H1697">
        <v>0</v>
      </c>
      <c r="I1697" t="s">
        <v>25</v>
      </c>
      <c r="J1697" t="s">
        <v>31</v>
      </c>
      <c r="K1697" t="s">
        <v>26</v>
      </c>
      <c r="L1697">
        <v>7</v>
      </c>
      <c r="M1697">
        <v>0</v>
      </c>
      <c r="N1697">
        <v>1</v>
      </c>
      <c r="O1697" t="s">
        <v>21</v>
      </c>
      <c r="P1697" t="str">
        <f>TEXT(Table1[[#This Row],[order_date]],"yyyy-mm")</f>
        <v>2025-09</v>
      </c>
      <c r="Q1697">
        <f>WEEKNUM(Table1[[#This Row],[order_date]])</f>
        <v>38</v>
      </c>
      <c r="R1697">
        <f>IF(Table1[[#This Row],[order_status]]="completed",1,0)</f>
        <v>0</v>
      </c>
    </row>
    <row r="1698" spans="1:18" x14ac:dyDescent="0.35">
      <c r="A1698">
        <v>1697</v>
      </c>
      <c r="B1698" s="1">
        <v>45961</v>
      </c>
      <c r="C1698">
        <v>1639</v>
      </c>
      <c r="D1698" t="s">
        <v>32</v>
      </c>
      <c r="E1698" t="s">
        <v>36</v>
      </c>
      <c r="F1698" t="s">
        <v>17</v>
      </c>
      <c r="G1698">
        <v>4</v>
      </c>
      <c r="H1698">
        <v>0</v>
      </c>
      <c r="I1698" t="s">
        <v>25</v>
      </c>
      <c r="J1698" t="s">
        <v>37</v>
      </c>
      <c r="K1698" t="s">
        <v>40</v>
      </c>
      <c r="L1698">
        <v>3</v>
      </c>
      <c r="M1698">
        <v>0</v>
      </c>
      <c r="N1698">
        <v>1</v>
      </c>
      <c r="O1698" t="s">
        <v>27</v>
      </c>
      <c r="P1698" t="str">
        <f>TEXT(Table1[[#This Row],[order_date]],"yyyy-mm")</f>
        <v>2025-10</v>
      </c>
      <c r="Q1698">
        <f>WEEKNUM(Table1[[#This Row],[order_date]])</f>
        <v>44</v>
      </c>
      <c r="R1698">
        <f>IF(Table1[[#This Row],[order_status]]="completed",1,0)</f>
        <v>0</v>
      </c>
    </row>
    <row r="1699" spans="1:18" x14ac:dyDescent="0.35">
      <c r="A1699">
        <v>1698</v>
      </c>
      <c r="B1699" s="1">
        <v>45851</v>
      </c>
      <c r="C1699">
        <v>1803</v>
      </c>
      <c r="D1699" t="s">
        <v>22</v>
      </c>
      <c r="E1699" t="s">
        <v>33</v>
      </c>
      <c r="F1699" t="s">
        <v>30</v>
      </c>
      <c r="G1699">
        <v>5</v>
      </c>
      <c r="H1699">
        <v>0</v>
      </c>
      <c r="I1699" t="s">
        <v>18</v>
      </c>
      <c r="J1699" t="s">
        <v>37</v>
      </c>
      <c r="K1699" t="s">
        <v>40</v>
      </c>
      <c r="L1699">
        <v>9</v>
      </c>
      <c r="M1699">
        <v>0</v>
      </c>
      <c r="N1699">
        <v>1</v>
      </c>
      <c r="O1699" t="s">
        <v>21</v>
      </c>
      <c r="P1699" t="str">
        <f>TEXT(Table1[[#This Row],[order_date]],"yyyy-mm")</f>
        <v>2025-07</v>
      </c>
      <c r="Q1699">
        <f>WEEKNUM(Table1[[#This Row],[order_date]])</f>
        <v>29</v>
      </c>
      <c r="R1699">
        <f>IF(Table1[[#This Row],[order_status]]="completed",1,0)</f>
        <v>0</v>
      </c>
    </row>
    <row r="1700" spans="1:18" x14ac:dyDescent="0.35">
      <c r="A1700">
        <v>1699</v>
      </c>
      <c r="B1700" s="1">
        <v>45982</v>
      </c>
      <c r="C1700">
        <v>1511</v>
      </c>
      <c r="D1700" t="s">
        <v>32</v>
      </c>
      <c r="E1700" t="s">
        <v>23</v>
      </c>
      <c r="F1700" t="s">
        <v>24</v>
      </c>
      <c r="G1700">
        <v>5</v>
      </c>
      <c r="H1700">
        <v>0</v>
      </c>
      <c r="I1700" t="s">
        <v>18</v>
      </c>
      <c r="J1700" t="s">
        <v>31</v>
      </c>
      <c r="K1700" t="s">
        <v>20</v>
      </c>
      <c r="L1700">
        <v>2</v>
      </c>
      <c r="M1700">
        <v>1</v>
      </c>
      <c r="N1700">
        <v>1</v>
      </c>
      <c r="O1700" t="s">
        <v>21</v>
      </c>
      <c r="P1700" t="str">
        <f>TEXT(Table1[[#This Row],[order_date]],"yyyy-mm")</f>
        <v>2025-11</v>
      </c>
      <c r="Q1700">
        <f>WEEKNUM(Table1[[#This Row],[order_date]])</f>
        <v>47</v>
      </c>
      <c r="R1700">
        <f>IF(Table1[[#This Row],[order_status]]="completed",1,0)</f>
        <v>0</v>
      </c>
    </row>
    <row r="1701" spans="1:18" x14ac:dyDescent="0.35">
      <c r="A1701">
        <v>1700</v>
      </c>
      <c r="B1701" s="1">
        <v>46016</v>
      </c>
      <c r="C1701">
        <v>1116</v>
      </c>
      <c r="D1701" t="s">
        <v>22</v>
      </c>
      <c r="E1701" t="s">
        <v>29</v>
      </c>
      <c r="F1701" t="s">
        <v>24</v>
      </c>
      <c r="G1701">
        <v>2</v>
      </c>
      <c r="H1701">
        <v>0</v>
      </c>
      <c r="I1701" t="s">
        <v>39</v>
      </c>
      <c r="J1701" t="s">
        <v>37</v>
      </c>
      <c r="K1701" t="s">
        <v>38</v>
      </c>
      <c r="L1701">
        <v>3</v>
      </c>
      <c r="M1701">
        <v>0</v>
      </c>
      <c r="N1701">
        <v>0</v>
      </c>
      <c r="O1701" t="s">
        <v>27</v>
      </c>
      <c r="P1701" t="str">
        <f>TEXT(Table1[[#This Row],[order_date]],"yyyy-mm")</f>
        <v>2025-12</v>
      </c>
      <c r="Q1701">
        <f>WEEKNUM(Table1[[#This Row],[order_date]])</f>
        <v>52</v>
      </c>
      <c r="R1701">
        <f>IF(Table1[[#This Row],[order_status]]="completed",1,0)</f>
        <v>0</v>
      </c>
    </row>
    <row r="1702" spans="1:18" x14ac:dyDescent="0.35">
      <c r="A1702">
        <v>1701</v>
      </c>
      <c r="B1702" s="1">
        <v>45966</v>
      </c>
      <c r="C1702">
        <v>1544</v>
      </c>
      <c r="D1702" t="s">
        <v>41</v>
      </c>
      <c r="E1702" t="s">
        <v>36</v>
      </c>
      <c r="F1702" t="s">
        <v>34</v>
      </c>
      <c r="G1702">
        <v>4</v>
      </c>
      <c r="H1702">
        <v>0</v>
      </c>
      <c r="I1702" t="s">
        <v>25</v>
      </c>
      <c r="J1702" t="s">
        <v>37</v>
      </c>
      <c r="K1702" t="s">
        <v>40</v>
      </c>
      <c r="L1702">
        <v>1</v>
      </c>
      <c r="M1702">
        <v>0</v>
      </c>
      <c r="N1702">
        <v>1</v>
      </c>
      <c r="O1702" t="s">
        <v>21</v>
      </c>
      <c r="P1702" t="str">
        <f>TEXT(Table1[[#This Row],[order_date]],"yyyy-mm")</f>
        <v>2025-11</v>
      </c>
      <c r="Q1702">
        <f>WEEKNUM(Table1[[#This Row],[order_date]])</f>
        <v>45</v>
      </c>
      <c r="R1702">
        <f>IF(Table1[[#This Row],[order_status]]="completed",1,0)</f>
        <v>0</v>
      </c>
    </row>
    <row r="1703" spans="1:18" x14ac:dyDescent="0.35">
      <c r="A1703">
        <v>1702</v>
      </c>
      <c r="B1703" s="1">
        <v>46000</v>
      </c>
      <c r="C1703">
        <v>1011</v>
      </c>
      <c r="D1703" t="s">
        <v>32</v>
      </c>
      <c r="E1703" t="s">
        <v>23</v>
      </c>
      <c r="F1703" t="s">
        <v>17</v>
      </c>
      <c r="G1703">
        <v>1</v>
      </c>
      <c r="H1703">
        <v>3632</v>
      </c>
      <c r="I1703" t="s">
        <v>18</v>
      </c>
      <c r="J1703" t="s">
        <v>19</v>
      </c>
      <c r="K1703" t="s">
        <v>40</v>
      </c>
      <c r="L1703">
        <v>2</v>
      </c>
      <c r="M1703">
        <v>1</v>
      </c>
      <c r="N1703">
        <v>0</v>
      </c>
      <c r="O1703" t="s">
        <v>21</v>
      </c>
      <c r="P1703" t="str">
        <f>TEXT(Table1[[#This Row],[order_date]],"yyyy-mm")</f>
        <v>2025-12</v>
      </c>
      <c r="Q1703">
        <f>WEEKNUM(Table1[[#This Row],[order_date]])</f>
        <v>50</v>
      </c>
      <c r="R1703">
        <f>IF(Table1[[#This Row],[order_status]]="completed",1,0)</f>
        <v>1</v>
      </c>
    </row>
    <row r="1704" spans="1:18" x14ac:dyDescent="0.35">
      <c r="A1704">
        <v>1703</v>
      </c>
      <c r="B1704" s="1">
        <v>45927</v>
      </c>
      <c r="C1704">
        <v>1382</v>
      </c>
      <c r="D1704" t="s">
        <v>15</v>
      </c>
      <c r="E1704" t="s">
        <v>23</v>
      </c>
      <c r="F1704" t="s">
        <v>30</v>
      </c>
      <c r="G1704">
        <v>5</v>
      </c>
      <c r="H1704">
        <v>0</v>
      </c>
      <c r="I1704" t="s">
        <v>35</v>
      </c>
      <c r="J1704" t="s">
        <v>37</v>
      </c>
      <c r="K1704" t="s">
        <v>26</v>
      </c>
      <c r="L1704">
        <v>9</v>
      </c>
      <c r="M1704">
        <v>0</v>
      </c>
      <c r="N1704">
        <v>1</v>
      </c>
      <c r="O1704" t="s">
        <v>21</v>
      </c>
      <c r="P1704" t="str">
        <f>TEXT(Table1[[#This Row],[order_date]],"yyyy-mm")</f>
        <v>2025-09</v>
      </c>
      <c r="Q1704">
        <f>WEEKNUM(Table1[[#This Row],[order_date]])</f>
        <v>39</v>
      </c>
      <c r="R1704">
        <f>IF(Table1[[#This Row],[order_status]]="completed",1,0)</f>
        <v>0</v>
      </c>
    </row>
    <row r="1705" spans="1:18" x14ac:dyDescent="0.35">
      <c r="A1705">
        <v>1704</v>
      </c>
      <c r="B1705" s="1">
        <v>45905</v>
      </c>
      <c r="C1705">
        <v>1275</v>
      </c>
      <c r="D1705" t="s">
        <v>41</v>
      </c>
      <c r="E1705" t="s">
        <v>29</v>
      </c>
      <c r="F1705" t="s">
        <v>30</v>
      </c>
      <c r="G1705">
        <v>1</v>
      </c>
      <c r="H1705">
        <v>0</v>
      </c>
      <c r="I1705" t="s">
        <v>35</v>
      </c>
      <c r="J1705" t="s">
        <v>31</v>
      </c>
      <c r="K1705" t="s">
        <v>40</v>
      </c>
      <c r="L1705">
        <v>5</v>
      </c>
      <c r="M1705">
        <v>0</v>
      </c>
      <c r="N1705">
        <v>1</v>
      </c>
      <c r="O1705" t="s">
        <v>21</v>
      </c>
      <c r="P1705" t="str">
        <f>TEXT(Table1[[#This Row],[order_date]],"yyyy-mm")</f>
        <v>2025-09</v>
      </c>
      <c r="Q1705">
        <f>WEEKNUM(Table1[[#This Row],[order_date]])</f>
        <v>36</v>
      </c>
      <c r="R1705">
        <f>IF(Table1[[#This Row],[order_status]]="completed",1,0)</f>
        <v>0</v>
      </c>
    </row>
    <row r="1706" spans="1:18" x14ac:dyDescent="0.35">
      <c r="A1706">
        <v>1705</v>
      </c>
      <c r="B1706" s="1">
        <v>45943</v>
      </c>
      <c r="C1706">
        <v>1090</v>
      </c>
      <c r="D1706" t="s">
        <v>15</v>
      </c>
      <c r="E1706" t="s">
        <v>29</v>
      </c>
      <c r="F1706" t="s">
        <v>24</v>
      </c>
      <c r="G1706">
        <v>1</v>
      </c>
      <c r="H1706">
        <v>659</v>
      </c>
      <c r="I1706" t="s">
        <v>25</v>
      </c>
      <c r="J1706" t="s">
        <v>19</v>
      </c>
      <c r="K1706" t="s">
        <v>20</v>
      </c>
      <c r="L1706">
        <v>5</v>
      </c>
      <c r="M1706">
        <v>0</v>
      </c>
      <c r="N1706">
        <v>1</v>
      </c>
      <c r="O1706" t="s">
        <v>21</v>
      </c>
      <c r="P1706" t="str">
        <f>TEXT(Table1[[#This Row],[order_date]],"yyyy-mm")</f>
        <v>2025-10</v>
      </c>
      <c r="Q1706">
        <f>WEEKNUM(Table1[[#This Row],[order_date]])</f>
        <v>42</v>
      </c>
      <c r="R1706">
        <f>IF(Table1[[#This Row],[order_status]]="completed",1,0)</f>
        <v>1</v>
      </c>
    </row>
    <row r="1707" spans="1:18" x14ac:dyDescent="0.35">
      <c r="A1707">
        <v>1706</v>
      </c>
      <c r="B1707" s="1">
        <v>46022</v>
      </c>
      <c r="C1707">
        <v>1457</v>
      </c>
      <c r="D1707" t="s">
        <v>15</v>
      </c>
      <c r="E1707" t="s">
        <v>33</v>
      </c>
      <c r="F1707" t="s">
        <v>34</v>
      </c>
      <c r="G1707">
        <v>5</v>
      </c>
      <c r="H1707">
        <v>22405</v>
      </c>
      <c r="I1707" t="s">
        <v>35</v>
      </c>
      <c r="J1707" t="s">
        <v>19</v>
      </c>
      <c r="K1707" t="s">
        <v>26</v>
      </c>
      <c r="L1707">
        <v>8</v>
      </c>
      <c r="M1707">
        <v>0</v>
      </c>
      <c r="N1707">
        <v>0</v>
      </c>
      <c r="O1707" t="s">
        <v>21</v>
      </c>
      <c r="P1707" t="str">
        <f>TEXT(Table1[[#This Row],[order_date]],"yyyy-mm")</f>
        <v>2025-12</v>
      </c>
      <c r="Q1707">
        <f>WEEKNUM(Table1[[#This Row],[order_date]])</f>
        <v>53</v>
      </c>
      <c r="R1707">
        <f>IF(Table1[[#This Row],[order_status]]="completed",1,0)</f>
        <v>1</v>
      </c>
    </row>
    <row r="1708" spans="1:18" x14ac:dyDescent="0.35">
      <c r="A1708">
        <v>1707</v>
      </c>
      <c r="B1708" s="1">
        <v>46008</v>
      </c>
      <c r="C1708">
        <v>1314</v>
      </c>
      <c r="D1708" t="s">
        <v>32</v>
      </c>
      <c r="E1708" t="s">
        <v>23</v>
      </c>
      <c r="F1708" t="s">
        <v>24</v>
      </c>
      <c r="G1708">
        <v>3</v>
      </c>
      <c r="H1708">
        <v>8409</v>
      </c>
      <c r="I1708" t="s">
        <v>25</v>
      </c>
      <c r="J1708" t="s">
        <v>19</v>
      </c>
      <c r="K1708" t="s">
        <v>40</v>
      </c>
      <c r="L1708">
        <v>2</v>
      </c>
      <c r="M1708">
        <v>1</v>
      </c>
      <c r="N1708">
        <v>1</v>
      </c>
      <c r="O1708" t="s">
        <v>27</v>
      </c>
      <c r="P1708" t="str">
        <f>TEXT(Table1[[#This Row],[order_date]],"yyyy-mm")</f>
        <v>2025-12</v>
      </c>
      <c r="Q1708">
        <f>WEEKNUM(Table1[[#This Row],[order_date]])</f>
        <v>51</v>
      </c>
      <c r="R1708">
        <f>IF(Table1[[#This Row],[order_status]]="completed",1,0)</f>
        <v>1</v>
      </c>
    </row>
    <row r="1709" spans="1:18" x14ac:dyDescent="0.35">
      <c r="A1709">
        <v>1708</v>
      </c>
      <c r="B1709" s="1">
        <v>45914</v>
      </c>
      <c r="C1709">
        <v>1486</v>
      </c>
      <c r="D1709" t="s">
        <v>32</v>
      </c>
      <c r="E1709" t="s">
        <v>23</v>
      </c>
      <c r="F1709" t="s">
        <v>30</v>
      </c>
      <c r="G1709">
        <v>1</v>
      </c>
      <c r="H1709">
        <v>0</v>
      </c>
      <c r="I1709" t="s">
        <v>25</v>
      </c>
      <c r="J1709" t="s">
        <v>31</v>
      </c>
      <c r="K1709" t="s">
        <v>40</v>
      </c>
      <c r="L1709">
        <v>3</v>
      </c>
      <c r="M1709">
        <v>0</v>
      </c>
      <c r="N1709">
        <v>1</v>
      </c>
      <c r="O1709" t="s">
        <v>27</v>
      </c>
      <c r="P1709" t="str">
        <f>TEXT(Table1[[#This Row],[order_date]],"yyyy-mm")</f>
        <v>2025-09</v>
      </c>
      <c r="Q1709">
        <f>WEEKNUM(Table1[[#This Row],[order_date]])</f>
        <v>38</v>
      </c>
      <c r="R1709">
        <f>IF(Table1[[#This Row],[order_status]]="completed",1,0)</f>
        <v>0</v>
      </c>
    </row>
    <row r="1710" spans="1:18" x14ac:dyDescent="0.35">
      <c r="A1710">
        <v>1709</v>
      </c>
      <c r="B1710" s="1">
        <v>45859</v>
      </c>
      <c r="C1710">
        <v>1804</v>
      </c>
      <c r="D1710" t="s">
        <v>28</v>
      </c>
      <c r="E1710" t="s">
        <v>16</v>
      </c>
      <c r="F1710" t="s">
        <v>24</v>
      </c>
      <c r="G1710">
        <v>5</v>
      </c>
      <c r="H1710">
        <v>0</v>
      </c>
      <c r="I1710" t="s">
        <v>35</v>
      </c>
      <c r="J1710" t="s">
        <v>31</v>
      </c>
      <c r="K1710" t="s">
        <v>26</v>
      </c>
      <c r="L1710">
        <v>7</v>
      </c>
      <c r="M1710">
        <v>1</v>
      </c>
      <c r="N1710">
        <v>1</v>
      </c>
      <c r="O1710" t="s">
        <v>27</v>
      </c>
      <c r="P1710" t="str">
        <f>TEXT(Table1[[#This Row],[order_date]],"yyyy-mm")</f>
        <v>2025-07</v>
      </c>
      <c r="Q1710">
        <f>WEEKNUM(Table1[[#This Row],[order_date]])</f>
        <v>30</v>
      </c>
      <c r="R1710">
        <f>IF(Table1[[#This Row],[order_status]]="completed",1,0)</f>
        <v>0</v>
      </c>
    </row>
    <row r="1711" spans="1:18" x14ac:dyDescent="0.35">
      <c r="A1711">
        <v>1710</v>
      </c>
      <c r="B1711" s="1">
        <v>45963</v>
      </c>
      <c r="C1711">
        <v>1644</v>
      </c>
      <c r="D1711" t="s">
        <v>32</v>
      </c>
      <c r="E1711" t="s">
        <v>33</v>
      </c>
      <c r="F1711" t="s">
        <v>17</v>
      </c>
      <c r="G1711">
        <v>1</v>
      </c>
      <c r="H1711">
        <v>1525</v>
      </c>
      <c r="I1711" t="s">
        <v>39</v>
      </c>
      <c r="J1711" t="s">
        <v>19</v>
      </c>
      <c r="K1711" t="s">
        <v>38</v>
      </c>
      <c r="L1711">
        <v>1</v>
      </c>
      <c r="M1711">
        <v>0</v>
      </c>
      <c r="N1711">
        <v>1</v>
      </c>
      <c r="O1711" t="s">
        <v>27</v>
      </c>
      <c r="P1711" t="str">
        <f>TEXT(Table1[[#This Row],[order_date]],"yyyy-mm")</f>
        <v>2025-11</v>
      </c>
      <c r="Q1711">
        <f>WEEKNUM(Table1[[#This Row],[order_date]])</f>
        <v>45</v>
      </c>
      <c r="R1711">
        <f>IF(Table1[[#This Row],[order_status]]="completed",1,0)</f>
        <v>1</v>
      </c>
    </row>
    <row r="1712" spans="1:18" x14ac:dyDescent="0.35">
      <c r="A1712">
        <v>1711</v>
      </c>
      <c r="B1712" s="1">
        <v>45851</v>
      </c>
      <c r="C1712">
        <v>1029</v>
      </c>
      <c r="D1712" t="s">
        <v>15</v>
      </c>
      <c r="E1712" t="s">
        <v>23</v>
      </c>
      <c r="F1712" t="s">
        <v>30</v>
      </c>
      <c r="G1712">
        <v>1</v>
      </c>
      <c r="H1712">
        <v>2838</v>
      </c>
      <c r="I1712" t="s">
        <v>18</v>
      </c>
      <c r="J1712" t="s">
        <v>19</v>
      </c>
      <c r="K1712" t="s">
        <v>20</v>
      </c>
      <c r="L1712">
        <v>8</v>
      </c>
      <c r="M1712">
        <v>0</v>
      </c>
      <c r="N1712">
        <v>0</v>
      </c>
      <c r="O1712" t="s">
        <v>21</v>
      </c>
      <c r="P1712" t="str">
        <f>TEXT(Table1[[#This Row],[order_date]],"yyyy-mm")</f>
        <v>2025-07</v>
      </c>
      <c r="Q1712">
        <f>WEEKNUM(Table1[[#This Row],[order_date]])</f>
        <v>29</v>
      </c>
      <c r="R1712">
        <f>IF(Table1[[#This Row],[order_status]]="completed",1,0)</f>
        <v>1</v>
      </c>
    </row>
    <row r="1713" spans="1:18" x14ac:dyDescent="0.35">
      <c r="A1713">
        <v>1712</v>
      </c>
      <c r="B1713" s="1">
        <v>45904</v>
      </c>
      <c r="C1713">
        <v>1396</v>
      </c>
      <c r="D1713" t="s">
        <v>15</v>
      </c>
      <c r="E1713" t="s">
        <v>33</v>
      </c>
      <c r="F1713" t="s">
        <v>24</v>
      </c>
      <c r="G1713">
        <v>1</v>
      </c>
      <c r="H1713">
        <v>0</v>
      </c>
      <c r="I1713" t="s">
        <v>18</v>
      </c>
      <c r="J1713" t="s">
        <v>37</v>
      </c>
      <c r="K1713" t="s">
        <v>20</v>
      </c>
      <c r="L1713">
        <v>4</v>
      </c>
      <c r="M1713">
        <v>1</v>
      </c>
      <c r="N1713">
        <v>0</v>
      </c>
      <c r="O1713" t="s">
        <v>27</v>
      </c>
      <c r="P1713" t="str">
        <f>TEXT(Table1[[#This Row],[order_date]],"yyyy-mm")</f>
        <v>2025-09</v>
      </c>
      <c r="Q1713">
        <f>WEEKNUM(Table1[[#This Row],[order_date]])</f>
        <v>36</v>
      </c>
      <c r="R1713">
        <f>IF(Table1[[#This Row],[order_status]]="completed",1,0)</f>
        <v>0</v>
      </c>
    </row>
    <row r="1714" spans="1:18" x14ac:dyDescent="0.35">
      <c r="A1714">
        <v>1713</v>
      </c>
      <c r="B1714" s="1">
        <v>45909</v>
      </c>
      <c r="C1714">
        <v>1706</v>
      </c>
      <c r="D1714" t="s">
        <v>41</v>
      </c>
      <c r="E1714" t="s">
        <v>33</v>
      </c>
      <c r="F1714" t="s">
        <v>34</v>
      </c>
      <c r="G1714">
        <v>4</v>
      </c>
      <c r="H1714">
        <v>0</v>
      </c>
      <c r="I1714" t="s">
        <v>18</v>
      </c>
      <c r="J1714" t="s">
        <v>37</v>
      </c>
      <c r="K1714" t="s">
        <v>40</v>
      </c>
      <c r="L1714">
        <v>1</v>
      </c>
      <c r="M1714">
        <v>1</v>
      </c>
      <c r="N1714">
        <v>0</v>
      </c>
      <c r="O1714" t="s">
        <v>27</v>
      </c>
      <c r="P1714" t="str">
        <f>TEXT(Table1[[#This Row],[order_date]],"yyyy-mm")</f>
        <v>2025-09</v>
      </c>
      <c r="Q1714">
        <f>WEEKNUM(Table1[[#This Row],[order_date]])</f>
        <v>37</v>
      </c>
      <c r="R1714">
        <f>IF(Table1[[#This Row],[order_status]]="completed",1,0)</f>
        <v>0</v>
      </c>
    </row>
    <row r="1715" spans="1:18" x14ac:dyDescent="0.35">
      <c r="A1715">
        <v>1714</v>
      </c>
      <c r="B1715" s="1">
        <v>45978</v>
      </c>
      <c r="C1715">
        <v>1557</v>
      </c>
      <c r="D1715" t="s">
        <v>28</v>
      </c>
      <c r="E1715" t="s">
        <v>29</v>
      </c>
      <c r="F1715" t="s">
        <v>17</v>
      </c>
      <c r="G1715">
        <v>2</v>
      </c>
      <c r="H1715">
        <v>0</v>
      </c>
      <c r="I1715" t="s">
        <v>39</v>
      </c>
      <c r="J1715" t="s">
        <v>31</v>
      </c>
      <c r="K1715" t="s">
        <v>38</v>
      </c>
      <c r="L1715">
        <v>3</v>
      </c>
      <c r="M1715">
        <v>0</v>
      </c>
      <c r="N1715">
        <v>0</v>
      </c>
      <c r="O1715" t="s">
        <v>21</v>
      </c>
      <c r="P1715" t="str">
        <f>TEXT(Table1[[#This Row],[order_date]],"yyyy-mm")</f>
        <v>2025-11</v>
      </c>
      <c r="Q1715">
        <f>WEEKNUM(Table1[[#This Row],[order_date]])</f>
        <v>47</v>
      </c>
      <c r="R1715">
        <f>IF(Table1[[#This Row],[order_status]]="completed",1,0)</f>
        <v>0</v>
      </c>
    </row>
    <row r="1716" spans="1:18" x14ac:dyDescent="0.35">
      <c r="A1716">
        <v>1715</v>
      </c>
      <c r="B1716" s="1">
        <v>45954</v>
      </c>
      <c r="C1716">
        <v>1290</v>
      </c>
      <c r="D1716" t="s">
        <v>32</v>
      </c>
      <c r="E1716" t="s">
        <v>33</v>
      </c>
      <c r="F1716" t="s">
        <v>30</v>
      </c>
      <c r="G1716">
        <v>3</v>
      </c>
      <c r="H1716">
        <v>14697</v>
      </c>
      <c r="I1716" t="s">
        <v>18</v>
      </c>
      <c r="J1716" t="s">
        <v>19</v>
      </c>
      <c r="K1716" t="s">
        <v>26</v>
      </c>
      <c r="L1716">
        <v>10</v>
      </c>
      <c r="M1716">
        <v>1</v>
      </c>
      <c r="N1716">
        <v>0</v>
      </c>
      <c r="O1716" t="s">
        <v>27</v>
      </c>
      <c r="P1716" t="str">
        <f>TEXT(Table1[[#This Row],[order_date]],"yyyy-mm")</f>
        <v>2025-10</v>
      </c>
      <c r="Q1716">
        <f>WEEKNUM(Table1[[#This Row],[order_date]])</f>
        <v>43</v>
      </c>
      <c r="R1716">
        <f>IF(Table1[[#This Row],[order_status]]="completed",1,0)</f>
        <v>1</v>
      </c>
    </row>
    <row r="1717" spans="1:18" x14ac:dyDescent="0.35">
      <c r="A1717">
        <v>1716</v>
      </c>
      <c r="B1717" s="1">
        <v>45954</v>
      </c>
      <c r="C1717">
        <v>1340</v>
      </c>
      <c r="D1717" t="s">
        <v>22</v>
      </c>
      <c r="E1717" t="s">
        <v>23</v>
      </c>
      <c r="F1717" t="s">
        <v>30</v>
      </c>
      <c r="G1717">
        <v>2</v>
      </c>
      <c r="H1717">
        <v>0</v>
      </c>
      <c r="I1717" t="s">
        <v>18</v>
      </c>
      <c r="J1717" t="s">
        <v>31</v>
      </c>
      <c r="K1717" t="s">
        <v>38</v>
      </c>
      <c r="L1717">
        <v>2</v>
      </c>
      <c r="M1717">
        <v>0</v>
      </c>
      <c r="N1717">
        <v>0</v>
      </c>
      <c r="O1717" t="s">
        <v>27</v>
      </c>
      <c r="P1717" t="str">
        <f>TEXT(Table1[[#This Row],[order_date]],"yyyy-mm")</f>
        <v>2025-10</v>
      </c>
      <c r="Q1717">
        <f>WEEKNUM(Table1[[#This Row],[order_date]])</f>
        <v>43</v>
      </c>
      <c r="R1717">
        <f>IF(Table1[[#This Row],[order_status]]="completed",1,0)</f>
        <v>0</v>
      </c>
    </row>
    <row r="1718" spans="1:18" x14ac:dyDescent="0.35">
      <c r="A1718">
        <v>1717</v>
      </c>
      <c r="B1718" s="1">
        <v>45903</v>
      </c>
      <c r="C1718">
        <v>1091</v>
      </c>
      <c r="D1718" t="s">
        <v>32</v>
      </c>
      <c r="E1718" t="s">
        <v>33</v>
      </c>
      <c r="F1718" t="s">
        <v>34</v>
      </c>
      <c r="G1718">
        <v>1</v>
      </c>
      <c r="H1718">
        <v>0</v>
      </c>
      <c r="I1718" t="s">
        <v>18</v>
      </c>
      <c r="J1718" t="s">
        <v>37</v>
      </c>
      <c r="K1718" t="s">
        <v>40</v>
      </c>
      <c r="L1718">
        <v>2</v>
      </c>
      <c r="M1718">
        <v>1</v>
      </c>
      <c r="N1718">
        <v>0</v>
      </c>
      <c r="O1718" t="s">
        <v>21</v>
      </c>
      <c r="P1718" t="str">
        <f>TEXT(Table1[[#This Row],[order_date]],"yyyy-mm")</f>
        <v>2025-09</v>
      </c>
      <c r="Q1718">
        <f>WEEKNUM(Table1[[#This Row],[order_date]])</f>
        <v>36</v>
      </c>
      <c r="R1718">
        <f>IF(Table1[[#This Row],[order_status]]="completed",1,0)</f>
        <v>0</v>
      </c>
    </row>
    <row r="1719" spans="1:18" x14ac:dyDescent="0.35">
      <c r="A1719">
        <v>1718</v>
      </c>
      <c r="B1719" s="1">
        <v>46001</v>
      </c>
      <c r="C1719">
        <v>1524</v>
      </c>
      <c r="D1719" t="s">
        <v>22</v>
      </c>
      <c r="E1719" t="s">
        <v>36</v>
      </c>
      <c r="F1719" t="s">
        <v>24</v>
      </c>
      <c r="G1719">
        <v>5</v>
      </c>
      <c r="H1719">
        <v>12065</v>
      </c>
      <c r="I1719" t="s">
        <v>35</v>
      </c>
      <c r="J1719" t="s">
        <v>19</v>
      </c>
      <c r="K1719" t="s">
        <v>26</v>
      </c>
      <c r="L1719">
        <v>8</v>
      </c>
      <c r="M1719">
        <v>1</v>
      </c>
      <c r="N1719">
        <v>0</v>
      </c>
      <c r="O1719" t="s">
        <v>21</v>
      </c>
      <c r="P1719" t="str">
        <f>TEXT(Table1[[#This Row],[order_date]],"yyyy-mm")</f>
        <v>2025-12</v>
      </c>
      <c r="Q1719">
        <f>WEEKNUM(Table1[[#This Row],[order_date]])</f>
        <v>50</v>
      </c>
      <c r="R1719">
        <f>IF(Table1[[#This Row],[order_status]]="completed",1,0)</f>
        <v>1</v>
      </c>
    </row>
    <row r="1720" spans="1:18" x14ac:dyDescent="0.35">
      <c r="A1720">
        <v>1719</v>
      </c>
      <c r="B1720" s="1">
        <v>45878</v>
      </c>
      <c r="C1720">
        <v>1076</v>
      </c>
      <c r="D1720" t="s">
        <v>32</v>
      </c>
      <c r="E1720" t="s">
        <v>23</v>
      </c>
      <c r="F1720" t="s">
        <v>34</v>
      </c>
      <c r="G1720">
        <v>2</v>
      </c>
      <c r="H1720">
        <v>0</v>
      </c>
      <c r="I1720" t="s">
        <v>18</v>
      </c>
      <c r="J1720" t="s">
        <v>31</v>
      </c>
      <c r="K1720" t="s">
        <v>26</v>
      </c>
      <c r="L1720">
        <v>8</v>
      </c>
      <c r="M1720">
        <v>1</v>
      </c>
      <c r="N1720">
        <v>0</v>
      </c>
      <c r="O1720" t="s">
        <v>21</v>
      </c>
      <c r="P1720" t="str">
        <f>TEXT(Table1[[#This Row],[order_date]],"yyyy-mm")</f>
        <v>2025-08</v>
      </c>
      <c r="Q1720">
        <f>WEEKNUM(Table1[[#This Row],[order_date]])</f>
        <v>32</v>
      </c>
      <c r="R1720">
        <f>IF(Table1[[#This Row],[order_status]]="completed",1,0)</f>
        <v>0</v>
      </c>
    </row>
    <row r="1721" spans="1:18" x14ac:dyDescent="0.35">
      <c r="A1721">
        <v>1720</v>
      </c>
      <c r="B1721" s="1">
        <v>45905</v>
      </c>
      <c r="C1721">
        <v>1841</v>
      </c>
      <c r="D1721" t="s">
        <v>15</v>
      </c>
      <c r="E1721" t="s">
        <v>16</v>
      </c>
      <c r="F1721" t="s">
        <v>24</v>
      </c>
      <c r="G1721">
        <v>4</v>
      </c>
      <c r="H1721">
        <v>0</v>
      </c>
      <c r="I1721" t="s">
        <v>25</v>
      </c>
      <c r="J1721" t="s">
        <v>31</v>
      </c>
      <c r="K1721" t="s">
        <v>38</v>
      </c>
      <c r="L1721">
        <v>8</v>
      </c>
      <c r="M1721">
        <v>0</v>
      </c>
      <c r="N1721">
        <v>0</v>
      </c>
      <c r="O1721" t="s">
        <v>27</v>
      </c>
      <c r="P1721" t="str">
        <f>TEXT(Table1[[#This Row],[order_date]],"yyyy-mm")</f>
        <v>2025-09</v>
      </c>
      <c r="Q1721">
        <f>WEEKNUM(Table1[[#This Row],[order_date]])</f>
        <v>36</v>
      </c>
      <c r="R1721">
        <f>IF(Table1[[#This Row],[order_status]]="completed",1,0)</f>
        <v>0</v>
      </c>
    </row>
    <row r="1722" spans="1:18" x14ac:dyDescent="0.35">
      <c r="A1722">
        <v>1721</v>
      </c>
      <c r="B1722" s="1">
        <v>46023</v>
      </c>
      <c r="C1722">
        <v>1107</v>
      </c>
      <c r="D1722" t="s">
        <v>32</v>
      </c>
      <c r="E1722" t="s">
        <v>33</v>
      </c>
      <c r="F1722" t="s">
        <v>17</v>
      </c>
      <c r="G1722">
        <v>1</v>
      </c>
      <c r="H1722">
        <v>0</v>
      </c>
      <c r="I1722" t="s">
        <v>35</v>
      </c>
      <c r="J1722" t="s">
        <v>31</v>
      </c>
      <c r="K1722" t="s">
        <v>26</v>
      </c>
      <c r="L1722">
        <v>9</v>
      </c>
      <c r="M1722">
        <v>1</v>
      </c>
      <c r="N1722">
        <v>1</v>
      </c>
      <c r="O1722" t="s">
        <v>21</v>
      </c>
      <c r="P1722" t="str">
        <f>TEXT(Table1[[#This Row],[order_date]],"yyyy-mm")</f>
        <v>2026-01</v>
      </c>
      <c r="Q1722">
        <f>WEEKNUM(Table1[[#This Row],[order_date]])</f>
        <v>1</v>
      </c>
      <c r="R1722">
        <f>IF(Table1[[#This Row],[order_status]]="completed",1,0)</f>
        <v>0</v>
      </c>
    </row>
    <row r="1723" spans="1:18" x14ac:dyDescent="0.35">
      <c r="A1723">
        <v>1722</v>
      </c>
      <c r="B1723" s="1">
        <v>45880</v>
      </c>
      <c r="C1723">
        <v>1989</v>
      </c>
      <c r="D1723" t="s">
        <v>22</v>
      </c>
      <c r="E1723" t="s">
        <v>23</v>
      </c>
      <c r="F1723" t="s">
        <v>30</v>
      </c>
      <c r="G1723">
        <v>1</v>
      </c>
      <c r="H1723">
        <v>0</v>
      </c>
      <c r="I1723" t="s">
        <v>35</v>
      </c>
      <c r="J1723" t="s">
        <v>37</v>
      </c>
      <c r="K1723" t="s">
        <v>40</v>
      </c>
      <c r="L1723">
        <v>7</v>
      </c>
      <c r="M1723">
        <v>1</v>
      </c>
      <c r="N1723">
        <v>1</v>
      </c>
      <c r="O1723" t="s">
        <v>21</v>
      </c>
      <c r="P1723" t="str">
        <f>TEXT(Table1[[#This Row],[order_date]],"yyyy-mm")</f>
        <v>2025-08</v>
      </c>
      <c r="Q1723">
        <f>WEEKNUM(Table1[[#This Row],[order_date]])</f>
        <v>33</v>
      </c>
      <c r="R1723">
        <f>IF(Table1[[#This Row],[order_status]]="completed",1,0)</f>
        <v>0</v>
      </c>
    </row>
    <row r="1724" spans="1:18" x14ac:dyDescent="0.35">
      <c r="A1724">
        <v>1723</v>
      </c>
      <c r="B1724" s="1">
        <v>45898</v>
      </c>
      <c r="C1724">
        <v>1907</v>
      </c>
      <c r="D1724" t="s">
        <v>32</v>
      </c>
      <c r="E1724" t="s">
        <v>29</v>
      </c>
      <c r="F1724" t="s">
        <v>30</v>
      </c>
      <c r="G1724">
        <v>5</v>
      </c>
      <c r="H1724">
        <v>0</v>
      </c>
      <c r="I1724" t="s">
        <v>39</v>
      </c>
      <c r="J1724" t="s">
        <v>31</v>
      </c>
      <c r="K1724" t="s">
        <v>26</v>
      </c>
      <c r="L1724">
        <v>3</v>
      </c>
      <c r="M1724">
        <v>0</v>
      </c>
      <c r="N1724">
        <v>0</v>
      </c>
      <c r="O1724" t="s">
        <v>27</v>
      </c>
      <c r="P1724" t="str">
        <f>TEXT(Table1[[#This Row],[order_date]],"yyyy-mm")</f>
        <v>2025-08</v>
      </c>
      <c r="Q1724">
        <f>WEEKNUM(Table1[[#This Row],[order_date]])</f>
        <v>35</v>
      </c>
      <c r="R1724">
        <f>IF(Table1[[#This Row],[order_status]]="completed",1,0)</f>
        <v>0</v>
      </c>
    </row>
    <row r="1725" spans="1:18" x14ac:dyDescent="0.35">
      <c r="A1725">
        <v>1724</v>
      </c>
      <c r="B1725" s="1">
        <v>45937</v>
      </c>
      <c r="C1725">
        <v>1173</v>
      </c>
      <c r="D1725" t="s">
        <v>22</v>
      </c>
      <c r="E1725" t="s">
        <v>36</v>
      </c>
      <c r="F1725" t="s">
        <v>17</v>
      </c>
      <c r="G1725">
        <v>3</v>
      </c>
      <c r="H1725">
        <v>10215</v>
      </c>
      <c r="I1725" t="s">
        <v>39</v>
      </c>
      <c r="J1725" t="s">
        <v>19</v>
      </c>
      <c r="K1725" t="s">
        <v>20</v>
      </c>
      <c r="L1725">
        <v>4</v>
      </c>
      <c r="M1725">
        <v>1</v>
      </c>
      <c r="N1725">
        <v>0</v>
      </c>
      <c r="O1725" t="s">
        <v>27</v>
      </c>
      <c r="P1725" t="str">
        <f>TEXT(Table1[[#This Row],[order_date]],"yyyy-mm")</f>
        <v>2025-10</v>
      </c>
      <c r="Q1725">
        <f>WEEKNUM(Table1[[#This Row],[order_date]])</f>
        <v>41</v>
      </c>
      <c r="R1725">
        <f>IF(Table1[[#This Row],[order_status]]="completed",1,0)</f>
        <v>1</v>
      </c>
    </row>
    <row r="1726" spans="1:18" x14ac:dyDescent="0.35">
      <c r="A1726">
        <v>1725</v>
      </c>
      <c r="B1726" s="1">
        <v>45890</v>
      </c>
      <c r="C1726">
        <v>1000</v>
      </c>
      <c r="D1726" t="s">
        <v>22</v>
      </c>
      <c r="E1726" t="s">
        <v>23</v>
      </c>
      <c r="F1726" t="s">
        <v>24</v>
      </c>
      <c r="G1726">
        <v>3</v>
      </c>
      <c r="H1726">
        <v>0</v>
      </c>
      <c r="I1726" t="s">
        <v>35</v>
      </c>
      <c r="J1726" t="s">
        <v>37</v>
      </c>
      <c r="K1726" t="s">
        <v>20</v>
      </c>
      <c r="L1726">
        <v>10</v>
      </c>
      <c r="M1726">
        <v>1</v>
      </c>
      <c r="N1726">
        <v>0</v>
      </c>
      <c r="O1726" t="s">
        <v>27</v>
      </c>
      <c r="P1726" t="str">
        <f>TEXT(Table1[[#This Row],[order_date]],"yyyy-mm")</f>
        <v>2025-08</v>
      </c>
      <c r="Q1726">
        <f>WEEKNUM(Table1[[#This Row],[order_date]])</f>
        <v>34</v>
      </c>
      <c r="R1726">
        <f>IF(Table1[[#This Row],[order_status]]="completed",1,0)</f>
        <v>0</v>
      </c>
    </row>
    <row r="1727" spans="1:18" x14ac:dyDescent="0.35">
      <c r="A1727">
        <v>1726</v>
      </c>
      <c r="B1727" s="1">
        <v>45928</v>
      </c>
      <c r="C1727">
        <v>1240</v>
      </c>
      <c r="D1727" t="s">
        <v>22</v>
      </c>
      <c r="E1727" t="s">
        <v>33</v>
      </c>
      <c r="F1727" t="s">
        <v>17</v>
      </c>
      <c r="G1727">
        <v>5</v>
      </c>
      <c r="H1727">
        <v>0</v>
      </c>
      <c r="I1727" t="s">
        <v>25</v>
      </c>
      <c r="J1727" t="s">
        <v>37</v>
      </c>
      <c r="K1727" t="s">
        <v>20</v>
      </c>
      <c r="L1727">
        <v>7</v>
      </c>
      <c r="M1727">
        <v>0</v>
      </c>
      <c r="N1727">
        <v>0</v>
      </c>
      <c r="O1727" t="s">
        <v>27</v>
      </c>
      <c r="P1727" t="str">
        <f>TEXT(Table1[[#This Row],[order_date]],"yyyy-mm")</f>
        <v>2025-09</v>
      </c>
      <c r="Q1727">
        <f>WEEKNUM(Table1[[#This Row],[order_date]])</f>
        <v>40</v>
      </c>
      <c r="R1727">
        <f>IF(Table1[[#This Row],[order_status]]="completed",1,0)</f>
        <v>0</v>
      </c>
    </row>
    <row r="1728" spans="1:18" x14ac:dyDescent="0.35">
      <c r="A1728">
        <v>1727</v>
      </c>
      <c r="B1728" s="1">
        <v>45883</v>
      </c>
      <c r="C1728">
        <v>1369</v>
      </c>
      <c r="D1728" t="s">
        <v>22</v>
      </c>
      <c r="E1728" t="s">
        <v>29</v>
      </c>
      <c r="F1728" t="s">
        <v>17</v>
      </c>
      <c r="G1728">
        <v>5</v>
      </c>
      <c r="H1728">
        <v>0</v>
      </c>
      <c r="I1728" t="s">
        <v>39</v>
      </c>
      <c r="J1728" t="s">
        <v>37</v>
      </c>
      <c r="K1728" t="s">
        <v>38</v>
      </c>
      <c r="L1728">
        <v>7</v>
      </c>
      <c r="M1728">
        <v>0</v>
      </c>
      <c r="N1728">
        <v>1</v>
      </c>
      <c r="O1728" t="s">
        <v>27</v>
      </c>
      <c r="P1728" t="str">
        <f>TEXT(Table1[[#This Row],[order_date]],"yyyy-mm")</f>
        <v>2025-08</v>
      </c>
      <c r="Q1728">
        <f>WEEKNUM(Table1[[#This Row],[order_date]])</f>
        <v>33</v>
      </c>
      <c r="R1728">
        <f>IF(Table1[[#This Row],[order_status]]="completed",1,0)</f>
        <v>0</v>
      </c>
    </row>
    <row r="1729" spans="1:18" x14ac:dyDescent="0.35">
      <c r="A1729">
        <v>1728</v>
      </c>
      <c r="B1729" s="1">
        <v>45939</v>
      </c>
      <c r="C1729">
        <v>1689</v>
      </c>
      <c r="D1729" t="s">
        <v>28</v>
      </c>
      <c r="E1729" t="s">
        <v>36</v>
      </c>
      <c r="F1729" t="s">
        <v>24</v>
      </c>
      <c r="G1729">
        <v>3</v>
      </c>
      <c r="H1729">
        <v>0</v>
      </c>
      <c r="I1729" t="s">
        <v>18</v>
      </c>
      <c r="J1729" t="s">
        <v>31</v>
      </c>
      <c r="K1729" t="s">
        <v>26</v>
      </c>
      <c r="L1729">
        <v>8</v>
      </c>
      <c r="M1729">
        <v>0</v>
      </c>
      <c r="N1729">
        <v>0</v>
      </c>
      <c r="O1729" t="s">
        <v>21</v>
      </c>
      <c r="P1729" t="str">
        <f>TEXT(Table1[[#This Row],[order_date]],"yyyy-mm")</f>
        <v>2025-10</v>
      </c>
      <c r="Q1729">
        <f>WEEKNUM(Table1[[#This Row],[order_date]])</f>
        <v>41</v>
      </c>
      <c r="R1729">
        <f>IF(Table1[[#This Row],[order_status]]="completed",1,0)</f>
        <v>0</v>
      </c>
    </row>
    <row r="1730" spans="1:18" x14ac:dyDescent="0.35">
      <c r="A1730">
        <v>1729</v>
      </c>
      <c r="B1730" s="1">
        <v>46031</v>
      </c>
      <c r="C1730">
        <v>1346</v>
      </c>
      <c r="D1730" t="s">
        <v>22</v>
      </c>
      <c r="E1730" t="s">
        <v>29</v>
      </c>
      <c r="F1730" t="s">
        <v>34</v>
      </c>
      <c r="G1730">
        <v>4</v>
      </c>
      <c r="H1730">
        <v>0</v>
      </c>
      <c r="I1730" t="s">
        <v>25</v>
      </c>
      <c r="J1730" t="s">
        <v>31</v>
      </c>
      <c r="K1730" t="s">
        <v>38</v>
      </c>
      <c r="L1730">
        <v>10</v>
      </c>
      <c r="M1730">
        <v>1</v>
      </c>
      <c r="N1730">
        <v>0</v>
      </c>
      <c r="O1730" t="s">
        <v>27</v>
      </c>
      <c r="P1730" t="str">
        <f>TEXT(Table1[[#This Row],[order_date]],"yyyy-mm")</f>
        <v>2026-01</v>
      </c>
      <c r="Q1730">
        <f>WEEKNUM(Table1[[#This Row],[order_date]])</f>
        <v>2</v>
      </c>
      <c r="R1730">
        <f>IF(Table1[[#This Row],[order_status]]="completed",1,0)</f>
        <v>0</v>
      </c>
    </row>
    <row r="1731" spans="1:18" x14ac:dyDescent="0.35">
      <c r="A1731">
        <v>1730</v>
      </c>
      <c r="B1731" s="1">
        <v>45934</v>
      </c>
      <c r="C1731">
        <v>1502</v>
      </c>
      <c r="D1731" t="s">
        <v>15</v>
      </c>
      <c r="E1731" t="s">
        <v>33</v>
      </c>
      <c r="F1731" t="s">
        <v>17</v>
      </c>
      <c r="G1731">
        <v>4</v>
      </c>
      <c r="H1731">
        <v>0</v>
      </c>
      <c r="I1731" t="s">
        <v>18</v>
      </c>
      <c r="J1731" t="s">
        <v>37</v>
      </c>
      <c r="K1731" t="s">
        <v>20</v>
      </c>
      <c r="L1731">
        <v>4</v>
      </c>
      <c r="M1731">
        <v>0</v>
      </c>
      <c r="N1731">
        <v>1</v>
      </c>
      <c r="O1731" t="s">
        <v>21</v>
      </c>
      <c r="P1731" t="str">
        <f>TEXT(Table1[[#This Row],[order_date]],"yyyy-mm")</f>
        <v>2025-10</v>
      </c>
      <c r="Q1731">
        <f>WEEKNUM(Table1[[#This Row],[order_date]])</f>
        <v>40</v>
      </c>
      <c r="R1731">
        <f>IF(Table1[[#This Row],[order_status]]="completed",1,0)</f>
        <v>0</v>
      </c>
    </row>
    <row r="1732" spans="1:18" x14ac:dyDescent="0.35">
      <c r="A1732">
        <v>1731</v>
      </c>
      <c r="B1732" s="1">
        <v>45985</v>
      </c>
      <c r="C1732">
        <v>1428</v>
      </c>
      <c r="D1732" t="s">
        <v>15</v>
      </c>
      <c r="E1732" t="s">
        <v>23</v>
      </c>
      <c r="F1732" t="s">
        <v>17</v>
      </c>
      <c r="G1732">
        <v>2</v>
      </c>
      <c r="H1732">
        <v>4156</v>
      </c>
      <c r="I1732" t="s">
        <v>35</v>
      </c>
      <c r="J1732" t="s">
        <v>19</v>
      </c>
      <c r="K1732" t="s">
        <v>38</v>
      </c>
      <c r="L1732">
        <v>10</v>
      </c>
      <c r="M1732">
        <v>0</v>
      </c>
      <c r="N1732">
        <v>1</v>
      </c>
      <c r="O1732" t="s">
        <v>27</v>
      </c>
      <c r="P1732" t="str">
        <f>TEXT(Table1[[#This Row],[order_date]],"yyyy-mm")</f>
        <v>2025-11</v>
      </c>
      <c r="Q1732">
        <f>WEEKNUM(Table1[[#This Row],[order_date]])</f>
        <v>48</v>
      </c>
      <c r="R1732">
        <f>IF(Table1[[#This Row],[order_status]]="completed",1,0)</f>
        <v>1</v>
      </c>
    </row>
    <row r="1733" spans="1:18" x14ac:dyDescent="0.35">
      <c r="A1733">
        <v>1732</v>
      </c>
      <c r="B1733" s="1">
        <v>46015</v>
      </c>
      <c r="C1733">
        <v>1999</v>
      </c>
      <c r="D1733" t="s">
        <v>15</v>
      </c>
      <c r="E1733" t="s">
        <v>36</v>
      </c>
      <c r="F1733" t="s">
        <v>24</v>
      </c>
      <c r="G1733">
        <v>1</v>
      </c>
      <c r="H1733">
        <v>0</v>
      </c>
      <c r="I1733" t="s">
        <v>35</v>
      </c>
      <c r="J1733" t="s">
        <v>37</v>
      </c>
      <c r="K1733" t="s">
        <v>40</v>
      </c>
      <c r="L1733">
        <v>6</v>
      </c>
      <c r="M1733">
        <v>1</v>
      </c>
      <c r="N1733">
        <v>0</v>
      </c>
      <c r="O1733" t="s">
        <v>27</v>
      </c>
      <c r="P1733" t="str">
        <f>TEXT(Table1[[#This Row],[order_date]],"yyyy-mm")</f>
        <v>2025-12</v>
      </c>
      <c r="Q1733">
        <f>WEEKNUM(Table1[[#This Row],[order_date]])</f>
        <v>52</v>
      </c>
      <c r="R1733">
        <f>IF(Table1[[#This Row],[order_status]]="completed",1,0)</f>
        <v>0</v>
      </c>
    </row>
    <row r="1734" spans="1:18" x14ac:dyDescent="0.35">
      <c r="A1734">
        <v>1733</v>
      </c>
      <c r="B1734" s="1">
        <v>45966</v>
      </c>
      <c r="C1734">
        <v>1991</v>
      </c>
      <c r="D1734" t="s">
        <v>28</v>
      </c>
      <c r="E1734" t="s">
        <v>23</v>
      </c>
      <c r="F1734" t="s">
        <v>30</v>
      </c>
      <c r="G1734">
        <v>5</v>
      </c>
      <c r="H1734">
        <v>1365</v>
      </c>
      <c r="I1734" t="s">
        <v>35</v>
      </c>
      <c r="J1734" t="s">
        <v>19</v>
      </c>
      <c r="K1734" t="s">
        <v>38</v>
      </c>
      <c r="L1734">
        <v>1</v>
      </c>
      <c r="M1734">
        <v>0</v>
      </c>
      <c r="N1734">
        <v>1</v>
      </c>
      <c r="O1734" t="s">
        <v>27</v>
      </c>
      <c r="P1734" t="str">
        <f>TEXT(Table1[[#This Row],[order_date]],"yyyy-mm")</f>
        <v>2025-11</v>
      </c>
      <c r="Q1734">
        <f>WEEKNUM(Table1[[#This Row],[order_date]])</f>
        <v>45</v>
      </c>
      <c r="R1734">
        <f>IF(Table1[[#This Row],[order_status]]="completed",1,0)</f>
        <v>1</v>
      </c>
    </row>
    <row r="1735" spans="1:18" x14ac:dyDescent="0.35">
      <c r="A1735">
        <v>1734</v>
      </c>
      <c r="B1735" s="1">
        <v>45925</v>
      </c>
      <c r="C1735">
        <v>1726</v>
      </c>
      <c r="D1735" t="s">
        <v>22</v>
      </c>
      <c r="E1735" t="s">
        <v>16</v>
      </c>
      <c r="F1735" t="s">
        <v>34</v>
      </c>
      <c r="G1735">
        <v>4</v>
      </c>
      <c r="H1735">
        <v>0</v>
      </c>
      <c r="I1735" t="s">
        <v>35</v>
      </c>
      <c r="J1735" t="s">
        <v>37</v>
      </c>
      <c r="K1735" t="s">
        <v>20</v>
      </c>
      <c r="L1735">
        <v>5</v>
      </c>
      <c r="M1735">
        <v>0</v>
      </c>
      <c r="N1735">
        <v>0</v>
      </c>
      <c r="O1735" t="s">
        <v>27</v>
      </c>
      <c r="P1735" t="str">
        <f>TEXT(Table1[[#This Row],[order_date]],"yyyy-mm")</f>
        <v>2025-09</v>
      </c>
      <c r="Q1735">
        <f>WEEKNUM(Table1[[#This Row],[order_date]])</f>
        <v>39</v>
      </c>
      <c r="R1735">
        <f>IF(Table1[[#This Row],[order_status]]="completed",1,0)</f>
        <v>0</v>
      </c>
    </row>
    <row r="1736" spans="1:18" x14ac:dyDescent="0.35">
      <c r="A1736">
        <v>1735</v>
      </c>
      <c r="B1736" s="1">
        <v>45874</v>
      </c>
      <c r="C1736">
        <v>1212</v>
      </c>
      <c r="D1736" t="s">
        <v>22</v>
      </c>
      <c r="E1736" t="s">
        <v>29</v>
      </c>
      <c r="F1736" t="s">
        <v>34</v>
      </c>
      <c r="G1736">
        <v>5</v>
      </c>
      <c r="H1736">
        <v>0</v>
      </c>
      <c r="I1736" t="s">
        <v>18</v>
      </c>
      <c r="J1736" t="s">
        <v>37</v>
      </c>
      <c r="K1736" t="s">
        <v>38</v>
      </c>
      <c r="L1736">
        <v>6</v>
      </c>
      <c r="M1736">
        <v>1</v>
      </c>
      <c r="N1736">
        <v>1</v>
      </c>
      <c r="O1736" t="s">
        <v>27</v>
      </c>
      <c r="P1736" t="str">
        <f>TEXT(Table1[[#This Row],[order_date]],"yyyy-mm")</f>
        <v>2025-08</v>
      </c>
      <c r="Q1736">
        <f>WEEKNUM(Table1[[#This Row],[order_date]])</f>
        <v>32</v>
      </c>
      <c r="R1736">
        <f>IF(Table1[[#This Row],[order_status]]="completed",1,0)</f>
        <v>0</v>
      </c>
    </row>
    <row r="1737" spans="1:18" x14ac:dyDescent="0.35">
      <c r="A1737">
        <v>1736</v>
      </c>
      <c r="B1737" s="1">
        <v>45964</v>
      </c>
      <c r="C1737">
        <v>1343</v>
      </c>
      <c r="D1737" t="s">
        <v>28</v>
      </c>
      <c r="E1737" t="s">
        <v>33</v>
      </c>
      <c r="F1737" t="s">
        <v>34</v>
      </c>
      <c r="G1737">
        <v>5</v>
      </c>
      <c r="H1737">
        <v>0</v>
      </c>
      <c r="I1737" t="s">
        <v>39</v>
      </c>
      <c r="J1737" t="s">
        <v>31</v>
      </c>
      <c r="K1737" t="s">
        <v>20</v>
      </c>
      <c r="L1737">
        <v>8</v>
      </c>
      <c r="M1737">
        <v>1</v>
      </c>
      <c r="N1737">
        <v>1</v>
      </c>
      <c r="O1737" t="s">
        <v>27</v>
      </c>
      <c r="P1737" t="str">
        <f>TEXT(Table1[[#This Row],[order_date]],"yyyy-mm")</f>
        <v>2025-11</v>
      </c>
      <c r="Q1737">
        <f>WEEKNUM(Table1[[#This Row],[order_date]])</f>
        <v>45</v>
      </c>
      <c r="R1737">
        <f>IF(Table1[[#This Row],[order_status]]="completed",1,0)</f>
        <v>0</v>
      </c>
    </row>
    <row r="1738" spans="1:18" x14ac:dyDescent="0.35">
      <c r="A1738">
        <v>1737</v>
      </c>
      <c r="B1738" s="1">
        <v>45940</v>
      </c>
      <c r="C1738">
        <v>1518</v>
      </c>
      <c r="D1738" t="s">
        <v>41</v>
      </c>
      <c r="E1738" t="s">
        <v>36</v>
      </c>
      <c r="F1738" t="s">
        <v>30</v>
      </c>
      <c r="G1738">
        <v>5</v>
      </c>
      <c r="H1738">
        <v>0</v>
      </c>
      <c r="I1738" t="s">
        <v>18</v>
      </c>
      <c r="J1738" t="s">
        <v>37</v>
      </c>
      <c r="K1738" t="s">
        <v>20</v>
      </c>
      <c r="L1738">
        <v>3</v>
      </c>
      <c r="M1738">
        <v>0</v>
      </c>
      <c r="N1738">
        <v>1</v>
      </c>
      <c r="O1738" t="s">
        <v>27</v>
      </c>
      <c r="P1738" t="str">
        <f>TEXT(Table1[[#This Row],[order_date]],"yyyy-mm")</f>
        <v>2025-10</v>
      </c>
      <c r="Q1738">
        <f>WEEKNUM(Table1[[#This Row],[order_date]])</f>
        <v>41</v>
      </c>
      <c r="R1738">
        <f>IF(Table1[[#This Row],[order_status]]="completed",1,0)</f>
        <v>0</v>
      </c>
    </row>
    <row r="1739" spans="1:18" x14ac:dyDescent="0.35">
      <c r="A1739">
        <v>1738</v>
      </c>
      <c r="B1739" s="1">
        <v>45877</v>
      </c>
      <c r="C1739">
        <v>1146</v>
      </c>
      <c r="D1739" t="s">
        <v>22</v>
      </c>
      <c r="E1739" t="s">
        <v>23</v>
      </c>
      <c r="F1739" t="s">
        <v>17</v>
      </c>
      <c r="G1739">
        <v>1</v>
      </c>
      <c r="H1739">
        <v>0</v>
      </c>
      <c r="I1739" t="s">
        <v>35</v>
      </c>
      <c r="J1739" t="s">
        <v>31</v>
      </c>
      <c r="K1739" t="s">
        <v>38</v>
      </c>
      <c r="L1739">
        <v>8</v>
      </c>
      <c r="M1739">
        <v>0</v>
      </c>
      <c r="N1739">
        <v>1</v>
      </c>
      <c r="O1739" t="s">
        <v>21</v>
      </c>
      <c r="P1739" t="str">
        <f>TEXT(Table1[[#This Row],[order_date]],"yyyy-mm")</f>
        <v>2025-08</v>
      </c>
      <c r="Q1739">
        <f>WEEKNUM(Table1[[#This Row],[order_date]])</f>
        <v>32</v>
      </c>
      <c r="R1739">
        <f>IF(Table1[[#This Row],[order_status]]="completed",1,0)</f>
        <v>0</v>
      </c>
    </row>
    <row r="1740" spans="1:18" x14ac:dyDescent="0.35">
      <c r="A1740">
        <v>1739</v>
      </c>
      <c r="B1740" s="1">
        <v>45923</v>
      </c>
      <c r="C1740">
        <v>1575</v>
      </c>
      <c r="D1740" t="s">
        <v>15</v>
      </c>
      <c r="E1740" t="s">
        <v>16</v>
      </c>
      <c r="F1740" t="s">
        <v>24</v>
      </c>
      <c r="G1740">
        <v>1</v>
      </c>
      <c r="H1740">
        <v>2806</v>
      </c>
      <c r="I1740" t="s">
        <v>39</v>
      </c>
      <c r="J1740" t="s">
        <v>19</v>
      </c>
      <c r="K1740" t="s">
        <v>38</v>
      </c>
      <c r="L1740">
        <v>1</v>
      </c>
      <c r="M1740">
        <v>0</v>
      </c>
      <c r="N1740">
        <v>0</v>
      </c>
      <c r="O1740" t="s">
        <v>21</v>
      </c>
      <c r="P1740" t="str">
        <f>TEXT(Table1[[#This Row],[order_date]],"yyyy-mm")</f>
        <v>2025-09</v>
      </c>
      <c r="Q1740">
        <f>WEEKNUM(Table1[[#This Row],[order_date]])</f>
        <v>39</v>
      </c>
      <c r="R1740">
        <f>IF(Table1[[#This Row],[order_status]]="completed",1,0)</f>
        <v>1</v>
      </c>
    </row>
    <row r="1741" spans="1:18" x14ac:dyDescent="0.35">
      <c r="A1741">
        <v>1740</v>
      </c>
      <c r="B1741" s="1">
        <v>45959</v>
      </c>
      <c r="C1741">
        <v>1687</v>
      </c>
      <c r="D1741" t="s">
        <v>22</v>
      </c>
      <c r="E1741" t="s">
        <v>36</v>
      </c>
      <c r="F1741" t="s">
        <v>30</v>
      </c>
      <c r="G1741">
        <v>1</v>
      </c>
      <c r="H1741">
        <v>0</v>
      </c>
      <c r="I1741" t="s">
        <v>25</v>
      </c>
      <c r="J1741" t="s">
        <v>31</v>
      </c>
      <c r="K1741" t="s">
        <v>40</v>
      </c>
      <c r="L1741">
        <v>3</v>
      </c>
      <c r="M1741">
        <v>0</v>
      </c>
      <c r="N1741">
        <v>0</v>
      </c>
      <c r="O1741" t="s">
        <v>27</v>
      </c>
      <c r="P1741" t="str">
        <f>TEXT(Table1[[#This Row],[order_date]],"yyyy-mm")</f>
        <v>2025-10</v>
      </c>
      <c r="Q1741">
        <f>WEEKNUM(Table1[[#This Row],[order_date]])</f>
        <v>44</v>
      </c>
      <c r="R1741">
        <f>IF(Table1[[#This Row],[order_status]]="completed",1,0)</f>
        <v>0</v>
      </c>
    </row>
    <row r="1742" spans="1:18" x14ac:dyDescent="0.35">
      <c r="A1742">
        <v>1741</v>
      </c>
      <c r="B1742" s="1">
        <v>45976</v>
      </c>
      <c r="C1742">
        <v>1014</v>
      </c>
      <c r="D1742" t="s">
        <v>22</v>
      </c>
      <c r="E1742" t="s">
        <v>33</v>
      </c>
      <c r="F1742" t="s">
        <v>34</v>
      </c>
      <c r="G1742">
        <v>5</v>
      </c>
      <c r="H1742">
        <v>0</v>
      </c>
      <c r="I1742" t="s">
        <v>18</v>
      </c>
      <c r="J1742" t="s">
        <v>37</v>
      </c>
      <c r="K1742" t="s">
        <v>38</v>
      </c>
      <c r="L1742">
        <v>2</v>
      </c>
      <c r="M1742">
        <v>0</v>
      </c>
      <c r="N1742">
        <v>0</v>
      </c>
      <c r="O1742" t="s">
        <v>27</v>
      </c>
      <c r="P1742" t="str">
        <f>TEXT(Table1[[#This Row],[order_date]],"yyyy-mm")</f>
        <v>2025-11</v>
      </c>
      <c r="Q1742">
        <f>WEEKNUM(Table1[[#This Row],[order_date]])</f>
        <v>46</v>
      </c>
      <c r="R1742">
        <f>IF(Table1[[#This Row],[order_status]]="completed",1,0)</f>
        <v>0</v>
      </c>
    </row>
    <row r="1743" spans="1:18" x14ac:dyDescent="0.35">
      <c r="A1743">
        <v>1742</v>
      </c>
      <c r="B1743" s="1">
        <v>45958</v>
      </c>
      <c r="C1743">
        <v>1018</v>
      </c>
      <c r="D1743" t="s">
        <v>28</v>
      </c>
      <c r="E1743" t="s">
        <v>29</v>
      </c>
      <c r="F1743" t="s">
        <v>24</v>
      </c>
      <c r="G1743">
        <v>1</v>
      </c>
      <c r="H1743">
        <v>1998</v>
      </c>
      <c r="I1743" t="s">
        <v>25</v>
      </c>
      <c r="J1743" t="s">
        <v>19</v>
      </c>
      <c r="K1743" t="s">
        <v>40</v>
      </c>
      <c r="L1743">
        <v>3</v>
      </c>
      <c r="M1743">
        <v>1</v>
      </c>
      <c r="N1743">
        <v>0</v>
      </c>
      <c r="O1743" t="s">
        <v>21</v>
      </c>
      <c r="P1743" t="str">
        <f>TEXT(Table1[[#This Row],[order_date]],"yyyy-mm")</f>
        <v>2025-10</v>
      </c>
      <c r="Q1743">
        <f>WEEKNUM(Table1[[#This Row],[order_date]])</f>
        <v>44</v>
      </c>
      <c r="R1743">
        <f>IF(Table1[[#This Row],[order_status]]="completed",1,0)</f>
        <v>1</v>
      </c>
    </row>
    <row r="1744" spans="1:18" x14ac:dyDescent="0.35">
      <c r="A1744">
        <v>1743</v>
      </c>
      <c r="B1744" s="1">
        <v>45858</v>
      </c>
      <c r="C1744">
        <v>1797</v>
      </c>
      <c r="D1744" t="s">
        <v>22</v>
      </c>
      <c r="E1744" t="s">
        <v>16</v>
      </c>
      <c r="F1744" t="s">
        <v>30</v>
      </c>
      <c r="G1744">
        <v>4</v>
      </c>
      <c r="H1744">
        <v>0</v>
      </c>
      <c r="I1744" t="s">
        <v>18</v>
      </c>
      <c r="J1744" t="s">
        <v>37</v>
      </c>
      <c r="K1744" t="s">
        <v>38</v>
      </c>
      <c r="L1744">
        <v>9</v>
      </c>
      <c r="M1744">
        <v>0</v>
      </c>
      <c r="N1744">
        <v>0</v>
      </c>
      <c r="O1744" t="s">
        <v>21</v>
      </c>
      <c r="P1744" t="str">
        <f>TEXT(Table1[[#This Row],[order_date]],"yyyy-mm")</f>
        <v>2025-07</v>
      </c>
      <c r="Q1744">
        <f>WEEKNUM(Table1[[#This Row],[order_date]])</f>
        <v>30</v>
      </c>
      <c r="R1744">
        <f>IF(Table1[[#This Row],[order_status]]="completed",1,0)</f>
        <v>0</v>
      </c>
    </row>
    <row r="1745" spans="1:18" x14ac:dyDescent="0.35">
      <c r="A1745">
        <v>1744</v>
      </c>
      <c r="B1745" s="1">
        <v>45954</v>
      </c>
      <c r="C1745">
        <v>1961</v>
      </c>
      <c r="D1745" t="s">
        <v>22</v>
      </c>
      <c r="E1745" t="s">
        <v>36</v>
      </c>
      <c r="F1745" t="s">
        <v>24</v>
      </c>
      <c r="G1745">
        <v>4</v>
      </c>
      <c r="H1745">
        <v>0</v>
      </c>
      <c r="I1745" t="s">
        <v>35</v>
      </c>
      <c r="J1745" t="s">
        <v>37</v>
      </c>
      <c r="K1745" t="s">
        <v>40</v>
      </c>
      <c r="L1745">
        <v>5</v>
      </c>
      <c r="M1745">
        <v>0</v>
      </c>
      <c r="N1745">
        <v>0</v>
      </c>
      <c r="O1745" t="s">
        <v>27</v>
      </c>
      <c r="P1745" t="str">
        <f>TEXT(Table1[[#This Row],[order_date]],"yyyy-mm")</f>
        <v>2025-10</v>
      </c>
      <c r="Q1745">
        <f>WEEKNUM(Table1[[#This Row],[order_date]])</f>
        <v>43</v>
      </c>
      <c r="R1745">
        <f>IF(Table1[[#This Row],[order_status]]="completed",1,0)</f>
        <v>0</v>
      </c>
    </row>
    <row r="1746" spans="1:18" x14ac:dyDescent="0.35">
      <c r="A1746">
        <v>1745</v>
      </c>
      <c r="B1746" s="1">
        <v>45879</v>
      </c>
      <c r="C1746">
        <v>1416</v>
      </c>
      <c r="D1746" t="s">
        <v>28</v>
      </c>
      <c r="E1746" t="s">
        <v>33</v>
      </c>
      <c r="F1746" t="s">
        <v>17</v>
      </c>
      <c r="G1746">
        <v>4</v>
      </c>
      <c r="H1746">
        <v>0</v>
      </c>
      <c r="I1746" t="s">
        <v>39</v>
      </c>
      <c r="J1746" t="s">
        <v>37</v>
      </c>
      <c r="K1746" t="s">
        <v>40</v>
      </c>
      <c r="L1746">
        <v>10</v>
      </c>
      <c r="M1746">
        <v>0</v>
      </c>
      <c r="N1746">
        <v>0</v>
      </c>
      <c r="O1746" t="s">
        <v>21</v>
      </c>
      <c r="P1746" t="str">
        <f>TEXT(Table1[[#This Row],[order_date]],"yyyy-mm")</f>
        <v>2025-08</v>
      </c>
      <c r="Q1746">
        <f>WEEKNUM(Table1[[#This Row],[order_date]])</f>
        <v>33</v>
      </c>
      <c r="R1746">
        <f>IF(Table1[[#This Row],[order_status]]="completed",1,0)</f>
        <v>0</v>
      </c>
    </row>
    <row r="1747" spans="1:18" x14ac:dyDescent="0.35">
      <c r="A1747">
        <v>1746</v>
      </c>
      <c r="B1747" s="1">
        <v>45937</v>
      </c>
      <c r="C1747">
        <v>1752</v>
      </c>
      <c r="D1747" t="s">
        <v>22</v>
      </c>
      <c r="E1747" t="s">
        <v>33</v>
      </c>
      <c r="F1747" t="s">
        <v>17</v>
      </c>
      <c r="G1747">
        <v>2</v>
      </c>
      <c r="H1747">
        <v>1620</v>
      </c>
      <c r="I1747" t="s">
        <v>18</v>
      </c>
      <c r="J1747" t="s">
        <v>19</v>
      </c>
      <c r="K1747" t="s">
        <v>40</v>
      </c>
      <c r="L1747">
        <v>4</v>
      </c>
      <c r="M1747">
        <v>0</v>
      </c>
      <c r="N1747">
        <v>1</v>
      </c>
      <c r="O1747" t="s">
        <v>27</v>
      </c>
      <c r="P1747" t="str">
        <f>TEXT(Table1[[#This Row],[order_date]],"yyyy-mm")</f>
        <v>2025-10</v>
      </c>
      <c r="Q1747">
        <f>WEEKNUM(Table1[[#This Row],[order_date]])</f>
        <v>41</v>
      </c>
      <c r="R1747">
        <f>IF(Table1[[#This Row],[order_status]]="completed",1,0)</f>
        <v>1</v>
      </c>
    </row>
    <row r="1748" spans="1:18" x14ac:dyDescent="0.35">
      <c r="A1748">
        <v>1747</v>
      </c>
      <c r="B1748" s="1">
        <v>45950</v>
      </c>
      <c r="C1748">
        <v>1767</v>
      </c>
      <c r="D1748" t="s">
        <v>32</v>
      </c>
      <c r="E1748" t="s">
        <v>33</v>
      </c>
      <c r="F1748" t="s">
        <v>34</v>
      </c>
      <c r="G1748">
        <v>5</v>
      </c>
      <c r="H1748">
        <v>0</v>
      </c>
      <c r="I1748" t="s">
        <v>18</v>
      </c>
      <c r="J1748" t="s">
        <v>31</v>
      </c>
      <c r="K1748" t="s">
        <v>20</v>
      </c>
      <c r="L1748">
        <v>8</v>
      </c>
      <c r="M1748">
        <v>1</v>
      </c>
      <c r="N1748">
        <v>1</v>
      </c>
      <c r="O1748" t="s">
        <v>21</v>
      </c>
      <c r="P1748" t="str">
        <f>TEXT(Table1[[#This Row],[order_date]],"yyyy-mm")</f>
        <v>2025-10</v>
      </c>
      <c r="Q1748">
        <f>WEEKNUM(Table1[[#This Row],[order_date]])</f>
        <v>43</v>
      </c>
      <c r="R1748">
        <f>IF(Table1[[#This Row],[order_status]]="completed",1,0)</f>
        <v>0</v>
      </c>
    </row>
    <row r="1749" spans="1:18" x14ac:dyDescent="0.35">
      <c r="A1749">
        <v>1748</v>
      </c>
      <c r="B1749" s="1">
        <v>45910</v>
      </c>
      <c r="C1749">
        <v>1647</v>
      </c>
      <c r="D1749" t="s">
        <v>32</v>
      </c>
      <c r="E1749" t="s">
        <v>16</v>
      </c>
      <c r="F1749" t="s">
        <v>24</v>
      </c>
      <c r="G1749">
        <v>1</v>
      </c>
      <c r="H1749">
        <v>4136</v>
      </c>
      <c r="I1749" t="s">
        <v>35</v>
      </c>
      <c r="J1749" t="s">
        <v>19</v>
      </c>
      <c r="K1749" t="s">
        <v>20</v>
      </c>
      <c r="L1749">
        <v>8</v>
      </c>
      <c r="M1749">
        <v>0</v>
      </c>
      <c r="N1749">
        <v>1</v>
      </c>
      <c r="O1749" t="s">
        <v>21</v>
      </c>
      <c r="P1749" t="str">
        <f>TEXT(Table1[[#This Row],[order_date]],"yyyy-mm")</f>
        <v>2025-09</v>
      </c>
      <c r="Q1749">
        <f>WEEKNUM(Table1[[#This Row],[order_date]])</f>
        <v>37</v>
      </c>
      <c r="R1749">
        <f>IF(Table1[[#This Row],[order_status]]="completed",1,0)</f>
        <v>1</v>
      </c>
    </row>
    <row r="1750" spans="1:18" x14ac:dyDescent="0.35">
      <c r="A1750">
        <v>1749</v>
      </c>
      <c r="B1750" s="1">
        <v>45956</v>
      </c>
      <c r="C1750">
        <v>1013</v>
      </c>
      <c r="D1750" t="s">
        <v>32</v>
      </c>
      <c r="E1750" t="s">
        <v>33</v>
      </c>
      <c r="F1750" t="s">
        <v>34</v>
      </c>
      <c r="G1750">
        <v>2</v>
      </c>
      <c r="H1750">
        <v>0</v>
      </c>
      <c r="I1750" t="s">
        <v>39</v>
      </c>
      <c r="J1750" t="s">
        <v>31</v>
      </c>
      <c r="K1750" t="s">
        <v>38</v>
      </c>
      <c r="L1750">
        <v>10</v>
      </c>
      <c r="M1750">
        <v>1</v>
      </c>
      <c r="N1750">
        <v>1</v>
      </c>
      <c r="O1750" t="s">
        <v>27</v>
      </c>
      <c r="P1750" t="str">
        <f>TEXT(Table1[[#This Row],[order_date]],"yyyy-mm")</f>
        <v>2025-10</v>
      </c>
      <c r="Q1750">
        <f>WEEKNUM(Table1[[#This Row],[order_date]])</f>
        <v>44</v>
      </c>
      <c r="R1750">
        <f>IF(Table1[[#This Row],[order_status]]="completed",1,0)</f>
        <v>0</v>
      </c>
    </row>
    <row r="1751" spans="1:18" x14ac:dyDescent="0.35">
      <c r="A1751">
        <v>1750</v>
      </c>
      <c r="B1751" s="1">
        <v>45931</v>
      </c>
      <c r="C1751">
        <v>1722</v>
      </c>
      <c r="D1751" t="s">
        <v>28</v>
      </c>
      <c r="E1751" t="s">
        <v>29</v>
      </c>
      <c r="F1751" t="s">
        <v>34</v>
      </c>
      <c r="G1751">
        <v>1</v>
      </c>
      <c r="H1751">
        <v>0</v>
      </c>
      <c r="I1751" t="s">
        <v>25</v>
      </c>
      <c r="J1751" t="s">
        <v>31</v>
      </c>
      <c r="K1751" t="s">
        <v>40</v>
      </c>
      <c r="L1751">
        <v>6</v>
      </c>
      <c r="M1751">
        <v>0</v>
      </c>
      <c r="N1751">
        <v>1</v>
      </c>
      <c r="O1751" t="s">
        <v>21</v>
      </c>
      <c r="P1751" t="str">
        <f>TEXT(Table1[[#This Row],[order_date]],"yyyy-mm")</f>
        <v>2025-10</v>
      </c>
      <c r="Q1751">
        <f>WEEKNUM(Table1[[#This Row],[order_date]])</f>
        <v>40</v>
      </c>
      <c r="R1751">
        <f>IF(Table1[[#This Row],[order_status]]="completed",1,0)</f>
        <v>0</v>
      </c>
    </row>
    <row r="1752" spans="1:18" x14ac:dyDescent="0.35">
      <c r="A1752">
        <v>1751</v>
      </c>
      <c r="B1752" s="1">
        <v>46000</v>
      </c>
      <c r="C1752">
        <v>1699</v>
      </c>
      <c r="D1752" t="s">
        <v>15</v>
      </c>
      <c r="E1752" t="s">
        <v>16</v>
      </c>
      <c r="F1752" t="s">
        <v>24</v>
      </c>
      <c r="G1752">
        <v>1</v>
      </c>
      <c r="H1752">
        <v>0</v>
      </c>
      <c r="I1752" t="s">
        <v>18</v>
      </c>
      <c r="J1752" t="s">
        <v>31</v>
      </c>
      <c r="K1752" t="s">
        <v>26</v>
      </c>
      <c r="L1752">
        <v>1</v>
      </c>
      <c r="M1752">
        <v>0</v>
      </c>
      <c r="N1752">
        <v>0</v>
      </c>
      <c r="O1752" t="s">
        <v>21</v>
      </c>
      <c r="P1752" t="str">
        <f>TEXT(Table1[[#This Row],[order_date]],"yyyy-mm")</f>
        <v>2025-12</v>
      </c>
      <c r="Q1752">
        <f>WEEKNUM(Table1[[#This Row],[order_date]])</f>
        <v>50</v>
      </c>
      <c r="R1752">
        <f>IF(Table1[[#This Row],[order_status]]="completed",1,0)</f>
        <v>0</v>
      </c>
    </row>
    <row r="1753" spans="1:18" x14ac:dyDescent="0.35">
      <c r="A1753">
        <v>1752</v>
      </c>
      <c r="B1753" s="1">
        <v>45955</v>
      </c>
      <c r="C1753">
        <v>1593</v>
      </c>
      <c r="D1753" t="s">
        <v>41</v>
      </c>
      <c r="E1753" t="s">
        <v>23</v>
      </c>
      <c r="F1753" t="s">
        <v>30</v>
      </c>
      <c r="G1753">
        <v>2</v>
      </c>
      <c r="H1753">
        <v>8016</v>
      </c>
      <c r="I1753" t="s">
        <v>39</v>
      </c>
      <c r="J1753" t="s">
        <v>19</v>
      </c>
      <c r="K1753" t="s">
        <v>26</v>
      </c>
      <c r="L1753">
        <v>5</v>
      </c>
      <c r="M1753">
        <v>1</v>
      </c>
      <c r="N1753">
        <v>1</v>
      </c>
      <c r="O1753" t="s">
        <v>27</v>
      </c>
      <c r="P1753" t="str">
        <f>TEXT(Table1[[#This Row],[order_date]],"yyyy-mm")</f>
        <v>2025-10</v>
      </c>
      <c r="Q1753">
        <f>WEEKNUM(Table1[[#This Row],[order_date]])</f>
        <v>43</v>
      </c>
      <c r="R1753">
        <f>IF(Table1[[#This Row],[order_status]]="completed",1,0)</f>
        <v>1</v>
      </c>
    </row>
    <row r="1754" spans="1:18" x14ac:dyDescent="0.35">
      <c r="A1754">
        <v>1753</v>
      </c>
      <c r="B1754" s="1">
        <v>45977</v>
      </c>
      <c r="C1754">
        <v>1528</v>
      </c>
      <c r="D1754" t="s">
        <v>22</v>
      </c>
      <c r="E1754" t="s">
        <v>23</v>
      </c>
      <c r="F1754" t="s">
        <v>24</v>
      </c>
      <c r="G1754">
        <v>2</v>
      </c>
      <c r="H1754">
        <v>1914</v>
      </c>
      <c r="I1754" t="s">
        <v>39</v>
      </c>
      <c r="J1754" t="s">
        <v>19</v>
      </c>
      <c r="K1754" t="s">
        <v>40</v>
      </c>
      <c r="L1754">
        <v>3</v>
      </c>
      <c r="M1754">
        <v>0</v>
      </c>
      <c r="N1754">
        <v>1</v>
      </c>
      <c r="O1754" t="s">
        <v>21</v>
      </c>
      <c r="P1754" t="str">
        <f>TEXT(Table1[[#This Row],[order_date]],"yyyy-mm")</f>
        <v>2025-11</v>
      </c>
      <c r="Q1754">
        <f>WEEKNUM(Table1[[#This Row],[order_date]])</f>
        <v>47</v>
      </c>
      <c r="R1754">
        <f>IF(Table1[[#This Row],[order_status]]="completed",1,0)</f>
        <v>1</v>
      </c>
    </row>
    <row r="1755" spans="1:18" x14ac:dyDescent="0.35">
      <c r="A1755">
        <v>1754</v>
      </c>
      <c r="B1755" s="1">
        <v>45965</v>
      </c>
      <c r="C1755">
        <v>1175</v>
      </c>
      <c r="D1755" t="s">
        <v>28</v>
      </c>
      <c r="E1755" t="s">
        <v>33</v>
      </c>
      <c r="F1755" t="s">
        <v>30</v>
      </c>
      <c r="G1755">
        <v>1</v>
      </c>
      <c r="H1755">
        <v>0</v>
      </c>
      <c r="I1755" t="s">
        <v>39</v>
      </c>
      <c r="J1755" t="s">
        <v>37</v>
      </c>
      <c r="K1755" t="s">
        <v>26</v>
      </c>
      <c r="L1755">
        <v>10</v>
      </c>
      <c r="M1755">
        <v>1</v>
      </c>
      <c r="N1755">
        <v>0</v>
      </c>
      <c r="O1755" t="s">
        <v>21</v>
      </c>
      <c r="P1755" t="str">
        <f>TEXT(Table1[[#This Row],[order_date]],"yyyy-mm")</f>
        <v>2025-11</v>
      </c>
      <c r="Q1755">
        <f>WEEKNUM(Table1[[#This Row],[order_date]])</f>
        <v>45</v>
      </c>
      <c r="R1755">
        <f>IF(Table1[[#This Row],[order_status]]="completed",1,0)</f>
        <v>0</v>
      </c>
    </row>
    <row r="1756" spans="1:18" x14ac:dyDescent="0.35">
      <c r="A1756">
        <v>1755</v>
      </c>
      <c r="B1756" s="1">
        <v>45883</v>
      </c>
      <c r="C1756">
        <v>1516</v>
      </c>
      <c r="D1756" t="s">
        <v>28</v>
      </c>
      <c r="E1756" t="s">
        <v>36</v>
      </c>
      <c r="F1756" t="s">
        <v>30</v>
      </c>
      <c r="G1756">
        <v>5</v>
      </c>
      <c r="H1756">
        <v>0</v>
      </c>
      <c r="I1756" t="s">
        <v>39</v>
      </c>
      <c r="J1756" t="s">
        <v>31</v>
      </c>
      <c r="K1756" t="s">
        <v>20</v>
      </c>
      <c r="L1756">
        <v>4</v>
      </c>
      <c r="M1756">
        <v>1</v>
      </c>
      <c r="N1756">
        <v>0</v>
      </c>
      <c r="O1756" t="s">
        <v>21</v>
      </c>
      <c r="P1756" t="str">
        <f>TEXT(Table1[[#This Row],[order_date]],"yyyy-mm")</f>
        <v>2025-08</v>
      </c>
      <c r="Q1756">
        <f>WEEKNUM(Table1[[#This Row],[order_date]])</f>
        <v>33</v>
      </c>
      <c r="R1756">
        <f>IF(Table1[[#This Row],[order_status]]="completed",1,0)</f>
        <v>0</v>
      </c>
    </row>
    <row r="1757" spans="1:18" x14ac:dyDescent="0.35">
      <c r="A1757">
        <v>1756</v>
      </c>
      <c r="B1757" s="1">
        <v>45966</v>
      </c>
      <c r="C1757">
        <v>1263</v>
      </c>
      <c r="D1757" t="s">
        <v>32</v>
      </c>
      <c r="E1757" t="s">
        <v>33</v>
      </c>
      <c r="F1757" t="s">
        <v>34</v>
      </c>
      <c r="G1757">
        <v>1</v>
      </c>
      <c r="H1757">
        <v>3831</v>
      </c>
      <c r="I1757" t="s">
        <v>25</v>
      </c>
      <c r="J1757" t="s">
        <v>19</v>
      </c>
      <c r="K1757" t="s">
        <v>26</v>
      </c>
      <c r="L1757">
        <v>1</v>
      </c>
      <c r="M1757">
        <v>1</v>
      </c>
      <c r="N1757">
        <v>0</v>
      </c>
      <c r="O1757" t="s">
        <v>21</v>
      </c>
      <c r="P1757" t="str">
        <f>TEXT(Table1[[#This Row],[order_date]],"yyyy-mm")</f>
        <v>2025-11</v>
      </c>
      <c r="Q1757">
        <f>WEEKNUM(Table1[[#This Row],[order_date]])</f>
        <v>45</v>
      </c>
      <c r="R1757">
        <f>IF(Table1[[#This Row],[order_status]]="completed",1,0)</f>
        <v>1</v>
      </c>
    </row>
    <row r="1758" spans="1:18" x14ac:dyDescent="0.35">
      <c r="A1758">
        <v>1757</v>
      </c>
      <c r="B1758" s="1">
        <v>45947</v>
      </c>
      <c r="C1758">
        <v>1267</v>
      </c>
      <c r="D1758" t="s">
        <v>41</v>
      </c>
      <c r="E1758" t="s">
        <v>29</v>
      </c>
      <c r="F1758" t="s">
        <v>17</v>
      </c>
      <c r="G1758">
        <v>1</v>
      </c>
      <c r="H1758">
        <v>0</v>
      </c>
      <c r="I1758" t="s">
        <v>25</v>
      </c>
      <c r="J1758" t="s">
        <v>37</v>
      </c>
      <c r="K1758" t="s">
        <v>20</v>
      </c>
      <c r="L1758">
        <v>5</v>
      </c>
      <c r="M1758">
        <v>0</v>
      </c>
      <c r="N1758">
        <v>0</v>
      </c>
      <c r="O1758" t="s">
        <v>27</v>
      </c>
      <c r="P1758" t="str">
        <f>TEXT(Table1[[#This Row],[order_date]],"yyyy-mm")</f>
        <v>2025-10</v>
      </c>
      <c r="Q1758">
        <f>WEEKNUM(Table1[[#This Row],[order_date]])</f>
        <v>42</v>
      </c>
      <c r="R1758">
        <f>IF(Table1[[#This Row],[order_status]]="completed",1,0)</f>
        <v>0</v>
      </c>
    </row>
    <row r="1759" spans="1:18" x14ac:dyDescent="0.35">
      <c r="A1759">
        <v>1758</v>
      </c>
      <c r="B1759" s="1">
        <v>45972</v>
      </c>
      <c r="C1759">
        <v>1233</v>
      </c>
      <c r="D1759" t="s">
        <v>28</v>
      </c>
      <c r="E1759" t="s">
        <v>23</v>
      </c>
      <c r="F1759" t="s">
        <v>30</v>
      </c>
      <c r="G1759">
        <v>1</v>
      </c>
      <c r="H1759">
        <v>0</v>
      </c>
      <c r="I1759" t="s">
        <v>18</v>
      </c>
      <c r="J1759" t="s">
        <v>37</v>
      </c>
      <c r="K1759" t="s">
        <v>40</v>
      </c>
      <c r="L1759">
        <v>3</v>
      </c>
      <c r="M1759">
        <v>0</v>
      </c>
      <c r="N1759">
        <v>0</v>
      </c>
      <c r="O1759" t="s">
        <v>27</v>
      </c>
      <c r="P1759" t="str">
        <f>TEXT(Table1[[#This Row],[order_date]],"yyyy-mm")</f>
        <v>2025-11</v>
      </c>
      <c r="Q1759">
        <f>WEEKNUM(Table1[[#This Row],[order_date]])</f>
        <v>46</v>
      </c>
      <c r="R1759">
        <f>IF(Table1[[#This Row],[order_status]]="completed",1,0)</f>
        <v>0</v>
      </c>
    </row>
    <row r="1760" spans="1:18" x14ac:dyDescent="0.35">
      <c r="A1760">
        <v>1759</v>
      </c>
      <c r="B1760" s="1">
        <v>46017</v>
      </c>
      <c r="C1760">
        <v>1367</v>
      </c>
      <c r="D1760" t="s">
        <v>15</v>
      </c>
      <c r="E1760" t="s">
        <v>16</v>
      </c>
      <c r="F1760" t="s">
        <v>30</v>
      </c>
      <c r="G1760">
        <v>1</v>
      </c>
      <c r="H1760">
        <v>1100</v>
      </c>
      <c r="I1760" t="s">
        <v>35</v>
      </c>
      <c r="J1760" t="s">
        <v>19</v>
      </c>
      <c r="K1760" t="s">
        <v>20</v>
      </c>
      <c r="L1760">
        <v>3</v>
      </c>
      <c r="M1760">
        <v>0</v>
      </c>
      <c r="N1760">
        <v>0</v>
      </c>
      <c r="O1760" t="s">
        <v>27</v>
      </c>
      <c r="P1760" t="str">
        <f>TEXT(Table1[[#This Row],[order_date]],"yyyy-mm")</f>
        <v>2025-12</v>
      </c>
      <c r="Q1760">
        <f>WEEKNUM(Table1[[#This Row],[order_date]])</f>
        <v>52</v>
      </c>
      <c r="R1760">
        <f>IF(Table1[[#This Row],[order_status]]="completed",1,0)</f>
        <v>1</v>
      </c>
    </row>
    <row r="1761" spans="1:18" x14ac:dyDescent="0.35">
      <c r="A1761">
        <v>1760</v>
      </c>
      <c r="B1761" s="1">
        <v>45934</v>
      </c>
      <c r="C1761">
        <v>1539</v>
      </c>
      <c r="D1761" t="s">
        <v>28</v>
      </c>
      <c r="E1761" t="s">
        <v>33</v>
      </c>
      <c r="F1761" t="s">
        <v>17</v>
      </c>
      <c r="G1761">
        <v>4</v>
      </c>
      <c r="H1761">
        <v>0</v>
      </c>
      <c r="I1761" t="s">
        <v>25</v>
      </c>
      <c r="J1761" t="s">
        <v>31</v>
      </c>
      <c r="K1761" t="s">
        <v>26</v>
      </c>
      <c r="L1761">
        <v>10</v>
      </c>
      <c r="M1761">
        <v>0</v>
      </c>
      <c r="N1761">
        <v>0</v>
      </c>
      <c r="O1761" t="s">
        <v>21</v>
      </c>
      <c r="P1761" t="str">
        <f>TEXT(Table1[[#This Row],[order_date]],"yyyy-mm")</f>
        <v>2025-10</v>
      </c>
      <c r="Q1761">
        <f>WEEKNUM(Table1[[#This Row],[order_date]])</f>
        <v>40</v>
      </c>
      <c r="R1761">
        <f>IF(Table1[[#This Row],[order_status]]="completed",1,0)</f>
        <v>0</v>
      </c>
    </row>
    <row r="1762" spans="1:18" x14ac:dyDescent="0.35">
      <c r="A1762">
        <v>1761</v>
      </c>
      <c r="B1762" s="1">
        <v>45874</v>
      </c>
      <c r="C1762">
        <v>1846</v>
      </c>
      <c r="D1762" t="s">
        <v>41</v>
      </c>
      <c r="E1762" t="s">
        <v>16</v>
      </c>
      <c r="F1762" t="s">
        <v>17</v>
      </c>
      <c r="G1762">
        <v>1</v>
      </c>
      <c r="H1762">
        <v>3646</v>
      </c>
      <c r="I1762" t="s">
        <v>25</v>
      </c>
      <c r="J1762" t="s">
        <v>19</v>
      </c>
      <c r="K1762" t="s">
        <v>20</v>
      </c>
      <c r="L1762">
        <v>1</v>
      </c>
      <c r="M1762">
        <v>0</v>
      </c>
      <c r="N1762">
        <v>1</v>
      </c>
      <c r="O1762" t="s">
        <v>27</v>
      </c>
      <c r="P1762" t="str">
        <f>TEXT(Table1[[#This Row],[order_date]],"yyyy-mm")</f>
        <v>2025-08</v>
      </c>
      <c r="Q1762">
        <f>WEEKNUM(Table1[[#This Row],[order_date]])</f>
        <v>32</v>
      </c>
      <c r="R1762">
        <f>IF(Table1[[#This Row],[order_status]]="completed",1,0)</f>
        <v>1</v>
      </c>
    </row>
    <row r="1763" spans="1:18" x14ac:dyDescent="0.35">
      <c r="A1763">
        <v>1762</v>
      </c>
      <c r="B1763" s="1">
        <v>45860</v>
      </c>
      <c r="C1763">
        <v>1219</v>
      </c>
      <c r="D1763" t="s">
        <v>32</v>
      </c>
      <c r="E1763" t="s">
        <v>36</v>
      </c>
      <c r="F1763" t="s">
        <v>17</v>
      </c>
      <c r="G1763">
        <v>4</v>
      </c>
      <c r="H1763">
        <v>0</v>
      </c>
      <c r="I1763" t="s">
        <v>35</v>
      </c>
      <c r="J1763" t="s">
        <v>37</v>
      </c>
      <c r="K1763" t="s">
        <v>40</v>
      </c>
      <c r="L1763">
        <v>1</v>
      </c>
      <c r="M1763">
        <v>0</v>
      </c>
      <c r="N1763">
        <v>0</v>
      </c>
      <c r="O1763" t="s">
        <v>27</v>
      </c>
      <c r="P1763" t="str">
        <f>TEXT(Table1[[#This Row],[order_date]],"yyyy-mm")</f>
        <v>2025-07</v>
      </c>
      <c r="Q1763">
        <f>WEEKNUM(Table1[[#This Row],[order_date]])</f>
        <v>30</v>
      </c>
      <c r="R1763">
        <f>IF(Table1[[#This Row],[order_status]]="completed",1,0)</f>
        <v>0</v>
      </c>
    </row>
    <row r="1764" spans="1:18" x14ac:dyDescent="0.35">
      <c r="A1764">
        <v>1763</v>
      </c>
      <c r="B1764" s="1">
        <v>45931</v>
      </c>
      <c r="C1764">
        <v>1133</v>
      </c>
      <c r="D1764" t="s">
        <v>41</v>
      </c>
      <c r="E1764" t="s">
        <v>23</v>
      </c>
      <c r="F1764" t="s">
        <v>17</v>
      </c>
      <c r="G1764">
        <v>1</v>
      </c>
      <c r="H1764">
        <v>0</v>
      </c>
      <c r="I1764" t="s">
        <v>25</v>
      </c>
      <c r="J1764" t="s">
        <v>37</v>
      </c>
      <c r="K1764" t="s">
        <v>40</v>
      </c>
      <c r="L1764">
        <v>1</v>
      </c>
      <c r="M1764">
        <v>1</v>
      </c>
      <c r="N1764">
        <v>0</v>
      </c>
      <c r="O1764" t="s">
        <v>21</v>
      </c>
      <c r="P1764" t="str">
        <f>TEXT(Table1[[#This Row],[order_date]],"yyyy-mm")</f>
        <v>2025-10</v>
      </c>
      <c r="Q1764">
        <f>WEEKNUM(Table1[[#This Row],[order_date]])</f>
        <v>40</v>
      </c>
      <c r="R1764">
        <f>IF(Table1[[#This Row],[order_status]]="completed",1,0)</f>
        <v>0</v>
      </c>
    </row>
    <row r="1765" spans="1:18" x14ac:dyDescent="0.35">
      <c r="A1765">
        <v>1764</v>
      </c>
      <c r="B1765" s="1">
        <v>45991</v>
      </c>
      <c r="C1765">
        <v>1110</v>
      </c>
      <c r="D1765" t="s">
        <v>28</v>
      </c>
      <c r="E1765" t="s">
        <v>23</v>
      </c>
      <c r="F1765" t="s">
        <v>30</v>
      </c>
      <c r="G1765">
        <v>1</v>
      </c>
      <c r="H1765">
        <v>4934</v>
      </c>
      <c r="I1765" t="s">
        <v>35</v>
      </c>
      <c r="J1765" t="s">
        <v>19</v>
      </c>
      <c r="K1765" t="s">
        <v>20</v>
      </c>
      <c r="L1765">
        <v>7</v>
      </c>
      <c r="M1765">
        <v>1</v>
      </c>
      <c r="N1765">
        <v>0</v>
      </c>
      <c r="O1765" t="s">
        <v>27</v>
      </c>
      <c r="P1765" t="str">
        <f>TEXT(Table1[[#This Row],[order_date]],"yyyy-mm")</f>
        <v>2025-11</v>
      </c>
      <c r="Q1765">
        <f>WEEKNUM(Table1[[#This Row],[order_date]])</f>
        <v>49</v>
      </c>
      <c r="R1765">
        <f>IF(Table1[[#This Row],[order_status]]="completed",1,0)</f>
        <v>1</v>
      </c>
    </row>
    <row r="1766" spans="1:18" x14ac:dyDescent="0.35">
      <c r="A1766">
        <v>1765</v>
      </c>
      <c r="B1766" s="1">
        <v>45998</v>
      </c>
      <c r="C1766">
        <v>1168</v>
      </c>
      <c r="D1766" t="s">
        <v>28</v>
      </c>
      <c r="E1766" t="s">
        <v>36</v>
      </c>
      <c r="F1766" t="s">
        <v>34</v>
      </c>
      <c r="G1766">
        <v>1</v>
      </c>
      <c r="H1766">
        <v>0</v>
      </c>
      <c r="I1766" t="s">
        <v>25</v>
      </c>
      <c r="J1766" t="s">
        <v>37</v>
      </c>
      <c r="K1766" t="s">
        <v>26</v>
      </c>
      <c r="L1766">
        <v>6</v>
      </c>
      <c r="M1766">
        <v>0</v>
      </c>
      <c r="N1766">
        <v>0</v>
      </c>
      <c r="O1766" t="s">
        <v>27</v>
      </c>
      <c r="P1766" t="str">
        <f>TEXT(Table1[[#This Row],[order_date]],"yyyy-mm")</f>
        <v>2025-12</v>
      </c>
      <c r="Q1766">
        <f>WEEKNUM(Table1[[#This Row],[order_date]])</f>
        <v>50</v>
      </c>
      <c r="R1766">
        <f>IF(Table1[[#This Row],[order_status]]="completed",1,0)</f>
        <v>0</v>
      </c>
    </row>
    <row r="1767" spans="1:18" x14ac:dyDescent="0.35">
      <c r="A1767">
        <v>1766</v>
      </c>
      <c r="B1767" s="1">
        <v>45927</v>
      </c>
      <c r="C1767">
        <v>1124</v>
      </c>
      <c r="D1767" t="s">
        <v>41</v>
      </c>
      <c r="E1767" t="s">
        <v>33</v>
      </c>
      <c r="F1767" t="s">
        <v>24</v>
      </c>
      <c r="G1767">
        <v>5</v>
      </c>
      <c r="H1767">
        <v>0</v>
      </c>
      <c r="I1767" t="s">
        <v>18</v>
      </c>
      <c r="J1767" t="s">
        <v>37</v>
      </c>
      <c r="K1767" t="s">
        <v>20</v>
      </c>
      <c r="L1767">
        <v>4</v>
      </c>
      <c r="M1767">
        <v>1</v>
      </c>
      <c r="N1767">
        <v>1</v>
      </c>
      <c r="O1767" t="s">
        <v>21</v>
      </c>
      <c r="P1767" t="str">
        <f>TEXT(Table1[[#This Row],[order_date]],"yyyy-mm")</f>
        <v>2025-09</v>
      </c>
      <c r="Q1767">
        <f>WEEKNUM(Table1[[#This Row],[order_date]])</f>
        <v>39</v>
      </c>
      <c r="R1767">
        <f>IF(Table1[[#This Row],[order_status]]="completed",1,0)</f>
        <v>0</v>
      </c>
    </row>
    <row r="1768" spans="1:18" x14ac:dyDescent="0.35">
      <c r="A1768">
        <v>1767</v>
      </c>
      <c r="B1768" s="1">
        <v>45999</v>
      </c>
      <c r="C1768">
        <v>1223</v>
      </c>
      <c r="D1768" t="s">
        <v>32</v>
      </c>
      <c r="E1768" t="s">
        <v>23</v>
      </c>
      <c r="F1768" t="s">
        <v>30</v>
      </c>
      <c r="G1768">
        <v>3</v>
      </c>
      <c r="H1768">
        <v>0</v>
      </c>
      <c r="I1768" t="s">
        <v>39</v>
      </c>
      <c r="J1768" t="s">
        <v>37</v>
      </c>
      <c r="K1768" t="s">
        <v>38</v>
      </c>
      <c r="L1768">
        <v>1</v>
      </c>
      <c r="M1768">
        <v>1</v>
      </c>
      <c r="N1768">
        <v>1</v>
      </c>
      <c r="O1768" t="s">
        <v>21</v>
      </c>
      <c r="P1768" t="str">
        <f>TEXT(Table1[[#This Row],[order_date]],"yyyy-mm")</f>
        <v>2025-12</v>
      </c>
      <c r="Q1768">
        <f>WEEKNUM(Table1[[#This Row],[order_date]])</f>
        <v>50</v>
      </c>
      <c r="R1768">
        <f>IF(Table1[[#This Row],[order_status]]="completed",1,0)</f>
        <v>0</v>
      </c>
    </row>
    <row r="1769" spans="1:18" x14ac:dyDescent="0.35">
      <c r="A1769">
        <v>1768</v>
      </c>
      <c r="B1769" s="1">
        <v>46006</v>
      </c>
      <c r="C1769">
        <v>1164</v>
      </c>
      <c r="D1769" t="s">
        <v>41</v>
      </c>
      <c r="E1769" t="s">
        <v>23</v>
      </c>
      <c r="F1769" t="s">
        <v>30</v>
      </c>
      <c r="G1769">
        <v>2</v>
      </c>
      <c r="H1769">
        <v>0</v>
      </c>
      <c r="I1769" t="s">
        <v>39</v>
      </c>
      <c r="J1769" t="s">
        <v>31</v>
      </c>
      <c r="K1769" t="s">
        <v>26</v>
      </c>
      <c r="L1769">
        <v>7</v>
      </c>
      <c r="M1769">
        <v>1</v>
      </c>
      <c r="N1769">
        <v>1</v>
      </c>
      <c r="O1769" t="s">
        <v>21</v>
      </c>
      <c r="P1769" t="str">
        <f>TEXT(Table1[[#This Row],[order_date]],"yyyy-mm")</f>
        <v>2025-12</v>
      </c>
      <c r="Q1769">
        <f>WEEKNUM(Table1[[#This Row],[order_date]])</f>
        <v>51</v>
      </c>
      <c r="R1769">
        <f>IF(Table1[[#This Row],[order_status]]="completed",1,0)</f>
        <v>0</v>
      </c>
    </row>
    <row r="1770" spans="1:18" x14ac:dyDescent="0.35">
      <c r="A1770">
        <v>1769</v>
      </c>
      <c r="B1770" s="1">
        <v>45861</v>
      </c>
      <c r="C1770">
        <v>1762</v>
      </c>
      <c r="D1770" t="s">
        <v>32</v>
      </c>
      <c r="E1770" t="s">
        <v>36</v>
      </c>
      <c r="F1770" t="s">
        <v>30</v>
      </c>
      <c r="G1770">
        <v>2</v>
      </c>
      <c r="H1770">
        <v>0</v>
      </c>
      <c r="I1770" t="s">
        <v>35</v>
      </c>
      <c r="J1770" t="s">
        <v>31</v>
      </c>
      <c r="K1770" t="s">
        <v>38</v>
      </c>
      <c r="L1770">
        <v>7</v>
      </c>
      <c r="M1770">
        <v>1</v>
      </c>
      <c r="N1770">
        <v>1</v>
      </c>
      <c r="O1770" t="s">
        <v>21</v>
      </c>
      <c r="P1770" t="str">
        <f>TEXT(Table1[[#This Row],[order_date]],"yyyy-mm")</f>
        <v>2025-07</v>
      </c>
      <c r="Q1770">
        <f>WEEKNUM(Table1[[#This Row],[order_date]])</f>
        <v>30</v>
      </c>
      <c r="R1770">
        <f>IF(Table1[[#This Row],[order_status]]="completed",1,0)</f>
        <v>0</v>
      </c>
    </row>
    <row r="1771" spans="1:18" x14ac:dyDescent="0.35">
      <c r="A1771">
        <v>1770</v>
      </c>
      <c r="B1771" s="1">
        <v>45963</v>
      </c>
      <c r="C1771">
        <v>1866</v>
      </c>
      <c r="D1771" t="s">
        <v>22</v>
      </c>
      <c r="E1771" t="s">
        <v>29</v>
      </c>
      <c r="F1771" t="s">
        <v>34</v>
      </c>
      <c r="G1771">
        <v>4</v>
      </c>
      <c r="H1771">
        <v>1428</v>
      </c>
      <c r="I1771" t="s">
        <v>18</v>
      </c>
      <c r="J1771" t="s">
        <v>19</v>
      </c>
      <c r="K1771" t="s">
        <v>38</v>
      </c>
      <c r="L1771">
        <v>1</v>
      </c>
      <c r="M1771">
        <v>0</v>
      </c>
      <c r="N1771">
        <v>1</v>
      </c>
      <c r="O1771" t="s">
        <v>27</v>
      </c>
      <c r="P1771" t="str">
        <f>TEXT(Table1[[#This Row],[order_date]],"yyyy-mm")</f>
        <v>2025-11</v>
      </c>
      <c r="Q1771">
        <f>WEEKNUM(Table1[[#This Row],[order_date]])</f>
        <v>45</v>
      </c>
      <c r="R1771">
        <f>IF(Table1[[#This Row],[order_status]]="completed",1,0)</f>
        <v>1</v>
      </c>
    </row>
    <row r="1772" spans="1:18" x14ac:dyDescent="0.35">
      <c r="A1772">
        <v>1771</v>
      </c>
      <c r="B1772" s="1">
        <v>46006</v>
      </c>
      <c r="C1772">
        <v>1956</v>
      </c>
      <c r="D1772" t="s">
        <v>15</v>
      </c>
      <c r="E1772" t="s">
        <v>33</v>
      </c>
      <c r="F1772" t="s">
        <v>34</v>
      </c>
      <c r="G1772">
        <v>1</v>
      </c>
      <c r="H1772">
        <v>0</v>
      </c>
      <c r="I1772" t="s">
        <v>35</v>
      </c>
      <c r="J1772" t="s">
        <v>31</v>
      </c>
      <c r="K1772" t="s">
        <v>40</v>
      </c>
      <c r="L1772">
        <v>3</v>
      </c>
      <c r="M1772">
        <v>1</v>
      </c>
      <c r="N1772">
        <v>0</v>
      </c>
      <c r="O1772" t="s">
        <v>21</v>
      </c>
      <c r="P1772" t="str">
        <f>TEXT(Table1[[#This Row],[order_date]],"yyyy-mm")</f>
        <v>2025-12</v>
      </c>
      <c r="Q1772">
        <f>WEEKNUM(Table1[[#This Row],[order_date]])</f>
        <v>51</v>
      </c>
      <c r="R1772">
        <f>IF(Table1[[#This Row],[order_status]]="completed",1,0)</f>
        <v>0</v>
      </c>
    </row>
    <row r="1773" spans="1:18" x14ac:dyDescent="0.35">
      <c r="A1773">
        <v>1772</v>
      </c>
      <c r="B1773" s="1">
        <v>45947</v>
      </c>
      <c r="C1773">
        <v>1101</v>
      </c>
      <c r="D1773" t="s">
        <v>22</v>
      </c>
      <c r="E1773" t="s">
        <v>16</v>
      </c>
      <c r="F1773" t="s">
        <v>17</v>
      </c>
      <c r="G1773">
        <v>5</v>
      </c>
      <c r="H1773">
        <v>4880</v>
      </c>
      <c r="I1773" t="s">
        <v>35</v>
      </c>
      <c r="J1773" t="s">
        <v>19</v>
      </c>
      <c r="K1773" t="s">
        <v>20</v>
      </c>
      <c r="L1773">
        <v>1</v>
      </c>
      <c r="M1773">
        <v>0</v>
      </c>
      <c r="N1773">
        <v>1</v>
      </c>
      <c r="O1773" t="s">
        <v>21</v>
      </c>
      <c r="P1773" t="str">
        <f>TEXT(Table1[[#This Row],[order_date]],"yyyy-mm")</f>
        <v>2025-10</v>
      </c>
      <c r="Q1773">
        <f>WEEKNUM(Table1[[#This Row],[order_date]])</f>
        <v>42</v>
      </c>
      <c r="R1773">
        <f>IF(Table1[[#This Row],[order_status]]="completed",1,0)</f>
        <v>1</v>
      </c>
    </row>
    <row r="1774" spans="1:18" x14ac:dyDescent="0.35">
      <c r="A1774">
        <v>1773</v>
      </c>
      <c r="B1774" s="1">
        <v>45969</v>
      </c>
      <c r="C1774">
        <v>1573</v>
      </c>
      <c r="D1774" t="s">
        <v>22</v>
      </c>
      <c r="E1774" t="s">
        <v>23</v>
      </c>
      <c r="F1774" t="s">
        <v>24</v>
      </c>
      <c r="G1774">
        <v>1</v>
      </c>
      <c r="H1774">
        <v>0</v>
      </c>
      <c r="I1774" t="s">
        <v>39</v>
      </c>
      <c r="J1774" t="s">
        <v>37</v>
      </c>
      <c r="K1774" t="s">
        <v>40</v>
      </c>
      <c r="L1774">
        <v>5</v>
      </c>
      <c r="M1774">
        <v>1</v>
      </c>
      <c r="N1774">
        <v>0</v>
      </c>
      <c r="O1774" t="s">
        <v>21</v>
      </c>
      <c r="P1774" t="str">
        <f>TEXT(Table1[[#This Row],[order_date]],"yyyy-mm")</f>
        <v>2025-11</v>
      </c>
      <c r="Q1774">
        <f>WEEKNUM(Table1[[#This Row],[order_date]])</f>
        <v>45</v>
      </c>
      <c r="R1774">
        <f>IF(Table1[[#This Row],[order_status]]="completed",1,0)</f>
        <v>0</v>
      </c>
    </row>
    <row r="1775" spans="1:18" x14ac:dyDescent="0.35">
      <c r="A1775">
        <v>1774</v>
      </c>
      <c r="B1775" s="1">
        <v>45951</v>
      </c>
      <c r="C1775">
        <v>1770</v>
      </c>
      <c r="D1775" t="s">
        <v>22</v>
      </c>
      <c r="E1775" t="s">
        <v>29</v>
      </c>
      <c r="F1775" t="s">
        <v>17</v>
      </c>
      <c r="G1775">
        <v>5</v>
      </c>
      <c r="H1775">
        <v>0</v>
      </c>
      <c r="I1775" t="s">
        <v>25</v>
      </c>
      <c r="J1775" t="s">
        <v>37</v>
      </c>
      <c r="K1775" t="s">
        <v>38</v>
      </c>
      <c r="L1775">
        <v>6</v>
      </c>
      <c r="M1775">
        <v>0</v>
      </c>
      <c r="N1775">
        <v>0</v>
      </c>
      <c r="O1775" t="s">
        <v>27</v>
      </c>
      <c r="P1775" t="str">
        <f>TEXT(Table1[[#This Row],[order_date]],"yyyy-mm")</f>
        <v>2025-10</v>
      </c>
      <c r="Q1775">
        <f>WEEKNUM(Table1[[#This Row],[order_date]])</f>
        <v>43</v>
      </c>
      <c r="R1775">
        <f>IF(Table1[[#This Row],[order_status]]="completed",1,0)</f>
        <v>0</v>
      </c>
    </row>
    <row r="1776" spans="1:18" x14ac:dyDescent="0.35">
      <c r="A1776">
        <v>1775</v>
      </c>
      <c r="B1776" s="1">
        <v>46016</v>
      </c>
      <c r="C1776">
        <v>1741</v>
      </c>
      <c r="D1776" t="s">
        <v>22</v>
      </c>
      <c r="E1776" t="s">
        <v>29</v>
      </c>
      <c r="F1776" t="s">
        <v>30</v>
      </c>
      <c r="G1776">
        <v>4</v>
      </c>
      <c r="H1776">
        <v>0</v>
      </c>
      <c r="I1776" t="s">
        <v>25</v>
      </c>
      <c r="J1776" t="s">
        <v>37</v>
      </c>
      <c r="K1776" t="s">
        <v>40</v>
      </c>
      <c r="L1776">
        <v>3</v>
      </c>
      <c r="M1776">
        <v>0</v>
      </c>
      <c r="N1776">
        <v>0</v>
      </c>
      <c r="O1776" t="s">
        <v>27</v>
      </c>
      <c r="P1776" t="str">
        <f>TEXT(Table1[[#This Row],[order_date]],"yyyy-mm")</f>
        <v>2025-12</v>
      </c>
      <c r="Q1776">
        <f>WEEKNUM(Table1[[#This Row],[order_date]])</f>
        <v>52</v>
      </c>
      <c r="R1776">
        <f>IF(Table1[[#This Row],[order_status]]="completed",1,0)</f>
        <v>0</v>
      </c>
    </row>
    <row r="1777" spans="1:18" x14ac:dyDescent="0.35">
      <c r="A1777">
        <v>1776</v>
      </c>
      <c r="B1777" s="1">
        <v>45932</v>
      </c>
      <c r="C1777">
        <v>1503</v>
      </c>
      <c r="D1777" t="s">
        <v>15</v>
      </c>
      <c r="E1777" t="s">
        <v>29</v>
      </c>
      <c r="F1777" t="s">
        <v>24</v>
      </c>
      <c r="G1777">
        <v>2</v>
      </c>
      <c r="H1777">
        <v>6508</v>
      </c>
      <c r="I1777" t="s">
        <v>25</v>
      </c>
      <c r="J1777" t="s">
        <v>19</v>
      </c>
      <c r="K1777" t="s">
        <v>20</v>
      </c>
      <c r="L1777">
        <v>8</v>
      </c>
      <c r="M1777">
        <v>1</v>
      </c>
      <c r="N1777">
        <v>1</v>
      </c>
      <c r="O1777" t="s">
        <v>21</v>
      </c>
      <c r="P1777" t="str">
        <f>TEXT(Table1[[#This Row],[order_date]],"yyyy-mm")</f>
        <v>2025-10</v>
      </c>
      <c r="Q1777">
        <f>WEEKNUM(Table1[[#This Row],[order_date]])</f>
        <v>40</v>
      </c>
      <c r="R1777">
        <f>IF(Table1[[#This Row],[order_status]]="completed",1,0)</f>
        <v>1</v>
      </c>
    </row>
    <row r="1778" spans="1:18" x14ac:dyDescent="0.35">
      <c r="A1778">
        <v>1777</v>
      </c>
      <c r="B1778" s="1">
        <v>45985</v>
      </c>
      <c r="C1778">
        <v>1853</v>
      </c>
      <c r="D1778" t="s">
        <v>32</v>
      </c>
      <c r="E1778" t="s">
        <v>23</v>
      </c>
      <c r="F1778" t="s">
        <v>17</v>
      </c>
      <c r="G1778">
        <v>4</v>
      </c>
      <c r="H1778">
        <v>0</v>
      </c>
      <c r="I1778" t="s">
        <v>25</v>
      </c>
      <c r="J1778" t="s">
        <v>31</v>
      </c>
      <c r="K1778" t="s">
        <v>26</v>
      </c>
      <c r="L1778">
        <v>10</v>
      </c>
      <c r="M1778">
        <v>1</v>
      </c>
      <c r="N1778">
        <v>0</v>
      </c>
      <c r="O1778" t="s">
        <v>27</v>
      </c>
      <c r="P1778" t="str">
        <f>TEXT(Table1[[#This Row],[order_date]],"yyyy-mm")</f>
        <v>2025-11</v>
      </c>
      <c r="Q1778">
        <f>WEEKNUM(Table1[[#This Row],[order_date]])</f>
        <v>48</v>
      </c>
      <c r="R1778">
        <f>IF(Table1[[#This Row],[order_status]]="completed",1,0)</f>
        <v>0</v>
      </c>
    </row>
    <row r="1779" spans="1:18" x14ac:dyDescent="0.35">
      <c r="A1779">
        <v>1778</v>
      </c>
      <c r="B1779" s="1">
        <v>45970</v>
      </c>
      <c r="C1779">
        <v>1091</v>
      </c>
      <c r="D1779" t="s">
        <v>41</v>
      </c>
      <c r="E1779" t="s">
        <v>23</v>
      </c>
      <c r="F1779" t="s">
        <v>34</v>
      </c>
      <c r="G1779">
        <v>5</v>
      </c>
      <c r="H1779">
        <v>0</v>
      </c>
      <c r="I1779" t="s">
        <v>39</v>
      </c>
      <c r="J1779" t="s">
        <v>37</v>
      </c>
      <c r="K1779" t="s">
        <v>40</v>
      </c>
      <c r="L1779">
        <v>8</v>
      </c>
      <c r="M1779">
        <v>1</v>
      </c>
      <c r="N1779">
        <v>0</v>
      </c>
      <c r="O1779" t="s">
        <v>21</v>
      </c>
      <c r="P1779" t="str">
        <f>TEXT(Table1[[#This Row],[order_date]],"yyyy-mm")</f>
        <v>2025-11</v>
      </c>
      <c r="Q1779">
        <f>WEEKNUM(Table1[[#This Row],[order_date]])</f>
        <v>46</v>
      </c>
      <c r="R1779">
        <f>IF(Table1[[#This Row],[order_status]]="completed",1,0)</f>
        <v>0</v>
      </c>
    </row>
    <row r="1780" spans="1:18" x14ac:dyDescent="0.35">
      <c r="A1780">
        <v>1779</v>
      </c>
      <c r="B1780" s="1">
        <v>46021</v>
      </c>
      <c r="C1780">
        <v>1994</v>
      </c>
      <c r="D1780" t="s">
        <v>15</v>
      </c>
      <c r="E1780" t="s">
        <v>33</v>
      </c>
      <c r="F1780" t="s">
        <v>17</v>
      </c>
      <c r="G1780">
        <v>1</v>
      </c>
      <c r="H1780">
        <v>0</v>
      </c>
      <c r="I1780" t="s">
        <v>18</v>
      </c>
      <c r="J1780" t="s">
        <v>37</v>
      </c>
      <c r="K1780" t="s">
        <v>20</v>
      </c>
      <c r="L1780">
        <v>5</v>
      </c>
      <c r="M1780">
        <v>0</v>
      </c>
      <c r="N1780">
        <v>1</v>
      </c>
      <c r="O1780" t="s">
        <v>21</v>
      </c>
      <c r="P1780" t="str">
        <f>TEXT(Table1[[#This Row],[order_date]],"yyyy-mm")</f>
        <v>2025-12</v>
      </c>
      <c r="Q1780">
        <f>WEEKNUM(Table1[[#This Row],[order_date]])</f>
        <v>53</v>
      </c>
      <c r="R1780">
        <f>IF(Table1[[#This Row],[order_status]]="completed",1,0)</f>
        <v>0</v>
      </c>
    </row>
    <row r="1781" spans="1:18" x14ac:dyDescent="0.35">
      <c r="A1781">
        <v>1780</v>
      </c>
      <c r="B1781" s="1">
        <v>45945</v>
      </c>
      <c r="C1781">
        <v>1478</v>
      </c>
      <c r="D1781" t="s">
        <v>15</v>
      </c>
      <c r="E1781" t="s">
        <v>29</v>
      </c>
      <c r="F1781" t="s">
        <v>17</v>
      </c>
      <c r="G1781">
        <v>2</v>
      </c>
      <c r="H1781">
        <v>0</v>
      </c>
      <c r="I1781" t="s">
        <v>39</v>
      </c>
      <c r="J1781" t="s">
        <v>31</v>
      </c>
      <c r="K1781" t="s">
        <v>20</v>
      </c>
      <c r="L1781">
        <v>8</v>
      </c>
      <c r="M1781">
        <v>1</v>
      </c>
      <c r="N1781">
        <v>0</v>
      </c>
      <c r="O1781" t="s">
        <v>27</v>
      </c>
      <c r="P1781" t="str">
        <f>TEXT(Table1[[#This Row],[order_date]],"yyyy-mm")</f>
        <v>2025-10</v>
      </c>
      <c r="Q1781">
        <f>WEEKNUM(Table1[[#This Row],[order_date]])</f>
        <v>42</v>
      </c>
      <c r="R1781">
        <f>IF(Table1[[#This Row],[order_status]]="completed",1,0)</f>
        <v>0</v>
      </c>
    </row>
    <row r="1782" spans="1:18" x14ac:dyDescent="0.35">
      <c r="A1782">
        <v>1781</v>
      </c>
      <c r="B1782" s="1">
        <v>45907</v>
      </c>
      <c r="C1782">
        <v>1735</v>
      </c>
      <c r="D1782" t="s">
        <v>22</v>
      </c>
      <c r="E1782" t="s">
        <v>29</v>
      </c>
      <c r="F1782" t="s">
        <v>24</v>
      </c>
      <c r="G1782">
        <v>5</v>
      </c>
      <c r="H1782">
        <v>13150</v>
      </c>
      <c r="I1782" t="s">
        <v>35</v>
      </c>
      <c r="J1782" t="s">
        <v>19</v>
      </c>
      <c r="K1782" t="s">
        <v>38</v>
      </c>
      <c r="L1782">
        <v>8</v>
      </c>
      <c r="M1782">
        <v>0</v>
      </c>
      <c r="N1782">
        <v>1</v>
      </c>
      <c r="O1782" t="s">
        <v>27</v>
      </c>
      <c r="P1782" t="str">
        <f>TEXT(Table1[[#This Row],[order_date]],"yyyy-mm")</f>
        <v>2025-09</v>
      </c>
      <c r="Q1782">
        <f>WEEKNUM(Table1[[#This Row],[order_date]])</f>
        <v>37</v>
      </c>
      <c r="R1782">
        <f>IF(Table1[[#This Row],[order_status]]="completed",1,0)</f>
        <v>1</v>
      </c>
    </row>
    <row r="1783" spans="1:18" x14ac:dyDescent="0.35">
      <c r="A1783">
        <v>1782</v>
      </c>
      <c r="B1783" s="1">
        <v>45987</v>
      </c>
      <c r="C1783">
        <v>1630</v>
      </c>
      <c r="D1783" t="s">
        <v>15</v>
      </c>
      <c r="E1783" t="s">
        <v>36</v>
      </c>
      <c r="F1783" t="s">
        <v>30</v>
      </c>
      <c r="G1783">
        <v>1</v>
      </c>
      <c r="H1783">
        <v>0</v>
      </c>
      <c r="I1783" t="s">
        <v>25</v>
      </c>
      <c r="J1783" t="s">
        <v>37</v>
      </c>
      <c r="K1783" t="s">
        <v>38</v>
      </c>
      <c r="L1783">
        <v>9</v>
      </c>
      <c r="M1783">
        <v>1</v>
      </c>
      <c r="N1783">
        <v>1</v>
      </c>
      <c r="O1783" t="s">
        <v>21</v>
      </c>
      <c r="P1783" t="str">
        <f>TEXT(Table1[[#This Row],[order_date]],"yyyy-mm")</f>
        <v>2025-11</v>
      </c>
      <c r="Q1783">
        <f>WEEKNUM(Table1[[#This Row],[order_date]])</f>
        <v>48</v>
      </c>
      <c r="R1783">
        <f>IF(Table1[[#This Row],[order_status]]="completed",1,0)</f>
        <v>0</v>
      </c>
    </row>
    <row r="1784" spans="1:18" x14ac:dyDescent="0.35">
      <c r="A1784">
        <v>1783</v>
      </c>
      <c r="B1784" s="1">
        <v>45924</v>
      </c>
      <c r="C1784">
        <v>1669</v>
      </c>
      <c r="D1784" t="s">
        <v>22</v>
      </c>
      <c r="E1784" t="s">
        <v>36</v>
      </c>
      <c r="F1784" t="s">
        <v>34</v>
      </c>
      <c r="G1784">
        <v>2</v>
      </c>
      <c r="H1784">
        <v>0</v>
      </c>
      <c r="I1784" t="s">
        <v>25</v>
      </c>
      <c r="J1784" t="s">
        <v>31</v>
      </c>
      <c r="K1784" t="s">
        <v>26</v>
      </c>
      <c r="L1784">
        <v>10</v>
      </c>
      <c r="M1784">
        <v>1</v>
      </c>
      <c r="N1784">
        <v>0</v>
      </c>
      <c r="O1784" t="s">
        <v>21</v>
      </c>
      <c r="P1784" t="str">
        <f>TEXT(Table1[[#This Row],[order_date]],"yyyy-mm")</f>
        <v>2025-09</v>
      </c>
      <c r="Q1784">
        <f>WEEKNUM(Table1[[#This Row],[order_date]])</f>
        <v>39</v>
      </c>
      <c r="R1784">
        <f>IF(Table1[[#This Row],[order_status]]="completed",1,0)</f>
        <v>0</v>
      </c>
    </row>
    <row r="1785" spans="1:18" x14ac:dyDescent="0.35">
      <c r="A1785">
        <v>1784</v>
      </c>
      <c r="B1785" s="1">
        <v>45925</v>
      </c>
      <c r="C1785">
        <v>1597</v>
      </c>
      <c r="D1785" t="s">
        <v>15</v>
      </c>
      <c r="E1785" t="s">
        <v>23</v>
      </c>
      <c r="F1785" t="s">
        <v>30</v>
      </c>
      <c r="G1785">
        <v>1</v>
      </c>
      <c r="H1785">
        <v>0</v>
      </c>
      <c r="I1785" t="s">
        <v>25</v>
      </c>
      <c r="J1785" t="s">
        <v>37</v>
      </c>
      <c r="K1785" t="s">
        <v>40</v>
      </c>
      <c r="L1785">
        <v>4</v>
      </c>
      <c r="M1785">
        <v>1</v>
      </c>
      <c r="N1785">
        <v>1</v>
      </c>
      <c r="O1785" t="s">
        <v>21</v>
      </c>
      <c r="P1785" t="str">
        <f>TEXT(Table1[[#This Row],[order_date]],"yyyy-mm")</f>
        <v>2025-09</v>
      </c>
      <c r="Q1785">
        <f>WEEKNUM(Table1[[#This Row],[order_date]])</f>
        <v>39</v>
      </c>
      <c r="R1785">
        <f>IF(Table1[[#This Row],[order_status]]="completed",1,0)</f>
        <v>0</v>
      </c>
    </row>
    <row r="1786" spans="1:18" x14ac:dyDescent="0.35">
      <c r="A1786">
        <v>1785</v>
      </c>
      <c r="B1786" s="1">
        <v>45906</v>
      </c>
      <c r="C1786">
        <v>1780</v>
      </c>
      <c r="D1786" t="s">
        <v>15</v>
      </c>
      <c r="E1786" t="s">
        <v>29</v>
      </c>
      <c r="F1786" t="s">
        <v>24</v>
      </c>
      <c r="G1786">
        <v>1</v>
      </c>
      <c r="H1786">
        <v>0</v>
      </c>
      <c r="I1786" t="s">
        <v>39</v>
      </c>
      <c r="J1786" t="s">
        <v>31</v>
      </c>
      <c r="K1786" t="s">
        <v>40</v>
      </c>
      <c r="L1786">
        <v>4</v>
      </c>
      <c r="M1786">
        <v>1</v>
      </c>
      <c r="N1786">
        <v>1</v>
      </c>
      <c r="O1786" t="s">
        <v>27</v>
      </c>
      <c r="P1786" t="str">
        <f>TEXT(Table1[[#This Row],[order_date]],"yyyy-mm")</f>
        <v>2025-09</v>
      </c>
      <c r="Q1786">
        <f>WEEKNUM(Table1[[#This Row],[order_date]])</f>
        <v>36</v>
      </c>
      <c r="R1786">
        <f>IF(Table1[[#This Row],[order_status]]="completed",1,0)</f>
        <v>0</v>
      </c>
    </row>
    <row r="1787" spans="1:18" x14ac:dyDescent="0.35">
      <c r="A1787">
        <v>1786</v>
      </c>
      <c r="B1787" s="1">
        <v>45923</v>
      </c>
      <c r="C1787">
        <v>1324</v>
      </c>
      <c r="D1787" t="s">
        <v>15</v>
      </c>
      <c r="E1787" t="s">
        <v>29</v>
      </c>
      <c r="F1787" t="s">
        <v>34</v>
      </c>
      <c r="G1787">
        <v>1</v>
      </c>
      <c r="H1787">
        <v>0</v>
      </c>
      <c r="I1787" t="s">
        <v>39</v>
      </c>
      <c r="J1787" t="s">
        <v>37</v>
      </c>
      <c r="K1787" t="s">
        <v>40</v>
      </c>
      <c r="L1787">
        <v>10</v>
      </c>
      <c r="M1787">
        <v>0</v>
      </c>
      <c r="N1787">
        <v>0</v>
      </c>
      <c r="O1787" t="s">
        <v>21</v>
      </c>
      <c r="P1787" t="str">
        <f>TEXT(Table1[[#This Row],[order_date]],"yyyy-mm")</f>
        <v>2025-09</v>
      </c>
      <c r="Q1787">
        <f>WEEKNUM(Table1[[#This Row],[order_date]])</f>
        <v>39</v>
      </c>
      <c r="R1787">
        <f>IF(Table1[[#This Row],[order_status]]="completed",1,0)</f>
        <v>0</v>
      </c>
    </row>
    <row r="1788" spans="1:18" x14ac:dyDescent="0.35">
      <c r="A1788">
        <v>1787</v>
      </c>
      <c r="B1788" s="1">
        <v>45980</v>
      </c>
      <c r="C1788">
        <v>1813</v>
      </c>
      <c r="D1788" t="s">
        <v>22</v>
      </c>
      <c r="E1788" t="s">
        <v>29</v>
      </c>
      <c r="F1788" t="s">
        <v>34</v>
      </c>
      <c r="G1788">
        <v>3</v>
      </c>
      <c r="H1788">
        <v>2136</v>
      </c>
      <c r="I1788" t="s">
        <v>18</v>
      </c>
      <c r="J1788" t="s">
        <v>19</v>
      </c>
      <c r="K1788" t="s">
        <v>40</v>
      </c>
      <c r="L1788">
        <v>1</v>
      </c>
      <c r="M1788">
        <v>1</v>
      </c>
      <c r="N1788">
        <v>0</v>
      </c>
      <c r="O1788" t="s">
        <v>27</v>
      </c>
      <c r="P1788" t="str">
        <f>TEXT(Table1[[#This Row],[order_date]],"yyyy-mm")</f>
        <v>2025-11</v>
      </c>
      <c r="Q1788">
        <f>WEEKNUM(Table1[[#This Row],[order_date]])</f>
        <v>47</v>
      </c>
      <c r="R1788">
        <f>IF(Table1[[#This Row],[order_status]]="completed",1,0)</f>
        <v>1</v>
      </c>
    </row>
    <row r="1789" spans="1:18" x14ac:dyDescent="0.35">
      <c r="A1789">
        <v>1788</v>
      </c>
      <c r="B1789" s="1">
        <v>45988</v>
      </c>
      <c r="C1789">
        <v>1121</v>
      </c>
      <c r="D1789" t="s">
        <v>32</v>
      </c>
      <c r="E1789" t="s">
        <v>29</v>
      </c>
      <c r="F1789" t="s">
        <v>24</v>
      </c>
      <c r="G1789">
        <v>5</v>
      </c>
      <c r="H1789">
        <v>0</v>
      </c>
      <c r="I1789" t="s">
        <v>35</v>
      </c>
      <c r="J1789" t="s">
        <v>37</v>
      </c>
      <c r="K1789" t="s">
        <v>26</v>
      </c>
      <c r="L1789">
        <v>4</v>
      </c>
      <c r="M1789">
        <v>0</v>
      </c>
      <c r="N1789">
        <v>1</v>
      </c>
      <c r="O1789" t="s">
        <v>21</v>
      </c>
      <c r="P1789" t="str">
        <f>TEXT(Table1[[#This Row],[order_date]],"yyyy-mm")</f>
        <v>2025-11</v>
      </c>
      <c r="Q1789">
        <f>WEEKNUM(Table1[[#This Row],[order_date]])</f>
        <v>48</v>
      </c>
      <c r="R1789">
        <f>IF(Table1[[#This Row],[order_status]]="completed",1,0)</f>
        <v>0</v>
      </c>
    </row>
    <row r="1790" spans="1:18" x14ac:dyDescent="0.35">
      <c r="A1790">
        <v>1789</v>
      </c>
      <c r="B1790" s="1">
        <v>45924</v>
      </c>
      <c r="C1790">
        <v>1720</v>
      </c>
      <c r="D1790" t="s">
        <v>15</v>
      </c>
      <c r="E1790" t="s">
        <v>36</v>
      </c>
      <c r="F1790" t="s">
        <v>24</v>
      </c>
      <c r="G1790">
        <v>3</v>
      </c>
      <c r="H1790">
        <v>0</v>
      </c>
      <c r="I1790" t="s">
        <v>35</v>
      </c>
      <c r="J1790" t="s">
        <v>31</v>
      </c>
      <c r="K1790" t="s">
        <v>38</v>
      </c>
      <c r="L1790">
        <v>3</v>
      </c>
      <c r="M1790">
        <v>0</v>
      </c>
      <c r="N1790">
        <v>0</v>
      </c>
      <c r="O1790" t="s">
        <v>27</v>
      </c>
      <c r="P1790" t="str">
        <f>TEXT(Table1[[#This Row],[order_date]],"yyyy-mm")</f>
        <v>2025-09</v>
      </c>
      <c r="Q1790">
        <f>WEEKNUM(Table1[[#This Row],[order_date]])</f>
        <v>39</v>
      </c>
      <c r="R1790">
        <f>IF(Table1[[#This Row],[order_status]]="completed",1,0)</f>
        <v>0</v>
      </c>
    </row>
    <row r="1791" spans="1:18" x14ac:dyDescent="0.35">
      <c r="A1791">
        <v>1790</v>
      </c>
      <c r="B1791" s="1">
        <v>46011</v>
      </c>
      <c r="C1791">
        <v>1714</v>
      </c>
      <c r="D1791" t="s">
        <v>32</v>
      </c>
      <c r="E1791" t="s">
        <v>29</v>
      </c>
      <c r="F1791" t="s">
        <v>30</v>
      </c>
      <c r="G1791">
        <v>1</v>
      </c>
      <c r="H1791">
        <v>4737</v>
      </c>
      <c r="I1791" t="s">
        <v>25</v>
      </c>
      <c r="J1791" t="s">
        <v>19</v>
      </c>
      <c r="K1791" t="s">
        <v>40</v>
      </c>
      <c r="L1791">
        <v>7</v>
      </c>
      <c r="M1791">
        <v>1</v>
      </c>
      <c r="N1791">
        <v>1</v>
      </c>
      <c r="O1791" t="s">
        <v>21</v>
      </c>
      <c r="P1791" t="str">
        <f>TEXT(Table1[[#This Row],[order_date]],"yyyy-mm")</f>
        <v>2025-12</v>
      </c>
      <c r="Q1791">
        <f>WEEKNUM(Table1[[#This Row],[order_date]])</f>
        <v>51</v>
      </c>
      <c r="R1791">
        <f>IF(Table1[[#This Row],[order_status]]="completed",1,0)</f>
        <v>1</v>
      </c>
    </row>
    <row r="1792" spans="1:18" x14ac:dyDescent="0.35">
      <c r="A1792">
        <v>1791</v>
      </c>
      <c r="B1792" s="1">
        <v>45982</v>
      </c>
      <c r="C1792">
        <v>1615</v>
      </c>
      <c r="D1792" t="s">
        <v>28</v>
      </c>
      <c r="E1792" t="s">
        <v>16</v>
      </c>
      <c r="F1792" t="s">
        <v>17</v>
      </c>
      <c r="G1792">
        <v>2</v>
      </c>
      <c r="H1792">
        <v>9904</v>
      </c>
      <c r="I1792" t="s">
        <v>25</v>
      </c>
      <c r="J1792" t="s">
        <v>19</v>
      </c>
      <c r="K1792" t="s">
        <v>40</v>
      </c>
      <c r="L1792">
        <v>4</v>
      </c>
      <c r="M1792">
        <v>1</v>
      </c>
      <c r="N1792">
        <v>0</v>
      </c>
      <c r="O1792" t="s">
        <v>27</v>
      </c>
      <c r="P1792" t="str">
        <f>TEXT(Table1[[#This Row],[order_date]],"yyyy-mm")</f>
        <v>2025-11</v>
      </c>
      <c r="Q1792">
        <f>WEEKNUM(Table1[[#This Row],[order_date]])</f>
        <v>47</v>
      </c>
      <c r="R1792">
        <f>IF(Table1[[#This Row],[order_status]]="completed",1,0)</f>
        <v>1</v>
      </c>
    </row>
    <row r="1793" spans="1:18" x14ac:dyDescent="0.35">
      <c r="A1793">
        <v>1792</v>
      </c>
      <c r="B1793" s="1">
        <v>45879</v>
      </c>
      <c r="C1793">
        <v>1365</v>
      </c>
      <c r="D1793" t="s">
        <v>28</v>
      </c>
      <c r="E1793" t="s">
        <v>29</v>
      </c>
      <c r="F1793" t="s">
        <v>30</v>
      </c>
      <c r="G1793">
        <v>2</v>
      </c>
      <c r="H1793">
        <v>0</v>
      </c>
      <c r="I1793" t="s">
        <v>35</v>
      </c>
      <c r="J1793" t="s">
        <v>37</v>
      </c>
      <c r="K1793" t="s">
        <v>20</v>
      </c>
      <c r="L1793">
        <v>10</v>
      </c>
      <c r="M1793">
        <v>0</v>
      </c>
      <c r="N1793">
        <v>0</v>
      </c>
      <c r="O1793" t="s">
        <v>21</v>
      </c>
      <c r="P1793" t="str">
        <f>TEXT(Table1[[#This Row],[order_date]],"yyyy-mm")</f>
        <v>2025-08</v>
      </c>
      <c r="Q1793">
        <f>WEEKNUM(Table1[[#This Row],[order_date]])</f>
        <v>33</v>
      </c>
      <c r="R1793">
        <f>IF(Table1[[#This Row],[order_status]]="completed",1,0)</f>
        <v>0</v>
      </c>
    </row>
    <row r="1794" spans="1:18" x14ac:dyDescent="0.35">
      <c r="A1794">
        <v>1793</v>
      </c>
      <c r="B1794" s="1">
        <v>45853</v>
      </c>
      <c r="C1794">
        <v>1288</v>
      </c>
      <c r="D1794" t="s">
        <v>41</v>
      </c>
      <c r="E1794" t="s">
        <v>16</v>
      </c>
      <c r="F1794" t="s">
        <v>30</v>
      </c>
      <c r="G1794">
        <v>5</v>
      </c>
      <c r="H1794">
        <v>0</v>
      </c>
      <c r="I1794" t="s">
        <v>39</v>
      </c>
      <c r="J1794" t="s">
        <v>31</v>
      </c>
      <c r="K1794" t="s">
        <v>40</v>
      </c>
      <c r="L1794">
        <v>5</v>
      </c>
      <c r="M1794">
        <v>1</v>
      </c>
      <c r="N1794">
        <v>0</v>
      </c>
      <c r="O1794" t="s">
        <v>21</v>
      </c>
      <c r="P1794" t="str">
        <f>TEXT(Table1[[#This Row],[order_date]],"yyyy-mm")</f>
        <v>2025-07</v>
      </c>
      <c r="Q1794">
        <f>WEEKNUM(Table1[[#This Row],[order_date]])</f>
        <v>29</v>
      </c>
      <c r="R1794">
        <f>IF(Table1[[#This Row],[order_status]]="completed",1,0)</f>
        <v>0</v>
      </c>
    </row>
    <row r="1795" spans="1:18" x14ac:dyDescent="0.35">
      <c r="A1795">
        <v>1794</v>
      </c>
      <c r="B1795" s="1">
        <v>45926</v>
      </c>
      <c r="C1795">
        <v>1108</v>
      </c>
      <c r="D1795" t="s">
        <v>28</v>
      </c>
      <c r="E1795" t="s">
        <v>33</v>
      </c>
      <c r="F1795" t="s">
        <v>17</v>
      </c>
      <c r="G1795">
        <v>5</v>
      </c>
      <c r="H1795">
        <v>0</v>
      </c>
      <c r="I1795" t="s">
        <v>18</v>
      </c>
      <c r="J1795" t="s">
        <v>31</v>
      </c>
      <c r="K1795" t="s">
        <v>40</v>
      </c>
      <c r="L1795">
        <v>7</v>
      </c>
      <c r="M1795">
        <v>0</v>
      </c>
      <c r="N1795">
        <v>0</v>
      </c>
      <c r="O1795" t="s">
        <v>27</v>
      </c>
      <c r="P1795" t="str">
        <f>TEXT(Table1[[#This Row],[order_date]],"yyyy-mm")</f>
        <v>2025-09</v>
      </c>
      <c r="Q1795">
        <f>WEEKNUM(Table1[[#This Row],[order_date]])</f>
        <v>39</v>
      </c>
      <c r="R1795">
        <f>IF(Table1[[#This Row],[order_status]]="completed",1,0)</f>
        <v>0</v>
      </c>
    </row>
    <row r="1796" spans="1:18" x14ac:dyDescent="0.35">
      <c r="A1796">
        <v>1795</v>
      </c>
      <c r="B1796" s="1">
        <v>45973</v>
      </c>
      <c r="C1796">
        <v>1924</v>
      </c>
      <c r="D1796" t="s">
        <v>15</v>
      </c>
      <c r="E1796" t="s">
        <v>23</v>
      </c>
      <c r="F1796" t="s">
        <v>17</v>
      </c>
      <c r="G1796">
        <v>4</v>
      </c>
      <c r="H1796">
        <v>10912</v>
      </c>
      <c r="I1796" t="s">
        <v>18</v>
      </c>
      <c r="J1796" t="s">
        <v>19</v>
      </c>
      <c r="K1796" t="s">
        <v>38</v>
      </c>
      <c r="L1796">
        <v>5</v>
      </c>
      <c r="M1796">
        <v>1</v>
      </c>
      <c r="N1796">
        <v>1</v>
      </c>
      <c r="O1796" t="s">
        <v>21</v>
      </c>
      <c r="P1796" t="str">
        <f>TEXT(Table1[[#This Row],[order_date]],"yyyy-mm")</f>
        <v>2025-11</v>
      </c>
      <c r="Q1796">
        <f>WEEKNUM(Table1[[#This Row],[order_date]])</f>
        <v>46</v>
      </c>
      <c r="R1796">
        <f>IF(Table1[[#This Row],[order_status]]="completed",1,0)</f>
        <v>1</v>
      </c>
    </row>
    <row r="1797" spans="1:18" x14ac:dyDescent="0.35">
      <c r="A1797">
        <v>1796</v>
      </c>
      <c r="B1797" s="1">
        <v>45899</v>
      </c>
      <c r="C1797">
        <v>1734</v>
      </c>
      <c r="D1797" t="s">
        <v>41</v>
      </c>
      <c r="E1797" t="s">
        <v>33</v>
      </c>
      <c r="F1797" t="s">
        <v>17</v>
      </c>
      <c r="G1797">
        <v>4</v>
      </c>
      <c r="H1797">
        <v>0</v>
      </c>
      <c r="I1797" t="s">
        <v>35</v>
      </c>
      <c r="J1797" t="s">
        <v>31</v>
      </c>
      <c r="K1797" t="s">
        <v>20</v>
      </c>
      <c r="L1797">
        <v>5</v>
      </c>
      <c r="M1797">
        <v>1</v>
      </c>
      <c r="N1797">
        <v>1</v>
      </c>
      <c r="O1797" t="s">
        <v>27</v>
      </c>
      <c r="P1797" t="str">
        <f>TEXT(Table1[[#This Row],[order_date]],"yyyy-mm")</f>
        <v>2025-08</v>
      </c>
      <c r="Q1797">
        <f>WEEKNUM(Table1[[#This Row],[order_date]])</f>
        <v>35</v>
      </c>
      <c r="R1797">
        <f>IF(Table1[[#This Row],[order_status]]="completed",1,0)</f>
        <v>0</v>
      </c>
    </row>
    <row r="1798" spans="1:18" x14ac:dyDescent="0.35">
      <c r="A1798">
        <v>1797</v>
      </c>
      <c r="B1798" s="1">
        <v>45854</v>
      </c>
      <c r="C1798">
        <v>1877</v>
      </c>
      <c r="D1798" t="s">
        <v>15</v>
      </c>
      <c r="E1798" t="s">
        <v>29</v>
      </c>
      <c r="F1798" t="s">
        <v>34</v>
      </c>
      <c r="G1798">
        <v>4</v>
      </c>
      <c r="H1798">
        <v>0</v>
      </c>
      <c r="I1798" t="s">
        <v>35</v>
      </c>
      <c r="J1798" t="s">
        <v>31</v>
      </c>
      <c r="K1798" t="s">
        <v>38</v>
      </c>
      <c r="L1798">
        <v>4</v>
      </c>
      <c r="M1798">
        <v>1</v>
      </c>
      <c r="N1798">
        <v>0</v>
      </c>
      <c r="O1798" t="s">
        <v>27</v>
      </c>
      <c r="P1798" t="str">
        <f>TEXT(Table1[[#This Row],[order_date]],"yyyy-mm")</f>
        <v>2025-07</v>
      </c>
      <c r="Q1798">
        <f>WEEKNUM(Table1[[#This Row],[order_date]])</f>
        <v>29</v>
      </c>
      <c r="R1798">
        <f>IF(Table1[[#This Row],[order_status]]="completed",1,0)</f>
        <v>0</v>
      </c>
    </row>
    <row r="1799" spans="1:18" x14ac:dyDescent="0.35">
      <c r="A1799">
        <v>1798</v>
      </c>
      <c r="B1799" s="1">
        <v>45981</v>
      </c>
      <c r="C1799">
        <v>1369</v>
      </c>
      <c r="D1799" t="s">
        <v>22</v>
      </c>
      <c r="E1799" t="s">
        <v>29</v>
      </c>
      <c r="F1799" t="s">
        <v>30</v>
      </c>
      <c r="G1799">
        <v>2</v>
      </c>
      <c r="H1799">
        <v>3742</v>
      </c>
      <c r="I1799" t="s">
        <v>25</v>
      </c>
      <c r="J1799" t="s">
        <v>19</v>
      </c>
      <c r="K1799" t="s">
        <v>38</v>
      </c>
      <c r="L1799">
        <v>4</v>
      </c>
      <c r="M1799">
        <v>1</v>
      </c>
      <c r="N1799">
        <v>0</v>
      </c>
      <c r="O1799" t="s">
        <v>21</v>
      </c>
      <c r="P1799" t="str">
        <f>TEXT(Table1[[#This Row],[order_date]],"yyyy-mm")</f>
        <v>2025-11</v>
      </c>
      <c r="Q1799">
        <f>WEEKNUM(Table1[[#This Row],[order_date]])</f>
        <v>47</v>
      </c>
      <c r="R1799">
        <f>IF(Table1[[#This Row],[order_status]]="completed",1,0)</f>
        <v>1</v>
      </c>
    </row>
    <row r="1800" spans="1:18" x14ac:dyDescent="0.35">
      <c r="A1800">
        <v>1799</v>
      </c>
      <c r="B1800" s="1">
        <v>45933</v>
      </c>
      <c r="C1800">
        <v>1180</v>
      </c>
      <c r="D1800" t="s">
        <v>22</v>
      </c>
      <c r="E1800" t="s">
        <v>29</v>
      </c>
      <c r="F1800" t="s">
        <v>34</v>
      </c>
      <c r="G1800">
        <v>3</v>
      </c>
      <c r="H1800">
        <v>0</v>
      </c>
      <c r="I1800" t="s">
        <v>39</v>
      </c>
      <c r="J1800" t="s">
        <v>31</v>
      </c>
      <c r="K1800" t="s">
        <v>40</v>
      </c>
      <c r="L1800">
        <v>8</v>
      </c>
      <c r="M1800">
        <v>1</v>
      </c>
      <c r="N1800">
        <v>0</v>
      </c>
      <c r="O1800" t="s">
        <v>27</v>
      </c>
      <c r="P1800" t="str">
        <f>TEXT(Table1[[#This Row],[order_date]],"yyyy-mm")</f>
        <v>2025-10</v>
      </c>
      <c r="Q1800">
        <f>WEEKNUM(Table1[[#This Row],[order_date]])</f>
        <v>40</v>
      </c>
      <c r="R1800">
        <f>IF(Table1[[#This Row],[order_status]]="completed",1,0)</f>
        <v>0</v>
      </c>
    </row>
    <row r="1801" spans="1:18" x14ac:dyDescent="0.35">
      <c r="A1801">
        <v>1800</v>
      </c>
      <c r="B1801" s="1">
        <v>45939</v>
      </c>
      <c r="C1801">
        <v>1344</v>
      </c>
      <c r="D1801" t="s">
        <v>32</v>
      </c>
      <c r="E1801" t="s">
        <v>36</v>
      </c>
      <c r="F1801" t="s">
        <v>17</v>
      </c>
      <c r="G1801">
        <v>1</v>
      </c>
      <c r="H1801">
        <v>0</v>
      </c>
      <c r="I1801" t="s">
        <v>25</v>
      </c>
      <c r="J1801" t="s">
        <v>31</v>
      </c>
      <c r="K1801" t="s">
        <v>20</v>
      </c>
      <c r="L1801">
        <v>3</v>
      </c>
      <c r="M1801">
        <v>0</v>
      </c>
      <c r="N1801">
        <v>1</v>
      </c>
      <c r="O1801" t="s">
        <v>21</v>
      </c>
      <c r="P1801" t="str">
        <f>TEXT(Table1[[#This Row],[order_date]],"yyyy-mm")</f>
        <v>2025-10</v>
      </c>
      <c r="Q1801">
        <f>WEEKNUM(Table1[[#This Row],[order_date]])</f>
        <v>41</v>
      </c>
      <c r="R1801">
        <f>IF(Table1[[#This Row],[order_status]]="completed",1,0)</f>
        <v>0</v>
      </c>
    </row>
    <row r="1802" spans="1:18" x14ac:dyDescent="0.35">
      <c r="A1802">
        <v>1801</v>
      </c>
      <c r="B1802" s="1">
        <v>45908</v>
      </c>
      <c r="C1802">
        <v>1494</v>
      </c>
      <c r="D1802" t="s">
        <v>41</v>
      </c>
      <c r="E1802" t="s">
        <v>16</v>
      </c>
      <c r="F1802" t="s">
        <v>24</v>
      </c>
      <c r="G1802">
        <v>5</v>
      </c>
      <c r="H1802">
        <v>17410</v>
      </c>
      <c r="I1802" t="s">
        <v>18</v>
      </c>
      <c r="J1802" t="s">
        <v>19</v>
      </c>
      <c r="K1802" t="s">
        <v>26</v>
      </c>
      <c r="L1802">
        <v>3</v>
      </c>
      <c r="M1802">
        <v>1</v>
      </c>
      <c r="N1802">
        <v>0</v>
      </c>
      <c r="O1802" t="s">
        <v>27</v>
      </c>
      <c r="P1802" t="str">
        <f>TEXT(Table1[[#This Row],[order_date]],"yyyy-mm")</f>
        <v>2025-09</v>
      </c>
      <c r="Q1802">
        <f>WEEKNUM(Table1[[#This Row],[order_date]])</f>
        <v>37</v>
      </c>
      <c r="R1802">
        <f>IF(Table1[[#This Row],[order_status]]="completed",1,0)</f>
        <v>1</v>
      </c>
    </row>
    <row r="1803" spans="1:18" x14ac:dyDescent="0.35">
      <c r="A1803">
        <v>1802</v>
      </c>
      <c r="B1803" s="1">
        <v>45938</v>
      </c>
      <c r="C1803">
        <v>1039</v>
      </c>
      <c r="D1803" t="s">
        <v>22</v>
      </c>
      <c r="E1803" t="s">
        <v>16</v>
      </c>
      <c r="F1803" t="s">
        <v>30</v>
      </c>
      <c r="G1803">
        <v>2</v>
      </c>
      <c r="H1803">
        <v>1792</v>
      </c>
      <c r="I1803" t="s">
        <v>18</v>
      </c>
      <c r="J1803" t="s">
        <v>19</v>
      </c>
      <c r="K1803" t="s">
        <v>38</v>
      </c>
      <c r="L1803">
        <v>9</v>
      </c>
      <c r="M1803">
        <v>0</v>
      </c>
      <c r="N1803">
        <v>1</v>
      </c>
      <c r="O1803" t="s">
        <v>21</v>
      </c>
      <c r="P1803" t="str">
        <f>TEXT(Table1[[#This Row],[order_date]],"yyyy-mm")</f>
        <v>2025-10</v>
      </c>
      <c r="Q1803">
        <f>WEEKNUM(Table1[[#This Row],[order_date]])</f>
        <v>41</v>
      </c>
      <c r="R1803">
        <f>IF(Table1[[#This Row],[order_status]]="completed",1,0)</f>
        <v>1</v>
      </c>
    </row>
    <row r="1804" spans="1:18" x14ac:dyDescent="0.35">
      <c r="A1804">
        <v>1803</v>
      </c>
      <c r="B1804" s="1">
        <v>46025</v>
      </c>
      <c r="C1804">
        <v>1498</v>
      </c>
      <c r="D1804" t="s">
        <v>41</v>
      </c>
      <c r="E1804" t="s">
        <v>29</v>
      </c>
      <c r="F1804" t="s">
        <v>30</v>
      </c>
      <c r="G1804">
        <v>2</v>
      </c>
      <c r="H1804">
        <v>0</v>
      </c>
      <c r="I1804" t="s">
        <v>35</v>
      </c>
      <c r="J1804" t="s">
        <v>31</v>
      </c>
      <c r="K1804" t="s">
        <v>38</v>
      </c>
      <c r="L1804">
        <v>3</v>
      </c>
      <c r="M1804">
        <v>0</v>
      </c>
      <c r="N1804">
        <v>1</v>
      </c>
      <c r="O1804" t="s">
        <v>27</v>
      </c>
      <c r="P1804" t="str">
        <f>TEXT(Table1[[#This Row],[order_date]],"yyyy-mm")</f>
        <v>2026-01</v>
      </c>
      <c r="Q1804">
        <f>WEEKNUM(Table1[[#This Row],[order_date]])</f>
        <v>1</v>
      </c>
      <c r="R1804">
        <f>IF(Table1[[#This Row],[order_status]]="completed",1,0)</f>
        <v>0</v>
      </c>
    </row>
    <row r="1805" spans="1:18" x14ac:dyDescent="0.35">
      <c r="A1805">
        <v>1804</v>
      </c>
      <c r="B1805" s="1">
        <v>46021</v>
      </c>
      <c r="C1805">
        <v>1122</v>
      </c>
      <c r="D1805" t="s">
        <v>41</v>
      </c>
      <c r="E1805" t="s">
        <v>36</v>
      </c>
      <c r="F1805" t="s">
        <v>17</v>
      </c>
      <c r="G1805">
        <v>3</v>
      </c>
      <c r="H1805">
        <v>0</v>
      </c>
      <c r="I1805" t="s">
        <v>25</v>
      </c>
      <c r="J1805" t="s">
        <v>31</v>
      </c>
      <c r="K1805" t="s">
        <v>40</v>
      </c>
      <c r="L1805">
        <v>10</v>
      </c>
      <c r="M1805">
        <v>1</v>
      </c>
      <c r="N1805">
        <v>1</v>
      </c>
      <c r="O1805" t="s">
        <v>27</v>
      </c>
      <c r="P1805" t="str">
        <f>TEXT(Table1[[#This Row],[order_date]],"yyyy-mm")</f>
        <v>2025-12</v>
      </c>
      <c r="Q1805">
        <f>WEEKNUM(Table1[[#This Row],[order_date]])</f>
        <v>53</v>
      </c>
      <c r="R1805">
        <f>IF(Table1[[#This Row],[order_status]]="completed",1,0)</f>
        <v>0</v>
      </c>
    </row>
    <row r="1806" spans="1:18" x14ac:dyDescent="0.35">
      <c r="A1806">
        <v>1805</v>
      </c>
      <c r="B1806" s="1">
        <v>45945</v>
      </c>
      <c r="C1806">
        <v>1672</v>
      </c>
      <c r="D1806" t="s">
        <v>32</v>
      </c>
      <c r="E1806" t="s">
        <v>33</v>
      </c>
      <c r="F1806" t="s">
        <v>24</v>
      </c>
      <c r="G1806">
        <v>2</v>
      </c>
      <c r="H1806">
        <v>0</v>
      </c>
      <c r="I1806" t="s">
        <v>35</v>
      </c>
      <c r="J1806" t="s">
        <v>31</v>
      </c>
      <c r="K1806" t="s">
        <v>26</v>
      </c>
      <c r="L1806">
        <v>8</v>
      </c>
      <c r="M1806">
        <v>1</v>
      </c>
      <c r="N1806">
        <v>1</v>
      </c>
      <c r="O1806" t="s">
        <v>27</v>
      </c>
      <c r="P1806" t="str">
        <f>TEXT(Table1[[#This Row],[order_date]],"yyyy-mm")</f>
        <v>2025-10</v>
      </c>
      <c r="Q1806">
        <f>WEEKNUM(Table1[[#This Row],[order_date]])</f>
        <v>42</v>
      </c>
      <c r="R1806">
        <f>IF(Table1[[#This Row],[order_status]]="completed",1,0)</f>
        <v>0</v>
      </c>
    </row>
    <row r="1807" spans="1:18" x14ac:dyDescent="0.35">
      <c r="A1807">
        <v>1806</v>
      </c>
      <c r="B1807" s="1">
        <v>45990</v>
      </c>
      <c r="C1807">
        <v>1035</v>
      </c>
      <c r="D1807" t="s">
        <v>32</v>
      </c>
      <c r="E1807" t="s">
        <v>36</v>
      </c>
      <c r="F1807" t="s">
        <v>24</v>
      </c>
      <c r="G1807">
        <v>5</v>
      </c>
      <c r="H1807">
        <v>0</v>
      </c>
      <c r="I1807" t="s">
        <v>39</v>
      </c>
      <c r="J1807" t="s">
        <v>31</v>
      </c>
      <c r="K1807" t="s">
        <v>38</v>
      </c>
      <c r="L1807">
        <v>8</v>
      </c>
      <c r="M1807">
        <v>0</v>
      </c>
      <c r="N1807">
        <v>0</v>
      </c>
      <c r="O1807" t="s">
        <v>21</v>
      </c>
      <c r="P1807" t="str">
        <f>TEXT(Table1[[#This Row],[order_date]],"yyyy-mm")</f>
        <v>2025-11</v>
      </c>
      <c r="Q1807">
        <f>WEEKNUM(Table1[[#This Row],[order_date]])</f>
        <v>48</v>
      </c>
      <c r="R1807">
        <f>IF(Table1[[#This Row],[order_status]]="completed",1,0)</f>
        <v>0</v>
      </c>
    </row>
    <row r="1808" spans="1:18" x14ac:dyDescent="0.35">
      <c r="A1808">
        <v>1807</v>
      </c>
      <c r="B1808" s="1">
        <v>45940</v>
      </c>
      <c r="C1808">
        <v>1389</v>
      </c>
      <c r="D1808" t="s">
        <v>41</v>
      </c>
      <c r="E1808" t="s">
        <v>16</v>
      </c>
      <c r="F1808" t="s">
        <v>24</v>
      </c>
      <c r="G1808">
        <v>1</v>
      </c>
      <c r="H1808">
        <v>0</v>
      </c>
      <c r="I1808" t="s">
        <v>25</v>
      </c>
      <c r="J1808" t="s">
        <v>31</v>
      </c>
      <c r="K1808" t="s">
        <v>26</v>
      </c>
      <c r="L1808">
        <v>9</v>
      </c>
      <c r="M1808">
        <v>0</v>
      </c>
      <c r="N1808">
        <v>1</v>
      </c>
      <c r="O1808" t="s">
        <v>21</v>
      </c>
      <c r="P1808" t="str">
        <f>TEXT(Table1[[#This Row],[order_date]],"yyyy-mm")</f>
        <v>2025-10</v>
      </c>
      <c r="Q1808">
        <f>WEEKNUM(Table1[[#This Row],[order_date]])</f>
        <v>41</v>
      </c>
      <c r="R1808">
        <f>IF(Table1[[#This Row],[order_status]]="completed",1,0)</f>
        <v>0</v>
      </c>
    </row>
    <row r="1809" spans="1:18" x14ac:dyDescent="0.35">
      <c r="A1809">
        <v>1808</v>
      </c>
      <c r="B1809" s="1">
        <v>45981</v>
      </c>
      <c r="C1809">
        <v>1891</v>
      </c>
      <c r="D1809" t="s">
        <v>28</v>
      </c>
      <c r="E1809" t="s">
        <v>36</v>
      </c>
      <c r="F1809" t="s">
        <v>34</v>
      </c>
      <c r="G1809">
        <v>3</v>
      </c>
      <c r="H1809">
        <v>10176</v>
      </c>
      <c r="I1809" t="s">
        <v>35</v>
      </c>
      <c r="J1809" t="s">
        <v>19</v>
      </c>
      <c r="K1809" t="s">
        <v>40</v>
      </c>
      <c r="L1809">
        <v>7</v>
      </c>
      <c r="M1809">
        <v>0</v>
      </c>
      <c r="N1809">
        <v>0</v>
      </c>
      <c r="O1809" t="s">
        <v>21</v>
      </c>
      <c r="P1809" t="str">
        <f>TEXT(Table1[[#This Row],[order_date]],"yyyy-mm")</f>
        <v>2025-11</v>
      </c>
      <c r="Q1809">
        <f>WEEKNUM(Table1[[#This Row],[order_date]])</f>
        <v>47</v>
      </c>
      <c r="R1809">
        <f>IF(Table1[[#This Row],[order_status]]="completed",1,0)</f>
        <v>1</v>
      </c>
    </row>
    <row r="1810" spans="1:18" x14ac:dyDescent="0.35">
      <c r="A1810">
        <v>1809</v>
      </c>
      <c r="B1810" s="1">
        <v>45962</v>
      </c>
      <c r="C1810">
        <v>1338</v>
      </c>
      <c r="D1810" t="s">
        <v>28</v>
      </c>
      <c r="E1810" t="s">
        <v>23</v>
      </c>
      <c r="F1810" t="s">
        <v>24</v>
      </c>
      <c r="G1810">
        <v>3</v>
      </c>
      <c r="H1810">
        <v>0</v>
      </c>
      <c r="I1810" t="s">
        <v>35</v>
      </c>
      <c r="J1810" t="s">
        <v>37</v>
      </c>
      <c r="K1810" t="s">
        <v>26</v>
      </c>
      <c r="L1810">
        <v>6</v>
      </c>
      <c r="M1810">
        <v>1</v>
      </c>
      <c r="N1810">
        <v>1</v>
      </c>
      <c r="O1810" t="s">
        <v>21</v>
      </c>
      <c r="P1810" t="str">
        <f>TEXT(Table1[[#This Row],[order_date]],"yyyy-mm")</f>
        <v>2025-11</v>
      </c>
      <c r="Q1810">
        <f>WEEKNUM(Table1[[#This Row],[order_date]])</f>
        <v>44</v>
      </c>
      <c r="R1810">
        <f>IF(Table1[[#This Row],[order_status]]="completed",1,0)</f>
        <v>0</v>
      </c>
    </row>
    <row r="1811" spans="1:18" x14ac:dyDescent="0.35">
      <c r="A1811">
        <v>1810</v>
      </c>
      <c r="B1811" s="1">
        <v>45907</v>
      </c>
      <c r="C1811">
        <v>1945</v>
      </c>
      <c r="D1811" t="s">
        <v>32</v>
      </c>
      <c r="E1811" t="s">
        <v>29</v>
      </c>
      <c r="F1811" t="s">
        <v>34</v>
      </c>
      <c r="G1811">
        <v>5</v>
      </c>
      <c r="H1811">
        <v>18105</v>
      </c>
      <c r="I1811" t="s">
        <v>35</v>
      </c>
      <c r="J1811" t="s">
        <v>19</v>
      </c>
      <c r="K1811" t="s">
        <v>20</v>
      </c>
      <c r="L1811">
        <v>1</v>
      </c>
      <c r="M1811">
        <v>1</v>
      </c>
      <c r="N1811">
        <v>0</v>
      </c>
      <c r="O1811" t="s">
        <v>21</v>
      </c>
      <c r="P1811" t="str">
        <f>TEXT(Table1[[#This Row],[order_date]],"yyyy-mm")</f>
        <v>2025-09</v>
      </c>
      <c r="Q1811">
        <f>WEEKNUM(Table1[[#This Row],[order_date]])</f>
        <v>37</v>
      </c>
      <c r="R1811">
        <f>IF(Table1[[#This Row],[order_status]]="completed",1,0)</f>
        <v>1</v>
      </c>
    </row>
    <row r="1812" spans="1:18" x14ac:dyDescent="0.35">
      <c r="A1812">
        <v>1811</v>
      </c>
      <c r="B1812" s="1">
        <v>46007</v>
      </c>
      <c r="C1812">
        <v>1067</v>
      </c>
      <c r="D1812" t="s">
        <v>41</v>
      </c>
      <c r="E1812" t="s">
        <v>33</v>
      </c>
      <c r="F1812" t="s">
        <v>30</v>
      </c>
      <c r="G1812">
        <v>3</v>
      </c>
      <c r="H1812">
        <v>0</v>
      </c>
      <c r="I1812" t="s">
        <v>39</v>
      </c>
      <c r="J1812" t="s">
        <v>31</v>
      </c>
      <c r="K1812" t="s">
        <v>26</v>
      </c>
      <c r="L1812">
        <v>3</v>
      </c>
      <c r="M1812">
        <v>1</v>
      </c>
      <c r="N1812">
        <v>1</v>
      </c>
      <c r="O1812" t="s">
        <v>21</v>
      </c>
      <c r="P1812" t="str">
        <f>TEXT(Table1[[#This Row],[order_date]],"yyyy-mm")</f>
        <v>2025-12</v>
      </c>
      <c r="Q1812">
        <f>WEEKNUM(Table1[[#This Row],[order_date]])</f>
        <v>51</v>
      </c>
      <c r="R1812">
        <f>IF(Table1[[#This Row],[order_status]]="completed",1,0)</f>
        <v>0</v>
      </c>
    </row>
    <row r="1813" spans="1:18" x14ac:dyDescent="0.35">
      <c r="A1813">
        <v>1812</v>
      </c>
      <c r="B1813" s="1">
        <v>45920</v>
      </c>
      <c r="C1813">
        <v>1863</v>
      </c>
      <c r="D1813" t="s">
        <v>28</v>
      </c>
      <c r="E1813" t="s">
        <v>29</v>
      </c>
      <c r="F1813" t="s">
        <v>34</v>
      </c>
      <c r="G1813">
        <v>2</v>
      </c>
      <c r="H1813">
        <v>5536</v>
      </c>
      <c r="I1813" t="s">
        <v>25</v>
      </c>
      <c r="J1813" t="s">
        <v>19</v>
      </c>
      <c r="K1813" t="s">
        <v>40</v>
      </c>
      <c r="L1813">
        <v>2</v>
      </c>
      <c r="M1813">
        <v>1</v>
      </c>
      <c r="N1813">
        <v>0</v>
      </c>
      <c r="O1813" t="s">
        <v>21</v>
      </c>
      <c r="P1813" t="str">
        <f>TEXT(Table1[[#This Row],[order_date]],"yyyy-mm")</f>
        <v>2025-09</v>
      </c>
      <c r="Q1813">
        <f>WEEKNUM(Table1[[#This Row],[order_date]])</f>
        <v>38</v>
      </c>
      <c r="R1813">
        <f>IF(Table1[[#This Row],[order_status]]="completed",1,0)</f>
        <v>1</v>
      </c>
    </row>
    <row r="1814" spans="1:18" x14ac:dyDescent="0.35">
      <c r="A1814">
        <v>1813</v>
      </c>
      <c r="B1814" s="1">
        <v>45943</v>
      </c>
      <c r="C1814">
        <v>1447</v>
      </c>
      <c r="D1814" t="s">
        <v>15</v>
      </c>
      <c r="E1814" t="s">
        <v>16</v>
      </c>
      <c r="F1814" t="s">
        <v>30</v>
      </c>
      <c r="G1814">
        <v>4</v>
      </c>
      <c r="H1814">
        <v>0</v>
      </c>
      <c r="I1814" t="s">
        <v>18</v>
      </c>
      <c r="J1814" t="s">
        <v>37</v>
      </c>
      <c r="K1814" t="s">
        <v>20</v>
      </c>
      <c r="L1814">
        <v>6</v>
      </c>
      <c r="M1814">
        <v>1</v>
      </c>
      <c r="N1814">
        <v>1</v>
      </c>
      <c r="O1814" t="s">
        <v>21</v>
      </c>
      <c r="P1814" t="str">
        <f>TEXT(Table1[[#This Row],[order_date]],"yyyy-mm")</f>
        <v>2025-10</v>
      </c>
      <c r="Q1814">
        <f>WEEKNUM(Table1[[#This Row],[order_date]])</f>
        <v>42</v>
      </c>
      <c r="R1814">
        <f>IF(Table1[[#This Row],[order_status]]="completed",1,0)</f>
        <v>0</v>
      </c>
    </row>
    <row r="1815" spans="1:18" x14ac:dyDescent="0.35">
      <c r="A1815">
        <v>1814</v>
      </c>
      <c r="B1815" s="1">
        <v>45926</v>
      </c>
      <c r="C1815">
        <v>1194</v>
      </c>
      <c r="D1815" t="s">
        <v>15</v>
      </c>
      <c r="E1815" t="s">
        <v>23</v>
      </c>
      <c r="F1815" t="s">
        <v>30</v>
      </c>
      <c r="G1815">
        <v>1</v>
      </c>
      <c r="H1815">
        <v>0</v>
      </c>
      <c r="I1815" t="s">
        <v>25</v>
      </c>
      <c r="J1815" t="s">
        <v>31</v>
      </c>
      <c r="K1815" t="s">
        <v>20</v>
      </c>
      <c r="L1815">
        <v>4</v>
      </c>
      <c r="M1815">
        <v>0</v>
      </c>
      <c r="N1815">
        <v>1</v>
      </c>
      <c r="O1815" t="s">
        <v>21</v>
      </c>
      <c r="P1815" t="str">
        <f>TEXT(Table1[[#This Row],[order_date]],"yyyy-mm")</f>
        <v>2025-09</v>
      </c>
      <c r="Q1815">
        <f>WEEKNUM(Table1[[#This Row],[order_date]])</f>
        <v>39</v>
      </c>
      <c r="R1815">
        <f>IF(Table1[[#This Row],[order_status]]="completed",1,0)</f>
        <v>0</v>
      </c>
    </row>
    <row r="1816" spans="1:18" x14ac:dyDescent="0.35">
      <c r="A1816">
        <v>1815</v>
      </c>
      <c r="B1816" s="1">
        <v>46005</v>
      </c>
      <c r="C1816">
        <v>1748</v>
      </c>
      <c r="D1816" t="s">
        <v>32</v>
      </c>
      <c r="E1816" t="s">
        <v>36</v>
      </c>
      <c r="F1816" t="s">
        <v>34</v>
      </c>
      <c r="G1816">
        <v>1</v>
      </c>
      <c r="H1816">
        <v>3583</v>
      </c>
      <c r="I1816" t="s">
        <v>39</v>
      </c>
      <c r="J1816" t="s">
        <v>19</v>
      </c>
      <c r="K1816" t="s">
        <v>20</v>
      </c>
      <c r="L1816">
        <v>2</v>
      </c>
      <c r="M1816">
        <v>1</v>
      </c>
      <c r="N1816">
        <v>0</v>
      </c>
      <c r="O1816" t="s">
        <v>21</v>
      </c>
      <c r="P1816" t="str">
        <f>TEXT(Table1[[#This Row],[order_date]],"yyyy-mm")</f>
        <v>2025-12</v>
      </c>
      <c r="Q1816">
        <f>WEEKNUM(Table1[[#This Row],[order_date]])</f>
        <v>51</v>
      </c>
      <c r="R1816">
        <f>IF(Table1[[#This Row],[order_status]]="completed",1,0)</f>
        <v>1</v>
      </c>
    </row>
    <row r="1817" spans="1:18" x14ac:dyDescent="0.35">
      <c r="A1817">
        <v>1816</v>
      </c>
      <c r="B1817" s="1">
        <v>46002</v>
      </c>
      <c r="C1817">
        <v>1591</v>
      </c>
      <c r="D1817" t="s">
        <v>28</v>
      </c>
      <c r="E1817" t="s">
        <v>33</v>
      </c>
      <c r="F1817" t="s">
        <v>34</v>
      </c>
      <c r="G1817">
        <v>3</v>
      </c>
      <c r="H1817">
        <v>0</v>
      </c>
      <c r="I1817" t="s">
        <v>25</v>
      </c>
      <c r="J1817" t="s">
        <v>37</v>
      </c>
      <c r="K1817" t="s">
        <v>26</v>
      </c>
      <c r="L1817">
        <v>1</v>
      </c>
      <c r="M1817">
        <v>0</v>
      </c>
      <c r="N1817">
        <v>1</v>
      </c>
      <c r="O1817" t="s">
        <v>21</v>
      </c>
      <c r="P1817" t="str">
        <f>TEXT(Table1[[#This Row],[order_date]],"yyyy-mm")</f>
        <v>2025-12</v>
      </c>
      <c r="Q1817">
        <f>WEEKNUM(Table1[[#This Row],[order_date]])</f>
        <v>50</v>
      </c>
      <c r="R1817">
        <f>IF(Table1[[#This Row],[order_status]]="completed",1,0)</f>
        <v>0</v>
      </c>
    </row>
    <row r="1818" spans="1:18" x14ac:dyDescent="0.35">
      <c r="A1818">
        <v>1817</v>
      </c>
      <c r="B1818" s="1">
        <v>45888</v>
      </c>
      <c r="C1818">
        <v>1261</v>
      </c>
      <c r="D1818" t="s">
        <v>32</v>
      </c>
      <c r="E1818" t="s">
        <v>23</v>
      </c>
      <c r="F1818" t="s">
        <v>34</v>
      </c>
      <c r="G1818">
        <v>5</v>
      </c>
      <c r="H1818">
        <v>12875</v>
      </c>
      <c r="I1818" t="s">
        <v>35</v>
      </c>
      <c r="J1818" t="s">
        <v>19</v>
      </c>
      <c r="K1818" t="s">
        <v>20</v>
      </c>
      <c r="L1818">
        <v>8</v>
      </c>
      <c r="M1818">
        <v>1</v>
      </c>
      <c r="N1818">
        <v>1</v>
      </c>
      <c r="O1818" t="s">
        <v>27</v>
      </c>
      <c r="P1818" t="str">
        <f>TEXT(Table1[[#This Row],[order_date]],"yyyy-mm")</f>
        <v>2025-08</v>
      </c>
      <c r="Q1818">
        <f>WEEKNUM(Table1[[#This Row],[order_date]])</f>
        <v>34</v>
      </c>
      <c r="R1818">
        <f>IF(Table1[[#This Row],[order_status]]="completed",1,0)</f>
        <v>1</v>
      </c>
    </row>
    <row r="1819" spans="1:18" x14ac:dyDescent="0.35">
      <c r="A1819">
        <v>1818</v>
      </c>
      <c r="B1819" s="1">
        <v>46005</v>
      </c>
      <c r="C1819">
        <v>1619</v>
      </c>
      <c r="D1819" t="s">
        <v>28</v>
      </c>
      <c r="E1819" t="s">
        <v>36</v>
      </c>
      <c r="F1819" t="s">
        <v>17</v>
      </c>
      <c r="G1819">
        <v>5</v>
      </c>
      <c r="H1819">
        <v>0</v>
      </c>
      <c r="I1819" t="s">
        <v>39</v>
      </c>
      <c r="J1819" t="s">
        <v>37</v>
      </c>
      <c r="K1819" t="s">
        <v>38</v>
      </c>
      <c r="L1819">
        <v>10</v>
      </c>
      <c r="M1819">
        <v>1</v>
      </c>
      <c r="N1819">
        <v>1</v>
      </c>
      <c r="O1819" t="s">
        <v>27</v>
      </c>
      <c r="P1819" t="str">
        <f>TEXT(Table1[[#This Row],[order_date]],"yyyy-mm")</f>
        <v>2025-12</v>
      </c>
      <c r="Q1819">
        <f>WEEKNUM(Table1[[#This Row],[order_date]])</f>
        <v>51</v>
      </c>
      <c r="R1819">
        <f>IF(Table1[[#This Row],[order_status]]="completed",1,0)</f>
        <v>0</v>
      </c>
    </row>
    <row r="1820" spans="1:18" x14ac:dyDescent="0.35">
      <c r="A1820">
        <v>1819</v>
      </c>
      <c r="B1820" s="1">
        <v>45981</v>
      </c>
      <c r="C1820">
        <v>1511</v>
      </c>
      <c r="D1820" t="s">
        <v>22</v>
      </c>
      <c r="E1820" t="s">
        <v>29</v>
      </c>
      <c r="F1820" t="s">
        <v>17</v>
      </c>
      <c r="G1820">
        <v>5</v>
      </c>
      <c r="H1820">
        <v>0</v>
      </c>
      <c r="I1820" t="s">
        <v>35</v>
      </c>
      <c r="J1820" t="s">
        <v>37</v>
      </c>
      <c r="K1820" t="s">
        <v>26</v>
      </c>
      <c r="L1820">
        <v>7</v>
      </c>
      <c r="M1820">
        <v>1</v>
      </c>
      <c r="N1820">
        <v>1</v>
      </c>
      <c r="O1820" t="s">
        <v>27</v>
      </c>
      <c r="P1820" t="str">
        <f>TEXT(Table1[[#This Row],[order_date]],"yyyy-mm")</f>
        <v>2025-11</v>
      </c>
      <c r="Q1820">
        <f>WEEKNUM(Table1[[#This Row],[order_date]])</f>
        <v>47</v>
      </c>
      <c r="R1820">
        <f>IF(Table1[[#This Row],[order_status]]="completed",1,0)</f>
        <v>0</v>
      </c>
    </row>
    <row r="1821" spans="1:18" x14ac:dyDescent="0.35">
      <c r="A1821">
        <v>1820</v>
      </c>
      <c r="B1821" s="1">
        <v>45881</v>
      </c>
      <c r="C1821">
        <v>1198</v>
      </c>
      <c r="D1821" t="s">
        <v>28</v>
      </c>
      <c r="E1821" t="s">
        <v>29</v>
      </c>
      <c r="F1821" t="s">
        <v>24</v>
      </c>
      <c r="G1821">
        <v>2</v>
      </c>
      <c r="H1821">
        <v>0</v>
      </c>
      <c r="I1821" t="s">
        <v>18</v>
      </c>
      <c r="J1821" t="s">
        <v>31</v>
      </c>
      <c r="K1821" t="s">
        <v>40</v>
      </c>
      <c r="L1821">
        <v>5</v>
      </c>
      <c r="M1821">
        <v>1</v>
      </c>
      <c r="N1821">
        <v>0</v>
      </c>
      <c r="O1821" t="s">
        <v>21</v>
      </c>
      <c r="P1821" t="str">
        <f>TEXT(Table1[[#This Row],[order_date]],"yyyy-mm")</f>
        <v>2025-08</v>
      </c>
      <c r="Q1821">
        <f>WEEKNUM(Table1[[#This Row],[order_date]])</f>
        <v>33</v>
      </c>
      <c r="R1821">
        <f>IF(Table1[[#This Row],[order_status]]="completed",1,0)</f>
        <v>0</v>
      </c>
    </row>
    <row r="1822" spans="1:18" x14ac:dyDescent="0.35">
      <c r="A1822">
        <v>1821</v>
      </c>
      <c r="B1822" s="1">
        <v>45949</v>
      </c>
      <c r="C1822">
        <v>1284</v>
      </c>
      <c r="D1822" t="s">
        <v>28</v>
      </c>
      <c r="E1822" t="s">
        <v>36</v>
      </c>
      <c r="F1822" t="s">
        <v>17</v>
      </c>
      <c r="G1822">
        <v>5</v>
      </c>
      <c r="H1822">
        <v>0</v>
      </c>
      <c r="I1822" t="s">
        <v>25</v>
      </c>
      <c r="J1822" t="s">
        <v>31</v>
      </c>
      <c r="K1822" t="s">
        <v>38</v>
      </c>
      <c r="L1822">
        <v>4</v>
      </c>
      <c r="M1822">
        <v>0</v>
      </c>
      <c r="N1822">
        <v>1</v>
      </c>
      <c r="O1822" t="s">
        <v>21</v>
      </c>
      <c r="P1822" t="str">
        <f>TEXT(Table1[[#This Row],[order_date]],"yyyy-mm")</f>
        <v>2025-10</v>
      </c>
      <c r="Q1822">
        <f>WEEKNUM(Table1[[#This Row],[order_date]])</f>
        <v>43</v>
      </c>
      <c r="R1822">
        <f>IF(Table1[[#This Row],[order_status]]="completed",1,0)</f>
        <v>0</v>
      </c>
    </row>
    <row r="1823" spans="1:18" x14ac:dyDescent="0.35">
      <c r="A1823">
        <v>1822</v>
      </c>
      <c r="B1823" s="1">
        <v>45896</v>
      </c>
      <c r="C1823">
        <v>1812</v>
      </c>
      <c r="D1823" t="s">
        <v>15</v>
      </c>
      <c r="E1823" t="s">
        <v>29</v>
      </c>
      <c r="F1823" t="s">
        <v>30</v>
      </c>
      <c r="G1823">
        <v>5</v>
      </c>
      <c r="H1823">
        <v>0</v>
      </c>
      <c r="I1823" t="s">
        <v>18</v>
      </c>
      <c r="J1823" t="s">
        <v>31</v>
      </c>
      <c r="K1823" t="s">
        <v>40</v>
      </c>
      <c r="L1823">
        <v>8</v>
      </c>
      <c r="M1823">
        <v>0</v>
      </c>
      <c r="N1823">
        <v>0</v>
      </c>
      <c r="O1823" t="s">
        <v>21</v>
      </c>
      <c r="P1823" t="str">
        <f>TEXT(Table1[[#This Row],[order_date]],"yyyy-mm")</f>
        <v>2025-08</v>
      </c>
      <c r="Q1823">
        <f>WEEKNUM(Table1[[#This Row],[order_date]])</f>
        <v>35</v>
      </c>
      <c r="R1823">
        <f>IF(Table1[[#This Row],[order_status]]="completed",1,0)</f>
        <v>0</v>
      </c>
    </row>
    <row r="1824" spans="1:18" x14ac:dyDescent="0.35">
      <c r="A1824">
        <v>1823</v>
      </c>
      <c r="B1824" s="1">
        <v>45912</v>
      </c>
      <c r="C1824">
        <v>1313</v>
      </c>
      <c r="D1824" t="s">
        <v>41</v>
      </c>
      <c r="E1824" t="s">
        <v>29</v>
      </c>
      <c r="F1824" t="s">
        <v>17</v>
      </c>
      <c r="G1824">
        <v>5</v>
      </c>
      <c r="H1824">
        <v>2905</v>
      </c>
      <c r="I1824" t="s">
        <v>35</v>
      </c>
      <c r="J1824" t="s">
        <v>19</v>
      </c>
      <c r="K1824" t="s">
        <v>26</v>
      </c>
      <c r="L1824">
        <v>3</v>
      </c>
      <c r="M1824">
        <v>0</v>
      </c>
      <c r="N1824">
        <v>1</v>
      </c>
      <c r="O1824" t="s">
        <v>21</v>
      </c>
      <c r="P1824" t="str">
        <f>TEXT(Table1[[#This Row],[order_date]],"yyyy-mm")</f>
        <v>2025-09</v>
      </c>
      <c r="Q1824">
        <f>WEEKNUM(Table1[[#This Row],[order_date]])</f>
        <v>37</v>
      </c>
      <c r="R1824">
        <f>IF(Table1[[#This Row],[order_status]]="completed",1,0)</f>
        <v>1</v>
      </c>
    </row>
    <row r="1825" spans="1:18" x14ac:dyDescent="0.35">
      <c r="A1825">
        <v>1824</v>
      </c>
      <c r="B1825" s="1">
        <v>45853</v>
      </c>
      <c r="C1825">
        <v>1887</v>
      </c>
      <c r="D1825" t="s">
        <v>32</v>
      </c>
      <c r="E1825" t="s">
        <v>29</v>
      </c>
      <c r="F1825" t="s">
        <v>34</v>
      </c>
      <c r="G1825">
        <v>3</v>
      </c>
      <c r="H1825">
        <v>0</v>
      </c>
      <c r="I1825" t="s">
        <v>39</v>
      </c>
      <c r="J1825" t="s">
        <v>37</v>
      </c>
      <c r="K1825" t="s">
        <v>38</v>
      </c>
      <c r="L1825">
        <v>5</v>
      </c>
      <c r="M1825">
        <v>0</v>
      </c>
      <c r="N1825">
        <v>1</v>
      </c>
      <c r="O1825" t="s">
        <v>21</v>
      </c>
      <c r="P1825" t="str">
        <f>TEXT(Table1[[#This Row],[order_date]],"yyyy-mm")</f>
        <v>2025-07</v>
      </c>
      <c r="Q1825">
        <f>WEEKNUM(Table1[[#This Row],[order_date]])</f>
        <v>29</v>
      </c>
      <c r="R1825">
        <f>IF(Table1[[#This Row],[order_status]]="completed",1,0)</f>
        <v>0</v>
      </c>
    </row>
    <row r="1826" spans="1:18" x14ac:dyDescent="0.35">
      <c r="A1826">
        <v>1825</v>
      </c>
      <c r="B1826" s="1">
        <v>45994</v>
      </c>
      <c r="C1826">
        <v>1705</v>
      </c>
      <c r="D1826" t="s">
        <v>22</v>
      </c>
      <c r="E1826" t="s">
        <v>33</v>
      </c>
      <c r="F1826" t="s">
        <v>34</v>
      </c>
      <c r="G1826">
        <v>3</v>
      </c>
      <c r="H1826">
        <v>0</v>
      </c>
      <c r="I1826" t="s">
        <v>35</v>
      </c>
      <c r="J1826" t="s">
        <v>31</v>
      </c>
      <c r="K1826" t="s">
        <v>38</v>
      </c>
      <c r="L1826">
        <v>9</v>
      </c>
      <c r="M1826">
        <v>0</v>
      </c>
      <c r="N1826">
        <v>1</v>
      </c>
      <c r="O1826" t="s">
        <v>27</v>
      </c>
      <c r="P1826" t="str">
        <f>TEXT(Table1[[#This Row],[order_date]],"yyyy-mm")</f>
        <v>2025-12</v>
      </c>
      <c r="Q1826">
        <f>WEEKNUM(Table1[[#This Row],[order_date]])</f>
        <v>49</v>
      </c>
      <c r="R1826">
        <f>IF(Table1[[#This Row],[order_status]]="completed",1,0)</f>
        <v>0</v>
      </c>
    </row>
    <row r="1827" spans="1:18" x14ac:dyDescent="0.35">
      <c r="A1827">
        <v>1826</v>
      </c>
      <c r="B1827" s="1">
        <v>45887</v>
      </c>
      <c r="C1827">
        <v>1455</v>
      </c>
      <c r="D1827" t="s">
        <v>28</v>
      </c>
      <c r="E1827" t="s">
        <v>36</v>
      </c>
      <c r="F1827" t="s">
        <v>24</v>
      </c>
      <c r="G1827">
        <v>4</v>
      </c>
      <c r="H1827">
        <v>0</v>
      </c>
      <c r="I1827" t="s">
        <v>25</v>
      </c>
      <c r="J1827" t="s">
        <v>31</v>
      </c>
      <c r="K1827" t="s">
        <v>26</v>
      </c>
      <c r="L1827">
        <v>6</v>
      </c>
      <c r="M1827">
        <v>1</v>
      </c>
      <c r="N1827">
        <v>0</v>
      </c>
      <c r="O1827" t="s">
        <v>27</v>
      </c>
      <c r="P1827" t="str">
        <f>TEXT(Table1[[#This Row],[order_date]],"yyyy-mm")</f>
        <v>2025-08</v>
      </c>
      <c r="Q1827">
        <f>WEEKNUM(Table1[[#This Row],[order_date]])</f>
        <v>34</v>
      </c>
      <c r="R1827">
        <f>IF(Table1[[#This Row],[order_status]]="completed",1,0)</f>
        <v>0</v>
      </c>
    </row>
    <row r="1828" spans="1:18" x14ac:dyDescent="0.35">
      <c r="A1828">
        <v>1827</v>
      </c>
      <c r="B1828" s="1">
        <v>45894</v>
      </c>
      <c r="C1828">
        <v>1354</v>
      </c>
      <c r="D1828" t="s">
        <v>22</v>
      </c>
      <c r="E1828" t="s">
        <v>16</v>
      </c>
      <c r="F1828" t="s">
        <v>34</v>
      </c>
      <c r="G1828">
        <v>3</v>
      </c>
      <c r="H1828">
        <v>1896</v>
      </c>
      <c r="I1828" t="s">
        <v>18</v>
      </c>
      <c r="J1828" t="s">
        <v>19</v>
      </c>
      <c r="K1828" t="s">
        <v>26</v>
      </c>
      <c r="L1828">
        <v>6</v>
      </c>
      <c r="M1828">
        <v>0</v>
      </c>
      <c r="N1828">
        <v>0</v>
      </c>
      <c r="O1828" t="s">
        <v>21</v>
      </c>
      <c r="P1828" t="str">
        <f>TEXT(Table1[[#This Row],[order_date]],"yyyy-mm")</f>
        <v>2025-08</v>
      </c>
      <c r="Q1828">
        <f>WEEKNUM(Table1[[#This Row],[order_date]])</f>
        <v>35</v>
      </c>
      <c r="R1828">
        <f>IF(Table1[[#This Row],[order_status]]="completed",1,0)</f>
        <v>1</v>
      </c>
    </row>
    <row r="1829" spans="1:18" x14ac:dyDescent="0.35">
      <c r="A1829">
        <v>1828</v>
      </c>
      <c r="B1829" s="1">
        <v>45867</v>
      </c>
      <c r="C1829">
        <v>1652</v>
      </c>
      <c r="D1829" t="s">
        <v>41</v>
      </c>
      <c r="E1829" t="s">
        <v>23</v>
      </c>
      <c r="F1829" t="s">
        <v>24</v>
      </c>
      <c r="G1829">
        <v>5</v>
      </c>
      <c r="H1829">
        <v>16145</v>
      </c>
      <c r="I1829" t="s">
        <v>18</v>
      </c>
      <c r="J1829" t="s">
        <v>19</v>
      </c>
      <c r="K1829" t="s">
        <v>20</v>
      </c>
      <c r="L1829">
        <v>4</v>
      </c>
      <c r="M1829">
        <v>0</v>
      </c>
      <c r="N1829">
        <v>0</v>
      </c>
      <c r="O1829" t="s">
        <v>21</v>
      </c>
      <c r="P1829" t="str">
        <f>TEXT(Table1[[#This Row],[order_date]],"yyyy-mm")</f>
        <v>2025-07</v>
      </c>
      <c r="Q1829">
        <f>WEEKNUM(Table1[[#This Row],[order_date]])</f>
        <v>31</v>
      </c>
      <c r="R1829">
        <f>IF(Table1[[#This Row],[order_status]]="completed",1,0)</f>
        <v>1</v>
      </c>
    </row>
    <row r="1830" spans="1:18" x14ac:dyDescent="0.35">
      <c r="A1830">
        <v>1829</v>
      </c>
      <c r="B1830" s="1">
        <v>45996</v>
      </c>
      <c r="C1830">
        <v>1034</v>
      </c>
      <c r="D1830" t="s">
        <v>32</v>
      </c>
      <c r="E1830" t="s">
        <v>16</v>
      </c>
      <c r="F1830" t="s">
        <v>30</v>
      </c>
      <c r="G1830">
        <v>2</v>
      </c>
      <c r="H1830">
        <v>0</v>
      </c>
      <c r="I1830" t="s">
        <v>39</v>
      </c>
      <c r="J1830" t="s">
        <v>31</v>
      </c>
      <c r="K1830" t="s">
        <v>20</v>
      </c>
      <c r="L1830">
        <v>9</v>
      </c>
      <c r="M1830">
        <v>0</v>
      </c>
      <c r="N1830">
        <v>0</v>
      </c>
      <c r="O1830" t="s">
        <v>27</v>
      </c>
      <c r="P1830" t="str">
        <f>TEXT(Table1[[#This Row],[order_date]],"yyyy-mm")</f>
        <v>2025-12</v>
      </c>
      <c r="Q1830">
        <f>WEEKNUM(Table1[[#This Row],[order_date]])</f>
        <v>49</v>
      </c>
      <c r="R1830">
        <f>IF(Table1[[#This Row],[order_status]]="completed",1,0)</f>
        <v>0</v>
      </c>
    </row>
    <row r="1831" spans="1:18" x14ac:dyDescent="0.35">
      <c r="A1831">
        <v>1830</v>
      </c>
      <c r="B1831" s="1">
        <v>45882</v>
      </c>
      <c r="C1831">
        <v>1200</v>
      </c>
      <c r="D1831" t="s">
        <v>15</v>
      </c>
      <c r="E1831" t="s">
        <v>33</v>
      </c>
      <c r="F1831" t="s">
        <v>30</v>
      </c>
      <c r="G1831">
        <v>1</v>
      </c>
      <c r="H1831">
        <v>714</v>
      </c>
      <c r="I1831" t="s">
        <v>35</v>
      </c>
      <c r="J1831" t="s">
        <v>19</v>
      </c>
      <c r="K1831" t="s">
        <v>26</v>
      </c>
      <c r="L1831">
        <v>8</v>
      </c>
      <c r="M1831">
        <v>1</v>
      </c>
      <c r="N1831">
        <v>1</v>
      </c>
      <c r="O1831" t="s">
        <v>27</v>
      </c>
      <c r="P1831" t="str">
        <f>TEXT(Table1[[#This Row],[order_date]],"yyyy-mm")</f>
        <v>2025-08</v>
      </c>
      <c r="Q1831">
        <f>WEEKNUM(Table1[[#This Row],[order_date]])</f>
        <v>33</v>
      </c>
      <c r="R1831">
        <f>IF(Table1[[#This Row],[order_status]]="completed",1,0)</f>
        <v>1</v>
      </c>
    </row>
    <row r="1832" spans="1:18" x14ac:dyDescent="0.35">
      <c r="A1832">
        <v>1831</v>
      </c>
      <c r="B1832" s="1">
        <v>45939</v>
      </c>
      <c r="C1832">
        <v>1641</v>
      </c>
      <c r="D1832" t="s">
        <v>32</v>
      </c>
      <c r="E1832" t="s">
        <v>36</v>
      </c>
      <c r="F1832" t="s">
        <v>34</v>
      </c>
      <c r="G1832">
        <v>4</v>
      </c>
      <c r="H1832">
        <v>19540</v>
      </c>
      <c r="I1832" t="s">
        <v>39</v>
      </c>
      <c r="J1832" t="s">
        <v>19</v>
      </c>
      <c r="K1832" t="s">
        <v>40</v>
      </c>
      <c r="L1832">
        <v>1</v>
      </c>
      <c r="M1832">
        <v>0</v>
      </c>
      <c r="N1832">
        <v>1</v>
      </c>
      <c r="O1832" t="s">
        <v>21</v>
      </c>
      <c r="P1832" t="str">
        <f>TEXT(Table1[[#This Row],[order_date]],"yyyy-mm")</f>
        <v>2025-10</v>
      </c>
      <c r="Q1832">
        <f>WEEKNUM(Table1[[#This Row],[order_date]])</f>
        <v>41</v>
      </c>
      <c r="R1832">
        <f>IF(Table1[[#This Row],[order_status]]="completed",1,0)</f>
        <v>1</v>
      </c>
    </row>
    <row r="1833" spans="1:18" x14ac:dyDescent="0.35">
      <c r="A1833">
        <v>1832</v>
      </c>
      <c r="B1833" s="1">
        <v>46013</v>
      </c>
      <c r="C1833">
        <v>1634</v>
      </c>
      <c r="D1833" t="s">
        <v>22</v>
      </c>
      <c r="E1833" t="s">
        <v>33</v>
      </c>
      <c r="F1833" t="s">
        <v>30</v>
      </c>
      <c r="G1833">
        <v>3</v>
      </c>
      <c r="H1833">
        <v>0</v>
      </c>
      <c r="I1833" t="s">
        <v>18</v>
      </c>
      <c r="J1833" t="s">
        <v>31</v>
      </c>
      <c r="K1833" t="s">
        <v>40</v>
      </c>
      <c r="L1833">
        <v>5</v>
      </c>
      <c r="M1833">
        <v>0</v>
      </c>
      <c r="N1833">
        <v>0</v>
      </c>
      <c r="O1833" t="s">
        <v>27</v>
      </c>
      <c r="P1833" t="str">
        <f>TEXT(Table1[[#This Row],[order_date]],"yyyy-mm")</f>
        <v>2025-12</v>
      </c>
      <c r="Q1833">
        <f>WEEKNUM(Table1[[#This Row],[order_date]])</f>
        <v>52</v>
      </c>
      <c r="R1833">
        <f>IF(Table1[[#This Row],[order_status]]="completed",1,0)</f>
        <v>0</v>
      </c>
    </row>
    <row r="1834" spans="1:18" x14ac:dyDescent="0.35">
      <c r="A1834">
        <v>1833</v>
      </c>
      <c r="B1834" s="1">
        <v>45978</v>
      </c>
      <c r="C1834">
        <v>1512</v>
      </c>
      <c r="D1834" t="s">
        <v>41</v>
      </c>
      <c r="E1834" t="s">
        <v>23</v>
      </c>
      <c r="F1834" t="s">
        <v>24</v>
      </c>
      <c r="G1834">
        <v>4</v>
      </c>
      <c r="H1834">
        <v>0</v>
      </c>
      <c r="I1834" t="s">
        <v>39</v>
      </c>
      <c r="J1834" t="s">
        <v>31</v>
      </c>
      <c r="K1834" t="s">
        <v>40</v>
      </c>
      <c r="L1834">
        <v>2</v>
      </c>
      <c r="M1834">
        <v>0</v>
      </c>
      <c r="N1834">
        <v>1</v>
      </c>
      <c r="O1834" t="s">
        <v>21</v>
      </c>
      <c r="P1834" t="str">
        <f>TEXT(Table1[[#This Row],[order_date]],"yyyy-mm")</f>
        <v>2025-11</v>
      </c>
      <c r="Q1834">
        <f>WEEKNUM(Table1[[#This Row],[order_date]])</f>
        <v>47</v>
      </c>
      <c r="R1834">
        <f>IF(Table1[[#This Row],[order_status]]="completed",1,0)</f>
        <v>0</v>
      </c>
    </row>
    <row r="1835" spans="1:18" x14ac:dyDescent="0.35">
      <c r="A1835">
        <v>1834</v>
      </c>
      <c r="B1835" s="1">
        <v>45934</v>
      </c>
      <c r="C1835">
        <v>1800</v>
      </c>
      <c r="D1835" t="s">
        <v>22</v>
      </c>
      <c r="E1835" t="s">
        <v>33</v>
      </c>
      <c r="F1835" t="s">
        <v>17</v>
      </c>
      <c r="G1835">
        <v>3</v>
      </c>
      <c r="H1835">
        <v>0</v>
      </c>
      <c r="I1835" t="s">
        <v>35</v>
      </c>
      <c r="J1835" t="s">
        <v>31</v>
      </c>
      <c r="K1835" t="s">
        <v>20</v>
      </c>
      <c r="L1835">
        <v>1</v>
      </c>
      <c r="M1835">
        <v>1</v>
      </c>
      <c r="N1835">
        <v>0</v>
      </c>
      <c r="O1835" t="s">
        <v>27</v>
      </c>
      <c r="P1835" t="str">
        <f>TEXT(Table1[[#This Row],[order_date]],"yyyy-mm")</f>
        <v>2025-10</v>
      </c>
      <c r="Q1835">
        <f>WEEKNUM(Table1[[#This Row],[order_date]])</f>
        <v>40</v>
      </c>
      <c r="R1835">
        <f>IF(Table1[[#This Row],[order_status]]="completed",1,0)</f>
        <v>0</v>
      </c>
    </row>
    <row r="1836" spans="1:18" x14ac:dyDescent="0.35">
      <c r="A1836">
        <v>1835</v>
      </c>
      <c r="B1836" s="1">
        <v>45944</v>
      </c>
      <c r="C1836">
        <v>1215</v>
      </c>
      <c r="D1836" t="s">
        <v>41</v>
      </c>
      <c r="E1836" t="s">
        <v>29</v>
      </c>
      <c r="F1836" t="s">
        <v>30</v>
      </c>
      <c r="G1836">
        <v>2</v>
      </c>
      <c r="H1836">
        <v>0</v>
      </c>
      <c r="I1836" t="s">
        <v>25</v>
      </c>
      <c r="J1836" t="s">
        <v>31</v>
      </c>
      <c r="K1836" t="s">
        <v>20</v>
      </c>
      <c r="L1836">
        <v>3</v>
      </c>
      <c r="M1836">
        <v>1</v>
      </c>
      <c r="N1836">
        <v>1</v>
      </c>
      <c r="O1836" t="s">
        <v>21</v>
      </c>
      <c r="P1836" t="str">
        <f>TEXT(Table1[[#This Row],[order_date]],"yyyy-mm")</f>
        <v>2025-10</v>
      </c>
      <c r="Q1836">
        <f>WEEKNUM(Table1[[#This Row],[order_date]])</f>
        <v>42</v>
      </c>
      <c r="R1836">
        <f>IF(Table1[[#This Row],[order_status]]="completed",1,0)</f>
        <v>0</v>
      </c>
    </row>
    <row r="1837" spans="1:18" x14ac:dyDescent="0.35">
      <c r="A1837">
        <v>1836</v>
      </c>
      <c r="B1837" s="1">
        <v>45938</v>
      </c>
      <c r="C1837">
        <v>1918</v>
      </c>
      <c r="D1837" t="s">
        <v>15</v>
      </c>
      <c r="E1837" t="s">
        <v>23</v>
      </c>
      <c r="F1837" t="s">
        <v>17</v>
      </c>
      <c r="G1837">
        <v>4</v>
      </c>
      <c r="H1837">
        <v>0</v>
      </c>
      <c r="I1837" t="s">
        <v>39</v>
      </c>
      <c r="J1837" t="s">
        <v>31</v>
      </c>
      <c r="K1837" t="s">
        <v>40</v>
      </c>
      <c r="L1837">
        <v>1</v>
      </c>
      <c r="M1837">
        <v>1</v>
      </c>
      <c r="N1837">
        <v>0</v>
      </c>
      <c r="O1837" t="s">
        <v>27</v>
      </c>
      <c r="P1837" t="str">
        <f>TEXT(Table1[[#This Row],[order_date]],"yyyy-mm")</f>
        <v>2025-10</v>
      </c>
      <c r="Q1837">
        <f>WEEKNUM(Table1[[#This Row],[order_date]])</f>
        <v>41</v>
      </c>
      <c r="R1837">
        <f>IF(Table1[[#This Row],[order_status]]="completed",1,0)</f>
        <v>0</v>
      </c>
    </row>
    <row r="1838" spans="1:18" x14ac:dyDescent="0.35">
      <c r="A1838">
        <v>1837</v>
      </c>
      <c r="B1838" s="1">
        <v>45879</v>
      </c>
      <c r="C1838">
        <v>1676</v>
      </c>
      <c r="D1838" t="s">
        <v>32</v>
      </c>
      <c r="E1838" t="s">
        <v>16</v>
      </c>
      <c r="F1838" t="s">
        <v>30</v>
      </c>
      <c r="G1838">
        <v>3</v>
      </c>
      <c r="H1838">
        <v>0</v>
      </c>
      <c r="I1838" t="s">
        <v>25</v>
      </c>
      <c r="J1838" t="s">
        <v>37</v>
      </c>
      <c r="K1838" t="s">
        <v>38</v>
      </c>
      <c r="L1838">
        <v>2</v>
      </c>
      <c r="M1838">
        <v>0</v>
      </c>
      <c r="N1838">
        <v>0</v>
      </c>
      <c r="O1838" t="s">
        <v>27</v>
      </c>
      <c r="P1838" t="str">
        <f>TEXT(Table1[[#This Row],[order_date]],"yyyy-mm")</f>
        <v>2025-08</v>
      </c>
      <c r="Q1838">
        <f>WEEKNUM(Table1[[#This Row],[order_date]])</f>
        <v>33</v>
      </c>
      <c r="R1838">
        <f>IF(Table1[[#This Row],[order_status]]="completed",1,0)</f>
        <v>0</v>
      </c>
    </row>
    <row r="1839" spans="1:18" x14ac:dyDescent="0.35">
      <c r="A1839">
        <v>1838</v>
      </c>
      <c r="B1839" s="1">
        <v>45976</v>
      </c>
      <c r="C1839">
        <v>1451</v>
      </c>
      <c r="D1839" t="s">
        <v>15</v>
      </c>
      <c r="E1839" t="s">
        <v>16</v>
      </c>
      <c r="F1839" t="s">
        <v>24</v>
      </c>
      <c r="G1839">
        <v>3</v>
      </c>
      <c r="H1839">
        <v>0</v>
      </c>
      <c r="I1839" t="s">
        <v>39</v>
      </c>
      <c r="J1839" t="s">
        <v>37</v>
      </c>
      <c r="K1839" t="s">
        <v>38</v>
      </c>
      <c r="L1839">
        <v>9</v>
      </c>
      <c r="M1839">
        <v>0</v>
      </c>
      <c r="N1839">
        <v>1</v>
      </c>
      <c r="O1839" t="s">
        <v>27</v>
      </c>
      <c r="P1839" t="str">
        <f>TEXT(Table1[[#This Row],[order_date]],"yyyy-mm")</f>
        <v>2025-11</v>
      </c>
      <c r="Q1839">
        <f>WEEKNUM(Table1[[#This Row],[order_date]])</f>
        <v>46</v>
      </c>
      <c r="R1839">
        <f>IF(Table1[[#This Row],[order_status]]="completed",1,0)</f>
        <v>0</v>
      </c>
    </row>
    <row r="1840" spans="1:18" x14ac:dyDescent="0.35">
      <c r="A1840">
        <v>1839</v>
      </c>
      <c r="B1840" s="1">
        <v>45944</v>
      </c>
      <c r="C1840">
        <v>1644</v>
      </c>
      <c r="D1840" t="s">
        <v>15</v>
      </c>
      <c r="E1840" t="s">
        <v>23</v>
      </c>
      <c r="F1840" t="s">
        <v>30</v>
      </c>
      <c r="G1840">
        <v>4</v>
      </c>
      <c r="H1840">
        <v>10976</v>
      </c>
      <c r="I1840" t="s">
        <v>39</v>
      </c>
      <c r="J1840" t="s">
        <v>19</v>
      </c>
      <c r="K1840" t="s">
        <v>26</v>
      </c>
      <c r="L1840">
        <v>4</v>
      </c>
      <c r="M1840">
        <v>0</v>
      </c>
      <c r="N1840">
        <v>1</v>
      </c>
      <c r="O1840" t="s">
        <v>27</v>
      </c>
      <c r="P1840" t="str">
        <f>TEXT(Table1[[#This Row],[order_date]],"yyyy-mm")</f>
        <v>2025-10</v>
      </c>
      <c r="Q1840">
        <f>WEEKNUM(Table1[[#This Row],[order_date]])</f>
        <v>42</v>
      </c>
      <c r="R1840">
        <f>IF(Table1[[#This Row],[order_status]]="completed",1,0)</f>
        <v>1</v>
      </c>
    </row>
    <row r="1841" spans="1:18" x14ac:dyDescent="0.35">
      <c r="A1841">
        <v>1840</v>
      </c>
      <c r="B1841" s="1">
        <v>45920</v>
      </c>
      <c r="C1841">
        <v>1661</v>
      </c>
      <c r="D1841" t="s">
        <v>41</v>
      </c>
      <c r="E1841" t="s">
        <v>36</v>
      </c>
      <c r="F1841" t="s">
        <v>17</v>
      </c>
      <c r="G1841">
        <v>4</v>
      </c>
      <c r="H1841">
        <v>0</v>
      </c>
      <c r="I1841" t="s">
        <v>35</v>
      </c>
      <c r="J1841" t="s">
        <v>37</v>
      </c>
      <c r="K1841" t="s">
        <v>40</v>
      </c>
      <c r="L1841">
        <v>2</v>
      </c>
      <c r="M1841">
        <v>1</v>
      </c>
      <c r="N1841">
        <v>0</v>
      </c>
      <c r="O1841" t="s">
        <v>27</v>
      </c>
      <c r="P1841" t="str">
        <f>TEXT(Table1[[#This Row],[order_date]],"yyyy-mm")</f>
        <v>2025-09</v>
      </c>
      <c r="Q1841">
        <f>WEEKNUM(Table1[[#This Row],[order_date]])</f>
        <v>38</v>
      </c>
      <c r="R1841">
        <f>IF(Table1[[#This Row],[order_status]]="completed",1,0)</f>
        <v>0</v>
      </c>
    </row>
    <row r="1842" spans="1:18" x14ac:dyDescent="0.35">
      <c r="A1842">
        <v>1841</v>
      </c>
      <c r="B1842" s="1">
        <v>45996</v>
      </c>
      <c r="C1842">
        <v>1225</v>
      </c>
      <c r="D1842" t="s">
        <v>15</v>
      </c>
      <c r="E1842" t="s">
        <v>29</v>
      </c>
      <c r="F1842" t="s">
        <v>30</v>
      </c>
      <c r="G1842">
        <v>2</v>
      </c>
      <c r="H1842">
        <v>0</v>
      </c>
      <c r="I1842" t="s">
        <v>39</v>
      </c>
      <c r="J1842" t="s">
        <v>31</v>
      </c>
      <c r="K1842" t="s">
        <v>40</v>
      </c>
      <c r="L1842">
        <v>2</v>
      </c>
      <c r="M1842">
        <v>1</v>
      </c>
      <c r="N1842">
        <v>1</v>
      </c>
      <c r="O1842" t="s">
        <v>27</v>
      </c>
      <c r="P1842" t="str">
        <f>TEXT(Table1[[#This Row],[order_date]],"yyyy-mm")</f>
        <v>2025-12</v>
      </c>
      <c r="Q1842">
        <f>WEEKNUM(Table1[[#This Row],[order_date]])</f>
        <v>49</v>
      </c>
      <c r="R1842">
        <f>IF(Table1[[#This Row],[order_status]]="completed",1,0)</f>
        <v>0</v>
      </c>
    </row>
    <row r="1843" spans="1:18" x14ac:dyDescent="0.35">
      <c r="A1843">
        <v>1842</v>
      </c>
      <c r="B1843" s="1">
        <v>45877</v>
      </c>
      <c r="C1843">
        <v>1004</v>
      </c>
      <c r="D1843" t="s">
        <v>22</v>
      </c>
      <c r="E1843" t="s">
        <v>33</v>
      </c>
      <c r="F1843" t="s">
        <v>34</v>
      </c>
      <c r="G1843">
        <v>1</v>
      </c>
      <c r="H1843">
        <v>3872</v>
      </c>
      <c r="I1843" t="s">
        <v>35</v>
      </c>
      <c r="J1843" t="s">
        <v>19</v>
      </c>
      <c r="K1843" t="s">
        <v>20</v>
      </c>
      <c r="L1843">
        <v>6</v>
      </c>
      <c r="M1843">
        <v>0</v>
      </c>
      <c r="N1843">
        <v>1</v>
      </c>
      <c r="O1843" t="s">
        <v>27</v>
      </c>
      <c r="P1843" t="str">
        <f>TEXT(Table1[[#This Row],[order_date]],"yyyy-mm")</f>
        <v>2025-08</v>
      </c>
      <c r="Q1843">
        <f>WEEKNUM(Table1[[#This Row],[order_date]])</f>
        <v>32</v>
      </c>
      <c r="R1843">
        <f>IF(Table1[[#This Row],[order_status]]="completed",1,0)</f>
        <v>1</v>
      </c>
    </row>
    <row r="1844" spans="1:18" x14ac:dyDescent="0.35">
      <c r="A1844">
        <v>1843</v>
      </c>
      <c r="B1844" s="1">
        <v>45897</v>
      </c>
      <c r="C1844">
        <v>1221</v>
      </c>
      <c r="D1844" t="s">
        <v>32</v>
      </c>
      <c r="E1844" t="s">
        <v>29</v>
      </c>
      <c r="F1844" t="s">
        <v>34</v>
      </c>
      <c r="G1844">
        <v>4</v>
      </c>
      <c r="H1844">
        <v>3788</v>
      </c>
      <c r="I1844" t="s">
        <v>25</v>
      </c>
      <c r="J1844" t="s">
        <v>19</v>
      </c>
      <c r="K1844" t="s">
        <v>26</v>
      </c>
      <c r="L1844">
        <v>5</v>
      </c>
      <c r="M1844">
        <v>0</v>
      </c>
      <c r="N1844">
        <v>0</v>
      </c>
      <c r="O1844" t="s">
        <v>27</v>
      </c>
      <c r="P1844" t="str">
        <f>TEXT(Table1[[#This Row],[order_date]],"yyyy-mm")</f>
        <v>2025-08</v>
      </c>
      <c r="Q1844">
        <f>WEEKNUM(Table1[[#This Row],[order_date]])</f>
        <v>35</v>
      </c>
      <c r="R1844">
        <f>IF(Table1[[#This Row],[order_status]]="completed",1,0)</f>
        <v>1</v>
      </c>
    </row>
    <row r="1845" spans="1:18" x14ac:dyDescent="0.35">
      <c r="A1845">
        <v>1844</v>
      </c>
      <c r="B1845" s="1">
        <v>45894</v>
      </c>
      <c r="C1845">
        <v>1603</v>
      </c>
      <c r="D1845" t="s">
        <v>15</v>
      </c>
      <c r="E1845" t="s">
        <v>29</v>
      </c>
      <c r="F1845" t="s">
        <v>24</v>
      </c>
      <c r="G1845">
        <v>1</v>
      </c>
      <c r="H1845">
        <v>0</v>
      </c>
      <c r="I1845" t="s">
        <v>39</v>
      </c>
      <c r="J1845" t="s">
        <v>31</v>
      </c>
      <c r="K1845" t="s">
        <v>20</v>
      </c>
      <c r="L1845">
        <v>8</v>
      </c>
      <c r="M1845">
        <v>0</v>
      </c>
      <c r="N1845">
        <v>0</v>
      </c>
      <c r="O1845" t="s">
        <v>21</v>
      </c>
      <c r="P1845" t="str">
        <f>TEXT(Table1[[#This Row],[order_date]],"yyyy-mm")</f>
        <v>2025-08</v>
      </c>
      <c r="Q1845">
        <f>WEEKNUM(Table1[[#This Row],[order_date]])</f>
        <v>35</v>
      </c>
      <c r="R1845">
        <f>IF(Table1[[#This Row],[order_status]]="completed",1,0)</f>
        <v>0</v>
      </c>
    </row>
    <row r="1846" spans="1:18" x14ac:dyDescent="0.35">
      <c r="A1846">
        <v>1845</v>
      </c>
      <c r="B1846" s="1">
        <v>46018</v>
      </c>
      <c r="C1846">
        <v>1905</v>
      </c>
      <c r="D1846" t="s">
        <v>32</v>
      </c>
      <c r="E1846" t="s">
        <v>16</v>
      </c>
      <c r="F1846" t="s">
        <v>24</v>
      </c>
      <c r="G1846">
        <v>4</v>
      </c>
      <c r="H1846">
        <v>0</v>
      </c>
      <c r="I1846" t="s">
        <v>25</v>
      </c>
      <c r="J1846" t="s">
        <v>31</v>
      </c>
      <c r="K1846" t="s">
        <v>20</v>
      </c>
      <c r="L1846">
        <v>1</v>
      </c>
      <c r="M1846">
        <v>1</v>
      </c>
      <c r="N1846">
        <v>0</v>
      </c>
      <c r="O1846" t="s">
        <v>27</v>
      </c>
      <c r="P1846" t="str">
        <f>TEXT(Table1[[#This Row],[order_date]],"yyyy-mm")</f>
        <v>2025-12</v>
      </c>
      <c r="Q1846">
        <f>WEEKNUM(Table1[[#This Row],[order_date]])</f>
        <v>52</v>
      </c>
      <c r="R1846">
        <f>IF(Table1[[#This Row],[order_status]]="completed",1,0)</f>
        <v>0</v>
      </c>
    </row>
    <row r="1847" spans="1:18" x14ac:dyDescent="0.35">
      <c r="A1847">
        <v>1846</v>
      </c>
      <c r="B1847" s="1">
        <v>45889</v>
      </c>
      <c r="C1847">
        <v>1864</v>
      </c>
      <c r="D1847" t="s">
        <v>15</v>
      </c>
      <c r="E1847" t="s">
        <v>29</v>
      </c>
      <c r="F1847" t="s">
        <v>30</v>
      </c>
      <c r="G1847">
        <v>4</v>
      </c>
      <c r="H1847">
        <v>0</v>
      </c>
      <c r="I1847" t="s">
        <v>39</v>
      </c>
      <c r="J1847" t="s">
        <v>31</v>
      </c>
      <c r="K1847" t="s">
        <v>40</v>
      </c>
      <c r="L1847">
        <v>6</v>
      </c>
      <c r="M1847">
        <v>1</v>
      </c>
      <c r="N1847">
        <v>0</v>
      </c>
      <c r="O1847" t="s">
        <v>27</v>
      </c>
      <c r="P1847" t="str">
        <f>TEXT(Table1[[#This Row],[order_date]],"yyyy-mm")</f>
        <v>2025-08</v>
      </c>
      <c r="Q1847">
        <f>WEEKNUM(Table1[[#This Row],[order_date]])</f>
        <v>34</v>
      </c>
      <c r="R1847">
        <f>IF(Table1[[#This Row],[order_status]]="completed",1,0)</f>
        <v>0</v>
      </c>
    </row>
    <row r="1848" spans="1:18" x14ac:dyDescent="0.35">
      <c r="A1848">
        <v>1847</v>
      </c>
      <c r="B1848" s="1">
        <v>45924</v>
      </c>
      <c r="C1848">
        <v>1395</v>
      </c>
      <c r="D1848" t="s">
        <v>15</v>
      </c>
      <c r="E1848" t="s">
        <v>16</v>
      </c>
      <c r="F1848" t="s">
        <v>30</v>
      </c>
      <c r="G1848">
        <v>4</v>
      </c>
      <c r="H1848">
        <v>10400</v>
      </c>
      <c r="I1848" t="s">
        <v>35</v>
      </c>
      <c r="J1848" t="s">
        <v>19</v>
      </c>
      <c r="K1848" t="s">
        <v>38</v>
      </c>
      <c r="L1848">
        <v>8</v>
      </c>
      <c r="M1848">
        <v>1</v>
      </c>
      <c r="N1848">
        <v>0</v>
      </c>
      <c r="O1848" t="s">
        <v>21</v>
      </c>
      <c r="P1848" t="str">
        <f>TEXT(Table1[[#This Row],[order_date]],"yyyy-mm")</f>
        <v>2025-09</v>
      </c>
      <c r="Q1848">
        <f>WEEKNUM(Table1[[#This Row],[order_date]])</f>
        <v>39</v>
      </c>
      <c r="R1848">
        <f>IF(Table1[[#This Row],[order_status]]="completed",1,0)</f>
        <v>1</v>
      </c>
    </row>
    <row r="1849" spans="1:18" x14ac:dyDescent="0.35">
      <c r="A1849">
        <v>1848</v>
      </c>
      <c r="B1849" s="1">
        <v>45971</v>
      </c>
      <c r="C1849">
        <v>1950</v>
      </c>
      <c r="D1849" t="s">
        <v>22</v>
      </c>
      <c r="E1849" t="s">
        <v>16</v>
      </c>
      <c r="F1849" t="s">
        <v>34</v>
      </c>
      <c r="G1849">
        <v>3</v>
      </c>
      <c r="H1849">
        <v>7074</v>
      </c>
      <c r="I1849" t="s">
        <v>25</v>
      </c>
      <c r="J1849" t="s">
        <v>19</v>
      </c>
      <c r="K1849" t="s">
        <v>20</v>
      </c>
      <c r="L1849">
        <v>5</v>
      </c>
      <c r="M1849">
        <v>0</v>
      </c>
      <c r="N1849">
        <v>1</v>
      </c>
      <c r="O1849" t="s">
        <v>21</v>
      </c>
      <c r="P1849" t="str">
        <f>TEXT(Table1[[#This Row],[order_date]],"yyyy-mm")</f>
        <v>2025-11</v>
      </c>
      <c r="Q1849">
        <f>WEEKNUM(Table1[[#This Row],[order_date]])</f>
        <v>46</v>
      </c>
      <c r="R1849">
        <f>IF(Table1[[#This Row],[order_status]]="completed",1,0)</f>
        <v>1</v>
      </c>
    </row>
    <row r="1850" spans="1:18" x14ac:dyDescent="0.35">
      <c r="A1850">
        <v>1849</v>
      </c>
      <c r="B1850" s="1">
        <v>45955</v>
      </c>
      <c r="C1850">
        <v>1350</v>
      </c>
      <c r="D1850" t="s">
        <v>15</v>
      </c>
      <c r="E1850" t="s">
        <v>29</v>
      </c>
      <c r="F1850" t="s">
        <v>24</v>
      </c>
      <c r="G1850">
        <v>1</v>
      </c>
      <c r="H1850">
        <v>2399</v>
      </c>
      <c r="I1850" t="s">
        <v>25</v>
      </c>
      <c r="J1850" t="s">
        <v>19</v>
      </c>
      <c r="K1850" t="s">
        <v>20</v>
      </c>
      <c r="L1850">
        <v>4</v>
      </c>
      <c r="M1850">
        <v>0</v>
      </c>
      <c r="N1850">
        <v>1</v>
      </c>
      <c r="O1850" t="s">
        <v>27</v>
      </c>
      <c r="P1850" t="str">
        <f>TEXT(Table1[[#This Row],[order_date]],"yyyy-mm")</f>
        <v>2025-10</v>
      </c>
      <c r="Q1850">
        <f>WEEKNUM(Table1[[#This Row],[order_date]])</f>
        <v>43</v>
      </c>
      <c r="R1850">
        <f>IF(Table1[[#This Row],[order_status]]="completed",1,0)</f>
        <v>1</v>
      </c>
    </row>
    <row r="1851" spans="1:18" x14ac:dyDescent="0.35">
      <c r="A1851">
        <v>1850</v>
      </c>
      <c r="B1851" s="1">
        <v>45944</v>
      </c>
      <c r="C1851">
        <v>1737</v>
      </c>
      <c r="D1851" t="s">
        <v>22</v>
      </c>
      <c r="E1851" t="s">
        <v>16</v>
      </c>
      <c r="F1851" t="s">
        <v>24</v>
      </c>
      <c r="G1851">
        <v>3</v>
      </c>
      <c r="H1851">
        <v>6921</v>
      </c>
      <c r="I1851" t="s">
        <v>35</v>
      </c>
      <c r="J1851" t="s">
        <v>19</v>
      </c>
      <c r="K1851" t="s">
        <v>26</v>
      </c>
      <c r="L1851">
        <v>3</v>
      </c>
      <c r="M1851">
        <v>0</v>
      </c>
      <c r="N1851">
        <v>1</v>
      </c>
      <c r="O1851" t="s">
        <v>27</v>
      </c>
      <c r="P1851" t="str">
        <f>TEXT(Table1[[#This Row],[order_date]],"yyyy-mm")</f>
        <v>2025-10</v>
      </c>
      <c r="Q1851">
        <f>WEEKNUM(Table1[[#This Row],[order_date]])</f>
        <v>42</v>
      </c>
      <c r="R1851">
        <f>IF(Table1[[#This Row],[order_status]]="completed",1,0)</f>
        <v>1</v>
      </c>
    </row>
    <row r="1852" spans="1:18" x14ac:dyDescent="0.35">
      <c r="A1852">
        <v>1851</v>
      </c>
      <c r="B1852" s="1">
        <v>46024</v>
      </c>
      <c r="C1852">
        <v>1815</v>
      </c>
      <c r="D1852" t="s">
        <v>15</v>
      </c>
      <c r="E1852" t="s">
        <v>23</v>
      </c>
      <c r="F1852" t="s">
        <v>24</v>
      </c>
      <c r="G1852">
        <v>1</v>
      </c>
      <c r="H1852">
        <v>0</v>
      </c>
      <c r="I1852" t="s">
        <v>18</v>
      </c>
      <c r="J1852" t="s">
        <v>31</v>
      </c>
      <c r="K1852" t="s">
        <v>20</v>
      </c>
      <c r="L1852">
        <v>6</v>
      </c>
      <c r="M1852">
        <v>1</v>
      </c>
      <c r="N1852">
        <v>0</v>
      </c>
      <c r="O1852" t="s">
        <v>27</v>
      </c>
      <c r="P1852" t="str">
        <f>TEXT(Table1[[#This Row],[order_date]],"yyyy-mm")</f>
        <v>2026-01</v>
      </c>
      <c r="Q1852">
        <f>WEEKNUM(Table1[[#This Row],[order_date]])</f>
        <v>1</v>
      </c>
      <c r="R1852">
        <f>IF(Table1[[#This Row],[order_status]]="completed",1,0)</f>
        <v>0</v>
      </c>
    </row>
    <row r="1853" spans="1:18" x14ac:dyDescent="0.35">
      <c r="A1853">
        <v>1852</v>
      </c>
      <c r="B1853" s="1">
        <v>45903</v>
      </c>
      <c r="C1853">
        <v>1809</v>
      </c>
      <c r="D1853" t="s">
        <v>32</v>
      </c>
      <c r="E1853" t="s">
        <v>16</v>
      </c>
      <c r="F1853" t="s">
        <v>17</v>
      </c>
      <c r="G1853">
        <v>1</v>
      </c>
      <c r="H1853">
        <v>0</v>
      </c>
      <c r="I1853" t="s">
        <v>25</v>
      </c>
      <c r="J1853" t="s">
        <v>37</v>
      </c>
      <c r="K1853" t="s">
        <v>20</v>
      </c>
      <c r="L1853">
        <v>6</v>
      </c>
      <c r="M1853">
        <v>0</v>
      </c>
      <c r="N1853">
        <v>1</v>
      </c>
      <c r="O1853" t="s">
        <v>21</v>
      </c>
      <c r="P1853" t="str">
        <f>TEXT(Table1[[#This Row],[order_date]],"yyyy-mm")</f>
        <v>2025-09</v>
      </c>
      <c r="Q1853">
        <f>WEEKNUM(Table1[[#This Row],[order_date]])</f>
        <v>36</v>
      </c>
      <c r="R1853">
        <f>IF(Table1[[#This Row],[order_status]]="completed",1,0)</f>
        <v>0</v>
      </c>
    </row>
    <row r="1854" spans="1:18" x14ac:dyDescent="0.35">
      <c r="A1854">
        <v>1853</v>
      </c>
      <c r="B1854" s="1">
        <v>45940</v>
      </c>
      <c r="C1854">
        <v>1243</v>
      </c>
      <c r="D1854" t="s">
        <v>41</v>
      </c>
      <c r="E1854" t="s">
        <v>33</v>
      </c>
      <c r="F1854" t="s">
        <v>17</v>
      </c>
      <c r="G1854">
        <v>1</v>
      </c>
      <c r="H1854">
        <v>0</v>
      </c>
      <c r="I1854" t="s">
        <v>18</v>
      </c>
      <c r="J1854" t="s">
        <v>31</v>
      </c>
      <c r="K1854" t="s">
        <v>40</v>
      </c>
      <c r="L1854">
        <v>2</v>
      </c>
      <c r="M1854">
        <v>0</v>
      </c>
      <c r="N1854">
        <v>1</v>
      </c>
      <c r="O1854" t="s">
        <v>21</v>
      </c>
      <c r="P1854" t="str">
        <f>TEXT(Table1[[#This Row],[order_date]],"yyyy-mm")</f>
        <v>2025-10</v>
      </c>
      <c r="Q1854">
        <f>WEEKNUM(Table1[[#This Row],[order_date]])</f>
        <v>41</v>
      </c>
      <c r="R1854">
        <f>IF(Table1[[#This Row],[order_status]]="completed",1,0)</f>
        <v>0</v>
      </c>
    </row>
    <row r="1855" spans="1:18" x14ac:dyDescent="0.35">
      <c r="A1855">
        <v>1854</v>
      </c>
      <c r="B1855" s="1">
        <v>45874</v>
      </c>
      <c r="C1855">
        <v>1609</v>
      </c>
      <c r="D1855" t="s">
        <v>28</v>
      </c>
      <c r="E1855" t="s">
        <v>23</v>
      </c>
      <c r="F1855" t="s">
        <v>30</v>
      </c>
      <c r="G1855">
        <v>2</v>
      </c>
      <c r="H1855">
        <v>2040</v>
      </c>
      <c r="I1855" t="s">
        <v>35</v>
      </c>
      <c r="J1855" t="s">
        <v>19</v>
      </c>
      <c r="K1855" t="s">
        <v>40</v>
      </c>
      <c r="L1855">
        <v>10</v>
      </c>
      <c r="M1855">
        <v>0</v>
      </c>
      <c r="N1855">
        <v>0</v>
      </c>
      <c r="O1855" t="s">
        <v>21</v>
      </c>
      <c r="P1855" t="str">
        <f>TEXT(Table1[[#This Row],[order_date]],"yyyy-mm")</f>
        <v>2025-08</v>
      </c>
      <c r="Q1855">
        <f>WEEKNUM(Table1[[#This Row],[order_date]])</f>
        <v>32</v>
      </c>
      <c r="R1855">
        <f>IF(Table1[[#This Row],[order_status]]="completed",1,0)</f>
        <v>1</v>
      </c>
    </row>
    <row r="1856" spans="1:18" x14ac:dyDescent="0.35">
      <c r="A1856">
        <v>1855</v>
      </c>
      <c r="B1856" s="1">
        <v>45974</v>
      </c>
      <c r="C1856">
        <v>1524</v>
      </c>
      <c r="D1856" t="s">
        <v>28</v>
      </c>
      <c r="E1856" t="s">
        <v>29</v>
      </c>
      <c r="F1856" t="s">
        <v>34</v>
      </c>
      <c r="G1856">
        <v>3</v>
      </c>
      <c r="H1856">
        <v>0</v>
      </c>
      <c r="I1856" t="s">
        <v>35</v>
      </c>
      <c r="J1856" t="s">
        <v>37</v>
      </c>
      <c r="K1856" t="s">
        <v>26</v>
      </c>
      <c r="L1856">
        <v>9</v>
      </c>
      <c r="M1856">
        <v>1</v>
      </c>
      <c r="N1856">
        <v>0</v>
      </c>
      <c r="O1856" t="s">
        <v>21</v>
      </c>
      <c r="P1856" t="str">
        <f>TEXT(Table1[[#This Row],[order_date]],"yyyy-mm")</f>
        <v>2025-11</v>
      </c>
      <c r="Q1856">
        <f>WEEKNUM(Table1[[#This Row],[order_date]])</f>
        <v>46</v>
      </c>
      <c r="R1856">
        <f>IF(Table1[[#This Row],[order_status]]="completed",1,0)</f>
        <v>0</v>
      </c>
    </row>
    <row r="1857" spans="1:18" x14ac:dyDescent="0.35">
      <c r="A1857">
        <v>1856</v>
      </c>
      <c r="B1857" s="1">
        <v>45966</v>
      </c>
      <c r="C1857">
        <v>1170</v>
      </c>
      <c r="D1857" t="s">
        <v>41</v>
      </c>
      <c r="E1857" t="s">
        <v>36</v>
      </c>
      <c r="F1857" t="s">
        <v>17</v>
      </c>
      <c r="G1857">
        <v>3</v>
      </c>
      <c r="H1857">
        <v>0</v>
      </c>
      <c r="I1857" t="s">
        <v>35</v>
      </c>
      <c r="J1857" t="s">
        <v>37</v>
      </c>
      <c r="K1857" t="s">
        <v>40</v>
      </c>
      <c r="L1857">
        <v>8</v>
      </c>
      <c r="M1857">
        <v>1</v>
      </c>
      <c r="N1857">
        <v>0</v>
      </c>
      <c r="O1857" t="s">
        <v>21</v>
      </c>
      <c r="P1857" t="str">
        <f>TEXT(Table1[[#This Row],[order_date]],"yyyy-mm")</f>
        <v>2025-11</v>
      </c>
      <c r="Q1857">
        <f>WEEKNUM(Table1[[#This Row],[order_date]])</f>
        <v>45</v>
      </c>
      <c r="R1857">
        <f>IF(Table1[[#This Row],[order_status]]="completed",1,0)</f>
        <v>0</v>
      </c>
    </row>
    <row r="1858" spans="1:18" x14ac:dyDescent="0.35">
      <c r="A1858">
        <v>1857</v>
      </c>
      <c r="B1858" s="1">
        <v>45914</v>
      </c>
      <c r="C1858">
        <v>1119</v>
      </c>
      <c r="D1858" t="s">
        <v>28</v>
      </c>
      <c r="E1858" t="s">
        <v>36</v>
      </c>
      <c r="F1858" t="s">
        <v>34</v>
      </c>
      <c r="G1858">
        <v>5</v>
      </c>
      <c r="H1858">
        <v>0</v>
      </c>
      <c r="I1858" t="s">
        <v>18</v>
      </c>
      <c r="J1858" t="s">
        <v>31</v>
      </c>
      <c r="K1858" t="s">
        <v>26</v>
      </c>
      <c r="L1858">
        <v>5</v>
      </c>
      <c r="M1858">
        <v>1</v>
      </c>
      <c r="N1858">
        <v>0</v>
      </c>
      <c r="O1858" t="s">
        <v>27</v>
      </c>
      <c r="P1858" t="str">
        <f>TEXT(Table1[[#This Row],[order_date]],"yyyy-mm")</f>
        <v>2025-09</v>
      </c>
      <c r="Q1858">
        <f>WEEKNUM(Table1[[#This Row],[order_date]])</f>
        <v>38</v>
      </c>
      <c r="R1858">
        <f>IF(Table1[[#This Row],[order_status]]="completed",1,0)</f>
        <v>0</v>
      </c>
    </row>
    <row r="1859" spans="1:18" x14ac:dyDescent="0.35">
      <c r="A1859">
        <v>1858</v>
      </c>
      <c r="B1859" s="1">
        <v>45864</v>
      </c>
      <c r="C1859">
        <v>1168</v>
      </c>
      <c r="D1859" t="s">
        <v>15</v>
      </c>
      <c r="E1859" t="s">
        <v>23</v>
      </c>
      <c r="F1859" t="s">
        <v>17</v>
      </c>
      <c r="G1859">
        <v>5</v>
      </c>
      <c r="H1859">
        <v>18205</v>
      </c>
      <c r="I1859" t="s">
        <v>25</v>
      </c>
      <c r="J1859" t="s">
        <v>19</v>
      </c>
      <c r="K1859" t="s">
        <v>26</v>
      </c>
      <c r="L1859">
        <v>1</v>
      </c>
      <c r="M1859">
        <v>1</v>
      </c>
      <c r="N1859">
        <v>1</v>
      </c>
      <c r="O1859" t="s">
        <v>27</v>
      </c>
      <c r="P1859" t="str">
        <f>TEXT(Table1[[#This Row],[order_date]],"yyyy-mm")</f>
        <v>2025-07</v>
      </c>
      <c r="Q1859">
        <f>WEEKNUM(Table1[[#This Row],[order_date]])</f>
        <v>30</v>
      </c>
      <c r="R1859">
        <f>IF(Table1[[#This Row],[order_status]]="completed",1,0)</f>
        <v>1</v>
      </c>
    </row>
    <row r="1860" spans="1:18" x14ac:dyDescent="0.35">
      <c r="A1860">
        <v>1859</v>
      </c>
      <c r="B1860" s="1">
        <v>45997</v>
      </c>
      <c r="C1860">
        <v>1046</v>
      </c>
      <c r="D1860" t="s">
        <v>32</v>
      </c>
      <c r="E1860" t="s">
        <v>33</v>
      </c>
      <c r="F1860" t="s">
        <v>34</v>
      </c>
      <c r="G1860">
        <v>3</v>
      </c>
      <c r="H1860">
        <v>0</v>
      </c>
      <c r="I1860" t="s">
        <v>25</v>
      </c>
      <c r="J1860" t="s">
        <v>31</v>
      </c>
      <c r="K1860" t="s">
        <v>40</v>
      </c>
      <c r="L1860">
        <v>7</v>
      </c>
      <c r="M1860">
        <v>0</v>
      </c>
      <c r="N1860">
        <v>0</v>
      </c>
      <c r="O1860" t="s">
        <v>27</v>
      </c>
      <c r="P1860" t="str">
        <f>TEXT(Table1[[#This Row],[order_date]],"yyyy-mm")</f>
        <v>2025-12</v>
      </c>
      <c r="Q1860">
        <f>WEEKNUM(Table1[[#This Row],[order_date]])</f>
        <v>49</v>
      </c>
      <c r="R1860">
        <f>IF(Table1[[#This Row],[order_status]]="completed",1,0)</f>
        <v>0</v>
      </c>
    </row>
    <row r="1861" spans="1:18" x14ac:dyDescent="0.35">
      <c r="A1861">
        <v>1860</v>
      </c>
      <c r="B1861" s="1">
        <v>45957</v>
      </c>
      <c r="C1861">
        <v>1797</v>
      </c>
      <c r="D1861" t="s">
        <v>15</v>
      </c>
      <c r="E1861" t="s">
        <v>23</v>
      </c>
      <c r="F1861" t="s">
        <v>17</v>
      </c>
      <c r="G1861">
        <v>3</v>
      </c>
      <c r="H1861">
        <v>0</v>
      </c>
      <c r="I1861" t="s">
        <v>18</v>
      </c>
      <c r="J1861" t="s">
        <v>37</v>
      </c>
      <c r="K1861" t="s">
        <v>26</v>
      </c>
      <c r="L1861">
        <v>4</v>
      </c>
      <c r="M1861">
        <v>1</v>
      </c>
      <c r="N1861">
        <v>1</v>
      </c>
      <c r="O1861" t="s">
        <v>27</v>
      </c>
      <c r="P1861" t="str">
        <f>TEXT(Table1[[#This Row],[order_date]],"yyyy-mm")</f>
        <v>2025-10</v>
      </c>
      <c r="Q1861">
        <f>WEEKNUM(Table1[[#This Row],[order_date]])</f>
        <v>44</v>
      </c>
      <c r="R1861">
        <f>IF(Table1[[#This Row],[order_status]]="completed",1,0)</f>
        <v>0</v>
      </c>
    </row>
    <row r="1862" spans="1:18" x14ac:dyDescent="0.35">
      <c r="A1862">
        <v>1861</v>
      </c>
      <c r="B1862" s="1">
        <v>45960</v>
      </c>
      <c r="C1862">
        <v>1536</v>
      </c>
      <c r="D1862" t="s">
        <v>28</v>
      </c>
      <c r="E1862" t="s">
        <v>33</v>
      </c>
      <c r="F1862" t="s">
        <v>30</v>
      </c>
      <c r="G1862">
        <v>2</v>
      </c>
      <c r="H1862">
        <v>0</v>
      </c>
      <c r="I1862" t="s">
        <v>39</v>
      </c>
      <c r="J1862" t="s">
        <v>37</v>
      </c>
      <c r="K1862" t="s">
        <v>40</v>
      </c>
      <c r="L1862">
        <v>5</v>
      </c>
      <c r="M1862">
        <v>1</v>
      </c>
      <c r="N1862">
        <v>0</v>
      </c>
      <c r="O1862" t="s">
        <v>21</v>
      </c>
      <c r="P1862" t="str">
        <f>TEXT(Table1[[#This Row],[order_date]],"yyyy-mm")</f>
        <v>2025-10</v>
      </c>
      <c r="Q1862">
        <f>WEEKNUM(Table1[[#This Row],[order_date]])</f>
        <v>44</v>
      </c>
      <c r="R1862">
        <f>IF(Table1[[#This Row],[order_status]]="completed",1,0)</f>
        <v>0</v>
      </c>
    </row>
    <row r="1863" spans="1:18" x14ac:dyDescent="0.35">
      <c r="A1863">
        <v>1862</v>
      </c>
      <c r="B1863" s="1">
        <v>45867</v>
      </c>
      <c r="C1863">
        <v>1755</v>
      </c>
      <c r="D1863" t="s">
        <v>22</v>
      </c>
      <c r="E1863" t="s">
        <v>16</v>
      </c>
      <c r="F1863" t="s">
        <v>24</v>
      </c>
      <c r="G1863">
        <v>5</v>
      </c>
      <c r="H1863">
        <v>23570</v>
      </c>
      <c r="I1863" t="s">
        <v>35</v>
      </c>
      <c r="J1863" t="s">
        <v>19</v>
      </c>
      <c r="K1863" t="s">
        <v>20</v>
      </c>
      <c r="L1863">
        <v>6</v>
      </c>
      <c r="M1863">
        <v>0</v>
      </c>
      <c r="N1863">
        <v>1</v>
      </c>
      <c r="O1863" t="s">
        <v>21</v>
      </c>
      <c r="P1863" t="str">
        <f>TEXT(Table1[[#This Row],[order_date]],"yyyy-mm")</f>
        <v>2025-07</v>
      </c>
      <c r="Q1863">
        <f>WEEKNUM(Table1[[#This Row],[order_date]])</f>
        <v>31</v>
      </c>
      <c r="R1863">
        <f>IF(Table1[[#This Row],[order_status]]="completed",1,0)</f>
        <v>1</v>
      </c>
    </row>
    <row r="1864" spans="1:18" x14ac:dyDescent="0.35">
      <c r="A1864">
        <v>1863</v>
      </c>
      <c r="B1864" s="1">
        <v>45955</v>
      </c>
      <c r="C1864">
        <v>1566</v>
      </c>
      <c r="D1864" t="s">
        <v>28</v>
      </c>
      <c r="E1864" t="s">
        <v>36</v>
      </c>
      <c r="F1864" t="s">
        <v>34</v>
      </c>
      <c r="G1864">
        <v>4</v>
      </c>
      <c r="H1864">
        <v>6792</v>
      </c>
      <c r="I1864" t="s">
        <v>39</v>
      </c>
      <c r="J1864" t="s">
        <v>19</v>
      </c>
      <c r="K1864" t="s">
        <v>40</v>
      </c>
      <c r="L1864">
        <v>5</v>
      </c>
      <c r="M1864">
        <v>0</v>
      </c>
      <c r="N1864">
        <v>0</v>
      </c>
      <c r="O1864" t="s">
        <v>27</v>
      </c>
      <c r="P1864" t="str">
        <f>TEXT(Table1[[#This Row],[order_date]],"yyyy-mm")</f>
        <v>2025-10</v>
      </c>
      <c r="Q1864">
        <f>WEEKNUM(Table1[[#This Row],[order_date]])</f>
        <v>43</v>
      </c>
      <c r="R1864">
        <f>IF(Table1[[#This Row],[order_status]]="completed",1,0)</f>
        <v>1</v>
      </c>
    </row>
    <row r="1865" spans="1:18" x14ac:dyDescent="0.35">
      <c r="A1865">
        <v>1864</v>
      </c>
      <c r="B1865" s="1">
        <v>45965</v>
      </c>
      <c r="C1865">
        <v>1128</v>
      </c>
      <c r="D1865" t="s">
        <v>22</v>
      </c>
      <c r="E1865" t="s">
        <v>29</v>
      </c>
      <c r="F1865" t="s">
        <v>34</v>
      </c>
      <c r="G1865">
        <v>3</v>
      </c>
      <c r="H1865">
        <v>1233</v>
      </c>
      <c r="I1865" t="s">
        <v>25</v>
      </c>
      <c r="J1865" t="s">
        <v>19</v>
      </c>
      <c r="K1865" t="s">
        <v>38</v>
      </c>
      <c r="L1865">
        <v>6</v>
      </c>
      <c r="M1865">
        <v>0</v>
      </c>
      <c r="N1865">
        <v>0</v>
      </c>
      <c r="O1865" t="s">
        <v>21</v>
      </c>
      <c r="P1865" t="str">
        <f>TEXT(Table1[[#This Row],[order_date]],"yyyy-mm")</f>
        <v>2025-11</v>
      </c>
      <c r="Q1865">
        <f>WEEKNUM(Table1[[#This Row],[order_date]])</f>
        <v>45</v>
      </c>
      <c r="R1865">
        <f>IF(Table1[[#This Row],[order_status]]="completed",1,0)</f>
        <v>1</v>
      </c>
    </row>
    <row r="1866" spans="1:18" x14ac:dyDescent="0.35">
      <c r="A1866">
        <v>1865</v>
      </c>
      <c r="B1866" s="1">
        <v>45970</v>
      </c>
      <c r="C1866">
        <v>1193</v>
      </c>
      <c r="D1866" t="s">
        <v>15</v>
      </c>
      <c r="E1866" t="s">
        <v>16</v>
      </c>
      <c r="F1866" t="s">
        <v>30</v>
      </c>
      <c r="G1866">
        <v>3</v>
      </c>
      <c r="H1866">
        <v>0</v>
      </c>
      <c r="I1866" t="s">
        <v>35</v>
      </c>
      <c r="J1866" t="s">
        <v>31</v>
      </c>
      <c r="K1866" t="s">
        <v>20</v>
      </c>
      <c r="L1866">
        <v>5</v>
      </c>
      <c r="M1866">
        <v>1</v>
      </c>
      <c r="N1866">
        <v>0</v>
      </c>
      <c r="O1866" t="s">
        <v>27</v>
      </c>
      <c r="P1866" t="str">
        <f>TEXT(Table1[[#This Row],[order_date]],"yyyy-mm")</f>
        <v>2025-11</v>
      </c>
      <c r="Q1866">
        <f>WEEKNUM(Table1[[#This Row],[order_date]])</f>
        <v>46</v>
      </c>
      <c r="R1866">
        <f>IF(Table1[[#This Row],[order_status]]="completed",1,0)</f>
        <v>0</v>
      </c>
    </row>
    <row r="1867" spans="1:18" x14ac:dyDescent="0.35">
      <c r="A1867">
        <v>1866</v>
      </c>
      <c r="B1867" s="1">
        <v>46008</v>
      </c>
      <c r="C1867">
        <v>1824</v>
      </c>
      <c r="D1867" t="s">
        <v>15</v>
      </c>
      <c r="E1867" t="s">
        <v>33</v>
      </c>
      <c r="F1867" t="s">
        <v>17</v>
      </c>
      <c r="G1867">
        <v>5</v>
      </c>
      <c r="H1867">
        <v>7610</v>
      </c>
      <c r="I1867" t="s">
        <v>39</v>
      </c>
      <c r="J1867" t="s">
        <v>19</v>
      </c>
      <c r="K1867" t="s">
        <v>20</v>
      </c>
      <c r="L1867">
        <v>5</v>
      </c>
      <c r="M1867">
        <v>1</v>
      </c>
      <c r="N1867">
        <v>0</v>
      </c>
      <c r="O1867" t="s">
        <v>27</v>
      </c>
      <c r="P1867" t="str">
        <f>TEXT(Table1[[#This Row],[order_date]],"yyyy-mm")</f>
        <v>2025-12</v>
      </c>
      <c r="Q1867">
        <f>WEEKNUM(Table1[[#This Row],[order_date]])</f>
        <v>51</v>
      </c>
      <c r="R1867">
        <f>IF(Table1[[#This Row],[order_status]]="completed",1,0)</f>
        <v>1</v>
      </c>
    </row>
    <row r="1868" spans="1:18" x14ac:dyDescent="0.35">
      <c r="A1868">
        <v>1867</v>
      </c>
      <c r="B1868" s="1">
        <v>46029</v>
      </c>
      <c r="C1868">
        <v>1940</v>
      </c>
      <c r="D1868" t="s">
        <v>28</v>
      </c>
      <c r="E1868" t="s">
        <v>29</v>
      </c>
      <c r="F1868" t="s">
        <v>24</v>
      </c>
      <c r="G1868">
        <v>1</v>
      </c>
      <c r="H1868">
        <v>1444</v>
      </c>
      <c r="I1868" t="s">
        <v>25</v>
      </c>
      <c r="J1868" t="s">
        <v>19</v>
      </c>
      <c r="K1868" t="s">
        <v>40</v>
      </c>
      <c r="L1868">
        <v>3</v>
      </c>
      <c r="M1868">
        <v>0</v>
      </c>
      <c r="N1868">
        <v>0</v>
      </c>
      <c r="O1868" t="s">
        <v>27</v>
      </c>
      <c r="P1868" t="str">
        <f>TEXT(Table1[[#This Row],[order_date]],"yyyy-mm")</f>
        <v>2026-01</v>
      </c>
      <c r="Q1868">
        <f>WEEKNUM(Table1[[#This Row],[order_date]])</f>
        <v>2</v>
      </c>
      <c r="R1868">
        <f>IF(Table1[[#This Row],[order_status]]="completed",1,0)</f>
        <v>1</v>
      </c>
    </row>
    <row r="1869" spans="1:18" x14ac:dyDescent="0.35">
      <c r="A1869">
        <v>1868</v>
      </c>
      <c r="B1869" s="1">
        <v>45959</v>
      </c>
      <c r="C1869">
        <v>1263</v>
      </c>
      <c r="D1869" t="s">
        <v>22</v>
      </c>
      <c r="E1869" t="s">
        <v>16</v>
      </c>
      <c r="F1869" t="s">
        <v>24</v>
      </c>
      <c r="G1869">
        <v>4</v>
      </c>
      <c r="H1869">
        <v>0</v>
      </c>
      <c r="I1869" t="s">
        <v>35</v>
      </c>
      <c r="J1869" t="s">
        <v>31</v>
      </c>
      <c r="K1869" t="s">
        <v>40</v>
      </c>
      <c r="L1869">
        <v>2</v>
      </c>
      <c r="M1869">
        <v>0</v>
      </c>
      <c r="N1869">
        <v>1</v>
      </c>
      <c r="O1869" t="s">
        <v>21</v>
      </c>
      <c r="P1869" t="str">
        <f>TEXT(Table1[[#This Row],[order_date]],"yyyy-mm")</f>
        <v>2025-10</v>
      </c>
      <c r="Q1869">
        <f>WEEKNUM(Table1[[#This Row],[order_date]])</f>
        <v>44</v>
      </c>
      <c r="R1869">
        <f>IF(Table1[[#This Row],[order_status]]="completed",1,0)</f>
        <v>0</v>
      </c>
    </row>
    <row r="1870" spans="1:18" x14ac:dyDescent="0.35">
      <c r="A1870">
        <v>1869</v>
      </c>
      <c r="B1870" s="1">
        <v>45949</v>
      </c>
      <c r="C1870">
        <v>1526</v>
      </c>
      <c r="D1870" t="s">
        <v>32</v>
      </c>
      <c r="E1870" t="s">
        <v>29</v>
      </c>
      <c r="F1870" t="s">
        <v>17</v>
      </c>
      <c r="G1870">
        <v>1</v>
      </c>
      <c r="H1870">
        <v>0</v>
      </c>
      <c r="I1870" t="s">
        <v>39</v>
      </c>
      <c r="J1870" t="s">
        <v>37</v>
      </c>
      <c r="K1870" t="s">
        <v>40</v>
      </c>
      <c r="L1870">
        <v>4</v>
      </c>
      <c r="M1870">
        <v>1</v>
      </c>
      <c r="N1870">
        <v>0</v>
      </c>
      <c r="O1870" t="s">
        <v>27</v>
      </c>
      <c r="P1870" t="str">
        <f>TEXT(Table1[[#This Row],[order_date]],"yyyy-mm")</f>
        <v>2025-10</v>
      </c>
      <c r="Q1870">
        <f>WEEKNUM(Table1[[#This Row],[order_date]])</f>
        <v>43</v>
      </c>
      <c r="R1870">
        <f>IF(Table1[[#This Row],[order_status]]="completed",1,0)</f>
        <v>0</v>
      </c>
    </row>
    <row r="1871" spans="1:18" x14ac:dyDescent="0.35">
      <c r="A1871">
        <v>1870</v>
      </c>
      <c r="B1871" s="1">
        <v>45988</v>
      </c>
      <c r="C1871">
        <v>1890</v>
      </c>
      <c r="D1871" t="s">
        <v>28</v>
      </c>
      <c r="E1871" t="s">
        <v>36</v>
      </c>
      <c r="F1871" t="s">
        <v>24</v>
      </c>
      <c r="G1871">
        <v>1</v>
      </c>
      <c r="H1871">
        <v>4284</v>
      </c>
      <c r="I1871" t="s">
        <v>25</v>
      </c>
      <c r="J1871" t="s">
        <v>19</v>
      </c>
      <c r="K1871" t="s">
        <v>20</v>
      </c>
      <c r="L1871">
        <v>3</v>
      </c>
      <c r="M1871">
        <v>0</v>
      </c>
      <c r="N1871">
        <v>1</v>
      </c>
      <c r="O1871" t="s">
        <v>27</v>
      </c>
      <c r="P1871" t="str">
        <f>TEXT(Table1[[#This Row],[order_date]],"yyyy-mm")</f>
        <v>2025-11</v>
      </c>
      <c r="Q1871">
        <f>WEEKNUM(Table1[[#This Row],[order_date]])</f>
        <v>48</v>
      </c>
      <c r="R1871">
        <f>IF(Table1[[#This Row],[order_status]]="completed",1,0)</f>
        <v>1</v>
      </c>
    </row>
    <row r="1872" spans="1:18" x14ac:dyDescent="0.35">
      <c r="A1872">
        <v>1871</v>
      </c>
      <c r="B1872" s="1">
        <v>45991</v>
      </c>
      <c r="C1872">
        <v>1054</v>
      </c>
      <c r="D1872" t="s">
        <v>28</v>
      </c>
      <c r="E1872" t="s">
        <v>33</v>
      </c>
      <c r="F1872" t="s">
        <v>17</v>
      </c>
      <c r="G1872">
        <v>2</v>
      </c>
      <c r="H1872">
        <v>2838</v>
      </c>
      <c r="I1872" t="s">
        <v>39</v>
      </c>
      <c r="J1872" t="s">
        <v>19</v>
      </c>
      <c r="K1872" t="s">
        <v>20</v>
      </c>
      <c r="L1872">
        <v>8</v>
      </c>
      <c r="M1872">
        <v>0</v>
      </c>
      <c r="N1872">
        <v>0</v>
      </c>
      <c r="O1872" t="s">
        <v>27</v>
      </c>
      <c r="P1872" t="str">
        <f>TEXT(Table1[[#This Row],[order_date]],"yyyy-mm")</f>
        <v>2025-11</v>
      </c>
      <c r="Q1872">
        <f>WEEKNUM(Table1[[#This Row],[order_date]])</f>
        <v>49</v>
      </c>
      <c r="R1872">
        <f>IF(Table1[[#This Row],[order_status]]="completed",1,0)</f>
        <v>1</v>
      </c>
    </row>
    <row r="1873" spans="1:18" x14ac:dyDescent="0.35">
      <c r="A1873">
        <v>1872</v>
      </c>
      <c r="B1873" s="1">
        <v>45899</v>
      </c>
      <c r="C1873">
        <v>1135</v>
      </c>
      <c r="D1873" t="s">
        <v>41</v>
      </c>
      <c r="E1873" t="s">
        <v>29</v>
      </c>
      <c r="F1873" t="s">
        <v>24</v>
      </c>
      <c r="G1873">
        <v>2</v>
      </c>
      <c r="H1873">
        <v>9002</v>
      </c>
      <c r="I1873" t="s">
        <v>18</v>
      </c>
      <c r="J1873" t="s">
        <v>19</v>
      </c>
      <c r="K1873" t="s">
        <v>20</v>
      </c>
      <c r="L1873">
        <v>3</v>
      </c>
      <c r="M1873">
        <v>1</v>
      </c>
      <c r="N1873">
        <v>1</v>
      </c>
      <c r="O1873" t="s">
        <v>21</v>
      </c>
      <c r="P1873" t="str">
        <f>TEXT(Table1[[#This Row],[order_date]],"yyyy-mm")</f>
        <v>2025-08</v>
      </c>
      <c r="Q1873">
        <f>WEEKNUM(Table1[[#This Row],[order_date]])</f>
        <v>35</v>
      </c>
      <c r="R1873">
        <f>IF(Table1[[#This Row],[order_status]]="completed",1,0)</f>
        <v>1</v>
      </c>
    </row>
    <row r="1874" spans="1:18" x14ac:dyDescent="0.35">
      <c r="A1874">
        <v>1873</v>
      </c>
      <c r="B1874" s="1">
        <v>45879</v>
      </c>
      <c r="C1874">
        <v>1989</v>
      </c>
      <c r="D1874" t="s">
        <v>32</v>
      </c>
      <c r="E1874" t="s">
        <v>16</v>
      </c>
      <c r="F1874" t="s">
        <v>17</v>
      </c>
      <c r="G1874">
        <v>5</v>
      </c>
      <c r="H1874">
        <v>0</v>
      </c>
      <c r="I1874" t="s">
        <v>35</v>
      </c>
      <c r="J1874" t="s">
        <v>31</v>
      </c>
      <c r="K1874" t="s">
        <v>26</v>
      </c>
      <c r="L1874">
        <v>8</v>
      </c>
      <c r="M1874">
        <v>0</v>
      </c>
      <c r="N1874">
        <v>0</v>
      </c>
      <c r="O1874" t="s">
        <v>27</v>
      </c>
      <c r="P1874" t="str">
        <f>TEXT(Table1[[#This Row],[order_date]],"yyyy-mm")</f>
        <v>2025-08</v>
      </c>
      <c r="Q1874">
        <f>WEEKNUM(Table1[[#This Row],[order_date]])</f>
        <v>33</v>
      </c>
      <c r="R1874">
        <f>IF(Table1[[#This Row],[order_status]]="completed",1,0)</f>
        <v>0</v>
      </c>
    </row>
    <row r="1875" spans="1:18" x14ac:dyDescent="0.35">
      <c r="A1875">
        <v>1874</v>
      </c>
      <c r="B1875" s="1">
        <v>46009</v>
      </c>
      <c r="C1875">
        <v>1903</v>
      </c>
      <c r="D1875" t="s">
        <v>28</v>
      </c>
      <c r="E1875" t="s">
        <v>29</v>
      </c>
      <c r="F1875" t="s">
        <v>34</v>
      </c>
      <c r="G1875">
        <v>3</v>
      </c>
      <c r="H1875">
        <v>0</v>
      </c>
      <c r="I1875" t="s">
        <v>25</v>
      </c>
      <c r="J1875" t="s">
        <v>31</v>
      </c>
      <c r="K1875" t="s">
        <v>38</v>
      </c>
      <c r="L1875">
        <v>1</v>
      </c>
      <c r="M1875">
        <v>0</v>
      </c>
      <c r="N1875">
        <v>0</v>
      </c>
      <c r="O1875" t="s">
        <v>21</v>
      </c>
      <c r="P1875" t="str">
        <f>TEXT(Table1[[#This Row],[order_date]],"yyyy-mm")</f>
        <v>2025-12</v>
      </c>
      <c r="Q1875">
        <f>WEEKNUM(Table1[[#This Row],[order_date]])</f>
        <v>51</v>
      </c>
      <c r="R1875">
        <f>IF(Table1[[#This Row],[order_status]]="completed",1,0)</f>
        <v>0</v>
      </c>
    </row>
    <row r="1876" spans="1:18" x14ac:dyDescent="0.35">
      <c r="A1876">
        <v>1875</v>
      </c>
      <c r="B1876" s="1">
        <v>45928</v>
      </c>
      <c r="C1876">
        <v>1406</v>
      </c>
      <c r="D1876" t="s">
        <v>32</v>
      </c>
      <c r="E1876" t="s">
        <v>29</v>
      </c>
      <c r="F1876" t="s">
        <v>34</v>
      </c>
      <c r="G1876">
        <v>5</v>
      </c>
      <c r="H1876">
        <v>0</v>
      </c>
      <c r="I1876" t="s">
        <v>18</v>
      </c>
      <c r="J1876" t="s">
        <v>31</v>
      </c>
      <c r="K1876" t="s">
        <v>38</v>
      </c>
      <c r="L1876">
        <v>7</v>
      </c>
      <c r="M1876">
        <v>0</v>
      </c>
      <c r="N1876">
        <v>1</v>
      </c>
      <c r="O1876" t="s">
        <v>21</v>
      </c>
      <c r="P1876" t="str">
        <f>TEXT(Table1[[#This Row],[order_date]],"yyyy-mm")</f>
        <v>2025-09</v>
      </c>
      <c r="Q1876">
        <f>WEEKNUM(Table1[[#This Row],[order_date]])</f>
        <v>40</v>
      </c>
      <c r="R1876">
        <f>IF(Table1[[#This Row],[order_status]]="completed",1,0)</f>
        <v>0</v>
      </c>
    </row>
    <row r="1877" spans="1:18" x14ac:dyDescent="0.35">
      <c r="A1877">
        <v>1876</v>
      </c>
      <c r="B1877" s="1">
        <v>46017</v>
      </c>
      <c r="C1877">
        <v>1536</v>
      </c>
      <c r="D1877" t="s">
        <v>28</v>
      </c>
      <c r="E1877" t="s">
        <v>16</v>
      </c>
      <c r="F1877" t="s">
        <v>24</v>
      </c>
      <c r="G1877">
        <v>3</v>
      </c>
      <c r="H1877">
        <v>14727</v>
      </c>
      <c r="I1877" t="s">
        <v>35</v>
      </c>
      <c r="J1877" t="s">
        <v>19</v>
      </c>
      <c r="K1877" t="s">
        <v>38</v>
      </c>
      <c r="L1877">
        <v>8</v>
      </c>
      <c r="M1877">
        <v>0</v>
      </c>
      <c r="N1877">
        <v>0</v>
      </c>
      <c r="O1877" t="s">
        <v>21</v>
      </c>
      <c r="P1877" t="str">
        <f>TEXT(Table1[[#This Row],[order_date]],"yyyy-mm")</f>
        <v>2025-12</v>
      </c>
      <c r="Q1877">
        <f>WEEKNUM(Table1[[#This Row],[order_date]])</f>
        <v>52</v>
      </c>
      <c r="R1877">
        <f>IF(Table1[[#This Row],[order_status]]="completed",1,0)</f>
        <v>1</v>
      </c>
    </row>
    <row r="1878" spans="1:18" x14ac:dyDescent="0.35">
      <c r="A1878">
        <v>1877</v>
      </c>
      <c r="B1878" s="1">
        <v>45964</v>
      </c>
      <c r="C1878">
        <v>1737</v>
      </c>
      <c r="D1878" t="s">
        <v>32</v>
      </c>
      <c r="E1878" t="s">
        <v>29</v>
      </c>
      <c r="F1878" t="s">
        <v>17</v>
      </c>
      <c r="G1878">
        <v>5</v>
      </c>
      <c r="H1878">
        <v>2280</v>
      </c>
      <c r="I1878" t="s">
        <v>25</v>
      </c>
      <c r="J1878" t="s">
        <v>19</v>
      </c>
      <c r="K1878" t="s">
        <v>26</v>
      </c>
      <c r="L1878">
        <v>4</v>
      </c>
      <c r="M1878">
        <v>0</v>
      </c>
      <c r="N1878">
        <v>0</v>
      </c>
      <c r="O1878" t="s">
        <v>27</v>
      </c>
      <c r="P1878" t="str">
        <f>TEXT(Table1[[#This Row],[order_date]],"yyyy-mm")</f>
        <v>2025-11</v>
      </c>
      <c r="Q1878">
        <f>WEEKNUM(Table1[[#This Row],[order_date]])</f>
        <v>45</v>
      </c>
      <c r="R1878">
        <f>IF(Table1[[#This Row],[order_status]]="completed",1,0)</f>
        <v>1</v>
      </c>
    </row>
    <row r="1879" spans="1:18" x14ac:dyDescent="0.35">
      <c r="A1879">
        <v>1878</v>
      </c>
      <c r="B1879" s="1">
        <v>45941</v>
      </c>
      <c r="C1879">
        <v>1002</v>
      </c>
      <c r="D1879" t="s">
        <v>28</v>
      </c>
      <c r="E1879" t="s">
        <v>29</v>
      </c>
      <c r="F1879" t="s">
        <v>17</v>
      </c>
      <c r="G1879">
        <v>1</v>
      </c>
      <c r="H1879">
        <v>0</v>
      </c>
      <c r="I1879" t="s">
        <v>25</v>
      </c>
      <c r="J1879" t="s">
        <v>31</v>
      </c>
      <c r="K1879" t="s">
        <v>40</v>
      </c>
      <c r="L1879">
        <v>3</v>
      </c>
      <c r="M1879">
        <v>0</v>
      </c>
      <c r="N1879">
        <v>1</v>
      </c>
      <c r="O1879" t="s">
        <v>21</v>
      </c>
      <c r="P1879" t="str">
        <f>TEXT(Table1[[#This Row],[order_date]],"yyyy-mm")</f>
        <v>2025-10</v>
      </c>
      <c r="Q1879">
        <f>WEEKNUM(Table1[[#This Row],[order_date]])</f>
        <v>41</v>
      </c>
      <c r="R1879">
        <f>IF(Table1[[#This Row],[order_status]]="completed",1,0)</f>
        <v>0</v>
      </c>
    </row>
    <row r="1880" spans="1:18" x14ac:dyDescent="0.35">
      <c r="A1880">
        <v>1879</v>
      </c>
      <c r="B1880" s="1">
        <v>45941</v>
      </c>
      <c r="C1880">
        <v>1007</v>
      </c>
      <c r="D1880" t="s">
        <v>41</v>
      </c>
      <c r="E1880" t="s">
        <v>29</v>
      </c>
      <c r="F1880" t="s">
        <v>17</v>
      </c>
      <c r="G1880">
        <v>1</v>
      </c>
      <c r="H1880">
        <v>0</v>
      </c>
      <c r="I1880" t="s">
        <v>35</v>
      </c>
      <c r="J1880" t="s">
        <v>31</v>
      </c>
      <c r="K1880" t="s">
        <v>20</v>
      </c>
      <c r="L1880">
        <v>5</v>
      </c>
      <c r="M1880">
        <v>0</v>
      </c>
      <c r="N1880">
        <v>0</v>
      </c>
      <c r="O1880" t="s">
        <v>27</v>
      </c>
      <c r="P1880" t="str">
        <f>TEXT(Table1[[#This Row],[order_date]],"yyyy-mm")</f>
        <v>2025-10</v>
      </c>
      <c r="Q1880">
        <f>WEEKNUM(Table1[[#This Row],[order_date]])</f>
        <v>41</v>
      </c>
      <c r="R1880">
        <f>IF(Table1[[#This Row],[order_status]]="completed",1,0)</f>
        <v>0</v>
      </c>
    </row>
    <row r="1881" spans="1:18" x14ac:dyDescent="0.35">
      <c r="A1881">
        <v>1880</v>
      </c>
      <c r="B1881" s="1">
        <v>45968</v>
      </c>
      <c r="C1881">
        <v>1380</v>
      </c>
      <c r="D1881" t="s">
        <v>28</v>
      </c>
      <c r="E1881" t="s">
        <v>23</v>
      </c>
      <c r="F1881" t="s">
        <v>24</v>
      </c>
      <c r="G1881">
        <v>5</v>
      </c>
      <c r="H1881">
        <v>0</v>
      </c>
      <c r="I1881" t="s">
        <v>35</v>
      </c>
      <c r="J1881" t="s">
        <v>37</v>
      </c>
      <c r="K1881" t="s">
        <v>20</v>
      </c>
      <c r="L1881">
        <v>2</v>
      </c>
      <c r="M1881">
        <v>1</v>
      </c>
      <c r="N1881">
        <v>0</v>
      </c>
      <c r="O1881" t="s">
        <v>21</v>
      </c>
      <c r="P1881" t="str">
        <f>TEXT(Table1[[#This Row],[order_date]],"yyyy-mm")</f>
        <v>2025-11</v>
      </c>
      <c r="Q1881">
        <f>WEEKNUM(Table1[[#This Row],[order_date]])</f>
        <v>45</v>
      </c>
      <c r="R1881">
        <f>IF(Table1[[#This Row],[order_status]]="completed",1,0)</f>
        <v>0</v>
      </c>
    </row>
    <row r="1882" spans="1:18" x14ac:dyDescent="0.35">
      <c r="A1882">
        <v>1881</v>
      </c>
      <c r="B1882" s="1">
        <v>45908</v>
      </c>
      <c r="C1882">
        <v>1871</v>
      </c>
      <c r="D1882" t="s">
        <v>41</v>
      </c>
      <c r="E1882" t="s">
        <v>29</v>
      </c>
      <c r="F1882" t="s">
        <v>30</v>
      </c>
      <c r="G1882">
        <v>1</v>
      </c>
      <c r="H1882">
        <v>0</v>
      </c>
      <c r="I1882" t="s">
        <v>25</v>
      </c>
      <c r="J1882" t="s">
        <v>31</v>
      </c>
      <c r="K1882" t="s">
        <v>40</v>
      </c>
      <c r="L1882">
        <v>5</v>
      </c>
      <c r="M1882">
        <v>0</v>
      </c>
      <c r="N1882">
        <v>0</v>
      </c>
      <c r="O1882" t="s">
        <v>21</v>
      </c>
      <c r="P1882" t="str">
        <f>TEXT(Table1[[#This Row],[order_date]],"yyyy-mm")</f>
        <v>2025-09</v>
      </c>
      <c r="Q1882">
        <f>WEEKNUM(Table1[[#This Row],[order_date]])</f>
        <v>37</v>
      </c>
      <c r="R1882">
        <f>IF(Table1[[#This Row],[order_status]]="completed",1,0)</f>
        <v>0</v>
      </c>
    </row>
    <row r="1883" spans="1:18" x14ac:dyDescent="0.35">
      <c r="A1883">
        <v>1882</v>
      </c>
      <c r="B1883" s="1">
        <v>45885</v>
      </c>
      <c r="C1883">
        <v>1891</v>
      </c>
      <c r="D1883" t="s">
        <v>28</v>
      </c>
      <c r="E1883" t="s">
        <v>16</v>
      </c>
      <c r="F1883" t="s">
        <v>24</v>
      </c>
      <c r="G1883">
        <v>4</v>
      </c>
      <c r="H1883">
        <v>14524</v>
      </c>
      <c r="I1883" t="s">
        <v>18</v>
      </c>
      <c r="J1883" t="s">
        <v>19</v>
      </c>
      <c r="K1883" t="s">
        <v>20</v>
      </c>
      <c r="L1883">
        <v>3</v>
      </c>
      <c r="M1883">
        <v>0</v>
      </c>
      <c r="N1883">
        <v>1</v>
      </c>
      <c r="O1883" t="s">
        <v>21</v>
      </c>
      <c r="P1883" t="str">
        <f>TEXT(Table1[[#This Row],[order_date]],"yyyy-mm")</f>
        <v>2025-08</v>
      </c>
      <c r="Q1883">
        <f>WEEKNUM(Table1[[#This Row],[order_date]])</f>
        <v>33</v>
      </c>
      <c r="R1883">
        <f>IF(Table1[[#This Row],[order_status]]="completed",1,0)</f>
        <v>1</v>
      </c>
    </row>
    <row r="1884" spans="1:18" x14ac:dyDescent="0.35">
      <c r="A1884">
        <v>1883</v>
      </c>
      <c r="B1884" s="1">
        <v>46030</v>
      </c>
      <c r="C1884">
        <v>1499</v>
      </c>
      <c r="D1884" t="s">
        <v>28</v>
      </c>
      <c r="E1884" t="s">
        <v>33</v>
      </c>
      <c r="F1884" t="s">
        <v>34</v>
      </c>
      <c r="G1884">
        <v>1</v>
      </c>
      <c r="H1884">
        <v>0</v>
      </c>
      <c r="I1884" t="s">
        <v>35</v>
      </c>
      <c r="J1884" t="s">
        <v>31</v>
      </c>
      <c r="K1884" t="s">
        <v>20</v>
      </c>
      <c r="L1884">
        <v>4</v>
      </c>
      <c r="M1884">
        <v>0</v>
      </c>
      <c r="N1884">
        <v>0</v>
      </c>
      <c r="O1884" t="s">
        <v>27</v>
      </c>
      <c r="P1884" t="str">
        <f>TEXT(Table1[[#This Row],[order_date]],"yyyy-mm")</f>
        <v>2026-01</v>
      </c>
      <c r="Q1884">
        <f>WEEKNUM(Table1[[#This Row],[order_date]])</f>
        <v>2</v>
      </c>
      <c r="R1884">
        <f>IF(Table1[[#This Row],[order_status]]="completed",1,0)</f>
        <v>0</v>
      </c>
    </row>
    <row r="1885" spans="1:18" x14ac:dyDescent="0.35">
      <c r="A1885">
        <v>1884</v>
      </c>
      <c r="B1885" s="1">
        <v>45899</v>
      </c>
      <c r="C1885">
        <v>1394</v>
      </c>
      <c r="D1885" t="s">
        <v>15</v>
      </c>
      <c r="E1885" t="s">
        <v>33</v>
      </c>
      <c r="F1885" t="s">
        <v>30</v>
      </c>
      <c r="G1885">
        <v>1</v>
      </c>
      <c r="H1885">
        <v>1152</v>
      </c>
      <c r="I1885" t="s">
        <v>25</v>
      </c>
      <c r="J1885" t="s">
        <v>19</v>
      </c>
      <c r="K1885" t="s">
        <v>20</v>
      </c>
      <c r="L1885">
        <v>3</v>
      </c>
      <c r="M1885">
        <v>0</v>
      </c>
      <c r="N1885">
        <v>0</v>
      </c>
      <c r="O1885" t="s">
        <v>27</v>
      </c>
      <c r="P1885" t="str">
        <f>TEXT(Table1[[#This Row],[order_date]],"yyyy-mm")</f>
        <v>2025-08</v>
      </c>
      <c r="Q1885">
        <f>WEEKNUM(Table1[[#This Row],[order_date]])</f>
        <v>35</v>
      </c>
      <c r="R1885">
        <f>IF(Table1[[#This Row],[order_status]]="completed",1,0)</f>
        <v>1</v>
      </c>
    </row>
    <row r="1886" spans="1:18" x14ac:dyDescent="0.35">
      <c r="A1886">
        <v>1885</v>
      </c>
      <c r="B1886" s="1">
        <v>46029</v>
      </c>
      <c r="C1886">
        <v>1112</v>
      </c>
      <c r="D1886" t="s">
        <v>15</v>
      </c>
      <c r="E1886" t="s">
        <v>23</v>
      </c>
      <c r="F1886" t="s">
        <v>24</v>
      </c>
      <c r="G1886">
        <v>2</v>
      </c>
      <c r="H1886">
        <v>3962</v>
      </c>
      <c r="I1886" t="s">
        <v>35</v>
      </c>
      <c r="J1886" t="s">
        <v>19</v>
      </c>
      <c r="K1886" t="s">
        <v>20</v>
      </c>
      <c r="L1886">
        <v>9</v>
      </c>
      <c r="M1886">
        <v>1</v>
      </c>
      <c r="N1886">
        <v>0</v>
      </c>
      <c r="O1886" t="s">
        <v>21</v>
      </c>
      <c r="P1886" t="str">
        <f>TEXT(Table1[[#This Row],[order_date]],"yyyy-mm")</f>
        <v>2026-01</v>
      </c>
      <c r="Q1886">
        <f>WEEKNUM(Table1[[#This Row],[order_date]])</f>
        <v>2</v>
      </c>
      <c r="R1886">
        <f>IF(Table1[[#This Row],[order_status]]="completed",1,0)</f>
        <v>1</v>
      </c>
    </row>
    <row r="1887" spans="1:18" x14ac:dyDescent="0.35">
      <c r="A1887">
        <v>1886</v>
      </c>
      <c r="B1887" s="1">
        <v>45986</v>
      </c>
      <c r="C1887">
        <v>1690</v>
      </c>
      <c r="D1887" t="s">
        <v>15</v>
      </c>
      <c r="E1887" t="s">
        <v>33</v>
      </c>
      <c r="F1887" t="s">
        <v>34</v>
      </c>
      <c r="G1887">
        <v>2</v>
      </c>
      <c r="H1887">
        <v>0</v>
      </c>
      <c r="I1887" t="s">
        <v>18</v>
      </c>
      <c r="J1887" t="s">
        <v>31</v>
      </c>
      <c r="K1887" t="s">
        <v>26</v>
      </c>
      <c r="L1887">
        <v>4</v>
      </c>
      <c r="M1887">
        <v>0</v>
      </c>
      <c r="N1887">
        <v>0</v>
      </c>
      <c r="O1887" t="s">
        <v>27</v>
      </c>
      <c r="P1887" t="str">
        <f>TEXT(Table1[[#This Row],[order_date]],"yyyy-mm")</f>
        <v>2025-11</v>
      </c>
      <c r="Q1887">
        <f>WEEKNUM(Table1[[#This Row],[order_date]])</f>
        <v>48</v>
      </c>
      <c r="R1887">
        <f>IF(Table1[[#This Row],[order_status]]="completed",1,0)</f>
        <v>0</v>
      </c>
    </row>
    <row r="1888" spans="1:18" x14ac:dyDescent="0.35">
      <c r="A1888">
        <v>1887</v>
      </c>
      <c r="B1888" s="1">
        <v>46020</v>
      </c>
      <c r="C1888">
        <v>1460</v>
      </c>
      <c r="D1888" t="s">
        <v>22</v>
      </c>
      <c r="E1888" t="s">
        <v>36</v>
      </c>
      <c r="F1888" t="s">
        <v>17</v>
      </c>
      <c r="G1888">
        <v>5</v>
      </c>
      <c r="H1888">
        <v>0</v>
      </c>
      <c r="I1888" t="s">
        <v>18</v>
      </c>
      <c r="J1888" t="s">
        <v>31</v>
      </c>
      <c r="K1888" t="s">
        <v>26</v>
      </c>
      <c r="L1888">
        <v>5</v>
      </c>
      <c r="M1888">
        <v>0</v>
      </c>
      <c r="N1888">
        <v>0</v>
      </c>
      <c r="O1888" t="s">
        <v>21</v>
      </c>
      <c r="P1888" t="str">
        <f>TEXT(Table1[[#This Row],[order_date]],"yyyy-mm")</f>
        <v>2025-12</v>
      </c>
      <c r="Q1888">
        <f>WEEKNUM(Table1[[#This Row],[order_date]])</f>
        <v>53</v>
      </c>
      <c r="R1888">
        <f>IF(Table1[[#This Row],[order_status]]="completed",1,0)</f>
        <v>0</v>
      </c>
    </row>
    <row r="1889" spans="1:18" x14ac:dyDescent="0.35">
      <c r="A1889">
        <v>1888</v>
      </c>
      <c r="B1889" s="1">
        <v>45866</v>
      </c>
      <c r="C1889">
        <v>1796</v>
      </c>
      <c r="D1889" t="s">
        <v>41</v>
      </c>
      <c r="E1889" t="s">
        <v>33</v>
      </c>
      <c r="F1889" t="s">
        <v>30</v>
      </c>
      <c r="G1889">
        <v>1</v>
      </c>
      <c r="H1889">
        <v>3236</v>
      </c>
      <c r="I1889" t="s">
        <v>18</v>
      </c>
      <c r="J1889" t="s">
        <v>19</v>
      </c>
      <c r="K1889" t="s">
        <v>40</v>
      </c>
      <c r="L1889">
        <v>4</v>
      </c>
      <c r="M1889">
        <v>1</v>
      </c>
      <c r="N1889">
        <v>1</v>
      </c>
      <c r="O1889" t="s">
        <v>21</v>
      </c>
      <c r="P1889" t="str">
        <f>TEXT(Table1[[#This Row],[order_date]],"yyyy-mm")</f>
        <v>2025-07</v>
      </c>
      <c r="Q1889">
        <f>WEEKNUM(Table1[[#This Row],[order_date]])</f>
        <v>31</v>
      </c>
      <c r="R1889">
        <f>IF(Table1[[#This Row],[order_status]]="completed",1,0)</f>
        <v>1</v>
      </c>
    </row>
    <row r="1890" spans="1:18" x14ac:dyDescent="0.35">
      <c r="A1890">
        <v>1889</v>
      </c>
      <c r="B1890" s="1">
        <v>45861</v>
      </c>
      <c r="C1890">
        <v>1387</v>
      </c>
      <c r="D1890" t="s">
        <v>22</v>
      </c>
      <c r="E1890" t="s">
        <v>16</v>
      </c>
      <c r="F1890" t="s">
        <v>30</v>
      </c>
      <c r="G1890">
        <v>3</v>
      </c>
      <c r="H1890">
        <v>7176</v>
      </c>
      <c r="I1890" t="s">
        <v>18</v>
      </c>
      <c r="J1890" t="s">
        <v>19</v>
      </c>
      <c r="K1890" t="s">
        <v>20</v>
      </c>
      <c r="L1890">
        <v>5</v>
      </c>
      <c r="M1890">
        <v>0</v>
      </c>
      <c r="N1890">
        <v>0</v>
      </c>
      <c r="O1890" t="s">
        <v>21</v>
      </c>
      <c r="P1890" t="str">
        <f>TEXT(Table1[[#This Row],[order_date]],"yyyy-mm")</f>
        <v>2025-07</v>
      </c>
      <c r="Q1890">
        <f>WEEKNUM(Table1[[#This Row],[order_date]])</f>
        <v>30</v>
      </c>
      <c r="R1890">
        <f>IF(Table1[[#This Row],[order_status]]="completed",1,0)</f>
        <v>1</v>
      </c>
    </row>
    <row r="1891" spans="1:18" x14ac:dyDescent="0.35">
      <c r="A1891">
        <v>1890</v>
      </c>
      <c r="B1891" s="1">
        <v>45867</v>
      </c>
      <c r="C1891">
        <v>1604</v>
      </c>
      <c r="D1891" t="s">
        <v>22</v>
      </c>
      <c r="E1891" t="s">
        <v>29</v>
      </c>
      <c r="F1891" t="s">
        <v>30</v>
      </c>
      <c r="G1891">
        <v>4</v>
      </c>
      <c r="H1891">
        <v>14180</v>
      </c>
      <c r="I1891" t="s">
        <v>18</v>
      </c>
      <c r="J1891" t="s">
        <v>19</v>
      </c>
      <c r="K1891" t="s">
        <v>20</v>
      </c>
      <c r="L1891">
        <v>9</v>
      </c>
      <c r="M1891">
        <v>0</v>
      </c>
      <c r="N1891">
        <v>0</v>
      </c>
      <c r="O1891" t="s">
        <v>21</v>
      </c>
      <c r="P1891" t="str">
        <f>TEXT(Table1[[#This Row],[order_date]],"yyyy-mm")</f>
        <v>2025-07</v>
      </c>
      <c r="Q1891">
        <f>WEEKNUM(Table1[[#This Row],[order_date]])</f>
        <v>31</v>
      </c>
      <c r="R1891">
        <f>IF(Table1[[#This Row],[order_status]]="completed",1,0)</f>
        <v>1</v>
      </c>
    </row>
    <row r="1892" spans="1:18" x14ac:dyDescent="0.35">
      <c r="A1892">
        <v>1891</v>
      </c>
      <c r="B1892" s="1">
        <v>45967</v>
      </c>
      <c r="C1892">
        <v>1966</v>
      </c>
      <c r="D1892" t="s">
        <v>22</v>
      </c>
      <c r="E1892" t="s">
        <v>36</v>
      </c>
      <c r="F1892" t="s">
        <v>30</v>
      </c>
      <c r="G1892">
        <v>1</v>
      </c>
      <c r="H1892">
        <v>0</v>
      </c>
      <c r="I1892" t="s">
        <v>25</v>
      </c>
      <c r="J1892" t="s">
        <v>37</v>
      </c>
      <c r="K1892" t="s">
        <v>40</v>
      </c>
      <c r="L1892">
        <v>8</v>
      </c>
      <c r="M1892">
        <v>0</v>
      </c>
      <c r="N1892">
        <v>0</v>
      </c>
      <c r="O1892" t="s">
        <v>27</v>
      </c>
      <c r="P1892" t="str">
        <f>TEXT(Table1[[#This Row],[order_date]],"yyyy-mm")</f>
        <v>2025-11</v>
      </c>
      <c r="Q1892">
        <f>WEEKNUM(Table1[[#This Row],[order_date]])</f>
        <v>45</v>
      </c>
      <c r="R1892">
        <f>IF(Table1[[#This Row],[order_status]]="completed",1,0)</f>
        <v>0</v>
      </c>
    </row>
    <row r="1893" spans="1:18" x14ac:dyDescent="0.35">
      <c r="A1893">
        <v>1892</v>
      </c>
      <c r="B1893" s="1">
        <v>45911</v>
      </c>
      <c r="C1893">
        <v>1975</v>
      </c>
      <c r="D1893" t="s">
        <v>41</v>
      </c>
      <c r="E1893" t="s">
        <v>29</v>
      </c>
      <c r="F1893" t="s">
        <v>30</v>
      </c>
      <c r="G1893">
        <v>1</v>
      </c>
      <c r="H1893">
        <v>0</v>
      </c>
      <c r="I1893" t="s">
        <v>35</v>
      </c>
      <c r="J1893" t="s">
        <v>37</v>
      </c>
      <c r="K1893" t="s">
        <v>40</v>
      </c>
      <c r="L1893">
        <v>8</v>
      </c>
      <c r="M1893">
        <v>0</v>
      </c>
      <c r="N1893">
        <v>1</v>
      </c>
      <c r="O1893" t="s">
        <v>27</v>
      </c>
      <c r="P1893" t="str">
        <f>TEXT(Table1[[#This Row],[order_date]],"yyyy-mm")</f>
        <v>2025-09</v>
      </c>
      <c r="Q1893">
        <f>WEEKNUM(Table1[[#This Row],[order_date]])</f>
        <v>37</v>
      </c>
      <c r="R1893">
        <f>IF(Table1[[#This Row],[order_status]]="completed",1,0)</f>
        <v>0</v>
      </c>
    </row>
    <row r="1894" spans="1:18" x14ac:dyDescent="0.35">
      <c r="A1894">
        <v>1893</v>
      </c>
      <c r="B1894" s="1">
        <v>45867</v>
      </c>
      <c r="C1894">
        <v>1411</v>
      </c>
      <c r="D1894" t="s">
        <v>22</v>
      </c>
      <c r="E1894" t="s">
        <v>23</v>
      </c>
      <c r="F1894" t="s">
        <v>17</v>
      </c>
      <c r="G1894">
        <v>4</v>
      </c>
      <c r="H1894">
        <v>17140</v>
      </c>
      <c r="I1894" t="s">
        <v>18</v>
      </c>
      <c r="J1894" t="s">
        <v>19</v>
      </c>
      <c r="K1894" t="s">
        <v>40</v>
      </c>
      <c r="L1894">
        <v>1</v>
      </c>
      <c r="M1894">
        <v>0</v>
      </c>
      <c r="N1894">
        <v>0</v>
      </c>
      <c r="O1894" t="s">
        <v>21</v>
      </c>
      <c r="P1894" t="str">
        <f>TEXT(Table1[[#This Row],[order_date]],"yyyy-mm")</f>
        <v>2025-07</v>
      </c>
      <c r="Q1894">
        <f>WEEKNUM(Table1[[#This Row],[order_date]])</f>
        <v>31</v>
      </c>
      <c r="R1894">
        <f>IF(Table1[[#This Row],[order_status]]="completed",1,0)</f>
        <v>1</v>
      </c>
    </row>
    <row r="1895" spans="1:18" x14ac:dyDescent="0.35">
      <c r="A1895">
        <v>1894</v>
      </c>
      <c r="B1895" s="1">
        <v>46001</v>
      </c>
      <c r="C1895">
        <v>1349</v>
      </c>
      <c r="D1895" t="s">
        <v>22</v>
      </c>
      <c r="E1895" t="s">
        <v>33</v>
      </c>
      <c r="F1895" t="s">
        <v>34</v>
      </c>
      <c r="G1895">
        <v>1</v>
      </c>
      <c r="H1895">
        <v>0</v>
      </c>
      <c r="I1895" t="s">
        <v>39</v>
      </c>
      <c r="J1895" t="s">
        <v>37</v>
      </c>
      <c r="K1895" t="s">
        <v>38</v>
      </c>
      <c r="L1895">
        <v>6</v>
      </c>
      <c r="M1895">
        <v>0</v>
      </c>
      <c r="N1895">
        <v>1</v>
      </c>
      <c r="O1895" t="s">
        <v>27</v>
      </c>
      <c r="P1895" t="str">
        <f>TEXT(Table1[[#This Row],[order_date]],"yyyy-mm")</f>
        <v>2025-12</v>
      </c>
      <c r="Q1895">
        <f>WEEKNUM(Table1[[#This Row],[order_date]])</f>
        <v>50</v>
      </c>
      <c r="R1895">
        <f>IF(Table1[[#This Row],[order_status]]="completed",1,0)</f>
        <v>0</v>
      </c>
    </row>
    <row r="1896" spans="1:18" x14ac:dyDescent="0.35">
      <c r="A1896">
        <v>1895</v>
      </c>
      <c r="B1896" s="1">
        <v>45891</v>
      </c>
      <c r="C1896">
        <v>1926</v>
      </c>
      <c r="D1896" t="s">
        <v>41</v>
      </c>
      <c r="E1896" t="s">
        <v>36</v>
      </c>
      <c r="F1896" t="s">
        <v>30</v>
      </c>
      <c r="G1896">
        <v>1</v>
      </c>
      <c r="H1896">
        <v>0</v>
      </c>
      <c r="I1896" t="s">
        <v>18</v>
      </c>
      <c r="J1896" t="s">
        <v>31</v>
      </c>
      <c r="K1896" t="s">
        <v>20</v>
      </c>
      <c r="L1896">
        <v>7</v>
      </c>
      <c r="M1896">
        <v>1</v>
      </c>
      <c r="N1896">
        <v>1</v>
      </c>
      <c r="O1896" t="s">
        <v>21</v>
      </c>
      <c r="P1896" t="str">
        <f>TEXT(Table1[[#This Row],[order_date]],"yyyy-mm")</f>
        <v>2025-08</v>
      </c>
      <c r="Q1896">
        <f>WEEKNUM(Table1[[#This Row],[order_date]])</f>
        <v>34</v>
      </c>
      <c r="R1896">
        <f>IF(Table1[[#This Row],[order_status]]="completed",1,0)</f>
        <v>0</v>
      </c>
    </row>
    <row r="1897" spans="1:18" x14ac:dyDescent="0.35">
      <c r="A1897">
        <v>1896</v>
      </c>
      <c r="B1897" s="1">
        <v>45897</v>
      </c>
      <c r="C1897">
        <v>1338</v>
      </c>
      <c r="D1897" t="s">
        <v>28</v>
      </c>
      <c r="E1897" t="s">
        <v>29</v>
      </c>
      <c r="F1897" t="s">
        <v>34</v>
      </c>
      <c r="G1897">
        <v>4</v>
      </c>
      <c r="H1897">
        <v>3072</v>
      </c>
      <c r="I1897" t="s">
        <v>35</v>
      </c>
      <c r="J1897" t="s">
        <v>19</v>
      </c>
      <c r="K1897" t="s">
        <v>40</v>
      </c>
      <c r="L1897">
        <v>2</v>
      </c>
      <c r="M1897">
        <v>0</v>
      </c>
      <c r="N1897">
        <v>0</v>
      </c>
      <c r="O1897" t="s">
        <v>21</v>
      </c>
      <c r="P1897" t="str">
        <f>TEXT(Table1[[#This Row],[order_date]],"yyyy-mm")</f>
        <v>2025-08</v>
      </c>
      <c r="Q1897">
        <f>WEEKNUM(Table1[[#This Row],[order_date]])</f>
        <v>35</v>
      </c>
      <c r="R1897">
        <f>IF(Table1[[#This Row],[order_status]]="completed",1,0)</f>
        <v>1</v>
      </c>
    </row>
    <row r="1898" spans="1:18" x14ac:dyDescent="0.35">
      <c r="A1898">
        <v>1897</v>
      </c>
      <c r="B1898" s="1">
        <v>45875</v>
      </c>
      <c r="C1898">
        <v>1864</v>
      </c>
      <c r="D1898" t="s">
        <v>22</v>
      </c>
      <c r="E1898" t="s">
        <v>36</v>
      </c>
      <c r="F1898" t="s">
        <v>34</v>
      </c>
      <c r="G1898">
        <v>2</v>
      </c>
      <c r="H1898">
        <v>0</v>
      </c>
      <c r="I1898" t="s">
        <v>35</v>
      </c>
      <c r="J1898" t="s">
        <v>31</v>
      </c>
      <c r="K1898" t="s">
        <v>26</v>
      </c>
      <c r="L1898">
        <v>5</v>
      </c>
      <c r="M1898">
        <v>1</v>
      </c>
      <c r="N1898">
        <v>1</v>
      </c>
      <c r="O1898" t="s">
        <v>21</v>
      </c>
      <c r="P1898" t="str">
        <f>TEXT(Table1[[#This Row],[order_date]],"yyyy-mm")</f>
        <v>2025-08</v>
      </c>
      <c r="Q1898">
        <f>WEEKNUM(Table1[[#This Row],[order_date]])</f>
        <v>32</v>
      </c>
      <c r="R1898">
        <f>IF(Table1[[#This Row],[order_status]]="completed",1,0)</f>
        <v>0</v>
      </c>
    </row>
    <row r="1899" spans="1:18" x14ac:dyDescent="0.35">
      <c r="A1899">
        <v>1898</v>
      </c>
      <c r="B1899" s="1">
        <v>45851</v>
      </c>
      <c r="C1899">
        <v>1109</v>
      </c>
      <c r="D1899" t="s">
        <v>28</v>
      </c>
      <c r="E1899" t="s">
        <v>23</v>
      </c>
      <c r="F1899" t="s">
        <v>30</v>
      </c>
      <c r="G1899">
        <v>3</v>
      </c>
      <c r="H1899">
        <v>12402</v>
      </c>
      <c r="I1899" t="s">
        <v>25</v>
      </c>
      <c r="J1899" t="s">
        <v>19</v>
      </c>
      <c r="K1899" t="s">
        <v>26</v>
      </c>
      <c r="L1899">
        <v>2</v>
      </c>
      <c r="M1899">
        <v>1</v>
      </c>
      <c r="N1899">
        <v>0</v>
      </c>
      <c r="O1899" t="s">
        <v>27</v>
      </c>
      <c r="P1899" t="str">
        <f>TEXT(Table1[[#This Row],[order_date]],"yyyy-mm")</f>
        <v>2025-07</v>
      </c>
      <c r="Q1899">
        <f>WEEKNUM(Table1[[#This Row],[order_date]])</f>
        <v>29</v>
      </c>
      <c r="R1899">
        <f>IF(Table1[[#This Row],[order_status]]="completed",1,0)</f>
        <v>1</v>
      </c>
    </row>
    <row r="1900" spans="1:18" x14ac:dyDescent="0.35">
      <c r="A1900">
        <v>1899</v>
      </c>
      <c r="B1900" s="1">
        <v>45989</v>
      </c>
      <c r="C1900">
        <v>1963</v>
      </c>
      <c r="D1900" t="s">
        <v>28</v>
      </c>
      <c r="E1900" t="s">
        <v>33</v>
      </c>
      <c r="F1900" t="s">
        <v>24</v>
      </c>
      <c r="G1900">
        <v>5</v>
      </c>
      <c r="H1900">
        <v>0</v>
      </c>
      <c r="I1900" t="s">
        <v>35</v>
      </c>
      <c r="J1900" t="s">
        <v>37</v>
      </c>
      <c r="K1900" t="s">
        <v>20</v>
      </c>
      <c r="L1900">
        <v>1</v>
      </c>
      <c r="M1900">
        <v>1</v>
      </c>
      <c r="N1900">
        <v>0</v>
      </c>
      <c r="O1900" t="s">
        <v>27</v>
      </c>
      <c r="P1900" t="str">
        <f>TEXT(Table1[[#This Row],[order_date]],"yyyy-mm")</f>
        <v>2025-11</v>
      </c>
      <c r="Q1900">
        <f>WEEKNUM(Table1[[#This Row],[order_date]])</f>
        <v>48</v>
      </c>
      <c r="R1900">
        <f>IF(Table1[[#This Row],[order_status]]="completed",1,0)</f>
        <v>0</v>
      </c>
    </row>
    <row r="1901" spans="1:18" x14ac:dyDescent="0.35">
      <c r="A1901">
        <v>1900</v>
      </c>
      <c r="B1901" s="1">
        <v>45933</v>
      </c>
      <c r="C1901">
        <v>1532</v>
      </c>
      <c r="D1901" t="s">
        <v>15</v>
      </c>
      <c r="E1901" t="s">
        <v>23</v>
      </c>
      <c r="F1901" t="s">
        <v>30</v>
      </c>
      <c r="G1901">
        <v>1</v>
      </c>
      <c r="H1901">
        <v>0</v>
      </c>
      <c r="I1901" t="s">
        <v>39</v>
      </c>
      <c r="J1901" t="s">
        <v>31</v>
      </c>
      <c r="K1901" t="s">
        <v>20</v>
      </c>
      <c r="L1901">
        <v>8</v>
      </c>
      <c r="M1901">
        <v>0</v>
      </c>
      <c r="N1901">
        <v>1</v>
      </c>
      <c r="O1901" t="s">
        <v>27</v>
      </c>
      <c r="P1901" t="str">
        <f>TEXT(Table1[[#This Row],[order_date]],"yyyy-mm")</f>
        <v>2025-10</v>
      </c>
      <c r="Q1901">
        <f>WEEKNUM(Table1[[#This Row],[order_date]])</f>
        <v>40</v>
      </c>
      <c r="R1901">
        <f>IF(Table1[[#This Row],[order_status]]="completed",1,0)</f>
        <v>0</v>
      </c>
    </row>
    <row r="1902" spans="1:18" x14ac:dyDescent="0.35">
      <c r="A1902">
        <v>1901</v>
      </c>
      <c r="B1902" s="1">
        <v>45896</v>
      </c>
      <c r="C1902">
        <v>1910</v>
      </c>
      <c r="D1902" t="s">
        <v>28</v>
      </c>
      <c r="E1902" t="s">
        <v>23</v>
      </c>
      <c r="F1902" t="s">
        <v>30</v>
      </c>
      <c r="G1902">
        <v>3</v>
      </c>
      <c r="H1902">
        <v>14445</v>
      </c>
      <c r="I1902" t="s">
        <v>25</v>
      </c>
      <c r="J1902" t="s">
        <v>19</v>
      </c>
      <c r="K1902" t="s">
        <v>40</v>
      </c>
      <c r="L1902">
        <v>7</v>
      </c>
      <c r="M1902">
        <v>0</v>
      </c>
      <c r="N1902">
        <v>1</v>
      </c>
      <c r="O1902" t="s">
        <v>27</v>
      </c>
      <c r="P1902" t="str">
        <f>TEXT(Table1[[#This Row],[order_date]],"yyyy-mm")</f>
        <v>2025-08</v>
      </c>
      <c r="Q1902">
        <f>WEEKNUM(Table1[[#This Row],[order_date]])</f>
        <v>35</v>
      </c>
      <c r="R1902">
        <f>IF(Table1[[#This Row],[order_status]]="completed",1,0)</f>
        <v>1</v>
      </c>
    </row>
    <row r="1903" spans="1:18" x14ac:dyDescent="0.35">
      <c r="A1903">
        <v>1902</v>
      </c>
      <c r="B1903" s="1">
        <v>45893</v>
      </c>
      <c r="C1903">
        <v>1894</v>
      </c>
      <c r="D1903" t="s">
        <v>15</v>
      </c>
      <c r="E1903" t="s">
        <v>16</v>
      </c>
      <c r="F1903" t="s">
        <v>24</v>
      </c>
      <c r="G1903">
        <v>5</v>
      </c>
      <c r="H1903">
        <v>0</v>
      </c>
      <c r="I1903" t="s">
        <v>25</v>
      </c>
      <c r="J1903" t="s">
        <v>37</v>
      </c>
      <c r="K1903" t="s">
        <v>26</v>
      </c>
      <c r="L1903">
        <v>6</v>
      </c>
      <c r="M1903">
        <v>1</v>
      </c>
      <c r="N1903">
        <v>1</v>
      </c>
      <c r="O1903" t="s">
        <v>27</v>
      </c>
      <c r="P1903" t="str">
        <f>TEXT(Table1[[#This Row],[order_date]],"yyyy-mm")</f>
        <v>2025-08</v>
      </c>
      <c r="Q1903">
        <f>WEEKNUM(Table1[[#This Row],[order_date]])</f>
        <v>35</v>
      </c>
      <c r="R1903">
        <f>IF(Table1[[#This Row],[order_status]]="completed",1,0)</f>
        <v>0</v>
      </c>
    </row>
    <row r="1904" spans="1:18" x14ac:dyDescent="0.35">
      <c r="A1904">
        <v>1903</v>
      </c>
      <c r="B1904" s="1">
        <v>46016</v>
      </c>
      <c r="C1904">
        <v>1477</v>
      </c>
      <c r="D1904" t="s">
        <v>41</v>
      </c>
      <c r="E1904" t="s">
        <v>16</v>
      </c>
      <c r="F1904" t="s">
        <v>17</v>
      </c>
      <c r="G1904">
        <v>1</v>
      </c>
      <c r="H1904">
        <v>0</v>
      </c>
      <c r="I1904" t="s">
        <v>39</v>
      </c>
      <c r="J1904" t="s">
        <v>31</v>
      </c>
      <c r="K1904" t="s">
        <v>40</v>
      </c>
      <c r="L1904">
        <v>1</v>
      </c>
      <c r="M1904">
        <v>1</v>
      </c>
      <c r="N1904">
        <v>1</v>
      </c>
      <c r="O1904" t="s">
        <v>27</v>
      </c>
      <c r="P1904" t="str">
        <f>TEXT(Table1[[#This Row],[order_date]],"yyyy-mm")</f>
        <v>2025-12</v>
      </c>
      <c r="Q1904">
        <f>WEEKNUM(Table1[[#This Row],[order_date]])</f>
        <v>52</v>
      </c>
      <c r="R1904">
        <f>IF(Table1[[#This Row],[order_status]]="completed",1,0)</f>
        <v>0</v>
      </c>
    </row>
    <row r="1905" spans="1:18" x14ac:dyDescent="0.35">
      <c r="A1905">
        <v>1904</v>
      </c>
      <c r="B1905" s="1">
        <v>45852</v>
      </c>
      <c r="C1905">
        <v>1181</v>
      </c>
      <c r="D1905" t="s">
        <v>22</v>
      </c>
      <c r="E1905" t="s">
        <v>16</v>
      </c>
      <c r="F1905" t="s">
        <v>24</v>
      </c>
      <c r="G1905">
        <v>4</v>
      </c>
      <c r="H1905">
        <v>5744</v>
      </c>
      <c r="I1905" t="s">
        <v>25</v>
      </c>
      <c r="J1905" t="s">
        <v>19</v>
      </c>
      <c r="K1905" t="s">
        <v>26</v>
      </c>
      <c r="L1905">
        <v>5</v>
      </c>
      <c r="M1905">
        <v>1</v>
      </c>
      <c r="N1905">
        <v>0</v>
      </c>
      <c r="O1905" t="s">
        <v>21</v>
      </c>
      <c r="P1905" t="str">
        <f>TEXT(Table1[[#This Row],[order_date]],"yyyy-mm")</f>
        <v>2025-07</v>
      </c>
      <c r="Q1905">
        <f>WEEKNUM(Table1[[#This Row],[order_date]])</f>
        <v>29</v>
      </c>
      <c r="R1905">
        <f>IF(Table1[[#This Row],[order_status]]="completed",1,0)</f>
        <v>1</v>
      </c>
    </row>
    <row r="1906" spans="1:18" x14ac:dyDescent="0.35">
      <c r="A1906">
        <v>1905</v>
      </c>
      <c r="B1906" s="1">
        <v>46028</v>
      </c>
      <c r="C1906">
        <v>1997</v>
      </c>
      <c r="D1906" t="s">
        <v>32</v>
      </c>
      <c r="E1906" t="s">
        <v>23</v>
      </c>
      <c r="F1906" t="s">
        <v>30</v>
      </c>
      <c r="G1906">
        <v>5</v>
      </c>
      <c r="H1906">
        <v>21430</v>
      </c>
      <c r="I1906" t="s">
        <v>35</v>
      </c>
      <c r="J1906" t="s">
        <v>19</v>
      </c>
      <c r="K1906" t="s">
        <v>26</v>
      </c>
      <c r="L1906">
        <v>10</v>
      </c>
      <c r="M1906">
        <v>0</v>
      </c>
      <c r="N1906">
        <v>1</v>
      </c>
      <c r="O1906" t="s">
        <v>27</v>
      </c>
      <c r="P1906" t="str">
        <f>TEXT(Table1[[#This Row],[order_date]],"yyyy-mm")</f>
        <v>2026-01</v>
      </c>
      <c r="Q1906">
        <f>WEEKNUM(Table1[[#This Row],[order_date]])</f>
        <v>2</v>
      </c>
      <c r="R1906">
        <f>IF(Table1[[#This Row],[order_status]]="completed",1,0)</f>
        <v>1</v>
      </c>
    </row>
    <row r="1907" spans="1:18" x14ac:dyDescent="0.35">
      <c r="A1907">
        <v>1906</v>
      </c>
      <c r="B1907" s="1">
        <v>45999</v>
      </c>
      <c r="C1907">
        <v>1751</v>
      </c>
      <c r="D1907" t="s">
        <v>22</v>
      </c>
      <c r="E1907" t="s">
        <v>36</v>
      </c>
      <c r="F1907" t="s">
        <v>34</v>
      </c>
      <c r="G1907">
        <v>4</v>
      </c>
      <c r="H1907">
        <v>9900</v>
      </c>
      <c r="I1907" t="s">
        <v>39</v>
      </c>
      <c r="J1907" t="s">
        <v>19</v>
      </c>
      <c r="K1907" t="s">
        <v>40</v>
      </c>
      <c r="L1907">
        <v>6</v>
      </c>
      <c r="M1907">
        <v>1</v>
      </c>
      <c r="N1907">
        <v>1</v>
      </c>
      <c r="O1907" t="s">
        <v>21</v>
      </c>
      <c r="P1907" t="str">
        <f>TEXT(Table1[[#This Row],[order_date]],"yyyy-mm")</f>
        <v>2025-12</v>
      </c>
      <c r="Q1907">
        <f>WEEKNUM(Table1[[#This Row],[order_date]])</f>
        <v>50</v>
      </c>
      <c r="R1907">
        <f>IF(Table1[[#This Row],[order_status]]="completed",1,0)</f>
        <v>1</v>
      </c>
    </row>
    <row r="1908" spans="1:18" x14ac:dyDescent="0.35">
      <c r="A1908">
        <v>1907</v>
      </c>
      <c r="B1908" s="1">
        <v>45887</v>
      </c>
      <c r="C1908">
        <v>1371</v>
      </c>
      <c r="D1908" t="s">
        <v>15</v>
      </c>
      <c r="E1908" t="s">
        <v>16</v>
      </c>
      <c r="F1908" t="s">
        <v>24</v>
      </c>
      <c r="G1908">
        <v>2</v>
      </c>
      <c r="H1908">
        <v>8038</v>
      </c>
      <c r="I1908" t="s">
        <v>18</v>
      </c>
      <c r="J1908" t="s">
        <v>19</v>
      </c>
      <c r="K1908" t="s">
        <v>26</v>
      </c>
      <c r="L1908">
        <v>6</v>
      </c>
      <c r="M1908">
        <v>0</v>
      </c>
      <c r="N1908">
        <v>1</v>
      </c>
      <c r="O1908" t="s">
        <v>27</v>
      </c>
      <c r="P1908" t="str">
        <f>TEXT(Table1[[#This Row],[order_date]],"yyyy-mm")</f>
        <v>2025-08</v>
      </c>
      <c r="Q1908">
        <f>WEEKNUM(Table1[[#This Row],[order_date]])</f>
        <v>34</v>
      </c>
      <c r="R1908">
        <f>IF(Table1[[#This Row],[order_status]]="completed",1,0)</f>
        <v>1</v>
      </c>
    </row>
    <row r="1909" spans="1:18" x14ac:dyDescent="0.35">
      <c r="A1909">
        <v>1908</v>
      </c>
      <c r="B1909" s="1">
        <v>45892</v>
      </c>
      <c r="C1909">
        <v>1627</v>
      </c>
      <c r="D1909" t="s">
        <v>22</v>
      </c>
      <c r="E1909" t="s">
        <v>33</v>
      </c>
      <c r="F1909" t="s">
        <v>24</v>
      </c>
      <c r="G1909">
        <v>1</v>
      </c>
      <c r="H1909">
        <v>0</v>
      </c>
      <c r="I1909" t="s">
        <v>25</v>
      </c>
      <c r="J1909" t="s">
        <v>37</v>
      </c>
      <c r="K1909" t="s">
        <v>40</v>
      </c>
      <c r="L1909">
        <v>10</v>
      </c>
      <c r="M1909">
        <v>0</v>
      </c>
      <c r="N1909">
        <v>0</v>
      </c>
      <c r="O1909" t="s">
        <v>27</v>
      </c>
      <c r="P1909" t="str">
        <f>TEXT(Table1[[#This Row],[order_date]],"yyyy-mm")</f>
        <v>2025-08</v>
      </c>
      <c r="Q1909">
        <f>WEEKNUM(Table1[[#This Row],[order_date]])</f>
        <v>34</v>
      </c>
      <c r="R1909">
        <f>IF(Table1[[#This Row],[order_status]]="completed",1,0)</f>
        <v>0</v>
      </c>
    </row>
    <row r="1910" spans="1:18" x14ac:dyDescent="0.35">
      <c r="A1910">
        <v>1909</v>
      </c>
      <c r="B1910" s="1">
        <v>46009</v>
      </c>
      <c r="C1910">
        <v>1972</v>
      </c>
      <c r="D1910" t="s">
        <v>15</v>
      </c>
      <c r="E1910" t="s">
        <v>23</v>
      </c>
      <c r="F1910" t="s">
        <v>34</v>
      </c>
      <c r="G1910">
        <v>4</v>
      </c>
      <c r="H1910">
        <v>0</v>
      </c>
      <c r="I1910" t="s">
        <v>25</v>
      </c>
      <c r="J1910" t="s">
        <v>31</v>
      </c>
      <c r="K1910" t="s">
        <v>40</v>
      </c>
      <c r="L1910">
        <v>2</v>
      </c>
      <c r="M1910">
        <v>0</v>
      </c>
      <c r="N1910">
        <v>0</v>
      </c>
      <c r="O1910" t="s">
        <v>27</v>
      </c>
      <c r="P1910" t="str">
        <f>TEXT(Table1[[#This Row],[order_date]],"yyyy-mm")</f>
        <v>2025-12</v>
      </c>
      <c r="Q1910">
        <f>WEEKNUM(Table1[[#This Row],[order_date]])</f>
        <v>51</v>
      </c>
      <c r="R1910">
        <f>IF(Table1[[#This Row],[order_status]]="completed",1,0)</f>
        <v>0</v>
      </c>
    </row>
    <row r="1911" spans="1:18" x14ac:dyDescent="0.35">
      <c r="A1911">
        <v>1910</v>
      </c>
      <c r="B1911" s="1">
        <v>45892</v>
      </c>
      <c r="C1911">
        <v>1324</v>
      </c>
      <c r="D1911" t="s">
        <v>32</v>
      </c>
      <c r="E1911" t="s">
        <v>36</v>
      </c>
      <c r="F1911" t="s">
        <v>17</v>
      </c>
      <c r="G1911">
        <v>3</v>
      </c>
      <c r="H1911">
        <v>12048</v>
      </c>
      <c r="I1911" t="s">
        <v>25</v>
      </c>
      <c r="J1911" t="s">
        <v>19</v>
      </c>
      <c r="K1911" t="s">
        <v>38</v>
      </c>
      <c r="L1911">
        <v>4</v>
      </c>
      <c r="M1911">
        <v>1</v>
      </c>
      <c r="N1911">
        <v>0</v>
      </c>
      <c r="O1911" t="s">
        <v>21</v>
      </c>
      <c r="P1911" t="str">
        <f>TEXT(Table1[[#This Row],[order_date]],"yyyy-mm")</f>
        <v>2025-08</v>
      </c>
      <c r="Q1911">
        <f>WEEKNUM(Table1[[#This Row],[order_date]])</f>
        <v>34</v>
      </c>
      <c r="R1911">
        <f>IF(Table1[[#This Row],[order_status]]="completed",1,0)</f>
        <v>1</v>
      </c>
    </row>
    <row r="1912" spans="1:18" x14ac:dyDescent="0.35">
      <c r="A1912">
        <v>1911</v>
      </c>
      <c r="B1912" s="1">
        <v>46022</v>
      </c>
      <c r="C1912">
        <v>1748</v>
      </c>
      <c r="D1912" t="s">
        <v>15</v>
      </c>
      <c r="E1912" t="s">
        <v>16</v>
      </c>
      <c r="F1912" t="s">
        <v>34</v>
      </c>
      <c r="G1912">
        <v>2</v>
      </c>
      <c r="H1912">
        <v>0</v>
      </c>
      <c r="I1912" t="s">
        <v>18</v>
      </c>
      <c r="J1912" t="s">
        <v>37</v>
      </c>
      <c r="K1912" t="s">
        <v>26</v>
      </c>
      <c r="L1912">
        <v>10</v>
      </c>
      <c r="M1912">
        <v>0</v>
      </c>
      <c r="N1912">
        <v>0</v>
      </c>
      <c r="O1912" t="s">
        <v>27</v>
      </c>
      <c r="P1912" t="str">
        <f>TEXT(Table1[[#This Row],[order_date]],"yyyy-mm")</f>
        <v>2025-12</v>
      </c>
      <c r="Q1912">
        <f>WEEKNUM(Table1[[#This Row],[order_date]])</f>
        <v>53</v>
      </c>
      <c r="R1912">
        <f>IF(Table1[[#This Row],[order_status]]="completed",1,0)</f>
        <v>0</v>
      </c>
    </row>
    <row r="1913" spans="1:18" x14ac:dyDescent="0.35">
      <c r="A1913">
        <v>1912</v>
      </c>
      <c r="B1913" s="1">
        <v>45971</v>
      </c>
      <c r="C1913">
        <v>1573</v>
      </c>
      <c r="D1913" t="s">
        <v>28</v>
      </c>
      <c r="E1913" t="s">
        <v>33</v>
      </c>
      <c r="F1913" t="s">
        <v>30</v>
      </c>
      <c r="G1913">
        <v>3</v>
      </c>
      <c r="H1913">
        <v>14961</v>
      </c>
      <c r="I1913" t="s">
        <v>35</v>
      </c>
      <c r="J1913" t="s">
        <v>19</v>
      </c>
      <c r="K1913" t="s">
        <v>38</v>
      </c>
      <c r="L1913">
        <v>7</v>
      </c>
      <c r="M1913">
        <v>0</v>
      </c>
      <c r="N1913">
        <v>0</v>
      </c>
      <c r="O1913" t="s">
        <v>21</v>
      </c>
      <c r="P1913" t="str">
        <f>TEXT(Table1[[#This Row],[order_date]],"yyyy-mm")</f>
        <v>2025-11</v>
      </c>
      <c r="Q1913">
        <f>WEEKNUM(Table1[[#This Row],[order_date]])</f>
        <v>46</v>
      </c>
      <c r="R1913">
        <f>IF(Table1[[#This Row],[order_status]]="completed",1,0)</f>
        <v>1</v>
      </c>
    </row>
    <row r="1914" spans="1:18" x14ac:dyDescent="0.35">
      <c r="A1914">
        <v>1913</v>
      </c>
      <c r="B1914" s="1">
        <v>45928</v>
      </c>
      <c r="C1914">
        <v>1401</v>
      </c>
      <c r="D1914" t="s">
        <v>22</v>
      </c>
      <c r="E1914" t="s">
        <v>23</v>
      </c>
      <c r="F1914" t="s">
        <v>30</v>
      </c>
      <c r="G1914">
        <v>3</v>
      </c>
      <c r="H1914">
        <v>11763</v>
      </c>
      <c r="I1914" t="s">
        <v>25</v>
      </c>
      <c r="J1914" t="s">
        <v>19</v>
      </c>
      <c r="K1914" t="s">
        <v>20</v>
      </c>
      <c r="L1914">
        <v>10</v>
      </c>
      <c r="M1914">
        <v>1</v>
      </c>
      <c r="N1914">
        <v>1</v>
      </c>
      <c r="O1914" t="s">
        <v>21</v>
      </c>
      <c r="P1914" t="str">
        <f>TEXT(Table1[[#This Row],[order_date]],"yyyy-mm")</f>
        <v>2025-09</v>
      </c>
      <c r="Q1914">
        <f>WEEKNUM(Table1[[#This Row],[order_date]])</f>
        <v>40</v>
      </c>
      <c r="R1914">
        <f>IF(Table1[[#This Row],[order_status]]="completed",1,0)</f>
        <v>1</v>
      </c>
    </row>
    <row r="1915" spans="1:18" x14ac:dyDescent="0.35">
      <c r="A1915">
        <v>1914</v>
      </c>
      <c r="B1915" s="1">
        <v>45916</v>
      </c>
      <c r="C1915">
        <v>1168</v>
      </c>
      <c r="D1915" t="s">
        <v>15</v>
      </c>
      <c r="E1915" t="s">
        <v>33</v>
      </c>
      <c r="F1915" t="s">
        <v>30</v>
      </c>
      <c r="G1915">
        <v>5</v>
      </c>
      <c r="H1915">
        <v>0</v>
      </c>
      <c r="I1915" t="s">
        <v>39</v>
      </c>
      <c r="J1915" t="s">
        <v>37</v>
      </c>
      <c r="K1915" t="s">
        <v>26</v>
      </c>
      <c r="L1915">
        <v>9</v>
      </c>
      <c r="M1915">
        <v>0</v>
      </c>
      <c r="N1915">
        <v>1</v>
      </c>
      <c r="O1915" t="s">
        <v>27</v>
      </c>
      <c r="P1915" t="str">
        <f>TEXT(Table1[[#This Row],[order_date]],"yyyy-mm")</f>
        <v>2025-09</v>
      </c>
      <c r="Q1915">
        <f>WEEKNUM(Table1[[#This Row],[order_date]])</f>
        <v>38</v>
      </c>
      <c r="R1915">
        <f>IF(Table1[[#This Row],[order_status]]="completed",1,0)</f>
        <v>0</v>
      </c>
    </row>
    <row r="1916" spans="1:18" x14ac:dyDescent="0.35">
      <c r="A1916">
        <v>1915</v>
      </c>
      <c r="B1916" s="1">
        <v>45870</v>
      </c>
      <c r="C1916">
        <v>1171</v>
      </c>
      <c r="D1916" t="s">
        <v>15</v>
      </c>
      <c r="E1916" t="s">
        <v>16</v>
      </c>
      <c r="F1916" t="s">
        <v>34</v>
      </c>
      <c r="G1916">
        <v>2</v>
      </c>
      <c r="H1916">
        <v>0</v>
      </c>
      <c r="I1916" t="s">
        <v>35</v>
      </c>
      <c r="J1916" t="s">
        <v>37</v>
      </c>
      <c r="K1916" t="s">
        <v>26</v>
      </c>
      <c r="L1916">
        <v>3</v>
      </c>
      <c r="M1916">
        <v>0</v>
      </c>
      <c r="N1916">
        <v>0</v>
      </c>
      <c r="O1916" t="s">
        <v>21</v>
      </c>
      <c r="P1916" t="str">
        <f>TEXT(Table1[[#This Row],[order_date]],"yyyy-mm")</f>
        <v>2025-08</v>
      </c>
      <c r="Q1916">
        <f>WEEKNUM(Table1[[#This Row],[order_date]])</f>
        <v>31</v>
      </c>
      <c r="R1916">
        <f>IF(Table1[[#This Row],[order_status]]="completed",1,0)</f>
        <v>0</v>
      </c>
    </row>
    <row r="1917" spans="1:18" x14ac:dyDescent="0.35">
      <c r="A1917">
        <v>1916</v>
      </c>
      <c r="B1917" s="1">
        <v>45919</v>
      </c>
      <c r="C1917">
        <v>1649</v>
      </c>
      <c r="D1917" t="s">
        <v>41</v>
      </c>
      <c r="E1917" t="s">
        <v>33</v>
      </c>
      <c r="F1917" t="s">
        <v>24</v>
      </c>
      <c r="G1917">
        <v>4</v>
      </c>
      <c r="H1917">
        <v>0</v>
      </c>
      <c r="I1917" t="s">
        <v>25</v>
      </c>
      <c r="J1917" t="s">
        <v>31</v>
      </c>
      <c r="K1917" t="s">
        <v>20</v>
      </c>
      <c r="L1917">
        <v>10</v>
      </c>
      <c r="M1917">
        <v>0</v>
      </c>
      <c r="N1917">
        <v>0</v>
      </c>
      <c r="O1917" t="s">
        <v>27</v>
      </c>
      <c r="P1917" t="str">
        <f>TEXT(Table1[[#This Row],[order_date]],"yyyy-mm")</f>
        <v>2025-09</v>
      </c>
      <c r="Q1917">
        <f>WEEKNUM(Table1[[#This Row],[order_date]])</f>
        <v>38</v>
      </c>
      <c r="R1917">
        <f>IF(Table1[[#This Row],[order_status]]="completed",1,0)</f>
        <v>0</v>
      </c>
    </row>
    <row r="1918" spans="1:18" x14ac:dyDescent="0.35">
      <c r="A1918">
        <v>1917</v>
      </c>
      <c r="B1918" s="1">
        <v>45927</v>
      </c>
      <c r="C1918">
        <v>1217</v>
      </c>
      <c r="D1918" t="s">
        <v>15</v>
      </c>
      <c r="E1918" t="s">
        <v>36</v>
      </c>
      <c r="F1918" t="s">
        <v>17</v>
      </c>
      <c r="G1918">
        <v>3</v>
      </c>
      <c r="H1918">
        <v>4851</v>
      </c>
      <c r="I1918" t="s">
        <v>35</v>
      </c>
      <c r="J1918" t="s">
        <v>19</v>
      </c>
      <c r="K1918" t="s">
        <v>40</v>
      </c>
      <c r="L1918">
        <v>9</v>
      </c>
      <c r="M1918">
        <v>0</v>
      </c>
      <c r="N1918">
        <v>0</v>
      </c>
      <c r="O1918" t="s">
        <v>21</v>
      </c>
      <c r="P1918" t="str">
        <f>TEXT(Table1[[#This Row],[order_date]],"yyyy-mm")</f>
        <v>2025-09</v>
      </c>
      <c r="Q1918">
        <f>WEEKNUM(Table1[[#This Row],[order_date]])</f>
        <v>39</v>
      </c>
      <c r="R1918">
        <f>IF(Table1[[#This Row],[order_status]]="completed",1,0)</f>
        <v>1</v>
      </c>
    </row>
    <row r="1919" spans="1:18" x14ac:dyDescent="0.35">
      <c r="A1919">
        <v>1918</v>
      </c>
      <c r="B1919" s="1">
        <v>45922</v>
      </c>
      <c r="C1919">
        <v>1807</v>
      </c>
      <c r="D1919" t="s">
        <v>41</v>
      </c>
      <c r="E1919" t="s">
        <v>33</v>
      </c>
      <c r="F1919" t="s">
        <v>17</v>
      </c>
      <c r="G1919">
        <v>5</v>
      </c>
      <c r="H1919">
        <v>6095</v>
      </c>
      <c r="I1919" t="s">
        <v>39</v>
      </c>
      <c r="J1919" t="s">
        <v>19</v>
      </c>
      <c r="K1919" t="s">
        <v>38</v>
      </c>
      <c r="L1919">
        <v>1</v>
      </c>
      <c r="M1919">
        <v>1</v>
      </c>
      <c r="N1919">
        <v>0</v>
      </c>
      <c r="O1919" t="s">
        <v>21</v>
      </c>
      <c r="P1919" t="str">
        <f>TEXT(Table1[[#This Row],[order_date]],"yyyy-mm")</f>
        <v>2025-09</v>
      </c>
      <c r="Q1919">
        <f>WEEKNUM(Table1[[#This Row],[order_date]])</f>
        <v>39</v>
      </c>
      <c r="R1919">
        <f>IF(Table1[[#This Row],[order_status]]="completed",1,0)</f>
        <v>1</v>
      </c>
    </row>
    <row r="1920" spans="1:18" x14ac:dyDescent="0.35">
      <c r="A1920">
        <v>1919</v>
      </c>
      <c r="B1920" s="1">
        <v>45945</v>
      </c>
      <c r="C1920">
        <v>1103</v>
      </c>
      <c r="D1920" t="s">
        <v>15</v>
      </c>
      <c r="E1920" t="s">
        <v>23</v>
      </c>
      <c r="F1920" t="s">
        <v>17</v>
      </c>
      <c r="G1920">
        <v>4</v>
      </c>
      <c r="H1920">
        <v>0</v>
      </c>
      <c r="I1920" t="s">
        <v>39</v>
      </c>
      <c r="J1920" t="s">
        <v>37</v>
      </c>
      <c r="K1920" t="s">
        <v>20</v>
      </c>
      <c r="L1920">
        <v>7</v>
      </c>
      <c r="M1920">
        <v>1</v>
      </c>
      <c r="N1920">
        <v>1</v>
      </c>
      <c r="O1920" t="s">
        <v>27</v>
      </c>
      <c r="P1920" t="str">
        <f>TEXT(Table1[[#This Row],[order_date]],"yyyy-mm")</f>
        <v>2025-10</v>
      </c>
      <c r="Q1920">
        <f>WEEKNUM(Table1[[#This Row],[order_date]])</f>
        <v>42</v>
      </c>
      <c r="R1920">
        <f>IF(Table1[[#This Row],[order_status]]="completed",1,0)</f>
        <v>0</v>
      </c>
    </row>
    <row r="1921" spans="1:18" x14ac:dyDescent="0.35">
      <c r="A1921">
        <v>1920</v>
      </c>
      <c r="B1921" s="1">
        <v>45925</v>
      </c>
      <c r="C1921">
        <v>1236</v>
      </c>
      <c r="D1921" t="s">
        <v>41</v>
      </c>
      <c r="E1921" t="s">
        <v>23</v>
      </c>
      <c r="F1921" t="s">
        <v>24</v>
      </c>
      <c r="G1921">
        <v>2</v>
      </c>
      <c r="H1921">
        <v>0</v>
      </c>
      <c r="I1921" t="s">
        <v>39</v>
      </c>
      <c r="J1921" t="s">
        <v>31</v>
      </c>
      <c r="K1921" t="s">
        <v>26</v>
      </c>
      <c r="L1921">
        <v>5</v>
      </c>
      <c r="M1921">
        <v>0</v>
      </c>
      <c r="N1921">
        <v>1</v>
      </c>
      <c r="O1921" t="s">
        <v>27</v>
      </c>
      <c r="P1921" t="str">
        <f>TEXT(Table1[[#This Row],[order_date]],"yyyy-mm")</f>
        <v>2025-09</v>
      </c>
      <c r="Q1921">
        <f>WEEKNUM(Table1[[#This Row],[order_date]])</f>
        <v>39</v>
      </c>
      <c r="R1921">
        <f>IF(Table1[[#This Row],[order_status]]="completed",1,0)</f>
        <v>0</v>
      </c>
    </row>
    <row r="1922" spans="1:18" x14ac:dyDescent="0.35">
      <c r="A1922">
        <v>1921</v>
      </c>
      <c r="B1922" s="1">
        <v>45954</v>
      </c>
      <c r="C1922">
        <v>1919</v>
      </c>
      <c r="D1922" t="s">
        <v>15</v>
      </c>
      <c r="E1922" t="s">
        <v>33</v>
      </c>
      <c r="F1922" t="s">
        <v>30</v>
      </c>
      <c r="G1922">
        <v>2</v>
      </c>
      <c r="H1922">
        <v>1712</v>
      </c>
      <c r="I1922" t="s">
        <v>39</v>
      </c>
      <c r="J1922" t="s">
        <v>19</v>
      </c>
      <c r="K1922" t="s">
        <v>40</v>
      </c>
      <c r="L1922">
        <v>6</v>
      </c>
      <c r="M1922">
        <v>1</v>
      </c>
      <c r="N1922">
        <v>1</v>
      </c>
      <c r="O1922" t="s">
        <v>21</v>
      </c>
      <c r="P1922" t="str">
        <f>TEXT(Table1[[#This Row],[order_date]],"yyyy-mm")</f>
        <v>2025-10</v>
      </c>
      <c r="Q1922">
        <f>WEEKNUM(Table1[[#This Row],[order_date]])</f>
        <v>43</v>
      </c>
      <c r="R1922">
        <f>IF(Table1[[#This Row],[order_status]]="completed",1,0)</f>
        <v>1</v>
      </c>
    </row>
    <row r="1923" spans="1:18" x14ac:dyDescent="0.35">
      <c r="A1923">
        <v>1922</v>
      </c>
      <c r="B1923" s="1">
        <v>45964</v>
      </c>
      <c r="C1923">
        <v>1580</v>
      </c>
      <c r="D1923" t="s">
        <v>28</v>
      </c>
      <c r="E1923" t="s">
        <v>36</v>
      </c>
      <c r="F1923" t="s">
        <v>30</v>
      </c>
      <c r="G1923">
        <v>5</v>
      </c>
      <c r="H1923">
        <v>2800</v>
      </c>
      <c r="I1923" t="s">
        <v>18</v>
      </c>
      <c r="J1923" t="s">
        <v>19</v>
      </c>
      <c r="K1923" t="s">
        <v>20</v>
      </c>
      <c r="L1923">
        <v>6</v>
      </c>
      <c r="M1923">
        <v>0</v>
      </c>
      <c r="N1923">
        <v>1</v>
      </c>
      <c r="O1923" t="s">
        <v>21</v>
      </c>
      <c r="P1923" t="str">
        <f>TEXT(Table1[[#This Row],[order_date]],"yyyy-mm")</f>
        <v>2025-11</v>
      </c>
      <c r="Q1923">
        <f>WEEKNUM(Table1[[#This Row],[order_date]])</f>
        <v>45</v>
      </c>
      <c r="R1923">
        <f>IF(Table1[[#This Row],[order_status]]="completed",1,0)</f>
        <v>1</v>
      </c>
    </row>
    <row r="1924" spans="1:18" x14ac:dyDescent="0.35">
      <c r="A1924">
        <v>1923</v>
      </c>
      <c r="B1924" s="1">
        <v>46029</v>
      </c>
      <c r="C1924">
        <v>1904</v>
      </c>
      <c r="D1924" t="s">
        <v>15</v>
      </c>
      <c r="E1924" t="s">
        <v>36</v>
      </c>
      <c r="F1924" t="s">
        <v>17</v>
      </c>
      <c r="G1924">
        <v>1</v>
      </c>
      <c r="H1924">
        <v>0</v>
      </c>
      <c r="I1924" t="s">
        <v>35</v>
      </c>
      <c r="J1924" t="s">
        <v>37</v>
      </c>
      <c r="K1924" t="s">
        <v>26</v>
      </c>
      <c r="L1924">
        <v>10</v>
      </c>
      <c r="M1924">
        <v>1</v>
      </c>
      <c r="N1924">
        <v>0</v>
      </c>
      <c r="O1924" t="s">
        <v>27</v>
      </c>
      <c r="P1924" t="str">
        <f>TEXT(Table1[[#This Row],[order_date]],"yyyy-mm")</f>
        <v>2026-01</v>
      </c>
      <c r="Q1924">
        <f>WEEKNUM(Table1[[#This Row],[order_date]])</f>
        <v>2</v>
      </c>
      <c r="R1924">
        <f>IF(Table1[[#This Row],[order_status]]="completed",1,0)</f>
        <v>0</v>
      </c>
    </row>
    <row r="1925" spans="1:18" x14ac:dyDescent="0.35">
      <c r="A1925">
        <v>1924</v>
      </c>
      <c r="B1925" s="1">
        <v>45915</v>
      </c>
      <c r="C1925">
        <v>1366</v>
      </c>
      <c r="D1925" t="s">
        <v>22</v>
      </c>
      <c r="E1925" t="s">
        <v>23</v>
      </c>
      <c r="F1925" t="s">
        <v>34</v>
      </c>
      <c r="G1925">
        <v>1</v>
      </c>
      <c r="H1925">
        <v>2123</v>
      </c>
      <c r="I1925" t="s">
        <v>35</v>
      </c>
      <c r="J1925" t="s">
        <v>19</v>
      </c>
      <c r="K1925" t="s">
        <v>40</v>
      </c>
      <c r="L1925">
        <v>4</v>
      </c>
      <c r="M1925">
        <v>0</v>
      </c>
      <c r="N1925">
        <v>0</v>
      </c>
      <c r="O1925" t="s">
        <v>21</v>
      </c>
      <c r="P1925" t="str">
        <f>TEXT(Table1[[#This Row],[order_date]],"yyyy-mm")</f>
        <v>2025-09</v>
      </c>
      <c r="Q1925">
        <f>WEEKNUM(Table1[[#This Row],[order_date]])</f>
        <v>38</v>
      </c>
      <c r="R1925">
        <f>IF(Table1[[#This Row],[order_status]]="completed",1,0)</f>
        <v>1</v>
      </c>
    </row>
    <row r="1926" spans="1:18" x14ac:dyDescent="0.35">
      <c r="A1926">
        <v>1925</v>
      </c>
      <c r="B1926" s="1">
        <v>45967</v>
      </c>
      <c r="C1926">
        <v>1576</v>
      </c>
      <c r="D1926" t="s">
        <v>32</v>
      </c>
      <c r="E1926" t="s">
        <v>23</v>
      </c>
      <c r="F1926" t="s">
        <v>17</v>
      </c>
      <c r="G1926">
        <v>1</v>
      </c>
      <c r="H1926">
        <v>0</v>
      </c>
      <c r="I1926" t="s">
        <v>39</v>
      </c>
      <c r="J1926" t="s">
        <v>37</v>
      </c>
      <c r="K1926" t="s">
        <v>40</v>
      </c>
      <c r="L1926">
        <v>8</v>
      </c>
      <c r="M1926">
        <v>1</v>
      </c>
      <c r="N1926">
        <v>1</v>
      </c>
      <c r="O1926" t="s">
        <v>21</v>
      </c>
      <c r="P1926" t="str">
        <f>TEXT(Table1[[#This Row],[order_date]],"yyyy-mm")</f>
        <v>2025-11</v>
      </c>
      <c r="Q1926">
        <f>WEEKNUM(Table1[[#This Row],[order_date]])</f>
        <v>45</v>
      </c>
      <c r="R1926">
        <f>IF(Table1[[#This Row],[order_status]]="completed",1,0)</f>
        <v>0</v>
      </c>
    </row>
    <row r="1927" spans="1:18" x14ac:dyDescent="0.35">
      <c r="A1927">
        <v>1926</v>
      </c>
      <c r="B1927" s="1">
        <v>45857</v>
      </c>
      <c r="C1927">
        <v>1819</v>
      </c>
      <c r="D1927" t="s">
        <v>15</v>
      </c>
      <c r="E1927" t="s">
        <v>23</v>
      </c>
      <c r="F1927" t="s">
        <v>30</v>
      </c>
      <c r="G1927">
        <v>1</v>
      </c>
      <c r="H1927">
        <v>0</v>
      </c>
      <c r="I1927" t="s">
        <v>39</v>
      </c>
      <c r="J1927" t="s">
        <v>31</v>
      </c>
      <c r="K1927" t="s">
        <v>26</v>
      </c>
      <c r="L1927">
        <v>7</v>
      </c>
      <c r="M1927">
        <v>0</v>
      </c>
      <c r="N1927">
        <v>1</v>
      </c>
      <c r="O1927" t="s">
        <v>21</v>
      </c>
      <c r="P1927" t="str">
        <f>TEXT(Table1[[#This Row],[order_date]],"yyyy-mm")</f>
        <v>2025-07</v>
      </c>
      <c r="Q1927">
        <f>WEEKNUM(Table1[[#This Row],[order_date]])</f>
        <v>29</v>
      </c>
      <c r="R1927">
        <f>IF(Table1[[#This Row],[order_status]]="completed",1,0)</f>
        <v>0</v>
      </c>
    </row>
    <row r="1928" spans="1:18" x14ac:dyDescent="0.35">
      <c r="A1928">
        <v>1927</v>
      </c>
      <c r="B1928" s="1">
        <v>45916</v>
      </c>
      <c r="C1928">
        <v>1919</v>
      </c>
      <c r="D1928" t="s">
        <v>32</v>
      </c>
      <c r="E1928" t="s">
        <v>36</v>
      </c>
      <c r="F1928" t="s">
        <v>17</v>
      </c>
      <c r="G1928">
        <v>4</v>
      </c>
      <c r="H1928">
        <v>0</v>
      </c>
      <c r="I1928" t="s">
        <v>25</v>
      </c>
      <c r="J1928" t="s">
        <v>37</v>
      </c>
      <c r="K1928" t="s">
        <v>40</v>
      </c>
      <c r="L1928">
        <v>10</v>
      </c>
      <c r="M1928">
        <v>1</v>
      </c>
      <c r="N1928">
        <v>0</v>
      </c>
      <c r="O1928" t="s">
        <v>27</v>
      </c>
      <c r="P1928" t="str">
        <f>TEXT(Table1[[#This Row],[order_date]],"yyyy-mm")</f>
        <v>2025-09</v>
      </c>
      <c r="Q1928">
        <f>WEEKNUM(Table1[[#This Row],[order_date]])</f>
        <v>38</v>
      </c>
      <c r="R1928">
        <f>IF(Table1[[#This Row],[order_status]]="completed",1,0)</f>
        <v>0</v>
      </c>
    </row>
    <row r="1929" spans="1:18" x14ac:dyDescent="0.35">
      <c r="A1929">
        <v>1928</v>
      </c>
      <c r="B1929" s="1">
        <v>45944</v>
      </c>
      <c r="C1929">
        <v>1649</v>
      </c>
      <c r="D1929" t="s">
        <v>15</v>
      </c>
      <c r="E1929" t="s">
        <v>23</v>
      </c>
      <c r="F1929" t="s">
        <v>24</v>
      </c>
      <c r="G1929">
        <v>5</v>
      </c>
      <c r="H1929">
        <v>0</v>
      </c>
      <c r="I1929" t="s">
        <v>18</v>
      </c>
      <c r="J1929" t="s">
        <v>31</v>
      </c>
      <c r="K1929" t="s">
        <v>40</v>
      </c>
      <c r="L1929">
        <v>2</v>
      </c>
      <c r="M1929">
        <v>1</v>
      </c>
      <c r="N1929">
        <v>1</v>
      </c>
      <c r="O1929" t="s">
        <v>21</v>
      </c>
      <c r="P1929" t="str">
        <f>TEXT(Table1[[#This Row],[order_date]],"yyyy-mm")</f>
        <v>2025-10</v>
      </c>
      <c r="Q1929">
        <f>WEEKNUM(Table1[[#This Row],[order_date]])</f>
        <v>42</v>
      </c>
      <c r="R1929">
        <f>IF(Table1[[#This Row],[order_status]]="completed",1,0)</f>
        <v>0</v>
      </c>
    </row>
    <row r="1930" spans="1:18" x14ac:dyDescent="0.35">
      <c r="A1930">
        <v>1929</v>
      </c>
      <c r="B1930" s="1">
        <v>45854</v>
      </c>
      <c r="C1930">
        <v>1436</v>
      </c>
      <c r="D1930" t="s">
        <v>15</v>
      </c>
      <c r="E1930" t="s">
        <v>29</v>
      </c>
      <c r="F1930" t="s">
        <v>34</v>
      </c>
      <c r="G1930">
        <v>1</v>
      </c>
      <c r="H1930">
        <v>0</v>
      </c>
      <c r="I1930" t="s">
        <v>25</v>
      </c>
      <c r="J1930" t="s">
        <v>37</v>
      </c>
      <c r="K1930" t="s">
        <v>26</v>
      </c>
      <c r="L1930">
        <v>8</v>
      </c>
      <c r="M1930">
        <v>1</v>
      </c>
      <c r="N1930">
        <v>1</v>
      </c>
      <c r="O1930" t="s">
        <v>27</v>
      </c>
      <c r="P1930" t="str">
        <f>TEXT(Table1[[#This Row],[order_date]],"yyyy-mm")</f>
        <v>2025-07</v>
      </c>
      <c r="Q1930">
        <f>WEEKNUM(Table1[[#This Row],[order_date]])</f>
        <v>29</v>
      </c>
      <c r="R1930">
        <f>IF(Table1[[#This Row],[order_status]]="completed",1,0)</f>
        <v>0</v>
      </c>
    </row>
    <row r="1931" spans="1:18" x14ac:dyDescent="0.35">
      <c r="A1931">
        <v>1930</v>
      </c>
      <c r="B1931" s="1">
        <v>45974</v>
      </c>
      <c r="C1931">
        <v>1748</v>
      </c>
      <c r="D1931" t="s">
        <v>22</v>
      </c>
      <c r="E1931" t="s">
        <v>23</v>
      </c>
      <c r="F1931" t="s">
        <v>34</v>
      </c>
      <c r="G1931">
        <v>5</v>
      </c>
      <c r="H1931">
        <v>0</v>
      </c>
      <c r="I1931" t="s">
        <v>35</v>
      </c>
      <c r="J1931" t="s">
        <v>37</v>
      </c>
      <c r="K1931" t="s">
        <v>20</v>
      </c>
      <c r="L1931">
        <v>4</v>
      </c>
      <c r="M1931">
        <v>0</v>
      </c>
      <c r="N1931">
        <v>0</v>
      </c>
      <c r="O1931" t="s">
        <v>21</v>
      </c>
      <c r="P1931" t="str">
        <f>TEXT(Table1[[#This Row],[order_date]],"yyyy-mm")</f>
        <v>2025-11</v>
      </c>
      <c r="Q1931">
        <f>WEEKNUM(Table1[[#This Row],[order_date]])</f>
        <v>46</v>
      </c>
      <c r="R1931">
        <f>IF(Table1[[#This Row],[order_status]]="completed",1,0)</f>
        <v>0</v>
      </c>
    </row>
    <row r="1932" spans="1:18" x14ac:dyDescent="0.35">
      <c r="A1932">
        <v>1931</v>
      </c>
      <c r="B1932" s="1">
        <v>45915</v>
      </c>
      <c r="C1932">
        <v>1390</v>
      </c>
      <c r="D1932" t="s">
        <v>41</v>
      </c>
      <c r="E1932" t="s">
        <v>33</v>
      </c>
      <c r="F1932" t="s">
        <v>17</v>
      </c>
      <c r="G1932">
        <v>2</v>
      </c>
      <c r="H1932">
        <v>0</v>
      </c>
      <c r="I1932" t="s">
        <v>35</v>
      </c>
      <c r="J1932" t="s">
        <v>37</v>
      </c>
      <c r="K1932" t="s">
        <v>26</v>
      </c>
      <c r="L1932">
        <v>3</v>
      </c>
      <c r="M1932">
        <v>1</v>
      </c>
      <c r="N1932">
        <v>1</v>
      </c>
      <c r="O1932" t="s">
        <v>27</v>
      </c>
      <c r="P1932" t="str">
        <f>TEXT(Table1[[#This Row],[order_date]],"yyyy-mm")</f>
        <v>2025-09</v>
      </c>
      <c r="Q1932">
        <f>WEEKNUM(Table1[[#This Row],[order_date]])</f>
        <v>38</v>
      </c>
      <c r="R1932">
        <f>IF(Table1[[#This Row],[order_status]]="completed",1,0)</f>
        <v>0</v>
      </c>
    </row>
    <row r="1933" spans="1:18" x14ac:dyDescent="0.35">
      <c r="A1933">
        <v>1932</v>
      </c>
      <c r="B1933" s="1">
        <v>45918</v>
      </c>
      <c r="C1933">
        <v>1473</v>
      </c>
      <c r="D1933" t="s">
        <v>28</v>
      </c>
      <c r="E1933" t="s">
        <v>33</v>
      </c>
      <c r="F1933" t="s">
        <v>30</v>
      </c>
      <c r="G1933">
        <v>3</v>
      </c>
      <c r="H1933">
        <v>5106</v>
      </c>
      <c r="I1933" t="s">
        <v>25</v>
      </c>
      <c r="J1933" t="s">
        <v>19</v>
      </c>
      <c r="K1933" t="s">
        <v>20</v>
      </c>
      <c r="L1933">
        <v>1</v>
      </c>
      <c r="M1933">
        <v>0</v>
      </c>
      <c r="N1933">
        <v>1</v>
      </c>
      <c r="O1933" t="s">
        <v>21</v>
      </c>
      <c r="P1933" t="str">
        <f>TEXT(Table1[[#This Row],[order_date]],"yyyy-mm")</f>
        <v>2025-09</v>
      </c>
      <c r="Q1933">
        <f>WEEKNUM(Table1[[#This Row],[order_date]])</f>
        <v>38</v>
      </c>
      <c r="R1933">
        <f>IF(Table1[[#This Row],[order_status]]="completed",1,0)</f>
        <v>1</v>
      </c>
    </row>
    <row r="1934" spans="1:18" x14ac:dyDescent="0.35">
      <c r="A1934">
        <v>1933</v>
      </c>
      <c r="B1934" s="1">
        <v>45961</v>
      </c>
      <c r="C1934">
        <v>1010</v>
      </c>
      <c r="D1934" t="s">
        <v>28</v>
      </c>
      <c r="E1934" t="s">
        <v>33</v>
      </c>
      <c r="F1934" t="s">
        <v>24</v>
      </c>
      <c r="G1934">
        <v>3</v>
      </c>
      <c r="H1934">
        <v>0</v>
      </c>
      <c r="I1934" t="s">
        <v>39</v>
      </c>
      <c r="J1934" t="s">
        <v>31</v>
      </c>
      <c r="K1934" t="s">
        <v>20</v>
      </c>
      <c r="L1934">
        <v>5</v>
      </c>
      <c r="M1934">
        <v>0</v>
      </c>
      <c r="N1934">
        <v>0</v>
      </c>
      <c r="O1934" t="s">
        <v>21</v>
      </c>
      <c r="P1934" t="str">
        <f>TEXT(Table1[[#This Row],[order_date]],"yyyy-mm")</f>
        <v>2025-10</v>
      </c>
      <c r="Q1934">
        <f>WEEKNUM(Table1[[#This Row],[order_date]])</f>
        <v>44</v>
      </c>
      <c r="R1934">
        <f>IF(Table1[[#This Row],[order_status]]="completed",1,0)</f>
        <v>0</v>
      </c>
    </row>
    <row r="1935" spans="1:18" x14ac:dyDescent="0.35">
      <c r="A1935">
        <v>1934</v>
      </c>
      <c r="B1935" s="1">
        <v>45984</v>
      </c>
      <c r="C1935">
        <v>1036</v>
      </c>
      <c r="D1935" t="s">
        <v>41</v>
      </c>
      <c r="E1935" t="s">
        <v>33</v>
      </c>
      <c r="F1935" t="s">
        <v>17</v>
      </c>
      <c r="G1935">
        <v>2</v>
      </c>
      <c r="H1935">
        <v>2976</v>
      </c>
      <c r="I1935" t="s">
        <v>25</v>
      </c>
      <c r="J1935" t="s">
        <v>19</v>
      </c>
      <c r="K1935" t="s">
        <v>20</v>
      </c>
      <c r="L1935">
        <v>7</v>
      </c>
      <c r="M1935">
        <v>0</v>
      </c>
      <c r="N1935">
        <v>1</v>
      </c>
      <c r="O1935" t="s">
        <v>27</v>
      </c>
      <c r="P1935" t="str">
        <f>TEXT(Table1[[#This Row],[order_date]],"yyyy-mm")</f>
        <v>2025-11</v>
      </c>
      <c r="Q1935">
        <f>WEEKNUM(Table1[[#This Row],[order_date]])</f>
        <v>48</v>
      </c>
      <c r="R1935">
        <f>IF(Table1[[#This Row],[order_status]]="completed",1,0)</f>
        <v>1</v>
      </c>
    </row>
    <row r="1936" spans="1:18" x14ac:dyDescent="0.35">
      <c r="A1936">
        <v>1935</v>
      </c>
      <c r="B1936" s="1">
        <v>45907</v>
      </c>
      <c r="C1936">
        <v>1666</v>
      </c>
      <c r="D1936" t="s">
        <v>32</v>
      </c>
      <c r="E1936" t="s">
        <v>33</v>
      </c>
      <c r="F1936" t="s">
        <v>17</v>
      </c>
      <c r="G1936">
        <v>2</v>
      </c>
      <c r="H1936">
        <v>0</v>
      </c>
      <c r="I1936" t="s">
        <v>25</v>
      </c>
      <c r="J1936" t="s">
        <v>37</v>
      </c>
      <c r="K1936" t="s">
        <v>20</v>
      </c>
      <c r="L1936">
        <v>5</v>
      </c>
      <c r="M1936">
        <v>1</v>
      </c>
      <c r="N1936">
        <v>0</v>
      </c>
      <c r="O1936" t="s">
        <v>21</v>
      </c>
      <c r="P1936" t="str">
        <f>TEXT(Table1[[#This Row],[order_date]],"yyyy-mm")</f>
        <v>2025-09</v>
      </c>
      <c r="Q1936">
        <f>WEEKNUM(Table1[[#This Row],[order_date]])</f>
        <v>37</v>
      </c>
      <c r="R1936">
        <f>IF(Table1[[#This Row],[order_status]]="completed",1,0)</f>
        <v>0</v>
      </c>
    </row>
    <row r="1937" spans="1:18" x14ac:dyDescent="0.35">
      <c r="A1937">
        <v>1936</v>
      </c>
      <c r="B1937" s="1">
        <v>45970</v>
      </c>
      <c r="C1937">
        <v>1858</v>
      </c>
      <c r="D1937" t="s">
        <v>32</v>
      </c>
      <c r="E1937" t="s">
        <v>23</v>
      </c>
      <c r="F1937" t="s">
        <v>30</v>
      </c>
      <c r="G1937">
        <v>5</v>
      </c>
      <c r="H1937">
        <v>0</v>
      </c>
      <c r="I1937" t="s">
        <v>35</v>
      </c>
      <c r="J1937" t="s">
        <v>31</v>
      </c>
      <c r="K1937" t="s">
        <v>20</v>
      </c>
      <c r="L1937">
        <v>4</v>
      </c>
      <c r="M1937">
        <v>1</v>
      </c>
      <c r="N1937">
        <v>0</v>
      </c>
      <c r="O1937" t="s">
        <v>21</v>
      </c>
      <c r="P1937" t="str">
        <f>TEXT(Table1[[#This Row],[order_date]],"yyyy-mm")</f>
        <v>2025-11</v>
      </c>
      <c r="Q1937">
        <f>WEEKNUM(Table1[[#This Row],[order_date]])</f>
        <v>46</v>
      </c>
      <c r="R1937">
        <f>IF(Table1[[#This Row],[order_status]]="completed",1,0)</f>
        <v>0</v>
      </c>
    </row>
    <row r="1938" spans="1:18" x14ac:dyDescent="0.35">
      <c r="A1938">
        <v>1937</v>
      </c>
      <c r="B1938" s="1">
        <v>46023</v>
      </c>
      <c r="C1938">
        <v>1815</v>
      </c>
      <c r="D1938" t="s">
        <v>28</v>
      </c>
      <c r="E1938" t="s">
        <v>16</v>
      </c>
      <c r="F1938" t="s">
        <v>24</v>
      </c>
      <c r="G1938">
        <v>1</v>
      </c>
      <c r="H1938">
        <v>3179</v>
      </c>
      <c r="I1938" t="s">
        <v>25</v>
      </c>
      <c r="J1938" t="s">
        <v>19</v>
      </c>
      <c r="K1938" t="s">
        <v>38</v>
      </c>
      <c r="L1938">
        <v>7</v>
      </c>
      <c r="M1938">
        <v>1</v>
      </c>
      <c r="N1938">
        <v>0</v>
      </c>
      <c r="O1938" t="s">
        <v>21</v>
      </c>
      <c r="P1938" t="str">
        <f>TEXT(Table1[[#This Row],[order_date]],"yyyy-mm")</f>
        <v>2026-01</v>
      </c>
      <c r="Q1938">
        <f>WEEKNUM(Table1[[#This Row],[order_date]])</f>
        <v>1</v>
      </c>
      <c r="R1938">
        <f>IF(Table1[[#This Row],[order_status]]="completed",1,0)</f>
        <v>1</v>
      </c>
    </row>
    <row r="1939" spans="1:18" x14ac:dyDescent="0.35">
      <c r="A1939">
        <v>1938</v>
      </c>
      <c r="B1939" s="1">
        <v>45931</v>
      </c>
      <c r="C1939">
        <v>1704</v>
      </c>
      <c r="D1939" t="s">
        <v>28</v>
      </c>
      <c r="E1939" t="s">
        <v>23</v>
      </c>
      <c r="F1939" t="s">
        <v>24</v>
      </c>
      <c r="G1939">
        <v>2</v>
      </c>
      <c r="H1939">
        <v>1100</v>
      </c>
      <c r="I1939" t="s">
        <v>25</v>
      </c>
      <c r="J1939" t="s">
        <v>19</v>
      </c>
      <c r="K1939" t="s">
        <v>40</v>
      </c>
      <c r="L1939">
        <v>6</v>
      </c>
      <c r="M1939">
        <v>0</v>
      </c>
      <c r="N1939">
        <v>1</v>
      </c>
      <c r="O1939" t="s">
        <v>21</v>
      </c>
      <c r="P1939" t="str">
        <f>TEXT(Table1[[#This Row],[order_date]],"yyyy-mm")</f>
        <v>2025-10</v>
      </c>
      <c r="Q1939">
        <f>WEEKNUM(Table1[[#This Row],[order_date]])</f>
        <v>40</v>
      </c>
      <c r="R1939">
        <f>IF(Table1[[#This Row],[order_status]]="completed",1,0)</f>
        <v>1</v>
      </c>
    </row>
    <row r="1940" spans="1:18" x14ac:dyDescent="0.35">
      <c r="A1940">
        <v>1939</v>
      </c>
      <c r="B1940" s="1">
        <v>46014</v>
      </c>
      <c r="C1940">
        <v>1889</v>
      </c>
      <c r="D1940" t="s">
        <v>15</v>
      </c>
      <c r="E1940" t="s">
        <v>36</v>
      </c>
      <c r="F1940" t="s">
        <v>24</v>
      </c>
      <c r="G1940">
        <v>3</v>
      </c>
      <c r="H1940">
        <v>0</v>
      </c>
      <c r="I1940" t="s">
        <v>39</v>
      </c>
      <c r="J1940" t="s">
        <v>37</v>
      </c>
      <c r="K1940" t="s">
        <v>38</v>
      </c>
      <c r="L1940">
        <v>6</v>
      </c>
      <c r="M1940">
        <v>1</v>
      </c>
      <c r="N1940">
        <v>1</v>
      </c>
      <c r="O1940" t="s">
        <v>21</v>
      </c>
      <c r="P1940" t="str">
        <f>TEXT(Table1[[#This Row],[order_date]],"yyyy-mm")</f>
        <v>2025-12</v>
      </c>
      <c r="Q1940">
        <f>WEEKNUM(Table1[[#This Row],[order_date]])</f>
        <v>52</v>
      </c>
      <c r="R1940">
        <f>IF(Table1[[#This Row],[order_status]]="completed",1,0)</f>
        <v>0</v>
      </c>
    </row>
    <row r="1941" spans="1:18" x14ac:dyDescent="0.35">
      <c r="A1941">
        <v>1940</v>
      </c>
      <c r="B1941" s="1">
        <v>46016</v>
      </c>
      <c r="C1941">
        <v>1008</v>
      </c>
      <c r="D1941" t="s">
        <v>15</v>
      </c>
      <c r="E1941" t="s">
        <v>29</v>
      </c>
      <c r="F1941" t="s">
        <v>24</v>
      </c>
      <c r="G1941">
        <v>2</v>
      </c>
      <c r="H1941">
        <v>0</v>
      </c>
      <c r="I1941" t="s">
        <v>35</v>
      </c>
      <c r="J1941" t="s">
        <v>37</v>
      </c>
      <c r="K1941" t="s">
        <v>40</v>
      </c>
      <c r="L1941">
        <v>6</v>
      </c>
      <c r="M1941">
        <v>0</v>
      </c>
      <c r="N1941">
        <v>1</v>
      </c>
      <c r="O1941" t="s">
        <v>21</v>
      </c>
      <c r="P1941" t="str">
        <f>TEXT(Table1[[#This Row],[order_date]],"yyyy-mm")</f>
        <v>2025-12</v>
      </c>
      <c r="Q1941">
        <f>WEEKNUM(Table1[[#This Row],[order_date]])</f>
        <v>52</v>
      </c>
      <c r="R1941">
        <f>IF(Table1[[#This Row],[order_status]]="completed",1,0)</f>
        <v>0</v>
      </c>
    </row>
    <row r="1942" spans="1:18" x14ac:dyDescent="0.35">
      <c r="A1942">
        <v>1941</v>
      </c>
      <c r="B1942" s="1">
        <v>45886</v>
      </c>
      <c r="C1942">
        <v>1282</v>
      </c>
      <c r="D1942" t="s">
        <v>22</v>
      </c>
      <c r="E1942" t="s">
        <v>36</v>
      </c>
      <c r="F1942" t="s">
        <v>17</v>
      </c>
      <c r="G1942">
        <v>3</v>
      </c>
      <c r="H1942">
        <v>0</v>
      </c>
      <c r="I1942" t="s">
        <v>18</v>
      </c>
      <c r="J1942" t="s">
        <v>31</v>
      </c>
      <c r="K1942" t="s">
        <v>20</v>
      </c>
      <c r="L1942">
        <v>4</v>
      </c>
      <c r="M1942">
        <v>1</v>
      </c>
      <c r="N1942">
        <v>1</v>
      </c>
      <c r="O1942" t="s">
        <v>21</v>
      </c>
      <c r="P1942" t="str">
        <f>TEXT(Table1[[#This Row],[order_date]],"yyyy-mm")</f>
        <v>2025-08</v>
      </c>
      <c r="Q1942">
        <f>WEEKNUM(Table1[[#This Row],[order_date]])</f>
        <v>34</v>
      </c>
      <c r="R1942">
        <f>IF(Table1[[#This Row],[order_status]]="completed",1,0)</f>
        <v>0</v>
      </c>
    </row>
    <row r="1943" spans="1:18" x14ac:dyDescent="0.35">
      <c r="A1943">
        <v>1942</v>
      </c>
      <c r="B1943" s="1">
        <v>45858</v>
      </c>
      <c r="C1943">
        <v>1268</v>
      </c>
      <c r="D1943" t="s">
        <v>28</v>
      </c>
      <c r="E1943" t="s">
        <v>23</v>
      </c>
      <c r="F1943" t="s">
        <v>24</v>
      </c>
      <c r="G1943">
        <v>5</v>
      </c>
      <c r="H1943">
        <v>0</v>
      </c>
      <c r="I1943" t="s">
        <v>18</v>
      </c>
      <c r="J1943" t="s">
        <v>31</v>
      </c>
      <c r="K1943" t="s">
        <v>26</v>
      </c>
      <c r="L1943">
        <v>8</v>
      </c>
      <c r="M1943">
        <v>0</v>
      </c>
      <c r="N1943">
        <v>1</v>
      </c>
      <c r="O1943" t="s">
        <v>21</v>
      </c>
      <c r="P1943" t="str">
        <f>TEXT(Table1[[#This Row],[order_date]],"yyyy-mm")</f>
        <v>2025-07</v>
      </c>
      <c r="Q1943">
        <f>WEEKNUM(Table1[[#This Row],[order_date]])</f>
        <v>30</v>
      </c>
      <c r="R1943">
        <f>IF(Table1[[#This Row],[order_status]]="completed",1,0)</f>
        <v>0</v>
      </c>
    </row>
    <row r="1944" spans="1:18" x14ac:dyDescent="0.35">
      <c r="A1944">
        <v>1943</v>
      </c>
      <c r="B1944" s="1">
        <v>45880</v>
      </c>
      <c r="C1944">
        <v>1350</v>
      </c>
      <c r="D1944" t="s">
        <v>15</v>
      </c>
      <c r="E1944" t="s">
        <v>36</v>
      </c>
      <c r="F1944" t="s">
        <v>34</v>
      </c>
      <c r="G1944">
        <v>3</v>
      </c>
      <c r="H1944">
        <v>12300</v>
      </c>
      <c r="I1944" t="s">
        <v>18</v>
      </c>
      <c r="J1944" t="s">
        <v>19</v>
      </c>
      <c r="K1944" t="s">
        <v>38</v>
      </c>
      <c r="L1944">
        <v>1</v>
      </c>
      <c r="M1944">
        <v>0</v>
      </c>
      <c r="N1944">
        <v>0</v>
      </c>
      <c r="O1944" t="s">
        <v>21</v>
      </c>
      <c r="P1944" t="str">
        <f>TEXT(Table1[[#This Row],[order_date]],"yyyy-mm")</f>
        <v>2025-08</v>
      </c>
      <c r="Q1944">
        <f>WEEKNUM(Table1[[#This Row],[order_date]])</f>
        <v>33</v>
      </c>
      <c r="R1944">
        <f>IF(Table1[[#This Row],[order_status]]="completed",1,0)</f>
        <v>1</v>
      </c>
    </row>
    <row r="1945" spans="1:18" x14ac:dyDescent="0.35">
      <c r="A1945">
        <v>1944</v>
      </c>
      <c r="B1945" s="1">
        <v>45974</v>
      </c>
      <c r="C1945">
        <v>1480</v>
      </c>
      <c r="D1945" t="s">
        <v>15</v>
      </c>
      <c r="E1945" t="s">
        <v>29</v>
      </c>
      <c r="F1945" t="s">
        <v>34</v>
      </c>
      <c r="G1945">
        <v>1</v>
      </c>
      <c r="H1945">
        <v>0</v>
      </c>
      <c r="I1945" t="s">
        <v>25</v>
      </c>
      <c r="J1945" t="s">
        <v>31</v>
      </c>
      <c r="K1945" t="s">
        <v>38</v>
      </c>
      <c r="L1945">
        <v>1</v>
      </c>
      <c r="M1945">
        <v>1</v>
      </c>
      <c r="N1945">
        <v>1</v>
      </c>
      <c r="O1945" t="s">
        <v>21</v>
      </c>
      <c r="P1945" t="str">
        <f>TEXT(Table1[[#This Row],[order_date]],"yyyy-mm")</f>
        <v>2025-11</v>
      </c>
      <c r="Q1945">
        <f>WEEKNUM(Table1[[#This Row],[order_date]])</f>
        <v>46</v>
      </c>
      <c r="R1945">
        <f>IF(Table1[[#This Row],[order_status]]="completed",1,0)</f>
        <v>0</v>
      </c>
    </row>
    <row r="1946" spans="1:18" x14ac:dyDescent="0.35">
      <c r="A1946">
        <v>1945</v>
      </c>
      <c r="B1946" s="1">
        <v>45968</v>
      </c>
      <c r="C1946">
        <v>1793</v>
      </c>
      <c r="D1946" t="s">
        <v>41</v>
      </c>
      <c r="E1946" t="s">
        <v>36</v>
      </c>
      <c r="F1946" t="s">
        <v>30</v>
      </c>
      <c r="G1946">
        <v>5</v>
      </c>
      <c r="H1946">
        <v>0</v>
      </c>
      <c r="I1946" t="s">
        <v>25</v>
      </c>
      <c r="J1946" t="s">
        <v>31</v>
      </c>
      <c r="K1946" t="s">
        <v>26</v>
      </c>
      <c r="L1946">
        <v>7</v>
      </c>
      <c r="M1946">
        <v>0</v>
      </c>
      <c r="N1946">
        <v>0</v>
      </c>
      <c r="O1946" t="s">
        <v>27</v>
      </c>
      <c r="P1946" t="str">
        <f>TEXT(Table1[[#This Row],[order_date]],"yyyy-mm")</f>
        <v>2025-11</v>
      </c>
      <c r="Q1946">
        <f>WEEKNUM(Table1[[#This Row],[order_date]])</f>
        <v>45</v>
      </c>
      <c r="R1946">
        <f>IF(Table1[[#This Row],[order_status]]="completed",1,0)</f>
        <v>0</v>
      </c>
    </row>
    <row r="1947" spans="1:18" x14ac:dyDescent="0.35">
      <c r="A1947">
        <v>1946</v>
      </c>
      <c r="B1947" s="1">
        <v>46008</v>
      </c>
      <c r="C1947">
        <v>1747</v>
      </c>
      <c r="D1947" t="s">
        <v>28</v>
      </c>
      <c r="E1947" t="s">
        <v>16</v>
      </c>
      <c r="F1947" t="s">
        <v>34</v>
      </c>
      <c r="G1947">
        <v>4</v>
      </c>
      <c r="H1947">
        <v>4424</v>
      </c>
      <c r="I1947" t="s">
        <v>18</v>
      </c>
      <c r="J1947" t="s">
        <v>19</v>
      </c>
      <c r="K1947" t="s">
        <v>38</v>
      </c>
      <c r="L1947">
        <v>10</v>
      </c>
      <c r="M1947">
        <v>1</v>
      </c>
      <c r="N1947">
        <v>1</v>
      </c>
      <c r="O1947" t="s">
        <v>27</v>
      </c>
      <c r="P1947" t="str">
        <f>TEXT(Table1[[#This Row],[order_date]],"yyyy-mm")</f>
        <v>2025-12</v>
      </c>
      <c r="Q1947">
        <f>WEEKNUM(Table1[[#This Row],[order_date]])</f>
        <v>51</v>
      </c>
      <c r="R1947">
        <f>IF(Table1[[#This Row],[order_status]]="completed",1,0)</f>
        <v>1</v>
      </c>
    </row>
    <row r="1948" spans="1:18" x14ac:dyDescent="0.35">
      <c r="A1948">
        <v>1947</v>
      </c>
      <c r="B1948" s="1">
        <v>46007</v>
      </c>
      <c r="C1948">
        <v>1809</v>
      </c>
      <c r="D1948" t="s">
        <v>32</v>
      </c>
      <c r="E1948" t="s">
        <v>33</v>
      </c>
      <c r="F1948" t="s">
        <v>17</v>
      </c>
      <c r="G1948">
        <v>3</v>
      </c>
      <c r="H1948">
        <v>0</v>
      </c>
      <c r="I1948" t="s">
        <v>39</v>
      </c>
      <c r="J1948" t="s">
        <v>31</v>
      </c>
      <c r="K1948" t="s">
        <v>40</v>
      </c>
      <c r="L1948">
        <v>3</v>
      </c>
      <c r="M1948">
        <v>1</v>
      </c>
      <c r="N1948">
        <v>1</v>
      </c>
      <c r="O1948" t="s">
        <v>27</v>
      </c>
      <c r="P1948" t="str">
        <f>TEXT(Table1[[#This Row],[order_date]],"yyyy-mm")</f>
        <v>2025-12</v>
      </c>
      <c r="Q1948">
        <f>WEEKNUM(Table1[[#This Row],[order_date]])</f>
        <v>51</v>
      </c>
      <c r="R1948">
        <f>IF(Table1[[#This Row],[order_status]]="completed",1,0)</f>
        <v>0</v>
      </c>
    </row>
    <row r="1949" spans="1:18" x14ac:dyDescent="0.35">
      <c r="A1949">
        <v>1948</v>
      </c>
      <c r="B1949" s="1">
        <v>45963</v>
      </c>
      <c r="C1949">
        <v>1187</v>
      </c>
      <c r="D1949" t="s">
        <v>15</v>
      </c>
      <c r="E1949" t="s">
        <v>36</v>
      </c>
      <c r="F1949" t="s">
        <v>24</v>
      </c>
      <c r="G1949">
        <v>5</v>
      </c>
      <c r="H1949">
        <v>13380</v>
      </c>
      <c r="I1949" t="s">
        <v>25</v>
      </c>
      <c r="J1949" t="s">
        <v>19</v>
      </c>
      <c r="K1949" t="s">
        <v>20</v>
      </c>
      <c r="L1949">
        <v>2</v>
      </c>
      <c r="M1949">
        <v>0</v>
      </c>
      <c r="N1949">
        <v>0</v>
      </c>
      <c r="O1949" t="s">
        <v>27</v>
      </c>
      <c r="P1949" t="str">
        <f>TEXT(Table1[[#This Row],[order_date]],"yyyy-mm")</f>
        <v>2025-11</v>
      </c>
      <c r="Q1949">
        <f>WEEKNUM(Table1[[#This Row],[order_date]])</f>
        <v>45</v>
      </c>
      <c r="R1949">
        <f>IF(Table1[[#This Row],[order_status]]="completed",1,0)</f>
        <v>1</v>
      </c>
    </row>
    <row r="1950" spans="1:18" x14ac:dyDescent="0.35">
      <c r="A1950">
        <v>1949</v>
      </c>
      <c r="B1950" s="1">
        <v>45907</v>
      </c>
      <c r="C1950">
        <v>1168</v>
      </c>
      <c r="D1950" t="s">
        <v>32</v>
      </c>
      <c r="E1950" t="s">
        <v>29</v>
      </c>
      <c r="F1950" t="s">
        <v>24</v>
      </c>
      <c r="G1950">
        <v>1</v>
      </c>
      <c r="H1950">
        <v>0</v>
      </c>
      <c r="I1950" t="s">
        <v>35</v>
      </c>
      <c r="J1950" t="s">
        <v>37</v>
      </c>
      <c r="K1950" t="s">
        <v>38</v>
      </c>
      <c r="L1950">
        <v>4</v>
      </c>
      <c r="M1950">
        <v>0</v>
      </c>
      <c r="N1950">
        <v>0</v>
      </c>
      <c r="O1950" t="s">
        <v>27</v>
      </c>
      <c r="P1950" t="str">
        <f>TEXT(Table1[[#This Row],[order_date]],"yyyy-mm")</f>
        <v>2025-09</v>
      </c>
      <c r="Q1950">
        <f>WEEKNUM(Table1[[#This Row],[order_date]])</f>
        <v>37</v>
      </c>
      <c r="R1950">
        <f>IF(Table1[[#This Row],[order_status]]="completed",1,0)</f>
        <v>0</v>
      </c>
    </row>
    <row r="1951" spans="1:18" x14ac:dyDescent="0.35">
      <c r="A1951">
        <v>1950</v>
      </c>
      <c r="B1951" s="1">
        <v>45985</v>
      </c>
      <c r="C1951">
        <v>1323</v>
      </c>
      <c r="D1951" t="s">
        <v>22</v>
      </c>
      <c r="E1951" t="s">
        <v>29</v>
      </c>
      <c r="F1951" t="s">
        <v>30</v>
      </c>
      <c r="G1951">
        <v>1</v>
      </c>
      <c r="H1951">
        <v>0</v>
      </c>
      <c r="I1951" t="s">
        <v>18</v>
      </c>
      <c r="J1951" t="s">
        <v>37</v>
      </c>
      <c r="K1951" t="s">
        <v>38</v>
      </c>
      <c r="L1951">
        <v>9</v>
      </c>
      <c r="M1951">
        <v>1</v>
      </c>
      <c r="N1951">
        <v>0</v>
      </c>
      <c r="O1951" t="s">
        <v>21</v>
      </c>
      <c r="P1951" t="str">
        <f>TEXT(Table1[[#This Row],[order_date]],"yyyy-mm")</f>
        <v>2025-11</v>
      </c>
      <c r="Q1951">
        <f>WEEKNUM(Table1[[#This Row],[order_date]])</f>
        <v>48</v>
      </c>
      <c r="R1951">
        <f>IF(Table1[[#This Row],[order_status]]="completed",1,0)</f>
        <v>0</v>
      </c>
    </row>
    <row r="1952" spans="1:18" x14ac:dyDescent="0.35">
      <c r="A1952">
        <v>1951</v>
      </c>
      <c r="B1952" s="1">
        <v>46019</v>
      </c>
      <c r="C1952">
        <v>1834</v>
      </c>
      <c r="D1952" t="s">
        <v>32</v>
      </c>
      <c r="E1952" t="s">
        <v>36</v>
      </c>
      <c r="F1952" t="s">
        <v>17</v>
      </c>
      <c r="G1952">
        <v>1</v>
      </c>
      <c r="H1952">
        <v>0</v>
      </c>
      <c r="I1952" t="s">
        <v>35</v>
      </c>
      <c r="J1952" t="s">
        <v>37</v>
      </c>
      <c r="K1952" t="s">
        <v>20</v>
      </c>
      <c r="L1952">
        <v>4</v>
      </c>
      <c r="M1952">
        <v>0</v>
      </c>
      <c r="N1952">
        <v>1</v>
      </c>
      <c r="O1952" t="s">
        <v>27</v>
      </c>
      <c r="P1952" t="str">
        <f>TEXT(Table1[[#This Row],[order_date]],"yyyy-mm")</f>
        <v>2025-12</v>
      </c>
      <c r="Q1952">
        <f>WEEKNUM(Table1[[#This Row],[order_date]])</f>
        <v>53</v>
      </c>
      <c r="R1952">
        <f>IF(Table1[[#This Row],[order_status]]="completed",1,0)</f>
        <v>0</v>
      </c>
    </row>
    <row r="1953" spans="1:18" x14ac:dyDescent="0.35">
      <c r="A1953">
        <v>1952</v>
      </c>
      <c r="B1953" s="1">
        <v>46005</v>
      </c>
      <c r="C1953">
        <v>1578</v>
      </c>
      <c r="D1953" t="s">
        <v>41</v>
      </c>
      <c r="E1953" t="s">
        <v>36</v>
      </c>
      <c r="F1953" t="s">
        <v>17</v>
      </c>
      <c r="G1953">
        <v>3</v>
      </c>
      <c r="H1953">
        <v>0</v>
      </c>
      <c r="I1953" t="s">
        <v>25</v>
      </c>
      <c r="J1953" t="s">
        <v>37</v>
      </c>
      <c r="K1953" t="s">
        <v>40</v>
      </c>
      <c r="L1953">
        <v>4</v>
      </c>
      <c r="M1953">
        <v>1</v>
      </c>
      <c r="N1953">
        <v>1</v>
      </c>
      <c r="O1953" t="s">
        <v>27</v>
      </c>
      <c r="P1953" t="str">
        <f>TEXT(Table1[[#This Row],[order_date]],"yyyy-mm")</f>
        <v>2025-12</v>
      </c>
      <c r="Q1953">
        <f>WEEKNUM(Table1[[#This Row],[order_date]])</f>
        <v>51</v>
      </c>
      <c r="R1953">
        <f>IF(Table1[[#This Row],[order_status]]="completed",1,0)</f>
        <v>0</v>
      </c>
    </row>
    <row r="1954" spans="1:18" x14ac:dyDescent="0.35">
      <c r="A1954">
        <v>1953</v>
      </c>
      <c r="B1954" s="1">
        <v>45885</v>
      </c>
      <c r="C1954">
        <v>1304</v>
      </c>
      <c r="D1954" t="s">
        <v>28</v>
      </c>
      <c r="E1954" t="s">
        <v>33</v>
      </c>
      <c r="F1954" t="s">
        <v>24</v>
      </c>
      <c r="G1954">
        <v>1</v>
      </c>
      <c r="H1954">
        <v>0</v>
      </c>
      <c r="I1954" t="s">
        <v>39</v>
      </c>
      <c r="J1954" t="s">
        <v>37</v>
      </c>
      <c r="K1954" t="s">
        <v>20</v>
      </c>
      <c r="L1954">
        <v>2</v>
      </c>
      <c r="M1954">
        <v>0</v>
      </c>
      <c r="N1954">
        <v>1</v>
      </c>
      <c r="O1954" t="s">
        <v>27</v>
      </c>
      <c r="P1954" t="str">
        <f>TEXT(Table1[[#This Row],[order_date]],"yyyy-mm")</f>
        <v>2025-08</v>
      </c>
      <c r="Q1954">
        <f>WEEKNUM(Table1[[#This Row],[order_date]])</f>
        <v>33</v>
      </c>
      <c r="R1954">
        <f>IF(Table1[[#This Row],[order_status]]="completed",1,0)</f>
        <v>0</v>
      </c>
    </row>
    <row r="1955" spans="1:18" x14ac:dyDescent="0.35">
      <c r="A1955">
        <v>1954</v>
      </c>
      <c r="B1955" s="1">
        <v>46030</v>
      </c>
      <c r="C1955">
        <v>1579</v>
      </c>
      <c r="D1955" t="s">
        <v>28</v>
      </c>
      <c r="E1955" t="s">
        <v>16</v>
      </c>
      <c r="F1955" t="s">
        <v>24</v>
      </c>
      <c r="G1955">
        <v>2</v>
      </c>
      <c r="H1955">
        <v>0</v>
      </c>
      <c r="I1955" t="s">
        <v>25</v>
      </c>
      <c r="J1955" t="s">
        <v>31</v>
      </c>
      <c r="K1955" t="s">
        <v>20</v>
      </c>
      <c r="L1955">
        <v>3</v>
      </c>
      <c r="M1955">
        <v>0</v>
      </c>
      <c r="N1955">
        <v>1</v>
      </c>
      <c r="O1955" t="s">
        <v>21</v>
      </c>
      <c r="P1955" t="str">
        <f>TEXT(Table1[[#This Row],[order_date]],"yyyy-mm")</f>
        <v>2026-01</v>
      </c>
      <c r="Q1955">
        <f>WEEKNUM(Table1[[#This Row],[order_date]])</f>
        <v>2</v>
      </c>
      <c r="R1955">
        <f>IF(Table1[[#This Row],[order_status]]="completed",1,0)</f>
        <v>0</v>
      </c>
    </row>
    <row r="1956" spans="1:18" x14ac:dyDescent="0.35">
      <c r="A1956">
        <v>1955</v>
      </c>
      <c r="B1956" s="1">
        <v>45886</v>
      </c>
      <c r="C1956">
        <v>1832</v>
      </c>
      <c r="D1956" t="s">
        <v>28</v>
      </c>
      <c r="E1956" t="s">
        <v>16</v>
      </c>
      <c r="F1956" t="s">
        <v>17</v>
      </c>
      <c r="G1956">
        <v>2</v>
      </c>
      <c r="H1956">
        <v>5402</v>
      </c>
      <c r="I1956" t="s">
        <v>25</v>
      </c>
      <c r="J1956" t="s">
        <v>19</v>
      </c>
      <c r="K1956" t="s">
        <v>20</v>
      </c>
      <c r="L1956">
        <v>9</v>
      </c>
      <c r="M1956">
        <v>1</v>
      </c>
      <c r="N1956">
        <v>1</v>
      </c>
      <c r="O1956" t="s">
        <v>27</v>
      </c>
      <c r="P1956" t="str">
        <f>TEXT(Table1[[#This Row],[order_date]],"yyyy-mm")</f>
        <v>2025-08</v>
      </c>
      <c r="Q1956">
        <f>WEEKNUM(Table1[[#This Row],[order_date]])</f>
        <v>34</v>
      </c>
      <c r="R1956">
        <f>IF(Table1[[#This Row],[order_status]]="completed",1,0)</f>
        <v>1</v>
      </c>
    </row>
    <row r="1957" spans="1:18" x14ac:dyDescent="0.35">
      <c r="A1957">
        <v>1956</v>
      </c>
      <c r="B1957" s="1">
        <v>45864</v>
      </c>
      <c r="C1957">
        <v>1417</v>
      </c>
      <c r="D1957" t="s">
        <v>28</v>
      </c>
      <c r="E1957" t="s">
        <v>16</v>
      </c>
      <c r="F1957" t="s">
        <v>30</v>
      </c>
      <c r="G1957">
        <v>5</v>
      </c>
      <c r="H1957">
        <v>21245</v>
      </c>
      <c r="I1957" t="s">
        <v>25</v>
      </c>
      <c r="J1957" t="s">
        <v>19</v>
      </c>
      <c r="K1957" t="s">
        <v>20</v>
      </c>
      <c r="L1957">
        <v>9</v>
      </c>
      <c r="M1957">
        <v>1</v>
      </c>
      <c r="N1957">
        <v>1</v>
      </c>
      <c r="O1957" t="s">
        <v>27</v>
      </c>
      <c r="P1957" t="str">
        <f>TEXT(Table1[[#This Row],[order_date]],"yyyy-mm")</f>
        <v>2025-07</v>
      </c>
      <c r="Q1957">
        <f>WEEKNUM(Table1[[#This Row],[order_date]])</f>
        <v>30</v>
      </c>
      <c r="R1957">
        <f>IF(Table1[[#This Row],[order_status]]="completed",1,0)</f>
        <v>1</v>
      </c>
    </row>
    <row r="1958" spans="1:18" x14ac:dyDescent="0.35">
      <c r="A1958">
        <v>1957</v>
      </c>
      <c r="B1958" s="1">
        <v>45978</v>
      </c>
      <c r="C1958">
        <v>1139</v>
      </c>
      <c r="D1958" t="s">
        <v>28</v>
      </c>
      <c r="E1958" t="s">
        <v>29</v>
      </c>
      <c r="F1958" t="s">
        <v>17</v>
      </c>
      <c r="G1958">
        <v>5</v>
      </c>
      <c r="H1958">
        <v>0</v>
      </c>
      <c r="I1958" t="s">
        <v>35</v>
      </c>
      <c r="J1958" t="s">
        <v>37</v>
      </c>
      <c r="K1958" t="s">
        <v>20</v>
      </c>
      <c r="L1958">
        <v>3</v>
      </c>
      <c r="M1958">
        <v>0</v>
      </c>
      <c r="N1958">
        <v>1</v>
      </c>
      <c r="O1958" t="s">
        <v>21</v>
      </c>
      <c r="P1958" t="str">
        <f>TEXT(Table1[[#This Row],[order_date]],"yyyy-mm")</f>
        <v>2025-11</v>
      </c>
      <c r="Q1958">
        <f>WEEKNUM(Table1[[#This Row],[order_date]])</f>
        <v>47</v>
      </c>
      <c r="R1958">
        <f>IF(Table1[[#This Row],[order_status]]="completed",1,0)</f>
        <v>0</v>
      </c>
    </row>
    <row r="1959" spans="1:18" x14ac:dyDescent="0.35">
      <c r="A1959">
        <v>1958</v>
      </c>
      <c r="B1959" s="1">
        <v>45944</v>
      </c>
      <c r="C1959">
        <v>1934</v>
      </c>
      <c r="D1959" t="s">
        <v>22</v>
      </c>
      <c r="E1959" t="s">
        <v>29</v>
      </c>
      <c r="F1959" t="s">
        <v>24</v>
      </c>
      <c r="G1959">
        <v>2</v>
      </c>
      <c r="H1959">
        <v>2524</v>
      </c>
      <c r="I1959" t="s">
        <v>18</v>
      </c>
      <c r="J1959" t="s">
        <v>19</v>
      </c>
      <c r="K1959" t="s">
        <v>38</v>
      </c>
      <c r="L1959">
        <v>4</v>
      </c>
      <c r="M1959">
        <v>1</v>
      </c>
      <c r="N1959">
        <v>1</v>
      </c>
      <c r="O1959" t="s">
        <v>21</v>
      </c>
      <c r="P1959" t="str">
        <f>TEXT(Table1[[#This Row],[order_date]],"yyyy-mm")</f>
        <v>2025-10</v>
      </c>
      <c r="Q1959">
        <f>WEEKNUM(Table1[[#This Row],[order_date]])</f>
        <v>42</v>
      </c>
      <c r="R1959">
        <f>IF(Table1[[#This Row],[order_status]]="completed",1,0)</f>
        <v>1</v>
      </c>
    </row>
    <row r="1960" spans="1:18" x14ac:dyDescent="0.35">
      <c r="A1960">
        <v>1959</v>
      </c>
      <c r="B1960" s="1">
        <v>45928</v>
      </c>
      <c r="C1960">
        <v>1174</v>
      </c>
      <c r="D1960" t="s">
        <v>22</v>
      </c>
      <c r="E1960" t="s">
        <v>23</v>
      </c>
      <c r="F1960" t="s">
        <v>17</v>
      </c>
      <c r="G1960">
        <v>4</v>
      </c>
      <c r="H1960">
        <v>4324</v>
      </c>
      <c r="I1960" t="s">
        <v>25</v>
      </c>
      <c r="J1960" t="s">
        <v>19</v>
      </c>
      <c r="K1960" t="s">
        <v>38</v>
      </c>
      <c r="L1960">
        <v>10</v>
      </c>
      <c r="M1960">
        <v>0</v>
      </c>
      <c r="N1960">
        <v>0</v>
      </c>
      <c r="O1960" t="s">
        <v>27</v>
      </c>
      <c r="P1960" t="str">
        <f>TEXT(Table1[[#This Row],[order_date]],"yyyy-mm")</f>
        <v>2025-09</v>
      </c>
      <c r="Q1960">
        <f>WEEKNUM(Table1[[#This Row],[order_date]])</f>
        <v>40</v>
      </c>
      <c r="R1960">
        <f>IF(Table1[[#This Row],[order_status]]="completed",1,0)</f>
        <v>1</v>
      </c>
    </row>
    <row r="1961" spans="1:18" x14ac:dyDescent="0.35">
      <c r="A1961">
        <v>1960</v>
      </c>
      <c r="B1961" s="1">
        <v>45914</v>
      </c>
      <c r="C1961">
        <v>1259</v>
      </c>
      <c r="D1961" t="s">
        <v>41</v>
      </c>
      <c r="E1961" t="s">
        <v>29</v>
      </c>
      <c r="F1961" t="s">
        <v>17</v>
      </c>
      <c r="G1961">
        <v>5</v>
      </c>
      <c r="H1961">
        <v>0</v>
      </c>
      <c r="I1961" t="s">
        <v>35</v>
      </c>
      <c r="J1961" t="s">
        <v>37</v>
      </c>
      <c r="K1961" t="s">
        <v>40</v>
      </c>
      <c r="L1961">
        <v>8</v>
      </c>
      <c r="M1961">
        <v>1</v>
      </c>
      <c r="N1961">
        <v>1</v>
      </c>
      <c r="O1961" t="s">
        <v>21</v>
      </c>
      <c r="P1961" t="str">
        <f>TEXT(Table1[[#This Row],[order_date]],"yyyy-mm")</f>
        <v>2025-09</v>
      </c>
      <c r="Q1961">
        <f>WEEKNUM(Table1[[#This Row],[order_date]])</f>
        <v>38</v>
      </c>
      <c r="R1961">
        <f>IF(Table1[[#This Row],[order_status]]="completed",1,0)</f>
        <v>0</v>
      </c>
    </row>
    <row r="1962" spans="1:18" x14ac:dyDescent="0.35">
      <c r="A1962">
        <v>1961</v>
      </c>
      <c r="B1962" s="1">
        <v>45956</v>
      </c>
      <c r="C1962">
        <v>1134</v>
      </c>
      <c r="D1962" t="s">
        <v>32</v>
      </c>
      <c r="E1962" t="s">
        <v>16</v>
      </c>
      <c r="F1962" t="s">
        <v>17</v>
      </c>
      <c r="G1962">
        <v>5</v>
      </c>
      <c r="H1962">
        <v>0</v>
      </c>
      <c r="I1962" t="s">
        <v>39</v>
      </c>
      <c r="J1962" t="s">
        <v>31</v>
      </c>
      <c r="K1962" t="s">
        <v>40</v>
      </c>
      <c r="L1962">
        <v>9</v>
      </c>
      <c r="M1962">
        <v>1</v>
      </c>
      <c r="N1962">
        <v>0</v>
      </c>
      <c r="O1962" t="s">
        <v>27</v>
      </c>
      <c r="P1962" t="str">
        <f>TEXT(Table1[[#This Row],[order_date]],"yyyy-mm")</f>
        <v>2025-10</v>
      </c>
      <c r="Q1962">
        <f>WEEKNUM(Table1[[#This Row],[order_date]])</f>
        <v>44</v>
      </c>
      <c r="R1962">
        <f>IF(Table1[[#This Row],[order_status]]="completed",1,0)</f>
        <v>0</v>
      </c>
    </row>
    <row r="1963" spans="1:18" x14ac:dyDescent="0.35">
      <c r="A1963">
        <v>1962</v>
      </c>
      <c r="B1963" s="1">
        <v>45957</v>
      </c>
      <c r="C1963">
        <v>1776</v>
      </c>
      <c r="D1963" t="s">
        <v>28</v>
      </c>
      <c r="E1963" t="s">
        <v>36</v>
      </c>
      <c r="F1963" t="s">
        <v>24</v>
      </c>
      <c r="G1963">
        <v>1</v>
      </c>
      <c r="H1963">
        <v>4306</v>
      </c>
      <c r="I1963" t="s">
        <v>35</v>
      </c>
      <c r="J1963" t="s">
        <v>19</v>
      </c>
      <c r="K1963" t="s">
        <v>40</v>
      </c>
      <c r="L1963">
        <v>6</v>
      </c>
      <c r="M1963">
        <v>1</v>
      </c>
      <c r="N1963">
        <v>1</v>
      </c>
      <c r="O1963" t="s">
        <v>27</v>
      </c>
      <c r="P1963" t="str">
        <f>TEXT(Table1[[#This Row],[order_date]],"yyyy-mm")</f>
        <v>2025-10</v>
      </c>
      <c r="Q1963">
        <f>WEEKNUM(Table1[[#This Row],[order_date]])</f>
        <v>44</v>
      </c>
      <c r="R1963">
        <f>IF(Table1[[#This Row],[order_status]]="completed",1,0)</f>
        <v>1</v>
      </c>
    </row>
    <row r="1964" spans="1:18" x14ac:dyDescent="0.35">
      <c r="A1964">
        <v>1963</v>
      </c>
      <c r="B1964" s="1">
        <v>45986</v>
      </c>
      <c r="C1964">
        <v>1836</v>
      </c>
      <c r="D1964" t="s">
        <v>15</v>
      </c>
      <c r="E1964" t="s">
        <v>33</v>
      </c>
      <c r="F1964" t="s">
        <v>34</v>
      </c>
      <c r="G1964">
        <v>2</v>
      </c>
      <c r="H1964">
        <v>0</v>
      </c>
      <c r="I1964" t="s">
        <v>25</v>
      </c>
      <c r="J1964" t="s">
        <v>31</v>
      </c>
      <c r="K1964" t="s">
        <v>26</v>
      </c>
      <c r="L1964">
        <v>7</v>
      </c>
      <c r="M1964">
        <v>1</v>
      </c>
      <c r="N1964">
        <v>1</v>
      </c>
      <c r="O1964" t="s">
        <v>21</v>
      </c>
      <c r="P1964" t="str">
        <f>TEXT(Table1[[#This Row],[order_date]],"yyyy-mm")</f>
        <v>2025-11</v>
      </c>
      <c r="Q1964">
        <f>WEEKNUM(Table1[[#This Row],[order_date]])</f>
        <v>48</v>
      </c>
      <c r="R1964">
        <f>IF(Table1[[#This Row],[order_status]]="completed",1,0)</f>
        <v>0</v>
      </c>
    </row>
    <row r="1965" spans="1:18" x14ac:dyDescent="0.35">
      <c r="A1965">
        <v>1964</v>
      </c>
      <c r="B1965" s="1">
        <v>45963</v>
      </c>
      <c r="C1965">
        <v>1850</v>
      </c>
      <c r="D1965" t="s">
        <v>22</v>
      </c>
      <c r="E1965" t="s">
        <v>33</v>
      </c>
      <c r="F1965" t="s">
        <v>34</v>
      </c>
      <c r="G1965">
        <v>1</v>
      </c>
      <c r="H1965">
        <v>0</v>
      </c>
      <c r="I1965" t="s">
        <v>39</v>
      </c>
      <c r="J1965" t="s">
        <v>31</v>
      </c>
      <c r="K1965" t="s">
        <v>20</v>
      </c>
      <c r="L1965">
        <v>6</v>
      </c>
      <c r="M1965">
        <v>0</v>
      </c>
      <c r="N1965">
        <v>1</v>
      </c>
      <c r="O1965" t="s">
        <v>27</v>
      </c>
      <c r="P1965" t="str">
        <f>TEXT(Table1[[#This Row],[order_date]],"yyyy-mm")</f>
        <v>2025-11</v>
      </c>
      <c r="Q1965">
        <f>WEEKNUM(Table1[[#This Row],[order_date]])</f>
        <v>45</v>
      </c>
      <c r="R1965">
        <f>IF(Table1[[#This Row],[order_status]]="completed",1,0)</f>
        <v>0</v>
      </c>
    </row>
    <row r="1966" spans="1:18" x14ac:dyDescent="0.35">
      <c r="A1966">
        <v>1965</v>
      </c>
      <c r="B1966" s="1">
        <v>45890</v>
      </c>
      <c r="C1966">
        <v>1943</v>
      </c>
      <c r="D1966" t="s">
        <v>22</v>
      </c>
      <c r="E1966" t="s">
        <v>23</v>
      </c>
      <c r="F1966" t="s">
        <v>30</v>
      </c>
      <c r="G1966">
        <v>5</v>
      </c>
      <c r="H1966">
        <v>0</v>
      </c>
      <c r="I1966" t="s">
        <v>35</v>
      </c>
      <c r="J1966" t="s">
        <v>31</v>
      </c>
      <c r="K1966" t="s">
        <v>26</v>
      </c>
      <c r="L1966">
        <v>5</v>
      </c>
      <c r="M1966">
        <v>1</v>
      </c>
      <c r="N1966">
        <v>1</v>
      </c>
      <c r="O1966" t="s">
        <v>27</v>
      </c>
      <c r="P1966" t="str">
        <f>TEXT(Table1[[#This Row],[order_date]],"yyyy-mm")</f>
        <v>2025-08</v>
      </c>
      <c r="Q1966">
        <f>WEEKNUM(Table1[[#This Row],[order_date]])</f>
        <v>34</v>
      </c>
      <c r="R1966">
        <f>IF(Table1[[#This Row],[order_status]]="completed",1,0)</f>
        <v>0</v>
      </c>
    </row>
    <row r="1967" spans="1:18" x14ac:dyDescent="0.35">
      <c r="A1967">
        <v>1966</v>
      </c>
      <c r="B1967" s="1">
        <v>45941</v>
      </c>
      <c r="C1967">
        <v>1945</v>
      </c>
      <c r="D1967" t="s">
        <v>28</v>
      </c>
      <c r="E1967" t="s">
        <v>33</v>
      </c>
      <c r="F1967" t="s">
        <v>24</v>
      </c>
      <c r="G1967">
        <v>1</v>
      </c>
      <c r="H1967">
        <v>3983</v>
      </c>
      <c r="I1967" t="s">
        <v>35</v>
      </c>
      <c r="J1967" t="s">
        <v>19</v>
      </c>
      <c r="K1967" t="s">
        <v>26</v>
      </c>
      <c r="L1967">
        <v>6</v>
      </c>
      <c r="M1967">
        <v>0</v>
      </c>
      <c r="N1967">
        <v>1</v>
      </c>
      <c r="O1967" t="s">
        <v>27</v>
      </c>
      <c r="P1967" t="str">
        <f>TEXT(Table1[[#This Row],[order_date]],"yyyy-mm")</f>
        <v>2025-10</v>
      </c>
      <c r="Q1967">
        <f>WEEKNUM(Table1[[#This Row],[order_date]])</f>
        <v>41</v>
      </c>
      <c r="R1967">
        <f>IF(Table1[[#This Row],[order_status]]="completed",1,0)</f>
        <v>1</v>
      </c>
    </row>
    <row r="1968" spans="1:18" x14ac:dyDescent="0.35">
      <c r="A1968">
        <v>1967</v>
      </c>
      <c r="B1968" s="1">
        <v>45915</v>
      </c>
      <c r="C1968">
        <v>1217</v>
      </c>
      <c r="D1968" t="s">
        <v>28</v>
      </c>
      <c r="E1968" t="s">
        <v>16</v>
      </c>
      <c r="F1968" t="s">
        <v>34</v>
      </c>
      <c r="G1968">
        <v>2</v>
      </c>
      <c r="H1968">
        <v>0</v>
      </c>
      <c r="I1968" t="s">
        <v>39</v>
      </c>
      <c r="J1968" t="s">
        <v>31</v>
      </c>
      <c r="K1968" t="s">
        <v>38</v>
      </c>
      <c r="L1968">
        <v>2</v>
      </c>
      <c r="M1968">
        <v>1</v>
      </c>
      <c r="N1968">
        <v>1</v>
      </c>
      <c r="O1968" t="s">
        <v>21</v>
      </c>
      <c r="P1968" t="str">
        <f>TEXT(Table1[[#This Row],[order_date]],"yyyy-mm")</f>
        <v>2025-09</v>
      </c>
      <c r="Q1968">
        <f>WEEKNUM(Table1[[#This Row],[order_date]])</f>
        <v>38</v>
      </c>
      <c r="R1968">
        <f>IF(Table1[[#This Row],[order_status]]="completed",1,0)</f>
        <v>0</v>
      </c>
    </row>
    <row r="1969" spans="1:18" x14ac:dyDescent="0.35">
      <c r="A1969">
        <v>1968</v>
      </c>
      <c r="B1969" s="1">
        <v>45983</v>
      </c>
      <c r="C1969">
        <v>1530</v>
      </c>
      <c r="D1969" t="s">
        <v>41</v>
      </c>
      <c r="E1969" t="s">
        <v>36</v>
      </c>
      <c r="F1969" t="s">
        <v>24</v>
      </c>
      <c r="G1969">
        <v>3</v>
      </c>
      <c r="H1969">
        <v>0</v>
      </c>
      <c r="I1969" t="s">
        <v>18</v>
      </c>
      <c r="J1969" t="s">
        <v>37</v>
      </c>
      <c r="K1969" t="s">
        <v>38</v>
      </c>
      <c r="L1969">
        <v>1</v>
      </c>
      <c r="M1969">
        <v>1</v>
      </c>
      <c r="N1969">
        <v>0</v>
      </c>
      <c r="O1969" t="s">
        <v>21</v>
      </c>
      <c r="P1969" t="str">
        <f>TEXT(Table1[[#This Row],[order_date]],"yyyy-mm")</f>
        <v>2025-11</v>
      </c>
      <c r="Q1969">
        <f>WEEKNUM(Table1[[#This Row],[order_date]])</f>
        <v>47</v>
      </c>
      <c r="R1969">
        <f>IF(Table1[[#This Row],[order_status]]="completed",1,0)</f>
        <v>0</v>
      </c>
    </row>
    <row r="1970" spans="1:18" x14ac:dyDescent="0.35">
      <c r="A1970">
        <v>1969</v>
      </c>
      <c r="B1970" s="1">
        <v>45899</v>
      </c>
      <c r="C1970">
        <v>1492</v>
      </c>
      <c r="D1970" t="s">
        <v>32</v>
      </c>
      <c r="E1970" t="s">
        <v>36</v>
      </c>
      <c r="F1970" t="s">
        <v>24</v>
      </c>
      <c r="G1970">
        <v>4</v>
      </c>
      <c r="H1970">
        <v>0</v>
      </c>
      <c r="I1970" t="s">
        <v>39</v>
      </c>
      <c r="J1970" t="s">
        <v>37</v>
      </c>
      <c r="K1970" t="s">
        <v>26</v>
      </c>
      <c r="L1970">
        <v>10</v>
      </c>
      <c r="M1970">
        <v>1</v>
      </c>
      <c r="N1970">
        <v>1</v>
      </c>
      <c r="O1970" t="s">
        <v>21</v>
      </c>
      <c r="P1970" t="str">
        <f>TEXT(Table1[[#This Row],[order_date]],"yyyy-mm")</f>
        <v>2025-08</v>
      </c>
      <c r="Q1970">
        <f>WEEKNUM(Table1[[#This Row],[order_date]])</f>
        <v>35</v>
      </c>
      <c r="R1970">
        <f>IF(Table1[[#This Row],[order_status]]="completed",1,0)</f>
        <v>0</v>
      </c>
    </row>
    <row r="1971" spans="1:18" x14ac:dyDescent="0.35">
      <c r="A1971">
        <v>1970</v>
      </c>
      <c r="B1971" s="1">
        <v>45896</v>
      </c>
      <c r="C1971">
        <v>1926</v>
      </c>
      <c r="D1971" t="s">
        <v>22</v>
      </c>
      <c r="E1971" t="s">
        <v>23</v>
      </c>
      <c r="F1971" t="s">
        <v>17</v>
      </c>
      <c r="G1971">
        <v>2</v>
      </c>
      <c r="H1971">
        <v>0</v>
      </c>
      <c r="I1971" t="s">
        <v>18</v>
      </c>
      <c r="J1971" t="s">
        <v>31</v>
      </c>
      <c r="K1971" t="s">
        <v>38</v>
      </c>
      <c r="L1971">
        <v>5</v>
      </c>
      <c r="M1971">
        <v>0</v>
      </c>
      <c r="N1971">
        <v>0</v>
      </c>
      <c r="O1971" t="s">
        <v>27</v>
      </c>
      <c r="P1971" t="str">
        <f>TEXT(Table1[[#This Row],[order_date]],"yyyy-mm")</f>
        <v>2025-08</v>
      </c>
      <c r="Q1971">
        <f>WEEKNUM(Table1[[#This Row],[order_date]])</f>
        <v>35</v>
      </c>
      <c r="R1971">
        <f>IF(Table1[[#This Row],[order_status]]="completed",1,0)</f>
        <v>0</v>
      </c>
    </row>
    <row r="1972" spans="1:18" x14ac:dyDescent="0.35">
      <c r="A1972">
        <v>1971</v>
      </c>
      <c r="B1972" s="1">
        <v>45941</v>
      </c>
      <c r="C1972">
        <v>1738</v>
      </c>
      <c r="D1972" t="s">
        <v>41</v>
      </c>
      <c r="E1972" t="s">
        <v>16</v>
      </c>
      <c r="F1972" t="s">
        <v>17</v>
      </c>
      <c r="G1972">
        <v>5</v>
      </c>
      <c r="H1972">
        <v>0</v>
      </c>
      <c r="I1972" t="s">
        <v>39</v>
      </c>
      <c r="J1972" t="s">
        <v>37</v>
      </c>
      <c r="K1972" t="s">
        <v>26</v>
      </c>
      <c r="L1972">
        <v>1</v>
      </c>
      <c r="M1972">
        <v>0</v>
      </c>
      <c r="N1972">
        <v>1</v>
      </c>
      <c r="O1972" t="s">
        <v>21</v>
      </c>
      <c r="P1972" t="str">
        <f>TEXT(Table1[[#This Row],[order_date]],"yyyy-mm")</f>
        <v>2025-10</v>
      </c>
      <c r="Q1972">
        <f>WEEKNUM(Table1[[#This Row],[order_date]])</f>
        <v>41</v>
      </c>
      <c r="R1972">
        <f>IF(Table1[[#This Row],[order_status]]="completed",1,0)</f>
        <v>0</v>
      </c>
    </row>
    <row r="1973" spans="1:18" x14ac:dyDescent="0.35">
      <c r="A1973">
        <v>1972</v>
      </c>
      <c r="B1973" s="1">
        <v>45900</v>
      </c>
      <c r="C1973">
        <v>1401</v>
      </c>
      <c r="D1973" t="s">
        <v>22</v>
      </c>
      <c r="E1973" t="s">
        <v>16</v>
      </c>
      <c r="F1973" t="s">
        <v>17</v>
      </c>
      <c r="G1973">
        <v>1</v>
      </c>
      <c r="H1973">
        <v>0</v>
      </c>
      <c r="I1973" t="s">
        <v>18</v>
      </c>
      <c r="J1973" t="s">
        <v>37</v>
      </c>
      <c r="K1973" t="s">
        <v>20</v>
      </c>
      <c r="L1973">
        <v>10</v>
      </c>
      <c r="M1973">
        <v>0</v>
      </c>
      <c r="N1973">
        <v>1</v>
      </c>
      <c r="O1973" t="s">
        <v>21</v>
      </c>
      <c r="P1973" t="str">
        <f>TEXT(Table1[[#This Row],[order_date]],"yyyy-mm")</f>
        <v>2025-08</v>
      </c>
      <c r="Q1973">
        <f>WEEKNUM(Table1[[#This Row],[order_date]])</f>
        <v>36</v>
      </c>
      <c r="R1973">
        <f>IF(Table1[[#This Row],[order_status]]="completed",1,0)</f>
        <v>0</v>
      </c>
    </row>
    <row r="1974" spans="1:18" x14ac:dyDescent="0.35">
      <c r="A1974">
        <v>1973</v>
      </c>
      <c r="B1974" s="1">
        <v>46008</v>
      </c>
      <c r="C1974">
        <v>1559</v>
      </c>
      <c r="D1974" t="s">
        <v>41</v>
      </c>
      <c r="E1974" t="s">
        <v>23</v>
      </c>
      <c r="F1974" t="s">
        <v>17</v>
      </c>
      <c r="G1974">
        <v>5</v>
      </c>
      <c r="H1974">
        <v>15125</v>
      </c>
      <c r="I1974" t="s">
        <v>39</v>
      </c>
      <c r="J1974" t="s">
        <v>19</v>
      </c>
      <c r="K1974" t="s">
        <v>26</v>
      </c>
      <c r="L1974">
        <v>3</v>
      </c>
      <c r="M1974">
        <v>1</v>
      </c>
      <c r="N1974">
        <v>1</v>
      </c>
      <c r="O1974" t="s">
        <v>27</v>
      </c>
      <c r="P1974" t="str">
        <f>TEXT(Table1[[#This Row],[order_date]],"yyyy-mm")</f>
        <v>2025-12</v>
      </c>
      <c r="Q1974">
        <f>WEEKNUM(Table1[[#This Row],[order_date]])</f>
        <v>51</v>
      </c>
      <c r="R1974">
        <f>IF(Table1[[#This Row],[order_status]]="completed",1,0)</f>
        <v>1</v>
      </c>
    </row>
    <row r="1975" spans="1:18" x14ac:dyDescent="0.35">
      <c r="A1975">
        <v>1974</v>
      </c>
      <c r="B1975" s="1">
        <v>45941</v>
      </c>
      <c r="C1975">
        <v>1102</v>
      </c>
      <c r="D1975" t="s">
        <v>15</v>
      </c>
      <c r="E1975" t="s">
        <v>33</v>
      </c>
      <c r="F1975" t="s">
        <v>24</v>
      </c>
      <c r="G1975">
        <v>1</v>
      </c>
      <c r="H1975">
        <v>3293</v>
      </c>
      <c r="I1975" t="s">
        <v>18</v>
      </c>
      <c r="J1975" t="s">
        <v>19</v>
      </c>
      <c r="K1975" t="s">
        <v>40</v>
      </c>
      <c r="L1975">
        <v>9</v>
      </c>
      <c r="M1975">
        <v>0</v>
      </c>
      <c r="N1975">
        <v>0</v>
      </c>
      <c r="O1975" t="s">
        <v>21</v>
      </c>
      <c r="P1975" t="str">
        <f>TEXT(Table1[[#This Row],[order_date]],"yyyy-mm")</f>
        <v>2025-10</v>
      </c>
      <c r="Q1975">
        <f>WEEKNUM(Table1[[#This Row],[order_date]])</f>
        <v>41</v>
      </c>
      <c r="R1975">
        <f>IF(Table1[[#This Row],[order_status]]="completed",1,0)</f>
        <v>1</v>
      </c>
    </row>
    <row r="1976" spans="1:18" x14ac:dyDescent="0.35">
      <c r="A1976">
        <v>1975</v>
      </c>
      <c r="B1976" s="1">
        <v>45884</v>
      </c>
      <c r="C1976">
        <v>1128</v>
      </c>
      <c r="D1976" t="s">
        <v>28</v>
      </c>
      <c r="E1976" t="s">
        <v>29</v>
      </c>
      <c r="F1976" t="s">
        <v>34</v>
      </c>
      <c r="G1976">
        <v>4</v>
      </c>
      <c r="H1976">
        <v>6276</v>
      </c>
      <c r="I1976" t="s">
        <v>18</v>
      </c>
      <c r="J1976" t="s">
        <v>19</v>
      </c>
      <c r="K1976" t="s">
        <v>26</v>
      </c>
      <c r="L1976">
        <v>4</v>
      </c>
      <c r="M1976">
        <v>1</v>
      </c>
      <c r="N1976">
        <v>0</v>
      </c>
      <c r="O1976" t="s">
        <v>27</v>
      </c>
      <c r="P1976" t="str">
        <f>TEXT(Table1[[#This Row],[order_date]],"yyyy-mm")</f>
        <v>2025-08</v>
      </c>
      <c r="Q1976">
        <f>WEEKNUM(Table1[[#This Row],[order_date]])</f>
        <v>33</v>
      </c>
      <c r="R1976">
        <f>IF(Table1[[#This Row],[order_status]]="completed",1,0)</f>
        <v>1</v>
      </c>
    </row>
    <row r="1977" spans="1:18" x14ac:dyDescent="0.35">
      <c r="A1977">
        <v>1976</v>
      </c>
      <c r="B1977" s="1">
        <v>45856</v>
      </c>
      <c r="C1977">
        <v>1992</v>
      </c>
      <c r="D1977" t="s">
        <v>15</v>
      </c>
      <c r="E1977" t="s">
        <v>29</v>
      </c>
      <c r="F1977" t="s">
        <v>24</v>
      </c>
      <c r="G1977">
        <v>3</v>
      </c>
      <c r="H1977">
        <v>0</v>
      </c>
      <c r="I1977" t="s">
        <v>35</v>
      </c>
      <c r="J1977" t="s">
        <v>37</v>
      </c>
      <c r="K1977" t="s">
        <v>40</v>
      </c>
      <c r="L1977">
        <v>8</v>
      </c>
      <c r="M1977">
        <v>1</v>
      </c>
      <c r="N1977">
        <v>0</v>
      </c>
      <c r="O1977" t="s">
        <v>27</v>
      </c>
      <c r="P1977" t="str">
        <f>TEXT(Table1[[#This Row],[order_date]],"yyyy-mm")</f>
        <v>2025-07</v>
      </c>
      <c r="Q1977">
        <f>WEEKNUM(Table1[[#This Row],[order_date]])</f>
        <v>29</v>
      </c>
      <c r="R1977">
        <f>IF(Table1[[#This Row],[order_status]]="completed",1,0)</f>
        <v>0</v>
      </c>
    </row>
    <row r="1978" spans="1:18" x14ac:dyDescent="0.35">
      <c r="A1978">
        <v>1977</v>
      </c>
      <c r="B1978" s="1">
        <v>45913</v>
      </c>
      <c r="C1978">
        <v>1837</v>
      </c>
      <c r="D1978" t="s">
        <v>15</v>
      </c>
      <c r="E1978" t="s">
        <v>33</v>
      </c>
      <c r="F1978" t="s">
        <v>30</v>
      </c>
      <c r="G1978">
        <v>1</v>
      </c>
      <c r="H1978">
        <v>0</v>
      </c>
      <c r="I1978" t="s">
        <v>35</v>
      </c>
      <c r="J1978" t="s">
        <v>31</v>
      </c>
      <c r="K1978" t="s">
        <v>40</v>
      </c>
      <c r="L1978">
        <v>4</v>
      </c>
      <c r="M1978">
        <v>0</v>
      </c>
      <c r="N1978">
        <v>0</v>
      </c>
      <c r="O1978" t="s">
        <v>21</v>
      </c>
      <c r="P1978" t="str">
        <f>TEXT(Table1[[#This Row],[order_date]],"yyyy-mm")</f>
        <v>2025-09</v>
      </c>
      <c r="Q1978">
        <f>WEEKNUM(Table1[[#This Row],[order_date]])</f>
        <v>37</v>
      </c>
      <c r="R1978">
        <f>IF(Table1[[#This Row],[order_status]]="completed",1,0)</f>
        <v>0</v>
      </c>
    </row>
    <row r="1979" spans="1:18" x14ac:dyDescent="0.35">
      <c r="A1979">
        <v>1978</v>
      </c>
      <c r="B1979" s="1">
        <v>45978</v>
      </c>
      <c r="C1979">
        <v>1678</v>
      </c>
      <c r="D1979" t="s">
        <v>15</v>
      </c>
      <c r="E1979" t="s">
        <v>33</v>
      </c>
      <c r="F1979" t="s">
        <v>30</v>
      </c>
      <c r="G1979">
        <v>3</v>
      </c>
      <c r="H1979">
        <v>7215</v>
      </c>
      <c r="I1979" t="s">
        <v>25</v>
      </c>
      <c r="J1979" t="s">
        <v>19</v>
      </c>
      <c r="K1979" t="s">
        <v>38</v>
      </c>
      <c r="L1979">
        <v>8</v>
      </c>
      <c r="M1979">
        <v>1</v>
      </c>
      <c r="N1979">
        <v>1</v>
      </c>
      <c r="O1979" t="s">
        <v>27</v>
      </c>
      <c r="P1979" t="str">
        <f>TEXT(Table1[[#This Row],[order_date]],"yyyy-mm")</f>
        <v>2025-11</v>
      </c>
      <c r="Q1979">
        <f>WEEKNUM(Table1[[#This Row],[order_date]])</f>
        <v>47</v>
      </c>
      <c r="R1979">
        <f>IF(Table1[[#This Row],[order_status]]="completed",1,0)</f>
        <v>1</v>
      </c>
    </row>
    <row r="1980" spans="1:18" x14ac:dyDescent="0.35">
      <c r="A1980">
        <v>1979</v>
      </c>
      <c r="B1980" s="1">
        <v>45928</v>
      </c>
      <c r="C1980">
        <v>1746</v>
      </c>
      <c r="D1980" t="s">
        <v>15</v>
      </c>
      <c r="E1980" t="s">
        <v>29</v>
      </c>
      <c r="F1980" t="s">
        <v>30</v>
      </c>
      <c r="G1980">
        <v>4</v>
      </c>
      <c r="H1980">
        <v>0</v>
      </c>
      <c r="I1980" t="s">
        <v>18</v>
      </c>
      <c r="J1980" t="s">
        <v>37</v>
      </c>
      <c r="K1980" t="s">
        <v>26</v>
      </c>
      <c r="L1980">
        <v>7</v>
      </c>
      <c r="M1980">
        <v>1</v>
      </c>
      <c r="N1980">
        <v>0</v>
      </c>
      <c r="O1980" t="s">
        <v>27</v>
      </c>
      <c r="P1980" t="str">
        <f>TEXT(Table1[[#This Row],[order_date]],"yyyy-mm")</f>
        <v>2025-09</v>
      </c>
      <c r="Q1980">
        <f>WEEKNUM(Table1[[#This Row],[order_date]])</f>
        <v>40</v>
      </c>
      <c r="R1980">
        <f>IF(Table1[[#This Row],[order_status]]="completed",1,0)</f>
        <v>0</v>
      </c>
    </row>
    <row r="1981" spans="1:18" x14ac:dyDescent="0.35">
      <c r="A1981">
        <v>1980</v>
      </c>
      <c r="B1981" s="1">
        <v>45872</v>
      </c>
      <c r="C1981">
        <v>1993</v>
      </c>
      <c r="D1981" t="s">
        <v>32</v>
      </c>
      <c r="E1981" t="s">
        <v>23</v>
      </c>
      <c r="F1981" t="s">
        <v>34</v>
      </c>
      <c r="G1981">
        <v>1</v>
      </c>
      <c r="H1981">
        <v>0</v>
      </c>
      <c r="I1981" t="s">
        <v>39</v>
      </c>
      <c r="J1981" t="s">
        <v>37</v>
      </c>
      <c r="K1981" t="s">
        <v>26</v>
      </c>
      <c r="L1981">
        <v>4</v>
      </c>
      <c r="M1981">
        <v>0</v>
      </c>
      <c r="N1981">
        <v>0</v>
      </c>
      <c r="O1981" t="s">
        <v>27</v>
      </c>
      <c r="P1981" t="str">
        <f>TEXT(Table1[[#This Row],[order_date]],"yyyy-mm")</f>
        <v>2025-08</v>
      </c>
      <c r="Q1981">
        <f>WEEKNUM(Table1[[#This Row],[order_date]])</f>
        <v>32</v>
      </c>
      <c r="R1981">
        <f>IF(Table1[[#This Row],[order_status]]="completed",1,0)</f>
        <v>0</v>
      </c>
    </row>
    <row r="1982" spans="1:18" x14ac:dyDescent="0.35">
      <c r="A1982">
        <v>1981</v>
      </c>
      <c r="B1982" s="1">
        <v>45893</v>
      </c>
      <c r="C1982">
        <v>1412</v>
      </c>
      <c r="D1982" t="s">
        <v>32</v>
      </c>
      <c r="E1982" t="s">
        <v>36</v>
      </c>
      <c r="F1982" t="s">
        <v>34</v>
      </c>
      <c r="G1982">
        <v>1</v>
      </c>
      <c r="H1982">
        <v>0</v>
      </c>
      <c r="I1982" t="s">
        <v>39</v>
      </c>
      <c r="J1982" t="s">
        <v>37</v>
      </c>
      <c r="K1982" t="s">
        <v>40</v>
      </c>
      <c r="L1982">
        <v>1</v>
      </c>
      <c r="M1982">
        <v>0</v>
      </c>
      <c r="N1982">
        <v>1</v>
      </c>
      <c r="O1982" t="s">
        <v>27</v>
      </c>
      <c r="P1982" t="str">
        <f>TEXT(Table1[[#This Row],[order_date]],"yyyy-mm")</f>
        <v>2025-08</v>
      </c>
      <c r="Q1982">
        <f>WEEKNUM(Table1[[#This Row],[order_date]])</f>
        <v>35</v>
      </c>
      <c r="R1982">
        <f>IF(Table1[[#This Row],[order_status]]="completed",1,0)</f>
        <v>0</v>
      </c>
    </row>
    <row r="1983" spans="1:18" x14ac:dyDescent="0.35">
      <c r="A1983">
        <v>1982</v>
      </c>
      <c r="B1983" s="1">
        <v>45942</v>
      </c>
      <c r="C1983">
        <v>1089</v>
      </c>
      <c r="D1983" t="s">
        <v>41</v>
      </c>
      <c r="E1983" t="s">
        <v>33</v>
      </c>
      <c r="F1983" t="s">
        <v>30</v>
      </c>
      <c r="G1983">
        <v>1</v>
      </c>
      <c r="H1983">
        <v>521</v>
      </c>
      <c r="I1983" t="s">
        <v>35</v>
      </c>
      <c r="J1983" t="s">
        <v>19</v>
      </c>
      <c r="K1983" t="s">
        <v>20</v>
      </c>
      <c r="L1983">
        <v>8</v>
      </c>
      <c r="M1983">
        <v>1</v>
      </c>
      <c r="N1983">
        <v>1</v>
      </c>
      <c r="O1983" t="s">
        <v>21</v>
      </c>
      <c r="P1983" t="str">
        <f>TEXT(Table1[[#This Row],[order_date]],"yyyy-mm")</f>
        <v>2025-10</v>
      </c>
      <c r="Q1983">
        <f>WEEKNUM(Table1[[#This Row],[order_date]])</f>
        <v>42</v>
      </c>
      <c r="R1983">
        <f>IF(Table1[[#This Row],[order_status]]="completed",1,0)</f>
        <v>1</v>
      </c>
    </row>
    <row r="1984" spans="1:18" x14ac:dyDescent="0.35">
      <c r="A1984">
        <v>1983</v>
      </c>
      <c r="B1984" s="1">
        <v>45963</v>
      </c>
      <c r="C1984">
        <v>1665</v>
      </c>
      <c r="D1984" t="s">
        <v>28</v>
      </c>
      <c r="E1984" t="s">
        <v>16</v>
      </c>
      <c r="F1984" t="s">
        <v>34</v>
      </c>
      <c r="G1984">
        <v>5</v>
      </c>
      <c r="H1984">
        <v>0</v>
      </c>
      <c r="I1984" t="s">
        <v>39</v>
      </c>
      <c r="J1984" t="s">
        <v>37</v>
      </c>
      <c r="K1984" t="s">
        <v>38</v>
      </c>
      <c r="L1984">
        <v>9</v>
      </c>
      <c r="M1984">
        <v>1</v>
      </c>
      <c r="N1984">
        <v>1</v>
      </c>
      <c r="O1984" t="s">
        <v>21</v>
      </c>
      <c r="P1984" t="str">
        <f>TEXT(Table1[[#This Row],[order_date]],"yyyy-mm")</f>
        <v>2025-11</v>
      </c>
      <c r="Q1984">
        <f>WEEKNUM(Table1[[#This Row],[order_date]])</f>
        <v>45</v>
      </c>
      <c r="R1984">
        <f>IF(Table1[[#This Row],[order_status]]="completed",1,0)</f>
        <v>0</v>
      </c>
    </row>
    <row r="1985" spans="1:18" x14ac:dyDescent="0.35">
      <c r="A1985">
        <v>1984</v>
      </c>
      <c r="B1985" s="1">
        <v>45890</v>
      </c>
      <c r="C1985">
        <v>1212</v>
      </c>
      <c r="D1985" t="s">
        <v>28</v>
      </c>
      <c r="E1985" t="s">
        <v>36</v>
      </c>
      <c r="F1985" t="s">
        <v>30</v>
      </c>
      <c r="G1985">
        <v>4</v>
      </c>
      <c r="H1985">
        <v>0</v>
      </c>
      <c r="I1985" t="s">
        <v>35</v>
      </c>
      <c r="J1985" t="s">
        <v>37</v>
      </c>
      <c r="K1985" t="s">
        <v>20</v>
      </c>
      <c r="L1985">
        <v>4</v>
      </c>
      <c r="M1985">
        <v>1</v>
      </c>
      <c r="N1985">
        <v>0</v>
      </c>
      <c r="O1985" t="s">
        <v>27</v>
      </c>
      <c r="P1985" t="str">
        <f>TEXT(Table1[[#This Row],[order_date]],"yyyy-mm")</f>
        <v>2025-08</v>
      </c>
      <c r="Q1985">
        <f>WEEKNUM(Table1[[#This Row],[order_date]])</f>
        <v>34</v>
      </c>
      <c r="R1985">
        <f>IF(Table1[[#This Row],[order_status]]="completed",1,0)</f>
        <v>0</v>
      </c>
    </row>
    <row r="1986" spans="1:18" x14ac:dyDescent="0.35">
      <c r="A1986">
        <v>1985</v>
      </c>
      <c r="B1986" s="1">
        <v>45972</v>
      </c>
      <c r="C1986">
        <v>1236</v>
      </c>
      <c r="D1986" t="s">
        <v>41</v>
      </c>
      <c r="E1986" t="s">
        <v>23</v>
      </c>
      <c r="F1986" t="s">
        <v>17</v>
      </c>
      <c r="G1986">
        <v>4</v>
      </c>
      <c r="H1986">
        <v>0</v>
      </c>
      <c r="I1986" t="s">
        <v>25</v>
      </c>
      <c r="J1986" t="s">
        <v>37</v>
      </c>
      <c r="K1986" t="s">
        <v>38</v>
      </c>
      <c r="L1986">
        <v>4</v>
      </c>
      <c r="M1986">
        <v>0</v>
      </c>
      <c r="N1986">
        <v>0</v>
      </c>
      <c r="O1986" t="s">
        <v>21</v>
      </c>
      <c r="P1986" t="str">
        <f>TEXT(Table1[[#This Row],[order_date]],"yyyy-mm")</f>
        <v>2025-11</v>
      </c>
      <c r="Q1986">
        <f>WEEKNUM(Table1[[#This Row],[order_date]])</f>
        <v>46</v>
      </c>
      <c r="R1986">
        <f>IF(Table1[[#This Row],[order_status]]="completed",1,0)</f>
        <v>0</v>
      </c>
    </row>
    <row r="1987" spans="1:18" x14ac:dyDescent="0.35">
      <c r="A1987">
        <v>1986</v>
      </c>
      <c r="B1987" s="1">
        <v>45913</v>
      </c>
      <c r="C1987">
        <v>1902</v>
      </c>
      <c r="D1987" t="s">
        <v>32</v>
      </c>
      <c r="E1987" t="s">
        <v>16</v>
      </c>
      <c r="F1987" t="s">
        <v>24</v>
      </c>
      <c r="G1987">
        <v>5</v>
      </c>
      <c r="H1987">
        <v>0</v>
      </c>
      <c r="I1987" t="s">
        <v>39</v>
      </c>
      <c r="J1987" t="s">
        <v>31</v>
      </c>
      <c r="K1987" t="s">
        <v>20</v>
      </c>
      <c r="L1987">
        <v>10</v>
      </c>
      <c r="M1987">
        <v>1</v>
      </c>
      <c r="N1987">
        <v>1</v>
      </c>
      <c r="O1987" t="s">
        <v>27</v>
      </c>
      <c r="P1987" t="str">
        <f>TEXT(Table1[[#This Row],[order_date]],"yyyy-mm")</f>
        <v>2025-09</v>
      </c>
      <c r="Q1987">
        <f>WEEKNUM(Table1[[#This Row],[order_date]])</f>
        <v>37</v>
      </c>
      <c r="R1987">
        <f>IF(Table1[[#This Row],[order_status]]="completed",1,0)</f>
        <v>0</v>
      </c>
    </row>
    <row r="1988" spans="1:18" x14ac:dyDescent="0.35">
      <c r="A1988">
        <v>1987</v>
      </c>
      <c r="B1988" s="1">
        <v>46010</v>
      </c>
      <c r="C1988">
        <v>1487</v>
      </c>
      <c r="D1988" t="s">
        <v>28</v>
      </c>
      <c r="E1988" t="s">
        <v>16</v>
      </c>
      <c r="F1988" t="s">
        <v>17</v>
      </c>
      <c r="G1988">
        <v>5</v>
      </c>
      <c r="H1988">
        <v>9445</v>
      </c>
      <c r="I1988" t="s">
        <v>35</v>
      </c>
      <c r="J1988" t="s">
        <v>19</v>
      </c>
      <c r="K1988" t="s">
        <v>26</v>
      </c>
      <c r="L1988">
        <v>8</v>
      </c>
      <c r="M1988">
        <v>1</v>
      </c>
      <c r="N1988">
        <v>1</v>
      </c>
      <c r="O1988" t="s">
        <v>27</v>
      </c>
      <c r="P1988" t="str">
        <f>TEXT(Table1[[#This Row],[order_date]],"yyyy-mm")</f>
        <v>2025-12</v>
      </c>
      <c r="Q1988">
        <f>WEEKNUM(Table1[[#This Row],[order_date]])</f>
        <v>51</v>
      </c>
      <c r="R1988">
        <f>IF(Table1[[#This Row],[order_status]]="completed",1,0)</f>
        <v>1</v>
      </c>
    </row>
    <row r="1989" spans="1:18" x14ac:dyDescent="0.35">
      <c r="A1989">
        <v>1988</v>
      </c>
      <c r="B1989" s="1">
        <v>46023</v>
      </c>
      <c r="C1989">
        <v>1312</v>
      </c>
      <c r="D1989" t="s">
        <v>15</v>
      </c>
      <c r="E1989" t="s">
        <v>33</v>
      </c>
      <c r="F1989" t="s">
        <v>34</v>
      </c>
      <c r="G1989">
        <v>2</v>
      </c>
      <c r="H1989">
        <v>0</v>
      </c>
      <c r="I1989" t="s">
        <v>18</v>
      </c>
      <c r="J1989" t="s">
        <v>31</v>
      </c>
      <c r="K1989" t="s">
        <v>38</v>
      </c>
      <c r="L1989">
        <v>2</v>
      </c>
      <c r="M1989">
        <v>1</v>
      </c>
      <c r="N1989">
        <v>1</v>
      </c>
      <c r="O1989" t="s">
        <v>21</v>
      </c>
      <c r="P1989" t="str">
        <f>TEXT(Table1[[#This Row],[order_date]],"yyyy-mm")</f>
        <v>2026-01</v>
      </c>
      <c r="Q1989">
        <f>WEEKNUM(Table1[[#This Row],[order_date]])</f>
        <v>1</v>
      </c>
      <c r="R1989">
        <f>IF(Table1[[#This Row],[order_status]]="completed",1,0)</f>
        <v>0</v>
      </c>
    </row>
    <row r="1990" spans="1:18" x14ac:dyDescent="0.35">
      <c r="A1990">
        <v>1989</v>
      </c>
      <c r="B1990" s="1">
        <v>45921</v>
      </c>
      <c r="C1990">
        <v>1632</v>
      </c>
      <c r="D1990" t="s">
        <v>15</v>
      </c>
      <c r="E1990" t="s">
        <v>29</v>
      </c>
      <c r="F1990" t="s">
        <v>30</v>
      </c>
      <c r="G1990">
        <v>1</v>
      </c>
      <c r="H1990">
        <v>3587</v>
      </c>
      <c r="I1990" t="s">
        <v>35</v>
      </c>
      <c r="J1990" t="s">
        <v>19</v>
      </c>
      <c r="K1990" t="s">
        <v>40</v>
      </c>
      <c r="L1990">
        <v>1</v>
      </c>
      <c r="M1990">
        <v>0</v>
      </c>
      <c r="N1990">
        <v>1</v>
      </c>
      <c r="O1990" t="s">
        <v>27</v>
      </c>
      <c r="P1990" t="str">
        <f>TEXT(Table1[[#This Row],[order_date]],"yyyy-mm")</f>
        <v>2025-09</v>
      </c>
      <c r="Q1990">
        <f>WEEKNUM(Table1[[#This Row],[order_date]])</f>
        <v>39</v>
      </c>
      <c r="R1990">
        <f>IF(Table1[[#This Row],[order_status]]="completed",1,0)</f>
        <v>1</v>
      </c>
    </row>
    <row r="1991" spans="1:18" x14ac:dyDescent="0.35">
      <c r="A1991">
        <v>1990</v>
      </c>
      <c r="B1991" s="1">
        <v>45869</v>
      </c>
      <c r="C1991">
        <v>1321</v>
      </c>
      <c r="D1991" t="s">
        <v>28</v>
      </c>
      <c r="E1991" t="s">
        <v>16</v>
      </c>
      <c r="F1991" t="s">
        <v>30</v>
      </c>
      <c r="G1991">
        <v>1</v>
      </c>
      <c r="H1991">
        <v>2881</v>
      </c>
      <c r="I1991" t="s">
        <v>18</v>
      </c>
      <c r="J1991" t="s">
        <v>19</v>
      </c>
      <c r="K1991" t="s">
        <v>38</v>
      </c>
      <c r="L1991">
        <v>2</v>
      </c>
      <c r="M1991">
        <v>0</v>
      </c>
      <c r="N1991">
        <v>1</v>
      </c>
      <c r="O1991" t="s">
        <v>21</v>
      </c>
      <c r="P1991" t="str">
        <f>TEXT(Table1[[#This Row],[order_date]],"yyyy-mm")</f>
        <v>2025-07</v>
      </c>
      <c r="Q1991">
        <f>WEEKNUM(Table1[[#This Row],[order_date]])</f>
        <v>31</v>
      </c>
      <c r="R1991">
        <f>IF(Table1[[#This Row],[order_status]]="completed",1,0)</f>
        <v>1</v>
      </c>
    </row>
    <row r="1992" spans="1:18" x14ac:dyDescent="0.35">
      <c r="A1992">
        <v>1991</v>
      </c>
      <c r="B1992" s="1">
        <v>45876</v>
      </c>
      <c r="C1992">
        <v>1021</v>
      </c>
      <c r="D1992" t="s">
        <v>15</v>
      </c>
      <c r="E1992" t="s">
        <v>29</v>
      </c>
      <c r="F1992" t="s">
        <v>24</v>
      </c>
      <c r="G1992">
        <v>5</v>
      </c>
      <c r="H1992">
        <v>0</v>
      </c>
      <c r="I1992" t="s">
        <v>25</v>
      </c>
      <c r="J1992" t="s">
        <v>31</v>
      </c>
      <c r="K1992" t="s">
        <v>40</v>
      </c>
      <c r="L1992">
        <v>5</v>
      </c>
      <c r="M1992">
        <v>0</v>
      </c>
      <c r="N1992">
        <v>1</v>
      </c>
      <c r="O1992" t="s">
        <v>27</v>
      </c>
      <c r="P1992" t="str">
        <f>TEXT(Table1[[#This Row],[order_date]],"yyyy-mm")</f>
        <v>2025-08</v>
      </c>
      <c r="Q1992">
        <f>WEEKNUM(Table1[[#This Row],[order_date]])</f>
        <v>32</v>
      </c>
      <c r="R1992">
        <f>IF(Table1[[#This Row],[order_status]]="completed",1,0)</f>
        <v>0</v>
      </c>
    </row>
    <row r="1993" spans="1:18" x14ac:dyDescent="0.35">
      <c r="A1993">
        <v>1992</v>
      </c>
      <c r="B1993" s="1">
        <v>45957</v>
      </c>
      <c r="C1993">
        <v>1047</v>
      </c>
      <c r="D1993" t="s">
        <v>41</v>
      </c>
      <c r="E1993" t="s">
        <v>16</v>
      </c>
      <c r="F1993" t="s">
        <v>30</v>
      </c>
      <c r="G1993">
        <v>2</v>
      </c>
      <c r="H1993">
        <v>0</v>
      </c>
      <c r="I1993" t="s">
        <v>25</v>
      </c>
      <c r="J1993" t="s">
        <v>37</v>
      </c>
      <c r="K1993" t="s">
        <v>38</v>
      </c>
      <c r="L1993">
        <v>10</v>
      </c>
      <c r="M1993">
        <v>1</v>
      </c>
      <c r="N1993">
        <v>1</v>
      </c>
      <c r="O1993" t="s">
        <v>21</v>
      </c>
      <c r="P1993" t="str">
        <f>TEXT(Table1[[#This Row],[order_date]],"yyyy-mm")</f>
        <v>2025-10</v>
      </c>
      <c r="Q1993">
        <f>WEEKNUM(Table1[[#This Row],[order_date]])</f>
        <v>44</v>
      </c>
      <c r="R1993">
        <f>IF(Table1[[#This Row],[order_status]]="completed",1,0)</f>
        <v>0</v>
      </c>
    </row>
    <row r="1994" spans="1:18" x14ac:dyDescent="0.35">
      <c r="A1994">
        <v>1993</v>
      </c>
      <c r="B1994" s="1">
        <v>46024</v>
      </c>
      <c r="C1994">
        <v>1017</v>
      </c>
      <c r="D1994" t="s">
        <v>41</v>
      </c>
      <c r="E1994" t="s">
        <v>16</v>
      </c>
      <c r="F1994" t="s">
        <v>34</v>
      </c>
      <c r="G1994">
        <v>3</v>
      </c>
      <c r="H1994">
        <v>0</v>
      </c>
      <c r="I1994" t="s">
        <v>35</v>
      </c>
      <c r="J1994" t="s">
        <v>31</v>
      </c>
      <c r="K1994" t="s">
        <v>20</v>
      </c>
      <c r="L1994">
        <v>9</v>
      </c>
      <c r="M1994">
        <v>0</v>
      </c>
      <c r="N1994">
        <v>1</v>
      </c>
      <c r="O1994" t="s">
        <v>21</v>
      </c>
      <c r="P1994" t="str">
        <f>TEXT(Table1[[#This Row],[order_date]],"yyyy-mm")</f>
        <v>2026-01</v>
      </c>
      <c r="Q1994">
        <f>WEEKNUM(Table1[[#This Row],[order_date]])</f>
        <v>1</v>
      </c>
      <c r="R1994">
        <f>IF(Table1[[#This Row],[order_status]]="completed",1,0)</f>
        <v>0</v>
      </c>
    </row>
    <row r="1995" spans="1:18" x14ac:dyDescent="0.35">
      <c r="A1995">
        <v>1994</v>
      </c>
      <c r="B1995" s="1">
        <v>46013</v>
      </c>
      <c r="C1995">
        <v>1513</v>
      </c>
      <c r="D1995" t="s">
        <v>15</v>
      </c>
      <c r="E1995" t="s">
        <v>16</v>
      </c>
      <c r="F1995" t="s">
        <v>30</v>
      </c>
      <c r="G1995">
        <v>1</v>
      </c>
      <c r="H1995">
        <v>0</v>
      </c>
      <c r="I1995" t="s">
        <v>25</v>
      </c>
      <c r="J1995" t="s">
        <v>31</v>
      </c>
      <c r="K1995" t="s">
        <v>40</v>
      </c>
      <c r="L1995">
        <v>2</v>
      </c>
      <c r="M1995">
        <v>1</v>
      </c>
      <c r="N1995">
        <v>0</v>
      </c>
      <c r="O1995" t="s">
        <v>27</v>
      </c>
      <c r="P1995" t="str">
        <f>TEXT(Table1[[#This Row],[order_date]],"yyyy-mm")</f>
        <v>2025-12</v>
      </c>
      <c r="Q1995">
        <f>WEEKNUM(Table1[[#This Row],[order_date]])</f>
        <v>52</v>
      </c>
      <c r="R1995">
        <f>IF(Table1[[#This Row],[order_status]]="completed",1,0)</f>
        <v>0</v>
      </c>
    </row>
    <row r="1996" spans="1:18" x14ac:dyDescent="0.35">
      <c r="A1996">
        <v>1995</v>
      </c>
      <c r="B1996" s="1">
        <v>45902</v>
      </c>
      <c r="C1996">
        <v>1114</v>
      </c>
      <c r="D1996" t="s">
        <v>32</v>
      </c>
      <c r="E1996" t="s">
        <v>33</v>
      </c>
      <c r="F1996" t="s">
        <v>24</v>
      </c>
      <c r="G1996">
        <v>1</v>
      </c>
      <c r="H1996">
        <v>0</v>
      </c>
      <c r="I1996" t="s">
        <v>35</v>
      </c>
      <c r="J1996" t="s">
        <v>31</v>
      </c>
      <c r="K1996" t="s">
        <v>38</v>
      </c>
      <c r="L1996">
        <v>8</v>
      </c>
      <c r="M1996">
        <v>1</v>
      </c>
      <c r="N1996">
        <v>0</v>
      </c>
      <c r="O1996" t="s">
        <v>27</v>
      </c>
      <c r="P1996" t="str">
        <f>TEXT(Table1[[#This Row],[order_date]],"yyyy-mm")</f>
        <v>2025-09</v>
      </c>
      <c r="Q1996">
        <f>WEEKNUM(Table1[[#This Row],[order_date]])</f>
        <v>36</v>
      </c>
      <c r="R1996">
        <f>IF(Table1[[#This Row],[order_status]]="completed",1,0)</f>
        <v>0</v>
      </c>
    </row>
    <row r="1997" spans="1:18" x14ac:dyDescent="0.35">
      <c r="A1997">
        <v>1996</v>
      </c>
      <c r="B1997" s="1">
        <v>45951</v>
      </c>
      <c r="C1997">
        <v>1908</v>
      </c>
      <c r="D1997" t="s">
        <v>32</v>
      </c>
      <c r="E1997" t="s">
        <v>23</v>
      </c>
      <c r="F1997" t="s">
        <v>17</v>
      </c>
      <c r="G1997">
        <v>2</v>
      </c>
      <c r="H1997">
        <v>0</v>
      </c>
      <c r="I1997" t="s">
        <v>35</v>
      </c>
      <c r="J1997" t="s">
        <v>31</v>
      </c>
      <c r="K1997" t="s">
        <v>38</v>
      </c>
      <c r="L1997">
        <v>8</v>
      </c>
      <c r="M1997">
        <v>0</v>
      </c>
      <c r="N1997">
        <v>1</v>
      </c>
      <c r="O1997" t="s">
        <v>27</v>
      </c>
      <c r="P1997" t="str">
        <f>TEXT(Table1[[#This Row],[order_date]],"yyyy-mm")</f>
        <v>2025-10</v>
      </c>
      <c r="Q1997">
        <f>WEEKNUM(Table1[[#This Row],[order_date]])</f>
        <v>43</v>
      </c>
      <c r="R1997">
        <f>IF(Table1[[#This Row],[order_status]]="completed",1,0)</f>
        <v>0</v>
      </c>
    </row>
    <row r="1998" spans="1:18" x14ac:dyDescent="0.35">
      <c r="A1998">
        <v>1997</v>
      </c>
      <c r="B1998" s="1">
        <v>45876</v>
      </c>
      <c r="C1998">
        <v>1975</v>
      </c>
      <c r="D1998" t="s">
        <v>41</v>
      </c>
      <c r="E1998" t="s">
        <v>33</v>
      </c>
      <c r="F1998" t="s">
        <v>17</v>
      </c>
      <c r="G1998">
        <v>2</v>
      </c>
      <c r="H1998">
        <v>5740</v>
      </c>
      <c r="I1998" t="s">
        <v>18</v>
      </c>
      <c r="J1998" t="s">
        <v>19</v>
      </c>
      <c r="K1998" t="s">
        <v>38</v>
      </c>
      <c r="L1998">
        <v>9</v>
      </c>
      <c r="M1998">
        <v>0</v>
      </c>
      <c r="N1998">
        <v>0</v>
      </c>
      <c r="O1998" t="s">
        <v>21</v>
      </c>
      <c r="P1998" t="str">
        <f>TEXT(Table1[[#This Row],[order_date]],"yyyy-mm")</f>
        <v>2025-08</v>
      </c>
      <c r="Q1998">
        <f>WEEKNUM(Table1[[#This Row],[order_date]])</f>
        <v>32</v>
      </c>
      <c r="R1998">
        <f>IF(Table1[[#This Row],[order_status]]="completed",1,0)</f>
        <v>1</v>
      </c>
    </row>
    <row r="1999" spans="1:18" x14ac:dyDescent="0.35">
      <c r="A1999">
        <v>1998</v>
      </c>
      <c r="B1999" s="1">
        <v>45970</v>
      </c>
      <c r="C1999">
        <v>1977</v>
      </c>
      <c r="D1999" t="s">
        <v>15</v>
      </c>
      <c r="E1999" t="s">
        <v>29</v>
      </c>
      <c r="F1999" t="s">
        <v>34</v>
      </c>
      <c r="G1999">
        <v>5</v>
      </c>
      <c r="H1999">
        <v>0</v>
      </c>
      <c r="I1999" t="s">
        <v>25</v>
      </c>
      <c r="J1999" t="s">
        <v>37</v>
      </c>
      <c r="K1999" t="s">
        <v>26</v>
      </c>
      <c r="L1999">
        <v>4</v>
      </c>
      <c r="M1999">
        <v>0</v>
      </c>
      <c r="N1999">
        <v>1</v>
      </c>
      <c r="O1999" t="s">
        <v>27</v>
      </c>
      <c r="P1999" t="str">
        <f>TEXT(Table1[[#This Row],[order_date]],"yyyy-mm")</f>
        <v>2025-11</v>
      </c>
      <c r="Q1999">
        <f>WEEKNUM(Table1[[#This Row],[order_date]])</f>
        <v>46</v>
      </c>
      <c r="R1999">
        <f>IF(Table1[[#This Row],[order_status]]="completed",1,0)</f>
        <v>0</v>
      </c>
    </row>
    <row r="2000" spans="1:18" x14ac:dyDescent="0.35">
      <c r="A2000">
        <v>1999</v>
      </c>
      <c r="B2000" s="1">
        <v>46014</v>
      </c>
      <c r="C2000">
        <v>1506</v>
      </c>
      <c r="D2000" t="s">
        <v>32</v>
      </c>
      <c r="E2000" t="s">
        <v>36</v>
      </c>
      <c r="F2000" t="s">
        <v>24</v>
      </c>
      <c r="G2000">
        <v>5</v>
      </c>
      <c r="H2000">
        <v>0</v>
      </c>
      <c r="I2000" t="s">
        <v>25</v>
      </c>
      <c r="J2000" t="s">
        <v>31</v>
      </c>
      <c r="K2000" t="s">
        <v>26</v>
      </c>
      <c r="L2000">
        <v>7</v>
      </c>
      <c r="M2000">
        <v>1</v>
      </c>
      <c r="N2000">
        <v>1</v>
      </c>
      <c r="O2000" t="s">
        <v>27</v>
      </c>
      <c r="P2000" t="str">
        <f>TEXT(Table1[[#This Row],[order_date]],"yyyy-mm")</f>
        <v>2025-12</v>
      </c>
      <c r="Q2000">
        <f>WEEKNUM(Table1[[#This Row],[order_date]])</f>
        <v>52</v>
      </c>
      <c r="R2000">
        <f>IF(Table1[[#This Row],[order_status]]="completed",1,0)</f>
        <v>0</v>
      </c>
    </row>
    <row r="2001" spans="1:18" x14ac:dyDescent="0.35">
      <c r="A2001">
        <v>2000</v>
      </c>
      <c r="B2001" s="1">
        <v>45994</v>
      </c>
      <c r="C2001">
        <v>1375</v>
      </c>
      <c r="D2001" t="s">
        <v>28</v>
      </c>
      <c r="E2001" t="s">
        <v>33</v>
      </c>
      <c r="F2001" t="s">
        <v>17</v>
      </c>
      <c r="G2001">
        <v>5</v>
      </c>
      <c r="H2001">
        <v>0</v>
      </c>
      <c r="I2001" t="s">
        <v>35</v>
      </c>
      <c r="J2001" t="s">
        <v>31</v>
      </c>
      <c r="K2001" t="s">
        <v>40</v>
      </c>
      <c r="L2001">
        <v>6</v>
      </c>
      <c r="M2001">
        <v>1</v>
      </c>
      <c r="N2001">
        <v>1</v>
      </c>
      <c r="O2001" t="s">
        <v>21</v>
      </c>
      <c r="P2001" t="str">
        <f>TEXT(Table1[[#This Row],[order_date]],"yyyy-mm")</f>
        <v>2025-12</v>
      </c>
      <c r="Q2001">
        <f>WEEKNUM(Table1[[#This Row],[order_date]])</f>
        <v>49</v>
      </c>
      <c r="R2001">
        <f>IF(Table1[[#This Row],[order_status]]="completed",1,0)</f>
        <v>0</v>
      </c>
    </row>
    <row r="2002" spans="1:18" x14ac:dyDescent="0.35">
      <c r="A2002">
        <v>2001</v>
      </c>
      <c r="B2002" s="1">
        <v>45892</v>
      </c>
      <c r="C2002">
        <v>1007</v>
      </c>
      <c r="D2002" t="s">
        <v>32</v>
      </c>
      <c r="E2002" t="s">
        <v>33</v>
      </c>
      <c r="F2002" t="s">
        <v>17</v>
      </c>
      <c r="G2002">
        <v>1</v>
      </c>
      <c r="H2002">
        <v>0</v>
      </c>
      <c r="I2002" t="s">
        <v>35</v>
      </c>
      <c r="J2002" t="s">
        <v>37</v>
      </c>
      <c r="K2002" t="s">
        <v>38</v>
      </c>
      <c r="L2002">
        <v>8</v>
      </c>
      <c r="M2002">
        <v>0</v>
      </c>
      <c r="N2002">
        <v>1</v>
      </c>
      <c r="O2002" t="s">
        <v>21</v>
      </c>
      <c r="P2002" t="str">
        <f>TEXT(Table1[[#This Row],[order_date]],"yyyy-mm")</f>
        <v>2025-08</v>
      </c>
      <c r="Q2002">
        <f>WEEKNUM(Table1[[#This Row],[order_date]])</f>
        <v>34</v>
      </c>
      <c r="R2002">
        <f>IF(Table1[[#This Row],[order_status]]="completed",1,0)</f>
        <v>0</v>
      </c>
    </row>
    <row r="2003" spans="1:18" x14ac:dyDescent="0.35">
      <c r="A2003">
        <v>2002</v>
      </c>
      <c r="B2003" s="1">
        <v>45940</v>
      </c>
      <c r="C2003">
        <v>1768</v>
      </c>
      <c r="D2003" t="s">
        <v>15</v>
      </c>
      <c r="E2003" t="s">
        <v>33</v>
      </c>
      <c r="F2003" t="s">
        <v>17</v>
      </c>
      <c r="G2003">
        <v>2</v>
      </c>
      <c r="H2003">
        <v>0</v>
      </c>
      <c r="I2003" t="s">
        <v>35</v>
      </c>
      <c r="J2003" t="s">
        <v>31</v>
      </c>
      <c r="K2003" t="s">
        <v>20</v>
      </c>
      <c r="L2003">
        <v>9</v>
      </c>
      <c r="M2003">
        <v>1</v>
      </c>
      <c r="N2003">
        <v>1</v>
      </c>
      <c r="O2003" t="s">
        <v>27</v>
      </c>
      <c r="P2003" t="str">
        <f>TEXT(Table1[[#This Row],[order_date]],"yyyy-mm")</f>
        <v>2025-10</v>
      </c>
      <c r="Q2003">
        <f>WEEKNUM(Table1[[#This Row],[order_date]])</f>
        <v>41</v>
      </c>
      <c r="R2003">
        <f>IF(Table1[[#This Row],[order_status]]="completed",1,0)</f>
        <v>0</v>
      </c>
    </row>
    <row r="2004" spans="1:18" x14ac:dyDescent="0.35">
      <c r="A2004">
        <v>2003</v>
      </c>
      <c r="B2004" s="1">
        <v>45966</v>
      </c>
      <c r="C2004">
        <v>1219</v>
      </c>
      <c r="D2004" t="s">
        <v>32</v>
      </c>
      <c r="E2004" t="s">
        <v>16</v>
      </c>
      <c r="F2004" t="s">
        <v>34</v>
      </c>
      <c r="G2004">
        <v>3</v>
      </c>
      <c r="H2004">
        <v>0</v>
      </c>
      <c r="I2004" t="s">
        <v>35</v>
      </c>
      <c r="J2004" t="s">
        <v>37</v>
      </c>
      <c r="K2004" t="s">
        <v>38</v>
      </c>
      <c r="L2004">
        <v>3</v>
      </c>
      <c r="M2004">
        <v>1</v>
      </c>
      <c r="N2004">
        <v>0</v>
      </c>
      <c r="O2004" t="s">
        <v>21</v>
      </c>
      <c r="P2004" t="str">
        <f>TEXT(Table1[[#This Row],[order_date]],"yyyy-mm")</f>
        <v>2025-11</v>
      </c>
      <c r="Q2004">
        <f>WEEKNUM(Table1[[#This Row],[order_date]])</f>
        <v>45</v>
      </c>
      <c r="R2004">
        <f>IF(Table1[[#This Row],[order_status]]="completed",1,0)</f>
        <v>0</v>
      </c>
    </row>
    <row r="2005" spans="1:18" x14ac:dyDescent="0.35">
      <c r="A2005">
        <v>2004</v>
      </c>
      <c r="B2005" s="1">
        <v>45956</v>
      </c>
      <c r="C2005">
        <v>1733</v>
      </c>
      <c r="D2005" t="s">
        <v>15</v>
      </c>
      <c r="E2005" t="s">
        <v>29</v>
      </c>
      <c r="F2005" t="s">
        <v>34</v>
      </c>
      <c r="G2005">
        <v>5</v>
      </c>
      <c r="H2005">
        <v>7975</v>
      </c>
      <c r="I2005" t="s">
        <v>35</v>
      </c>
      <c r="J2005" t="s">
        <v>19</v>
      </c>
      <c r="K2005" t="s">
        <v>38</v>
      </c>
      <c r="L2005">
        <v>3</v>
      </c>
      <c r="M2005">
        <v>1</v>
      </c>
      <c r="N2005">
        <v>1</v>
      </c>
      <c r="O2005" t="s">
        <v>27</v>
      </c>
      <c r="P2005" t="str">
        <f>TEXT(Table1[[#This Row],[order_date]],"yyyy-mm")</f>
        <v>2025-10</v>
      </c>
      <c r="Q2005">
        <f>WEEKNUM(Table1[[#This Row],[order_date]])</f>
        <v>44</v>
      </c>
      <c r="R2005">
        <f>IF(Table1[[#This Row],[order_status]]="completed",1,0)</f>
        <v>1</v>
      </c>
    </row>
    <row r="2006" spans="1:18" x14ac:dyDescent="0.35">
      <c r="A2006">
        <v>2005</v>
      </c>
      <c r="B2006" s="1">
        <v>46006</v>
      </c>
      <c r="C2006">
        <v>1409</v>
      </c>
      <c r="D2006" t="s">
        <v>32</v>
      </c>
      <c r="E2006" t="s">
        <v>29</v>
      </c>
      <c r="F2006" t="s">
        <v>30</v>
      </c>
      <c r="G2006">
        <v>5</v>
      </c>
      <c r="H2006">
        <v>0</v>
      </c>
      <c r="I2006" t="s">
        <v>25</v>
      </c>
      <c r="J2006" t="s">
        <v>31</v>
      </c>
      <c r="K2006" t="s">
        <v>26</v>
      </c>
      <c r="L2006">
        <v>1</v>
      </c>
      <c r="M2006">
        <v>1</v>
      </c>
      <c r="N2006">
        <v>1</v>
      </c>
      <c r="O2006" t="s">
        <v>21</v>
      </c>
      <c r="P2006" t="str">
        <f>TEXT(Table1[[#This Row],[order_date]],"yyyy-mm")</f>
        <v>2025-12</v>
      </c>
      <c r="Q2006">
        <f>WEEKNUM(Table1[[#This Row],[order_date]])</f>
        <v>51</v>
      </c>
      <c r="R2006">
        <f>IF(Table1[[#This Row],[order_status]]="completed",1,0)</f>
        <v>0</v>
      </c>
    </row>
    <row r="2007" spans="1:18" x14ac:dyDescent="0.35">
      <c r="A2007">
        <v>2006</v>
      </c>
      <c r="B2007" s="1">
        <v>46011</v>
      </c>
      <c r="C2007">
        <v>1865</v>
      </c>
      <c r="D2007" t="s">
        <v>15</v>
      </c>
      <c r="E2007" t="s">
        <v>23</v>
      </c>
      <c r="F2007" t="s">
        <v>34</v>
      </c>
      <c r="G2007">
        <v>5</v>
      </c>
      <c r="H2007">
        <v>0</v>
      </c>
      <c r="I2007" t="s">
        <v>18</v>
      </c>
      <c r="J2007" t="s">
        <v>31</v>
      </c>
      <c r="K2007" t="s">
        <v>40</v>
      </c>
      <c r="L2007">
        <v>4</v>
      </c>
      <c r="M2007">
        <v>0</v>
      </c>
      <c r="N2007">
        <v>1</v>
      </c>
      <c r="O2007" t="s">
        <v>27</v>
      </c>
      <c r="P2007" t="str">
        <f>TEXT(Table1[[#This Row],[order_date]],"yyyy-mm")</f>
        <v>2025-12</v>
      </c>
      <c r="Q2007">
        <f>WEEKNUM(Table1[[#This Row],[order_date]])</f>
        <v>51</v>
      </c>
      <c r="R2007">
        <f>IF(Table1[[#This Row],[order_status]]="completed",1,0)</f>
        <v>0</v>
      </c>
    </row>
    <row r="2008" spans="1:18" x14ac:dyDescent="0.35">
      <c r="A2008">
        <v>2007</v>
      </c>
      <c r="B2008" s="1">
        <v>46019</v>
      </c>
      <c r="C2008">
        <v>1976</v>
      </c>
      <c r="D2008" t="s">
        <v>22</v>
      </c>
      <c r="E2008" t="s">
        <v>23</v>
      </c>
      <c r="F2008" t="s">
        <v>34</v>
      </c>
      <c r="G2008">
        <v>3</v>
      </c>
      <c r="H2008">
        <v>1548</v>
      </c>
      <c r="I2008" t="s">
        <v>35</v>
      </c>
      <c r="J2008" t="s">
        <v>19</v>
      </c>
      <c r="K2008" t="s">
        <v>26</v>
      </c>
      <c r="L2008">
        <v>7</v>
      </c>
      <c r="M2008">
        <v>0</v>
      </c>
      <c r="N2008">
        <v>0</v>
      </c>
      <c r="O2008" t="s">
        <v>21</v>
      </c>
      <c r="P2008" t="str">
        <f>TEXT(Table1[[#This Row],[order_date]],"yyyy-mm")</f>
        <v>2025-12</v>
      </c>
      <c r="Q2008">
        <f>WEEKNUM(Table1[[#This Row],[order_date]])</f>
        <v>53</v>
      </c>
      <c r="R2008">
        <f>IF(Table1[[#This Row],[order_status]]="completed",1,0)</f>
        <v>1</v>
      </c>
    </row>
    <row r="2009" spans="1:18" x14ac:dyDescent="0.35">
      <c r="A2009">
        <v>2008</v>
      </c>
      <c r="B2009" s="1">
        <v>45907</v>
      </c>
      <c r="C2009">
        <v>1417</v>
      </c>
      <c r="D2009" t="s">
        <v>15</v>
      </c>
      <c r="E2009" t="s">
        <v>33</v>
      </c>
      <c r="F2009" t="s">
        <v>24</v>
      </c>
      <c r="G2009">
        <v>5</v>
      </c>
      <c r="H2009">
        <v>21920</v>
      </c>
      <c r="I2009" t="s">
        <v>25</v>
      </c>
      <c r="J2009" t="s">
        <v>19</v>
      </c>
      <c r="K2009" t="s">
        <v>26</v>
      </c>
      <c r="L2009">
        <v>9</v>
      </c>
      <c r="M2009">
        <v>1</v>
      </c>
      <c r="N2009">
        <v>0</v>
      </c>
      <c r="O2009" t="s">
        <v>21</v>
      </c>
      <c r="P2009" t="str">
        <f>TEXT(Table1[[#This Row],[order_date]],"yyyy-mm")</f>
        <v>2025-09</v>
      </c>
      <c r="Q2009">
        <f>WEEKNUM(Table1[[#This Row],[order_date]])</f>
        <v>37</v>
      </c>
      <c r="R2009">
        <f>IF(Table1[[#This Row],[order_status]]="completed",1,0)</f>
        <v>1</v>
      </c>
    </row>
    <row r="2010" spans="1:18" x14ac:dyDescent="0.35">
      <c r="A2010">
        <v>2009</v>
      </c>
      <c r="B2010" s="1">
        <v>45949</v>
      </c>
      <c r="C2010">
        <v>1738</v>
      </c>
      <c r="D2010" t="s">
        <v>28</v>
      </c>
      <c r="E2010" t="s">
        <v>23</v>
      </c>
      <c r="F2010" t="s">
        <v>24</v>
      </c>
      <c r="G2010">
        <v>5</v>
      </c>
      <c r="H2010">
        <v>0</v>
      </c>
      <c r="I2010" t="s">
        <v>39</v>
      </c>
      <c r="J2010" t="s">
        <v>31</v>
      </c>
      <c r="K2010" t="s">
        <v>40</v>
      </c>
      <c r="L2010">
        <v>7</v>
      </c>
      <c r="M2010">
        <v>0</v>
      </c>
      <c r="N2010">
        <v>0</v>
      </c>
      <c r="O2010" t="s">
        <v>27</v>
      </c>
      <c r="P2010" t="str">
        <f>TEXT(Table1[[#This Row],[order_date]],"yyyy-mm")</f>
        <v>2025-10</v>
      </c>
      <c r="Q2010">
        <f>WEEKNUM(Table1[[#This Row],[order_date]])</f>
        <v>43</v>
      </c>
      <c r="R2010">
        <f>IF(Table1[[#This Row],[order_status]]="completed",1,0)</f>
        <v>0</v>
      </c>
    </row>
    <row r="2011" spans="1:18" x14ac:dyDescent="0.35">
      <c r="A2011">
        <v>2010</v>
      </c>
      <c r="B2011" s="1">
        <v>45865</v>
      </c>
      <c r="C2011">
        <v>1329</v>
      </c>
      <c r="D2011" t="s">
        <v>28</v>
      </c>
      <c r="E2011" t="s">
        <v>16</v>
      </c>
      <c r="F2011" t="s">
        <v>34</v>
      </c>
      <c r="G2011">
        <v>1</v>
      </c>
      <c r="H2011">
        <v>0</v>
      </c>
      <c r="I2011" t="s">
        <v>39</v>
      </c>
      <c r="J2011" t="s">
        <v>37</v>
      </c>
      <c r="K2011" t="s">
        <v>40</v>
      </c>
      <c r="L2011">
        <v>8</v>
      </c>
      <c r="M2011">
        <v>1</v>
      </c>
      <c r="N2011">
        <v>1</v>
      </c>
      <c r="O2011" t="s">
        <v>27</v>
      </c>
      <c r="P2011" t="str">
        <f>TEXT(Table1[[#This Row],[order_date]],"yyyy-mm")</f>
        <v>2025-07</v>
      </c>
      <c r="Q2011">
        <f>WEEKNUM(Table1[[#This Row],[order_date]])</f>
        <v>31</v>
      </c>
      <c r="R2011">
        <f>IF(Table1[[#This Row],[order_status]]="completed",1,0)</f>
        <v>0</v>
      </c>
    </row>
    <row r="2012" spans="1:18" x14ac:dyDescent="0.35">
      <c r="A2012">
        <v>2011</v>
      </c>
      <c r="B2012" s="1">
        <v>45962</v>
      </c>
      <c r="C2012">
        <v>1891</v>
      </c>
      <c r="D2012" t="s">
        <v>22</v>
      </c>
      <c r="E2012" t="s">
        <v>23</v>
      </c>
      <c r="F2012" t="s">
        <v>34</v>
      </c>
      <c r="G2012">
        <v>1</v>
      </c>
      <c r="H2012">
        <v>1427</v>
      </c>
      <c r="I2012" t="s">
        <v>39</v>
      </c>
      <c r="J2012" t="s">
        <v>19</v>
      </c>
      <c r="K2012" t="s">
        <v>40</v>
      </c>
      <c r="L2012">
        <v>5</v>
      </c>
      <c r="M2012">
        <v>1</v>
      </c>
      <c r="N2012">
        <v>0</v>
      </c>
      <c r="O2012" t="s">
        <v>21</v>
      </c>
      <c r="P2012" t="str">
        <f>TEXT(Table1[[#This Row],[order_date]],"yyyy-mm")</f>
        <v>2025-11</v>
      </c>
      <c r="Q2012">
        <f>WEEKNUM(Table1[[#This Row],[order_date]])</f>
        <v>44</v>
      </c>
      <c r="R2012">
        <f>IF(Table1[[#This Row],[order_status]]="completed",1,0)</f>
        <v>1</v>
      </c>
    </row>
    <row r="2013" spans="1:18" x14ac:dyDescent="0.35">
      <c r="A2013">
        <v>2012</v>
      </c>
      <c r="B2013" s="1">
        <v>45922</v>
      </c>
      <c r="C2013">
        <v>1590</v>
      </c>
      <c r="D2013" t="s">
        <v>28</v>
      </c>
      <c r="E2013" t="s">
        <v>36</v>
      </c>
      <c r="F2013" t="s">
        <v>30</v>
      </c>
      <c r="G2013">
        <v>4</v>
      </c>
      <c r="H2013">
        <v>17368</v>
      </c>
      <c r="I2013" t="s">
        <v>18</v>
      </c>
      <c r="J2013" t="s">
        <v>19</v>
      </c>
      <c r="K2013" t="s">
        <v>40</v>
      </c>
      <c r="L2013">
        <v>7</v>
      </c>
      <c r="M2013">
        <v>1</v>
      </c>
      <c r="N2013">
        <v>0</v>
      </c>
      <c r="O2013" t="s">
        <v>27</v>
      </c>
      <c r="P2013" t="str">
        <f>TEXT(Table1[[#This Row],[order_date]],"yyyy-mm")</f>
        <v>2025-09</v>
      </c>
      <c r="Q2013">
        <f>WEEKNUM(Table1[[#This Row],[order_date]])</f>
        <v>39</v>
      </c>
      <c r="R2013">
        <f>IF(Table1[[#This Row],[order_status]]="completed",1,0)</f>
        <v>1</v>
      </c>
    </row>
    <row r="2014" spans="1:18" x14ac:dyDescent="0.35">
      <c r="A2014">
        <v>2013</v>
      </c>
      <c r="B2014" s="1">
        <v>45890</v>
      </c>
      <c r="C2014">
        <v>1580</v>
      </c>
      <c r="D2014" t="s">
        <v>22</v>
      </c>
      <c r="E2014" t="s">
        <v>36</v>
      </c>
      <c r="F2014" t="s">
        <v>24</v>
      </c>
      <c r="G2014">
        <v>5</v>
      </c>
      <c r="H2014">
        <v>0</v>
      </c>
      <c r="I2014" t="s">
        <v>18</v>
      </c>
      <c r="J2014" t="s">
        <v>37</v>
      </c>
      <c r="K2014" t="s">
        <v>38</v>
      </c>
      <c r="L2014">
        <v>2</v>
      </c>
      <c r="M2014">
        <v>1</v>
      </c>
      <c r="N2014">
        <v>0</v>
      </c>
      <c r="O2014" t="s">
        <v>21</v>
      </c>
      <c r="P2014" t="str">
        <f>TEXT(Table1[[#This Row],[order_date]],"yyyy-mm")</f>
        <v>2025-08</v>
      </c>
      <c r="Q2014">
        <f>WEEKNUM(Table1[[#This Row],[order_date]])</f>
        <v>34</v>
      </c>
      <c r="R2014">
        <f>IF(Table1[[#This Row],[order_status]]="completed",1,0)</f>
        <v>0</v>
      </c>
    </row>
    <row r="2015" spans="1:18" x14ac:dyDescent="0.35">
      <c r="A2015">
        <v>2014</v>
      </c>
      <c r="B2015" s="1">
        <v>45980</v>
      </c>
      <c r="C2015">
        <v>1832</v>
      </c>
      <c r="D2015" t="s">
        <v>32</v>
      </c>
      <c r="E2015" t="s">
        <v>29</v>
      </c>
      <c r="F2015" t="s">
        <v>17</v>
      </c>
      <c r="G2015">
        <v>5</v>
      </c>
      <c r="H2015">
        <v>0</v>
      </c>
      <c r="I2015" t="s">
        <v>25</v>
      </c>
      <c r="J2015" t="s">
        <v>31</v>
      </c>
      <c r="K2015" t="s">
        <v>26</v>
      </c>
      <c r="L2015">
        <v>6</v>
      </c>
      <c r="M2015">
        <v>0</v>
      </c>
      <c r="N2015">
        <v>0</v>
      </c>
      <c r="O2015" t="s">
        <v>27</v>
      </c>
      <c r="P2015" t="str">
        <f>TEXT(Table1[[#This Row],[order_date]],"yyyy-mm")</f>
        <v>2025-11</v>
      </c>
      <c r="Q2015">
        <f>WEEKNUM(Table1[[#This Row],[order_date]])</f>
        <v>47</v>
      </c>
      <c r="R2015">
        <f>IF(Table1[[#This Row],[order_status]]="completed",1,0)</f>
        <v>0</v>
      </c>
    </row>
    <row r="2016" spans="1:18" x14ac:dyDescent="0.35">
      <c r="A2016">
        <v>2015</v>
      </c>
      <c r="B2016" s="1">
        <v>45907</v>
      </c>
      <c r="C2016">
        <v>1065</v>
      </c>
      <c r="D2016" t="s">
        <v>15</v>
      </c>
      <c r="E2016" t="s">
        <v>23</v>
      </c>
      <c r="F2016" t="s">
        <v>34</v>
      </c>
      <c r="G2016">
        <v>3</v>
      </c>
      <c r="H2016">
        <v>0</v>
      </c>
      <c r="I2016" t="s">
        <v>39</v>
      </c>
      <c r="J2016" t="s">
        <v>37</v>
      </c>
      <c r="K2016" t="s">
        <v>38</v>
      </c>
      <c r="L2016">
        <v>6</v>
      </c>
      <c r="M2016">
        <v>0</v>
      </c>
      <c r="N2016">
        <v>0</v>
      </c>
      <c r="O2016" t="s">
        <v>27</v>
      </c>
      <c r="P2016" t="str">
        <f>TEXT(Table1[[#This Row],[order_date]],"yyyy-mm")</f>
        <v>2025-09</v>
      </c>
      <c r="Q2016">
        <f>WEEKNUM(Table1[[#This Row],[order_date]])</f>
        <v>37</v>
      </c>
      <c r="R2016">
        <f>IF(Table1[[#This Row],[order_status]]="completed",1,0)</f>
        <v>0</v>
      </c>
    </row>
    <row r="2017" spans="1:18" x14ac:dyDescent="0.35">
      <c r="A2017">
        <v>2016</v>
      </c>
      <c r="B2017" s="1">
        <v>45866</v>
      </c>
      <c r="C2017">
        <v>1431</v>
      </c>
      <c r="D2017" t="s">
        <v>28</v>
      </c>
      <c r="E2017" t="s">
        <v>23</v>
      </c>
      <c r="F2017" t="s">
        <v>34</v>
      </c>
      <c r="G2017">
        <v>3</v>
      </c>
      <c r="H2017">
        <v>11274</v>
      </c>
      <c r="I2017" t="s">
        <v>25</v>
      </c>
      <c r="J2017" t="s">
        <v>19</v>
      </c>
      <c r="K2017" t="s">
        <v>20</v>
      </c>
      <c r="L2017">
        <v>9</v>
      </c>
      <c r="M2017">
        <v>0</v>
      </c>
      <c r="N2017">
        <v>0</v>
      </c>
      <c r="O2017" t="s">
        <v>21</v>
      </c>
      <c r="P2017" t="str">
        <f>TEXT(Table1[[#This Row],[order_date]],"yyyy-mm")</f>
        <v>2025-07</v>
      </c>
      <c r="Q2017">
        <f>WEEKNUM(Table1[[#This Row],[order_date]])</f>
        <v>31</v>
      </c>
      <c r="R2017">
        <f>IF(Table1[[#This Row],[order_status]]="completed",1,0)</f>
        <v>1</v>
      </c>
    </row>
    <row r="2018" spans="1:18" x14ac:dyDescent="0.35">
      <c r="A2018">
        <v>2017</v>
      </c>
      <c r="B2018" s="1">
        <v>45980</v>
      </c>
      <c r="C2018">
        <v>1796</v>
      </c>
      <c r="D2018" t="s">
        <v>22</v>
      </c>
      <c r="E2018" t="s">
        <v>29</v>
      </c>
      <c r="F2018" t="s">
        <v>30</v>
      </c>
      <c r="G2018">
        <v>5</v>
      </c>
      <c r="H2018">
        <v>0</v>
      </c>
      <c r="I2018" t="s">
        <v>25</v>
      </c>
      <c r="J2018" t="s">
        <v>37</v>
      </c>
      <c r="K2018" t="s">
        <v>26</v>
      </c>
      <c r="L2018">
        <v>9</v>
      </c>
      <c r="M2018">
        <v>1</v>
      </c>
      <c r="N2018">
        <v>1</v>
      </c>
      <c r="O2018" t="s">
        <v>21</v>
      </c>
      <c r="P2018" t="str">
        <f>TEXT(Table1[[#This Row],[order_date]],"yyyy-mm")</f>
        <v>2025-11</v>
      </c>
      <c r="Q2018">
        <f>WEEKNUM(Table1[[#This Row],[order_date]])</f>
        <v>47</v>
      </c>
      <c r="R2018">
        <f>IF(Table1[[#This Row],[order_status]]="completed",1,0)</f>
        <v>0</v>
      </c>
    </row>
    <row r="2019" spans="1:18" x14ac:dyDescent="0.35">
      <c r="A2019">
        <v>2018</v>
      </c>
      <c r="B2019" s="1">
        <v>45884</v>
      </c>
      <c r="C2019">
        <v>1132</v>
      </c>
      <c r="D2019" t="s">
        <v>22</v>
      </c>
      <c r="E2019" t="s">
        <v>33</v>
      </c>
      <c r="F2019" t="s">
        <v>30</v>
      </c>
      <c r="G2019">
        <v>2</v>
      </c>
      <c r="H2019">
        <v>0</v>
      </c>
      <c r="I2019" t="s">
        <v>18</v>
      </c>
      <c r="J2019" t="s">
        <v>37</v>
      </c>
      <c r="K2019" t="s">
        <v>26</v>
      </c>
      <c r="L2019">
        <v>9</v>
      </c>
      <c r="M2019">
        <v>0</v>
      </c>
      <c r="N2019">
        <v>0</v>
      </c>
      <c r="O2019" t="s">
        <v>21</v>
      </c>
      <c r="P2019" t="str">
        <f>TEXT(Table1[[#This Row],[order_date]],"yyyy-mm")</f>
        <v>2025-08</v>
      </c>
      <c r="Q2019">
        <f>WEEKNUM(Table1[[#This Row],[order_date]])</f>
        <v>33</v>
      </c>
      <c r="R2019">
        <f>IF(Table1[[#This Row],[order_status]]="completed",1,0)</f>
        <v>0</v>
      </c>
    </row>
    <row r="2020" spans="1:18" x14ac:dyDescent="0.35">
      <c r="A2020">
        <v>2019</v>
      </c>
      <c r="B2020" s="1">
        <v>45873</v>
      </c>
      <c r="C2020">
        <v>1600</v>
      </c>
      <c r="D2020" t="s">
        <v>32</v>
      </c>
      <c r="E2020" t="s">
        <v>16</v>
      </c>
      <c r="F2020" t="s">
        <v>34</v>
      </c>
      <c r="G2020">
        <v>3</v>
      </c>
      <c r="H2020">
        <v>12750</v>
      </c>
      <c r="I2020" t="s">
        <v>18</v>
      </c>
      <c r="J2020" t="s">
        <v>19</v>
      </c>
      <c r="K2020" t="s">
        <v>40</v>
      </c>
      <c r="L2020">
        <v>9</v>
      </c>
      <c r="M2020">
        <v>1</v>
      </c>
      <c r="N2020">
        <v>0</v>
      </c>
      <c r="O2020" t="s">
        <v>27</v>
      </c>
      <c r="P2020" t="str">
        <f>TEXT(Table1[[#This Row],[order_date]],"yyyy-mm")</f>
        <v>2025-08</v>
      </c>
      <c r="Q2020">
        <f>WEEKNUM(Table1[[#This Row],[order_date]])</f>
        <v>32</v>
      </c>
      <c r="R2020">
        <f>IF(Table1[[#This Row],[order_status]]="completed",1,0)</f>
        <v>1</v>
      </c>
    </row>
    <row r="2021" spans="1:18" x14ac:dyDescent="0.35">
      <c r="A2021">
        <v>2020</v>
      </c>
      <c r="B2021" s="1">
        <v>45868</v>
      </c>
      <c r="C2021">
        <v>1048</v>
      </c>
      <c r="D2021" t="s">
        <v>32</v>
      </c>
      <c r="E2021" t="s">
        <v>16</v>
      </c>
      <c r="F2021" t="s">
        <v>17</v>
      </c>
      <c r="G2021">
        <v>4</v>
      </c>
      <c r="H2021">
        <v>10752</v>
      </c>
      <c r="I2021" t="s">
        <v>25</v>
      </c>
      <c r="J2021" t="s">
        <v>19</v>
      </c>
      <c r="K2021" t="s">
        <v>38</v>
      </c>
      <c r="L2021">
        <v>6</v>
      </c>
      <c r="M2021">
        <v>0</v>
      </c>
      <c r="N2021">
        <v>1</v>
      </c>
      <c r="O2021" t="s">
        <v>21</v>
      </c>
      <c r="P2021" t="str">
        <f>TEXT(Table1[[#This Row],[order_date]],"yyyy-mm")</f>
        <v>2025-07</v>
      </c>
      <c r="Q2021">
        <f>WEEKNUM(Table1[[#This Row],[order_date]])</f>
        <v>31</v>
      </c>
      <c r="R2021">
        <f>IF(Table1[[#This Row],[order_status]]="completed",1,0)</f>
        <v>1</v>
      </c>
    </row>
    <row r="2022" spans="1:18" x14ac:dyDescent="0.35">
      <c r="A2022">
        <v>2021</v>
      </c>
      <c r="B2022" s="1">
        <v>45965</v>
      </c>
      <c r="C2022">
        <v>1135</v>
      </c>
      <c r="D2022" t="s">
        <v>15</v>
      </c>
      <c r="E2022" t="s">
        <v>16</v>
      </c>
      <c r="F2022" t="s">
        <v>24</v>
      </c>
      <c r="G2022">
        <v>2</v>
      </c>
      <c r="H2022">
        <v>0</v>
      </c>
      <c r="I2022" t="s">
        <v>25</v>
      </c>
      <c r="J2022" t="s">
        <v>31</v>
      </c>
      <c r="K2022" t="s">
        <v>26</v>
      </c>
      <c r="L2022">
        <v>10</v>
      </c>
      <c r="M2022">
        <v>1</v>
      </c>
      <c r="N2022">
        <v>1</v>
      </c>
      <c r="O2022" t="s">
        <v>27</v>
      </c>
      <c r="P2022" t="str">
        <f>TEXT(Table1[[#This Row],[order_date]],"yyyy-mm")</f>
        <v>2025-11</v>
      </c>
      <c r="Q2022">
        <f>WEEKNUM(Table1[[#This Row],[order_date]])</f>
        <v>45</v>
      </c>
      <c r="R2022">
        <f>IF(Table1[[#This Row],[order_status]]="completed",1,0)</f>
        <v>0</v>
      </c>
    </row>
    <row r="2023" spans="1:18" x14ac:dyDescent="0.35">
      <c r="A2023">
        <v>2022</v>
      </c>
      <c r="B2023" s="1">
        <v>45968</v>
      </c>
      <c r="C2023">
        <v>1931</v>
      </c>
      <c r="D2023" t="s">
        <v>28</v>
      </c>
      <c r="E2023" t="s">
        <v>36</v>
      </c>
      <c r="F2023" t="s">
        <v>30</v>
      </c>
      <c r="G2023">
        <v>5</v>
      </c>
      <c r="H2023">
        <v>12815</v>
      </c>
      <c r="I2023" t="s">
        <v>35</v>
      </c>
      <c r="J2023" t="s">
        <v>19</v>
      </c>
      <c r="K2023" t="s">
        <v>20</v>
      </c>
      <c r="L2023">
        <v>5</v>
      </c>
      <c r="M2023">
        <v>1</v>
      </c>
      <c r="N2023">
        <v>1</v>
      </c>
      <c r="O2023" t="s">
        <v>21</v>
      </c>
      <c r="P2023" t="str">
        <f>TEXT(Table1[[#This Row],[order_date]],"yyyy-mm")</f>
        <v>2025-11</v>
      </c>
      <c r="Q2023">
        <f>WEEKNUM(Table1[[#This Row],[order_date]])</f>
        <v>45</v>
      </c>
      <c r="R2023">
        <f>IF(Table1[[#This Row],[order_status]]="completed",1,0)</f>
        <v>1</v>
      </c>
    </row>
    <row r="2024" spans="1:18" x14ac:dyDescent="0.35">
      <c r="A2024">
        <v>2023</v>
      </c>
      <c r="B2024" s="1">
        <v>45957</v>
      </c>
      <c r="C2024">
        <v>1918</v>
      </c>
      <c r="D2024" t="s">
        <v>15</v>
      </c>
      <c r="E2024" t="s">
        <v>23</v>
      </c>
      <c r="F2024" t="s">
        <v>17</v>
      </c>
      <c r="G2024">
        <v>4</v>
      </c>
      <c r="H2024">
        <v>3500</v>
      </c>
      <c r="I2024" t="s">
        <v>35</v>
      </c>
      <c r="J2024" t="s">
        <v>19</v>
      </c>
      <c r="K2024" t="s">
        <v>20</v>
      </c>
      <c r="L2024">
        <v>4</v>
      </c>
      <c r="M2024">
        <v>0</v>
      </c>
      <c r="N2024">
        <v>0</v>
      </c>
      <c r="O2024" t="s">
        <v>27</v>
      </c>
      <c r="P2024" t="str">
        <f>TEXT(Table1[[#This Row],[order_date]],"yyyy-mm")</f>
        <v>2025-10</v>
      </c>
      <c r="Q2024">
        <f>WEEKNUM(Table1[[#This Row],[order_date]])</f>
        <v>44</v>
      </c>
      <c r="R2024">
        <f>IF(Table1[[#This Row],[order_status]]="completed",1,0)</f>
        <v>1</v>
      </c>
    </row>
    <row r="2025" spans="1:18" x14ac:dyDescent="0.35">
      <c r="A2025">
        <v>2024</v>
      </c>
      <c r="B2025" s="1">
        <v>45903</v>
      </c>
      <c r="C2025">
        <v>1184</v>
      </c>
      <c r="D2025" t="s">
        <v>22</v>
      </c>
      <c r="E2025" t="s">
        <v>16</v>
      </c>
      <c r="F2025" t="s">
        <v>34</v>
      </c>
      <c r="G2025">
        <v>2</v>
      </c>
      <c r="H2025">
        <v>1054</v>
      </c>
      <c r="I2025" t="s">
        <v>39</v>
      </c>
      <c r="J2025" t="s">
        <v>19</v>
      </c>
      <c r="K2025" t="s">
        <v>40</v>
      </c>
      <c r="L2025">
        <v>5</v>
      </c>
      <c r="M2025">
        <v>1</v>
      </c>
      <c r="N2025">
        <v>0</v>
      </c>
      <c r="O2025" t="s">
        <v>27</v>
      </c>
      <c r="P2025" t="str">
        <f>TEXT(Table1[[#This Row],[order_date]],"yyyy-mm")</f>
        <v>2025-09</v>
      </c>
      <c r="Q2025">
        <f>WEEKNUM(Table1[[#This Row],[order_date]])</f>
        <v>36</v>
      </c>
      <c r="R2025">
        <f>IF(Table1[[#This Row],[order_status]]="completed",1,0)</f>
        <v>1</v>
      </c>
    </row>
    <row r="2026" spans="1:18" x14ac:dyDescent="0.35">
      <c r="A2026">
        <v>2025</v>
      </c>
      <c r="B2026" s="1">
        <v>45990</v>
      </c>
      <c r="C2026">
        <v>1937</v>
      </c>
      <c r="D2026" t="s">
        <v>22</v>
      </c>
      <c r="E2026" t="s">
        <v>23</v>
      </c>
      <c r="F2026" t="s">
        <v>30</v>
      </c>
      <c r="G2026">
        <v>2</v>
      </c>
      <c r="H2026">
        <v>3018</v>
      </c>
      <c r="I2026" t="s">
        <v>35</v>
      </c>
      <c r="J2026" t="s">
        <v>19</v>
      </c>
      <c r="K2026" t="s">
        <v>26</v>
      </c>
      <c r="L2026">
        <v>2</v>
      </c>
      <c r="M2026">
        <v>0</v>
      </c>
      <c r="N2026">
        <v>0</v>
      </c>
      <c r="O2026" t="s">
        <v>27</v>
      </c>
      <c r="P2026" t="str">
        <f>TEXT(Table1[[#This Row],[order_date]],"yyyy-mm")</f>
        <v>2025-11</v>
      </c>
      <c r="Q2026">
        <f>WEEKNUM(Table1[[#This Row],[order_date]])</f>
        <v>48</v>
      </c>
      <c r="R2026">
        <f>IF(Table1[[#This Row],[order_status]]="completed",1,0)</f>
        <v>1</v>
      </c>
    </row>
    <row r="2027" spans="1:18" x14ac:dyDescent="0.35">
      <c r="A2027">
        <v>2026</v>
      </c>
      <c r="B2027" s="1">
        <v>46007</v>
      </c>
      <c r="C2027">
        <v>1040</v>
      </c>
      <c r="D2027" t="s">
        <v>28</v>
      </c>
      <c r="E2027" t="s">
        <v>33</v>
      </c>
      <c r="F2027" t="s">
        <v>30</v>
      </c>
      <c r="G2027">
        <v>5</v>
      </c>
      <c r="H2027">
        <v>0</v>
      </c>
      <c r="I2027" t="s">
        <v>18</v>
      </c>
      <c r="J2027" t="s">
        <v>31</v>
      </c>
      <c r="K2027" t="s">
        <v>40</v>
      </c>
      <c r="L2027">
        <v>7</v>
      </c>
      <c r="M2027">
        <v>1</v>
      </c>
      <c r="N2027">
        <v>1</v>
      </c>
      <c r="O2027" t="s">
        <v>21</v>
      </c>
      <c r="P2027" t="str">
        <f>TEXT(Table1[[#This Row],[order_date]],"yyyy-mm")</f>
        <v>2025-12</v>
      </c>
      <c r="Q2027">
        <f>WEEKNUM(Table1[[#This Row],[order_date]])</f>
        <v>51</v>
      </c>
      <c r="R2027">
        <f>IF(Table1[[#This Row],[order_status]]="completed",1,0)</f>
        <v>0</v>
      </c>
    </row>
    <row r="2028" spans="1:18" x14ac:dyDescent="0.35">
      <c r="A2028">
        <v>2027</v>
      </c>
      <c r="B2028" s="1">
        <v>45930</v>
      </c>
      <c r="C2028">
        <v>1080</v>
      </c>
      <c r="D2028" t="s">
        <v>41</v>
      </c>
      <c r="E2028" t="s">
        <v>36</v>
      </c>
      <c r="F2028" t="s">
        <v>34</v>
      </c>
      <c r="G2028">
        <v>2</v>
      </c>
      <c r="H2028">
        <v>4670</v>
      </c>
      <c r="I2028" t="s">
        <v>39</v>
      </c>
      <c r="J2028" t="s">
        <v>19</v>
      </c>
      <c r="K2028" t="s">
        <v>20</v>
      </c>
      <c r="L2028">
        <v>1</v>
      </c>
      <c r="M2028">
        <v>0</v>
      </c>
      <c r="N2028">
        <v>1</v>
      </c>
      <c r="O2028" t="s">
        <v>27</v>
      </c>
      <c r="P2028" t="str">
        <f>TEXT(Table1[[#This Row],[order_date]],"yyyy-mm")</f>
        <v>2025-09</v>
      </c>
      <c r="Q2028">
        <f>WEEKNUM(Table1[[#This Row],[order_date]])</f>
        <v>40</v>
      </c>
      <c r="R2028">
        <f>IF(Table1[[#This Row],[order_status]]="completed",1,0)</f>
        <v>1</v>
      </c>
    </row>
    <row r="2029" spans="1:18" x14ac:dyDescent="0.35">
      <c r="A2029">
        <v>2028</v>
      </c>
      <c r="B2029" s="1">
        <v>45900</v>
      </c>
      <c r="C2029">
        <v>1785</v>
      </c>
      <c r="D2029" t="s">
        <v>41</v>
      </c>
      <c r="E2029" t="s">
        <v>36</v>
      </c>
      <c r="F2029" t="s">
        <v>17</v>
      </c>
      <c r="G2029">
        <v>1</v>
      </c>
      <c r="H2029">
        <v>0</v>
      </c>
      <c r="I2029" t="s">
        <v>39</v>
      </c>
      <c r="J2029" t="s">
        <v>31</v>
      </c>
      <c r="K2029" t="s">
        <v>20</v>
      </c>
      <c r="L2029">
        <v>8</v>
      </c>
      <c r="M2029">
        <v>0</v>
      </c>
      <c r="N2029">
        <v>1</v>
      </c>
      <c r="O2029" t="s">
        <v>27</v>
      </c>
      <c r="P2029" t="str">
        <f>TEXT(Table1[[#This Row],[order_date]],"yyyy-mm")</f>
        <v>2025-08</v>
      </c>
      <c r="Q2029">
        <f>WEEKNUM(Table1[[#This Row],[order_date]])</f>
        <v>36</v>
      </c>
      <c r="R2029">
        <f>IF(Table1[[#This Row],[order_status]]="completed",1,0)</f>
        <v>0</v>
      </c>
    </row>
    <row r="2030" spans="1:18" x14ac:dyDescent="0.35">
      <c r="A2030">
        <v>2029</v>
      </c>
      <c r="B2030" s="1">
        <v>45971</v>
      </c>
      <c r="C2030">
        <v>1404</v>
      </c>
      <c r="D2030" t="s">
        <v>28</v>
      </c>
      <c r="E2030" t="s">
        <v>16</v>
      </c>
      <c r="F2030" t="s">
        <v>30</v>
      </c>
      <c r="G2030">
        <v>1</v>
      </c>
      <c r="H2030">
        <v>0</v>
      </c>
      <c r="I2030" t="s">
        <v>25</v>
      </c>
      <c r="J2030" t="s">
        <v>37</v>
      </c>
      <c r="K2030" t="s">
        <v>20</v>
      </c>
      <c r="L2030">
        <v>8</v>
      </c>
      <c r="M2030">
        <v>0</v>
      </c>
      <c r="N2030">
        <v>1</v>
      </c>
      <c r="O2030" t="s">
        <v>21</v>
      </c>
      <c r="P2030" t="str">
        <f>TEXT(Table1[[#This Row],[order_date]],"yyyy-mm")</f>
        <v>2025-11</v>
      </c>
      <c r="Q2030">
        <f>WEEKNUM(Table1[[#This Row],[order_date]])</f>
        <v>46</v>
      </c>
      <c r="R2030">
        <f>IF(Table1[[#This Row],[order_status]]="completed",1,0)</f>
        <v>0</v>
      </c>
    </row>
    <row r="2031" spans="1:18" x14ac:dyDescent="0.35">
      <c r="A2031">
        <v>2030</v>
      </c>
      <c r="B2031" s="1">
        <v>45901</v>
      </c>
      <c r="C2031">
        <v>1108</v>
      </c>
      <c r="D2031" t="s">
        <v>28</v>
      </c>
      <c r="E2031" t="s">
        <v>23</v>
      </c>
      <c r="F2031" t="s">
        <v>30</v>
      </c>
      <c r="G2031">
        <v>5</v>
      </c>
      <c r="H2031">
        <v>8910</v>
      </c>
      <c r="I2031" t="s">
        <v>25</v>
      </c>
      <c r="J2031" t="s">
        <v>19</v>
      </c>
      <c r="K2031" t="s">
        <v>38</v>
      </c>
      <c r="L2031">
        <v>5</v>
      </c>
      <c r="M2031">
        <v>1</v>
      </c>
      <c r="N2031">
        <v>1</v>
      </c>
      <c r="O2031" t="s">
        <v>21</v>
      </c>
      <c r="P2031" t="str">
        <f>TEXT(Table1[[#This Row],[order_date]],"yyyy-mm")</f>
        <v>2025-09</v>
      </c>
      <c r="Q2031">
        <f>WEEKNUM(Table1[[#This Row],[order_date]])</f>
        <v>36</v>
      </c>
      <c r="R2031">
        <f>IF(Table1[[#This Row],[order_status]]="completed",1,0)</f>
        <v>1</v>
      </c>
    </row>
    <row r="2032" spans="1:18" x14ac:dyDescent="0.35">
      <c r="A2032">
        <v>2031</v>
      </c>
      <c r="B2032" s="1">
        <v>45962</v>
      </c>
      <c r="C2032">
        <v>1541</v>
      </c>
      <c r="D2032" t="s">
        <v>41</v>
      </c>
      <c r="E2032" t="s">
        <v>36</v>
      </c>
      <c r="F2032" t="s">
        <v>30</v>
      </c>
      <c r="G2032">
        <v>2</v>
      </c>
      <c r="H2032">
        <v>0</v>
      </c>
      <c r="I2032" t="s">
        <v>25</v>
      </c>
      <c r="J2032" t="s">
        <v>37</v>
      </c>
      <c r="K2032" t="s">
        <v>38</v>
      </c>
      <c r="L2032">
        <v>8</v>
      </c>
      <c r="M2032">
        <v>1</v>
      </c>
      <c r="N2032">
        <v>0</v>
      </c>
      <c r="O2032" t="s">
        <v>27</v>
      </c>
      <c r="P2032" t="str">
        <f>TEXT(Table1[[#This Row],[order_date]],"yyyy-mm")</f>
        <v>2025-11</v>
      </c>
      <c r="Q2032">
        <f>WEEKNUM(Table1[[#This Row],[order_date]])</f>
        <v>44</v>
      </c>
      <c r="R2032">
        <f>IF(Table1[[#This Row],[order_status]]="completed",1,0)</f>
        <v>0</v>
      </c>
    </row>
    <row r="2033" spans="1:18" x14ac:dyDescent="0.35">
      <c r="A2033">
        <v>2032</v>
      </c>
      <c r="B2033" s="1">
        <v>45901</v>
      </c>
      <c r="C2033">
        <v>1295</v>
      </c>
      <c r="D2033" t="s">
        <v>32</v>
      </c>
      <c r="E2033" t="s">
        <v>33</v>
      </c>
      <c r="F2033" t="s">
        <v>34</v>
      </c>
      <c r="G2033">
        <v>1</v>
      </c>
      <c r="H2033">
        <v>1604</v>
      </c>
      <c r="I2033" t="s">
        <v>39</v>
      </c>
      <c r="J2033" t="s">
        <v>19</v>
      </c>
      <c r="K2033" t="s">
        <v>38</v>
      </c>
      <c r="L2033">
        <v>1</v>
      </c>
      <c r="M2033">
        <v>1</v>
      </c>
      <c r="N2033">
        <v>1</v>
      </c>
      <c r="O2033" t="s">
        <v>21</v>
      </c>
      <c r="P2033" t="str">
        <f>TEXT(Table1[[#This Row],[order_date]],"yyyy-mm")</f>
        <v>2025-09</v>
      </c>
      <c r="Q2033">
        <f>WEEKNUM(Table1[[#This Row],[order_date]])</f>
        <v>36</v>
      </c>
      <c r="R2033">
        <f>IF(Table1[[#This Row],[order_status]]="completed",1,0)</f>
        <v>1</v>
      </c>
    </row>
    <row r="2034" spans="1:18" x14ac:dyDescent="0.35">
      <c r="A2034">
        <v>2033</v>
      </c>
      <c r="B2034" s="1">
        <v>46014</v>
      </c>
      <c r="C2034">
        <v>1141</v>
      </c>
      <c r="D2034" t="s">
        <v>32</v>
      </c>
      <c r="E2034" t="s">
        <v>29</v>
      </c>
      <c r="F2034" t="s">
        <v>24</v>
      </c>
      <c r="G2034">
        <v>2</v>
      </c>
      <c r="H2034">
        <v>0</v>
      </c>
      <c r="I2034" t="s">
        <v>35</v>
      </c>
      <c r="J2034" t="s">
        <v>31</v>
      </c>
      <c r="K2034" t="s">
        <v>38</v>
      </c>
      <c r="L2034">
        <v>10</v>
      </c>
      <c r="M2034">
        <v>0</v>
      </c>
      <c r="N2034">
        <v>1</v>
      </c>
      <c r="O2034" t="s">
        <v>27</v>
      </c>
      <c r="P2034" t="str">
        <f>TEXT(Table1[[#This Row],[order_date]],"yyyy-mm")</f>
        <v>2025-12</v>
      </c>
      <c r="Q2034">
        <f>WEEKNUM(Table1[[#This Row],[order_date]])</f>
        <v>52</v>
      </c>
      <c r="R2034">
        <f>IF(Table1[[#This Row],[order_status]]="completed",1,0)</f>
        <v>0</v>
      </c>
    </row>
    <row r="2035" spans="1:18" x14ac:dyDescent="0.35">
      <c r="A2035">
        <v>2034</v>
      </c>
      <c r="B2035" s="1">
        <v>45973</v>
      </c>
      <c r="C2035">
        <v>1199</v>
      </c>
      <c r="D2035" t="s">
        <v>41</v>
      </c>
      <c r="E2035" t="s">
        <v>29</v>
      </c>
      <c r="F2035" t="s">
        <v>24</v>
      </c>
      <c r="G2035">
        <v>3</v>
      </c>
      <c r="H2035">
        <v>1881</v>
      </c>
      <c r="I2035" t="s">
        <v>25</v>
      </c>
      <c r="J2035" t="s">
        <v>19</v>
      </c>
      <c r="K2035" t="s">
        <v>40</v>
      </c>
      <c r="L2035">
        <v>7</v>
      </c>
      <c r="M2035">
        <v>0</v>
      </c>
      <c r="N2035">
        <v>1</v>
      </c>
      <c r="O2035" t="s">
        <v>27</v>
      </c>
      <c r="P2035" t="str">
        <f>TEXT(Table1[[#This Row],[order_date]],"yyyy-mm")</f>
        <v>2025-11</v>
      </c>
      <c r="Q2035">
        <f>WEEKNUM(Table1[[#This Row],[order_date]])</f>
        <v>46</v>
      </c>
      <c r="R2035">
        <f>IF(Table1[[#This Row],[order_status]]="completed",1,0)</f>
        <v>1</v>
      </c>
    </row>
    <row r="2036" spans="1:18" x14ac:dyDescent="0.35">
      <c r="A2036">
        <v>2035</v>
      </c>
      <c r="B2036" s="1">
        <v>45992</v>
      </c>
      <c r="C2036">
        <v>1127</v>
      </c>
      <c r="D2036" t="s">
        <v>22</v>
      </c>
      <c r="E2036" t="s">
        <v>16</v>
      </c>
      <c r="F2036" t="s">
        <v>30</v>
      </c>
      <c r="G2036">
        <v>5</v>
      </c>
      <c r="H2036">
        <v>13520</v>
      </c>
      <c r="I2036" t="s">
        <v>35</v>
      </c>
      <c r="J2036" t="s">
        <v>19</v>
      </c>
      <c r="K2036" t="s">
        <v>40</v>
      </c>
      <c r="L2036">
        <v>10</v>
      </c>
      <c r="M2036">
        <v>0</v>
      </c>
      <c r="N2036">
        <v>1</v>
      </c>
      <c r="O2036" t="s">
        <v>21</v>
      </c>
      <c r="P2036" t="str">
        <f>TEXT(Table1[[#This Row],[order_date]],"yyyy-mm")</f>
        <v>2025-12</v>
      </c>
      <c r="Q2036">
        <f>WEEKNUM(Table1[[#This Row],[order_date]])</f>
        <v>49</v>
      </c>
      <c r="R2036">
        <f>IF(Table1[[#This Row],[order_status]]="completed",1,0)</f>
        <v>1</v>
      </c>
    </row>
    <row r="2037" spans="1:18" x14ac:dyDescent="0.35">
      <c r="A2037">
        <v>2036</v>
      </c>
      <c r="B2037" s="1">
        <v>45954</v>
      </c>
      <c r="C2037">
        <v>1173</v>
      </c>
      <c r="D2037" t="s">
        <v>22</v>
      </c>
      <c r="E2037" t="s">
        <v>33</v>
      </c>
      <c r="F2037" t="s">
        <v>34</v>
      </c>
      <c r="G2037">
        <v>2</v>
      </c>
      <c r="H2037">
        <v>0</v>
      </c>
      <c r="I2037" t="s">
        <v>39</v>
      </c>
      <c r="J2037" t="s">
        <v>37</v>
      </c>
      <c r="K2037" t="s">
        <v>40</v>
      </c>
      <c r="L2037">
        <v>1</v>
      </c>
      <c r="M2037">
        <v>0</v>
      </c>
      <c r="N2037">
        <v>0</v>
      </c>
      <c r="O2037" t="s">
        <v>27</v>
      </c>
      <c r="P2037" t="str">
        <f>TEXT(Table1[[#This Row],[order_date]],"yyyy-mm")</f>
        <v>2025-10</v>
      </c>
      <c r="Q2037">
        <f>WEEKNUM(Table1[[#This Row],[order_date]])</f>
        <v>43</v>
      </c>
      <c r="R2037">
        <f>IF(Table1[[#This Row],[order_status]]="completed",1,0)</f>
        <v>0</v>
      </c>
    </row>
    <row r="2038" spans="1:18" x14ac:dyDescent="0.35">
      <c r="A2038">
        <v>2037</v>
      </c>
      <c r="B2038" s="1">
        <v>45980</v>
      </c>
      <c r="C2038">
        <v>1363</v>
      </c>
      <c r="D2038" t="s">
        <v>22</v>
      </c>
      <c r="E2038" t="s">
        <v>36</v>
      </c>
      <c r="F2038" t="s">
        <v>30</v>
      </c>
      <c r="G2038">
        <v>2</v>
      </c>
      <c r="H2038">
        <v>0</v>
      </c>
      <c r="I2038" t="s">
        <v>25</v>
      </c>
      <c r="J2038" t="s">
        <v>37</v>
      </c>
      <c r="K2038" t="s">
        <v>26</v>
      </c>
      <c r="L2038">
        <v>3</v>
      </c>
      <c r="M2038">
        <v>0</v>
      </c>
      <c r="N2038">
        <v>0</v>
      </c>
      <c r="O2038" t="s">
        <v>27</v>
      </c>
      <c r="P2038" t="str">
        <f>TEXT(Table1[[#This Row],[order_date]],"yyyy-mm")</f>
        <v>2025-11</v>
      </c>
      <c r="Q2038">
        <f>WEEKNUM(Table1[[#This Row],[order_date]])</f>
        <v>47</v>
      </c>
      <c r="R2038">
        <f>IF(Table1[[#This Row],[order_status]]="completed",1,0)</f>
        <v>0</v>
      </c>
    </row>
    <row r="2039" spans="1:18" x14ac:dyDescent="0.35">
      <c r="A2039">
        <v>2038</v>
      </c>
      <c r="B2039" s="1">
        <v>45921</v>
      </c>
      <c r="C2039">
        <v>1901</v>
      </c>
      <c r="D2039" t="s">
        <v>28</v>
      </c>
      <c r="E2039" t="s">
        <v>16</v>
      </c>
      <c r="F2039" t="s">
        <v>34</v>
      </c>
      <c r="G2039">
        <v>3</v>
      </c>
      <c r="H2039">
        <v>4113</v>
      </c>
      <c r="I2039" t="s">
        <v>25</v>
      </c>
      <c r="J2039" t="s">
        <v>19</v>
      </c>
      <c r="K2039" t="s">
        <v>40</v>
      </c>
      <c r="L2039">
        <v>10</v>
      </c>
      <c r="M2039">
        <v>0</v>
      </c>
      <c r="N2039">
        <v>1</v>
      </c>
      <c r="O2039" t="s">
        <v>21</v>
      </c>
      <c r="P2039" t="str">
        <f>TEXT(Table1[[#This Row],[order_date]],"yyyy-mm")</f>
        <v>2025-09</v>
      </c>
      <c r="Q2039">
        <f>WEEKNUM(Table1[[#This Row],[order_date]])</f>
        <v>39</v>
      </c>
      <c r="R2039">
        <f>IF(Table1[[#This Row],[order_status]]="completed",1,0)</f>
        <v>1</v>
      </c>
    </row>
    <row r="2040" spans="1:18" x14ac:dyDescent="0.35">
      <c r="A2040">
        <v>2039</v>
      </c>
      <c r="B2040" s="1">
        <v>45885</v>
      </c>
      <c r="C2040">
        <v>1964</v>
      </c>
      <c r="D2040" t="s">
        <v>41</v>
      </c>
      <c r="E2040" t="s">
        <v>33</v>
      </c>
      <c r="F2040" t="s">
        <v>17</v>
      </c>
      <c r="G2040">
        <v>5</v>
      </c>
      <c r="H2040">
        <v>0</v>
      </c>
      <c r="I2040" t="s">
        <v>39</v>
      </c>
      <c r="J2040" t="s">
        <v>37</v>
      </c>
      <c r="K2040" t="s">
        <v>20</v>
      </c>
      <c r="L2040">
        <v>9</v>
      </c>
      <c r="M2040">
        <v>0</v>
      </c>
      <c r="N2040">
        <v>1</v>
      </c>
      <c r="O2040" t="s">
        <v>21</v>
      </c>
      <c r="P2040" t="str">
        <f>TEXT(Table1[[#This Row],[order_date]],"yyyy-mm")</f>
        <v>2025-08</v>
      </c>
      <c r="Q2040">
        <f>WEEKNUM(Table1[[#This Row],[order_date]])</f>
        <v>33</v>
      </c>
      <c r="R2040">
        <f>IF(Table1[[#This Row],[order_status]]="completed",1,0)</f>
        <v>0</v>
      </c>
    </row>
    <row r="2041" spans="1:18" x14ac:dyDescent="0.35">
      <c r="A2041">
        <v>2040</v>
      </c>
      <c r="B2041" s="1">
        <v>45908</v>
      </c>
      <c r="C2041">
        <v>1443</v>
      </c>
      <c r="D2041" t="s">
        <v>32</v>
      </c>
      <c r="E2041" t="s">
        <v>33</v>
      </c>
      <c r="F2041" t="s">
        <v>34</v>
      </c>
      <c r="G2041">
        <v>2</v>
      </c>
      <c r="H2041">
        <v>5976</v>
      </c>
      <c r="I2041" t="s">
        <v>25</v>
      </c>
      <c r="J2041" t="s">
        <v>19</v>
      </c>
      <c r="K2041" t="s">
        <v>26</v>
      </c>
      <c r="L2041">
        <v>6</v>
      </c>
      <c r="M2041">
        <v>1</v>
      </c>
      <c r="N2041">
        <v>1</v>
      </c>
      <c r="O2041" t="s">
        <v>21</v>
      </c>
      <c r="P2041" t="str">
        <f>TEXT(Table1[[#This Row],[order_date]],"yyyy-mm")</f>
        <v>2025-09</v>
      </c>
      <c r="Q2041">
        <f>WEEKNUM(Table1[[#This Row],[order_date]])</f>
        <v>37</v>
      </c>
      <c r="R2041">
        <f>IF(Table1[[#This Row],[order_status]]="completed",1,0)</f>
        <v>1</v>
      </c>
    </row>
    <row r="2042" spans="1:18" x14ac:dyDescent="0.35">
      <c r="A2042">
        <v>2041</v>
      </c>
      <c r="B2042" s="1">
        <v>45911</v>
      </c>
      <c r="C2042">
        <v>1090</v>
      </c>
      <c r="D2042" t="s">
        <v>41</v>
      </c>
      <c r="E2042" t="s">
        <v>36</v>
      </c>
      <c r="F2042" t="s">
        <v>17</v>
      </c>
      <c r="G2042">
        <v>3</v>
      </c>
      <c r="H2042">
        <v>0</v>
      </c>
      <c r="I2042" t="s">
        <v>39</v>
      </c>
      <c r="J2042" t="s">
        <v>37</v>
      </c>
      <c r="K2042" t="s">
        <v>26</v>
      </c>
      <c r="L2042">
        <v>3</v>
      </c>
      <c r="M2042">
        <v>0</v>
      </c>
      <c r="N2042">
        <v>1</v>
      </c>
      <c r="O2042" t="s">
        <v>21</v>
      </c>
      <c r="P2042" t="str">
        <f>TEXT(Table1[[#This Row],[order_date]],"yyyy-mm")</f>
        <v>2025-09</v>
      </c>
      <c r="Q2042">
        <f>WEEKNUM(Table1[[#This Row],[order_date]])</f>
        <v>37</v>
      </c>
      <c r="R2042">
        <f>IF(Table1[[#This Row],[order_status]]="completed",1,0)</f>
        <v>0</v>
      </c>
    </row>
    <row r="2043" spans="1:18" x14ac:dyDescent="0.35">
      <c r="A2043">
        <v>2042</v>
      </c>
      <c r="B2043" s="1">
        <v>45907</v>
      </c>
      <c r="C2043">
        <v>1254</v>
      </c>
      <c r="D2043" t="s">
        <v>32</v>
      </c>
      <c r="E2043" t="s">
        <v>29</v>
      </c>
      <c r="F2043" t="s">
        <v>17</v>
      </c>
      <c r="G2043">
        <v>2</v>
      </c>
      <c r="H2043">
        <v>0</v>
      </c>
      <c r="I2043" t="s">
        <v>39</v>
      </c>
      <c r="J2043" t="s">
        <v>37</v>
      </c>
      <c r="K2043" t="s">
        <v>26</v>
      </c>
      <c r="L2043">
        <v>2</v>
      </c>
      <c r="M2043">
        <v>1</v>
      </c>
      <c r="N2043">
        <v>0</v>
      </c>
      <c r="O2043" t="s">
        <v>21</v>
      </c>
      <c r="P2043" t="str">
        <f>TEXT(Table1[[#This Row],[order_date]],"yyyy-mm")</f>
        <v>2025-09</v>
      </c>
      <c r="Q2043">
        <f>WEEKNUM(Table1[[#This Row],[order_date]])</f>
        <v>37</v>
      </c>
      <c r="R2043">
        <f>IF(Table1[[#This Row],[order_status]]="completed",1,0)</f>
        <v>0</v>
      </c>
    </row>
    <row r="2044" spans="1:18" x14ac:dyDescent="0.35">
      <c r="A2044">
        <v>2043</v>
      </c>
      <c r="B2044" s="1">
        <v>45953</v>
      </c>
      <c r="C2044">
        <v>1829</v>
      </c>
      <c r="D2044" t="s">
        <v>28</v>
      </c>
      <c r="E2044" t="s">
        <v>29</v>
      </c>
      <c r="F2044" t="s">
        <v>24</v>
      </c>
      <c r="G2044">
        <v>2</v>
      </c>
      <c r="H2044">
        <v>0</v>
      </c>
      <c r="I2044" t="s">
        <v>25</v>
      </c>
      <c r="J2044" t="s">
        <v>37</v>
      </c>
      <c r="K2044" t="s">
        <v>38</v>
      </c>
      <c r="L2044">
        <v>5</v>
      </c>
      <c r="M2044">
        <v>0</v>
      </c>
      <c r="N2044">
        <v>1</v>
      </c>
      <c r="O2044" t="s">
        <v>27</v>
      </c>
      <c r="P2044" t="str">
        <f>TEXT(Table1[[#This Row],[order_date]],"yyyy-mm")</f>
        <v>2025-10</v>
      </c>
      <c r="Q2044">
        <f>WEEKNUM(Table1[[#This Row],[order_date]])</f>
        <v>43</v>
      </c>
      <c r="R2044">
        <f>IF(Table1[[#This Row],[order_status]]="completed",1,0)</f>
        <v>0</v>
      </c>
    </row>
    <row r="2045" spans="1:18" x14ac:dyDescent="0.35">
      <c r="A2045">
        <v>2044</v>
      </c>
      <c r="B2045" s="1">
        <v>45887</v>
      </c>
      <c r="C2045">
        <v>1925</v>
      </c>
      <c r="D2045" t="s">
        <v>15</v>
      </c>
      <c r="E2045" t="s">
        <v>16</v>
      </c>
      <c r="F2045" t="s">
        <v>34</v>
      </c>
      <c r="G2045">
        <v>5</v>
      </c>
      <c r="H2045">
        <v>0</v>
      </c>
      <c r="I2045" t="s">
        <v>18</v>
      </c>
      <c r="J2045" t="s">
        <v>31</v>
      </c>
      <c r="K2045" t="s">
        <v>26</v>
      </c>
      <c r="L2045">
        <v>7</v>
      </c>
      <c r="M2045">
        <v>0</v>
      </c>
      <c r="N2045">
        <v>0</v>
      </c>
      <c r="O2045" t="s">
        <v>27</v>
      </c>
      <c r="P2045" t="str">
        <f>TEXT(Table1[[#This Row],[order_date]],"yyyy-mm")</f>
        <v>2025-08</v>
      </c>
      <c r="Q2045">
        <f>WEEKNUM(Table1[[#This Row],[order_date]])</f>
        <v>34</v>
      </c>
      <c r="R2045">
        <f>IF(Table1[[#This Row],[order_status]]="completed",1,0)</f>
        <v>0</v>
      </c>
    </row>
    <row r="2046" spans="1:18" x14ac:dyDescent="0.35">
      <c r="A2046">
        <v>2045</v>
      </c>
      <c r="B2046" s="1">
        <v>45928</v>
      </c>
      <c r="C2046">
        <v>1628</v>
      </c>
      <c r="D2046" t="s">
        <v>22</v>
      </c>
      <c r="E2046" t="s">
        <v>36</v>
      </c>
      <c r="F2046" t="s">
        <v>17</v>
      </c>
      <c r="G2046">
        <v>4</v>
      </c>
      <c r="H2046">
        <v>0</v>
      </c>
      <c r="I2046" t="s">
        <v>35</v>
      </c>
      <c r="J2046" t="s">
        <v>31</v>
      </c>
      <c r="K2046" t="s">
        <v>26</v>
      </c>
      <c r="L2046">
        <v>5</v>
      </c>
      <c r="M2046">
        <v>1</v>
      </c>
      <c r="N2046">
        <v>0</v>
      </c>
      <c r="O2046" t="s">
        <v>27</v>
      </c>
      <c r="P2046" t="str">
        <f>TEXT(Table1[[#This Row],[order_date]],"yyyy-mm")</f>
        <v>2025-09</v>
      </c>
      <c r="Q2046">
        <f>WEEKNUM(Table1[[#This Row],[order_date]])</f>
        <v>40</v>
      </c>
      <c r="R2046">
        <f>IF(Table1[[#This Row],[order_status]]="completed",1,0)</f>
        <v>0</v>
      </c>
    </row>
    <row r="2047" spans="1:18" x14ac:dyDescent="0.35">
      <c r="A2047">
        <v>2046</v>
      </c>
      <c r="B2047" s="1">
        <v>45939</v>
      </c>
      <c r="C2047">
        <v>1222</v>
      </c>
      <c r="D2047" t="s">
        <v>41</v>
      </c>
      <c r="E2047" t="s">
        <v>29</v>
      </c>
      <c r="F2047" t="s">
        <v>17</v>
      </c>
      <c r="G2047">
        <v>5</v>
      </c>
      <c r="H2047">
        <v>0</v>
      </c>
      <c r="I2047" t="s">
        <v>35</v>
      </c>
      <c r="J2047" t="s">
        <v>31</v>
      </c>
      <c r="K2047" t="s">
        <v>20</v>
      </c>
      <c r="L2047">
        <v>5</v>
      </c>
      <c r="M2047">
        <v>0</v>
      </c>
      <c r="N2047">
        <v>1</v>
      </c>
      <c r="O2047" t="s">
        <v>21</v>
      </c>
      <c r="P2047" t="str">
        <f>TEXT(Table1[[#This Row],[order_date]],"yyyy-mm")</f>
        <v>2025-10</v>
      </c>
      <c r="Q2047">
        <f>WEEKNUM(Table1[[#This Row],[order_date]])</f>
        <v>41</v>
      </c>
      <c r="R2047">
        <f>IF(Table1[[#This Row],[order_status]]="completed",1,0)</f>
        <v>0</v>
      </c>
    </row>
    <row r="2048" spans="1:18" x14ac:dyDescent="0.35">
      <c r="A2048">
        <v>2047</v>
      </c>
      <c r="B2048" s="1">
        <v>45968</v>
      </c>
      <c r="C2048">
        <v>1789</v>
      </c>
      <c r="D2048" t="s">
        <v>41</v>
      </c>
      <c r="E2048" t="s">
        <v>33</v>
      </c>
      <c r="F2048" t="s">
        <v>24</v>
      </c>
      <c r="G2048">
        <v>1</v>
      </c>
      <c r="H2048">
        <v>0</v>
      </c>
      <c r="I2048" t="s">
        <v>18</v>
      </c>
      <c r="J2048" t="s">
        <v>31</v>
      </c>
      <c r="K2048" t="s">
        <v>38</v>
      </c>
      <c r="L2048">
        <v>3</v>
      </c>
      <c r="M2048">
        <v>1</v>
      </c>
      <c r="N2048">
        <v>1</v>
      </c>
      <c r="O2048" t="s">
        <v>27</v>
      </c>
      <c r="P2048" t="str">
        <f>TEXT(Table1[[#This Row],[order_date]],"yyyy-mm")</f>
        <v>2025-11</v>
      </c>
      <c r="Q2048">
        <f>WEEKNUM(Table1[[#This Row],[order_date]])</f>
        <v>45</v>
      </c>
      <c r="R2048">
        <f>IF(Table1[[#This Row],[order_status]]="completed",1,0)</f>
        <v>0</v>
      </c>
    </row>
    <row r="2049" spans="1:18" x14ac:dyDescent="0.35">
      <c r="A2049">
        <v>2048</v>
      </c>
      <c r="B2049" s="1">
        <v>45857</v>
      </c>
      <c r="C2049">
        <v>1349</v>
      </c>
      <c r="D2049" t="s">
        <v>32</v>
      </c>
      <c r="E2049" t="s">
        <v>16</v>
      </c>
      <c r="F2049" t="s">
        <v>17</v>
      </c>
      <c r="G2049">
        <v>3</v>
      </c>
      <c r="H2049">
        <v>0</v>
      </c>
      <c r="I2049" t="s">
        <v>35</v>
      </c>
      <c r="J2049" t="s">
        <v>31</v>
      </c>
      <c r="K2049" t="s">
        <v>38</v>
      </c>
      <c r="L2049">
        <v>6</v>
      </c>
      <c r="M2049">
        <v>0</v>
      </c>
      <c r="N2049">
        <v>0</v>
      </c>
      <c r="O2049" t="s">
        <v>21</v>
      </c>
      <c r="P2049" t="str">
        <f>TEXT(Table1[[#This Row],[order_date]],"yyyy-mm")</f>
        <v>2025-07</v>
      </c>
      <c r="Q2049">
        <f>WEEKNUM(Table1[[#This Row],[order_date]])</f>
        <v>29</v>
      </c>
      <c r="R2049">
        <f>IF(Table1[[#This Row],[order_status]]="completed",1,0)</f>
        <v>0</v>
      </c>
    </row>
    <row r="2050" spans="1:18" x14ac:dyDescent="0.35">
      <c r="A2050">
        <v>2049</v>
      </c>
      <c r="B2050" s="1">
        <v>45996</v>
      </c>
      <c r="C2050">
        <v>1309</v>
      </c>
      <c r="D2050" t="s">
        <v>22</v>
      </c>
      <c r="E2050" t="s">
        <v>29</v>
      </c>
      <c r="F2050" t="s">
        <v>30</v>
      </c>
      <c r="G2050">
        <v>1</v>
      </c>
      <c r="H2050">
        <v>343</v>
      </c>
      <c r="I2050" t="s">
        <v>39</v>
      </c>
      <c r="J2050" t="s">
        <v>19</v>
      </c>
      <c r="K2050" t="s">
        <v>38</v>
      </c>
      <c r="L2050">
        <v>10</v>
      </c>
      <c r="M2050">
        <v>0</v>
      </c>
      <c r="N2050">
        <v>1</v>
      </c>
      <c r="O2050" t="s">
        <v>21</v>
      </c>
      <c r="P2050" t="str">
        <f>TEXT(Table1[[#This Row],[order_date]],"yyyy-mm")</f>
        <v>2025-12</v>
      </c>
      <c r="Q2050">
        <f>WEEKNUM(Table1[[#This Row],[order_date]])</f>
        <v>49</v>
      </c>
      <c r="R2050">
        <f>IF(Table1[[#This Row],[order_status]]="completed",1,0)</f>
        <v>1</v>
      </c>
    </row>
    <row r="2051" spans="1:18" x14ac:dyDescent="0.35">
      <c r="A2051">
        <v>2050</v>
      </c>
      <c r="B2051" s="1">
        <v>45892</v>
      </c>
      <c r="C2051">
        <v>1982</v>
      </c>
      <c r="D2051" t="s">
        <v>32</v>
      </c>
      <c r="E2051" t="s">
        <v>16</v>
      </c>
      <c r="F2051" t="s">
        <v>17</v>
      </c>
      <c r="G2051">
        <v>2</v>
      </c>
      <c r="H2051">
        <v>6918</v>
      </c>
      <c r="I2051" t="s">
        <v>35</v>
      </c>
      <c r="J2051" t="s">
        <v>19</v>
      </c>
      <c r="K2051" t="s">
        <v>20</v>
      </c>
      <c r="L2051">
        <v>9</v>
      </c>
      <c r="M2051">
        <v>0</v>
      </c>
      <c r="N2051">
        <v>0</v>
      </c>
      <c r="O2051" t="s">
        <v>21</v>
      </c>
      <c r="P2051" t="str">
        <f>TEXT(Table1[[#This Row],[order_date]],"yyyy-mm")</f>
        <v>2025-08</v>
      </c>
      <c r="Q2051">
        <f>WEEKNUM(Table1[[#This Row],[order_date]])</f>
        <v>34</v>
      </c>
      <c r="R2051">
        <f>IF(Table1[[#This Row],[order_status]]="completed",1,0)</f>
        <v>1</v>
      </c>
    </row>
    <row r="2052" spans="1:18" x14ac:dyDescent="0.35">
      <c r="A2052">
        <v>2051</v>
      </c>
      <c r="B2052" s="1">
        <v>46019</v>
      </c>
      <c r="C2052">
        <v>1513</v>
      </c>
      <c r="D2052" t="s">
        <v>15</v>
      </c>
      <c r="E2052" t="s">
        <v>36</v>
      </c>
      <c r="F2052" t="s">
        <v>34</v>
      </c>
      <c r="G2052">
        <v>5</v>
      </c>
      <c r="H2052">
        <v>0</v>
      </c>
      <c r="I2052" t="s">
        <v>18</v>
      </c>
      <c r="J2052" t="s">
        <v>37</v>
      </c>
      <c r="K2052" t="s">
        <v>20</v>
      </c>
      <c r="L2052">
        <v>7</v>
      </c>
      <c r="M2052">
        <v>1</v>
      </c>
      <c r="N2052">
        <v>0</v>
      </c>
      <c r="O2052" t="s">
        <v>27</v>
      </c>
      <c r="P2052" t="str">
        <f>TEXT(Table1[[#This Row],[order_date]],"yyyy-mm")</f>
        <v>2025-12</v>
      </c>
      <c r="Q2052">
        <f>WEEKNUM(Table1[[#This Row],[order_date]])</f>
        <v>53</v>
      </c>
      <c r="R2052">
        <f>IF(Table1[[#This Row],[order_status]]="completed",1,0)</f>
        <v>0</v>
      </c>
    </row>
    <row r="2053" spans="1:18" x14ac:dyDescent="0.35">
      <c r="A2053">
        <v>2052</v>
      </c>
      <c r="B2053" s="1">
        <v>45910</v>
      </c>
      <c r="C2053">
        <v>1757</v>
      </c>
      <c r="D2053" t="s">
        <v>22</v>
      </c>
      <c r="E2053" t="s">
        <v>36</v>
      </c>
      <c r="F2053" t="s">
        <v>17</v>
      </c>
      <c r="G2053">
        <v>4</v>
      </c>
      <c r="H2053">
        <v>0</v>
      </c>
      <c r="I2053" t="s">
        <v>39</v>
      </c>
      <c r="J2053" t="s">
        <v>31</v>
      </c>
      <c r="K2053" t="s">
        <v>40</v>
      </c>
      <c r="L2053">
        <v>7</v>
      </c>
      <c r="M2053">
        <v>0</v>
      </c>
      <c r="N2053">
        <v>0</v>
      </c>
      <c r="O2053" t="s">
        <v>21</v>
      </c>
      <c r="P2053" t="str">
        <f>TEXT(Table1[[#This Row],[order_date]],"yyyy-mm")</f>
        <v>2025-09</v>
      </c>
      <c r="Q2053">
        <f>WEEKNUM(Table1[[#This Row],[order_date]])</f>
        <v>37</v>
      </c>
      <c r="R2053">
        <f>IF(Table1[[#This Row],[order_status]]="completed",1,0)</f>
        <v>0</v>
      </c>
    </row>
    <row r="2054" spans="1:18" x14ac:dyDescent="0.35">
      <c r="A2054">
        <v>2053</v>
      </c>
      <c r="B2054" s="1">
        <v>45951</v>
      </c>
      <c r="C2054">
        <v>1772</v>
      </c>
      <c r="D2054" t="s">
        <v>41</v>
      </c>
      <c r="E2054" t="s">
        <v>16</v>
      </c>
      <c r="F2054" t="s">
        <v>24</v>
      </c>
      <c r="G2054">
        <v>5</v>
      </c>
      <c r="H2054">
        <v>9240</v>
      </c>
      <c r="I2054" t="s">
        <v>25</v>
      </c>
      <c r="J2054" t="s">
        <v>19</v>
      </c>
      <c r="K2054" t="s">
        <v>40</v>
      </c>
      <c r="L2054">
        <v>4</v>
      </c>
      <c r="M2054">
        <v>0</v>
      </c>
      <c r="N2054">
        <v>0</v>
      </c>
      <c r="O2054" t="s">
        <v>27</v>
      </c>
      <c r="P2054" t="str">
        <f>TEXT(Table1[[#This Row],[order_date]],"yyyy-mm")</f>
        <v>2025-10</v>
      </c>
      <c r="Q2054">
        <f>WEEKNUM(Table1[[#This Row],[order_date]])</f>
        <v>43</v>
      </c>
      <c r="R2054">
        <f>IF(Table1[[#This Row],[order_status]]="completed",1,0)</f>
        <v>1</v>
      </c>
    </row>
    <row r="2055" spans="1:18" x14ac:dyDescent="0.35">
      <c r="A2055">
        <v>2054</v>
      </c>
      <c r="B2055" s="1">
        <v>46020</v>
      </c>
      <c r="C2055">
        <v>1078</v>
      </c>
      <c r="D2055" t="s">
        <v>22</v>
      </c>
      <c r="E2055" t="s">
        <v>29</v>
      </c>
      <c r="F2055" t="s">
        <v>24</v>
      </c>
      <c r="G2055">
        <v>4</v>
      </c>
      <c r="H2055">
        <v>1356</v>
      </c>
      <c r="I2055" t="s">
        <v>35</v>
      </c>
      <c r="J2055" t="s">
        <v>19</v>
      </c>
      <c r="K2055" t="s">
        <v>26</v>
      </c>
      <c r="L2055">
        <v>6</v>
      </c>
      <c r="M2055">
        <v>1</v>
      </c>
      <c r="N2055">
        <v>0</v>
      </c>
      <c r="O2055" t="s">
        <v>27</v>
      </c>
      <c r="P2055" t="str">
        <f>TEXT(Table1[[#This Row],[order_date]],"yyyy-mm")</f>
        <v>2025-12</v>
      </c>
      <c r="Q2055">
        <f>WEEKNUM(Table1[[#This Row],[order_date]])</f>
        <v>53</v>
      </c>
      <c r="R2055">
        <f>IF(Table1[[#This Row],[order_status]]="completed",1,0)</f>
        <v>1</v>
      </c>
    </row>
    <row r="2056" spans="1:18" x14ac:dyDescent="0.35">
      <c r="A2056">
        <v>2055</v>
      </c>
      <c r="B2056" s="1">
        <v>45913</v>
      </c>
      <c r="C2056">
        <v>1980</v>
      </c>
      <c r="D2056" t="s">
        <v>28</v>
      </c>
      <c r="E2056" t="s">
        <v>33</v>
      </c>
      <c r="F2056" t="s">
        <v>17</v>
      </c>
      <c r="G2056">
        <v>5</v>
      </c>
      <c r="H2056">
        <v>0</v>
      </c>
      <c r="I2056" t="s">
        <v>25</v>
      </c>
      <c r="J2056" t="s">
        <v>31</v>
      </c>
      <c r="K2056" t="s">
        <v>26</v>
      </c>
      <c r="L2056">
        <v>2</v>
      </c>
      <c r="M2056">
        <v>1</v>
      </c>
      <c r="N2056">
        <v>0</v>
      </c>
      <c r="O2056" t="s">
        <v>21</v>
      </c>
      <c r="P2056" t="str">
        <f>TEXT(Table1[[#This Row],[order_date]],"yyyy-mm")</f>
        <v>2025-09</v>
      </c>
      <c r="Q2056">
        <f>WEEKNUM(Table1[[#This Row],[order_date]])</f>
        <v>37</v>
      </c>
      <c r="R2056">
        <f>IF(Table1[[#This Row],[order_status]]="completed",1,0)</f>
        <v>0</v>
      </c>
    </row>
    <row r="2057" spans="1:18" x14ac:dyDescent="0.35">
      <c r="A2057">
        <v>2056</v>
      </c>
      <c r="B2057" s="1">
        <v>46012</v>
      </c>
      <c r="C2057">
        <v>1096</v>
      </c>
      <c r="D2057" t="s">
        <v>15</v>
      </c>
      <c r="E2057" t="s">
        <v>33</v>
      </c>
      <c r="F2057" t="s">
        <v>30</v>
      </c>
      <c r="G2057">
        <v>1</v>
      </c>
      <c r="H2057">
        <v>0</v>
      </c>
      <c r="I2057" t="s">
        <v>39</v>
      </c>
      <c r="J2057" t="s">
        <v>37</v>
      </c>
      <c r="K2057" t="s">
        <v>38</v>
      </c>
      <c r="L2057">
        <v>7</v>
      </c>
      <c r="M2057">
        <v>0</v>
      </c>
      <c r="N2057">
        <v>1</v>
      </c>
      <c r="O2057" t="s">
        <v>27</v>
      </c>
      <c r="P2057" t="str">
        <f>TEXT(Table1[[#This Row],[order_date]],"yyyy-mm")</f>
        <v>2025-12</v>
      </c>
      <c r="Q2057">
        <f>WEEKNUM(Table1[[#This Row],[order_date]])</f>
        <v>52</v>
      </c>
      <c r="R2057">
        <f>IF(Table1[[#This Row],[order_status]]="completed",1,0)</f>
        <v>0</v>
      </c>
    </row>
    <row r="2058" spans="1:18" x14ac:dyDescent="0.35">
      <c r="A2058">
        <v>2057</v>
      </c>
      <c r="B2058" s="1">
        <v>45996</v>
      </c>
      <c r="C2058">
        <v>1111</v>
      </c>
      <c r="D2058" t="s">
        <v>41</v>
      </c>
      <c r="E2058" t="s">
        <v>16</v>
      </c>
      <c r="F2058" t="s">
        <v>30</v>
      </c>
      <c r="G2058">
        <v>5</v>
      </c>
      <c r="H2058">
        <v>4955</v>
      </c>
      <c r="I2058" t="s">
        <v>25</v>
      </c>
      <c r="J2058" t="s">
        <v>19</v>
      </c>
      <c r="K2058" t="s">
        <v>38</v>
      </c>
      <c r="L2058">
        <v>1</v>
      </c>
      <c r="M2058">
        <v>1</v>
      </c>
      <c r="N2058">
        <v>1</v>
      </c>
      <c r="O2058" t="s">
        <v>27</v>
      </c>
      <c r="P2058" t="str">
        <f>TEXT(Table1[[#This Row],[order_date]],"yyyy-mm")</f>
        <v>2025-12</v>
      </c>
      <c r="Q2058">
        <f>WEEKNUM(Table1[[#This Row],[order_date]])</f>
        <v>49</v>
      </c>
      <c r="R2058">
        <f>IF(Table1[[#This Row],[order_status]]="completed",1,0)</f>
        <v>1</v>
      </c>
    </row>
    <row r="2059" spans="1:18" x14ac:dyDescent="0.35">
      <c r="A2059">
        <v>2058</v>
      </c>
      <c r="B2059" s="1">
        <v>45977</v>
      </c>
      <c r="C2059">
        <v>1228</v>
      </c>
      <c r="D2059" t="s">
        <v>28</v>
      </c>
      <c r="E2059" t="s">
        <v>36</v>
      </c>
      <c r="F2059" t="s">
        <v>24</v>
      </c>
      <c r="G2059">
        <v>3</v>
      </c>
      <c r="H2059">
        <v>0</v>
      </c>
      <c r="I2059" t="s">
        <v>35</v>
      </c>
      <c r="J2059" t="s">
        <v>31</v>
      </c>
      <c r="K2059" t="s">
        <v>26</v>
      </c>
      <c r="L2059">
        <v>1</v>
      </c>
      <c r="M2059">
        <v>0</v>
      </c>
      <c r="N2059">
        <v>0</v>
      </c>
      <c r="O2059" t="s">
        <v>21</v>
      </c>
      <c r="P2059" t="str">
        <f>TEXT(Table1[[#This Row],[order_date]],"yyyy-mm")</f>
        <v>2025-11</v>
      </c>
      <c r="Q2059">
        <f>WEEKNUM(Table1[[#This Row],[order_date]])</f>
        <v>47</v>
      </c>
      <c r="R2059">
        <f>IF(Table1[[#This Row],[order_status]]="completed",1,0)</f>
        <v>0</v>
      </c>
    </row>
    <row r="2060" spans="1:18" x14ac:dyDescent="0.35">
      <c r="A2060">
        <v>2059</v>
      </c>
      <c r="B2060" s="1">
        <v>45999</v>
      </c>
      <c r="C2060">
        <v>1986</v>
      </c>
      <c r="D2060" t="s">
        <v>41</v>
      </c>
      <c r="E2060" t="s">
        <v>16</v>
      </c>
      <c r="F2060" t="s">
        <v>24</v>
      </c>
      <c r="G2060">
        <v>3</v>
      </c>
      <c r="H2060">
        <v>0</v>
      </c>
      <c r="I2060" t="s">
        <v>39</v>
      </c>
      <c r="J2060" t="s">
        <v>31</v>
      </c>
      <c r="K2060" t="s">
        <v>38</v>
      </c>
      <c r="L2060">
        <v>10</v>
      </c>
      <c r="M2060">
        <v>0</v>
      </c>
      <c r="N2060">
        <v>0</v>
      </c>
      <c r="O2060" t="s">
        <v>27</v>
      </c>
      <c r="P2060" t="str">
        <f>TEXT(Table1[[#This Row],[order_date]],"yyyy-mm")</f>
        <v>2025-12</v>
      </c>
      <c r="Q2060">
        <f>WEEKNUM(Table1[[#This Row],[order_date]])</f>
        <v>50</v>
      </c>
      <c r="R2060">
        <f>IF(Table1[[#This Row],[order_status]]="completed",1,0)</f>
        <v>0</v>
      </c>
    </row>
    <row r="2061" spans="1:18" x14ac:dyDescent="0.35">
      <c r="A2061">
        <v>2060</v>
      </c>
      <c r="B2061" s="1">
        <v>45876</v>
      </c>
      <c r="C2061">
        <v>1986</v>
      </c>
      <c r="D2061" t="s">
        <v>22</v>
      </c>
      <c r="E2061" t="s">
        <v>36</v>
      </c>
      <c r="F2061" t="s">
        <v>34</v>
      </c>
      <c r="G2061">
        <v>5</v>
      </c>
      <c r="H2061">
        <v>16565</v>
      </c>
      <c r="I2061" t="s">
        <v>39</v>
      </c>
      <c r="J2061" t="s">
        <v>19</v>
      </c>
      <c r="K2061" t="s">
        <v>20</v>
      </c>
      <c r="L2061">
        <v>9</v>
      </c>
      <c r="M2061">
        <v>1</v>
      </c>
      <c r="N2061">
        <v>1</v>
      </c>
      <c r="O2061" t="s">
        <v>27</v>
      </c>
      <c r="P2061" t="str">
        <f>TEXT(Table1[[#This Row],[order_date]],"yyyy-mm")</f>
        <v>2025-08</v>
      </c>
      <c r="Q2061">
        <f>WEEKNUM(Table1[[#This Row],[order_date]])</f>
        <v>32</v>
      </c>
      <c r="R2061">
        <f>IF(Table1[[#This Row],[order_status]]="completed",1,0)</f>
        <v>1</v>
      </c>
    </row>
    <row r="2062" spans="1:18" x14ac:dyDescent="0.35">
      <c r="A2062">
        <v>2061</v>
      </c>
      <c r="B2062" s="1">
        <v>46025</v>
      </c>
      <c r="C2062">
        <v>1971</v>
      </c>
      <c r="D2062" t="s">
        <v>15</v>
      </c>
      <c r="E2062" t="s">
        <v>16</v>
      </c>
      <c r="F2062" t="s">
        <v>34</v>
      </c>
      <c r="G2062">
        <v>4</v>
      </c>
      <c r="H2062">
        <v>0</v>
      </c>
      <c r="I2062" t="s">
        <v>39</v>
      </c>
      <c r="J2062" t="s">
        <v>31</v>
      </c>
      <c r="K2062" t="s">
        <v>40</v>
      </c>
      <c r="L2062">
        <v>1</v>
      </c>
      <c r="M2062">
        <v>0</v>
      </c>
      <c r="N2062">
        <v>1</v>
      </c>
      <c r="O2062" t="s">
        <v>21</v>
      </c>
      <c r="P2062" t="str">
        <f>TEXT(Table1[[#This Row],[order_date]],"yyyy-mm")</f>
        <v>2026-01</v>
      </c>
      <c r="Q2062">
        <f>WEEKNUM(Table1[[#This Row],[order_date]])</f>
        <v>1</v>
      </c>
      <c r="R2062">
        <f>IF(Table1[[#This Row],[order_status]]="completed",1,0)</f>
        <v>0</v>
      </c>
    </row>
    <row r="2063" spans="1:18" x14ac:dyDescent="0.35">
      <c r="A2063">
        <v>2062</v>
      </c>
      <c r="B2063" s="1">
        <v>46030</v>
      </c>
      <c r="C2063">
        <v>1436</v>
      </c>
      <c r="D2063" t="s">
        <v>22</v>
      </c>
      <c r="E2063" t="s">
        <v>33</v>
      </c>
      <c r="F2063" t="s">
        <v>24</v>
      </c>
      <c r="G2063">
        <v>2</v>
      </c>
      <c r="H2063">
        <v>0</v>
      </c>
      <c r="I2063" t="s">
        <v>39</v>
      </c>
      <c r="J2063" t="s">
        <v>37</v>
      </c>
      <c r="K2063" t="s">
        <v>38</v>
      </c>
      <c r="L2063">
        <v>4</v>
      </c>
      <c r="M2063">
        <v>0</v>
      </c>
      <c r="N2063">
        <v>1</v>
      </c>
      <c r="O2063" t="s">
        <v>27</v>
      </c>
      <c r="P2063" t="str">
        <f>TEXT(Table1[[#This Row],[order_date]],"yyyy-mm")</f>
        <v>2026-01</v>
      </c>
      <c r="Q2063">
        <f>WEEKNUM(Table1[[#This Row],[order_date]])</f>
        <v>2</v>
      </c>
      <c r="R2063">
        <f>IF(Table1[[#This Row],[order_status]]="completed",1,0)</f>
        <v>0</v>
      </c>
    </row>
    <row r="2064" spans="1:18" x14ac:dyDescent="0.35">
      <c r="A2064">
        <v>2063</v>
      </c>
      <c r="B2064" s="1">
        <v>45988</v>
      </c>
      <c r="C2064">
        <v>1971</v>
      </c>
      <c r="D2064" t="s">
        <v>22</v>
      </c>
      <c r="E2064" t="s">
        <v>33</v>
      </c>
      <c r="F2064" t="s">
        <v>17</v>
      </c>
      <c r="G2064">
        <v>3</v>
      </c>
      <c r="H2064">
        <v>7041</v>
      </c>
      <c r="I2064" t="s">
        <v>39</v>
      </c>
      <c r="J2064" t="s">
        <v>19</v>
      </c>
      <c r="K2064" t="s">
        <v>26</v>
      </c>
      <c r="L2064">
        <v>4</v>
      </c>
      <c r="M2064">
        <v>0</v>
      </c>
      <c r="N2064">
        <v>0</v>
      </c>
      <c r="O2064" t="s">
        <v>21</v>
      </c>
      <c r="P2064" t="str">
        <f>TEXT(Table1[[#This Row],[order_date]],"yyyy-mm")</f>
        <v>2025-11</v>
      </c>
      <c r="Q2064">
        <f>WEEKNUM(Table1[[#This Row],[order_date]])</f>
        <v>48</v>
      </c>
      <c r="R2064">
        <f>IF(Table1[[#This Row],[order_status]]="completed",1,0)</f>
        <v>1</v>
      </c>
    </row>
    <row r="2065" spans="1:18" x14ac:dyDescent="0.35">
      <c r="A2065">
        <v>2064</v>
      </c>
      <c r="B2065" s="1">
        <v>45928</v>
      </c>
      <c r="C2065">
        <v>1252</v>
      </c>
      <c r="D2065" t="s">
        <v>41</v>
      </c>
      <c r="E2065" t="s">
        <v>33</v>
      </c>
      <c r="F2065" t="s">
        <v>17</v>
      </c>
      <c r="G2065">
        <v>5</v>
      </c>
      <c r="H2065">
        <v>0</v>
      </c>
      <c r="I2065" t="s">
        <v>39</v>
      </c>
      <c r="J2065" t="s">
        <v>37</v>
      </c>
      <c r="K2065" t="s">
        <v>40</v>
      </c>
      <c r="L2065">
        <v>7</v>
      </c>
      <c r="M2065">
        <v>0</v>
      </c>
      <c r="N2065">
        <v>0</v>
      </c>
      <c r="O2065" t="s">
        <v>27</v>
      </c>
      <c r="P2065" t="str">
        <f>TEXT(Table1[[#This Row],[order_date]],"yyyy-mm")</f>
        <v>2025-09</v>
      </c>
      <c r="Q2065">
        <f>WEEKNUM(Table1[[#This Row],[order_date]])</f>
        <v>40</v>
      </c>
      <c r="R2065">
        <f>IF(Table1[[#This Row],[order_status]]="completed",1,0)</f>
        <v>0</v>
      </c>
    </row>
    <row r="2066" spans="1:18" x14ac:dyDescent="0.35">
      <c r="A2066">
        <v>2065</v>
      </c>
      <c r="B2066" s="1">
        <v>45962</v>
      </c>
      <c r="C2066">
        <v>1914</v>
      </c>
      <c r="D2066" t="s">
        <v>22</v>
      </c>
      <c r="E2066" t="s">
        <v>29</v>
      </c>
      <c r="F2066" t="s">
        <v>34</v>
      </c>
      <c r="G2066">
        <v>3</v>
      </c>
      <c r="H2066">
        <v>0</v>
      </c>
      <c r="I2066" t="s">
        <v>39</v>
      </c>
      <c r="J2066" t="s">
        <v>31</v>
      </c>
      <c r="K2066" t="s">
        <v>20</v>
      </c>
      <c r="L2066">
        <v>9</v>
      </c>
      <c r="M2066">
        <v>0</v>
      </c>
      <c r="N2066">
        <v>0</v>
      </c>
      <c r="O2066" t="s">
        <v>21</v>
      </c>
      <c r="P2066" t="str">
        <f>TEXT(Table1[[#This Row],[order_date]],"yyyy-mm")</f>
        <v>2025-11</v>
      </c>
      <c r="Q2066">
        <f>WEEKNUM(Table1[[#This Row],[order_date]])</f>
        <v>44</v>
      </c>
      <c r="R2066">
        <f>IF(Table1[[#This Row],[order_status]]="completed",1,0)</f>
        <v>0</v>
      </c>
    </row>
    <row r="2067" spans="1:18" x14ac:dyDescent="0.35">
      <c r="A2067">
        <v>2066</v>
      </c>
      <c r="B2067" s="1">
        <v>45981</v>
      </c>
      <c r="C2067">
        <v>1913</v>
      </c>
      <c r="D2067" t="s">
        <v>32</v>
      </c>
      <c r="E2067" t="s">
        <v>29</v>
      </c>
      <c r="F2067" t="s">
        <v>30</v>
      </c>
      <c r="G2067">
        <v>4</v>
      </c>
      <c r="H2067">
        <v>9696</v>
      </c>
      <c r="I2067" t="s">
        <v>25</v>
      </c>
      <c r="J2067" t="s">
        <v>19</v>
      </c>
      <c r="K2067" t="s">
        <v>20</v>
      </c>
      <c r="L2067">
        <v>1</v>
      </c>
      <c r="M2067">
        <v>1</v>
      </c>
      <c r="N2067">
        <v>0</v>
      </c>
      <c r="O2067" t="s">
        <v>27</v>
      </c>
      <c r="P2067" t="str">
        <f>TEXT(Table1[[#This Row],[order_date]],"yyyy-mm")</f>
        <v>2025-11</v>
      </c>
      <c r="Q2067">
        <f>WEEKNUM(Table1[[#This Row],[order_date]])</f>
        <v>47</v>
      </c>
      <c r="R2067">
        <f>IF(Table1[[#This Row],[order_status]]="completed",1,0)</f>
        <v>1</v>
      </c>
    </row>
    <row r="2068" spans="1:18" x14ac:dyDescent="0.35">
      <c r="A2068">
        <v>2067</v>
      </c>
      <c r="B2068" s="1">
        <v>45861</v>
      </c>
      <c r="C2068">
        <v>1504</v>
      </c>
      <c r="D2068" t="s">
        <v>15</v>
      </c>
      <c r="E2068" t="s">
        <v>36</v>
      </c>
      <c r="F2068" t="s">
        <v>30</v>
      </c>
      <c r="G2068">
        <v>4</v>
      </c>
      <c r="H2068">
        <v>0</v>
      </c>
      <c r="I2068" t="s">
        <v>25</v>
      </c>
      <c r="J2068" t="s">
        <v>31</v>
      </c>
      <c r="K2068" t="s">
        <v>40</v>
      </c>
      <c r="L2068">
        <v>7</v>
      </c>
      <c r="M2068">
        <v>1</v>
      </c>
      <c r="N2068">
        <v>0</v>
      </c>
      <c r="O2068" t="s">
        <v>27</v>
      </c>
      <c r="P2068" t="str">
        <f>TEXT(Table1[[#This Row],[order_date]],"yyyy-mm")</f>
        <v>2025-07</v>
      </c>
      <c r="Q2068">
        <f>WEEKNUM(Table1[[#This Row],[order_date]])</f>
        <v>30</v>
      </c>
      <c r="R2068">
        <f>IF(Table1[[#This Row],[order_status]]="completed",1,0)</f>
        <v>0</v>
      </c>
    </row>
    <row r="2069" spans="1:18" x14ac:dyDescent="0.35">
      <c r="A2069">
        <v>2068</v>
      </c>
      <c r="B2069" s="1">
        <v>46003</v>
      </c>
      <c r="C2069">
        <v>1743</v>
      </c>
      <c r="D2069" t="s">
        <v>15</v>
      </c>
      <c r="E2069" t="s">
        <v>33</v>
      </c>
      <c r="F2069" t="s">
        <v>24</v>
      </c>
      <c r="G2069">
        <v>1</v>
      </c>
      <c r="H2069">
        <v>3526</v>
      </c>
      <c r="I2069" t="s">
        <v>39</v>
      </c>
      <c r="J2069" t="s">
        <v>19</v>
      </c>
      <c r="K2069" t="s">
        <v>38</v>
      </c>
      <c r="L2069">
        <v>9</v>
      </c>
      <c r="M2069">
        <v>0</v>
      </c>
      <c r="N2069">
        <v>0</v>
      </c>
      <c r="O2069" t="s">
        <v>21</v>
      </c>
      <c r="P2069" t="str">
        <f>TEXT(Table1[[#This Row],[order_date]],"yyyy-mm")</f>
        <v>2025-12</v>
      </c>
      <c r="Q2069">
        <f>WEEKNUM(Table1[[#This Row],[order_date]])</f>
        <v>50</v>
      </c>
      <c r="R2069">
        <f>IF(Table1[[#This Row],[order_status]]="completed",1,0)</f>
        <v>1</v>
      </c>
    </row>
    <row r="2070" spans="1:18" x14ac:dyDescent="0.35">
      <c r="A2070">
        <v>2069</v>
      </c>
      <c r="B2070" s="1">
        <v>46004</v>
      </c>
      <c r="C2070">
        <v>1296</v>
      </c>
      <c r="D2070" t="s">
        <v>22</v>
      </c>
      <c r="E2070" t="s">
        <v>33</v>
      </c>
      <c r="F2070" t="s">
        <v>24</v>
      </c>
      <c r="G2070">
        <v>4</v>
      </c>
      <c r="H2070">
        <v>15696</v>
      </c>
      <c r="I2070" t="s">
        <v>18</v>
      </c>
      <c r="J2070" t="s">
        <v>19</v>
      </c>
      <c r="K2070" t="s">
        <v>20</v>
      </c>
      <c r="L2070">
        <v>3</v>
      </c>
      <c r="M2070">
        <v>0</v>
      </c>
      <c r="N2070">
        <v>0</v>
      </c>
      <c r="O2070" t="s">
        <v>27</v>
      </c>
      <c r="P2070" t="str">
        <f>TEXT(Table1[[#This Row],[order_date]],"yyyy-mm")</f>
        <v>2025-12</v>
      </c>
      <c r="Q2070">
        <f>WEEKNUM(Table1[[#This Row],[order_date]])</f>
        <v>50</v>
      </c>
      <c r="R2070">
        <f>IF(Table1[[#This Row],[order_status]]="completed",1,0)</f>
        <v>1</v>
      </c>
    </row>
    <row r="2071" spans="1:18" x14ac:dyDescent="0.35">
      <c r="A2071">
        <v>2070</v>
      </c>
      <c r="B2071" s="1">
        <v>46009</v>
      </c>
      <c r="C2071">
        <v>1422</v>
      </c>
      <c r="D2071" t="s">
        <v>15</v>
      </c>
      <c r="E2071" t="s">
        <v>29</v>
      </c>
      <c r="F2071" t="s">
        <v>34</v>
      </c>
      <c r="G2071">
        <v>5</v>
      </c>
      <c r="H2071">
        <v>16630</v>
      </c>
      <c r="I2071" t="s">
        <v>18</v>
      </c>
      <c r="J2071" t="s">
        <v>19</v>
      </c>
      <c r="K2071" t="s">
        <v>38</v>
      </c>
      <c r="L2071">
        <v>6</v>
      </c>
      <c r="M2071">
        <v>0</v>
      </c>
      <c r="N2071">
        <v>0</v>
      </c>
      <c r="O2071" t="s">
        <v>27</v>
      </c>
      <c r="P2071" t="str">
        <f>TEXT(Table1[[#This Row],[order_date]],"yyyy-mm")</f>
        <v>2025-12</v>
      </c>
      <c r="Q2071">
        <f>WEEKNUM(Table1[[#This Row],[order_date]])</f>
        <v>51</v>
      </c>
      <c r="R2071">
        <f>IF(Table1[[#This Row],[order_status]]="completed",1,0)</f>
        <v>1</v>
      </c>
    </row>
    <row r="2072" spans="1:18" x14ac:dyDescent="0.35">
      <c r="A2072">
        <v>2071</v>
      </c>
      <c r="B2072" s="1">
        <v>45908</v>
      </c>
      <c r="C2072">
        <v>1533</v>
      </c>
      <c r="D2072" t="s">
        <v>15</v>
      </c>
      <c r="E2072" t="s">
        <v>36</v>
      </c>
      <c r="F2072" t="s">
        <v>34</v>
      </c>
      <c r="G2072">
        <v>1</v>
      </c>
      <c r="H2072">
        <v>2685</v>
      </c>
      <c r="I2072" t="s">
        <v>35</v>
      </c>
      <c r="J2072" t="s">
        <v>19</v>
      </c>
      <c r="K2072" t="s">
        <v>38</v>
      </c>
      <c r="L2072">
        <v>1</v>
      </c>
      <c r="M2072">
        <v>0</v>
      </c>
      <c r="N2072">
        <v>1</v>
      </c>
      <c r="O2072" t="s">
        <v>27</v>
      </c>
      <c r="P2072" t="str">
        <f>TEXT(Table1[[#This Row],[order_date]],"yyyy-mm")</f>
        <v>2025-09</v>
      </c>
      <c r="Q2072">
        <f>WEEKNUM(Table1[[#This Row],[order_date]])</f>
        <v>37</v>
      </c>
      <c r="R2072">
        <f>IF(Table1[[#This Row],[order_status]]="completed",1,0)</f>
        <v>1</v>
      </c>
    </row>
    <row r="2073" spans="1:18" x14ac:dyDescent="0.35">
      <c r="A2073">
        <v>2072</v>
      </c>
      <c r="B2073" s="1">
        <v>45923</v>
      </c>
      <c r="C2073">
        <v>1642</v>
      </c>
      <c r="D2073" t="s">
        <v>41</v>
      </c>
      <c r="E2073" t="s">
        <v>16</v>
      </c>
      <c r="F2073" t="s">
        <v>17</v>
      </c>
      <c r="G2073">
        <v>2</v>
      </c>
      <c r="H2073">
        <v>5442</v>
      </c>
      <c r="I2073" t="s">
        <v>35</v>
      </c>
      <c r="J2073" t="s">
        <v>19</v>
      </c>
      <c r="K2073" t="s">
        <v>38</v>
      </c>
      <c r="L2073">
        <v>4</v>
      </c>
      <c r="M2073">
        <v>1</v>
      </c>
      <c r="N2073">
        <v>0</v>
      </c>
      <c r="O2073" t="s">
        <v>21</v>
      </c>
      <c r="P2073" t="str">
        <f>TEXT(Table1[[#This Row],[order_date]],"yyyy-mm")</f>
        <v>2025-09</v>
      </c>
      <c r="Q2073">
        <f>WEEKNUM(Table1[[#This Row],[order_date]])</f>
        <v>39</v>
      </c>
      <c r="R2073">
        <f>IF(Table1[[#This Row],[order_status]]="completed",1,0)</f>
        <v>1</v>
      </c>
    </row>
    <row r="2074" spans="1:18" x14ac:dyDescent="0.35">
      <c r="A2074">
        <v>2073</v>
      </c>
      <c r="B2074" s="1">
        <v>45956</v>
      </c>
      <c r="C2074">
        <v>1055</v>
      </c>
      <c r="D2074" t="s">
        <v>22</v>
      </c>
      <c r="E2074" t="s">
        <v>33</v>
      </c>
      <c r="F2074" t="s">
        <v>34</v>
      </c>
      <c r="G2074">
        <v>1</v>
      </c>
      <c r="H2074">
        <v>3394</v>
      </c>
      <c r="I2074" t="s">
        <v>25</v>
      </c>
      <c r="J2074" t="s">
        <v>19</v>
      </c>
      <c r="K2074" t="s">
        <v>26</v>
      </c>
      <c r="L2074">
        <v>8</v>
      </c>
      <c r="M2074">
        <v>1</v>
      </c>
      <c r="N2074">
        <v>0</v>
      </c>
      <c r="O2074" t="s">
        <v>27</v>
      </c>
      <c r="P2074" t="str">
        <f>TEXT(Table1[[#This Row],[order_date]],"yyyy-mm")</f>
        <v>2025-10</v>
      </c>
      <c r="Q2074">
        <f>WEEKNUM(Table1[[#This Row],[order_date]])</f>
        <v>44</v>
      </c>
      <c r="R2074">
        <f>IF(Table1[[#This Row],[order_status]]="completed",1,0)</f>
        <v>1</v>
      </c>
    </row>
    <row r="2075" spans="1:18" x14ac:dyDescent="0.35">
      <c r="A2075">
        <v>2074</v>
      </c>
      <c r="B2075" s="1">
        <v>45989</v>
      </c>
      <c r="C2075">
        <v>1983</v>
      </c>
      <c r="D2075" t="s">
        <v>32</v>
      </c>
      <c r="E2075" t="s">
        <v>23</v>
      </c>
      <c r="F2075" t="s">
        <v>30</v>
      </c>
      <c r="G2075">
        <v>2</v>
      </c>
      <c r="H2075">
        <v>0</v>
      </c>
      <c r="I2075" t="s">
        <v>39</v>
      </c>
      <c r="J2075" t="s">
        <v>31</v>
      </c>
      <c r="K2075" t="s">
        <v>38</v>
      </c>
      <c r="L2075">
        <v>6</v>
      </c>
      <c r="M2075">
        <v>0</v>
      </c>
      <c r="N2075">
        <v>0</v>
      </c>
      <c r="O2075" t="s">
        <v>21</v>
      </c>
      <c r="P2075" t="str">
        <f>TEXT(Table1[[#This Row],[order_date]],"yyyy-mm")</f>
        <v>2025-11</v>
      </c>
      <c r="Q2075">
        <f>WEEKNUM(Table1[[#This Row],[order_date]])</f>
        <v>48</v>
      </c>
      <c r="R2075">
        <f>IF(Table1[[#This Row],[order_status]]="completed",1,0)</f>
        <v>0</v>
      </c>
    </row>
    <row r="2076" spans="1:18" x14ac:dyDescent="0.35">
      <c r="A2076">
        <v>2075</v>
      </c>
      <c r="B2076" s="1">
        <v>46018</v>
      </c>
      <c r="C2076">
        <v>1809</v>
      </c>
      <c r="D2076" t="s">
        <v>22</v>
      </c>
      <c r="E2076" t="s">
        <v>36</v>
      </c>
      <c r="F2076" t="s">
        <v>30</v>
      </c>
      <c r="G2076">
        <v>2</v>
      </c>
      <c r="H2076">
        <v>0</v>
      </c>
      <c r="I2076" t="s">
        <v>39</v>
      </c>
      <c r="J2076" t="s">
        <v>31</v>
      </c>
      <c r="K2076" t="s">
        <v>38</v>
      </c>
      <c r="L2076">
        <v>3</v>
      </c>
      <c r="M2076">
        <v>1</v>
      </c>
      <c r="N2076">
        <v>1</v>
      </c>
      <c r="O2076" t="s">
        <v>21</v>
      </c>
      <c r="P2076" t="str">
        <f>TEXT(Table1[[#This Row],[order_date]],"yyyy-mm")</f>
        <v>2025-12</v>
      </c>
      <c r="Q2076">
        <f>WEEKNUM(Table1[[#This Row],[order_date]])</f>
        <v>52</v>
      </c>
      <c r="R2076">
        <f>IF(Table1[[#This Row],[order_status]]="completed",1,0)</f>
        <v>0</v>
      </c>
    </row>
    <row r="2077" spans="1:18" x14ac:dyDescent="0.35">
      <c r="A2077">
        <v>2076</v>
      </c>
      <c r="B2077" s="1">
        <v>45959</v>
      </c>
      <c r="C2077">
        <v>1766</v>
      </c>
      <c r="D2077" t="s">
        <v>15</v>
      </c>
      <c r="E2077" t="s">
        <v>36</v>
      </c>
      <c r="F2077" t="s">
        <v>17</v>
      </c>
      <c r="G2077">
        <v>2</v>
      </c>
      <c r="H2077">
        <v>2502</v>
      </c>
      <c r="I2077" t="s">
        <v>39</v>
      </c>
      <c r="J2077" t="s">
        <v>19</v>
      </c>
      <c r="K2077" t="s">
        <v>38</v>
      </c>
      <c r="L2077">
        <v>9</v>
      </c>
      <c r="M2077">
        <v>1</v>
      </c>
      <c r="N2077">
        <v>0</v>
      </c>
      <c r="O2077" t="s">
        <v>21</v>
      </c>
      <c r="P2077" t="str">
        <f>TEXT(Table1[[#This Row],[order_date]],"yyyy-mm")</f>
        <v>2025-10</v>
      </c>
      <c r="Q2077">
        <f>WEEKNUM(Table1[[#This Row],[order_date]])</f>
        <v>44</v>
      </c>
      <c r="R2077">
        <f>IF(Table1[[#This Row],[order_status]]="completed",1,0)</f>
        <v>1</v>
      </c>
    </row>
    <row r="2078" spans="1:18" x14ac:dyDescent="0.35">
      <c r="A2078">
        <v>2077</v>
      </c>
      <c r="B2078" s="1">
        <v>45888</v>
      </c>
      <c r="C2078">
        <v>1919</v>
      </c>
      <c r="D2078" t="s">
        <v>41</v>
      </c>
      <c r="E2078" t="s">
        <v>23</v>
      </c>
      <c r="F2078" t="s">
        <v>30</v>
      </c>
      <c r="G2078">
        <v>3</v>
      </c>
      <c r="H2078">
        <v>3444</v>
      </c>
      <c r="I2078" t="s">
        <v>18</v>
      </c>
      <c r="J2078" t="s">
        <v>19</v>
      </c>
      <c r="K2078" t="s">
        <v>20</v>
      </c>
      <c r="L2078">
        <v>7</v>
      </c>
      <c r="M2078">
        <v>1</v>
      </c>
      <c r="N2078">
        <v>1</v>
      </c>
      <c r="O2078" t="s">
        <v>27</v>
      </c>
      <c r="P2078" t="str">
        <f>TEXT(Table1[[#This Row],[order_date]],"yyyy-mm")</f>
        <v>2025-08</v>
      </c>
      <c r="Q2078">
        <f>WEEKNUM(Table1[[#This Row],[order_date]])</f>
        <v>34</v>
      </c>
      <c r="R2078">
        <f>IF(Table1[[#This Row],[order_status]]="completed",1,0)</f>
        <v>1</v>
      </c>
    </row>
    <row r="2079" spans="1:18" x14ac:dyDescent="0.35">
      <c r="A2079">
        <v>2078</v>
      </c>
      <c r="B2079" s="1">
        <v>45932</v>
      </c>
      <c r="C2079">
        <v>1653</v>
      </c>
      <c r="D2079" t="s">
        <v>28</v>
      </c>
      <c r="E2079" t="s">
        <v>36</v>
      </c>
      <c r="F2079" t="s">
        <v>17</v>
      </c>
      <c r="G2079">
        <v>4</v>
      </c>
      <c r="H2079">
        <v>0</v>
      </c>
      <c r="I2079" t="s">
        <v>18</v>
      </c>
      <c r="J2079" t="s">
        <v>31</v>
      </c>
      <c r="K2079" t="s">
        <v>40</v>
      </c>
      <c r="L2079">
        <v>2</v>
      </c>
      <c r="M2079">
        <v>0</v>
      </c>
      <c r="N2079">
        <v>1</v>
      </c>
      <c r="O2079" t="s">
        <v>27</v>
      </c>
      <c r="P2079" t="str">
        <f>TEXT(Table1[[#This Row],[order_date]],"yyyy-mm")</f>
        <v>2025-10</v>
      </c>
      <c r="Q2079">
        <f>WEEKNUM(Table1[[#This Row],[order_date]])</f>
        <v>40</v>
      </c>
      <c r="R2079">
        <f>IF(Table1[[#This Row],[order_status]]="completed",1,0)</f>
        <v>0</v>
      </c>
    </row>
    <row r="2080" spans="1:18" x14ac:dyDescent="0.35">
      <c r="A2080">
        <v>2079</v>
      </c>
      <c r="B2080" s="1">
        <v>45924</v>
      </c>
      <c r="C2080">
        <v>1831</v>
      </c>
      <c r="D2080" t="s">
        <v>15</v>
      </c>
      <c r="E2080" t="s">
        <v>29</v>
      </c>
      <c r="F2080" t="s">
        <v>30</v>
      </c>
      <c r="G2080">
        <v>1</v>
      </c>
      <c r="H2080">
        <v>0</v>
      </c>
      <c r="I2080" t="s">
        <v>39</v>
      </c>
      <c r="J2080" t="s">
        <v>37</v>
      </c>
      <c r="K2080" t="s">
        <v>40</v>
      </c>
      <c r="L2080">
        <v>8</v>
      </c>
      <c r="M2080">
        <v>1</v>
      </c>
      <c r="N2080">
        <v>0</v>
      </c>
      <c r="O2080" t="s">
        <v>21</v>
      </c>
      <c r="P2080" t="str">
        <f>TEXT(Table1[[#This Row],[order_date]],"yyyy-mm")</f>
        <v>2025-09</v>
      </c>
      <c r="Q2080">
        <f>WEEKNUM(Table1[[#This Row],[order_date]])</f>
        <v>39</v>
      </c>
      <c r="R2080">
        <f>IF(Table1[[#This Row],[order_status]]="completed",1,0)</f>
        <v>0</v>
      </c>
    </row>
    <row r="2081" spans="1:18" x14ac:dyDescent="0.35">
      <c r="A2081">
        <v>2080</v>
      </c>
      <c r="B2081" s="1">
        <v>45948</v>
      </c>
      <c r="C2081">
        <v>1907</v>
      </c>
      <c r="D2081" t="s">
        <v>32</v>
      </c>
      <c r="E2081" t="s">
        <v>16</v>
      </c>
      <c r="F2081" t="s">
        <v>30</v>
      </c>
      <c r="G2081">
        <v>2</v>
      </c>
      <c r="H2081">
        <v>0</v>
      </c>
      <c r="I2081" t="s">
        <v>25</v>
      </c>
      <c r="J2081" t="s">
        <v>37</v>
      </c>
      <c r="K2081" t="s">
        <v>38</v>
      </c>
      <c r="L2081">
        <v>4</v>
      </c>
      <c r="M2081">
        <v>1</v>
      </c>
      <c r="N2081">
        <v>1</v>
      </c>
      <c r="O2081" t="s">
        <v>27</v>
      </c>
      <c r="P2081" t="str">
        <f>TEXT(Table1[[#This Row],[order_date]],"yyyy-mm")</f>
        <v>2025-10</v>
      </c>
      <c r="Q2081">
        <f>WEEKNUM(Table1[[#This Row],[order_date]])</f>
        <v>42</v>
      </c>
      <c r="R2081">
        <f>IF(Table1[[#This Row],[order_status]]="completed",1,0)</f>
        <v>0</v>
      </c>
    </row>
    <row r="2082" spans="1:18" x14ac:dyDescent="0.35">
      <c r="A2082">
        <v>2081</v>
      </c>
      <c r="B2082" s="1">
        <v>45963</v>
      </c>
      <c r="C2082">
        <v>1505</v>
      </c>
      <c r="D2082" t="s">
        <v>41</v>
      </c>
      <c r="E2082" t="s">
        <v>23</v>
      </c>
      <c r="F2082" t="s">
        <v>34</v>
      </c>
      <c r="G2082">
        <v>2</v>
      </c>
      <c r="H2082">
        <v>0</v>
      </c>
      <c r="I2082" t="s">
        <v>35</v>
      </c>
      <c r="J2082" t="s">
        <v>31</v>
      </c>
      <c r="K2082" t="s">
        <v>40</v>
      </c>
      <c r="L2082">
        <v>7</v>
      </c>
      <c r="M2082">
        <v>0</v>
      </c>
      <c r="N2082">
        <v>0</v>
      </c>
      <c r="O2082" t="s">
        <v>27</v>
      </c>
      <c r="P2082" t="str">
        <f>TEXT(Table1[[#This Row],[order_date]],"yyyy-mm")</f>
        <v>2025-11</v>
      </c>
      <c r="Q2082">
        <f>WEEKNUM(Table1[[#This Row],[order_date]])</f>
        <v>45</v>
      </c>
      <c r="R2082">
        <f>IF(Table1[[#This Row],[order_status]]="completed",1,0)</f>
        <v>0</v>
      </c>
    </row>
    <row r="2083" spans="1:18" x14ac:dyDescent="0.35">
      <c r="A2083">
        <v>2082</v>
      </c>
      <c r="B2083" s="1">
        <v>45934</v>
      </c>
      <c r="C2083">
        <v>1516</v>
      </c>
      <c r="D2083" t="s">
        <v>15</v>
      </c>
      <c r="E2083" t="s">
        <v>29</v>
      </c>
      <c r="F2083" t="s">
        <v>30</v>
      </c>
      <c r="G2083">
        <v>5</v>
      </c>
      <c r="H2083">
        <v>0</v>
      </c>
      <c r="I2083" t="s">
        <v>39</v>
      </c>
      <c r="J2083" t="s">
        <v>31</v>
      </c>
      <c r="K2083" t="s">
        <v>20</v>
      </c>
      <c r="L2083">
        <v>8</v>
      </c>
      <c r="M2083">
        <v>1</v>
      </c>
      <c r="N2083">
        <v>0</v>
      </c>
      <c r="O2083" t="s">
        <v>21</v>
      </c>
      <c r="P2083" t="str">
        <f>TEXT(Table1[[#This Row],[order_date]],"yyyy-mm")</f>
        <v>2025-10</v>
      </c>
      <c r="Q2083">
        <f>WEEKNUM(Table1[[#This Row],[order_date]])</f>
        <v>40</v>
      </c>
      <c r="R2083">
        <f>IF(Table1[[#This Row],[order_status]]="completed",1,0)</f>
        <v>0</v>
      </c>
    </row>
    <row r="2084" spans="1:18" x14ac:dyDescent="0.35">
      <c r="A2084">
        <v>2083</v>
      </c>
      <c r="B2084" s="1">
        <v>45989</v>
      </c>
      <c r="C2084">
        <v>1149</v>
      </c>
      <c r="D2084" t="s">
        <v>22</v>
      </c>
      <c r="E2084" t="s">
        <v>29</v>
      </c>
      <c r="F2084" t="s">
        <v>34</v>
      </c>
      <c r="G2084">
        <v>1</v>
      </c>
      <c r="H2084">
        <v>0</v>
      </c>
      <c r="I2084" t="s">
        <v>25</v>
      </c>
      <c r="J2084" t="s">
        <v>37</v>
      </c>
      <c r="K2084" t="s">
        <v>20</v>
      </c>
      <c r="L2084">
        <v>10</v>
      </c>
      <c r="M2084">
        <v>0</v>
      </c>
      <c r="N2084">
        <v>1</v>
      </c>
      <c r="O2084" t="s">
        <v>21</v>
      </c>
      <c r="P2084" t="str">
        <f>TEXT(Table1[[#This Row],[order_date]],"yyyy-mm")</f>
        <v>2025-11</v>
      </c>
      <c r="Q2084">
        <f>WEEKNUM(Table1[[#This Row],[order_date]])</f>
        <v>48</v>
      </c>
      <c r="R2084">
        <f>IF(Table1[[#This Row],[order_status]]="completed",1,0)</f>
        <v>0</v>
      </c>
    </row>
    <row r="2085" spans="1:18" x14ac:dyDescent="0.35">
      <c r="A2085">
        <v>2084</v>
      </c>
      <c r="B2085" s="1">
        <v>46010</v>
      </c>
      <c r="C2085">
        <v>1713</v>
      </c>
      <c r="D2085" t="s">
        <v>32</v>
      </c>
      <c r="E2085" t="s">
        <v>16</v>
      </c>
      <c r="F2085" t="s">
        <v>17</v>
      </c>
      <c r="G2085">
        <v>1</v>
      </c>
      <c r="H2085">
        <v>0</v>
      </c>
      <c r="I2085" t="s">
        <v>39</v>
      </c>
      <c r="J2085" t="s">
        <v>37</v>
      </c>
      <c r="K2085" t="s">
        <v>40</v>
      </c>
      <c r="L2085">
        <v>6</v>
      </c>
      <c r="M2085">
        <v>0</v>
      </c>
      <c r="N2085">
        <v>0</v>
      </c>
      <c r="O2085" t="s">
        <v>21</v>
      </c>
      <c r="P2085" t="str">
        <f>TEXT(Table1[[#This Row],[order_date]],"yyyy-mm")</f>
        <v>2025-12</v>
      </c>
      <c r="Q2085">
        <f>WEEKNUM(Table1[[#This Row],[order_date]])</f>
        <v>51</v>
      </c>
      <c r="R2085">
        <f>IF(Table1[[#This Row],[order_status]]="completed",1,0)</f>
        <v>0</v>
      </c>
    </row>
    <row r="2086" spans="1:18" x14ac:dyDescent="0.35">
      <c r="A2086">
        <v>2085</v>
      </c>
      <c r="B2086" s="1">
        <v>46012</v>
      </c>
      <c r="C2086">
        <v>1903</v>
      </c>
      <c r="D2086" t="s">
        <v>15</v>
      </c>
      <c r="E2086" t="s">
        <v>36</v>
      </c>
      <c r="F2086" t="s">
        <v>17</v>
      </c>
      <c r="G2086">
        <v>1</v>
      </c>
      <c r="H2086">
        <v>2833</v>
      </c>
      <c r="I2086" t="s">
        <v>35</v>
      </c>
      <c r="J2086" t="s">
        <v>19</v>
      </c>
      <c r="K2086" t="s">
        <v>20</v>
      </c>
      <c r="L2086">
        <v>3</v>
      </c>
      <c r="M2086">
        <v>0</v>
      </c>
      <c r="N2086">
        <v>0</v>
      </c>
      <c r="O2086" t="s">
        <v>27</v>
      </c>
      <c r="P2086" t="str">
        <f>TEXT(Table1[[#This Row],[order_date]],"yyyy-mm")</f>
        <v>2025-12</v>
      </c>
      <c r="Q2086">
        <f>WEEKNUM(Table1[[#This Row],[order_date]])</f>
        <v>52</v>
      </c>
      <c r="R2086">
        <f>IF(Table1[[#This Row],[order_status]]="completed",1,0)</f>
        <v>1</v>
      </c>
    </row>
    <row r="2087" spans="1:18" x14ac:dyDescent="0.35">
      <c r="A2087">
        <v>2086</v>
      </c>
      <c r="B2087" s="1">
        <v>46016</v>
      </c>
      <c r="C2087">
        <v>1089</v>
      </c>
      <c r="D2087" t="s">
        <v>28</v>
      </c>
      <c r="E2087" t="s">
        <v>29</v>
      </c>
      <c r="F2087" t="s">
        <v>30</v>
      </c>
      <c r="G2087">
        <v>3</v>
      </c>
      <c r="H2087">
        <v>0</v>
      </c>
      <c r="I2087" t="s">
        <v>25</v>
      </c>
      <c r="J2087" t="s">
        <v>37</v>
      </c>
      <c r="K2087" t="s">
        <v>40</v>
      </c>
      <c r="L2087">
        <v>9</v>
      </c>
      <c r="M2087">
        <v>0</v>
      </c>
      <c r="N2087">
        <v>1</v>
      </c>
      <c r="O2087" t="s">
        <v>21</v>
      </c>
      <c r="P2087" t="str">
        <f>TEXT(Table1[[#This Row],[order_date]],"yyyy-mm")</f>
        <v>2025-12</v>
      </c>
      <c r="Q2087">
        <f>WEEKNUM(Table1[[#This Row],[order_date]])</f>
        <v>52</v>
      </c>
      <c r="R2087">
        <f>IF(Table1[[#This Row],[order_status]]="completed",1,0)</f>
        <v>0</v>
      </c>
    </row>
    <row r="2088" spans="1:18" x14ac:dyDescent="0.35">
      <c r="A2088">
        <v>2087</v>
      </c>
      <c r="B2088" s="1">
        <v>45969</v>
      </c>
      <c r="C2088">
        <v>1463</v>
      </c>
      <c r="D2088" t="s">
        <v>22</v>
      </c>
      <c r="E2088" t="s">
        <v>23</v>
      </c>
      <c r="F2088" t="s">
        <v>30</v>
      </c>
      <c r="G2088">
        <v>3</v>
      </c>
      <c r="H2088">
        <v>0</v>
      </c>
      <c r="I2088" t="s">
        <v>18</v>
      </c>
      <c r="J2088" t="s">
        <v>31</v>
      </c>
      <c r="K2088" t="s">
        <v>26</v>
      </c>
      <c r="L2088">
        <v>8</v>
      </c>
      <c r="M2088">
        <v>1</v>
      </c>
      <c r="N2088">
        <v>0</v>
      </c>
      <c r="O2088" t="s">
        <v>27</v>
      </c>
      <c r="P2088" t="str">
        <f>TEXT(Table1[[#This Row],[order_date]],"yyyy-mm")</f>
        <v>2025-11</v>
      </c>
      <c r="Q2088">
        <f>WEEKNUM(Table1[[#This Row],[order_date]])</f>
        <v>45</v>
      </c>
      <c r="R2088">
        <f>IF(Table1[[#This Row],[order_status]]="completed",1,0)</f>
        <v>0</v>
      </c>
    </row>
    <row r="2089" spans="1:18" x14ac:dyDescent="0.35">
      <c r="A2089">
        <v>2088</v>
      </c>
      <c r="B2089" s="1">
        <v>45897</v>
      </c>
      <c r="C2089">
        <v>1061</v>
      </c>
      <c r="D2089" t="s">
        <v>28</v>
      </c>
      <c r="E2089" t="s">
        <v>23</v>
      </c>
      <c r="F2089" t="s">
        <v>34</v>
      </c>
      <c r="G2089">
        <v>1</v>
      </c>
      <c r="H2089">
        <v>0</v>
      </c>
      <c r="I2089" t="s">
        <v>18</v>
      </c>
      <c r="J2089" t="s">
        <v>37</v>
      </c>
      <c r="K2089" t="s">
        <v>40</v>
      </c>
      <c r="L2089">
        <v>9</v>
      </c>
      <c r="M2089">
        <v>1</v>
      </c>
      <c r="N2089">
        <v>0</v>
      </c>
      <c r="O2089" t="s">
        <v>21</v>
      </c>
      <c r="P2089" t="str">
        <f>TEXT(Table1[[#This Row],[order_date]],"yyyy-mm")</f>
        <v>2025-08</v>
      </c>
      <c r="Q2089">
        <f>WEEKNUM(Table1[[#This Row],[order_date]])</f>
        <v>35</v>
      </c>
      <c r="R2089">
        <f>IF(Table1[[#This Row],[order_status]]="completed",1,0)</f>
        <v>0</v>
      </c>
    </row>
    <row r="2090" spans="1:18" x14ac:dyDescent="0.35">
      <c r="A2090">
        <v>2089</v>
      </c>
      <c r="B2090" s="1">
        <v>45998</v>
      </c>
      <c r="C2090">
        <v>1653</v>
      </c>
      <c r="D2090" t="s">
        <v>28</v>
      </c>
      <c r="E2090" t="s">
        <v>33</v>
      </c>
      <c r="F2090" t="s">
        <v>24</v>
      </c>
      <c r="G2090">
        <v>5</v>
      </c>
      <c r="H2090">
        <v>12765</v>
      </c>
      <c r="I2090" t="s">
        <v>35</v>
      </c>
      <c r="J2090" t="s">
        <v>19</v>
      </c>
      <c r="K2090" t="s">
        <v>40</v>
      </c>
      <c r="L2090">
        <v>4</v>
      </c>
      <c r="M2090">
        <v>0</v>
      </c>
      <c r="N2090">
        <v>1</v>
      </c>
      <c r="O2090" t="s">
        <v>21</v>
      </c>
      <c r="P2090" t="str">
        <f>TEXT(Table1[[#This Row],[order_date]],"yyyy-mm")</f>
        <v>2025-12</v>
      </c>
      <c r="Q2090">
        <f>WEEKNUM(Table1[[#This Row],[order_date]])</f>
        <v>50</v>
      </c>
      <c r="R2090">
        <f>IF(Table1[[#This Row],[order_status]]="completed",1,0)</f>
        <v>1</v>
      </c>
    </row>
    <row r="2091" spans="1:18" x14ac:dyDescent="0.35">
      <c r="A2091">
        <v>2090</v>
      </c>
      <c r="B2091" s="1">
        <v>45936</v>
      </c>
      <c r="C2091">
        <v>1714</v>
      </c>
      <c r="D2091" t="s">
        <v>22</v>
      </c>
      <c r="E2091" t="s">
        <v>29</v>
      </c>
      <c r="F2091" t="s">
        <v>34</v>
      </c>
      <c r="G2091">
        <v>4</v>
      </c>
      <c r="H2091">
        <v>0</v>
      </c>
      <c r="I2091" t="s">
        <v>35</v>
      </c>
      <c r="J2091" t="s">
        <v>37</v>
      </c>
      <c r="K2091" t="s">
        <v>26</v>
      </c>
      <c r="L2091">
        <v>6</v>
      </c>
      <c r="M2091">
        <v>1</v>
      </c>
      <c r="N2091">
        <v>0</v>
      </c>
      <c r="O2091" t="s">
        <v>21</v>
      </c>
      <c r="P2091" t="str">
        <f>TEXT(Table1[[#This Row],[order_date]],"yyyy-mm")</f>
        <v>2025-10</v>
      </c>
      <c r="Q2091">
        <f>WEEKNUM(Table1[[#This Row],[order_date]])</f>
        <v>41</v>
      </c>
      <c r="R2091">
        <f>IF(Table1[[#This Row],[order_status]]="completed",1,0)</f>
        <v>0</v>
      </c>
    </row>
    <row r="2092" spans="1:18" x14ac:dyDescent="0.35">
      <c r="A2092">
        <v>2091</v>
      </c>
      <c r="B2092" s="1">
        <v>45974</v>
      </c>
      <c r="C2092">
        <v>1526</v>
      </c>
      <c r="D2092" t="s">
        <v>22</v>
      </c>
      <c r="E2092" t="s">
        <v>16</v>
      </c>
      <c r="F2092" t="s">
        <v>24</v>
      </c>
      <c r="G2092">
        <v>1</v>
      </c>
      <c r="H2092">
        <v>0</v>
      </c>
      <c r="I2092" t="s">
        <v>25</v>
      </c>
      <c r="J2092" t="s">
        <v>31</v>
      </c>
      <c r="K2092" t="s">
        <v>38</v>
      </c>
      <c r="L2092">
        <v>1</v>
      </c>
      <c r="M2092">
        <v>0</v>
      </c>
      <c r="N2092">
        <v>0</v>
      </c>
      <c r="O2092" t="s">
        <v>21</v>
      </c>
      <c r="P2092" t="str">
        <f>TEXT(Table1[[#This Row],[order_date]],"yyyy-mm")</f>
        <v>2025-11</v>
      </c>
      <c r="Q2092">
        <f>WEEKNUM(Table1[[#This Row],[order_date]])</f>
        <v>46</v>
      </c>
      <c r="R2092">
        <f>IF(Table1[[#This Row],[order_status]]="completed",1,0)</f>
        <v>0</v>
      </c>
    </row>
    <row r="2093" spans="1:18" x14ac:dyDescent="0.35">
      <c r="A2093">
        <v>2092</v>
      </c>
      <c r="B2093" s="1">
        <v>45925</v>
      </c>
      <c r="C2093">
        <v>1554</v>
      </c>
      <c r="D2093" t="s">
        <v>41</v>
      </c>
      <c r="E2093" t="s">
        <v>36</v>
      </c>
      <c r="F2093" t="s">
        <v>24</v>
      </c>
      <c r="G2093">
        <v>4</v>
      </c>
      <c r="H2093">
        <v>0</v>
      </c>
      <c r="I2093" t="s">
        <v>18</v>
      </c>
      <c r="J2093" t="s">
        <v>31</v>
      </c>
      <c r="K2093" t="s">
        <v>20</v>
      </c>
      <c r="L2093">
        <v>2</v>
      </c>
      <c r="M2093">
        <v>0</v>
      </c>
      <c r="N2093">
        <v>0</v>
      </c>
      <c r="O2093" t="s">
        <v>27</v>
      </c>
      <c r="P2093" t="str">
        <f>TEXT(Table1[[#This Row],[order_date]],"yyyy-mm")</f>
        <v>2025-09</v>
      </c>
      <c r="Q2093">
        <f>WEEKNUM(Table1[[#This Row],[order_date]])</f>
        <v>39</v>
      </c>
      <c r="R2093">
        <f>IF(Table1[[#This Row],[order_status]]="completed",1,0)</f>
        <v>0</v>
      </c>
    </row>
    <row r="2094" spans="1:18" x14ac:dyDescent="0.35">
      <c r="A2094">
        <v>2093</v>
      </c>
      <c r="B2094" s="1">
        <v>45981</v>
      </c>
      <c r="C2094">
        <v>1738</v>
      </c>
      <c r="D2094" t="s">
        <v>22</v>
      </c>
      <c r="E2094" t="s">
        <v>33</v>
      </c>
      <c r="F2094" t="s">
        <v>34</v>
      </c>
      <c r="G2094">
        <v>2</v>
      </c>
      <c r="H2094">
        <v>0</v>
      </c>
      <c r="I2094" t="s">
        <v>39</v>
      </c>
      <c r="J2094" t="s">
        <v>37</v>
      </c>
      <c r="K2094" t="s">
        <v>38</v>
      </c>
      <c r="L2094">
        <v>4</v>
      </c>
      <c r="M2094">
        <v>0</v>
      </c>
      <c r="N2094">
        <v>1</v>
      </c>
      <c r="O2094" t="s">
        <v>27</v>
      </c>
      <c r="P2094" t="str">
        <f>TEXT(Table1[[#This Row],[order_date]],"yyyy-mm")</f>
        <v>2025-11</v>
      </c>
      <c r="Q2094">
        <f>WEEKNUM(Table1[[#This Row],[order_date]])</f>
        <v>47</v>
      </c>
      <c r="R2094">
        <f>IF(Table1[[#This Row],[order_status]]="completed",1,0)</f>
        <v>0</v>
      </c>
    </row>
    <row r="2095" spans="1:18" x14ac:dyDescent="0.35">
      <c r="A2095">
        <v>2094</v>
      </c>
      <c r="B2095" s="1">
        <v>46007</v>
      </c>
      <c r="C2095">
        <v>1252</v>
      </c>
      <c r="D2095" t="s">
        <v>32</v>
      </c>
      <c r="E2095" t="s">
        <v>16</v>
      </c>
      <c r="F2095" t="s">
        <v>30</v>
      </c>
      <c r="G2095">
        <v>5</v>
      </c>
      <c r="H2095">
        <v>0</v>
      </c>
      <c r="I2095" t="s">
        <v>25</v>
      </c>
      <c r="J2095" t="s">
        <v>31</v>
      </c>
      <c r="K2095" t="s">
        <v>20</v>
      </c>
      <c r="L2095">
        <v>10</v>
      </c>
      <c r="M2095">
        <v>1</v>
      </c>
      <c r="N2095">
        <v>1</v>
      </c>
      <c r="O2095" t="s">
        <v>21</v>
      </c>
      <c r="P2095" t="str">
        <f>TEXT(Table1[[#This Row],[order_date]],"yyyy-mm")</f>
        <v>2025-12</v>
      </c>
      <c r="Q2095">
        <f>WEEKNUM(Table1[[#This Row],[order_date]])</f>
        <v>51</v>
      </c>
      <c r="R2095">
        <f>IF(Table1[[#This Row],[order_status]]="completed",1,0)</f>
        <v>0</v>
      </c>
    </row>
    <row r="2096" spans="1:18" x14ac:dyDescent="0.35">
      <c r="A2096">
        <v>2095</v>
      </c>
      <c r="B2096" s="1">
        <v>45933</v>
      </c>
      <c r="C2096">
        <v>1246</v>
      </c>
      <c r="D2096" t="s">
        <v>32</v>
      </c>
      <c r="E2096" t="s">
        <v>36</v>
      </c>
      <c r="F2096" t="s">
        <v>34</v>
      </c>
      <c r="G2096">
        <v>4</v>
      </c>
      <c r="H2096">
        <v>0</v>
      </c>
      <c r="I2096" t="s">
        <v>35</v>
      </c>
      <c r="J2096" t="s">
        <v>31</v>
      </c>
      <c r="K2096" t="s">
        <v>40</v>
      </c>
      <c r="L2096">
        <v>7</v>
      </c>
      <c r="M2096">
        <v>0</v>
      </c>
      <c r="N2096">
        <v>1</v>
      </c>
      <c r="O2096" t="s">
        <v>27</v>
      </c>
      <c r="P2096" t="str">
        <f>TEXT(Table1[[#This Row],[order_date]],"yyyy-mm")</f>
        <v>2025-10</v>
      </c>
      <c r="Q2096">
        <f>WEEKNUM(Table1[[#This Row],[order_date]])</f>
        <v>40</v>
      </c>
      <c r="R2096">
        <f>IF(Table1[[#This Row],[order_status]]="completed",1,0)</f>
        <v>0</v>
      </c>
    </row>
    <row r="2097" spans="1:18" x14ac:dyDescent="0.35">
      <c r="A2097">
        <v>2096</v>
      </c>
      <c r="B2097" s="1">
        <v>45884</v>
      </c>
      <c r="C2097">
        <v>1525</v>
      </c>
      <c r="D2097" t="s">
        <v>22</v>
      </c>
      <c r="E2097" t="s">
        <v>33</v>
      </c>
      <c r="F2097" t="s">
        <v>34</v>
      </c>
      <c r="G2097">
        <v>5</v>
      </c>
      <c r="H2097">
        <v>0</v>
      </c>
      <c r="I2097" t="s">
        <v>39</v>
      </c>
      <c r="J2097" t="s">
        <v>37</v>
      </c>
      <c r="K2097" t="s">
        <v>20</v>
      </c>
      <c r="L2097">
        <v>4</v>
      </c>
      <c r="M2097">
        <v>1</v>
      </c>
      <c r="N2097">
        <v>0</v>
      </c>
      <c r="O2097" t="s">
        <v>21</v>
      </c>
      <c r="P2097" t="str">
        <f>TEXT(Table1[[#This Row],[order_date]],"yyyy-mm")</f>
        <v>2025-08</v>
      </c>
      <c r="Q2097">
        <f>WEEKNUM(Table1[[#This Row],[order_date]])</f>
        <v>33</v>
      </c>
      <c r="R2097">
        <f>IF(Table1[[#This Row],[order_status]]="completed",1,0)</f>
        <v>0</v>
      </c>
    </row>
    <row r="2098" spans="1:18" x14ac:dyDescent="0.35">
      <c r="A2098">
        <v>2097</v>
      </c>
      <c r="B2098" s="1">
        <v>45948</v>
      </c>
      <c r="C2098">
        <v>1198</v>
      </c>
      <c r="D2098" t="s">
        <v>32</v>
      </c>
      <c r="E2098" t="s">
        <v>36</v>
      </c>
      <c r="F2098" t="s">
        <v>24</v>
      </c>
      <c r="G2098">
        <v>5</v>
      </c>
      <c r="H2098">
        <v>0</v>
      </c>
      <c r="I2098" t="s">
        <v>25</v>
      </c>
      <c r="J2098" t="s">
        <v>31</v>
      </c>
      <c r="K2098" t="s">
        <v>20</v>
      </c>
      <c r="L2098">
        <v>9</v>
      </c>
      <c r="M2098">
        <v>0</v>
      </c>
      <c r="N2098">
        <v>1</v>
      </c>
      <c r="O2098" t="s">
        <v>27</v>
      </c>
      <c r="P2098" t="str">
        <f>TEXT(Table1[[#This Row],[order_date]],"yyyy-mm")</f>
        <v>2025-10</v>
      </c>
      <c r="Q2098">
        <f>WEEKNUM(Table1[[#This Row],[order_date]])</f>
        <v>42</v>
      </c>
      <c r="R2098">
        <f>IF(Table1[[#This Row],[order_status]]="completed",1,0)</f>
        <v>0</v>
      </c>
    </row>
    <row r="2099" spans="1:18" x14ac:dyDescent="0.35">
      <c r="A2099">
        <v>2098</v>
      </c>
      <c r="B2099" s="1">
        <v>45974</v>
      </c>
      <c r="C2099">
        <v>1195</v>
      </c>
      <c r="D2099" t="s">
        <v>15</v>
      </c>
      <c r="E2099" t="s">
        <v>33</v>
      </c>
      <c r="F2099" t="s">
        <v>34</v>
      </c>
      <c r="G2099">
        <v>1</v>
      </c>
      <c r="H2099">
        <v>2310</v>
      </c>
      <c r="I2099" t="s">
        <v>18</v>
      </c>
      <c r="J2099" t="s">
        <v>19</v>
      </c>
      <c r="K2099" t="s">
        <v>40</v>
      </c>
      <c r="L2099">
        <v>10</v>
      </c>
      <c r="M2099">
        <v>0</v>
      </c>
      <c r="N2099">
        <v>0</v>
      </c>
      <c r="O2099" t="s">
        <v>27</v>
      </c>
      <c r="P2099" t="str">
        <f>TEXT(Table1[[#This Row],[order_date]],"yyyy-mm")</f>
        <v>2025-11</v>
      </c>
      <c r="Q2099">
        <f>WEEKNUM(Table1[[#This Row],[order_date]])</f>
        <v>46</v>
      </c>
      <c r="R2099">
        <f>IF(Table1[[#This Row],[order_status]]="completed",1,0)</f>
        <v>1</v>
      </c>
    </row>
    <row r="2100" spans="1:18" x14ac:dyDescent="0.35">
      <c r="A2100">
        <v>2099</v>
      </c>
      <c r="B2100" s="1">
        <v>45966</v>
      </c>
      <c r="C2100">
        <v>1439</v>
      </c>
      <c r="D2100" t="s">
        <v>32</v>
      </c>
      <c r="E2100" t="s">
        <v>33</v>
      </c>
      <c r="F2100" t="s">
        <v>34</v>
      </c>
      <c r="G2100">
        <v>1</v>
      </c>
      <c r="H2100">
        <v>3225</v>
      </c>
      <c r="I2100" t="s">
        <v>18</v>
      </c>
      <c r="J2100" t="s">
        <v>19</v>
      </c>
      <c r="K2100" t="s">
        <v>38</v>
      </c>
      <c r="L2100">
        <v>5</v>
      </c>
      <c r="M2100">
        <v>0</v>
      </c>
      <c r="N2100">
        <v>0</v>
      </c>
      <c r="O2100" t="s">
        <v>27</v>
      </c>
      <c r="P2100" t="str">
        <f>TEXT(Table1[[#This Row],[order_date]],"yyyy-mm")</f>
        <v>2025-11</v>
      </c>
      <c r="Q2100">
        <f>WEEKNUM(Table1[[#This Row],[order_date]])</f>
        <v>45</v>
      </c>
      <c r="R2100">
        <f>IF(Table1[[#This Row],[order_status]]="completed",1,0)</f>
        <v>1</v>
      </c>
    </row>
    <row r="2101" spans="1:18" x14ac:dyDescent="0.35">
      <c r="A2101">
        <v>2100</v>
      </c>
      <c r="B2101" s="1">
        <v>45907</v>
      </c>
      <c r="C2101">
        <v>1039</v>
      </c>
      <c r="D2101" t="s">
        <v>15</v>
      </c>
      <c r="E2101" t="s">
        <v>33</v>
      </c>
      <c r="F2101" t="s">
        <v>24</v>
      </c>
      <c r="G2101">
        <v>2</v>
      </c>
      <c r="H2101">
        <v>0</v>
      </c>
      <c r="I2101" t="s">
        <v>25</v>
      </c>
      <c r="J2101" t="s">
        <v>31</v>
      </c>
      <c r="K2101" t="s">
        <v>26</v>
      </c>
      <c r="L2101">
        <v>4</v>
      </c>
      <c r="M2101">
        <v>0</v>
      </c>
      <c r="N2101">
        <v>1</v>
      </c>
      <c r="O2101" t="s">
        <v>21</v>
      </c>
      <c r="P2101" t="str">
        <f>TEXT(Table1[[#This Row],[order_date]],"yyyy-mm")</f>
        <v>2025-09</v>
      </c>
      <c r="Q2101">
        <f>WEEKNUM(Table1[[#This Row],[order_date]])</f>
        <v>37</v>
      </c>
      <c r="R2101">
        <f>IF(Table1[[#This Row],[order_status]]="completed",1,0)</f>
        <v>0</v>
      </c>
    </row>
    <row r="2102" spans="1:18" x14ac:dyDescent="0.35">
      <c r="A2102">
        <v>2101</v>
      </c>
      <c r="B2102" s="1">
        <v>46024</v>
      </c>
      <c r="C2102">
        <v>1037</v>
      </c>
      <c r="D2102" t="s">
        <v>28</v>
      </c>
      <c r="E2102" t="s">
        <v>29</v>
      </c>
      <c r="F2102" t="s">
        <v>24</v>
      </c>
      <c r="G2102">
        <v>3</v>
      </c>
      <c r="H2102">
        <v>0</v>
      </c>
      <c r="I2102" t="s">
        <v>35</v>
      </c>
      <c r="J2102" t="s">
        <v>31</v>
      </c>
      <c r="K2102" t="s">
        <v>40</v>
      </c>
      <c r="L2102">
        <v>2</v>
      </c>
      <c r="M2102">
        <v>1</v>
      </c>
      <c r="N2102">
        <v>1</v>
      </c>
      <c r="O2102" t="s">
        <v>21</v>
      </c>
      <c r="P2102" t="str">
        <f>TEXT(Table1[[#This Row],[order_date]],"yyyy-mm")</f>
        <v>2026-01</v>
      </c>
      <c r="Q2102">
        <f>WEEKNUM(Table1[[#This Row],[order_date]])</f>
        <v>1</v>
      </c>
      <c r="R2102">
        <f>IF(Table1[[#This Row],[order_status]]="completed",1,0)</f>
        <v>0</v>
      </c>
    </row>
    <row r="2103" spans="1:18" x14ac:dyDescent="0.35">
      <c r="A2103">
        <v>2102</v>
      </c>
      <c r="B2103" s="1">
        <v>45991</v>
      </c>
      <c r="C2103">
        <v>1477</v>
      </c>
      <c r="D2103" t="s">
        <v>22</v>
      </c>
      <c r="E2103" t="s">
        <v>29</v>
      </c>
      <c r="F2103" t="s">
        <v>17</v>
      </c>
      <c r="G2103">
        <v>5</v>
      </c>
      <c r="H2103">
        <v>0</v>
      </c>
      <c r="I2103" t="s">
        <v>35</v>
      </c>
      <c r="J2103" t="s">
        <v>31</v>
      </c>
      <c r="K2103" t="s">
        <v>40</v>
      </c>
      <c r="L2103">
        <v>4</v>
      </c>
      <c r="M2103">
        <v>1</v>
      </c>
      <c r="N2103">
        <v>1</v>
      </c>
      <c r="O2103" t="s">
        <v>21</v>
      </c>
      <c r="P2103" t="str">
        <f>TEXT(Table1[[#This Row],[order_date]],"yyyy-mm")</f>
        <v>2025-11</v>
      </c>
      <c r="Q2103">
        <f>WEEKNUM(Table1[[#This Row],[order_date]])</f>
        <v>49</v>
      </c>
      <c r="R2103">
        <f>IF(Table1[[#This Row],[order_status]]="completed",1,0)</f>
        <v>0</v>
      </c>
    </row>
    <row r="2104" spans="1:18" x14ac:dyDescent="0.35">
      <c r="A2104">
        <v>2103</v>
      </c>
      <c r="B2104" s="1">
        <v>45982</v>
      </c>
      <c r="C2104">
        <v>1191</v>
      </c>
      <c r="D2104" t="s">
        <v>22</v>
      </c>
      <c r="E2104" t="s">
        <v>29</v>
      </c>
      <c r="F2104" t="s">
        <v>34</v>
      </c>
      <c r="G2104">
        <v>4</v>
      </c>
      <c r="H2104">
        <v>19980</v>
      </c>
      <c r="I2104" t="s">
        <v>39</v>
      </c>
      <c r="J2104" t="s">
        <v>19</v>
      </c>
      <c r="K2104" t="s">
        <v>20</v>
      </c>
      <c r="L2104">
        <v>1</v>
      </c>
      <c r="M2104">
        <v>0</v>
      </c>
      <c r="N2104">
        <v>0</v>
      </c>
      <c r="O2104" t="s">
        <v>27</v>
      </c>
      <c r="P2104" t="str">
        <f>TEXT(Table1[[#This Row],[order_date]],"yyyy-mm")</f>
        <v>2025-11</v>
      </c>
      <c r="Q2104">
        <f>WEEKNUM(Table1[[#This Row],[order_date]])</f>
        <v>47</v>
      </c>
      <c r="R2104">
        <f>IF(Table1[[#This Row],[order_status]]="completed",1,0)</f>
        <v>1</v>
      </c>
    </row>
    <row r="2105" spans="1:18" x14ac:dyDescent="0.35">
      <c r="A2105">
        <v>2104</v>
      </c>
      <c r="B2105" s="1">
        <v>45944</v>
      </c>
      <c r="C2105">
        <v>1947</v>
      </c>
      <c r="D2105" t="s">
        <v>28</v>
      </c>
      <c r="E2105" t="s">
        <v>23</v>
      </c>
      <c r="F2105" t="s">
        <v>34</v>
      </c>
      <c r="G2105">
        <v>4</v>
      </c>
      <c r="H2105">
        <v>3304</v>
      </c>
      <c r="I2105" t="s">
        <v>25</v>
      </c>
      <c r="J2105" t="s">
        <v>19</v>
      </c>
      <c r="K2105" t="s">
        <v>40</v>
      </c>
      <c r="L2105">
        <v>10</v>
      </c>
      <c r="M2105">
        <v>0</v>
      </c>
      <c r="N2105">
        <v>1</v>
      </c>
      <c r="O2105" t="s">
        <v>21</v>
      </c>
      <c r="P2105" t="str">
        <f>TEXT(Table1[[#This Row],[order_date]],"yyyy-mm")</f>
        <v>2025-10</v>
      </c>
      <c r="Q2105">
        <f>WEEKNUM(Table1[[#This Row],[order_date]])</f>
        <v>42</v>
      </c>
      <c r="R2105">
        <f>IF(Table1[[#This Row],[order_status]]="completed",1,0)</f>
        <v>1</v>
      </c>
    </row>
    <row r="2106" spans="1:18" x14ac:dyDescent="0.35">
      <c r="A2106">
        <v>2105</v>
      </c>
      <c r="B2106" s="1">
        <v>45985</v>
      </c>
      <c r="C2106">
        <v>1904</v>
      </c>
      <c r="D2106" t="s">
        <v>22</v>
      </c>
      <c r="E2106" t="s">
        <v>33</v>
      </c>
      <c r="F2106" t="s">
        <v>34</v>
      </c>
      <c r="G2106">
        <v>1</v>
      </c>
      <c r="H2106">
        <v>1522</v>
      </c>
      <c r="I2106" t="s">
        <v>35</v>
      </c>
      <c r="J2106" t="s">
        <v>19</v>
      </c>
      <c r="K2106" t="s">
        <v>20</v>
      </c>
      <c r="L2106">
        <v>5</v>
      </c>
      <c r="M2106">
        <v>1</v>
      </c>
      <c r="N2106">
        <v>0</v>
      </c>
      <c r="O2106" t="s">
        <v>21</v>
      </c>
      <c r="P2106" t="str">
        <f>TEXT(Table1[[#This Row],[order_date]],"yyyy-mm")</f>
        <v>2025-11</v>
      </c>
      <c r="Q2106">
        <f>WEEKNUM(Table1[[#This Row],[order_date]])</f>
        <v>48</v>
      </c>
      <c r="R2106">
        <f>IF(Table1[[#This Row],[order_status]]="completed",1,0)</f>
        <v>1</v>
      </c>
    </row>
    <row r="2107" spans="1:18" x14ac:dyDescent="0.35">
      <c r="A2107">
        <v>2106</v>
      </c>
      <c r="B2107" s="1">
        <v>46010</v>
      </c>
      <c r="C2107">
        <v>1800</v>
      </c>
      <c r="D2107" t="s">
        <v>22</v>
      </c>
      <c r="E2107" t="s">
        <v>33</v>
      </c>
      <c r="F2107" t="s">
        <v>30</v>
      </c>
      <c r="G2107">
        <v>4</v>
      </c>
      <c r="H2107">
        <v>0</v>
      </c>
      <c r="I2107" t="s">
        <v>35</v>
      </c>
      <c r="J2107" t="s">
        <v>37</v>
      </c>
      <c r="K2107" t="s">
        <v>38</v>
      </c>
      <c r="L2107">
        <v>2</v>
      </c>
      <c r="M2107">
        <v>0</v>
      </c>
      <c r="N2107">
        <v>1</v>
      </c>
      <c r="O2107" t="s">
        <v>27</v>
      </c>
      <c r="P2107" t="str">
        <f>TEXT(Table1[[#This Row],[order_date]],"yyyy-mm")</f>
        <v>2025-12</v>
      </c>
      <c r="Q2107">
        <f>WEEKNUM(Table1[[#This Row],[order_date]])</f>
        <v>51</v>
      </c>
      <c r="R2107">
        <f>IF(Table1[[#This Row],[order_status]]="completed",1,0)</f>
        <v>0</v>
      </c>
    </row>
    <row r="2108" spans="1:18" x14ac:dyDescent="0.35">
      <c r="A2108">
        <v>2107</v>
      </c>
      <c r="B2108" s="1">
        <v>45918</v>
      </c>
      <c r="C2108">
        <v>1279</v>
      </c>
      <c r="D2108" t="s">
        <v>22</v>
      </c>
      <c r="E2108" t="s">
        <v>36</v>
      </c>
      <c r="F2108" t="s">
        <v>17</v>
      </c>
      <c r="G2108">
        <v>4</v>
      </c>
      <c r="H2108">
        <v>0</v>
      </c>
      <c r="I2108" t="s">
        <v>39</v>
      </c>
      <c r="J2108" t="s">
        <v>37</v>
      </c>
      <c r="K2108" t="s">
        <v>38</v>
      </c>
      <c r="L2108">
        <v>1</v>
      </c>
      <c r="M2108">
        <v>0</v>
      </c>
      <c r="N2108">
        <v>0</v>
      </c>
      <c r="O2108" t="s">
        <v>21</v>
      </c>
      <c r="P2108" t="str">
        <f>TEXT(Table1[[#This Row],[order_date]],"yyyy-mm")</f>
        <v>2025-09</v>
      </c>
      <c r="Q2108">
        <f>WEEKNUM(Table1[[#This Row],[order_date]])</f>
        <v>38</v>
      </c>
      <c r="R2108">
        <f>IF(Table1[[#This Row],[order_status]]="completed",1,0)</f>
        <v>0</v>
      </c>
    </row>
    <row r="2109" spans="1:18" x14ac:dyDescent="0.35">
      <c r="A2109">
        <v>2108</v>
      </c>
      <c r="B2109" s="1">
        <v>46021</v>
      </c>
      <c r="C2109">
        <v>1363</v>
      </c>
      <c r="D2109" t="s">
        <v>15</v>
      </c>
      <c r="E2109" t="s">
        <v>29</v>
      </c>
      <c r="F2109" t="s">
        <v>24</v>
      </c>
      <c r="G2109">
        <v>4</v>
      </c>
      <c r="H2109">
        <v>0</v>
      </c>
      <c r="I2109" t="s">
        <v>18</v>
      </c>
      <c r="J2109" t="s">
        <v>37</v>
      </c>
      <c r="K2109" t="s">
        <v>40</v>
      </c>
      <c r="L2109">
        <v>6</v>
      </c>
      <c r="M2109">
        <v>1</v>
      </c>
      <c r="N2109">
        <v>1</v>
      </c>
      <c r="O2109" t="s">
        <v>21</v>
      </c>
      <c r="P2109" t="str">
        <f>TEXT(Table1[[#This Row],[order_date]],"yyyy-mm")</f>
        <v>2025-12</v>
      </c>
      <c r="Q2109">
        <f>WEEKNUM(Table1[[#This Row],[order_date]])</f>
        <v>53</v>
      </c>
      <c r="R2109">
        <f>IF(Table1[[#This Row],[order_status]]="completed",1,0)</f>
        <v>0</v>
      </c>
    </row>
    <row r="2110" spans="1:18" x14ac:dyDescent="0.35">
      <c r="A2110">
        <v>2109</v>
      </c>
      <c r="B2110" s="1">
        <v>45990</v>
      </c>
      <c r="C2110">
        <v>1154</v>
      </c>
      <c r="D2110" t="s">
        <v>28</v>
      </c>
      <c r="E2110" t="s">
        <v>16</v>
      </c>
      <c r="F2110" t="s">
        <v>34</v>
      </c>
      <c r="G2110">
        <v>5</v>
      </c>
      <c r="H2110">
        <v>0</v>
      </c>
      <c r="I2110" t="s">
        <v>39</v>
      </c>
      <c r="J2110" t="s">
        <v>37</v>
      </c>
      <c r="K2110" t="s">
        <v>38</v>
      </c>
      <c r="L2110">
        <v>2</v>
      </c>
      <c r="M2110">
        <v>1</v>
      </c>
      <c r="N2110">
        <v>1</v>
      </c>
      <c r="O2110" t="s">
        <v>27</v>
      </c>
      <c r="P2110" t="str">
        <f>TEXT(Table1[[#This Row],[order_date]],"yyyy-mm")</f>
        <v>2025-11</v>
      </c>
      <c r="Q2110">
        <f>WEEKNUM(Table1[[#This Row],[order_date]])</f>
        <v>48</v>
      </c>
      <c r="R2110">
        <f>IF(Table1[[#This Row],[order_status]]="completed",1,0)</f>
        <v>0</v>
      </c>
    </row>
    <row r="2111" spans="1:18" x14ac:dyDescent="0.35">
      <c r="A2111">
        <v>2110</v>
      </c>
      <c r="B2111" s="1">
        <v>45874</v>
      </c>
      <c r="C2111">
        <v>1251</v>
      </c>
      <c r="D2111" t="s">
        <v>28</v>
      </c>
      <c r="E2111" t="s">
        <v>36</v>
      </c>
      <c r="F2111" t="s">
        <v>34</v>
      </c>
      <c r="G2111">
        <v>5</v>
      </c>
      <c r="H2111">
        <v>0</v>
      </c>
      <c r="I2111" t="s">
        <v>25</v>
      </c>
      <c r="J2111" t="s">
        <v>37</v>
      </c>
      <c r="K2111" t="s">
        <v>40</v>
      </c>
      <c r="L2111">
        <v>2</v>
      </c>
      <c r="M2111">
        <v>0</v>
      </c>
      <c r="N2111">
        <v>0</v>
      </c>
      <c r="O2111" t="s">
        <v>27</v>
      </c>
      <c r="P2111" t="str">
        <f>TEXT(Table1[[#This Row],[order_date]],"yyyy-mm")</f>
        <v>2025-08</v>
      </c>
      <c r="Q2111">
        <f>WEEKNUM(Table1[[#This Row],[order_date]])</f>
        <v>32</v>
      </c>
      <c r="R2111">
        <f>IF(Table1[[#This Row],[order_status]]="completed",1,0)</f>
        <v>0</v>
      </c>
    </row>
    <row r="2112" spans="1:18" x14ac:dyDescent="0.35">
      <c r="A2112">
        <v>2111</v>
      </c>
      <c r="B2112" s="1">
        <v>46021</v>
      </c>
      <c r="C2112">
        <v>1362</v>
      </c>
      <c r="D2112" t="s">
        <v>22</v>
      </c>
      <c r="E2112" t="s">
        <v>16</v>
      </c>
      <c r="F2112" t="s">
        <v>30</v>
      </c>
      <c r="G2112">
        <v>1</v>
      </c>
      <c r="H2112">
        <v>0</v>
      </c>
      <c r="I2112" t="s">
        <v>35</v>
      </c>
      <c r="J2112" t="s">
        <v>31</v>
      </c>
      <c r="K2112" t="s">
        <v>26</v>
      </c>
      <c r="L2112">
        <v>6</v>
      </c>
      <c r="M2112">
        <v>0</v>
      </c>
      <c r="N2112">
        <v>0</v>
      </c>
      <c r="O2112" t="s">
        <v>27</v>
      </c>
      <c r="P2112" t="str">
        <f>TEXT(Table1[[#This Row],[order_date]],"yyyy-mm")</f>
        <v>2025-12</v>
      </c>
      <c r="Q2112">
        <f>WEEKNUM(Table1[[#This Row],[order_date]])</f>
        <v>53</v>
      </c>
      <c r="R2112">
        <f>IF(Table1[[#This Row],[order_status]]="completed",1,0)</f>
        <v>0</v>
      </c>
    </row>
    <row r="2113" spans="1:18" x14ac:dyDescent="0.35">
      <c r="A2113">
        <v>2112</v>
      </c>
      <c r="B2113" s="1">
        <v>45923</v>
      </c>
      <c r="C2113">
        <v>1188</v>
      </c>
      <c r="D2113" t="s">
        <v>32</v>
      </c>
      <c r="E2113" t="s">
        <v>33</v>
      </c>
      <c r="F2113" t="s">
        <v>30</v>
      </c>
      <c r="G2113">
        <v>1</v>
      </c>
      <c r="H2113">
        <v>0</v>
      </c>
      <c r="I2113" t="s">
        <v>35</v>
      </c>
      <c r="J2113" t="s">
        <v>31</v>
      </c>
      <c r="K2113" t="s">
        <v>40</v>
      </c>
      <c r="L2113">
        <v>6</v>
      </c>
      <c r="M2113">
        <v>0</v>
      </c>
      <c r="N2113">
        <v>0</v>
      </c>
      <c r="O2113" t="s">
        <v>27</v>
      </c>
      <c r="P2113" t="str">
        <f>TEXT(Table1[[#This Row],[order_date]],"yyyy-mm")</f>
        <v>2025-09</v>
      </c>
      <c r="Q2113">
        <f>WEEKNUM(Table1[[#This Row],[order_date]])</f>
        <v>39</v>
      </c>
      <c r="R2113">
        <f>IF(Table1[[#This Row],[order_status]]="completed",1,0)</f>
        <v>0</v>
      </c>
    </row>
    <row r="2114" spans="1:18" x14ac:dyDescent="0.35">
      <c r="A2114">
        <v>2113</v>
      </c>
      <c r="B2114" s="1">
        <v>45852</v>
      </c>
      <c r="C2114">
        <v>1086</v>
      </c>
      <c r="D2114" t="s">
        <v>28</v>
      </c>
      <c r="E2114" t="s">
        <v>33</v>
      </c>
      <c r="F2114" t="s">
        <v>24</v>
      </c>
      <c r="G2114">
        <v>4</v>
      </c>
      <c r="H2114">
        <v>0</v>
      </c>
      <c r="I2114" t="s">
        <v>18</v>
      </c>
      <c r="J2114" t="s">
        <v>37</v>
      </c>
      <c r="K2114" t="s">
        <v>38</v>
      </c>
      <c r="L2114">
        <v>3</v>
      </c>
      <c r="M2114">
        <v>0</v>
      </c>
      <c r="N2114">
        <v>0</v>
      </c>
      <c r="O2114" t="s">
        <v>21</v>
      </c>
      <c r="P2114" t="str">
        <f>TEXT(Table1[[#This Row],[order_date]],"yyyy-mm")</f>
        <v>2025-07</v>
      </c>
      <c r="Q2114">
        <f>WEEKNUM(Table1[[#This Row],[order_date]])</f>
        <v>29</v>
      </c>
      <c r="R2114">
        <f>IF(Table1[[#This Row],[order_status]]="completed",1,0)</f>
        <v>0</v>
      </c>
    </row>
    <row r="2115" spans="1:18" x14ac:dyDescent="0.35">
      <c r="A2115">
        <v>2114</v>
      </c>
      <c r="B2115" s="1">
        <v>45969</v>
      </c>
      <c r="C2115">
        <v>1361</v>
      </c>
      <c r="D2115" t="s">
        <v>32</v>
      </c>
      <c r="E2115" t="s">
        <v>36</v>
      </c>
      <c r="F2115" t="s">
        <v>24</v>
      </c>
      <c r="G2115">
        <v>5</v>
      </c>
      <c r="H2115">
        <v>22305</v>
      </c>
      <c r="I2115" t="s">
        <v>25</v>
      </c>
      <c r="J2115" t="s">
        <v>19</v>
      </c>
      <c r="K2115" t="s">
        <v>40</v>
      </c>
      <c r="L2115">
        <v>8</v>
      </c>
      <c r="M2115">
        <v>0</v>
      </c>
      <c r="N2115">
        <v>0</v>
      </c>
      <c r="O2115" t="s">
        <v>21</v>
      </c>
      <c r="P2115" t="str">
        <f>TEXT(Table1[[#This Row],[order_date]],"yyyy-mm")</f>
        <v>2025-11</v>
      </c>
      <c r="Q2115">
        <f>WEEKNUM(Table1[[#This Row],[order_date]])</f>
        <v>45</v>
      </c>
      <c r="R2115">
        <f>IF(Table1[[#This Row],[order_status]]="completed",1,0)</f>
        <v>1</v>
      </c>
    </row>
    <row r="2116" spans="1:18" x14ac:dyDescent="0.35">
      <c r="A2116">
        <v>2115</v>
      </c>
      <c r="B2116" s="1">
        <v>45888</v>
      </c>
      <c r="C2116">
        <v>1882</v>
      </c>
      <c r="D2116" t="s">
        <v>22</v>
      </c>
      <c r="E2116" t="s">
        <v>36</v>
      </c>
      <c r="F2116" t="s">
        <v>17</v>
      </c>
      <c r="G2116">
        <v>2</v>
      </c>
      <c r="H2116">
        <v>922</v>
      </c>
      <c r="I2116" t="s">
        <v>35</v>
      </c>
      <c r="J2116" t="s">
        <v>19</v>
      </c>
      <c r="K2116" t="s">
        <v>40</v>
      </c>
      <c r="L2116">
        <v>2</v>
      </c>
      <c r="M2116">
        <v>1</v>
      </c>
      <c r="N2116">
        <v>0</v>
      </c>
      <c r="O2116" t="s">
        <v>27</v>
      </c>
      <c r="P2116" t="str">
        <f>TEXT(Table1[[#This Row],[order_date]],"yyyy-mm")</f>
        <v>2025-08</v>
      </c>
      <c r="Q2116">
        <f>WEEKNUM(Table1[[#This Row],[order_date]])</f>
        <v>34</v>
      </c>
      <c r="R2116">
        <f>IF(Table1[[#This Row],[order_status]]="completed",1,0)</f>
        <v>1</v>
      </c>
    </row>
    <row r="2117" spans="1:18" x14ac:dyDescent="0.35">
      <c r="A2117">
        <v>2116</v>
      </c>
      <c r="B2117" s="1">
        <v>45962</v>
      </c>
      <c r="C2117">
        <v>1788</v>
      </c>
      <c r="D2117" t="s">
        <v>41</v>
      </c>
      <c r="E2117" t="s">
        <v>23</v>
      </c>
      <c r="F2117" t="s">
        <v>30</v>
      </c>
      <c r="G2117">
        <v>1</v>
      </c>
      <c r="H2117">
        <v>0</v>
      </c>
      <c r="I2117" t="s">
        <v>35</v>
      </c>
      <c r="J2117" t="s">
        <v>31</v>
      </c>
      <c r="K2117" t="s">
        <v>20</v>
      </c>
      <c r="L2117">
        <v>10</v>
      </c>
      <c r="M2117">
        <v>1</v>
      </c>
      <c r="N2117">
        <v>0</v>
      </c>
      <c r="O2117" t="s">
        <v>21</v>
      </c>
      <c r="P2117" t="str">
        <f>TEXT(Table1[[#This Row],[order_date]],"yyyy-mm")</f>
        <v>2025-11</v>
      </c>
      <c r="Q2117">
        <f>WEEKNUM(Table1[[#This Row],[order_date]])</f>
        <v>44</v>
      </c>
      <c r="R2117">
        <f>IF(Table1[[#This Row],[order_status]]="completed",1,0)</f>
        <v>0</v>
      </c>
    </row>
    <row r="2118" spans="1:18" x14ac:dyDescent="0.35">
      <c r="A2118">
        <v>2117</v>
      </c>
      <c r="B2118" s="1">
        <v>45990</v>
      </c>
      <c r="C2118">
        <v>1525</v>
      </c>
      <c r="D2118" t="s">
        <v>22</v>
      </c>
      <c r="E2118" t="s">
        <v>29</v>
      </c>
      <c r="F2118" t="s">
        <v>30</v>
      </c>
      <c r="G2118">
        <v>2</v>
      </c>
      <c r="H2118">
        <v>0</v>
      </c>
      <c r="I2118" t="s">
        <v>39</v>
      </c>
      <c r="J2118" t="s">
        <v>31</v>
      </c>
      <c r="K2118" t="s">
        <v>40</v>
      </c>
      <c r="L2118">
        <v>2</v>
      </c>
      <c r="M2118">
        <v>1</v>
      </c>
      <c r="N2118">
        <v>0</v>
      </c>
      <c r="O2118" t="s">
        <v>27</v>
      </c>
      <c r="P2118" t="str">
        <f>TEXT(Table1[[#This Row],[order_date]],"yyyy-mm")</f>
        <v>2025-11</v>
      </c>
      <c r="Q2118">
        <f>WEEKNUM(Table1[[#This Row],[order_date]])</f>
        <v>48</v>
      </c>
      <c r="R2118">
        <f>IF(Table1[[#This Row],[order_status]]="completed",1,0)</f>
        <v>0</v>
      </c>
    </row>
    <row r="2119" spans="1:18" x14ac:dyDescent="0.35">
      <c r="A2119">
        <v>2118</v>
      </c>
      <c r="B2119" s="1">
        <v>45901</v>
      </c>
      <c r="C2119">
        <v>1380</v>
      </c>
      <c r="D2119" t="s">
        <v>41</v>
      </c>
      <c r="E2119" t="s">
        <v>16</v>
      </c>
      <c r="F2119" t="s">
        <v>24</v>
      </c>
      <c r="G2119">
        <v>4</v>
      </c>
      <c r="H2119">
        <v>0</v>
      </c>
      <c r="I2119" t="s">
        <v>18</v>
      </c>
      <c r="J2119" t="s">
        <v>37</v>
      </c>
      <c r="K2119" t="s">
        <v>26</v>
      </c>
      <c r="L2119">
        <v>5</v>
      </c>
      <c r="M2119">
        <v>1</v>
      </c>
      <c r="N2119">
        <v>0</v>
      </c>
      <c r="O2119" t="s">
        <v>21</v>
      </c>
      <c r="P2119" t="str">
        <f>TEXT(Table1[[#This Row],[order_date]],"yyyy-mm")</f>
        <v>2025-09</v>
      </c>
      <c r="Q2119">
        <f>WEEKNUM(Table1[[#This Row],[order_date]])</f>
        <v>36</v>
      </c>
      <c r="R2119">
        <f>IF(Table1[[#This Row],[order_status]]="completed",1,0)</f>
        <v>0</v>
      </c>
    </row>
    <row r="2120" spans="1:18" x14ac:dyDescent="0.35">
      <c r="A2120">
        <v>2119</v>
      </c>
      <c r="B2120" s="1">
        <v>45954</v>
      </c>
      <c r="C2120">
        <v>1538</v>
      </c>
      <c r="D2120" t="s">
        <v>28</v>
      </c>
      <c r="E2120" t="s">
        <v>36</v>
      </c>
      <c r="F2120" t="s">
        <v>30</v>
      </c>
      <c r="G2120">
        <v>2</v>
      </c>
      <c r="H2120">
        <v>0</v>
      </c>
      <c r="I2120" t="s">
        <v>18</v>
      </c>
      <c r="J2120" t="s">
        <v>37</v>
      </c>
      <c r="K2120" t="s">
        <v>38</v>
      </c>
      <c r="L2120">
        <v>8</v>
      </c>
      <c r="M2120">
        <v>0</v>
      </c>
      <c r="N2120">
        <v>1</v>
      </c>
      <c r="O2120" t="s">
        <v>27</v>
      </c>
      <c r="P2120" t="str">
        <f>TEXT(Table1[[#This Row],[order_date]],"yyyy-mm")</f>
        <v>2025-10</v>
      </c>
      <c r="Q2120">
        <f>WEEKNUM(Table1[[#This Row],[order_date]])</f>
        <v>43</v>
      </c>
      <c r="R2120">
        <f>IF(Table1[[#This Row],[order_status]]="completed",1,0)</f>
        <v>0</v>
      </c>
    </row>
    <row r="2121" spans="1:18" x14ac:dyDescent="0.35">
      <c r="A2121">
        <v>2120</v>
      </c>
      <c r="B2121" s="1">
        <v>45891</v>
      </c>
      <c r="C2121">
        <v>1039</v>
      </c>
      <c r="D2121" t="s">
        <v>41</v>
      </c>
      <c r="E2121" t="s">
        <v>36</v>
      </c>
      <c r="F2121" t="s">
        <v>24</v>
      </c>
      <c r="G2121">
        <v>5</v>
      </c>
      <c r="H2121">
        <v>0</v>
      </c>
      <c r="I2121" t="s">
        <v>18</v>
      </c>
      <c r="J2121" t="s">
        <v>31</v>
      </c>
      <c r="K2121" t="s">
        <v>40</v>
      </c>
      <c r="L2121">
        <v>6</v>
      </c>
      <c r="M2121">
        <v>0</v>
      </c>
      <c r="N2121">
        <v>0</v>
      </c>
      <c r="O2121" t="s">
        <v>21</v>
      </c>
      <c r="P2121" t="str">
        <f>TEXT(Table1[[#This Row],[order_date]],"yyyy-mm")</f>
        <v>2025-08</v>
      </c>
      <c r="Q2121">
        <f>WEEKNUM(Table1[[#This Row],[order_date]])</f>
        <v>34</v>
      </c>
      <c r="R2121">
        <f>IF(Table1[[#This Row],[order_status]]="completed",1,0)</f>
        <v>0</v>
      </c>
    </row>
    <row r="2122" spans="1:18" x14ac:dyDescent="0.35">
      <c r="A2122">
        <v>2121</v>
      </c>
      <c r="B2122" s="1">
        <v>46008</v>
      </c>
      <c r="C2122">
        <v>1751</v>
      </c>
      <c r="D2122" t="s">
        <v>41</v>
      </c>
      <c r="E2122" t="s">
        <v>33</v>
      </c>
      <c r="F2122" t="s">
        <v>17</v>
      </c>
      <c r="G2122">
        <v>1</v>
      </c>
      <c r="H2122">
        <v>0</v>
      </c>
      <c r="I2122" t="s">
        <v>39</v>
      </c>
      <c r="J2122" t="s">
        <v>31</v>
      </c>
      <c r="K2122" t="s">
        <v>26</v>
      </c>
      <c r="L2122">
        <v>9</v>
      </c>
      <c r="M2122">
        <v>0</v>
      </c>
      <c r="N2122">
        <v>0</v>
      </c>
      <c r="O2122" t="s">
        <v>21</v>
      </c>
      <c r="P2122" t="str">
        <f>TEXT(Table1[[#This Row],[order_date]],"yyyy-mm")</f>
        <v>2025-12</v>
      </c>
      <c r="Q2122">
        <f>WEEKNUM(Table1[[#This Row],[order_date]])</f>
        <v>51</v>
      </c>
      <c r="R2122">
        <f>IF(Table1[[#This Row],[order_status]]="completed",1,0)</f>
        <v>0</v>
      </c>
    </row>
    <row r="2123" spans="1:18" x14ac:dyDescent="0.35">
      <c r="A2123">
        <v>2122</v>
      </c>
      <c r="B2123" s="1">
        <v>46002</v>
      </c>
      <c r="C2123">
        <v>1028</v>
      </c>
      <c r="D2123" t="s">
        <v>22</v>
      </c>
      <c r="E2123" t="s">
        <v>36</v>
      </c>
      <c r="F2123" t="s">
        <v>17</v>
      </c>
      <c r="G2123">
        <v>3</v>
      </c>
      <c r="H2123">
        <v>6651</v>
      </c>
      <c r="I2123" t="s">
        <v>18</v>
      </c>
      <c r="J2123" t="s">
        <v>19</v>
      </c>
      <c r="K2123" t="s">
        <v>40</v>
      </c>
      <c r="L2123">
        <v>8</v>
      </c>
      <c r="M2123">
        <v>1</v>
      </c>
      <c r="N2123">
        <v>1</v>
      </c>
      <c r="O2123" t="s">
        <v>27</v>
      </c>
      <c r="P2123" t="str">
        <f>TEXT(Table1[[#This Row],[order_date]],"yyyy-mm")</f>
        <v>2025-12</v>
      </c>
      <c r="Q2123">
        <f>WEEKNUM(Table1[[#This Row],[order_date]])</f>
        <v>50</v>
      </c>
      <c r="R2123">
        <f>IF(Table1[[#This Row],[order_status]]="completed",1,0)</f>
        <v>1</v>
      </c>
    </row>
    <row r="2124" spans="1:18" x14ac:dyDescent="0.35">
      <c r="A2124">
        <v>2123</v>
      </c>
      <c r="B2124" s="1">
        <v>45958</v>
      </c>
      <c r="C2124">
        <v>1240</v>
      </c>
      <c r="D2124" t="s">
        <v>15</v>
      </c>
      <c r="E2124" t="s">
        <v>29</v>
      </c>
      <c r="F2124" t="s">
        <v>30</v>
      </c>
      <c r="G2124">
        <v>2</v>
      </c>
      <c r="H2124">
        <v>0</v>
      </c>
      <c r="I2124" t="s">
        <v>18</v>
      </c>
      <c r="J2124" t="s">
        <v>37</v>
      </c>
      <c r="K2124" t="s">
        <v>20</v>
      </c>
      <c r="L2124">
        <v>6</v>
      </c>
      <c r="M2124">
        <v>1</v>
      </c>
      <c r="N2124">
        <v>0</v>
      </c>
      <c r="O2124" t="s">
        <v>21</v>
      </c>
      <c r="P2124" t="str">
        <f>TEXT(Table1[[#This Row],[order_date]],"yyyy-mm")</f>
        <v>2025-10</v>
      </c>
      <c r="Q2124">
        <f>WEEKNUM(Table1[[#This Row],[order_date]])</f>
        <v>44</v>
      </c>
      <c r="R2124">
        <f>IF(Table1[[#This Row],[order_status]]="completed",1,0)</f>
        <v>0</v>
      </c>
    </row>
    <row r="2125" spans="1:18" x14ac:dyDescent="0.35">
      <c r="A2125">
        <v>2124</v>
      </c>
      <c r="B2125" s="1">
        <v>45919</v>
      </c>
      <c r="C2125">
        <v>1834</v>
      </c>
      <c r="D2125" t="s">
        <v>32</v>
      </c>
      <c r="E2125" t="s">
        <v>23</v>
      </c>
      <c r="F2125" t="s">
        <v>17</v>
      </c>
      <c r="G2125">
        <v>3</v>
      </c>
      <c r="H2125">
        <v>3981</v>
      </c>
      <c r="I2125" t="s">
        <v>39</v>
      </c>
      <c r="J2125" t="s">
        <v>19</v>
      </c>
      <c r="K2125" t="s">
        <v>26</v>
      </c>
      <c r="L2125">
        <v>4</v>
      </c>
      <c r="M2125">
        <v>1</v>
      </c>
      <c r="N2125">
        <v>1</v>
      </c>
      <c r="O2125" t="s">
        <v>21</v>
      </c>
      <c r="P2125" t="str">
        <f>TEXT(Table1[[#This Row],[order_date]],"yyyy-mm")</f>
        <v>2025-09</v>
      </c>
      <c r="Q2125">
        <f>WEEKNUM(Table1[[#This Row],[order_date]])</f>
        <v>38</v>
      </c>
      <c r="R2125">
        <f>IF(Table1[[#This Row],[order_status]]="completed",1,0)</f>
        <v>1</v>
      </c>
    </row>
    <row r="2126" spans="1:18" x14ac:dyDescent="0.35">
      <c r="A2126">
        <v>2125</v>
      </c>
      <c r="B2126" s="1">
        <v>45968</v>
      </c>
      <c r="C2126">
        <v>1344</v>
      </c>
      <c r="D2126" t="s">
        <v>32</v>
      </c>
      <c r="E2126" t="s">
        <v>33</v>
      </c>
      <c r="F2126" t="s">
        <v>30</v>
      </c>
      <c r="G2126">
        <v>5</v>
      </c>
      <c r="H2126">
        <v>0</v>
      </c>
      <c r="I2126" t="s">
        <v>25</v>
      </c>
      <c r="J2126" t="s">
        <v>31</v>
      </c>
      <c r="K2126" t="s">
        <v>20</v>
      </c>
      <c r="L2126">
        <v>3</v>
      </c>
      <c r="M2126">
        <v>0</v>
      </c>
      <c r="N2126">
        <v>1</v>
      </c>
      <c r="O2126" t="s">
        <v>27</v>
      </c>
      <c r="P2126" t="str">
        <f>TEXT(Table1[[#This Row],[order_date]],"yyyy-mm")</f>
        <v>2025-11</v>
      </c>
      <c r="Q2126">
        <f>WEEKNUM(Table1[[#This Row],[order_date]])</f>
        <v>45</v>
      </c>
      <c r="R2126">
        <f>IF(Table1[[#This Row],[order_status]]="completed",1,0)</f>
        <v>0</v>
      </c>
    </row>
    <row r="2127" spans="1:18" x14ac:dyDescent="0.35">
      <c r="A2127">
        <v>2126</v>
      </c>
      <c r="B2127" s="1">
        <v>45987</v>
      </c>
      <c r="C2127">
        <v>1786</v>
      </c>
      <c r="D2127" t="s">
        <v>22</v>
      </c>
      <c r="E2127" t="s">
        <v>23</v>
      </c>
      <c r="F2127" t="s">
        <v>17</v>
      </c>
      <c r="G2127">
        <v>5</v>
      </c>
      <c r="H2127">
        <v>0</v>
      </c>
      <c r="I2127" t="s">
        <v>39</v>
      </c>
      <c r="J2127" t="s">
        <v>37</v>
      </c>
      <c r="K2127" t="s">
        <v>26</v>
      </c>
      <c r="L2127">
        <v>5</v>
      </c>
      <c r="M2127">
        <v>0</v>
      </c>
      <c r="N2127">
        <v>1</v>
      </c>
      <c r="O2127" t="s">
        <v>27</v>
      </c>
      <c r="P2127" t="str">
        <f>TEXT(Table1[[#This Row],[order_date]],"yyyy-mm")</f>
        <v>2025-11</v>
      </c>
      <c r="Q2127">
        <f>WEEKNUM(Table1[[#This Row],[order_date]])</f>
        <v>48</v>
      </c>
      <c r="R2127">
        <f>IF(Table1[[#This Row],[order_status]]="completed",1,0)</f>
        <v>0</v>
      </c>
    </row>
    <row r="2128" spans="1:18" x14ac:dyDescent="0.35">
      <c r="A2128">
        <v>2127</v>
      </c>
      <c r="B2128" s="1">
        <v>46015</v>
      </c>
      <c r="C2128">
        <v>1755</v>
      </c>
      <c r="D2128" t="s">
        <v>22</v>
      </c>
      <c r="E2128" t="s">
        <v>29</v>
      </c>
      <c r="F2128" t="s">
        <v>24</v>
      </c>
      <c r="G2128">
        <v>4</v>
      </c>
      <c r="H2128">
        <v>0</v>
      </c>
      <c r="I2128" t="s">
        <v>18</v>
      </c>
      <c r="J2128" t="s">
        <v>31</v>
      </c>
      <c r="K2128" t="s">
        <v>20</v>
      </c>
      <c r="L2128">
        <v>9</v>
      </c>
      <c r="M2128">
        <v>0</v>
      </c>
      <c r="N2128">
        <v>1</v>
      </c>
      <c r="O2128" t="s">
        <v>27</v>
      </c>
      <c r="P2128" t="str">
        <f>TEXT(Table1[[#This Row],[order_date]],"yyyy-mm")</f>
        <v>2025-12</v>
      </c>
      <c r="Q2128">
        <f>WEEKNUM(Table1[[#This Row],[order_date]])</f>
        <v>52</v>
      </c>
      <c r="R2128">
        <f>IF(Table1[[#This Row],[order_status]]="completed",1,0)</f>
        <v>0</v>
      </c>
    </row>
    <row r="2129" spans="1:18" x14ac:dyDescent="0.35">
      <c r="A2129">
        <v>2128</v>
      </c>
      <c r="B2129" s="1">
        <v>45965</v>
      </c>
      <c r="C2129">
        <v>1848</v>
      </c>
      <c r="D2129" t="s">
        <v>15</v>
      </c>
      <c r="E2129" t="s">
        <v>23</v>
      </c>
      <c r="F2129" t="s">
        <v>24</v>
      </c>
      <c r="G2129">
        <v>5</v>
      </c>
      <c r="H2129">
        <v>0</v>
      </c>
      <c r="I2129" t="s">
        <v>25</v>
      </c>
      <c r="J2129" t="s">
        <v>31</v>
      </c>
      <c r="K2129" t="s">
        <v>26</v>
      </c>
      <c r="L2129">
        <v>2</v>
      </c>
      <c r="M2129">
        <v>1</v>
      </c>
      <c r="N2129">
        <v>1</v>
      </c>
      <c r="O2129" t="s">
        <v>27</v>
      </c>
      <c r="P2129" t="str">
        <f>TEXT(Table1[[#This Row],[order_date]],"yyyy-mm")</f>
        <v>2025-11</v>
      </c>
      <c r="Q2129">
        <f>WEEKNUM(Table1[[#This Row],[order_date]])</f>
        <v>45</v>
      </c>
      <c r="R2129">
        <f>IF(Table1[[#This Row],[order_status]]="completed",1,0)</f>
        <v>0</v>
      </c>
    </row>
    <row r="2130" spans="1:18" x14ac:dyDescent="0.35">
      <c r="A2130">
        <v>2129</v>
      </c>
      <c r="B2130" s="1">
        <v>46015</v>
      </c>
      <c r="C2130">
        <v>1953</v>
      </c>
      <c r="D2130" t="s">
        <v>32</v>
      </c>
      <c r="E2130" t="s">
        <v>29</v>
      </c>
      <c r="F2130" t="s">
        <v>24</v>
      </c>
      <c r="G2130">
        <v>5</v>
      </c>
      <c r="H2130">
        <v>0</v>
      </c>
      <c r="I2130" t="s">
        <v>18</v>
      </c>
      <c r="J2130" t="s">
        <v>37</v>
      </c>
      <c r="K2130" t="s">
        <v>26</v>
      </c>
      <c r="L2130">
        <v>10</v>
      </c>
      <c r="M2130">
        <v>1</v>
      </c>
      <c r="N2130">
        <v>1</v>
      </c>
      <c r="O2130" t="s">
        <v>21</v>
      </c>
      <c r="P2130" t="str">
        <f>TEXT(Table1[[#This Row],[order_date]],"yyyy-mm")</f>
        <v>2025-12</v>
      </c>
      <c r="Q2130">
        <f>WEEKNUM(Table1[[#This Row],[order_date]])</f>
        <v>52</v>
      </c>
      <c r="R2130">
        <f>IF(Table1[[#This Row],[order_status]]="completed",1,0)</f>
        <v>0</v>
      </c>
    </row>
    <row r="2131" spans="1:18" x14ac:dyDescent="0.35">
      <c r="A2131">
        <v>2130</v>
      </c>
      <c r="B2131" s="1">
        <v>45893</v>
      </c>
      <c r="C2131">
        <v>1043</v>
      </c>
      <c r="D2131" t="s">
        <v>22</v>
      </c>
      <c r="E2131" t="s">
        <v>23</v>
      </c>
      <c r="F2131" t="s">
        <v>34</v>
      </c>
      <c r="G2131">
        <v>2</v>
      </c>
      <c r="H2131">
        <v>0</v>
      </c>
      <c r="I2131" t="s">
        <v>18</v>
      </c>
      <c r="J2131" t="s">
        <v>37</v>
      </c>
      <c r="K2131" t="s">
        <v>20</v>
      </c>
      <c r="L2131">
        <v>7</v>
      </c>
      <c r="M2131">
        <v>0</v>
      </c>
      <c r="N2131">
        <v>0</v>
      </c>
      <c r="O2131" t="s">
        <v>21</v>
      </c>
      <c r="P2131" t="str">
        <f>TEXT(Table1[[#This Row],[order_date]],"yyyy-mm")</f>
        <v>2025-08</v>
      </c>
      <c r="Q2131">
        <f>WEEKNUM(Table1[[#This Row],[order_date]])</f>
        <v>35</v>
      </c>
      <c r="R2131">
        <f>IF(Table1[[#This Row],[order_status]]="completed",1,0)</f>
        <v>0</v>
      </c>
    </row>
    <row r="2132" spans="1:18" x14ac:dyDescent="0.35">
      <c r="A2132">
        <v>2131</v>
      </c>
      <c r="B2132" s="1">
        <v>45937</v>
      </c>
      <c r="C2132">
        <v>1276</v>
      </c>
      <c r="D2132" t="s">
        <v>22</v>
      </c>
      <c r="E2132" t="s">
        <v>36</v>
      </c>
      <c r="F2132" t="s">
        <v>30</v>
      </c>
      <c r="G2132">
        <v>4</v>
      </c>
      <c r="H2132">
        <v>0</v>
      </c>
      <c r="I2132" t="s">
        <v>25</v>
      </c>
      <c r="J2132" t="s">
        <v>31</v>
      </c>
      <c r="K2132" t="s">
        <v>26</v>
      </c>
      <c r="L2132">
        <v>6</v>
      </c>
      <c r="M2132">
        <v>0</v>
      </c>
      <c r="N2132">
        <v>1</v>
      </c>
      <c r="O2132" t="s">
        <v>21</v>
      </c>
      <c r="P2132" t="str">
        <f>TEXT(Table1[[#This Row],[order_date]],"yyyy-mm")</f>
        <v>2025-10</v>
      </c>
      <c r="Q2132">
        <f>WEEKNUM(Table1[[#This Row],[order_date]])</f>
        <v>41</v>
      </c>
      <c r="R2132">
        <f>IF(Table1[[#This Row],[order_status]]="completed",1,0)</f>
        <v>0</v>
      </c>
    </row>
    <row r="2133" spans="1:18" x14ac:dyDescent="0.35">
      <c r="A2133">
        <v>2132</v>
      </c>
      <c r="B2133" s="1">
        <v>45942</v>
      </c>
      <c r="C2133">
        <v>1664</v>
      </c>
      <c r="D2133" t="s">
        <v>32</v>
      </c>
      <c r="E2133" t="s">
        <v>16</v>
      </c>
      <c r="F2133" t="s">
        <v>34</v>
      </c>
      <c r="G2133">
        <v>2</v>
      </c>
      <c r="H2133">
        <v>0</v>
      </c>
      <c r="I2133" t="s">
        <v>18</v>
      </c>
      <c r="J2133" t="s">
        <v>37</v>
      </c>
      <c r="K2133" t="s">
        <v>38</v>
      </c>
      <c r="L2133">
        <v>1</v>
      </c>
      <c r="M2133">
        <v>0</v>
      </c>
      <c r="N2133">
        <v>0</v>
      </c>
      <c r="O2133" t="s">
        <v>27</v>
      </c>
      <c r="P2133" t="str">
        <f>TEXT(Table1[[#This Row],[order_date]],"yyyy-mm")</f>
        <v>2025-10</v>
      </c>
      <c r="Q2133">
        <f>WEEKNUM(Table1[[#This Row],[order_date]])</f>
        <v>42</v>
      </c>
      <c r="R2133">
        <f>IF(Table1[[#This Row],[order_status]]="completed",1,0)</f>
        <v>0</v>
      </c>
    </row>
    <row r="2134" spans="1:18" x14ac:dyDescent="0.35">
      <c r="A2134">
        <v>2133</v>
      </c>
      <c r="B2134" s="1">
        <v>46022</v>
      </c>
      <c r="C2134">
        <v>1582</v>
      </c>
      <c r="D2134" t="s">
        <v>28</v>
      </c>
      <c r="E2134" t="s">
        <v>29</v>
      </c>
      <c r="F2134" t="s">
        <v>30</v>
      </c>
      <c r="G2134">
        <v>3</v>
      </c>
      <c r="H2134">
        <v>0</v>
      </c>
      <c r="I2134" t="s">
        <v>39</v>
      </c>
      <c r="J2134" t="s">
        <v>31</v>
      </c>
      <c r="K2134" t="s">
        <v>40</v>
      </c>
      <c r="L2134">
        <v>3</v>
      </c>
      <c r="M2134">
        <v>0</v>
      </c>
      <c r="N2134">
        <v>0</v>
      </c>
      <c r="O2134" t="s">
        <v>27</v>
      </c>
      <c r="P2134" t="str">
        <f>TEXT(Table1[[#This Row],[order_date]],"yyyy-mm")</f>
        <v>2025-12</v>
      </c>
      <c r="Q2134">
        <f>WEEKNUM(Table1[[#This Row],[order_date]])</f>
        <v>53</v>
      </c>
      <c r="R2134">
        <f>IF(Table1[[#This Row],[order_status]]="completed",1,0)</f>
        <v>0</v>
      </c>
    </row>
    <row r="2135" spans="1:18" x14ac:dyDescent="0.35">
      <c r="A2135">
        <v>2134</v>
      </c>
      <c r="B2135" s="1">
        <v>45954</v>
      </c>
      <c r="C2135">
        <v>1282</v>
      </c>
      <c r="D2135" t="s">
        <v>32</v>
      </c>
      <c r="E2135" t="s">
        <v>16</v>
      </c>
      <c r="F2135" t="s">
        <v>30</v>
      </c>
      <c r="G2135">
        <v>1</v>
      </c>
      <c r="H2135">
        <v>0</v>
      </c>
      <c r="I2135" t="s">
        <v>39</v>
      </c>
      <c r="J2135" t="s">
        <v>37</v>
      </c>
      <c r="K2135" t="s">
        <v>26</v>
      </c>
      <c r="L2135">
        <v>2</v>
      </c>
      <c r="M2135">
        <v>1</v>
      </c>
      <c r="N2135">
        <v>1</v>
      </c>
      <c r="O2135" t="s">
        <v>27</v>
      </c>
      <c r="P2135" t="str">
        <f>TEXT(Table1[[#This Row],[order_date]],"yyyy-mm")</f>
        <v>2025-10</v>
      </c>
      <c r="Q2135">
        <f>WEEKNUM(Table1[[#This Row],[order_date]])</f>
        <v>43</v>
      </c>
      <c r="R2135">
        <f>IF(Table1[[#This Row],[order_status]]="completed",1,0)</f>
        <v>0</v>
      </c>
    </row>
    <row r="2136" spans="1:18" x14ac:dyDescent="0.35">
      <c r="A2136">
        <v>2135</v>
      </c>
      <c r="B2136" s="1">
        <v>45862</v>
      </c>
      <c r="C2136">
        <v>1103</v>
      </c>
      <c r="D2136" t="s">
        <v>28</v>
      </c>
      <c r="E2136" t="s">
        <v>29</v>
      </c>
      <c r="F2136" t="s">
        <v>34</v>
      </c>
      <c r="G2136">
        <v>2</v>
      </c>
      <c r="H2136">
        <v>0</v>
      </c>
      <c r="I2136" t="s">
        <v>35</v>
      </c>
      <c r="J2136" t="s">
        <v>37</v>
      </c>
      <c r="K2136" t="s">
        <v>20</v>
      </c>
      <c r="L2136">
        <v>8</v>
      </c>
      <c r="M2136">
        <v>0</v>
      </c>
      <c r="N2136">
        <v>0</v>
      </c>
      <c r="O2136" t="s">
        <v>27</v>
      </c>
      <c r="P2136" t="str">
        <f>TEXT(Table1[[#This Row],[order_date]],"yyyy-mm")</f>
        <v>2025-07</v>
      </c>
      <c r="Q2136">
        <f>WEEKNUM(Table1[[#This Row],[order_date]])</f>
        <v>30</v>
      </c>
      <c r="R2136">
        <f>IF(Table1[[#This Row],[order_status]]="completed",1,0)</f>
        <v>0</v>
      </c>
    </row>
    <row r="2137" spans="1:18" x14ac:dyDescent="0.35">
      <c r="A2137">
        <v>2136</v>
      </c>
      <c r="B2137" s="1">
        <v>45930</v>
      </c>
      <c r="C2137">
        <v>1736</v>
      </c>
      <c r="D2137" t="s">
        <v>28</v>
      </c>
      <c r="E2137" t="s">
        <v>36</v>
      </c>
      <c r="F2137" t="s">
        <v>30</v>
      </c>
      <c r="G2137">
        <v>1</v>
      </c>
      <c r="H2137">
        <v>0</v>
      </c>
      <c r="I2137" t="s">
        <v>18</v>
      </c>
      <c r="J2137" t="s">
        <v>31</v>
      </c>
      <c r="K2137" t="s">
        <v>26</v>
      </c>
      <c r="L2137">
        <v>2</v>
      </c>
      <c r="M2137">
        <v>1</v>
      </c>
      <c r="N2137">
        <v>1</v>
      </c>
      <c r="O2137" t="s">
        <v>27</v>
      </c>
      <c r="P2137" t="str">
        <f>TEXT(Table1[[#This Row],[order_date]],"yyyy-mm")</f>
        <v>2025-09</v>
      </c>
      <c r="Q2137">
        <f>WEEKNUM(Table1[[#This Row],[order_date]])</f>
        <v>40</v>
      </c>
      <c r="R2137">
        <f>IF(Table1[[#This Row],[order_status]]="completed",1,0)</f>
        <v>0</v>
      </c>
    </row>
    <row r="2138" spans="1:18" x14ac:dyDescent="0.35">
      <c r="A2138">
        <v>2137</v>
      </c>
      <c r="B2138" s="1">
        <v>45873</v>
      </c>
      <c r="C2138">
        <v>1274</v>
      </c>
      <c r="D2138" t="s">
        <v>15</v>
      </c>
      <c r="E2138" t="s">
        <v>23</v>
      </c>
      <c r="F2138" t="s">
        <v>30</v>
      </c>
      <c r="G2138">
        <v>2</v>
      </c>
      <c r="H2138">
        <v>6256</v>
      </c>
      <c r="I2138" t="s">
        <v>39</v>
      </c>
      <c r="J2138" t="s">
        <v>19</v>
      </c>
      <c r="K2138" t="s">
        <v>38</v>
      </c>
      <c r="L2138">
        <v>9</v>
      </c>
      <c r="M2138">
        <v>1</v>
      </c>
      <c r="N2138">
        <v>0</v>
      </c>
      <c r="O2138" t="s">
        <v>21</v>
      </c>
      <c r="P2138" t="str">
        <f>TEXT(Table1[[#This Row],[order_date]],"yyyy-mm")</f>
        <v>2025-08</v>
      </c>
      <c r="Q2138">
        <f>WEEKNUM(Table1[[#This Row],[order_date]])</f>
        <v>32</v>
      </c>
      <c r="R2138">
        <f>IF(Table1[[#This Row],[order_status]]="completed",1,0)</f>
        <v>1</v>
      </c>
    </row>
    <row r="2139" spans="1:18" x14ac:dyDescent="0.35">
      <c r="A2139">
        <v>2138</v>
      </c>
      <c r="B2139" s="1">
        <v>45970</v>
      </c>
      <c r="C2139">
        <v>1970</v>
      </c>
      <c r="D2139" t="s">
        <v>41</v>
      </c>
      <c r="E2139" t="s">
        <v>23</v>
      </c>
      <c r="F2139" t="s">
        <v>24</v>
      </c>
      <c r="G2139">
        <v>5</v>
      </c>
      <c r="H2139">
        <v>3040</v>
      </c>
      <c r="I2139" t="s">
        <v>18</v>
      </c>
      <c r="J2139" t="s">
        <v>19</v>
      </c>
      <c r="K2139" t="s">
        <v>20</v>
      </c>
      <c r="L2139">
        <v>6</v>
      </c>
      <c r="M2139">
        <v>1</v>
      </c>
      <c r="N2139">
        <v>1</v>
      </c>
      <c r="O2139" t="s">
        <v>21</v>
      </c>
      <c r="P2139" t="str">
        <f>TEXT(Table1[[#This Row],[order_date]],"yyyy-mm")</f>
        <v>2025-11</v>
      </c>
      <c r="Q2139">
        <f>WEEKNUM(Table1[[#This Row],[order_date]])</f>
        <v>46</v>
      </c>
      <c r="R2139">
        <f>IF(Table1[[#This Row],[order_status]]="completed",1,0)</f>
        <v>1</v>
      </c>
    </row>
    <row r="2140" spans="1:18" x14ac:dyDescent="0.35">
      <c r="A2140">
        <v>2139</v>
      </c>
      <c r="B2140" s="1">
        <v>46020</v>
      </c>
      <c r="C2140">
        <v>1592</v>
      </c>
      <c r="D2140" t="s">
        <v>22</v>
      </c>
      <c r="E2140" t="s">
        <v>16</v>
      </c>
      <c r="F2140" t="s">
        <v>30</v>
      </c>
      <c r="G2140">
        <v>3</v>
      </c>
      <c r="H2140">
        <v>0</v>
      </c>
      <c r="I2140" t="s">
        <v>25</v>
      </c>
      <c r="J2140" t="s">
        <v>37</v>
      </c>
      <c r="K2140" t="s">
        <v>26</v>
      </c>
      <c r="L2140">
        <v>2</v>
      </c>
      <c r="M2140">
        <v>0</v>
      </c>
      <c r="N2140">
        <v>0</v>
      </c>
      <c r="O2140" t="s">
        <v>21</v>
      </c>
      <c r="P2140" t="str">
        <f>TEXT(Table1[[#This Row],[order_date]],"yyyy-mm")</f>
        <v>2025-12</v>
      </c>
      <c r="Q2140">
        <f>WEEKNUM(Table1[[#This Row],[order_date]])</f>
        <v>53</v>
      </c>
      <c r="R2140">
        <f>IF(Table1[[#This Row],[order_status]]="completed",1,0)</f>
        <v>0</v>
      </c>
    </row>
    <row r="2141" spans="1:18" x14ac:dyDescent="0.35">
      <c r="A2141">
        <v>2140</v>
      </c>
      <c r="B2141" s="1">
        <v>45881</v>
      </c>
      <c r="C2141">
        <v>1269</v>
      </c>
      <c r="D2141" t="s">
        <v>32</v>
      </c>
      <c r="E2141" t="s">
        <v>16</v>
      </c>
      <c r="F2141" t="s">
        <v>17</v>
      </c>
      <c r="G2141">
        <v>5</v>
      </c>
      <c r="H2141">
        <v>0</v>
      </c>
      <c r="I2141" t="s">
        <v>39</v>
      </c>
      <c r="J2141" t="s">
        <v>37</v>
      </c>
      <c r="K2141" t="s">
        <v>38</v>
      </c>
      <c r="L2141">
        <v>10</v>
      </c>
      <c r="M2141">
        <v>0</v>
      </c>
      <c r="N2141">
        <v>1</v>
      </c>
      <c r="O2141" t="s">
        <v>21</v>
      </c>
      <c r="P2141" t="str">
        <f>TEXT(Table1[[#This Row],[order_date]],"yyyy-mm")</f>
        <v>2025-08</v>
      </c>
      <c r="Q2141">
        <f>WEEKNUM(Table1[[#This Row],[order_date]])</f>
        <v>33</v>
      </c>
      <c r="R2141">
        <f>IF(Table1[[#This Row],[order_status]]="completed",1,0)</f>
        <v>0</v>
      </c>
    </row>
    <row r="2142" spans="1:18" x14ac:dyDescent="0.35">
      <c r="A2142">
        <v>2141</v>
      </c>
      <c r="B2142" s="1">
        <v>45919</v>
      </c>
      <c r="C2142">
        <v>1309</v>
      </c>
      <c r="D2142" t="s">
        <v>15</v>
      </c>
      <c r="E2142" t="s">
        <v>29</v>
      </c>
      <c r="F2142" t="s">
        <v>24</v>
      </c>
      <c r="G2142">
        <v>1</v>
      </c>
      <c r="H2142">
        <v>0</v>
      </c>
      <c r="I2142" t="s">
        <v>18</v>
      </c>
      <c r="J2142" t="s">
        <v>37</v>
      </c>
      <c r="K2142" t="s">
        <v>40</v>
      </c>
      <c r="L2142">
        <v>7</v>
      </c>
      <c r="M2142">
        <v>1</v>
      </c>
      <c r="N2142">
        <v>0</v>
      </c>
      <c r="O2142" t="s">
        <v>27</v>
      </c>
      <c r="P2142" t="str">
        <f>TEXT(Table1[[#This Row],[order_date]],"yyyy-mm")</f>
        <v>2025-09</v>
      </c>
      <c r="Q2142">
        <f>WEEKNUM(Table1[[#This Row],[order_date]])</f>
        <v>38</v>
      </c>
      <c r="R2142">
        <f>IF(Table1[[#This Row],[order_status]]="completed",1,0)</f>
        <v>0</v>
      </c>
    </row>
    <row r="2143" spans="1:18" x14ac:dyDescent="0.35">
      <c r="A2143">
        <v>2142</v>
      </c>
      <c r="B2143" s="1">
        <v>45923</v>
      </c>
      <c r="C2143">
        <v>1042</v>
      </c>
      <c r="D2143" t="s">
        <v>28</v>
      </c>
      <c r="E2143" t="s">
        <v>16</v>
      </c>
      <c r="F2143" t="s">
        <v>34</v>
      </c>
      <c r="G2143">
        <v>5</v>
      </c>
      <c r="H2143">
        <v>17295</v>
      </c>
      <c r="I2143" t="s">
        <v>25</v>
      </c>
      <c r="J2143" t="s">
        <v>19</v>
      </c>
      <c r="K2143" t="s">
        <v>26</v>
      </c>
      <c r="L2143">
        <v>7</v>
      </c>
      <c r="M2143">
        <v>0</v>
      </c>
      <c r="N2143">
        <v>0</v>
      </c>
      <c r="O2143" t="s">
        <v>21</v>
      </c>
      <c r="P2143" t="str">
        <f>TEXT(Table1[[#This Row],[order_date]],"yyyy-mm")</f>
        <v>2025-09</v>
      </c>
      <c r="Q2143">
        <f>WEEKNUM(Table1[[#This Row],[order_date]])</f>
        <v>39</v>
      </c>
      <c r="R2143">
        <f>IF(Table1[[#This Row],[order_status]]="completed",1,0)</f>
        <v>1</v>
      </c>
    </row>
    <row r="2144" spans="1:18" x14ac:dyDescent="0.35">
      <c r="A2144">
        <v>2143</v>
      </c>
      <c r="B2144" s="1">
        <v>45866</v>
      </c>
      <c r="C2144">
        <v>1153</v>
      </c>
      <c r="D2144" t="s">
        <v>32</v>
      </c>
      <c r="E2144" t="s">
        <v>33</v>
      </c>
      <c r="F2144" t="s">
        <v>17</v>
      </c>
      <c r="G2144">
        <v>2</v>
      </c>
      <c r="H2144">
        <v>1604</v>
      </c>
      <c r="I2144" t="s">
        <v>35</v>
      </c>
      <c r="J2144" t="s">
        <v>19</v>
      </c>
      <c r="K2144" t="s">
        <v>40</v>
      </c>
      <c r="L2144">
        <v>2</v>
      </c>
      <c r="M2144">
        <v>0</v>
      </c>
      <c r="N2144">
        <v>1</v>
      </c>
      <c r="O2144" t="s">
        <v>27</v>
      </c>
      <c r="P2144" t="str">
        <f>TEXT(Table1[[#This Row],[order_date]],"yyyy-mm")</f>
        <v>2025-07</v>
      </c>
      <c r="Q2144">
        <f>WEEKNUM(Table1[[#This Row],[order_date]])</f>
        <v>31</v>
      </c>
      <c r="R2144">
        <f>IF(Table1[[#This Row],[order_status]]="completed",1,0)</f>
        <v>1</v>
      </c>
    </row>
    <row r="2145" spans="1:18" x14ac:dyDescent="0.35">
      <c r="A2145">
        <v>2144</v>
      </c>
      <c r="B2145" s="1">
        <v>46000</v>
      </c>
      <c r="C2145">
        <v>1964</v>
      </c>
      <c r="D2145" t="s">
        <v>41</v>
      </c>
      <c r="E2145" t="s">
        <v>36</v>
      </c>
      <c r="F2145" t="s">
        <v>17</v>
      </c>
      <c r="G2145">
        <v>3</v>
      </c>
      <c r="H2145">
        <v>855</v>
      </c>
      <c r="I2145" t="s">
        <v>35</v>
      </c>
      <c r="J2145" t="s">
        <v>19</v>
      </c>
      <c r="K2145" t="s">
        <v>40</v>
      </c>
      <c r="L2145">
        <v>3</v>
      </c>
      <c r="M2145">
        <v>1</v>
      </c>
      <c r="N2145">
        <v>0</v>
      </c>
      <c r="O2145" t="s">
        <v>27</v>
      </c>
      <c r="P2145" t="str">
        <f>TEXT(Table1[[#This Row],[order_date]],"yyyy-mm")</f>
        <v>2025-12</v>
      </c>
      <c r="Q2145">
        <f>WEEKNUM(Table1[[#This Row],[order_date]])</f>
        <v>50</v>
      </c>
      <c r="R2145">
        <f>IF(Table1[[#This Row],[order_status]]="completed",1,0)</f>
        <v>1</v>
      </c>
    </row>
    <row r="2146" spans="1:18" x14ac:dyDescent="0.35">
      <c r="A2146">
        <v>2145</v>
      </c>
      <c r="B2146" s="1">
        <v>45866</v>
      </c>
      <c r="C2146">
        <v>1442</v>
      </c>
      <c r="D2146" t="s">
        <v>15</v>
      </c>
      <c r="E2146" t="s">
        <v>36</v>
      </c>
      <c r="F2146" t="s">
        <v>24</v>
      </c>
      <c r="G2146">
        <v>1</v>
      </c>
      <c r="H2146">
        <v>0</v>
      </c>
      <c r="I2146" t="s">
        <v>18</v>
      </c>
      <c r="J2146" t="s">
        <v>31</v>
      </c>
      <c r="K2146" t="s">
        <v>38</v>
      </c>
      <c r="L2146">
        <v>3</v>
      </c>
      <c r="M2146">
        <v>0</v>
      </c>
      <c r="N2146">
        <v>0</v>
      </c>
      <c r="O2146" t="s">
        <v>21</v>
      </c>
      <c r="P2146" t="str">
        <f>TEXT(Table1[[#This Row],[order_date]],"yyyy-mm")</f>
        <v>2025-07</v>
      </c>
      <c r="Q2146">
        <f>WEEKNUM(Table1[[#This Row],[order_date]])</f>
        <v>31</v>
      </c>
      <c r="R2146">
        <f>IF(Table1[[#This Row],[order_status]]="completed",1,0)</f>
        <v>0</v>
      </c>
    </row>
    <row r="2147" spans="1:18" x14ac:dyDescent="0.35">
      <c r="A2147">
        <v>2146</v>
      </c>
      <c r="B2147" s="1">
        <v>45933</v>
      </c>
      <c r="C2147">
        <v>1090</v>
      </c>
      <c r="D2147" t="s">
        <v>41</v>
      </c>
      <c r="E2147" t="s">
        <v>36</v>
      </c>
      <c r="F2147" t="s">
        <v>34</v>
      </c>
      <c r="G2147">
        <v>1</v>
      </c>
      <c r="H2147">
        <v>0</v>
      </c>
      <c r="I2147" t="s">
        <v>25</v>
      </c>
      <c r="J2147" t="s">
        <v>37</v>
      </c>
      <c r="K2147" t="s">
        <v>26</v>
      </c>
      <c r="L2147">
        <v>9</v>
      </c>
      <c r="M2147">
        <v>1</v>
      </c>
      <c r="N2147">
        <v>1</v>
      </c>
      <c r="O2147" t="s">
        <v>21</v>
      </c>
      <c r="P2147" t="str">
        <f>TEXT(Table1[[#This Row],[order_date]],"yyyy-mm")</f>
        <v>2025-10</v>
      </c>
      <c r="Q2147">
        <f>WEEKNUM(Table1[[#This Row],[order_date]])</f>
        <v>40</v>
      </c>
      <c r="R2147">
        <f>IF(Table1[[#This Row],[order_status]]="completed",1,0)</f>
        <v>0</v>
      </c>
    </row>
    <row r="2148" spans="1:18" x14ac:dyDescent="0.35">
      <c r="A2148">
        <v>2147</v>
      </c>
      <c r="B2148" s="1">
        <v>45983</v>
      </c>
      <c r="C2148">
        <v>1981</v>
      </c>
      <c r="D2148" t="s">
        <v>32</v>
      </c>
      <c r="E2148" t="s">
        <v>36</v>
      </c>
      <c r="F2148" t="s">
        <v>17</v>
      </c>
      <c r="G2148">
        <v>3</v>
      </c>
      <c r="H2148">
        <v>0</v>
      </c>
      <c r="I2148" t="s">
        <v>39</v>
      </c>
      <c r="J2148" t="s">
        <v>31</v>
      </c>
      <c r="K2148" t="s">
        <v>20</v>
      </c>
      <c r="L2148">
        <v>8</v>
      </c>
      <c r="M2148">
        <v>1</v>
      </c>
      <c r="N2148">
        <v>1</v>
      </c>
      <c r="O2148" t="s">
        <v>21</v>
      </c>
      <c r="P2148" t="str">
        <f>TEXT(Table1[[#This Row],[order_date]],"yyyy-mm")</f>
        <v>2025-11</v>
      </c>
      <c r="Q2148">
        <f>WEEKNUM(Table1[[#This Row],[order_date]])</f>
        <v>47</v>
      </c>
      <c r="R2148">
        <f>IF(Table1[[#This Row],[order_status]]="completed",1,0)</f>
        <v>0</v>
      </c>
    </row>
    <row r="2149" spans="1:18" x14ac:dyDescent="0.35">
      <c r="A2149">
        <v>2148</v>
      </c>
      <c r="B2149" s="1">
        <v>45929</v>
      </c>
      <c r="C2149">
        <v>1444</v>
      </c>
      <c r="D2149" t="s">
        <v>41</v>
      </c>
      <c r="E2149" t="s">
        <v>23</v>
      </c>
      <c r="F2149" t="s">
        <v>17</v>
      </c>
      <c r="G2149">
        <v>4</v>
      </c>
      <c r="H2149">
        <v>5320</v>
      </c>
      <c r="I2149" t="s">
        <v>39</v>
      </c>
      <c r="J2149" t="s">
        <v>19</v>
      </c>
      <c r="K2149" t="s">
        <v>38</v>
      </c>
      <c r="L2149">
        <v>8</v>
      </c>
      <c r="M2149">
        <v>1</v>
      </c>
      <c r="N2149">
        <v>0</v>
      </c>
      <c r="O2149" t="s">
        <v>21</v>
      </c>
      <c r="P2149" t="str">
        <f>TEXT(Table1[[#This Row],[order_date]],"yyyy-mm")</f>
        <v>2025-09</v>
      </c>
      <c r="Q2149">
        <f>WEEKNUM(Table1[[#This Row],[order_date]])</f>
        <v>40</v>
      </c>
      <c r="R2149">
        <f>IF(Table1[[#This Row],[order_status]]="completed",1,0)</f>
        <v>1</v>
      </c>
    </row>
    <row r="2150" spans="1:18" x14ac:dyDescent="0.35">
      <c r="A2150">
        <v>2149</v>
      </c>
      <c r="B2150" s="1">
        <v>46023</v>
      </c>
      <c r="C2150">
        <v>1020</v>
      </c>
      <c r="D2150" t="s">
        <v>28</v>
      </c>
      <c r="E2150" t="s">
        <v>23</v>
      </c>
      <c r="F2150" t="s">
        <v>17</v>
      </c>
      <c r="G2150">
        <v>5</v>
      </c>
      <c r="H2150">
        <v>8065</v>
      </c>
      <c r="I2150" t="s">
        <v>25</v>
      </c>
      <c r="J2150" t="s">
        <v>19</v>
      </c>
      <c r="K2150" t="s">
        <v>40</v>
      </c>
      <c r="L2150">
        <v>9</v>
      </c>
      <c r="M2150">
        <v>1</v>
      </c>
      <c r="N2150">
        <v>0</v>
      </c>
      <c r="O2150" t="s">
        <v>21</v>
      </c>
      <c r="P2150" t="str">
        <f>TEXT(Table1[[#This Row],[order_date]],"yyyy-mm")</f>
        <v>2026-01</v>
      </c>
      <c r="Q2150">
        <f>WEEKNUM(Table1[[#This Row],[order_date]])</f>
        <v>1</v>
      </c>
      <c r="R2150">
        <f>IF(Table1[[#This Row],[order_status]]="completed",1,0)</f>
        <v>1</v>
      </c>
    </row>
    <row r="2151" spans="1:18" x14ac:dyDescent="0.35">
      <c r="A2151">
        <v>2150</v>
      </c>
      <c r="B2151" s="1">
        <v>45892</v>
      </c>
      <c r="C2151">
        <v>1905</v>
      </c>
      <c r="D2151" t="s">
        <v>15</v>
      </c>
      <c r="E2151" t="s">
        <v>23</v>
      </c>
      <c r="F2151" t="s">
        <v>24</v>
      </c>
      <c r="G2151">
        <v>4</v>
      </c>
      <c r="H2151">
        <v>0</v>
      </c>
      <c r="I2151" t="s">
        <v>25</v>
      </c>
      <c r="J2151" t="s">
        <v>31</v>
      </c>
      <c r="K2151" t="s">
        <v>26</v>
      </c>
      <c r="L2151">
        <v>5</v>
      </c>
      <c r="M2151">
        <v>0</v>
      </c>
      <c r="N2151">
        <v>1</v>
      </c>
      <c r="O2151" t="s">
        <v>27</v>
      </c>
      <c r="P2151" t="str">
        <f>TEXT(Table1[[#This Row],[order_date]],"yyyy-mm")</f>
        <v>2025-08</v>
      </c>
      <c r="Q2151">
        <f>WEEKNUM(Table1[[#This Row],[order_date]])</f>
        <v>34</v>
      </c>
      <c r="R2151">
        <f>IF(Table1[[#This Row],[order_status]]="completed",1,0)</f>
        <v>0</v>
      </c>
    </row>
    <row r="2152" spans="1:18" x14ac:dyDescent="0.35">
      <c r="A2152">
        <v>2151</v>
      </c>
      <c r="B2152" s="1">
        <v>45964</v>
      </c>
      <c r="C2152">
        <v>1651</v>
      </c>
      <c r="D2152" t="s">
        <v>32</v>
      </c>
      <c r="E2152" t="s">
        <v>36</v>
      </c>
      <c r="F2152" t="s">
        <v>30</v>
      </c>
      <c r="G2152">
        <v>2</v>
      </c>
      <c r="H2152">
        <v>0</v>
      </c>
      <c r="I2152" t="s">
        <v>35</v>
      </c>
      <c r="J2152" t="s">
        <v>31</v>
      </c>
      <c r="K2152" t="s">
        <v>38</v>
      </c>
      <c r="L2152">
        <v>1</v>
      </c>
      <c r="M2152">
        <v>1</v>
      </c>
      <c r="N2152">
        <v>1</v>
      </c>
      <c r="O2152" t="s">
        <v>21</v>
      </c>
      <c r="P2152" t="str">
        <f>TEXT(Table1[[#This Row],[order_date]],"yyyy-mm")</f>
        <v>2025-11</v>
      </c>
      <c r="Q2152">
        <f>WEEKNUM(Table1[[#This Row],[order_date]])</f>
        <v>45</v>
      </c>
      <c r="R2152">
        <f>IF(Table1[[#This Row],[order_status]]="completed",1,0)</f>
        <v>0</v>
      </c>
    </row>
    <row r="2153" spans="1:18" x14ac:dyDescent="0.35">
      <c r="A2153">
        <v>2152</v>
      </c>
      <c r="B2153" s="1">
        <v>46011</v>
      </c>
      <c r="C2153">
        <v>1352</v>
      </c>
      <c r="D2153" t="s">
        <v>15</v>
      </c>
      <c r="E2153" t="s">
        <v>23</v>
      </c>
      <c r="F2153" t="s">
        <v>17</v>
      </c>
      <c r="G2153">
        <v>5</v>
      </c>
      <c r="H2153">
        <v>0</v>
      </c>
      <c r="I2153" t="s">
        <v>18</v>
      </c>
      <c r="J2153" t="s">
        <v>31</v>
      </c>
      <c r="K2153" t="s">
        <v>26</v>
      </c>
      <c r="L2153">
        <v>2</v>
      </c>
      <c r="M2153">
        <v>0</v>
      </c>
      <c r="N2153">
        <v>1</v>
      </c>
      <c r="O2153" t="s">
        <v>21</v>
      </c>
      <c r="P2153" t="str">
        <f>TEXT(Table1[[#This Row],[order_date]],"yyyy-mm")</f>
        <v>2025-12</v>
      </c>
      <c r="Q2153">
        <f>WEEKNUM(Table1[[#This Row],[order_date]])</f>
        <v>51</v>
      </c>
      <c r="R2153">
        <f>IF(Table1[[#This Row],[order_status]]="completed",1,0)</f>
        <v>0</v>
      </c>
    </row>
    <row r="2154" spans="1:18" x14ac:dyDescent="0.35">
      <c r="A2154">
        <v>2153</v>
      </c>
      <c r="B2154" s="1">
        <v>45953</v>
      </c>
      <c r="C2154">
        <v>1525</v>
      </c>
      <c r="D2154" t="s">
        <v>22</v>
      </c>
      <c r="E2154" t="s">
        <v>33</v>
      </c>
      <c r="F2154" t="s">
        <v>30</v>
      </c>
      <c r="G2154">
        <v>3</v>
      </c>
      <c r="H2154">
        <v>0</v>
      </c>
      <c r="I2154" t="s">
        <v>18</v>
      </c>
      <c r="J2154" t="s">
        <v>31</v>
      </c>
      <c r="K2154" t="s">
        <v>20</v>
      </c>
      <c r="L2154">
        <v>9</v>
      </c>
      <c r="M2154">
        <v>0</v>
      </c>
      <c r="N2154">
        <v>1</v>
      </c>
      <c r="O2154" t="s">
        <v>27</v>
      </c>
      <c r="P2154" t="str">
        <f>TEXT(Table1[[#This Row],[order_date]],"yyyy-mm")</f>
        <v>2025-10</v>
      </c>
      <c r="Q2154">
        <f>WEEKNUM(Table1[[#This Row],[order_date]])</f>
        <v>43</v>
      </c>
      <c r="R2154">
        <f>IF(Table1[[#This Row],[order_status]]="completed",1,0)</f>
        <v>0</v>
      </c>
    </row>
    <row r="2155" spans="1:18" x14ac:dyDescent="0.35">
      <c r="A2155">
        <v>2154</v>
      </c>
      <c r="B2155" s="1">
        <v>45968</v>
      </c>
      <c r="C2155">
        <v>1800</v>
      </c>
      <c r="D2155" t="s">
        <v>32</v>
      </c>
      <c r="E2155" t="s">
        <v>16</v>
      </c>
      <c r="F2155" t="s">
        <v>34</v>
      </c>
      <c r="G2155">
        <v>1</v>
      </c>
      <c r="H2155">
        <v>0</v>
      </c>
      <c r="I2155" t="s">
        <v>25</v>
      </c>
      <c r="J2155" t="s">
        <v>37</v>
      </c>
      <c r="K2155" t="s">
        <v>40</v>
      </c>
      <c r="L2155">
        <v>8</v>
      </c>
      <c r="M2155">
        <v>1</v>
      </c>
      <c r="N2155">
        <v>1</v>
      </c>
      <c r="O2155" t="s">
        <v>21</v>
      </c>
      <c r="P2155" t="str">
        <f>TEXT(Table1[[#This Row],[order_date]],"yyyy-mm")</f>
        <v>2025-11</v>
      </c>
      <c r="Q2155">
        <f>WEEKNUM(Table1[[#This Row],[order_date]])</f>
        <v>45</v>
      </c>
      <c r="R2155">
        <f>IF(Table1[[#This Row],[order_status]]="completed",1,0)</f>
        <v>0</v>
      </c>
    </row>
    <row r="2156" spans="1:18" x14ac:dyDescent="0.35">
      <c r="A2156">
        <v>2155</v>
      </c>
      <c r="B2156" s="1">
        <v>45969</v>
      </c>
      <c r="C2156">
        <v>1904</v>
      </c>
      <c r="D2156" t="s">
        <v>41</v>
      </c>
      <c r="E2156" t="s">
        <v>29</v>
      </c>
      <c r="F2156" t="s">
        <v>34</v>
      </c>
      <c r="G2156">
        <v>2</v>
      </c>
      <c r="H2156">
        <v>7512</v>
      </c>
      <c r="I2156" t="s">
        <v>39</v>
      </c>
      <c r="J2156" t="s">
        <v>19</v>
      </c>
      <c r="K2156" t="s">
        <v>26</v>
      </c>
      <c r="L2156">
        <v>3</v>
      </c>
      <c r="M2156">
        <v>1</v>
      </c>
      <c r="N2156">
        <v>1</v>
      </c>
      <c r="O2156" t="s">
        <v>21</v>
      </c>
      <c r="P2156" t="str">
        <f>TEXT(Table1[[#This Row],[order_date]],"yyyy-mm")</f>
        <v>2025-11</v>
      </c>
      <c r="Q2156">
        <f>WEEKNUM(Table1[[#This Row],[order_date]])</f>
        <v>45</v>
      </c>
      <c r="R2156">
        <f>IF(Table1[[#This Row],[order_status]]="completed",1,0)</f>
        <v>1</v>
      </c>
    </row>
    <row r="2157" spans="1:18" x14ac:dyDescent="0.35">
      <c r="A2157">
        <v>2156</v>
      </c>
      <c r="B2157" s="1">
        <v>45856</v>
      </c>
      <c r="C2157">
        <v>1756</v>
      </c>
      <c r="D2157" t="s">
        <v>15</v>
      </c>
      <c r="E2157" t="s">
        <v>33</v>
      </c>
      <c r="F2157" t="s">
        <v>30</v>
      </c>
      <c r="G2157">
        <v>2</v>
      </c>
      <c r="H2157">
        <v>0</v>
      </c>
      <c r="I2157" t="s">
        <v>25</v>
      </c>
      <c r="J2157" t="s">
        <v>37</v>
      </c>
      <c r="K2157" t="s">
        <v>26</v>
      </c>
      <c r="L2157">
        <v>1</v>
      </c>
      <c r="M2157">
        <v>1</v>
      </c>
      <c r="N2157">
        <v>0</v>
      </c>
      <c r="O2157" t="s">
        <v>27</v>
      </c>
      <c r="P2157" t="str">
        <f>TEXT(Table1[[#This Row],[order_date]],"yyyy-mm")</f>
        <v>2025-07</v>
      </c>
      <c r="Q2157">
        <f>WEEKNUM(Table1[[#This Row],[order_date]])</f>
        <v>29</v>
      </c>
      <c r="R2157">
        <f>IF(Table1[[#This Row],[order_status]]="completed",1,0)</f>
        <v>0</v>
      </c>
    </row>
    <row r="2158" spans="1:18" x14ac:dyDescent="0.35">
      <c r="A2158">
        <v>2157</v>
      </c>
      <c r="B2158" s="1">
        <v>46020</v>
      </c>
      <c r="C2158">
        <v>1086</v>
      </c>
      <c r="D2158" t="s">
        <v>22</v>
      </c>
      <c r="E2158" t="s">
        <v>36</v>
      </c>
      <c r="F2158" t="s">
        <v>34</v>
      </c>
      <c r="G2158">
        <v>1</v>
      </c>
      <c r="H2158">
        <v>4166</v>
      </c>
      <c r="I2158" t="s">
        <v>39</v>
      </c>
      <c r="J2158" t="s">
        <v>19</v>
      </c>
      <c r="K2158" t="s">
        <v>40</v>
      </c>
      <c r="L2158">
        <v>6</v>
      </c>
      <c r="M2158">
        <v>0</v>
      </c>
      <c r="N2158">
        <v>1</v>
      </c>
      <c r="O2158" t="s">
        <v>27</v>
      </c>
      <c r="P2158" t="str">
        <f>TEXT(Table1[[#This Row],[order_date]],"yyyy-mm")</f>
        <v>2025-12</v>
      </c>
      <c r="Q2158">
        <f>WEEKNUM(Table1[[#This Row],[order_date]])</f>
        <v>53</v>
      </c>
      <c r="R2158">
        <f>IF(Table1[[#This Row],[order_status]]="completed",1,0)</f>
        <v>1</v>
      </c>
    </row>
    <row r="2159" spans="1:18" x14ac:dyDescent="0.35">
      <c r="A2159">
        <v>2158</v>
      </c>
      <c r="B2159" s="1">
        <v>45928</v>
      </c>
      <c r="C2159">
        <v>1740</v>
      </c>
      <c r="D2159" t="s">
        <v>41</v>
      </c>
      <c r="E2159" t="s">
        <v>23</v>
      </c>
      <c r="F2159" t="s">
        <v>34</v>
      </c>
      <c r="G2159">
        <v>2</v>
      </c>
      <c r="H2159">
        <v>0</v>
      </c>
      <c r="I2159" t="s">
        <v>25</v>
      </c>
      <c r="J2159" t="s">
        <v>31</v>
      </c>
      <c r="K2159" t="s">
        <v>26</v>
      </c>
      <c r="L2159">
        <v>8</v>
      </c>
      <c r="M2159">
        <v>1</v>
      </c>
      <c r="N2159">
        <v>1</v>
      </c>
      <c r="O2159" t="s">
        <v>27</v>
      </c>
      <c r="P2159" t="str">
        <f>TEXT(Table1[[#This Row],[order_date]],"yyyy-mm")</f>
        <v>2025-09</v>
      </c>
      <c r="Q2159">
        <f>WEEKNUM(Table1[[#This Row],[order_date]])</f>
        <v>40</v>
      </c>
      <c r="R2159">
        <f>IF(Table1[[#This Row],[order_status]]="completed",1,0)</f>
        <v>0</v>
      </c>
    </row>
    <row r="2160" spans="1:18" x14ac:dyDescent="0.35">
      <c r="A2160">
        <v>2159</v>
      </c>
      <c r="B2160" s="1">
        <v>45864</v>
      </c>
      <c r="C2160">
        <v>1529</v>
      </c>
      <c r="D2160" t="s">
        <v>28</v>
      </c>
      <c r="E2160" t="s">
        <v>33</v>
      </c>
      <c r="F2160" t="s">
        <v>34</v>
      </c>
      <c r="G2160">
        <v>5</v>
      </c>
      <c r="H2160">
        <v>0</v>
      </c>
      <c r="I2160" t="s">
        <v>18</v>
      </c>
      <c r="J2160" t="s">
        <v>37</v>
      </c>
      <c r="K2160" t="s">
        <v>38</v>
      </c>
      <c r="L2160">
        <v>2</v>
      </c>
      <c r="M2160">
        <v>0</v>
      </c>
      <c r="N2160">
        <v>0</v>
      </c>
      <c r="O2160" t="s">
        <v>21</v>
      </c>
      <c r="P2160" t="str">
        <f>TEXT(Table1[[#This Row],[order_date]],"yyyy-mm")</f>
        <v>2025-07</v>
      </c>
      <c r="Q2160">
        <f>WEEKNUM(Table1[[#This Row],[order_date]])</f>
        <v>30</v>
      </c>
      <c r="R2160">
        <f>IF(Table1[[#This Row],[order_status]]="completed",1,0)</f>
        <v>0</v>
      </c>
    </row>
    <row r="2161" spans="1:18" x14ac:dyDescent="0.35">
      <c r="A2161">
        <v>2160</v>
      </c>
      <c r="B2161" s="1">
        <v>46015</v>
      </c>
      <c r="C2161">
        <v>1924</v>
      </c>
      <c r="D2161" t="s">
        <v>32</v>
      </c>
      <c r="E2161" t="s">
        <v>16</v>
      </c>
      <c r="F2161" t="s">
        <v>17</v>
      </c>
      <c r="G2161">
        <v>3</v>
      </c>
      <c r="H2161">
        <v>882</v>
      </c>
      <c r="I2161" t="s">
        <v>25</v>
      </c>
      <c r="J2161" t="s">
        <v>19</v>
      </c>
      <c r="K2161" t="s">
        <v>20</v>
      </c>
      <c r="L2161">
        <v>9</v>
      </c>
      <c r="M2161">
        <v>1</v>
      </c>
      <c r="N2161">
        <v>1</v>
      </c>
      <c r="O2161" t="s">
        <v>27</v>
      </c>
      <c r="P2161" t="str">
        <f>TEXT(Table1[[#This Row],[order_date]],"yyyy-mm")</f>
        <v>2025-12</v>
      </c>
      <c r="Q2161">
        <f>WEEKNUM(Table1[[#This Row],[order_date]])</f>
        <v>52</v>
      </c>
      <c r="R2161">
        <f>IF(Table1[[#This Row],[order_status]]="completed",1,0)</f>
        <v>1</v>
      </c>
    </row>
    <row r="2162" spans="1:18" x14ac:dyDescent="0.35">
      <c r="A2162">
        <v>2161</v>
      </c>
      <c r="B2162" s="1">
        <v>45992</v>
      </c>
      <c r="C2162">
        <v>1689</v>
      </c>
      <c r="D2162" t="s">
        <v>15</v>
      </c>
      <c r="E2162" t="s">
        <v>23</v>
      </c>
      <c r="F2162" t="s">
        <v>30</v>
      </c>
      <c r="G2162">
        <v>4</v>
      </c>
      <c r="H2162">
        <v>0</v>
      </c>
      <c r="I2162" t="s">
        <v>39</v>
      </c>
      <c r="J2162" t="s">
        <v>31</v>
      </c>
      <c r="K2162" t="s">
        <v>40</v>
      </c>
      <c r="L2162">
        <v>1</v>
      </c>
      <c r="M2162">
        <v>0</v>
      </c>
      <c r="N2162">
        <v>0</v>
      </c>
      <c r="O2162" t="s">
        <v>27</v>
      </c>
      <c r="P2162" t="str">
        <f>TEXT(Table1[[#This Row],[order_date]],"yyyy-mm")</f>
        <v>2025-12</v>
      </c>
      <c r="Q2162">
        <f>WEEKNUM(Table1[[#This Row],[order_date]])</f>
        <v>49</v>
      </c>
      <c r="R2162">
        <f>IF(Table1[[#This Row],[order_status]]="completed",1,0)</f>
        <v>0</v>
      </c>
    </row>
    <row r="2163" spans="1:18" x14ac:dyDescent="0.35">
      <c r="A2163">
        <v>2162</v>
      </c>
      <c r="B2163" s="1">
        <v>45936</v>
      </c>
      <c r="C2163">
        <v>1204</v>
      </c>
      <c r="D2163" t="s">
        <v>32</v>
      </c>
      <c r="E2163" t="s">
        <v>16</v>
      </c>
      <c r="F2163" t="s">
        <v>24</v>
      </c>
      <c r="G2163">
        <v>3</v>
      </c>
      <c r="H2163">
        <v>8421</v>
      </c>
      <c r="I2163" t="s">
        <v>18</v>
      </c>
      <c r="J2163" t="s">
        <v>19</v>
      </c>
      <c r="K2163" t="s">
        <v>40</v>
      </c>
      <c r="L2163">
        <v>2</v>
      </c>
      <c r="M2163">
        <v>1</v>
      </c>
      <c r="N2163">
        <v>1</v>
      </c>
      <c r="O2163" t="s">
        <v>27</v>
      </c>
      <c r="P2163" t="str">
        <f>TEXT(Table1[[#This Row],[order_date]],"yyyy-mm")</f>
        <v>2025-10</v>
      </c>
      <c r="Q2163">
        <f>WEEKNUM(Table1[[#This Row],[order_date]])</f>
        <v>41</v>
      </c>
      <c r="R2163">
        <f>IF(Table1[[#This Row],[order_status]]="completed",1,0)</f>
        <v>1</v>
      </c>
    </row>
    <row r="2164" spans="1:18" x14ac:dyDescent="0.35">
      <c r="A2164">
        <v>2163</v>
      </c>
      <c r="B2164" s="1">
        <v>45901</v>
      </c>
      <c r="C2164">
        <v>1711</v>
      </c>
      <c r="D2164" t="s">
        <v>41</v>
      </c>
      <c r="E2164" t="s">
        <v>33</v>
      </c>
      <c r="F2164" t="s">
        <v>34</v>
      </c>
      <c r="G2164">
        <v>2</v>
      </c>
      <c r="H2164">
        <v>6954</v>
      </c>
      <c r="I2164" t="s">
        <v>18</v>
      </c>
      <c r="J2164" t="s">
        <v>19</v>
      </c>
      <c r="K2164" t="s">
        <v>40</v>
      </c>
      <c r="L2164">
        <v>7</v>
      </c>
      <c r="M2164">
        <v>1</v>
      </c>
      <c r="N2164">
        <v>0</v>
      </c>
      <c r="O2164" t="s">
        <v>21</v>
      </c>
      <c r="P2164" t="str">
        <f>TEXT(Table1[[#This Row],[order_date]],"yyyy-mm")</f>
        <v>2025-09</v>
      </c>
      <c r="Q2164">
        <f>WEEKNUM(Table1[[#This Row],[order_date]])</f>
        <v>36</v>
      </c>
      <c r="R2164">
        <f>IF(Table1[[#This Row],[order_status]]="completed",1,0)</f>
        <v>1</v>
      </c>
    </row>
    <row r="2165" spans="1:18" x14ac:dyDescent="0.35">
      <c r="A2165">
        <v>2164</v>
      </c>
      <c r="B2165" s="1">
        <v>45946</v>
      </c>
      <c r="C2165">
        <v>1505</v>
      </c>
      <c r="D2165" t="s">
        <v>28</v>
      </c>
      <c r="E2165" t="s">
        <v>33</v>
      </c>
      <c r="F2165" t="s">
        <v>24</v>
      </c>
      <c r="G2165">
        <v>1</v>
      </c>
      <c r="H2165">
        <v>0</v>
      </c>
      <c r="I2165" t="s">
        <v>25</v>
      </c>
      <c r="J2165" t="s">
        <v>31</v>
      </c>
      <c r="K2165" t="s">
        <v>40</v>
      </c>
      <c r="L2165">
        <v>6</v>
      </c>
      <c r="M2165">
        <v>1</v>
      </c>
      <c r="N2165">
        <v>0</v>
      </c>
      <c r="O2165" t="s">
        <v>21</v>
      </c>
      <c r="P2165" t="str">
        <f>TEXT(Table1[[#This Row],[order_date]],"yyyy-mm")</f>
        <v>2025-10</v>
      </c>
      <c r="Q2165">
        <f>WEEKNUM(Table1[[#This Row],[order_date]])</f>
        <v>42</v>
      </c>
      <c r="R2165">
        <f>IF(Table1[[#This Row],[order_status]]="completed",1,0)</f>
        <v>0</v>
      </c>
    </row>
    <row r="2166" spans="1:18" x14ac:dyDescent="0.35">
      <c r="A2166">
        <v>2165</v>
      </c>
      <c r="B2166" s="1">
        <v>45869</v>
      </c>
      <c r="C2166">
        <v>1655</v>
      </c>
      <c r="D2166" t="s">
        <v>32</v>
      </c>
      <c r="E2166" t="s">
        <v>16</v>
      </c>
      <c r="F2166" t="s">
        <v>17</v>
      </c>
      <c r="G2166">
        <v>3</v>
      </c>
      <c r="H2166">
        <v>11925</v>
      </c>
      <c r="I2166" t="s">
        <v>18</v>
      </c>
      <c r="J2166" t="s">
        <v>19</v>
      </c>
      <c r="K2166" t="s">
        <v>38</v>
      </c>
      <c r="L2166">
        <v>8</v>
      </c>
      <c r="M2166">
        <v>1</v>
      </c>
      <c r="N2166">
        <v>0</v>
      </c>
      <c r="O2166" t="s">
        <v>27</v>
      </c>
      <c r="P2166" t="str">
        <f>TEXT(Table1[[#This Row],[order_date]],"yyyy-mm")</f>
        <v>2025-07</v>
      </c>
      <c r="Q2166">
        <f>WEEKNUM(Table1[[#This Row],[order_date]])</f>
        <v>31</v>
      </c>
      <c r="R2166">
        <f>IF(Table1[[#This Row],[order_status]]="completed",1,0)</f>
        <v>1</v>
      </c>
    </row>
    <row r="2167" spans="1:18" x14ac:dyDescent="0.35">
      <c r="A2167">
        <v>2166</v>
      </c>
      <c r="B2167" s="1">
        <v>46029</v>
      </c>
      <c r="C2167">
        <v>1200</v>
      </c>
      <c r="D2167" t="s">
        <v>32</v>
      </c>
      <c r="E2167" t="s">
        <v>33</v>
      </c>
      <c r="F2167" t="s">
        <v>24</v>
      </c>
      <c r="G2167">
        <v>2</v>
      </c>
      <c r="H2167">
        <v>8700</v>
      </c>
      <c r="I2167" t="s">
        <v>39</v>
      </c>
      <c r="J2167" t="s">
        <v>19</v>
      </c>
      <c r="K2167" t="s">
        <v>40</v>
      </c>
      <c r="L2167">
        <v>8</v>
      </c>
      <c r="M2167">
        <v>1</v>
      </c>
      <c r="N2167">
        <v>0</v>
      </c>
      <c r="O2167" t="s">
        <v>21</v>
      </c>
      <c r="P2167" t="str">
        <f>TEXT(Table1[[#This Row],[order_date]],"yyyy-mm")</f>
        <v>2026-01</v>
      </c>
      <c r="Q2167">
        <f>WEEKNUM(Table1[[#This Row],[order_date]])</f>
        <v>2</v>
      </c>
      <c r="R2167">
        <f>IF(Table1[[#This Row],[order_status]]="completed",1,0)</f>
        <v>1</v>
      </c>
    </row>
    <row r="2168" spans="1:18" x14ac:dyDescent="0.35">
      <c r="A2168">
        <v>2167</v>
      </c>
      <c r="B2168" s="1">
        <v>45895</v>
      </c>
      <c r="C2168">
        <v>1702</v>
      </c>
      <c r="D2168" t="s">
        <v>32</v>
      </c>
      <c r="E2168" t="s">
        <v>16</v>
      </c>
      <c r="F2168" t="s">
        <v>24</v>
      </c>
      <c r="G2168">
        <v>1</v>
      </c>
      <c r="H2168">
        <v>0</v>
      </c>
      <c r="I2168" t="s">
        <v>25</v>
      </c>
      <c r="J2168" t="s">
        <v>37</v>
      </c>
      <c r="K2168" t="s">
        <v>38</v>
      </c>
      <c r="L2168">
        <v>8</v>
      </c>
      <c r="M2168">
        <v>1</v>
      </c>
      <c r="N2168">
        <v>1</v>
      </c>
      <c r="O2168" t="s">
        <v>27</v>
      </c>
      <c r="P2168" t="str">
        <f>TEXT(Table1[[#This Row],[order_date]],"yyyy-mm")</f>
        <v>2025-08</v>
      </c>
      <c r="Q2168">
        <f>WEEKNUM(Table1[[#This Row],[order_date]])</f>
        <v>35</v>
      </c>
      <c r="R2168">
        <f>IF(Table1[[#This Row],[order_status]]="completed",1,0)</f>
        <v>0</v>
      </c>
    </row>
    <row r="2169" spans="1:18" x14ac:dyDescent="0.35">
      <c r="A2169">
        <v>2168</v>
      </c>
      <c r="B2169" s="1">
        <v>45896</v>
      </c>
      <c r="C2169">
        <v>1321</v>
      </c>
      <c r="D2169" t="s">
        <v>32</v>
      </c>
      <c r="E2169" t="s">
        <v>29</v>
      </c>
      <c r="F2169" t="s">
        <v>24</v>
      </c>
      <c r="G2169">
        <v>5</v>
      </c>
      <c r="H2169">
        <v>6495</v>
      </c>
      <c r="I2169" t="s">
        <v>25</v>
      </c>
      <c r="J2169" t="s">
        <v>19</v>
      </c>
      <c r="K2169" t="s">
        <v>40</v>
      </c>
      <c r="L2169">
        <v>3</v>
      </c>
      <c r="M2169">
        <v>1</v>
      </c>
      <c r="N2169">
        <v>0</v>
      </c>
      <c r="O2169" t="s">
        <v>27</v>
      </c>
      <c r="P2169" t="str">
        <f>TEXT(Table1[[#This Row],[order_date]],"yyyy-mm")</f>
        <v>2025-08</v>
      </c>
      <c r="Q2169">
        <f>WEEKNUM(Table1[[#This Row],[order_date]])</f>
        <v>35</v>
      </c>
      <c r="R2169">
        <f>IF(Table1[[#This Row],[order_status]]="completed",1,0)</f>
        <v>1</v>
      </c>
    </row>
    <row r="2170" spans="1:18" x14ac:dyDescent="0.35">
      <c r="A2170">
        <v>2169</v>
      </c>
      <c r="B2170" s="1">
        <v>46022</v>
      </c>
      <c r="C2170">
        <v>1087</v>
      </c>
      <c r="D2170" t="s">
        <v>32</v>
      </c>
      <c r="E2170" t="s">
        <v>16</v>
      </c>
      <c r="F2170" t="s">
        <v>30</v>
      </c>
      <c r="G2170">
        <v>4</v>
      </c>
      <c r="H2170">
        <v>13036</v>
      </c>
      <c r="I2170" t="s">
        <v>18</v>
      </c>
      <c r="J2170" t="s">
        <v>19</v>
      </c>
      <c r="K2170" t="s">
        <v>40</v>
      </c>
      <c r="L2170">
        <v>10</v>
      </c>
      <c r="M2170">
        <v>0</v>
      </c>
      <c r="N2170">
        <v>0</v>
      </c>
      <c r="O2170" t="s">
        <v>21</v>
      </c>
      <c r="P2170" t="str">
        <f>TEXT(Table1[[#This Row],[order_date]],"yyyy-mm")</f>
        <v>2025-12</v>
      </c>
      <c r="Q2170">
        <f>WEEKNUM(Table1[[#This Row],[order_date]])</f>
        <v>53</v>
      </c>
      <c r="R2170">
        <f>IF(Table1[[#This Row],[order_status]]="completed",1,0)</f>
        <v>1</v>
      </c>
    </row>
    <row r="2171" spans="1:18" x14ac:dyDescent="0.35">
      <c r="A2171">
        <v>2170</v>
      </c>
      <c r="B2171" s="1">
        <v>46020</v>
      </c>
      <c r="C2171">
        <v>1534</v>
      </c>
      <c r="D2171" t="s">
        <v>41</v>
      </c>
      <c r="E2171" t="s">
        <v>29</v>
      </c>
      <c r="F2171" t="s">
        <v>34</v>
      </c>
      <c r="G2171">
        <v>5</v>
      </c>
      <c r="H2171">
        <v>0</v>
      </c>
      <c r="I2171" t="s">
        <v>18</v>
      </c>
      <c r="J2171" t="s">
        <v>37</v>
      </c>
      <c r="K2171" t="s">
        <v>20</v>
      </c>
      <c r="L2171">
        <v>3</v>
      </c>
      <c r="M2171">
        <v>0</v>
      </c>
      <c r="N2171">
        <v>0</v>
      </c>
      <c r="O2171" t="s">
        <v>21</v>
      </c>
      <c r="P2171" t="str">
        <f>TEXT(Table1[[#This Row],[order_date]],"yyyy-mm")</f>
        <v>2025-12</v>
      </c>
      <c r="Q2171">
        <f>WEEKNUM(Table1[[#This Row],[order_date]])</f>
        <v>53</v>
      </c>
      <c r="R2171">
        <f>IF(Table1[[#This Row],[order_status]]="completed",1,0)</f>
        <v>0</v>
      </c>
    </row>
    <row r="2172" spans="1:18" x14ac:dyDescent="0.35">
      <c r="A2172">
        <v>2171</v>
      </c>
      <c r="B2172" s="1">
        <v>45946</v>
      </c>
      <c r="C2172">
        <v>1515</v>
      </c>
      <c r="D2172" t="s">
        <v>15</v>
      </c>
      <c r="E2172" t="s">
        <v>36</v>
      </c>
      <c r="F2172" t="s">
        <v>24</v>
      </c>
      <c r="G2172">
        <v>5</v>
      </c>
      <c r="H2172">
        <v>0</v>
      </c>
      <c r="I2172" t="s">
        <v>18</v>
      </c>
      <c r="J2172" t="s">
        <v>31</v>
      </c>
      <c r="K2172" t="s">
        <v>26</v>
      </c>
      <c r="L2172">
        <v>8</v>
      </c>
      <c r="M2172">
        <v>0</v>
      </c>
      <c r="N2172">
        <v>1</v>
      </c>
      <c r="O2172" t="s">
        <v>21</v>
      </c>
      <c r="P2172" t="str">
        <f>TEXT(Table1[[#This Row],[order_date]],"yyyy-mm")</f>
        <v>2025-10</v>
      </c>
      <c r="Q2172">
        <f>WEEKNUM(Table1[[#This Row],[order_date]])</f>
        <v>42</v>
      </c>
      <c r="R2172">
        <f>IF(Table1[[#This Row],[order_status]]="completed",1,0)</f>
        <v>0</v>
      </c>
    </row>
    <row r="2173" spans="1:18" x14ac:dyDescent="0.35">
      <c r="A2173">
        <v>2172</v>
      </c>
      <c r="B2173" s="1">
        <v>45942</v>
      </c>
      <c r="C2173">
        <v>1187</v>
      </c>
      <c r="D2173" t="s">
        <v>22</v>
      </c>
      <c r="E2173" t="s">
        <v>23</v>
      </c>
      <c r="F2173" t="s">
        <v>24</v>
      </c>
      <c r="G2173">
        <v>2</v>
      </c>
      <c r="H2173">
        <v>0</v>
      </c>
      <c r="I2173" t="s">
        <v>39</v>
      </c>
      <c r="J2173" t="s">
        <v>31</v>
      </c>
      <c r="K2173" t="s">
        <v>38</v>
      </c>
      <c r="L2173">
        <v>10</v>
      </c>
      <c r="M2173">
        <v>0</v>
      </c>
      <c r="N2173">
        <v>0</v>
      </c>
      <c r="O2173" t="s">
        <v>27</v>
      </c>
      <c r="P2173" t="str">
        <f>TEXT(Table1[[#This Row],[order_date]],"yyyy-mm")</f>
        <v>2025-10</v>
      </c>
      <c r="Q2173">
        <f>WEEKNUM(Table1[[#This Row],[order_date]])</f>
        <v>42</v>
      </c>
      <c r="R2173">
        <f>IF(Table1[[#This Row],[order_status]]="completed",1,0)</f>
        <v>0</v>
      </c>
    </row>
    <row r="2174" spans="1:18" x14ac:dyDescent="0.35">
      <c r="A2174">
        <v>2173</v>
      </c>
      <c r="B2174" s="1">
        <v>45879</v>
      </c>
      <c r="C2174">
        <v>1357</v>
      </c>
      <c r="D2174" t="s">
        <v>32</v>
      </c>
      <c r="E2174" t="s">
        <v>23</v>
      </c>
      <c r="F2174" t="s">
        <v>24</v>
      </c>
      <c r="G2174">
        <v>2</v>
      </c>
      <c r="H2174">
        <v>6002</v>
      </c>
      <c r="I2174" t="s">
        <v>35</v>
      </c>
      <c r="J2174" t="s">
        <v>19</v>
      </c>
      <c r="K2174" t="s">
        <v>38</v>
      </c>
      <c r="L2174">
        <v>9</v>
      </c>
      <c r="M2174">
        <v>0</v>
      </c>
      <c r="N2174">
        <v>0</v>
      </c>
      <c r="O2174" t="s">
        <v>21</v>
      </c>
      <c r="P2174" t="str">
        <f>TEXT(Table1[[#This Row],[order_date]],"yyyy-mm")</f>
        <v>2025-08</v>
      </c>
      <c r="Q2174">
        <f>WEEKNUM(Table1[[#This Row],[order_date]])</f>
        <v>33</v>
      </c>
      <c r="R2174">
        <f>IF(Table1[[#This Row],[order_status]]="completed",1,0)</f>
        <v>1</v>
      </c>
    </row>
    <row r="2175" spans="1:18" x14ac:dyDescent="0.35">
      <c r="A2175">
        <v>2174</v>
      </c>
      <c r="B2175" s="1">
        <v>45931</v>
      </c>
      <c r="C2175">
        <v>1482</v>
      </c>
      <c r="D2175" t="s">
        <v>22</v>
      </c>
      <c r="E2175" t="s">
        <v>33</v>
      </c>
      <c r="F2175" t="s">
        <v>34</v>
      </c>
      <c r="G2175">
        <v>3</v>
      </c>
      <c r="H2175">
        <v>0</v>
      </c>
      <c r="I2175" t="s">
        <v>35</v>
      </c>
      <c r="J2175" t="s">
        <v>31</v>
      </c>
      <c r="K2175" t="s">
        <v>40</v>
      </c>
      <c r="L2175">
        <v>9</v>
      </c>
      <c r="M2175">
        <v>0</v>
      </c>
      <c r="N2175">
        <v>1</v>
      </c>
      <c r="O2175" t="s">
        <v>27</v>
      </c>
      <c r="P2175" t="str">
        <f>TEXT(Table1[[#This Row],[order_date]],"yyyy-mm")</f>
        <v>2025-10</v>
      </c>
      <c r="Q2175">
        <f>WEEKNUM(Table1[[#This Row],[order_date]])</f>
        <v>40</v>
      </c>
      <c r="R2175">
        <f>IF(Table1[[#This Row],[order_status]]="completed",1,0)</f>
        <v>0</v>
      </c>
    </row>
    <row r="2176" spans="1:18" x14ac:dyDescent="0.35">
      <c r="A2176">
        <v>2175</v>
      </c>
      <c r="B2176" s="1">
        <v>46008</v>
      </c>
      <c r="C2176">
        <v>1128</v>
      </c>
      <c r="D2176" t="s">
        <v>41</v>
      </c>
      <c r="E2176" t="s">
        <v>33</v>
      </c>
      <c r="F2176" t="s">
        <v>30</v>
      </c>
      <c r="G2176">
        <v>1</v>
      </c>
      <c r="H2176">
        <v>0</v>
      </c>
      <c r="I2176" t="s">
        <v>35</v>
      </c>
      <c r="J2176" t="s">
        <v>31</v>
      </c>
      <c r="K2176" t="s">
        <v>38</v>
      </c>
      <c r="L2176">
        <v>5</v>
      </c>
      <c r="M2176">
        <v>0</v>
      </c>
      <c r="N2176">
        <v>1</v>
      </c>
      <c r="O2176" t="s">
        <v>27</v>
      </c>
      <c r="P2176" t="str">
        <f>TEXT(Table1[[#This Row],[order_date]],"yyyy-mm")</f>
        <v>2025-12</v>
      </c>
      <c r="Q2176">
        <f>WEEKNUM(Table1[[#This Row],[order_date]])</f>
        <v>51</v>
      </c>
      <c r="R2176">
        <f>IF(Table1[[#This Row],[order_status]]="completed",1,0)</f>
        <v>0</v>
      </c>
    </row>
    <row r="2177" spans="1:18" x14ac:dyDescent="0.35">
      <c r="A2177">
        <v>2176</v>
      </c>
      <c r="B2177" s="1">
        <v>45888</v>
      </c>
      <c r="C2177">
        <v>1743</v>
      </c>
      <c r="D2177" t="s">
        <v>22</v>
      </c>
      <c r="E2177" t="s">
        <v>16</v>
      </c>
      <c r="F2177" t="s">
        <v>34</v>
      </c>
      <c r="G2177">
        <v>5</v>
      </c>
      <c r="H2177">
        <v>0</v>
      </c>
      <c r="I2177" t="s">
        <v>18</v>
      </c>
      <c r="J2177" t="s">
        <v>37</v>
      </c>
      <c r="K2177" t="s">
        <v>26</v>
      </c>
      <c r="L2177">
        <v>2</v>
      </c>
      <c r="M2177">
        <v>1</v>
      </c>
      <c r="N2177">
        <v>0</v>
      </c>
      <c r="O2177" t="s">
        <v>21</v>
      </c>
      <c r="P2177" t="str">
        <f>TEXT(Table1[[#This Row],[order_date]],"yyyy-mm")</f>
        <v>2025-08</v>
      </c>
      <c r="Q2177">
        <f>WEEKNUM(Table1[[#This Row],[order_date]])</f>
        <v>34</v>
      </c>
      <c r="R2177">
        <f>IF(Table1[[#This Row],[order_status]]="completed",1,0)</f>
        <v>0</v>
      </c>
    </row>
    <row r="2178" spans="1:18" x14ac:dyDescent="0.35">
      <c r="A2178">
        <v>2177</v>
      </c>
      <c r="B2178" s="1">
        <v>45909</v>
      </c>
      <c r="C2178">
        <v>1881</v>
      </c>
      <c r="D2178" t="s">
        <v>32</v>
      </c>
      <c r="E2178" t="s">
        <v>16</v>
      </c>
      <c r="F2178" t="s">
        <v>30</v>
      </c>
      <c r="G2178">
        <v>5</v>
      </c>
      <c r="H2178">
        <v>0</v>
      </c>
      <c r="I2178" t="s">
        <v>39</v>
      </c>
      <c r="J2178" t="s">
        <v>37</v>
      </c>
      <c r="K2178" t="s">
        <v>26</v>
      </c>
      <c r="L2178">
        <v>4</v>
      </c>
      <c r="M2178">
        <v>1</v>
      </c>
      <c r="N2178">
        <v>1</v>
      </c>
      <c r="O2178" t="s">
        <v>21</v>
      </c>
      <c r="P2178" t="str">
        <f>TEXT(Table1[[#This Row],[order_date]],"yyyy-mm")</f>
        <v>2025-09</v>
      </c>
      <c r="Q2178">
        <f>WEEKNUM(Table1[[#This Row],[order_date]])</f>
        <v>37</v>
      </c>
      <c r="R2178">
        <f>IF(Table1[[#This Row],[order_status]]="completed",1,0)</f>
        <v>0</v>
      </c>
    </row>
    <row r="2179" spans="1:18" x14ac:dyDescent="0.35">
      <c r="A2179">
        <v>2178</v>
      </c>
      <c r="B2179" s="1">
        <v>45852</v>
      </c>
      <c r="C2179">
        <v>1996</v>
      </c>
      <c r="D2179" t="s">
        <v>15</v>
      </c>
      <c r="E2179" t="s">
        <v>33</v>
      </c>
      <c r="F2179" t="s">
        <v>30</v>
      </c>
      <c r="G2179">
        <v>1</v>
      </c>
      <c r="H2179">
        <v>1837</v>
      </c>
      <c r="I2179" t="s">
        <v>35</v>
      </c>
      <c r="J2179" t="s">
        <v>19</v>
      </c>
      <c r="K2179" t="s">
        <v>40</v>
      </c>
      <c r="L2179">
        <v>2</v>
      </c>
      <c r="M2179">
        <v>1</v>
      </c>
      <c r="N2179">
        <v>1</v>
      </c>
      <c r="O2179" t="s">
        <v>27</v>
      </c>
      <c r="P2179" t="str">
        <f>TEXT(Table1[[#This Row],[order_date]],"yyyy-mm")</f>
        <v>2025-07</v>
      </c>
      <c r="Q2179">
        <f>WEEKNUM(Table1[[#This Row],[order_date]])</f>
        <v>29</v>
      </c>
      <c r="R2179">
        <f>IF(Table1[[#This Row],[order_status]]="completed",1,0)</f>
        <v>1</v>
      </c>
    </row>
    <row r="2180" spans="1:18" x14ac:dyDescent="0.35">
      <c r="A2180">
        <v>2179</v>
      </c>
      <c r="B2180" s="1">
        <v>45910</v>
      </c>
      <c r="C2180">
        <v>1086</v>
      </c>
      <c r="D2180" t="s">
        <v>28</v>
      </c>
      <c r="E2180" t="s">
        <v>29</v>
      </c>
      <c r="F2180" t="s">
        <v>17</v>
      </c>
      <c r="G2180">
        <v>5</v>
      </c>
      <c r="H2180">
        <v>2555</v>
      </c>
      <c r="I2180" t="s">
        <v>35</v>
      </c>
      <c r="J2180" t="s">
        <v>19</v>
      </c>
      <c r="K2180" t="s">
        <v>40</v>
      </c>
      <c r="L2180">
        <v>10</v>
      </c>
      <c r="M2180">
        <v>0</v>
      </c>
      <c r="N2180">
        <v>0</v>
      </c>
      <c r="O2180" t="s">
        <v>27</v>
      </c>
      <c r="P2180" t="str">
        <f>TEXT(Table1[[#This Row],[order_date]],"yyyy-mm")</f>
        <v>2025-09</v>
      </c>
      <c r="Q2180">
        <f>WEEKNUM(Table1[[#This Row],[order_date]])</f>
        <v>37</v>
      </c>
      <c r="R2180">
        <f>IF(Table1[[#This Row],[order_status]]="completed",1,0)</f>
        <v>1</v>
      </c>
    </row>
    <row r="2181" spans="1:18" x14ac:dyDescent="0.35">
      <c r="A2181">
        <v>2180</v>
      </c>
      <c r="B2181" s="1">
        <v>45917</v>
      </c>
      <c r="C2181">
        <v>1084</v>
      </c>
      <c r="D2181" t="s">
        <v>41</v>
      </c>
      <c r="E2181" t="s">
        <v>33</v>
      </c>
      <c r="F2181" t="s">
        <v>34</v>
      </c>
      <c r="G2181">
        <v>3</v>
      </c>
      <c r="H2181">
        <v>0</v>
      </c>
      <c r="I2181" t="s">
        <v>35</v>
      </c>
      <c r="J2181" t="s">
        <v>31</v>
      </c>
      <c r="K2181" t="s">
        <v>20</v>
      </c>
      <c r="L2181">
        <v>2</v>
      </c>
      <c r="M2181">
        <v>1</v>
      </c>
      <c r="N2181">
        <v>0</v>
      </c>
      <c r="O2181" t="s">
        <v>21</v>
      </c>
      <c r="P2181" t="str">
        <f>TEXT(Table1[[#This Row],[order_date]],"yyyy-mm")</f>
        <v>2025-09</v>
      </c>
      <c r="Q2181">
        <f>WEEKNUM(Table1[[#This Row],[order_date]])</f>
        <v>38</v>
      </c>
      <c r="R2181">
        <f>IF(Table1[[#This Row],[order_status]]="completed",1,0)</f>
        <v>0</v>
      </c>
    </row>
    <row r="2182" spans="1:18" x14ac:dyDescent="0.35">
      <c r="A2182">
        <v>2181</v>
      </c>
      <c r="B2182" s="1">
        <v>45937</v>
      </c>
      <c r="C2182">
        <v>1095</v>
      </c>
      <c r="D2182" t="s">
        <v>41</v>
      </c>
      <c r="E2182" t="s">
        <v>23</v>
      </c>
      <c r="F2182" t="s">
        <v>34</v>
      </c>
      <c r="G2182">
        <v>1</v>
      </c>
      <c r="H2182">
        <v>0</v>
      </c>
      <c r="I2182" t="s">
        <v>18</v>
      </c>
      <c r="J2182" t="s">
        <v>31</v>
      </c>
      <c r="K2182" t="s">
        <v>40</v>
      </c>
      <c r="L2182">
        <v>7</v>
      </c>
      <c r="M2182">
        <v>0</v>
      </c>
      <c r="N2182">
        <v>0</v>
      </c>
      <c r="O2182" t="s">
        <v>27</v>
      </c>
      <c r="P2182" t="str">
        <f>TEXT(Table1[[#This Row],[order_date]],"yyyy-mm")</f>
        <v>2025-10</v>
      </c>
      <c r="Q2182">
        <f>WEEKNUM(Table1[[#This Row],[order_date]])</f>
        <v>41</v>
      </c>
      <c r="R2182">
        <f>IF(Table1[[#This Row],[order_status]]="completed",1,0)</f>
        <v>0</v>
      </c>
    </row>
    <row r="2183" spans="1:18" x14ac:dyDescent="0.35">
      <c r="A2183">
        <v>2182</v>
      </c>
      <c r="B2183" s="1">
        <v>45902</v>
      </c>
      <c r="C2183">
        <v>1115</v>
      </c>
      <c r="D2183" t="s">
        <v>41</v>
      </c>
      <c r="E2183" t="s">
        <v>29</v>
      </c>
      <c r="F2183" t="s">
        <v>24</v>
      </c>
      <c r="G2183">
        <v>2</v>
      </c>
      <c r="H2183">
        <v>0</v>
      </c>
      <c r="I2183" t="s">
        <v>39</v>
      </c>
      <c r="J2183" t="s">
        <v>31</v>
      </c>
      <c r="K2183" t="s">
        <v>26</v>
      </c>
      <c r="L2183">
        <v>2</v>
      </c>
      <c r="M2183">
        <v>1</v>
      </c>
      <c r="N2183">
        <v>1</v>
      </c>
      <c r="O2183" t="s">
        <v>27</v>
      </c>
      <c r="P2183" t="str">
        <f>TEXT(Table1[[#This Row],[order_date]],"yyyy-mm")</f>
        <v>2025-09</v>
      </c>
      <c r="Q2183">
        <f>WEEKNUM(Table1[[#This Row],[order_date]])</f>
        <v>36</v>
      </c>
      <c r="R2183">
        <f>IF(Table1[[#This Row],[order_status]]="completed",1,0)</f>
        <v>0</v>
      </c>
    </row>
    <row r="2184" spans="1:18" x14ac:dyDescent="0.35">
      <c r="A2184">
        <v>2183</v>
      </c>
      <c r="B2184" s="1">
        <v>45996</v>
      </c>
      <c r="C2184">
        <v>1269</v>
      </c>
      <c r="D2184" t="s">
        <v>15</v>
      </c>
      <c r="E2184" t="s">
        <v>29</v>
      </c>
      <c r="F2184" t="s">
        <v>17</v>
      </c>
      <c r="G2184">
        <v>2</v>
      </c>
      <c r="H2184">
        <v>0</v>
      </c>
      <c r="I2184" t="s">
        <v>35</v>
      </c>
      <c r="J2184" t="s">
        <v>31</v>
      </c>
      <c r="K2184" t="s">
        <v>20</v>
      </c>
      <c r="L2184">
        <v>8</v>
      </c>
      <c r="M2184">
        <v>0</v>
      </c>
      <c r="N2184">
        <v>1</v>
      </c>
      <c r="O2184" t="s">
        <v>27</v>
      </c>
      <c r="P2184" t="str">
        <f>TEXT(Table1[[#This Row],[order_date]],"yyyy-mm")</f>
        <v>2025-12</v>
      </c>
      <c r="Q2184">
        <f>WEEKNUM(Table1[[#This Row],[order_date]])</f>
        <v>49</v>
      </c>
      <c r="R2184">
        <f>IF(Table1[[#This Row],[order_status]]="completed",1,0)</f>
        <v>0</v>
      </c>
    </row>
    <row r="2185" spans="1:18" x14ac:dyDescent="0.35">
      <c r="A2185">
        <v>2184</v>
      </c>
      <c r="B2185" s="1">
        <v>46016</v>
      </c>
      <c r="C2185">
        <v>1840</v>
      </c>
      <c r="D2185" t="s">
        <v>41</v>
      </c>
      <c r="E2185" t="s">
        <v>33</v>
      </c>
      <c r="F2185" t="s">
        <v>24</v>
      </c>
      <c r="G2185">
        <v>4</v>
      </c>
      <c r="H2185">
        <v>0</v>
      </c>
      <c r="I2185" t="s">
        <v>18</v>
      </c>
      <c r="J2185" t="s">
        <v>31</v>
      </c>
      <c r="K2185" t="s">
        <v>40</v>
      </c>
      <c r="L2185">
        <v>5</v>
      </c>
      <c r="M2185">
        <v>1</v>
      </c>
      <c r="N2185">
        <v>0</v>
      </c>
      <c r="O2185" t="s">
        <v>27</v>
      </c>
      <c r="P2185" t="str">
        <f>TEXT(Table1[[#This Row],[order_date]],"yyyy-mm")</f>
        <v>2025-12</v>
      </c>
      <c r="Q2185">
        <f>WEEKNUM(Table1[[#This Row],[order_date]])</f>
        <v>52</v>
      </c>
      <c r="R2185">
        <f>IF(Table1[[#This Row],[order_status]]="completed",1,0)</f>
        <v>0</v>
      </c>
    </row>
    <row r="2186" spans="1:18" x14ac:dyDescent="0.35">
      <c r="A2186">
        <v>2185</v>
      </c>
      <c r="B2186" s="1">
        <v>45904</v>
      </c>
      <c r="C2186">
        <v>1450</v>
      </c>
      <c r="D2186" t="s">
        <v>28</v>
      </c>
      <c r="E2186" t="s">
        <v>36</v>
      </c>
      <c r="F2186" t="s">
        <v>30</v>
      </c>
      <c r="G2186">
        <v>3</v>
      </c>
      <c r="H2186">
        <v>0</v>
      </c>
      <c r="I2186" t="s">
        <v>35</v>
      </c>
      <c r="J2186" t="s">
        <v>37</v>
      </c>
      <c r="K2186" t="s">
        <v>26</v>
      </c>
      <c r="L2186">
        <v>5</v>
      </c>
      <c r="M2186">
        <v>0</v>
      </c>
      <c r="N2186">
        <v>1</v>
      </c>
      <c r="O2186" t="s">
        <v>27</v>
      </c>
      <c r="P2186" t="str">
        <f>TEXT(Table1[[#This Row],[order_date]],"yyyy-mm")</f>
        <v>2025-09</v>
      </c>
      <c r="Q2186">
        <f>WEEKNUM(Table1[[#This Row],[order_date]])</f>
        <v>36</v>
      </c>
      <c r="R2186">
        <f>IF(Table1[[#This Row],[order_status]]="completed",1,0)</f>
        <v>0</v>
      </c>
    </row>
    <row r="2187" spans="1:18" x14ac:dyDescent="0.35">
      <c r="A2187">
        <v>2186</v>
      </c>
      <c r="B2187" s="1">
        <v>46026</v>
      </c>
      <c r="C2187">
        <v>1589</v>
      </c>
      <c r="D2187" t="s">
        <v>41</v>
      </c>
      <c r="E2187" t="s">
        <v>36</v>
      </c>
      <c r="F2187" t="s">
        <v>30</v>
      </c>
      <c r="G2187">
        <v>3</v>
      </c>
      <c r="H2187">
        <v>0</v>
      </c>
      <c r="I2187" t="s">
        <v>39</v>
      </c>
      <c r="J2187" t="s">
        <v>31</v>
      </c>
      <c r="K2187" t="s">
        <v>38</v>
      </c>
      <c r="L2187">
        <v>10</v>
      </c>
      <c r="M2187">
        <v>0</v>
      </c>
      <c r="N2187">
        <v>1</v>
      </c>
      <c r="O2187" t="s">
        <v>27</v>
      </c>
      <c r="P2187" t="str">
        <f>TEXT(Table1[[#This Row],[order_date]],"yyyy-mm")</f>
        <v>2026-01</v>
      </c>
      <c r="Q2187">
        <f>WEEKNUM(Table1[[#This Row],[order_date]])</f>
        <v>2</v>
      </c>
      <c r="R2187">
        <f>IF(Table1[[#This Row],[order_status]]="completed",1,0)</f>
        <v>0</v>
      </c>
    </row>
    <row r="2188" spans="1:18" x14ac:dyDescent="0.35">
      <c r="A2188">
        <v>2187</v>
      </c>
      <c r="B2188" s="1">
        <v>46005</v>
      </c>
      <c r="C2188">
        <v>1945</v>
      </c>
      <c r="D2188" t="s">
        <v>41</v>
      </c>
      <c r="E2188" t="s">
        <v>36</v>
      </c>
      <c r="F2188" t="s">
        <v>30</v>
      </c>
      <c r="G2188">
        <v>2</v>
      </c>
      <c r="H2188">
        <v>0</v>
      </c>
      <c r="I2188" t="s">
        <v>18</v>
      </c>
      <c r="J2188" t="s">
        <v>31</v>
      </c>
      <c r="K2188" t="s">
        <v>38</v>
      </c>
      <c r="L2188">
        <v>7</v>
      </c>
      <c r="M2188">
        <v>1</v>
      </c>
      <c r="N2188">
        <v>1</v>
      </c>
      <c r="O2188" t="s">
        <v>27</v>
      </c>
      <c r="P2188" t="str">
        <f>TEXT(Table1[[#This Row],[order_date]],"yyyy-mm")</f>
        <v>2025-12</v>
      </c>
      <c r="Q2188">
        <f>WEEKNUM(Table1[[#This Row],[order_date]])</f>
        <v>51</v>
      </c>
      <c r="R2188">
        <f>IF(Table1[[#This Row],[order_status]]="completed",1,0)</f>
        <v>0</v>
      </c>
    </row>
    <row r="2189" spans="1:18" x14ac:dyDescent="0.35">
      <c r="A2189">
        <v>2188</v>
      </c>
      <c r="B2189" s="1">
        <v>45909</v>
      </c>
      <c r="C2189">
        <v>1272</v>
      </c>
      <c r="D2189" t="s">
        <v>15</v>
      </c>
      <c r="E2189" t="s">
        <v>36</v>
      </c>
      <c r="F2189" t="s">
        <v>30</v>
      </c>
      <c r="G2189">
        <v>2</v>
      </c>
      <c r="H2189">
        <v>0</v>
      </c>
      <c r="I2189" t="s">
        <v>35</v>
      </c>
      <c r="J2189" t="s">
        <v>37</v>
      </c>
      <c r="K2189" t="s">
        <v>26</v>
      </c>
      <c r="L2189">
        <v>7</v>
      </c>
      <c r="M2189">
        <v>1</v>
      </c>
      <c r="N2189">
        <v>1</v>
      </c>
      <c r="O2189" t="s">
        <v>21</v>
      </c>
      <c r="P2189" t="str">
        <f>TEXT(Table1[[#This Row],[order_date]],"yyyy-mm")</f>
        <v>2025-09</v>
      </c>
      <c r="Q2189">
        <f>WEEKNUM(Table1[[#This Row],[order_date]])</f>
        <v>37</v>
      </c>
      <c r="R2189">
        <f>IF(Table1[[#This Row],[order_status]]="completed",1,0)</f>
        <v>0</v>
      </c>
    </row>
    <row r="2190" spans="1:18" x14ac:dyDescent="0.35">
      <c r="A2190">
        <v>2189</v>
      </c>
      <c r="B2190" s="1">
        <v>45988</v>
      </c>
      <c r="C2190">
        <v>1460</v>
      </c>
      <c r="D2190" t="s">
        <v>22</v>
      </c>
      <c r="E2190" t="s">
        <v>36</v>
      </c>
      <c r="F2190" t="s">
        <v>30</v>
      </c>
      <c r="G2190">
        <v>2</v>
      </c>
      <c r="H2190">
        <v>3122</v>
      </c>
      <c r="I2190" t="s">
        <v>39</v>
      </c>
      <c r="J2190" t="s">
        <v>19</v>
      </c>
      <c r="K2190" t="s">
        <v>38</v>
      </c>
      <c r="L2190">
        <v>8</v>
      </c>
      <c r="M2190">
        <v>0</v>
      </c>
      <c r="N2190">
        <v>0</v>
      </c>
      <c r="O2190" t="s">
        <v>27</v>
      </c>
      <c r="P2190" t="str">
        <f>TEXT(Table1[[#This Row],[order_date]],"yyyy-mm")</f>
        <v>2025-11</v>
      </c>
      <c r="Q2190">
        <f>WEEKNUM(Table1[[#This Row],[order_date]])</f>
        <v>48</v>
      </c>
      <c r="R2190">
        <f>IF(Table1[[#This Row],[order_status]]="completed",1,0)</f>
        <v>1</v>
      </c>
    </row>
    <row r="2191" spans="1:18" x14ac:dyDescent="0.35">
      <c r="A2191">
        <v>2190</v>
      </c>
      <c r="B2191" s="1">
        <v>45930</v>
      </c>
      <c r="C2191">
        <v>1239</v>
      </c>
      <c r="D2191" t="s">
        <v>32</v>
      </c>
      <c r="E2191" t="s">
        <v>16</v>
      </c>
      <c r="F2191" t="s">
        <v>17</v>
      </c>
      <c r="G2191">
        <v>2</v>
      </c>
      <c r="H2191">
        <v>0</v>
      </c>
      <c r="I2191" t="s">
        <v>35</v>
      </c>
      <c r="J2191" t="s">
        <v>37</v>
      </c>
      <c r="K2191" t="s">
        <v>26</v>
      </c>
      <c r="L2191">
        <v>7</v>
      </c>
      <c r="M2191">
        <v>0</v>
      </c>
      <c r="N2191">
        <v>0</v>
      </c>
      <c r="O2191" t="s">
        <v>21</v>
      </c>
      <c r="P2191" t="str">
        <f>TEXT(Table1[[#This Row],[order_date]],"yyyy-mm")</f>
        <v>2025-09</v>
      </c>
      <c r="Q2191">
        <f>WEEKNUM(Table1[[#This Row],[order_date]])</f>
        <v>40</v>
      </c>
      <c r="R2191">
        <f>IF(Table1[[#This Row],[order_status]]="completed",1,0)</f>
        <v>0</v>
      </c>
    </row>
    <row r="2192" spans="1:18" x14ac:dyDescent="0.35">
      <c r="A2192">
        <v>2191</v>
      </c>
      <c r="B2192" s="1">
        <v>45992</v>
      </c>
      <c r="C2192">
        <v>1076</v>
      </c>
      <c r="D2192" t="s">
        <v>22</v>
      </c>
      <c r="E2192" t="s">
        <v>36</v>
      </c>
      <c r="F2192" t="s">
        <v>30</v>
      </c>
      <c r="G2192">
        <v>1</v>
      </c>
      <c r="H2192">
        <v>3774</v>
      </c>
      <c r="I2192" t="s">
        <v>35</v>
      </c>
      <c r="J2192" t="s">
        <v>19</v>
      </c>
      <c r="K2192" t="s">
        <v>26</v>
      </c>
      <c r="L2192">
        <v>1</v>
      </c>
      <c r="M2192">
        <v>0</v>
      </c>
      <c r="N2192">
        <v>1</v>
      </c>
      <c r="O2192" t="s">
        <v>27</v>
      </c>
      <c r="P2192" t="str">
        <f>TEXT(Table1[[#This Row],[order_date]],"yyyy-mm")</f>
        <v>2025-12</v>
      </c>
      <c r="Q2192">
        <f>WEEKNUM(Table1[[#This Row],[order_date]])</f>
        <v>49</v>
      </c>
      <c r="R2192">
        <f>IF(Table1[[#This Row],[order_status]]="completed",1,0)</f>
        <v>1</v>
      </c>
    </row>
    <row r="2193" spans="1:18" x14ac:dyDescent="0.35">
      <c r="A2193">
        <v>2192</v>
      </c>
      <c r="B2193" s="1">
        <v>46004</v>
      </c>
      <c r="C2193">
        <v>1034</v>
      </c>
      <c r="D2193" t="s">
        <v>22</v>
      </c>
      <c r="E2193" t="s">
        <v>23</v>
      </c>
      <c r="F2193" t="s">
        <v>24</v>
      </c>
      <c r="G2193">
        <v>2</v>
      </c>
      <c r="H2193">
        <v>0</v>
      </c>
      <c r="I2193" t="s">
        <v>25</v>
      </c>
      <c r="J2193" t="s">
        <v>31</v>
      </c>
      <c r="K2193" t="s">
        <v>26</v>
      </c>
      <c r="L2193">
        <v>10</v>
      </c>
      <c r="M2193">
        <v>0</v>
      </c>
      <c r="N2193">
        <v>1</v>
      </c>
      <c r="O2193" t="s">
        <v>21</v>
      </c>
      <c r="P2193" t="str">
        <f>TEXT(Table1[[#This Row],[order_date]],"yyyy-mm")</f>
        <v>2025-12</v>
      </c>
      <c r="Q2193">
        <f>WEEKNUM(Table1[[#This Row],[order_date]])</f>
        <v>50</v>
      </c>
      <c r="R2193">
        <f>IF(Table1[[#This Row],[order_status]]="completed",1,0)</f>
        <v>0</v>
      </c>
    </row>
    <row r="2194" spans="1:18" x14ac:dyDescent="0.35">
      <c r="A2194">
        <v>2193</v>
      </c>
      <c r="B2194" s="1">
        <v>45938</v>
      </c>
      <c r="C2194">
        <v>1713</v>
      </c>
      <c r="D2194" t="s">
        <v>32</v>
      </c>
      <c r="E2194" t="s">
        <v>16</v>
      </c>
      <c r="F2194" t="s">
        <v>24</v>
      </c>
      <c r="G2194">
        <v>3</v>
      </c>
      <c r="H2194">
        <v>10005</v>
      </c>
      <c r="I2194" t="s">
        <v>35</v>
      </c>
      <c r="J2194" t="s">
        <v>19</v>
      </c>
      <c r="K2194" t="s">
        <v>40</v>
      </c>
      <c r="L2194">
        <v>10</v>
      </c>
      <c r="M2194">
        <v>0</v>
      </c>
      <c r="N2194">
        <v>1</v>
      </c>
      <c r="O2194" t="s">
        <v>21</v>
      </c>
      <c r="P2194" t="str">
        <f>TEXT(Table1[[#This Row],[order_date]],"yyyy-mm")</f>
        <v>2025-10</v>
      </c>
      <c r="Q2194">
        <f>WEEKNUM(Table1[[#This Row],[order_date]])</f>
        <v>41</v>
      </c>
      <c r="R2194">
        <f>IF(Table1[[#This Row],[order_status]]="completed",1,0)</f>
        <v>1</v>
      </c>
    </row>
    <row r="2195" spans="1:18" x14ac:dyDescent="0.35">
      <c r="A2195">
        <v>2194</v>
      </c>
      <c r="B2195" s="1">
        <v>45931</v>
      </c>
      <c r="C2195">
        <v>1772</v>
      </c>
      <c r="D2195" t="s">
        <v>32</v>
      </c>
      <c r="E2195" t="s">
        <v>23</v>
      </c>
      <c r="F2195" t="s">
        <v>17</v>
      </c>
      <c r="G2195">
        <v>5</v>
      </c>
      <c r="H2195">
        <v>0</v>
      </c>
      <c r="I2195" t="s">
        <v>35</v>
      </c>
      <c r="J2195" t="s">
        <v>37</v>
      </c>
      <c r="K2195" t="s">
        <v>38</v>
      </c>
      <c r="L2195">
        <v>8</v>
      </c>
      <c r="M2195">
        <v>0</v>
      </c>
      <c r="N2195">
        <v>0</v>
      </c>
      <c r="O2195" t="s">
        <v>21</v>
      </c>
      <c r="P2195" t="str">
        <f>TEXT(Table1[[#This Row],[order_date]],"yyyy-mm")</f>
        <v>2025-10</v>
      </c>
      <c r="Q2195">
        <f>WEEKNUM(Table1[[#This Row],[order_date]])</f>
        <v>40</v>
      </c>
      <c r="R2195">
        <f>IF(Table1[[#This Row],[order_status]]="completed",1,0)</f>
        <v>0</v>
      </c>
    </row>
    <row r="2196" spans="1:18" x14ac:dyDescent="0.35">
      <c r="A2196">
        <v>2195</v>
      </c>
      <c r="B2196" s="1">
        <v>45945</v>
      </c>
      <c r="C2196">
        <v>1115</v>
      </c>
      <c r="D2196" t="s">
        <v>41</v>
      </c>
      <c r="E2196" t="s">
        <v>23</v>
      </c>
      <c r="F2196" t="s">
        <v>24</v>
      </c>
      <c r="G2196">
        <v>3</v>
      </c>
      <c r="H2196">
        <v>0</v>
      </c>
      <c r="I2196" t="s">
        <v>18</v>
      </c>
      <c r="J2196" t="s">
        <v>37</v>
      </c>
      <c r="K2196" t="s">
        <v>38</v>
      </c>
      <c r="L2196">
        <v>6</v>
      </c>
      <c r="M2196">
        <v>1</v>
      </c>
      <c r="N2196">
        <v>0</v>
      </c>
      <c r="O2196" t="s">
        <v>21</v>
      </c>
      <c r="P2196" t="str">
        <f>TEXT(Table1[[#This Row],[order_date]],"yyyy-mm")</f>
        <v>2025-10</v>
      </c>
      <c r="Q2196">
        <f>WEEKNUM(Table1[[#This Row],[order_date]])</f>
        <v>42</v>
      </c>
      <c r="R2196">
        <f>IF(Table1[[#This Row],[order_status]]="completed",1,0)</f>
        <v>0</v>
      </c>
    </row>
    <row r="2197" spans="1:18" x14ac:dyDescent="0.35">
      <c r="A2197">
        <v>2196</v>
      </c>
      <c r="B2197" s="1">
        <v>45925</v>
      </c>
      <c r="C2197">
        <v>1941</v>
      </c>
      <c r="D2197" t="s">
        <v>32</v>
      </c>
      <c r="E2197" t="s">
        <v>36</v>
      </c>
      <c r="F2197" t="s">
        <v>17</v>
      </c>
      <c r="G2197">
        <v>2</v>
      </c>
      <c r="H2197">
        <v>0</v>
      </c>
      <c r="I2197" t="s">
        <v>35</v>
      </c>
      <c r="J2197" t="s">
        <v>31</v>
      </c>
      <c r="K2197" t="s">
        <v>26</v>
      </c>
      <c r="L2197">
        <v>2</v>
      </c>
      <c r="M2197">
        <v>0</v>
      </c>
      <c r="N2197">
        <v>1</v>
      </c>
      <c r="O2197" t="s">
        <v>21</v>
      </c>
      <c r="P2197" t="str">
        <f>TEXT(Table1[[#This Row],[order_date]],"yyyy-mm")</f>
        <v>2025-09</v>
      </c>
      <c r="Q2197">
        <f>WEEKNUM(Table1[[#This Row],[order_date]])</f>
        <v>39</v>
      </c>
      <c r="R2197">
        <f>IF(Table1[[#This Row],[order_status]]="completed",1,0)</f>
        <v>0</v>
      </c>
    </row>
    <row r="2198" spans="1:18" x14ac:dyDescent="0.35">
      <c r="A2198">
        <v>2197</v>
      </c>
      <c r="B2198" s="1">
        <v>45858</v>
      </c>
      <c r="C2198">
        <v>1030</v>
      </c>
      <c r="D2198" t="s">
        <v>32</v>
      </c>
      <c r="E2198" t="s">
        <v>16</v>
      </c>
      <c r="F2198" t="s">
        <v>34</v>
      </c>
      <c r="G2198">
        <v>5</v>
      </c>
      <c r="H2198">
        <v>21495</v>
      </c>
      <c r="I2198" t="s">
        <v>25</v>
      </c>
      <c r="J2198" t="s">
        <v>19</v>
      </c>
      <c r="K2198" t="s">
        <v>40</v>
      </c>
      <c r="L2198">
        <v>7</v>
      </c>
      <c r="M2198">
        <v>0</v>
      </c>
      <c r="N2198">
        <v>1</v>
      </c>
      <c r="O2198" t="s">
        <v>21</v>
      </c>
      <c r="P2198" t="str">
        <f>TEXT(Table1[[#This Row],[order_date]],"yyyy-mm")</f>
        <v>2025-07</v>
      </c>
      <c r="Q2198">
        <f>WEEKNUM(Table1[[#This Row],[order_date]])</f>
        <v>30</v>
      </c>
      <c r="R2198">
        <f>IF(Table1[[#This Row],[order_status]]="completed",1,0)</f>
        <v>1</v>
      </c>
    </row>
    <row r="2199" spans="1:18" x14ac:dyDescent="0.35">
      <c r="A2199">
        <v>2198</v>
      </c>
      <c r="B2199" s="1">
        <v>45991</v>
      </c>
      <c r="C2199">
        <v>1101</v>
      </c>
      <c r="D2199" t="s">
        <v>32</v>
      </c>
      <c r="E2199" t="s">
        <v>16</v>
      </c>
      <c r="F2199" t="s">
        <v>24</v>
      </c>
      <c r="G2199">
        <v>1</v>
      </c>
      <c r="H2199">
        <v>0</v>
      </c>
      <c r="I2199" t="s">
        <v>35</v>
      </c>
      <c r="J2199" t="s">
        <v>37</v>
      </c>
      <c r="K2199" t="s">
        <v>20</v>
      </c>
      <c r="L2199">
        <v>8</v>
      </c>
      <c r="M2199">
        <v>1</v>
      </c>
      <c r="N2199">
        <v>0</v>
      </c>
      <c r="O2199" t="s">
        <v>21</v>
      </c>
      <c r="P2199" t="str">
        <f>TEXT(Table1[[#This Row],[order_date]],"yyyy-mm")</f>
        <v>2025-11</v>
      </c>
      <c r="Q2199">
        <f>WEEKNUM(Table1[[#This Row],[order_date]])</f>
        <v>49</v>
      </c>
      <c r="R2199">
        <f>IF(Table1[[#This Row],[order_status]]="completed",1,0)</f>
        <v>0</v>
      </c>
    </row>
    <row r="2200" spans="1:18" x14ac:dyDescent="0.35">
      <c r="A2200">
        <v>2199</v>
      </c>
      <c r="B2200" s="1">
        <v>45986</v>
      </c>
      <c r="C2200">
        <v>1904</v>
      </c>
      <c r="D2200" t="s">
        <v>28</v>
      </c>
      <c r="E2200" t="s">
        <v>23</v>
      </c>
      <c r="F2200" t="s">
        <v>30</v>
      </c>
      <c r="G2200">
        <v>2</v>
      </c>
      <c r="H2200">
        <v>0</v>
      </c>
      <c r="I2200" t="s">
        <v>25</v>
      </c>
      <c r="J2200" t="s">
        <v>37</v>
      </c>
      <c r="K2200" t="s">
        <v>26</v>
      </c>
      <c r="L2200">
        <v>6</v>
      </c>
      <c r="M2200">
        <v>0</v>
      </c>
      <c r="N2200">
        <v>1</v>
      </c>
      <c r="O2200" t="s">
        <v>21</v>
      </c>
      <c r="P2200" t="str">
        <f>TEXT(Table1[[#This Row],[order_date]],"yyyy-mm")</f>
        <v>2025-11</v>
      </c>
      <c r="Q2200">
        <f>WEEKNUM(Table1[[#This Row],[order_date]])</f>
        <v>48</v>
      </c>
      <c r="R2200">
        <f>IF(Table1[[#This Row],[order_status]]="completed",1,0)</f>
        <v>0</v>
      </c>
    </row>
    <row r="2201" spans="1:18" x14ac:dyDescent="0.35">
      <c r="A2201">
        <v>2200</v>
      </c>
      <c r="B2201" s="1">
        <v>45933</v>
      </c>
      <c r="C2201">
        <v>1654</v>
      </c>
      <c r="D2201" t="s">
        <v>41</v>
      </c>
      <c r="E2201" t="s">
        <v>36</v>
      </c>
      <c r="F2201" t="s">
        <v>34</v>
      </c>
      <c r="G2201">
        <v>5</v>
      </c>
      <c r="H2201">
        <v>0</v>
      </c>
      <c r="I2201" t="s">
        <v>39</v>
      </c>
      <c r="J2201" t="s">
        <v>31</v>
      </c>
      <c r="K2201" t="s">
        <v>40</v>
      </c>
      <c r="L2201">
        <v>8</v>
      </c>
      <c r="M2201">
        <v>1</v>
      </c>
      <c r="N2201">
        <v>1</v>
      </c>
      <c r="O2201" t="s">
        <v>27</v>
      </c>
      <c r="P2201" t="str">
        <f>TEXT(Table1[[#This Row],[order_date]],"yyyy-mm")</f>
        <v>2025-10</v>
      </c>
      <c r="Q2201">
        <f>WEEKNUM(Table1[[#This Row],[order_date]])</f>
        <v>40</v>
      </c>
      <c r="R2201">
        <f>IF(Table1[[#This Row],[order_status]]="completed",1,0)</f>
        <v>0</v>
      </c>
    </row>
    <row r="2202" spans="1:18" x14ac:dyDescent="0.35">
      <c r="A2202">
        <v>2201</v>
      </c>
      <c r="B2202" s="1">
        <v>45925</v>
      </c>
      <c r="C2202">
        <v>1387</v>
      </c>
      <c r="D2202" t="s">
        <v>32</v>
      </c>
      <c r="E2202" t="s">
        <v>16</v>
      </c>
      <c r="F2202" t="s">
        <v>17</v>
      </c>
      <c r="G2202">
        <v>1</v>
      </c>
      <c r="H2202">
        <v>0</v>
      </c>
      <c r="I2202" t="s">
        <v>39</v>
      </c>
      <c r="J2202" t="s">
        <v>31</v>
      </c>
      <c r="K2202" t="s">
        <v>26</v>
      </c>
      <c r="L2202">
        <v>8</v>
      </c>
      <c r="M2202">
        <v>0</v>
      </c>
      <c r="N2202">
        <v>0</v>
      </c>
      <c r="O2202" t="s">
        <v>21</v>
      </c>
      <c r="P2202" t="str">
        <f>TEXT(Table1[[#This Row],[order_date]],"yyyy-mm")</f>
        <v>2025-09</v>
      </c>
      <c r="Q2202">
        <f>WEEKNUM(Table1[[#This Row],[order_date]])</f>
        <v>39</v>
      </c>
      <c r="R2202">
        <f>IF(Table1[[#This Row],[order_status]]="completed",1,0)</f>
        <v>0</v>
      </c>
    </row>
    <row r="2203" spans="1:18" x14ac:dyDescent="0.35">
      <c r="A2203">
        <v>2202</v>
      </c>
      <c r="B2203" s="1">
        <v>45866</v>
      </c>
      <c r="C2203">
        <v>1047</v>
      </c>
      <c r="D2203" t="s">
        <v>15</v>
      </c>
      <c r="E2203" t="s">
        <v>16</v>
      </c>
      <c r="F2203" t="s">
        <v>17</v>
      </c>
      <c r="G2203">
        <v>5</v>
      </c>
      <c r="H2203">
        <v>0</v>
      </c>
      <c r="I2203" t="s">
        <v>35</v>
      </c>
      <c r="J2203" t="s">
        <v>37</v>
      </c>
      <c r="K2203" t="s">
        <v>26</v>
      </c>
      <c r="L2203">
        <v>9</v>
      </c>
      <c r="M2203">
        <v>1</v>
      </c>
      <c r="N2203">
        <v>0</v>
      </c>
      <c r="O2203" t="s">
        <v>21</v>
      </c>
      <c r="P2203" t="str">
        <f>TEXT(Table1[[#This Row],[order_date]],"yyyy-mm")</f>
        <v>2025-07</v>
      </c>
      <c r="Q2203">
        <f>WEEKNUM(Table1[[#This Row],[order_date]])</f>
        <v>31</v>
      </c>
      <c r="R2203">
        <f>IF(Table1[[#This Row],[order_status]]="completed",1,0)</f>
        <v>0</v>
      </c>
    </row>
    <row r="2204" spans="1:18" x14ac:dyDescent="0.35">
      <c r="A2204">
        <v>2203</v>
      </c>
      <c r="B2204" s="1">
        <v>45854</v>
      </c>
      <c r="C2204">
        <v>1045</v>
      </c>
      <c r="D2204" t="s">
        <v>22</v>
      </c>
      <c r="E2204" t="s">
        <v>33</v>
      </c>
      <c r="F2204" t="s">
        <v>30</v>
      </c>
      <c r="G2204">
        <v>4</v>
      </c>
      <c r="H2204">
        <v>0</v>
      </c>
      <c r="I2204" t="s">
        <v>39</v>
      </c>
      <c r="J2204" t="s">
        <v>37</v>
      </c>
      <c r="K2204" t="s">
        <v>20</v>
      </c>
      <c r="L2204">
        <v>6</v>
      </c>
      <c r="M2204">
        <v>0</v>
      </c>
      <c r="N2204">
        <v>1</v>
      </c>
      <c r="O2204" t="s">
        <v>27</v>
      </c>
      <c r="P2204" t="str">
        <f>TEXT(Table1[[#This Row],[order_date]],"yyyy-mm")</f>
        <v>2025-07</v>
      </c>
      <c r="Q2204">
        <f>WEEKNUM(Table1[[#This Row],[order_date]])</f>
        <v>29</v>
      </c>
      <c r="R2204">
        <f>IF(Table1[[#This Row],[order_status]]="completed",1,0)</f>
        <v>0</v>
      </c>
    </row>
    <row r="2205" spans="1:18" x14ac:dyDescent="0.35">
      <c r="A2205">
        <v>2204</v>
      </c>
      <c r="B2205" s="1">
        <v>45860</v>
      </c>
      <c r="C2205">
        <v>1663</v>
      </c>
      <c r="D2205" t="s">
        <v>32</v>
      </c>
      <c r="E2205" t="s">
        <v>16</v>
      </c>
      <c r="F2205" t="s">
        <v>24</v>
      </c>
      <c r="G2205">
        <v>3</v>
      </c>
      <c r="H2205">
        <v>0</v>
      </c>
      <c r="I2205" t="s">
        <v>39</v>
      </c>
      <c r="J2205" t="s">
        <v>37</v>
      </c>
      <c r="K2205" t="s">
        <v>20</v>
      </c>
      <c r="L2205">
        <v>1</v>
      </c>
      <c r="M2205">
        <v>0</v>
      </c>
      <c r="N2205">
        <v>0</v>
      </c>
      <c r="O2205" t="s">
        <v>27</v>
      </c>
      <c r="P2205" t="str">
        <f>TEXT(Table1[[#This Row],[order_date]],"yyyy-mm")</f>
        <v>2025-07</v>
      </c>
      <c r="Q2205">
        <f>WEEKNUM(Table1[[#This Row],[order_date]])</f>
        <v>30</v>
      </c>
      <c r="R2205">
        <f>IF(Table1[[#This Row],[order_status]]="completed",1,0)</f>
        <v>0</v>
      </c>
    </row>
    <row r="2206" spans="1:18" x14ac:dyDescent="0.35">
      <c r="A2206">
        <v>2205</v>
      </c>
      <c r="B2206" s="1">
        <v>45912</v>
      </c>
      <c r="C2206">
        <v>1566</v>
      </c>
      <c r="D2206" t="s">
        <v>41</v>
      </c>
      <c r="E2206" t="s">
        <v>23</v>
      </c>
      <c r="F2206" t="s">
        <v>34</v>
      </c>
      <c r="G2206">
        <v>1</v>
      </c>
      <c r="H2206">
        <v>0</v>
      </c>
      <c r="I2206" t="s">
        <v>25</v>
      </c>
      <c r="J2206" t="s">
        <v>37</v>
      </c>
      <c r="K2206" t="s">
        <v>38</v>
      </c>
      <c r="L2206">
        <v>10</v>
      </c>
      <c r="M2206">
        <v>0</v>
      </c>
      <c r="N2206">
        <v>0</v>
      </c>
      <c r="O2206" t="s">
        <v>27</v>
      </c>
      <c r="P2206" t="str">
        <f>TEXT(Table1[[#This Row],[order_date]],"yyyy-mm")</f>
        <v>2025-09</v>
      </c>
      <c r="Q2206">
        <f>WEEKNUM(Table1[[#This Row],[order_date]])</f>
        <v>37</v>
      </c>
      <c r="R2206">
        <f>IF(Table1[[#This Row],[order_status]]="completed",1,0)</f>
        <v>0</v>
      </c>
    </row>
    <row r="2207" spans="1:18" x14ac:dyDescent="0.35">
      <c r="A2207">
        <v>2206</v>
      </c>
      <c r="B2207" s="1">
        <v>45964</v>
      </c>
      <c r="C2207">
        <v>1846</v>
      </c>
      <c r="D2207" t="s">
        <v>28</v>
      </c>
      <c r="E2207" t="s">
        <v>16</v>
      </c>
      <c r="F2207" t="s">
        <v>24</v>
      </c>
      <c r="G2207">
        <v>4</v>
      </c>
      <c r="H2207">
        <v>0</v>
      </c>
      <c r="I2207" t="s">
        <v>39</v>
      </c>
      <c r="J2207" t="s">
        <v>31</v>
      </c>
      <c r="K2207" t="s">
        <v>38</v>
      </c>
      <c r="L2207">
        <v>4</v>
      </c>
      <c r="M2207">
        <v>1</v>
      </c>
      <c r="N2207">
        <v>0</v>
      </c>
      <c r="O2207" t="s">
        <v>27</v>
      </c>
      <c r="P2207" t="str">
        <f>TEXT(Table1[[#This Row],[order_date]],"yyyy-mm")</f>
        <v>2025-11</v>
      </c>
      <c r="Q2207">
        <f>WEEKNUM(Table1[[#This Row],[order_date]])</f>
        <v>45</v>
      </c>
      <c r="R2207">
        <f>IF(Table1[[#This Row],[order_status]]="completed",1,0)</f>
        <v>0</v>
      </c>
    </row>
    <row r="2208" spans="1:18" x14ac:dyDescent="0.35">
      <c r="A2208">
        <v>2207</v>
      </c>
      <c r="B2208" s="1">
        <v>45894</v>
      </c>
      <c r="C2208">
        <v>1242</v>
      </c>
      <c r="D2208" t="s">
        <v>22</v>
      </c>
      <c r="E2208" t="s">
        <v>29</v>
      </c>
      <c r="F2208" t="s">
        <v>17</v>
      </c>
      <c r="G2208">
        <v>5</v>
      </c>
      <c r="H2208">
        <v>9355</v>
      </c>
      <c r="I2208" t="s">
        <v>39</v>
      </c>
      <c r="J2208" t="s">
        <v>19</v>
      </c>
      <c r="K2208" t="s">
        <v>26</v>
      </c>
      <c r="L2208">
        <v>10</v>
      </c>
      <c r="M2208">
        <v>1</v>
      </c>
      <c r="N2208">
        <v>1</v>
      </c>
      <c r="O2208" t="s">
        <v>27</v>
      </c>
      <c r="P2208" t="str">
        <f>TEXT(Table1[[#This Row],[order_date]],"yyyy-mm")</f>
        <v>2025-08</v>
      </c>
      <c r="Q2208">
        <f>WEEKNUM(Table1[[#This Row],[order_date]])</f>
        <v>35</v>
      </c>
      <c r="R2208">
        <f>IF(Table1[[#This Row],[order_status]]="completed",1,0)</f>
        <v>1</v>
      </c>
    </row>
    <row r="2209" spans="1:18" x14ac:dyDescent="0.35">
      <c r="A2209">
        <v>2208</v>
      </c>
      <c r="B2209" s="1">
        <v>45926</v>
      </c>
      <c r="C2209">
        <v>1236</v>
      </c>
      <c r="D2209" t="s">
        <v>22</v>
      </c>
      <c r="E2209" t="s">
        <v>33</v>
      </c>
      <c r="F2209" t="s">
        <v>17</v>
      </c>
      <c r="G2209">
        <v>1</v>
      </c>
      <c r="H2209">
        <v>3209</v>
      </c>
      <c r="I2209" t="s">
        <v>18</v>
      </c>
      <c r="J2209" t="s">
        <v>19</v>
      </c>
      <c r="K2209" t="s">
        <v>20</v>
      </c>
      <c r="L2209">
        <v>8</v>
      </c>
      <c r="M2209">
        <v>1</v>
      </c>
      <c r="N2209">
        <v>0</v>
      </c>
      <c r="O2209" t="s">
        <v>27</v>
      </c>
      <c r="P2209" t="str">
        <f>TEXT(Table1[[#This Row],[order_date]],"yyyy-mm")</f>
        <v>2025-09</v>
      </c>
      <c r="Q2209">
        <f>WEEKNUM(Table1[[#This Row],[order_date]])</f>
        <v>39</v>
      </c>
      <c r="R2209">
        <f>IF(Table1[[#This Row],[order_status]]="completed",1,0)</f>
        <v>1</v>
      </c>
    </row>
    <row r="2210" spans="1:18" x14ac:dyDescent="0.35">
      <c r="A2210">
        <v>2209</v>
      </c>
      <c r="B2210" s="1">
        <v>45966</v>
      </c>
      <c r="C2210">
        <v>1688</v>
      </c>
      <c r="D2210" t="s">
        <v>41</v>
      </c>
      <c r="E2210" t="s">
        <v>29</v>
      </c>
      <c r="F2210" t="s">
        <v>34</v>
      </c>
      <c r="G2210">
        <v>5</v>
      </c>
      <c r="H2210">
        <v>0</v>
      </c>
      <c r="I2210" t="s">
        <v>25</v>
      </c>
      <c r="J2210" t="s">
        <v>37</v>
      </c>
      <c r="K2210" t="s">
        <v>38</v>
      </c>
      <c r="L2210">
        <v>1</v>
      </c>
      <c r="M2210">
        <v>0</v>
      </c>
      <c r="N2210">
        <v>1</v>
      </c>
      <c r="O2210" t="s">
        <v>21</v>
      </c>
      <c r="P2210" t="str">
        <f>TEXT(Table1[[#This Row],[order_date]],"yyyy-mm")</f>
        <v>2025-11</v>
      </c>
      <c r="Q2210">
        <f>WEEKNUM(Table1[[#This Row],[order_date]])</f>
        <v>45</v>
      </c>
      <c r="R2210">
        <f>IF(Table1[[#This Row],[order_status]]="completed",1,0)</f>
        <v>0</v>
      </c>
    </row>
    <row r="2211" spans="1:18" x14ac:dyDescent="0.35">
      <c r="A2211">
        <v>2210</v>
      </c>
      <c r="B2211" s="1">
        <v>45884</v>
      </c>
      <c r="C2211">
        <v>1315</v>
      </c>
      <c r="D2211" t="s">
        <v>22</v>
      </c>
      <c r="E2211" t="s">
        <v>23</v>
      </c>
      <c r="F2211" t="s">
        <v>34</v>
      </c>
      <c r="G2211">
        <v>4</v>
      </c>
      <c r="H2211">
        <v>0</v>
      </c>
      <c r="I2211" t="s">
        <v>18</v>
      </c>
      <c r="J2211" t="s">
        <v>37</v>
      </c>
      <c r="K2211" t="s">
        <v>20</v>
      </c>
      <c r="L2211">
        <v>8</v>
      </c>
      <c r="M2211">
        <v>0</v>
      </c>
      <c r="N2211">
        <v>1</v>
      </c>
      <c r="O2211" t="s">
        <v>27</v>
      </c>
      <c r="P2211" t="str">
        <f>TEXT(Table1[[#This Row],[order_date]],"yyyy-mm")</f>
        <v>2025-08</v>
      </c>
      <c r="Q2211">
        <f>WEEKNUM(Table1[[#This Row],[order_date]])</f>
        <v>33</v>
      </c>
      <c r="R2211">
        <f>IF(Table1[[#This Row],[order_status]]="completed",1,0)</f>
        <v>0</v>
      </c>
    </row>
    <row r="2212" spans="1:18" x14ac:dyDescent="0.35">
      <c r="A2212">
        <v>2211</v>
      </c>
      <c r="B2212" s="1">
        <v>46023</v>
      </c>
      <c r="C2212">
        <v>1782</v>
      </c>
      <c r="D2212" t="s">
        <v>32</v>
      </c>
      <c r="E2212" t="s">
        <v>16</v>
      </c>
      <c r="F2212" t="s">
        <v>17</v>
      </c>
      <c r="G2212">
        <v>5</v>
      </c>
      <c r="H2212">
        <v>0</v>
      </c>
      <c r="I2212" t="s">
        <v>18</v>
      </c>
      <c r="J2212" t="s">
        <v>31</v>
      </c>
      <c r="K2212" t="s">
        <v>38</v>
      </c>
      <c r="L2212">
        <v>10</v>
      </c>
      <c r="M2212">
        <v>0</v>
      </c>
      <c r="N2212">
        <v>1</v>
      </c>
      <c r="O2212" t="s">
        <v>21</v>
      </c>
      <c r="P2212" t="str">
        <f>TEXT(Table1[[#This Row],[order_date]],"yyyy-mm")</f>
        <v>2026-01</v>
      </c>
      <c r="Q2212">
        <f>WEEKNUM(Table1[[#This Row],[order_date]])</f>
        <v>1</v>
      </c>
      <c r="R2212">
        <f>IF(Table1[[#This Row],[order_status]]="completed",1,0)</f>
        <v>0</v>
      </c>
    </row>
    <row r="2213" spans="1:18" x14ac:dyDescent="0.35">
      <c r="A2213">
        <v>2212</v>
      </c>
      <c r="B2213" s="1">
        <v>45994</v>
      </c>
      <c r="C2213">
        <v>1466</v>
      </c>
      <c r="D2213" t="s">
        <v>15</v>
      </c>
      <c r="E2213" t="s">
        <v>36</v>
      </c>
      <c r="F2213" t="s">
        <v>24</v>
      </c>
      <c r="G2213">
        <v>1</v>
      </c>
      <c r="H2213">
        <v>1160</v>
      </c>
      <c r="I2213" t="s">
        <v>39</v>
      </c>
      <c r="J2213" t="s">
        <v>19</v>
      </c>
      <c r="K2213" t="s">
        <v>40</v>
      </c>
      <c r="L2213">
        <v>8</v>
      </c>
      <c r="M2213">
        <v>0</v>
      </c>
      <c r="N2213">
        <v>0</v>
      </c>
      <c r="O2213" t="s">
        <v>27</v>
      </c>
      <c r="P2213" t="str">
        <f>TEXT(Table1[[#This Row],[order_date]],"yyyy-mm")</f>
        <v>2025-12</v>
      </c>
      <c r="Q2213">
        <f>WEEKNUM(Table1[[#This Row],[order_date]])</f>
        <v>49</v>
      </c>
      <c r="R2213">
        <f>IF(Table1[[#This Row],[order_status]]="completed",1,0)</f>
        <v>1</v>
      </c>
    </row>
    <row r="2214" spans="1:18" x14ac:dyDescent="0.35">
      <c r="A2214">
        <v>2213</v>
      </c>
      <c r="B2214" s="1">
        <v>45960</v>
      </c>
      <c r="C2214">
        <v>1421</v>
      </c>
      <c r="D2214" t="s">
        <v>15</v>
      </c>
      <c r="E2214" t="s">
        <v>29</v>
      </c>
      <c r="F2214" t="s">
        <v>24</v>
      </c>
      <c r="G2214">
        <v>3</v>
      </c>
      <c r="H2214">
        <v>0</v>
      </c>
      <c r="I2214" t="s">
        <v>25</v>
      </c>
      <c r="J2214" t="s">
        <v>37</v>
      </c>
      <c r="K2214" t="s">
        <v>20</v>
      </c>
      <c r="L2214">
        <v>9</v>
      </c>
      <c r="M2214">
        <v>1</v>
      </c>
      <c r="N2214">
        <v>1</v>
      </c>
      <c r="O2214" t="s">
        <v>27</v>
      </c>
      <c r="P2214" t="str">
        <f>TEXT(Table1[[#This Row],[order_date]],"yyyy-mm")</f>
        <v>2025-10</v>
      </c>
      <c r="Q2214">
        <f>WEEKNUM(Table1[[#This Row],[order_date]])</f>
        <v>44</v>
      </c>
      <c r="R2214">
        <f>IF(Table1[[#This Row],[order_status]]="completed",1,0)</f>
        <v>0</v>
      </c>
    </row>
    <row r="2215" spans="1:18" x14ac:dyDescent="0.35">
      <c r="A2215">
        <v>2214</v>
      </c>
      <c r="B2215" s="1">
        <v>45875</v>
      </c>
      <c r="C2215">
        <v>1183</v>
      </c>
      <c r="D2215" t="s">
        <v>41</v>
      </c>
      <c r="E2215" t="s">
        <v>29</v>
      </c>
      <c r="F2215" t="s">
        <v>30</v>
      </c>
      <c r="G2215">
        <v>2</v>
      </c>
      <c r="H2215">
        <v>0</v>
      </c>
      <c r="I2215" t="s">
        <v>39</v>
      </c>
      <c r="J2215" t="s">
        <v>31</v>
      </c>
      <c r="K2215" t="s">
        <v>20</v>
      </c>
      <c r="L2215">
        <v>7</v>
      </c>
      <c r="M2215">
        <v>1</v>
      </c>
      <c r="N2215">
        <v>1</v>
      </c>
      <c r="O2215" t="s">
        <v>21</v>
      </c>
      <c r="P2215" t="str">
        <f>TEXT(Table1[[#This Row],[order_date]],"yyyy-mm")</f>
        <v>2025-08</v>
      </c>
      <c r="Q2215">
        <f>WEEKNUM(Table1[[#This Row],[order_date]])</f>
        <v>32</v>
      </c>
      <c r="R2215">
        <f>IF(Table1[[#This Row],[order_status]]="completed",1,0)</f>
        <v>0</v>
      </c>
    </row>
    <row r="2216" spans="1:18" x14ac:dyDescent="0.35">
      <c r="A2216">
        <v>2215</v>
      </c>
      <c r="B2216" s="1">
        <v>46030</v>
      </c>
      <c r="C2216">
        <v>1024</v>
      </c>
      <c r="D2216" t="s">
        <v>22</v>
      </c>
      <c r="E2216" t="s">
        <v>36</v>
      </c>
      <c r="F2216" t="s">
        <v>34</v>
      </c>
      <c r="G2216">
        <v>1</v>
      </c>
      <c r="H2216">
        <v>0</v>
      </c>
      <c r="I2216" t="s">
        <v>39</v>
      </c>
      <c r="J2216" t="s">
        <v>31</v>
      </c>
      <c r="K2216" t="s">
        <v>38</v>
      </c>
      <c r="L2216">
        <v>9</v>
      </c>
      <c r="M2216">
        <v>0</v>
      </c>
      <c r="N2216">
        <v>0</v>
      </c>
      <c r="O2216" t="s">
        <v>27</v>
      </c>
      <c r="P2216" t="str">
        <f>TEXT(Table1[[#This Row],[order_date]],"yyyy-mm")</f>
        <v>2026-01</v>
      </c>
      <c r="Q2216">
        <f>WEEKNUM(Table1[[#This Row],[order_date]])</f>
        <v>2</v>
      </c>
      <c r="R2216">
        <f>IF(Table1[[#This Row],[order_status]]="completed",1,0)</f>
        <v>0</v>
      </c>
    </row>
    <row r="2217" spans="1:18" x14ac:dyDescent="0.35">
      <c r="A2217">
        <v>2216</v>
      </c>
      <c r="B2217" s="1">
        <v>46014</v>
      </c>
      <c r="C2217">
        <v>1700</v>
      </c>
      <c r="D2217" t="s">
        <v>32</v>
      </c>
      <c r="E2217" t="s">
        <v>16</v>
      </c>
      <c r="F2217" t="s">
        <v>34</v>
      </c>
      <c r="G2217">
        <v>5</v>
      </c>
      <c r="H2217">
        <v>0</v>
      </c>
      <c r="I2217" t="s">
        <v>25</v>
      </c>
      <c r="J2217" t="s">
        <v>31</v>
      </c>
      <c r="K2217" t="s">
        <v>40</v>
      </c>
      <c r="L2217">
        <v>10</v>
      </c>
      <c r="M2217">
        <v>1</v>
      </c>
      <c r="N2217">
        <v>1</v>
      </c>
      <c r="O2217" t="s">
        <v>27</v>
      </c>
      <c r="P2217" t="str">
        <f>TEXT(Table1[[#This Row],[order_date]],"yyyy-mm")</f>
        <v>2025-12</v>
      </c>
      <c r="Q2217">
        <f>WEEKNUM(Table1[[#This Row],[order_date]])</f>
        <v>52</v>
      </c>
      <c r="R2217">
        <f>IF(Table1[[#This Row],[order_status]]="completed",1,0)</f>
        <v>0</v>
      </c>
    </row>
    <row r="2218" spans="1:18" x14ac:dyDescent="0.35">
      <c r="A2218">
        <v>2217</v>
      </c>
      <c r="B2218" s="1">
        <v>46029</v>
      </c>
      <c r="C2218">
        <v>1054</v>
      </c>
      <c r="D2218" t="s">
        <v>32</v>
      </c>
      <c r="E2218" t="s">
        <v>33</v>
      </c>
      <c r="F2218" t="s">
        <v>30</v>
      </c>
      <c r="G2218">
        <v>5</v>
      </c>
      <c r="H2218">
        <v>0</v>
      </c>
      <c r="I2218" t="s">
        <v>35</v>
      </c>
      <c r="J2218" t="s">
        <v>37</v>
      </c>
      <c r="K2218" t="s">
        <v>40</v>
      </c>
      <c r="L2218">
        <v>8</v>
      </c>
      <c r="M2218">
        <v>1</v>
      </c>
      <c r="N2218">
        <v>1</v>
      </c>
      <c r="O2218" t="s">
        <v>27</v>
      </c>
      <c r="P2218" t="str">
        <f>TEXT(Table1[[#This Row],[order_date]],"yyyy-mm")</f>
        <v>2026-01</v>
      </c>
      <c r="Q2218">
        <f>WEEKNUM(Table1[[#This Row],[order_date]])</f>
        <v>2</v>
      </c>
      <c r="R2218">
        <f>IF(Table1[[#This Row],[order_status]]="completed",1,0)</f>
        <v>0</v>
      </c>
    </row>
    <row r="2219" spans="1:18" x14ac:dyDescent="0.35">
      <c r="A2219">
        <v>2218</v>
      </c>
      <c r="B2219" s="1">
        <v>46020</v>
      </c>
      <c r="C2219">
        <v>1769</v>
      </c>
      <c r="D2219" t="s">
        <v>22</v>
      </c>
      <c r="E2219" t="s">
        <v>23</v>
      </c>
      <c r="F2219" t="s">
        <v>24</v>
      </c>
      <c r="G2219">
        <v>2</v>
      </c>
      <c r="H2219">
        <v>1578</v>
      </c>
      <c r="I2219" t="s">
        <v>18</v>
      </c>
      <c r="J2219" t="s">
        <v>19</v>
      </c>
      <c r="K2219" t="s">
        <v>38</v>
      </c>
      <c r="L2219">
        <v>5</v>
      </c>
      <c r="M2219">
        <v>0</v>
      </c>
      <c r="N2219">
        <v>1</v>
      </c>
      <c r="O2219" t="s">
        <v>27</v>
      </c>
      <c r="P2219" t="str">
        <f>TEXT(Table1[[#This Row],[order_date]],"yyyy-mm")</f>
        <v>2025-12</v>
      </c>
      <c r="Q2219">
        <f>WEEKNUM(Table1[[#This Row],[order_date]])</f>
        <v>53</v>
      </c>
      <c r="R2219">
        <f>IF(Table1[[#This Row],[order_status]]="completed",1,0)</f>
        <v>1</v>
      </c>
    </row>
    <row r="2220" spans="1:18" x14ac:dyDescent="0.35">
      <c r="A2220">
        <v>2219</v>
      </c>
      <c r="B2220" s="1">
        <v>45979</v>
      </c>
      <c r="C2220">
        <v>1719</v>
      </c>
      <c r="D2220" t="s">
        <v>15</v>
      </c>
      <c r="E2220" t="s">
        <v>23</v>
      </c>
      <c r="F2220" t="s">
        <v>34</v>
      </c>
      <c r="G2220">
        <v>5</v>
      </c>
      <c r="H2220">
        <v>1805</v>
      </c>
      <c r="I2220" t="s">
        <v>39</v>
      </c>
      <c r="J2220" t="s">
        <v>19</v>
      </c>
      <c r="K2220" t="s">
        <v>26</v>
      </c>
      <c r="L2220">
        <v>2</v>
      </c>
      <c r="M2220">
        <v>1</v>
      </c>
      <c r="N2220">
        <v>1</v>
      </c>
      <c r="O2220" t="s">
        <v>27</v>
      </c>
      <c r="P2220" t="str">
        <f>TEXT(Table1[[#This Row],[order_date]],"yyyy-mm")</f>
        <v>2025-11</v>
      </c>
      <c r="Q2220">
        <f>WEEKNUM(Table1[[#This Row],[order_date]])</f>
        <v>47</v>
      </c>
      <c r="R2220">
        <f>IF(Table1[[#This Row],[order_status]]="completed",1,0)</f>
        <v>1</v>
      </c>
    </row>
    <row r="2221" spans="1:18" x14ac:dyDescent="0.35">
      <c r="A2221">
        <v>2220</v>
      </c>
      <c r="B2221" s="1">
        <v>45983</v>
      </c>
      <c r="C2221">
        <v>1593</v>
      </c>
      <c r="D2221" t="s">
        <v>32</v>
      </c>
      <c r="E2221" t="s">
        <v>36</v>
      </c>
      <c r="F2221" t="s">
        <v>17</v>
      </c>
      <c r="G2221">
        <v>5</v>
      </c>
      <c r="H2221">
        <v>18475</v>
      </c>
      <c r="I2221" t="s">
        <v>18</v>
      </c>
      <c r="J2221" t="s">
        <v>19</v>
      </c>
      <c r="K2221" t="s">
        <v>38</v>
      </c>
      <c r="L2221">
        <v>6</v>
      </c>
      <c r="M2221">
        <v>1</v>
      </c>
      <c r="N2221">
        <v>0</v>
      </c>
      <c r="O2221" t="s">
        <v>27</v>
      </c>
      <c r="P2221" t="str">
        <f>TEXT(Table1[[#This Row],[order_date]],"yyyy-mm")</f>
        <v>2025-11</v>
      </c>
      <c r="Q2221">
        <f>WEEKNUM(Table1[[#This Row],[order_date]])</f>
        <v>47</v>
      </c>
      <c r="R2221">
        <f>IF(Table1[[#This Row],[order_status]]="completed",1,0)</f>
        <v>1</v>
      </c>
    </row>
    <row r="2222" spans="1:18" x14ac:dyDescent="0.35">
      <c r="A2222">
        <v>2221</v>
      </c>
      <c r="B2222" s="1">
        <v>45894</v>
      </c>
      <c r="C2222">
        <v>1000</v>
      </c>
      <c r="D2222" t="s">
        <v>28</v>
      </c>
      <c r="E2222" t="s">
        <v>29</v>
      </c>
      <c r="F2222" t="s">
        <v>24</v>
      </c>
      <c r="G2222">
        <v>5</v>
      </c>
      <c r="H2222">
        <v>0</v>
      </c>
      <c r="I2222" t="s">
        <v>25</v>
      </c>
      <c r="J2222" t="s">
        <v>31</v>
      </c>
      <c r="K2222" t="s">
        <v>40</v>
      </c>
      <c r="L2222">
        <v>4</v>
      </c>
      <c r="M2222">
        <v>1</v>
      </c>
      <c r="N2222">
        <v>0</v>
      </c>
      <c r="O2222" t="s">
        <v>21</v>
      </c>
      <c r="P2222" t="str">
        <f>TEXT(Table1[[#This Row],[order_date]],"yyyy-mm")</f>
        <v>2025-08</v>
      </c>
      <c r="Q2222">
        <f>WEEKNUM(Table1[[#This Row],[order_date]])</f>
        <v>35</v>
      </c>
      <c r="R2222">
        <f>IF(Table1[[#This Row],[order_status]]="completed",1,0)</f>
        <v>0</v>
      </c>
    </row>
    <row r="2223" spans="1:18" x14ac:dyDescent="0.35">
      <c r="A2223">
        <v>2222</v>
      </c>
      <c r="B2223" s="1">
        <v>45862</v>
      </c>
      <c r="C2223">
        <v>1043</v>
      </c>
      <c r="D2223" t="s">
        <v>28</v>
      </c>
      <c r="E2223" t="s">
        <v>36</v>
      </c>
      <c r="F2223" t="s">
        <v>24</v>
      </c>
      <c r="G2223">
        <v>1</v>
      </c>
      <c r="H2223">
        <v>0</v>
      </c>
      <c r="I2223" t="s">
        <v>25</v>
      </c>
      <c r="J2223" t="s">
        <v>37</v>
      </c>
      <c r="K2223" t="s">
        <v>20</v>
      </c>
      <c r="L2223">
        <v>9</v>
      </c>
      <c r="M2223">
        <v>0</v>
      </c>
      <c r="N2223">
        <v>1</v>
      </c>
      <c r="O2223" t="s">
        <v>27</v>
      </c>
      <c r="P2223" t="str">
        <f>TEXT(Table1[[#This Row],[order_date]],"yyyy-mm")</f>
        <v>2025-07</v>
      </c>
      <c r="Q2223">
        <f>WEEKNUM(Table1[[#This Row],[order_date]])</f>
        <v>30</v>
      </c>
      <c r="R2223">
        <f>IF(Table1[[#This Row],[order_status]]="completed",1,0)</f>
        <v>0</v>
      </c>
    </row>
    <row r="2224" spans="1:18" x14ac:dyDescent="0.35">
      <c r="A2224">
        <v>2223</v>
      </c>
      <c r="B2224" s="1">
        <v>45976</v>
      </c>
      <c r="C2224">
        <v>1937</v>
      </c>
      <c r="D2224" t="s">
        <v>22</v>
      </c>
      <c r="E2224" t="s">
        <v>29</v>
      </c>
      <c r="F2224" t="s">
        <v>34</v>
      </c>
      <c r="G2224">
        <v>1</v>
      </c>
      <c r="H2224">
        <v>0</v>
      </c>
      <c r="I2224" t="s">
        <v>35</v>
      </c>
      <c r="J2224" t="s">
        <v>31</v>
      </c>
      <c r="K2224" t="s">
        <v>26</v>
      </c>
      <c r="L2224">
        <v>3</v>
      </c>
      <c r="M2224">
        <v>0</v>
      </c>
      <c r="N2224">
        <v>1</v>
      </c>
      <c r="O2224" t="s">
        <v>21</v>
      </c>
      <c r="P2224" t="str">
        <f>TEXT(Table1[[#This Row],[order_date]],"yyyy-mm")</f>
        <v>2025-11</v>
      </c>
      <c r="Q2224">
        <f>WEEKNUM(Table1[[#This Row],[order_date]])</f>
        <v>46</v>
      </c>
      <c r="R2224">
        <f>IF(Table1[[#This Row],[order_status]]="completed",1,0)</f>
        <v>0</v>
      </c>
    </row>
    <row r="2225" spans="1:18" x14ac:dyDescent="0.35">
      <c r="A2225">
        <v>2224</v>
      </c>
      <c r="B2225" s="1">
        <v>46001</v>
      </c>
      <c r="C2225">
        <v>1245</v>
      </c>
      <c r="D2225" t="s">
        <v>15</v>
      </c>
      <c r="E2225" t="s">
        <v>29</v>
      </c>
      <c r="F2225" t="s">
        <v>34</v>
      </c>
      <c r="G2225">
        <v>5</v>
      </c>
      <c r="H2225">
        <v>12670</v>
      </c>
      <c r="I2225" t="s">
        <v>39</v>
      </c>
      <c r="J2225" t="s">
        <v>19</v>
      </c>
      <c r="K2225" t="s">
        <v>38</v>
      </c>
      <c r="L2225">
        <v>10</v>
      </c>
      <c r="M2225">
        <v>0</v>
      </c>
      <c r="N2225">
        <v>1</v>
      </c>
      <c r="O2225" t="s">
        <v>21</v>
      </c>
      <c r="P2225" t="str">
        <f>TEXT(Table1[[#This Row],[order_date]],"yyyy-mm")</f>
        <v>2025-12</v>
      </c>
      <c r="Q2225">
        <f>WEEKNUM(Table1[[#This Row],[order_date]])</f>
        <v>50</v>
      </c>
      <c r="R2225">
        <f>IF(Table1[[#This Row],[order_status]]="completed",1,0)</f>
        <v>1</v>
      </c>
    </row>
    <row r="2226" spans="1:18" x14ac:dyDescent="0.35">
      <c r="A2226">
        <v>2225</v>
      </c>
      <c r="B2226" s="1">
        <v>45981</v>
      </c>
      <c r="C2226">
        <v>1799</v>
      </c>
      <c r="D2226" t="s">
        <v>32</v>
      </c>
      <c r="E2226" t="s">
        <v>36</v>
      </c>
      <c r="F2226" t="s">
        <v>17</v>
      </c>
      <c r="G2226">
        <v>3</v>
      </c>
      <c r="H2226">
        <v>0</v>
      </c>
      <c r="I2226" t="s">
        <v>35</v>
      </c>
      <c r="J2226" t="s">
        <v>37</v>
      </c>
      <c r="K2226" t="s">
        <v>38</v>
      </c>
      <c r="L2226">
        <v>5</v>
      </c>
      <c r="M2226">
        <v>0</v>
      </c>
      <c r="N2226">
        <v>0</v>
      </c>
      <c r="O2226" t="s">
        <v>27</v>
      </c>
      <c r="P2226" t="str">
        <f>TEXT(Table1[[#This Row],[order_date]],"yyyy-mm")</f>
        <v>2025-11</v>
      </c>
      <c r="Q2226">
        <f>WEEKNUM(Table1[[#This Row],[order_date]])</f>
        <v>47</v>
      </c>
      <c r="R2226">
        <f>IF(Table1[[#This Row],[order_status]]="completed",1,0)</f>
        <v>0</v>
      </c>
    </row>
    <row r="2227" spans="1:18" x14ac:dyDescent="0.35">
      <c r="A2227">
        <v>2226</v>
      </c>
      <c r="B2227" s="1">
        <v>45965</v>
      </c>
      <c r="C2227">
        <v>1411</v>
      </c>
      <c r="D2227" t="s">
        <v>15</v>
      </c>
      <c r="E2227" t="s">
        <v>23</v>
      </c>
      <c r="F2227" t="s">
        <v>30</v>
      </c>
      <c r="G2227">
        <v>4</v>
      </c>
      <c r="H2227">
        <v>0</v>
      </c>
      <c r="I2227" t="s">
        <v>35</v>
      </c>
      <c r="J2227" t="s">
        <v>37</v>
      </c>
      <c r="K2227" t="s">
        <v>20</v>
      </c>
      <c r="L2227">
        <v>9</v>
      </c>
      <c r="M2227">
        <v>1</v>
      </c>
      <c r="N2227">
        <v>1</v>
      </c>
      <c r="O2227" t="s">
        <v>21</v>
      </c>
      <c r="P2227" t="str">
        <f>TEXT(Table1[[#This Row],[order_date]],"yyyy-mm")</f>
        <v>2025-11</v>
      </c>
      <c r="Q2227">
        <f>WEEKNUM(Table1[[#This Row],[order_date]])</f>
        <v>45</v>
      </c>
      <c r="R2227">
        <f>IF(Table1[[#This Row],[order_status]]="completed",1,0)</f>
        <v>0</v>
      </c>
    </row>
    <row r="2228" spans="1:18" x14ac:dyDescent="0.35">
      <c r="A2228">
        <v>2227</v>
      </c>
      <c r="B2228" s="1">
        <v>45953</v>
      </c>
      <c r="C2228">
        <v>1701</v>
      </c>
      <c r="D2228" t="s">
        <v>28</v>
      </c>
      <c r="E2228" t="s">
        <v>16</v>
      </c>
      <c r="F2228" t="s">
        <v>30</v>
      </c>
      <c r="G2228">
        <v>4</v>
      </c>
      <c r="H2228">
        <v>0</v>
      </c>
      <c r="I2228" t="s">
        <v>35</v>
      </c>
      <c r="J2228" t="s">
        <v>31</v>
      </c>
      <c r="K2228" t="s">
        <v>38</v>
      </c>
      <c r="L2228">
        <v>2</v>
      </c>
      <c r="M2228">
        <v>0</v>
      </c>
      <c r="N2228">
        <v>0</v>
      </c>
      <c r="O2228" t="s">
        <v>21</v>
      </c>
      <c r="P2228" t="str">
        <f>TEXT(Table1[[#This Row],[order_date]],"yyyy-mm")</f>
        <v>2025-10</v>
      </c>
      <c r="Q2228">
        <f>WEEKNUM(Table1[[#This Row],[order_date]])</f>
        <v>43</v>
      </c>
      <c r="R2228">
        <f>IF(Table1[[#This Row],[order_status]]="completed",1,0)</f>
        <v>0</v>
      </c>
    </row>
    <row r="2229" spans="1:18" x14ac:dyDescent="0.35">
      <c r="A2229">
        <v>2228</v>
      </c>
      <c r="B2229" s="1">
        <v>45861</v>
      </c>
      <c r="C2229">
        <v>1647</v>
      </c>
      <c r="D2229" t="s">
        <v>15</v>
      </c>
      <c r="E2229" t="s">
        <v>23</v>
      </c>
      <c r="F2229" t="s">
        <v>34</v>
      </c>
      <c r="G2229">
        <v>1</v>
      </c>
      <c r="H2229">
        <v>0</v>
      </c>
      <c r="I2229" t="s">
        <v>18</v>
      </c>
      <c r="J2229" t="s">
        <v>31</v>
      </c>
      <c r="K2229" t="s">
        <v>40</v>
      </c>
      <c r="L2229">
        <v>6</v>
      </c>
      <c r="M2229">
        <v>1</v>
      </c>
      <c r="N2229">
        <v>0</v>
      </c>
      <c r="O2229" t="s">
        <v>27</v>
      </c>
      <c r="P2229" t="str">
        <f>TEXT(Table1[[#This Row],[order_date]],"yyyy-mm")</f>
        <v>2025-07</v>
      </c>
      <c r="Q2229">
        <f>WEEKNUM(Table1[[#This Row],[order_date]])</f>
        <v>30</v>
      </c>
      <c r="R2229">
        <f>IF(Table1[[#This Row],[order_status]]="completed",1,0)</f>
        <v>0</v>
      </c>
    </row>
    <row r="2230" spans="1:18" x14ac:dyDescent="0.35">
      <c r="A2230">
        <v>2229</v>
      </c>
      <c r="B2230" s="1">
        <v>45942</v>
      </c>
      <c r="C2230">
        <v>1074</v>
      </c>
      <c r="D2230" t="s">
        <v>28</v>
      </c>
      <c r="E2230" t="s">
        <v>33</v>
      </c>
      <c r="F2230" t="s">
        <v>17</v>
      </c>
      <c r="G2230">
        <v>1</v>
      </c>
      <c r="H2230">
        <v>0</v>
      </c>
      <c r="I2230" t="s">
        <v>18</v>
      </c>
      <c r="J2230" t="s">
        <v>31</v>
      </c>
      <c r="K2230" t="s">
        <v>40</v>
      </c>
      <c r="L2230">
        <v>3</v>
      </c>
      <c r="M2230">
        <v>0</v>
      </c>
      <c r="N2230">
        <v>0</v>
      </c>
      <c r="O2230" t="s">
        <v>27</v>
      </c>
      <c r="P2230" t="str">
        <f>TEXT(Table1[[#This Row],[order_date]],"yyyy-mm")</f>
        <v>2025-10</v>
      </c>
      <c r="Q2230">
        <f>WEEKNUM(Table1[[#This Row],[order_date]])</f>
        <v>42</v>
      </c>
      <c r="R2230">
        <f>IF(Table1[[#This Row],[order_status]]="completed",1,0)</f>
        <v>0</v>
      </c>
    </row>
    <row r="2231" spans="1:18" x14ac:dyDescent="0.35">
      <c r="A2231">
        <v>2230</v>
      </c>
      <c r="B2231" s="1">
        <v>45924</v>
      </c>
      <c r="C2231">
        <v>1401</v>
      </c>
      <c r="D2231" t="s">
        <v>22</v>
      </c>
      <c r="E2231" t="s">
        <v>33</v>
      </c>
      <c r="F2231" t="s">
        <v>30</v>
      </c>
      <c r="G2231">
        <v>4</v>
      </c>
      <c r="H2231">
        <v>19988</v>
      </c>
      <c r="I2231" t="s">
        <v>39</v>
      </c>
      <c r="J2231" t="s">
        <v>19</v>
      </c>
      <c r="K2231" t="s">
        <v>20</v>
      </c>
      <c r="L2231">
        <v>8</v>
      </c>
      <c r="M2231">
        <v>0</v>
      </c>
      <c r="N2231">
        <v>1</v>
      </c>
      <c r="O2231" t="s">
        <v>21</v>
      </c>
      <c r="P2231" t="str">
        <f>TEXT(Table1[[#This Row],[order_date]],"yyyy-mm")</f>
        <v>2025-09</v>
      </c>
      <c r="Q2231">
        <f>WEEKNUM(Table1[[#This Row],[order_date]])</f>
        <v>39</v>
      </c>
      <c r="R2231">
        <f>IF(Table1[[#This Row],[order_status]]="completed",1,0)</f>
        <v>1</v>
      </c>
    </row>
    <row r="2232" spans="1:18" x14ac:dyDescent="0.35">
      <c r="A2232">
        <v>2231</v>
      </c>
      <c r="B2232" s="1">
        <v>45872</v>
      </c>
      <c r="C2232">
        <v>1044</v>
      </c>
      <c r="D2232" t="s">
        <v>15</v>
      </c>
      <c r="E2232" t="s">
        <v>29</v>
      </c>
      <c r="F2232" t="s">
        <v>30</v>
      </c>
      <c r="G2232">
        <v>5</v>
      </c>
      <c r="H2232">
        <v>7965</v>
      </c>
      <c r="I2232" t="s">
        <v>39</v>
      </c>
      <c r="J2232" t="s">
        <v>19</v>
      </c>
      <c r="K2232" t="s">
        <v>38</v>
      </c>
      <c r="L2232">
        <v>6</v>
      </c>
      <c r="M2232">
        <v>1</v>
      </c>
      <c r="N2232">
        <v>0</v>
      </c>
      <c r="O2232" t="s">
        <v>27</v>
      </c>
      <c r="P2232" t="str">
        <f>TEXT(Table1[[#This Row],[order_date]],"yyyy-mm")</f>
        <v>2025-08</v>
      </c>
      <c r="Q2232">
        <f>WEEKNUM(Table1[[#This Row],[order_date]])</f>
        <v>32</v>
      </c>
      <c r="R2232">
        <f>IF(Table1[[#This Row],[order_status]]="completed",1,0)</f>
        <v>1</v>
      </c>
    </row>
    <row r="2233" spans="1:18" x14ac:dyDescent="0.35">
      <c r="A2233">
        <v>2232</v>
      </c>
      <c r="B2233" s="1">
        <v>46013</v>
      </c>
      <c r="C2233">
        <v>1957</v>
      </c>
      <c r="D2233" t="s">
        <v>22</v>
      </c>
      <c r="E2233" t="s">
        <v>23</v>
      </c>
      <c r="F2233" t="s">
        <v>30</v>
      </c>
      <c r="G2233">
        <v>5</v>
      </c>
      <c r="H2233">
        <v>0</v>
      </c>
      <c r="I2233" t="s">
        <v>18</v>
      </c>
      <c r="J2233" t="s">
        <v>37</v>
      </c>
      <c r="K2233" t="s">
        <v>20</v>
      </c>
      <c r="L2233">
        <v>5</v>
      </c>
      <c r="M2233">
        <v>0</v>
      </c>
      <c r="N2233">
        <v>0</v>
      </c>
      <c r="O2233" t="s">
        <v>27</v>
      </c>
      <c r="P2233" t="str">
        <f>TEXT(Table1[[#This Row],[order_date]],"yyyy-mm")</f>
        <v>2025-12</v>
      </c>
      <c r="Q2233">
        <f>WEEKNUM(Table1[[#This Row],[order_date]])</f>
        <v>52</v>
      </c>
      <c r="R2233">
        <f>IF(Table1[[#This Row],[order_status]]="completed",1,0)</f>
        <v>0</v>
      </c>
    </row>
    <row r="2234" spans="1:18" x14ac:dyDescent="0.35">
      <c r="A2234">
        <v>2233</v>
      </c>
      <c r="B2234" s="1">
        <v>45980</v>
      </c>
      <c r="C2234">
        <v>1729</v>
      </c>
      <c r="D2234" t="s">
        <v>32</v>
      </c>
      <c r="E2234" t="s">
        <v>29</v>
      </c>
      <c r="F2234" t="s">
        <v>34</v>
      </c>
      <c r="G2234">
        <v>2</v>
      </c>
      <c r="H2234">
        <v>0</v>
      </c>
      <c r="I2234" t="s">
        <v>25</v>
      </c>
      <c r="J2234" t="s">
        <v>37</v>
      </c>
      <c r="K2234" t="s">
        <v>26</v>
      </c>
      <c r="L2234">
        <v>3</v>
      </c>
      <c r="M2234">
        <v>0</v>
      </c>
      <c r="N2234">
        <v>1</v>
      </c>
      <c r="O2234" t="s">
        <v>21</v>
      </c>
      <c r="P2234" t="str">
        <f>TEXT(Table1[[#This Row],[order_date]],"yyyy-mm")</f>
        <v>2025-11</v>
      </c>
      <c r="Q2234">
        <f>WEEKNUM(Table1[[#This Row],[order_date]])</f>
        <v>47</v>
      </c>
      <c r="R2234">
        <f>IF(Table1[[#This Row],[order_status]]="completed",1,0)</f>
        <v>0</v>
      </c>
    </row>
    <row r="2235" spans="1:18" x14ac:dyDescent="0.35">
      <c r="A2235">
        <v>2234</v>
      </c>
      <c r="B2235" s="1">
        <v>45859</v>
      </c>
      <c r="C2235">
        <v>1972</v>
      </c>
      <c r="D2235" t="s">
        <v>22</v>
      </c>
      <c r="E2235" t="s">
        <v>16</v>
      </c>
      <c r="F2235" t="s">
        <v>24</v>
      </c>
      <c r="G2235">
        <v>4</v>
      </c>
      <c r="H2235">
        <v>8064</v>
      </c>
      <c r="I2235" t="s">
        <v>25</v>
      </c>
      <c r="J2235" t="s">
        <v>19</v>
      </c>
      <c r="K2235" t="s">
        <v>40</v>
      </c>
      <c r="L2235">
        <v>5</v>
      </c>
      <c r="M2235">
        <v>1</v>
      </c>
      <c r="N2235">
        <v>1</v>
      </c>
      <c r="O2235" t="s">
        <v>27</v>
      </c>
      <c r="P2235" t="str">
        <f>TEXT(Table1[[#This Row],[order_date]],"yyyy-mm")</f>
        <v>2025-07</v>
      </c>
      <c r="Q2235">
        <f>WEEKNUM(Table1[[#This Row],[order_date]])</f>
        <v>30</v>
      </c>
      <c r="R2235">
        <f>IF(Table1[[#This Row],[order_status]]="completed",1,0)</f>
        <v>1</v>
      </c>
    </row>
    <row r="2236" spans="1:18" x14ac:dyDescent="0.35">
      <c r="A2236">
        <v>2235</v>
      </c>
      <c r="B2236" s="1">
        <v>45892</v>
      </c>
      <c r="C2236">
        <v>1734</v>
      </c>
      <c r="D2236" t="s">
        <v>15</v>
      </c>
      <c r="E2236" t="s">
        <v>29</v>
      </c>
      <c r="F2236" t="s">
        <v>30</v>
      </c>
      <c r="G2236">
        <v>5</v>
      </c>
      <c r="H2236">
        <v>0</v>
      </c>
      <c r="I2236" t="s">
        <v>39</v>
      </c>
      <c r="J2236" t="s">
        <v>31</v>
      </c>
      <c r="K2236" t="s">
        <v>38</v>
      </c>
      <c r="L2236">
        <v>3</v>
      </c>
      <c r="M2236">
        <v>0</v>
      </c>
      <c r="N2236">
        <v>1</v>
      </c>
      <c r="O2236" t="s">
        <v>21</v>
      </c>
      <c r="P2236" t="str">
        <f>TEXT(Table1[[#This Row],[order_date]],"yyyy-mm")</f>
        <v>2025-08</v>
      </c>
      <c r="Q2236">
        <f>WEEKNUM(Table1[[#This Row],[order_date]])</f>
        <v>34</v>
      </c>
      <c r="R2236">
        <f>IF(Table1[[#This Row],[order_status]]="completed",1,0)</f>
        <v>0</v>
      </c>
    </row>
    <row r="2237" spans="1:18" x14ac:dyDescent="0.35">
      <c r="A2237">
        <v>2236</v>
      </c>
      <c r="B2237" s="1">
        <v>46004</v>
      </c>
      <c r="C2237">
        <v>1704</v>
      </c>
      <c r="D2237" t="s">
        <v>28</v>
      </c>
      <c r="E2237" t="s">
        <v>23</v>
      </c>
      <c r="F2237" t="s">
        <v>30</v>
      </c>
      <c r="G2237">
        <v>2</v>
      </c>
      <c r="H2237">
        <v>0</v>
      </c>
      <c r="I2237" t="s">
        <v>35</v>
      </c>
      <c r="J2237" t="s">
        <v>31</v>
      </c>
      <c r="K2237" t="s">
        <v>40</v>
      </c>
      <c r="L2237">
        <v>2</v>
      </c>
      <c r="M2237">
        <v>1</v>
      </c>
      <c r="N2237">
        <v>0</v>
      </c>
      <c r="O2237" t="s">
        <v>21</v>
      </c>
      <c r="P2237" t="str">
        <f>TEXT(Table1[[#This Row],[order_date]],"yyyy-mm")</f>
        <v>2025-12</v>
      </c>
      <c r="Q2237">
        <f>WEEKNUM(Table1[[#This Row],[order_date]])</f>
        <v>50</v>
      </c>
      <c r="R2237">
        <f>IF(Table1[[#This Row],[order_status]]="completed",1,0)</f>
        <v>0</v>
      </c>
    </row>
    <row r="2238" spans="1:18" x14ac:dyDescent="0.35">
      <c r="A2238">
        <v>2237</v>
      </c>
      <c r="B2238" s="1">
        <v>45984</v>
      </c>
      <c r="C2238">
        <v>1806</v>
      </c>
      <c r="D2238" t="s">
        <v>22</v>
      </c>
      <c r="E2238" t="s">
        <v>16</v>
      </c>
      <c r="F2238" t="s">
        <v>17</v>
      </c>
      <c r="G2238">
        <v>3</v>
      </c>
      <c r="H2238">
        <v>0</v>
      </c>
      <c r="I2238" t="s">
        <v>39</v>
      </c>
      <c r="J2238" t="s">
        <v>31</v>
      </c>
      <c r="K2238" t="s">
        <v>40</v>
      </c>
      <c r="L2238">
        <v>8</v>
      </c>
      <c r="M2238">
        <v>0</v>
      </c>
      <c r="N2238">
        <v>1</v>
      </c>
      <c r="O2238" t="s">
        <v>21</v>
      </c>
      <c r="P2238" t="str">
        <f>TEXT(Table1[[#This Row],[order_date]],"yyyy-mm")</f>
        <v>2025-11</v>
      </c>
      <c r="Q2238">
        <f>WEEKNUM(Table1[[#This Row],[order_date]])</f>
        <v>48</v>
      </c>
      <c r="R2238">
        <f>IF(Table1[[#This Row],[order_status]]="completed",1,0)</f>
        <v>0</v>
      </c>
    </row>
    <row r="2239" spans="1:18" x14ac:dyDescent="0.35">
      <c r="A2239">
        <v>2238</v>
      </c>
      <c r="B2239" s="1">
        <v>46029</v>
      </c>
      <c r="C2239">
        <v>1168</v>
      </c>
      <c r="D2239" t="s">
        <v>15</v>
      </c>
      <c r="E2239" t="s">
        <v>29</v>
      </c>
      <c r="F2239" t="s">
        <v>34</v>
      </c>
      <c r="G2239">
        <v>4</v>
      </c>
      <c r="H2239">
        <v>0</v>
      </c>
      <c r="I2239" t="s">
        <v>18</v>
      </c>
      <c r="J2239" t="s">
        <v>31</v>
      </c>
      <c r="K2239" t="s">
        <v>38</v>
      </c>
      <c r="L2239">
        <v>9</v>
      </c>
      <c r="M2239">
        <v>1</v>
      </c>
      <c r="N2239">
        <v>1</v>
      </c>
      <c r="O2239" t="s">
        <v>21</v>
      </c>
      <c r="P2239" t="str">
        <f>TEXT(Table1[[#This Row],[order_date]],"yyyy-mm")</f>
        <v>2026-01</v>
      </c>
      <c r="Q2239">
        <f>WEEKNUM(Table1[[#This Row],[order_date]])</f>
        <v>2</v>
      </c>
      <c r="R2239">
        <f>IF(Table1[[#This Row],[order_status]]="completed",1,0)</f>
        <v>0</v>
      </c>
    </row>
    <row r="2240" spans="1:18" x14ac:dyDescent="0.35">
      <c r="A2240">
        <v>2239</v>
      </c>
      <c r="B2240" s="1">
        <v>45886</v>
      </c>
      <c r="C2240">
        <v>1380</v>
      </c>
      <c r="D2240" t="s">
        <v>41</v>
      </c>
      <c r="E2240" t="s">
        <v>36</v>
      </c>
      <c r="F2240" t="s">
        <v>30</v>
      </c>
      <c r="G2240">
        <v>5</v>
      </c>
      <c r="H2240">
        <v>17185</v>
      </c>
      <c r="I2240" t="s">
        <v>18</v>
      </c>
      <c r="J2240" t="s">
        <v>19</v>
      </c>
      <c r="K2240" t="s">
        <v>40</v>
      </c>
      <c r="L2240">
        <v>7</v>
      </c>
      <c r="M2240">
        <v>1</v>
      </c>
      <c r="N2240">
        <v>0</v>
      </c>
      <c r="O2240" t="s">
        <v>21</v>
      </c>
      <c r="P2240" t="str">
        <f>TEXT(Table1[[#This Row],[order_date]],"yyyy-mm")</f>
        <v>2025-08</v>
      </c>
      <c r="Q2240">
        <f>WEEKNUM(Table1[[#This Row],[order_date]])</f>
        <v>34</v>
      </c>
      <c r="R2240">
        <f>IF(Table1[[#This Row],[order_status]]="completed",1,0)</f>
        <v>1</v>
      </c>
    </row>
    <row r="2241" spans="1:18" x14ac:dyDescent="0.35">
      <c r="A2241">
        <v>2240</v>
      </c>
      <c r="B2241" s="1">
        <v>45987</v>
      </c>
      <c r="C2241">
        <v>1734</v>
      </c>
      <c r="D2241" t="s">
        <v>15</v>
      </c>
      <c r="E2241" t="s">
        <v>33</v>
      </c>
      <c r="F2241" t="s">
        <v>17</v>
      </c>
      <c r="G2241">
        <v>1</v>
      </c>
      <c r="H2241">
        <v>0</v>
      </c>
      <c r="I2241" t="s">
        <v>25</v>
      </c>
      <c r="J2241" t="s">
        <v>31</v>
      </c>
      <c r="K2241" t="s">
        <v>40</v>
      </c>
      <c r="L2241">
        <v>10</v>
      </c>
      <c r="M2241">
        <v>1</v>
      </c>
      <c r="N2241">
        <v>1</v>
      </c>
      <c r="O2241" t="s">
        <v>21</v>
      </c>
      <c r="P2241" t="str">
        <f>TEXT(Table1[[#This Row],[order_date]],"yyyy-mm")</f>
        <v>2025-11</v>
      </c>
      <c r="Q2241">
        <f>WEEKNUM(Table1[[#This Row],[order_date]])</f>
        <v>48</v>
      </c>
      <c r="R2241">
        <f>IF(Table1[[#This Row],[order_status]]="completed",1,0)</f>
        <v>0</v>
      </c>
    </row>
    <row r="2242" spans="1:18" x14ac:dyDescent="0.35">
      <c r="A2242">
        <v>2241</v>
      </c>
      <c r="B2242" s="1">
        <v>45868</v>
      </c>
      <c r="C2242">
        <v>1179</v>
      </c>
      <c r="D2242" t="s">
        <v>15</v>
      </c>
      <c r="E2242" t="s">
        <v>33</v>
      </c>
      <c r="F2242" t="s">
        <v>17</v>
      </c>
      <c r="G2242">
        <v>4</v>
      </c>
      <c r="H2242">
        <v>0</v>
      </c>
      <c r="I2242" t="s">
        <v>25</v>
      </c>
      <c r="J2242" t="s">
        <v>31</v>
      </c>
      <c r="K2242" t="s">
        <v>40</v>
      </c>
      <c r="L2242">
        <v>3</v>
      </c>
      <c r="M2242">
        <v>0</v>
      </c>
      <c r="N2242">
        <v>0</v>
      </c>
      <c r="O2242" t="s">
        <v>27</v>
      </c>
      <c r="P2242" t="str">
        <f>TEXT(Table1[[#This Row],[order_date]],"yyyy-mm")</f>
        <v>2025-07</v>
      </c>
      <c r="Q2242">
        <f>WEEKNUM(Table1[[#This Row],[order_date]])</f>
        <v>31</v>
      </c>
      <c r="R2242">
        <f>IF(Table1[[#This Row],[order_status]]="completed",1,0)</f>
        <v>0</v>
      </c>
    </row>
    <row r="2243" spans="1:18" x14ac:dyDescent="0.35">
      <c r="A2243">
        <v>2242</v>
      </c>
      <c r="B2243" s="1">
        <v>45883</v>
      </c>
      <c r="C2243">
        <v>1542</v>
      </c>
      <c r="D2243" t="s">
        <v>41</v>
      </c>
      <c r="E2243" t="s">
        <v>16</v>
      </c>
      <c r="F2243" t="s">
        <v>30</v>
      </c>
      <c r="G2243">
        <v>5</v>
      </c>
      <c r="H2243">
        <v>0</v>
      </c>
      <c r="I2243" t="s">
        <v>35</v>
      </c>
      <c r="J2243" t="s">
        <v>31</v>
      </c>
      <c r="K2243" t="s">
        <v>38</v>
      </c>
      <c r="L2243">
        <v>8</v>
      </c>
      <c r="M2243">
        <v>1</v>
      </c>
      <c r="N2243">
        <v>0</v>
      </c>
      <c r="O2243" t="s">
        <v>21</v>
      </c>
      <c r="P2243" t="str">
        <f>TEXT(Table1[[#This Row],[order_date]],"yyyy-mm")</f>
        <v>2025-08</v>
      </c>
      <c r="Q2243">
        <f>WEEKNUM(Table1[[#This Row],[order_date]])</f>
        <v>33</v>
      </c>
      <c r="R2243">
        <f>IF(Table1[[#This Row],[order_status]]="completed",1,0)</f>
        <v>0</v>
      </c>
    </row>
    <row r="2244" spans="1:18" x14ac:dyDescent="0.35">
      <c r="A2244">
        <v>2243</v>
      </c>
      <c r="B2244" s="1">
        <v>45869</v>
      </c>
      <c r="C2244">
        <v>1628</v>
      </c>
      <c r="D2244" t="s">
        <v>28</v>
      </c>
      <c r="E2244" t="s">
        <v>16</v>
      </c>
      <c r="F2244" t="s">
        <v>30</v>
      </c>
      <c r="G2244">
        <v>4</v>
      </c>
      <c r="H2244">
        <v>0</v>
      </c>
      <c r="I2244" t="s">
        <v>18</v>
      </c>
      <c r="J2244" t="s">
        <v>37</v>
      </c>
      <c r="K2244" t="s">
        <v>38</v>
      </c>
      <c r="L2244">
        <v>5</v>
      </c>
      <c r="M2244">
        <v>1</v>
      </c>
      <c r="N2244">
        <v>0</v>
      </c>
      <c r="O2244" t="s">
        <v>21</v>
      </c>
      <c r="P2244" t="str">
        <f>TEXT(Table1[[#This Row],[order_date]],"yyyy-mm")</f>
        <v>2025-07</v>
      </c>
      <c r="Q2244">
        <f>WEEKNUM(Table1[[#This Row],[order_date]])</f>
        <v>31</v>
      </c>
      <c r="R2244">
        <f>IF(Table1[[#This Row],[order_status]]="completed",1,0)</f>
        <v>0</v>
      </c>
    </row>
    <row r="2245" spans="1:18" x14ac:dyDescent="0.35">
      <c r="A2245">
        <v>2244</v>
      </c>
      <c r="B2245" s="1">
        <v>45966</v>
      </c>
      <c r="C2245">
        <v>1294</v>
      </c>
      <c r="D2245" t="s">
        <v>41</v>
      </c>
      <c r="E2245" t="s">
        <v>16</v>
      </c>
      <c r="F2245" t="s">
        <v>30</v>
      </c>
      <c r="G2245">
        <v>5</v>
      </c>
      <c r="H2245">
        <v>21230</v>
      </c>
      <c r="I2245" t="s">
        <v>39</v>
      </c>
      <c r="J2245" t="s">
        <v>19</v>
      </c>
      <c r="K2245" t="s">
        <v>26</v>
      </c>
      <c r="L2245">
        <v>2</v>
      </c>
      <c r="M2245">
        <v>1</v>
      </c>
      <c r="N2245">
        <v>1</v>
      </c>
      <c r="O2245" t="s">
        <v>27</v>
      </c>
      <c r="P2245" t="str">
        <f>TEXT(Table1[[#This Row],[order_date]],"yyyy-mm")</f>
        <v>2025-11</v>
      </c>
      <c r="Q2245">
        <f>WEEKNUM(Table1[[#This Row],[order_date]])</f>
        <v>45</v>
      </c>
      <c r="R2245">
        <f>IF(Table1[[#This Row],[order_status]]="completed",1,0)</f>
        <v>1</v>
      </c>
    </row>
    <row r="2246" spans="1:18" x14ac:dyDescent="0.35">
      <c r="A2246">
        <v>2245</v>
      </c>
      <c r="B2246" s="1">
        <v>45978</v>
      </c>
      <c r="C2246">
        <v>1743</v>
      </c>
      <c r="D2246" t="s">
        <v>41</v>
      </c>
      <c r="E2246" t="s">
        <v>36</v>
      </c>
      <c r="F2246" t="s">
        <v>24</v>
      </c>
      <c r="G2246">
        <v>4</v>
      </c>
      <c r="H2246">
        <v>13692</v>
      </c>
      <c r="I2246" t="s">
        <v>35</v>
      </c>
      <c r="J2246" t="s">
        <v>19</v>
      </c>
      <c r="K2246" t="s">
        <v>38</v>
      </c>
      <c r="L2246">
        <v>10</v>
      </c>
      <c r="M2246">
        <v>1</v>
      </c>
      <c r="N2246">
        <v>0</v>
      </c>
      <c r="O2246" t="s">
        <v>27</v>
      </c>
      <c r="P2246" t="str">
        <f>TEXT(Table1[[#This Row],[order_date]],"yyyy-mm")</f>
        <v>2025-11</v>
      </c>
      <c r="Q2246">
        <f>WEEKNUM(Table1[[#This Row],[order_date]])</f>
        <v>47</v>
      </c>
      <c r="R2246">
        <f>IF(Table1[[#This Row],[order_status]]="completed",1,0)</f>
        <v>1</v>
      </c>
    </row>
    <row r="2247" spans="1:18" x14ac:dyDescent="0.35">
      <c r="A2247">
        <v>2246</v>
      </c>
      <c r="B2247" s="1">
        <v>45901</v>
      </c>
      <c r="C2247">
        <v>1774</v>
      </c>
      <c r="D2247" t="s">
        <v>32</v>
      </c>
      <c r="E2247" t="s">
        <v>23</v>
      </c>
      <c r="F2247" t="s">
        <v>24</v>
      </c>
      <c r="G2247">
        <v>1</v>
      </c>
      <c r="H2247">
        <v>0</v>
      </c>
      <c r="I2247" t="s">
        <v>18</v>
      </c>
      <c r="J2247" t="s">
        <v>37</v>
      </c>
      <c r="K2247" t="s">
        <v>26</v>
      </c>
      <c r="L2247">
        <v>9</v>
      </c>
      <c r="M2247">
        <v>0</v>
      </c>
      <c r="N2247">
        <v>0</v>
      </c>
      <c r="O2247" t="s">
        <v>21</v>
      </c>
      <c r="P2247" t="str">
        <f>TEXT(Table1[[#This Row],[order_date]],"yyyy-mm")</f>
        <v>2025-09</v>
      </c>
      <c r="Q2247">
        <f>WEEKNUM(Table1[[#This Row],[order_date]])</f>
        <v>36</v>
      </c>
      <c r="R2247">
        <f>IF(Table1[[#This Row],[order_status]]="completed",1,0)</f>
        <v>0</v>
      </c>
    </row>
    <row r="2248" spans="1:18" x14ac:dyDescent="0.35">
      <c r="A2248">
        <v>2247</v>
      </c>
      <c r="B2248" s="1">
        <v>46031</v>
      </c>
      <c r="C2248">
        <v>1781</v>
      </c>
      <c r="D2248" t="s">
        <v>32</v>
      </c>
      <c r="E2248" t="s">
        <v>36</v>
      </c>
      <c r="F2248" t="s">
        <v>24</v>
      </c>
      <c r="G2248">
        <v>3</v>
      </c>
      <c r="H2248">
        <v>0</v>
      </c>
      <c r="I2248" t="s">
        <v>18</v>
      </c>
      <c r="J2248" t="s">
        <v>31</v>
      </c>
      <c r="K2248" t="s">
        <v>20</v>
      </c>
      <c r="L2248">
        <v>6</v>
      </c>
      <c r="M2248">
        <v>1</v>
      </c>
      <c r="N2248">
        <v>1</v>
      </c>
      <c r="O2248" t="s">
        <v>21</v>
      </c>
      <c r="P2248" t="str">
        <f>TEXT(Table1[[#This Row],[order_date]],"yyyy-mm")</f>
        <v>2026-01</v>
      </c>
      <c r="Q2248">
        <f>WEEKNUM(Table1[[#This Row],[order_date]])</f>
        <v>2</v>
      </c>
      <c r="R2248">
        <f>IF(Table1[[#This Row],[order_status]]="completed",1,0)</f>
        <v>0</v>
      </c>
    </row>
    <row r="2249" spans="1:18" x14ac:dyDescent="0.35">
      <c r="A2249">
        <v>2248</v>
      </c>
      <c r="B2249" s="1">
        <v>45854</v>
      </c>
      <c r="C2249">
        <v>1048</v>
      </c>
      <c r="D2249" t="s">
        <v>41</v>
      </c>
      <c r="E2249" t="s">
        <v>23</v>
      </c>
      <c r="F2249" t="s">
        <v>17</v>
      </c>
      <c r="G2249">
        <v>3</v>
      </c>
      <c r="H2249">
        <v>0</v>
      </c>
      <c r="I2249" t="s">
        <v>25</v>
      </c>
      <c r="J2249" t="s">
        <v>31</v>
      </c>
      <c r="K2249" t="s">
        <v>26</v>
      </c>
      <c r="L2249">
        <v>10</v>
      </c>
      <c r="M2249">
        <v>1</v>
      </c>
      <c r="N2249">
        <v>0</v>
      </c>
      <c r="O2249" t="s">
        <v>27</v>
      </c>
      <c r="P2249" t="str">
        <f>TEXT(Table1[[#This Row],[order_date]],"yyyy-mm")</f>
        <v>2025-07</v>
      </c>
      <c r="Q2249">
        <f>WEEKNUM(Table1[[#This Row],[order_date]])</f>
        <v>29</v>
      </c>
      <c r="R2249">
        <f>IF(Table1[[#This Row],[order_status]]="completed",1,0)</f>
        <v>0</v>
      </c>
    </row>
    <row r="2250" spans="1:18" x14ac:dyDescent="0.35">
      <c r="A2250">
        <v>2249</v>
      </c>
      <c r="B2250" s="1">
        <v>45935</v>
      </c>
      <c r="C2250">
        <v>1441</v>
      </c>
      <c r="D2250" t="s">
        <v>32</v>
      </c>
      <c r="E2250" t="s">
        <v>33</v>
      </c>
      <c r="F2250" t="s">
        <v>17</v>
      </c>
      <c r="G2250">
        <v>2</v>
      </c>
      <c r="H2250">
        <v>0</v>
      </c>
      <c r="I2250" t="s">
        <v>39</v>
      </c>
      <c r="J2250" t="s">
        <v>31</v>
      </c>
      <c r="K2250" t="s">
        <v>38</v>
      </c>
      <c r="L2250">
        <v>2</v>
      </c>
      <c r="M2250">
        <v>0</v>
      </c>
      <c r="N2250">
        <v>0</v>
      </c>
      <c r="O2250" t="s">
        <v>21</v>
      </c>
      <c r="P2250" t="str">
        <f>TEXT(Table1[[#This Row],[order_date]],"yyyy-mm")</f>
        <v>2025-10</v>
      </c>
      <c r="Q2250">
        <f>WEEKNUM(Table1[[#This Row],[order_date]])</f>
        <v>41</v>
      </c>
      <c r="R2250">
        <f>IF(Table1[[#This Row],[order_status]]="completed",1,0)</f>
        <v>0</v>
      </c>
    </row>
    <row r="2251" spans="1:18" x14ac:dyDescent="0.35">
      <c r="A2251">
        <v>2250</v>
      </c>
      <c r="B2251" s="1">
        <v>45872</v>
      </c>
      <c r="C2251">
        <v>1091</v>
      </c>
      <c r="D2251" t="s">
        <v>22</v>
      </c>
      <c r="E2251" t="s">
        <v>23</v>
      </c>
      <c r="F2251" t="s">
        <v>34</v>
      </c>
      <c r="G2251">
        <v>5</v>
      </c>
      <c r="H2251">
        <v>0</v>
      </c>
      <c r="I2251" t="s">
        <v>35</v>
      </c>
      <c r="J2251" t="s">
        <v>31</v>
      </c>
      <c r="K2251" t="s">
        <v>40</v>
      </c>
      <c r="L2251">
        <v>2</v>
      </c>
      <c r="M2251">
        <v>0</v>
      </c>
      <c r="N2251">
        <v>0</v>
      </c>
      <c r="O2251" t="s">
        <v>27</v>
      </c>
      <c r="P2251" t="str">
        <f>TEXT(Table1[[#This Row],[order_date]],"yyyy-mm")</f>
        <v>2025-08</v>
      </c>
      <c r="Q2251">
        <f>WEEKNUM(Table1[[#This Row],[order_date]])</f>
        <v>32</v>
      </c>
      <c r="R2251">
        <f>IF(Table1[[#This Row],[order_status]]="completed",1,0)</f>
        <v>0</v>
      </c>
    </row>
    <row r="2252" spans="1:18" x14ac:dyDescent="0.35">
      <c r="A2252">
        <v>2251</v>
      </c>
      <c r="B2252" s="1">
        <v>45884</v>
      </c>
      <c r="C2252">
        <v>1579</v>
      </c>
      <c r="D2252" t="s">
        <v>41</v>
      </c>
      <c r="E2252" t="s">
        <v>23</v>
      </c>
      <c r="F2252" t="s">
        <v>30</v>
      </c>
      <c r="G2252">
        <v>3</v>
      </c>
      <c r="H2252">
        <v>0</v>
      </c>
      <c r="I2252" t="s">
        <v>39</v>
      </c>
      <c r="J2252" t="s">
        <v>31</v>
      </c>
      <c r="K2252" t="s">
        <v>26</v>
      </c>
      <c r="L2252">
        <v>9</v>
      </c>
      <c r="M2252">
        <v>0</v>
      </c>
      <c r="N2252">
        <v>1</v>
      </c>
      <c r="O2252" t="s">
        <v>21</v>
      </c>
      <c r="P2252" t="str">
        <f>TEXT(Table1[[#This Row],[order_date]],"yyyy-mm")</f>
        <v>2025-08</v>
      </c>
      <c r="Q2252">
        <f>WEEKNUM(Table1[[#This Row],[order_date]])</f>
        <v>33</v>
      </c>
      <c r="R2252">
        <f>IF(Table1[[#This Row],[order_status]]="completed",1,0)</f>
        <v>0</v>
      </c>
    </row>
    <row r="2253" spans="1:18" x14ac:dyDescent="0.35">
      <c r="A2253">
        <v>2252</v>
      </c>
      <c r="B2253" s="1">
        <v>45950</v>
      </c>
      <c r="C2253">
        <v>1767</v>
      </c>
      <c r="D2253" t="s">
        <v>41</v>
      </c>
      <c r="E2253" t="s">
        <v>36</v>
      </c>
      <c r="F2253" t="s">
        <v>24</v>
      </c>
      <c r="G2253">
        <v>3</v>
      </c>
      <c r="H2253">
        <v>14622</v>
      </c>
      <c r="I2253" t="s">
        <v>18</v>
      </c>
      <c r="J2253" t="s">
        <v>19</v>
      </c>
      <c r="K2253" t="s">
        <v>20</v>
      </c>
      <c r="L2253">
        <v>10</v>
      </c>
      <c r="M2253">
        <v>0</v>
      </c>
      <c r="N2253">
        <v>0</v>
      </c>
      <c r="O2253" t="s">
        <v>21</v>
      </c>
      <c r="P2253" t="str">
        <f>TEXT(Table1[[#This Row],[order_date]],"yyyy-mm")</f>
        <v>2025-10</v>
      </c>
      <c r="Q2253">
        <f>WEEKNUM(Table1[[#This Row],[order_date]])</f>
        <v>43</v>
      </c>
      <c r="R2253">
        <f>IF(Table1[[#This Row],[order_status]]="completed",1,0)</f>
        <v>1</v>
      </c>
    </row>
    <row r="2254" spans="1:18" x14ac:dyDescent="0.35">
      <c r="A2254">
        <v>2253</v>
      </c>
      <c r="B2254" s="1">
        <v>45961</v>
      </c>
      <c r="C2254">
        <v>1765</v>
      </c>
      <c r="D2254" t="s">
        <v>15</v>
      </c>
      <c r="E2254" t="s">
        <v>29</v>
      </c>
      <c r="F2254" t="s">
        <v>17</v>
      </c>
      <c r="G2254">
        <v>5</v>
      </c>
      <c r="H2254">
        <v>0</v>
      </c>
      <c r="I2254" t="s">
        <v>25</v>
      </c>
      <c r="J2254" t="s">
        <v>37</v>
      </c>
      <c r="K2254" t="s">
        <v>40</v>
      </c>
      <c r="L2254">
        <v>1</v>
      </c>
      <c r="M2254">
        <v>1</v>
      </c>
      <c r="N2254">
        <v>1</v>
      </c>
      <c r="O2254" t="s">
        <v>27</v>
      </c>
      <c r="P2254" t="str">
        <f>TEXT(Table1[[#This Row],[order_date]],"yyyy-mm")</f>
        <v>2025-10</v>
      </c>
      <c r="Q2254">
        <f>WEEKNUM(Table1[[#This Row],[order_date]])</f>
        <v>44</v>
      </c>
      <c r="R2254">
        <f>IF(Table1[[#This Row],[order_status]]="completed",1,0)</f>
        <v>0</v>
      </c>
    </row>
    <row r="2255" spans="1:18" x14ac:dyDescent="0.35">
      <c r="A2255">
        <v>2254</v>
      </c>
      <c r="B2255" s="1">
        <v>45955</v>
      </c>
      <c r="C2255">
        <v>1183</v>
      </c>
      <c r="D2255" t="s">
        <v>32</v>
      </c>
      <c r="E2255" t="s">
        <v>16</v>
      </c>
      <c r="F2255" t="s">
        <v>24</v>
      </c>
      <c r="G2255">
        <v>3</v>
      </c>
      <c r="H2255">
        <v>0</v>
      </c>
      <c r="I2255" t="s">
        <v>39</v>
      </c>
      <c r="J2255" t="s">
        <v>37</v>
      </c>
      <c r="K2255" t="s">
        <v>20</v>
      </c>
      <c r="L2255">
        <v>1</v>
      </c>
      <c r="M2255">
        <v>0</v>
      </c>
      <c r="N2255">
        <v>1</v>
      </c>
      <c r="O2255" t="s">
        <v>27</v>
      </c>
      <c r="P2255" t="str">
        <f>TEXT(Table1[[#This Row],[order_date]],"yyyy-mm")</f>
        <v>2025-10</v>
      </c>
      <c r="Q2255">
        <f>WEEKNUM(Table1[[#This Row],[order_date]])</f>
        <v>43</v>
      </c>
      <c r="R2255">
        <f>IF(Table1[[#This Row],[order_status]]="completed",1,0)</f>
        <v>0</v>
      </c>
    </row>
    <row r="2256" spans="1:18" x14ac:dyDescent="0.35">
      <c r="A2256">
        <v>2255</v>
      </c>
      <c r="B2256" s="1">
        <v>45864</v>
      </c>
      <c r="C2256">
        <v>1302</v>
      </c>
      <c r="D2256" t="s">
        <v>22</v>
      </c>
      <c r="E2256" t="s">
        <v>29</v>
      </c>
      <c r="F2256" t="s">
        <v>34</v>
      </c>
      <c r="G2256">
        <v>5</v>
      </c>
      <c r="H2256">
        <v>6205</v>
      </c>
      <c r="I2256" t="s">
        <v>25</v>
      </c>
      <c r="J2256" t="s">
        <v>19</v>
      </c>
      <c r="K2256" t="s">
        <v>26</v>
      </c>
      <c r="L2256">
        <v>1</v>
      </c>
      <c r="M2256">
        <v>0</v>
      </c>
      <c r="N2256">
        <v>1</v>
      </c>
      <c r="O2256" t="s">
        <v>27</v>
      </c>
      <c r="P2256" t="str">
        <f>TEXT(Table1[[#This Row],[order_date]],"yyyy-mm")</f>
        <v>2025-07</v>
      </c>
      <c r="Q2256">
        <f>WEEKNUM(Table1[[#This Row],[order_date]])</f>
        <v>30</v>
      </c>
      <c r="R2256">
        <f>IF(Table1[[#This Row],[order_status]]="completed",1,0)</f>
        <v>1</v>
      </c>
    </row>
    <row r="2257" spans="1:18" x14ac:dyDescent="0.35">
      <c r="A2257">
        <v>2256</v>
      </c>
      <c r="B2257" s="1">
        <v>45905</v>
      </c>
      <c r="C2257">
        <v>1987</v>
      </c>
      <c r="D2257" t="s">
        <v>32</v>
      </c>
      <c r="E2257" t="s">
        <v>36</v>
      </c>
      <c r="F2257" t="s">
        <v>17</v>
      </c>
      <c r="G2257">
        <v>2</v>
      </c>
      <c r="H2257">
        <v>8978</v>
      </c>
      <c r="I2257" t="s">
        <v>18</v>
      </c>
      <c r="J2257" t="s">
        <v>19</v>
      </c>
      <c r="K2257" t="s">
        <v>26</v>
      </c>
      <c r="L2257">
        <v>8</v>
      </c>
      <c r="M2257">
        <v>0</v>
      </c>
      <c r="N2257">
        <v>1</v>
      </c>
      <c r="O2257" t="s">
        <v>21</v>
      </c>
      <c r="P2257" t="str">
        <f>TEXT(Table1[[#This Row],[order_date]],"yyyy-mm")</f>
        <v>2025-09</v>
      </c>
      <c r="Q2257">
        <f>WEEKNUM(Table1[[#This Row],[order_date]])</f>
        <v>36</v>
      </c>
      <c r="R2257">
        <f>IF(Table1[[#This Row],[order_status]]="completed",1,0)</f>
        <v>1</v>
      </c>
    </row>
    <row r="2258" spans="1:18" x14ac:dyDescent="0.35">
      <c r="A2258">
        <v>2257</v>
      </c>
      <c r="B2258" s="1">
        <v>46003</v>
      </c>
      <c r="C2258">
        <v>1803</v>
      </c>
      <c r="D2258" t="s">
        <v>41</v>
      </c>
      <c r="E2258" t="s">
        <v>36</v>
      </c>
      <c r="F2258" t="s">
        <v>30</v>
      </c>
      <c r="G2258">
        <v>2</v>
      </c>
      <c r="H2258">
        <v>0</v>
      </c>
      <c r="I2258" t="s">
        <v>39</v>
      </c>
      <c r="J2258" t="s">
        <v>31</v>
      </c>
      <c r="K2258" t="s">
        <v>40</v>
      </c>
      <c r="L2258">
        <v>9</v>
      </c>
      <c r="M2258">
        <v>0</v>
      </c>
      <c r="N2258">
        <v>0</v>
      </c>
      <c r="O2258" t="s">
        <v>27</v>
      </c>
      <c r="P2258" t="str">
        <f>TEXT(Table1[[#This Row],[order_date]],"yyyy-mm")</f>
        <v>2025-12</v>
      </c>
      <c r="Q2258">
        <f>WEEKNUM(Table1[[#This Row],[order_date]])</f>
        <v>50</v>
      </c>
      <c r="R2258">
        <f>IF(Table1[[#This Row],[order_status]]="completed",1,0)</f>
        <v>0</v>
      </c>
    </row>
    <row r="2259" spans="1:18" x14ac:dyDescent="0.35">
      <c r="A2259">
        <v>2258</v>
      </c>
      <c r="B2259" s="1">
        <v>46007</v>
      </c>
      <c r="C2259">
        <v>1845</v>
      </c>
      <c r="D2259" t="s">
        <v>32</v>
      </c>
      <c r="E2259" t="s">
        <v>33</v>
      </c>
      <c r="F2259" t="s">
        <v>30</v>
      </c>
      <c r="G2259">
        <v>2</v>
      </c>
      <c r="H2259">
        <v>0</v>
      </c>
      <c r="I2259" t="s">
        <v>25</v>
      </c>
      <c r="J2259" t="s">
        <v>37</v>
      </c>
      <c r="K2259" t="s">
        <v>20</v>
      </c>
      <c r="L2259">
        <v>9</v>
      </c>
      <c r="M2259">
        <v>0</v>
      </c>
      <c r="N2259">
        <v>1</v>
      </c>
      <c r="O2259" t="s">
        <v>27</v>
      </c>
      <c r="P2259" t="str">
        <f>TEXT(Table1[[#This Row],[order_date]],"yyyy-mm")</f>
        <v>2025-12</v>
      </c>
      <c r="Q2259">
        <f>WEEKNUM(Table1[[#This Row],[order_date]])</f>
        <v>51</v>
      </c>
      <c r="R2259">
        <f>IF(Table1[[#This Row],[order_status]]="completed",1,0)</f>
        <v>0</v>
      </c>
    </row>
    <row r="2260" spans="1:18" x14ac:dyDescent="0.35">
      <c r="A2260">
        <v>2259</v>
      </c>
      <c r="B2260" s="1">
        <v>45860</v>
      </c>
      <c r="C2260">
        <v>1922</v>
      </c>
      <c r="D2260" t="s">
        <v>22</v>
      </c>
      <c r="E2260" t="s">
        <v>33</v>
      </c>
      <c r="F2260" t="s">
        <v>17</v>
      </c>
      <c r="G2260">
        <v>5</v>
      </c>
      <c r="H2260">
        <v>0</v>
      </c>
      <c r="I2260" t="s">
        <v>39</v>
      </c>
      <c r="J2260" t="s">
        <v>31</v>
      </c>
      <c r="K2260" t="s">
        <v>40</v>
      </c>
      <c r="L2260">
        <v>2</v>
      </c>
      <c r="M2260">
        <v>1</v>
      </c>
      <c r="N2260">
        <v>1</v>
      </c>
      <c r="O2260" t="s">
        <v>27</v>
      </c>
      <c r="P2260" t="str">
        <f>TEXT(Table1[[#This Row],[order_date]],"yyyy-mm")</f>
        <v>2025-07</v>
      </c>
      <c r="Q2260">
        <f>WEEKNUM(Table1[[#This Row],[order_date]])</f>
        <v>30</v>
      </c>
      <c r="R2260">
        <f>IF(Table1[[#This Row],[order_status]]="completed",1,0)</f>
        <v>0</v>
      </c>
    </row>
    <row r="2261" spans="1:18" x14ac:dyDescent="0.35">
      <c r="A2261">
        <v>2260</v>
      </c>
      <c r="B2261" s="1">
        <v>46005</v>
      </c>
      <c r="C2261">
        <v>1590</v>
      </c>
      <c r="D2261" t="s">
        <v>41</v>
      </c>
      <c r="E2261" t="s">
        <v>33</v>
      </c>
      <c r="F2261" t="s">
        <v>30</v>
      </c>
      <c r="G2261">
        <v>5</v>
      </c>
      <c r="H2261">
        <v>0</v>
      </c>
      <c r="I2261" t="s">
        <v>25</v>
      </c>
      <c r="J2261" t="s">
        <v>37</v>
      </c>
      <c r="K2261" t="s">
        <v>40</v>
      </c>
      <c r="L2261">
        <v>6</v>
      </c>
      <c r="M2261">
        <v>1</v>
      </c>
      <c r="N2261">
        <v>1</v>
      </c>
      <c r="O2261" t="s">
        <v>21</v>
      </c>
      <c r="P2261" t="str">
        <f>TEXT(Table1[[#This Row],[order_date]],"yyyy-mm")</f>
        <v>2025-12</v>
      </c>
      <c r="Q2261">
        <f>WEEKNUM(Table1[[#This Row],[order_date]])</f>
        <v>51</v>
      </c>
      <c r="R2261">
        <f>IF(Table1[[#This Row],[order_status]]="completed",1,0)</f>
        <v>0</v>
      </c>
    </row>
    <row r="2262" spans="1:18" x14ac:dyDescent="0.35">
      <c r="A2262">
        <v>2261</v>
      </c>
      <c r="B2262" s="1">
        <v>45856</v>
      </c>
      <c r="C2262">
        <v>1745</v>
      </c>
      <c r="D2262" t="s">
        <v>41</v>
      </c>
      <c r="E2262" t="s">
        <v>23</v>
      </c>
      <c r="F2262" t="s">
        <v>30</v>
      </c>
      <c r="G2262">
        <v>5</v>
      </c>
      <c r="H2262">
        <v>5955</v>
      </c>
      <c r="I2262" t="s">
        <v>35</v>
      </c>
      <c r="J2262" t="s">
        <v>19</v>
      </c>
      <c r="K2262" t="s">
        <v>38</v>
      </c>
      <c r="L2262">
        <v>8</v>
      </c>
      <c r="M2262">
        <v>0</v>
      </c>
      <c r="N2262">
        <v>1</v>
      </c>
      <c r="O2262" t="s">
        <v>21</v>
      </c>
      <c r="P2262" t="str">
        <f>TEXT(Table1[[#This Row],[order_date]],"yyyy-mm")</f>
        <v>2025-07</v>
      </c>
      <c r="Q2262">
        <f>WEEKNUM(Table1[[#This Row],[order_date]])</f>
        <v>29</v>
      </c>
      <c r="R2262">
        <f>IF(Table1[[#This Row],[order_status]]="completed",1,0)</f>
        <v>1</v>
      </c>
    </row>
    <row r="2263" spans="1:18" x14ac:dyDescent="0.35">
      <c r="A2263">
        <v>2262</v>
      </c>
      <c r="B2263" s="1">
        <v>45875</v>
      </c>
      <c r="C2263">
        <v>1723</v>
      </c>
      <c r="D2263" t="s">
        <v>15</v>
      </c>
      <c r="E2263" t="s">
        <v>16</v>
      </c>
      <c r="F2263" t="s">
        <v>34</v>
      </c>
      <c r="G2263">
        <v>3</v>
      </c>
      <c r="H2263">
        <v>0</v>
      </c>
      <c r="I2263" t="s">
        <v>18</v>
      </c>
      <c r="J2263" t="s">
        <v>37</v>
      </c>
      <c r="K2263" t="s">
        <v>38</v>
      </c>
      <c r="L2263">
        <v>10</v>
      </c>
      <c r="M2263">
        <v>0</v>
      </c>
      <c r="N2263">
        <v>1</v>
      </c>
      <c r="O2263" t="s">
        <v>27</v>
      </c>
      <c r="P2263" t="str">
        <f>TEXT(Table1[[#This Row],[order_date]],"yyyy-mm")</f>
        <v>2025-08</v>
      </c>
      <c r="Q2263">
        <f>WEEKNUM(Table1[[#This Row],[order_date]])</f>
        <v>32</v>
      </c>
      <c r="R2263">
        <f>IF(Table1[[#This Row],[order_status]]="completed",1,0)</f>
        <v>0</v>
      </c>
    </row>
    <row r="2264" spans="1:18" x14ac:dyDescent="0.35">
      <c r="A2264">
        <v>2263</v>
      </c>
      <c r="B2264" s="1">
        <v>45958</v>
      </c>
      <c r="C2264">
        <v>1369</v>
      </c>
      <c r="D2264" t="s">
        <v>28</v>
      </c>
      <c r="E2264" t="s">
        <v>36</v>
      </c>
      <c r="F2264" t="s">
        <v>24</v>
      </c>
      <c r="G2264">
        <v>3</v>
      </c>
      <c r="H2264">
        <v>3045</v>
      </c>
      <c r="I2264" t="s">
        <v>18</v>
      </c>
      <c r="J2264" t="s">
        <v>19</v>
      </c>
      <c r="K2264" t="s">
        <v>38</v>
      </c>
      <c r="L2264">
        <v>8</v>
      </c>
      <c r="M2264">
        <v>1</v>
      </c>
      <c r="N2264">
        <v>0</v>
      </c>
      <c r="O2264" t="s">
        <v>21</v>
      </c>
      <c r="P2264" t="str">
        <f>TEXT(Table1[[#This Row],[order_date]],"yyyy-mm")</f>
        <v>2025-10</v>
      </c>
      <c r="Q2264">
        <f>WEEKNUM(Table1[[#This Row],[order_date]])</f>
        <v>44</v>
      </c>
      <c r="R2264">
        <f>IF(Table1[[#This Row],[order_status]]="completed",1,0)</f>
        <v>1</v>
      </c>
    </row>
    <row r="2265" spans="1:18" x14ac:dyDescent="0.35">
      <c r="A2265">
        <v>2264</v>
      </c>
      <c r="B2265" s="1">
        <v>45959</v>
      </c>
      <c r="C2265">
        <v>1496</v>
      </c>
      <c r="D2265" t="s">
        <v>15</v>
      </c>
      <c r="E2265" t="s">
        <v>29</v>
      </c>
      <c r="F2265" t="s">
        <v>17</v>
      </c>
      <c r="G2265">
        <v>1</v>
      </c>
      <c r="H2265">
        <v>3275</v>
      </c>
      <c r="I2265" t="s">
        <v>39</v>
      </c>
      <c r="J2265" t="s">
        <v>19</v>
      </c>
      <c r="K2265" t="s">
        <v>40</v>
      </c>
      <c r="L2265">
        <v>8</v>
      </c>
      <c r="M2265">
        <v>1</v>
      </c>
      <c r="N2265">
        <v>1</v>
      </c>
      <c r="O2265" t="s">
        <v>21</v>
      </c>
      <c r="P2265" t="str">
        <f>TEXT(Table1[[#This Row],[order_date]],"yyyy-mm")</f>
        <v>2025-10</v>
      </c>
      <c r="Q2265">
        <f>WEEKNUM(Table1[[#This Row],[order_date]])</f>
        <v>44</v>
      </c>
      <c r="R2265">
        <f>IF(Table1[[#This Row],[order_status]]="completed",1,0)</f>
        <v>1</v>
      </c>
    </row>
    <row r="2266" spans="1:18" x14ac:dyDescent="0.35">
      <c r="A2266">
        <v>2265</v>
      </c>
      <c r="B2266" s="1">
        <v>45862</v>
      </c>
      <c r="C2266">
        <v>1813</v>
      </c>
      <c r="D2266" t="s">
        <v>28</v>
      </c>
      <c r="E2266" t="s">
        <v>29</v>
      </c>
      <c r="F2266" t="s">
        <v>30</v>
      </c>
      <c r="G2266">
        <v>4</v>
      </c>
      <c r="H2266">
        <v>0</v>
      </c>
      <c r="I2266" t="s">
        <v>39</v>
      </c>
      <c r="J2266" t="s">
        <v>31</v>
      </c>
      <c r="K2266" t="s">
        <v>40</v>
      </c>
      <c r="L2266">
        <v>8</v>
      </c>
      <c r="M2266">
        <v>1</v>
      </c>
      <c r="N2266">
        <v>0</v>
      </c>
      <c r="O2266" t="s">
        <v>21</v>
      </c>
      <c r="P2266" t="str">
        <f>TEXT(Table1[[#This Row],[order_date]],"yyyy-mm")</f>
        <v>2025-07</v>
      </c>
      <c r="Q2266">
        <f>WEEKNUM(Table1[[#This Row],[order_date]])</f>
        <v>30</v>
      </c>
      <c r="R2266">
        <f>IF(Table1[[#This Row],[order_status]]="completed",1,0)</f>
        <v>0</v>
      </c>
    </row>
    <row r="2267" spans="1:18" x14ac:dyDescent="0.35">
      <c r="A2267">
        <v>2266</v>
      </c>
      <c r="B2267" s="1">
        <v>45958</v>
      </c>
      <c r="C2267">
        <v>1921</v>
      </c>
      <c r="D2267" t="s">
        <v>32</v>
      </c>
      <c r="E2267" t="s">
        <v>33</v>
      </c>
      <c r="F2267" t="s">
        <v>30</v>
      </c>
      <c r="G2267">
        <v>3</v>
      </c>
      <c r="H2267">
        <v>0</v>
      </c>
      <c r="I2267" t="s">
        <v>18</v>
      </c>
      <c r="J2267" t="s">
        <v>37</v>
      </c>
      <c r="K2267" t="s">
        <v>38</v>
      </c>
      <c r="L2267">
        <v>7</v>
      </c>
      <c r="M2267">
        <v>1</v>
      </c>
      <c r="N2267">
        <v>0</v>
      </c>
      <c r="O2267" t="s">
        <v>27</v>
      </c>
      <c r="P2267" t="str">
        <f>TEXT(Table1[[#This Row],[order_date]],"yyyy-mm")</f>
        <v>2025-10</v>
      </c>
      <c r="Q2267">
        <f>WEEKNUM(Table1[[#This Row],[order_date]])</f>
        <v>44</v>
      </c>
      <c r="R2267">
        <f>IF(Table1[[#This Row],[order_status]]="completed",1,0)</f>
        <v>0</v>
      </c>
    </row>
    <row r="2268" spans="1:18" x14ac:dyDescent="0.35">
      <c r="A2268">
        <v>2267</v>
      </c>
      <c r="B2268" s="1">
        <v>45969</v>
      </c>
      <c r="C2268">
        <v>1469</v>
      </c>
      <c r="D2268" t="s">
        <v>22</v>
      </c>
      <c r="E2268" t="s">
        <v>33</v>
      </c>
      <c r="F2268" t="s">
        <v>30</v>
      </c>
      <c r="G2268">
        <v>5</v>
      </c>
      <c r="H2268">
        <v>0</v>
      </c>
      <c r="I2268" t="s">
        <v>18</v>
      </c>
      <c r="J2268" t="s">
        <v>37</v>
      </c>
      <c r="K2268" t="s">
        <v>38</v>
      </c>
      <c r="L2268">
        <v>10</v>
      </c>
      <c r="M2268">
        <v>1</v>
      </c>
      <c r="N2268">
        <v>0</v>
      </c>
      <c r="O2268" t="s">
        <v>27</v>
      </c>
      <c r="P2268" t="str">
        <f>TEXT(Table1[[#This Row],[order_date]],"yyyy-mm")</f>
        <v>2025-11</v>
      </c>
      <c r="Q2268">
        <f>WEEKNUM(Table1[[#This Row],[order_date]])</f>
        <v>45</v>
      </c>
      <c r="R2268">
        <f>IF(Table1[[#This Row],[order_status]]="completed",1,0)</f>
        <v>0</v>
      </c>
    </row>
    <row r="2269" spans="1:18" x14ac:dyDescent="0.35">
      <c r="A2269">
        <v>2268</v>
      </c>
      <c r="B2269" s="1">
        <v>46005</v>
      </c>
      <c r="C2269">
        <v>1459</v>
      </c>
      <c r="D2269" t="s">
        <v>28</v>
      </c>
      <c r="E2269" t="s">
        <v>16</v>
      </c>
      <c r="F2269" t="s">
        <v>34</v>
      </c>
      <c r="G2269">
        <v>1</v>
      </c>
      <c r="H2269">
        <v>0</v>
      </c>
      <c r="I2269" t="s">
        <v>25</v>
      </c>
      <c r="J2269" t="s">
        <v>37</v>
      </c>
      <c r="K2269" t="s">
        <v>20</v>
      </c>
      <c r="L2269">
        <v>4</v>
      </c>
      <c r="M2269">
        <v>1</v>
      </c>
      <c r="N2269">
        <v>0</v>
      </c>
      <c r="O2269" t="s">
        <v>21</v>
      </c>
      <c r="P2269" t="str">
        <f>TEXT(Table1[[#This Row],[order_date]],"yyyy-mm")</f>
        <v>2025-12</v>
      </c>
      <c r="Q2269">
        <f>WEEKNUM(Table1[[#This Row],[order_date]])</f>
        <v>51</v>
      </c>
      <c r="R2269">
        <f>IF(Table1[[#This Row],[order_status]]="completed",1,0)</f>
        <v>0</v>
      </c>
    </row>
    <row r="2270" spans="1:18" x14ac:dyDescent="0.35">
      <c r="A2270">
        <v>2269</v>
      </c>
      <c r="B2270" s="1">
        <v>45896</v>
      </c>
      <c r="C2270">
        <v>1382</v>
      </c>
      <c r="D2270" t="s">
        <v>15</v>
      </c>
      <c r="E2270" t="s">
        <v>36</v>
      </c>
      <c r="F2270" t="s">
        <v>30</v>
      </c>
      <c r="G2270">
        <v>5</v>
      </c>
      <c r="H2270">
        <v>18895</v>
      </c>
      <c r="I2270" t="s">
        <v>25</v>
      </c>
      <c r="J2270" t="s">
        <v>19</v>
      </c>
      <c r="K2270" t="s">
        <v>26</v>
      </c>
      <c r="L2270">
        <v>9</v>
      </c>
      <c r="M2270">
        <v>1</v>
      </c>
      <c r="N2270">
        <v>0</v>
      </c>
      <c r="O2270" t="s">
        <v>27</v>
      </c>
      <c r="P2270" t="str">
        <f>TEXT(Table1[[#This Row],[order_date]],"yyyy-mm")</f>
        <v>2025-08</v>
      </c>
      <c r="Q2270">
        <f>WEEKNUM(Table1[[#This Row],[order_date]])</f>
        <v>35</v>
      </c>
      <c r="R2270">
        <f>IF(Table1[[#This Row],[order_status]]="completed",1,0)</f>
        <v>1</v>
      </c>
    </row>
    <row r="2271" spans="1:18" x14ac:dyDescent="0.35">
      <c r="A2271">
        <v>2270</v>
      </c>
      <c r="B2271" s="1">
        <v>45961</v>
      </c>
      <c r="C2271">
        <v>1984</v>
      </c>
      <c r="D2271" t="s">
        <v>32</v>
      </c>
      <c r="E2271" t="s">
        <v>36</v>
      </c>
      <c r="F2271" t="s">
        <v>30</v>
      </c>
      <c r="G2271">
        <v>3</v>
      </c>
      <c r="H2271">
        <v>10839</v>
      </c>
      <c r="I2271" t="s">
        <v>39</v>
      </c>
      <c r="J2271" t="s">
        <v>19</v>
      </c>
      <c r="K2271" t="s">
        <v>20</v>
      </c>
      <c r="L2271">
        <v>3</v>
      </c>
      <c r="M2271">
        <v>0</v>
      </c>
      <c r="N2271">
        <v>0</v>
      </c>
      <c r="O2271" t="s">
        <v>27</v>
      </c>
      <c r="P2271" t="str">
        <f>TEXT(Table1[[#This Row],[order_date]],"yyyy-mm")</f>
        <v>2025-10</v>
      </c>
      <c r="Q2271">
        <f>WEEKNUM(Table1[[#This Row],[order_date]])</f>
        <v>44</v>
      </c>
      <c r="R2271">
        <f>IF(Table1[[#This Row],[order_status]]="completed",1,0)</f>
        <v>1</v>
      </c>
    </row>
    <row r="2272" spans="1:18" x14ac:dyDescent="0.35">
      <c r="A2272">
        <v>2271</v>
      </c>
      <c r="B2272" s="1">
        <v>45947</v>
      </c>
      <c r="C2272">
        <v>1320</v>
      </c>
      <c r="D2272" t="s">
        <v>28</v>
      </c>
      <c r="E2272" t="s">
        <v>33</v>
      </c>
      <c r="F2272" t="s">
        <v>34</v>
      </c>
      <c r="G2272">
        <v>5</v>
      </c>
      <c r="H2272">
        <v>0</v>
      </c>
      <c r="I2272" t="s">
        <v>39</v>
      </c>
      <c r="J2272" t="s">
        <v>31</v>
      </c>
      <c r="K2272" t="s">
        <v>20</v>
      </c>
      <c r="L2272">
        <v>5</v>
      </c>
      <c r="M2272">
        <v>1</v>
      </c>
      <c r="N2272">
        <v>0</v>
      </c>
      <c r="O2272" t="s">
        <v>21</v>
      </c>
      <c r="P2272" t="str">
        <f>TEXT(Table1[[#This Row],[order_date]],"yyyy-mm")</f>
        <v>2025-10</v>
      </c>
      <c r="Q2272">
        <f>WEEKNUM(Table1[[#This Row],[order_date]])</f>
        <v>42</v>
      </c>
      <c r="R2272">
        <f>IF(Table1[[#This Row],[order_status]]="completed",1,0)</f>
        <v>0</v>
      </c>
    </row>
    <row r="2273" spans="1:18" x14ac:dyDescent="0.35">
      <c r="A2273">
        <v>2272</v>
      </c>
      <c r="B2273" s="1">
        <v>45924</v>
      </c>
      <c r="C2273">
        <v>1601</v>
      </c>
      <c r="D2273" t="s">
        <v>28</v>
      </c>
      <c r="E2273" t="s">
        <v>23</v>
      </c>
      <c r="F2273" t="s">
        <v>24</v>
      </c>
      <c r="G2273">
        <v>1</v>
      </c>
      <c r="H2273">
        <v>0</v>
      </c>
      <c r="I2273" t="s">
        <v>18</v>
      </c>
      <c r="J2273" t="s">
        <v>31</v>
      </c>
      <c r="K2273" t="s">
        <v>20</v>
      </c>
      <c r="L2273">
        <v>6</v>
      </c>
      <c r="M2273">
        <v>1</v>
      </c>
      <c r="N2273">
        <v>1</v>
      </c>
      <c r="O2273" t="s">
        <v>27</v>
      </c>
      <c r="P2273" t="str">
        <f>TEXT(Table1[[#This Row],[order_date]],"yyyy-mm")</f>
        <v>2025-09</v>
      </c>
      <c r="Q2273">
        <f>WEEKNUM(Table1[[#This Row],[order_date]])</f>
        <v>39</v>
      </c>
      <c r="R2273">
        <f>IF(Table1[[#This Row],[order_status]]="completed",1,0)</f>
        <v>0</v>
      </c>
    </row>
    <row r="2274" spans="1:18" x14ac:dyDescent="0.35">
      <c r="A2274">
        <v>2273</v>
      </c>
      <c r="B2274" s="1">
        <v>45882</v>
      </c>
      <c r="C2274">
        <v>1371</v>
      </c>
      <c r="D2274" t="s">
        <v>15</v>
      </c>
      <c r="E2274" t="s">
        <v>29</v>
      </c>
      <c r="F2274" t="s">
        <v>34</v>
      </c>
      <c r="G2274">
        <v>1</v>
      </c>
      <c r="H2274">
        <v>0</v>
      </c>
      <c r="I2274" t="s">
        <v>39</v>
      </c>
      <c r="J2274" t="s">
        <v>37</v>
      </c>
      <c r="K2274" t="s">
        <v>40</v>
      </c>
      <c r="L2274">
        <v>2</v>
      </c>
      <c r="M2274">
        <v>1</v>
      </c>
      <c r="N2274">
        <v>0</v>
      </c>
      <c r="O2274" t="s">
        <v>21</v>
      </c>
      <c r="P2274" t="str">
        <f>TEXT(Table1[[#This Row],[order_date]],"yyyy-mm")</f>
        <v>2025-08</v>
      </c>
      <c r="Q2274">
        <f>WEEKNUM(Table1[[#This Row],[order_date]])</f>
        <v>33</v>
      </c>
      <c r="R2274">
        <f>IF(Table1[[#This Row],[order_status]]="completed",1,0)</f>
        <v>0</v>
      </c>
    </row>
    <row r="2275" spans="1:18" x14ac:dyDescent="0.35">
      <c r="A2275">
        <v>2274</v>
      </c>
      <c r="B2275" s="1">
        <v>45988</v>
      </c>
      <c r="C2275">
        <v>1672</v>
      </c>
      <c r="D2275" t="s">
        <v>28</v>
      </c>
      <c r="E2275" t="s">
        <v>16</v>
      </c>
      <c r="F2275" t="s">
        <v>30</v>
      </c>
      <c r="G2275">
        <v>3</v>
      </c>
      <c r="H2275">
        <v>0</v>
      </c>
      <c r="I2275" t="s">
        <v>18</v>
      </c>
      <c r="J2275" t="s">
        <v>31</v>
      </c>
      <c r="K2275" t="s">
        <v>40</v>
      </c>
      <c r="L2275">
        <v>8</v>
      </c>
      <c r="M2275">
        <v>0</v>
      </c>
      <c r="N2275">
        <v>0</v>
      </c>
      <c r="O2275" t="s">
        <v>21</v>
      </c>
      <c r="P2275" t="str">
        <f>TEXT(Table1[[#This Row],[order_date]],"yyyy-mm")</f>
        <v>2025-11</v>
      </c>
      <c r="Q2275">
        <f>WEEKNUM(Table1[[#This Row],[order_date]])</f>
        <v>48</v>
      </c>
      <c r="R2275">
        <f>IF(Table1[[#This Row],[order_status]]="completed",1,0)</f>
        <v>0</v>
      </c>
    </row>
    <row r="2276" spans="1:18" x14ac:dyDescent="0.35">
      <c r="A2276">
        <v>2275</v>
      </c>
      <c r="B2276" s="1">
        <v>46023</v>
      </c>
      <c r="C2276">
        <v>1957</v>
      </c>
      <c r="D2276" t="s">
        <v>32</v>
      </c>
      <c r="E2276" t="s">
        <v>36</v>
      </c>
      <c r="F2276" t="s">
        <v>24</v>
      </c>
      <c r="G2276">
        <v>4</v>
      </c>
      <c r="H2276">
        <v>0</v>
      </c>
      <c r="I2276" t="s">
        <v>35</v>
      </c>
      <c r="J2276" t="s">
        <v>37</v>
      </c>
      <c r="K2276" t="s">
        <v>40</v>
      </c>
      <c r="L2276">
        <v>5</v>
      </c>
      <c r="M2276">
        <v>0</v>
      </c>
      <c r="N2276">
        <v>0</v>
      </c>
      <c r="O2276" t="s">
        <v>21</v>
      </c>
      <c r="P2276" t="str">
        <f>TEXT(Table1[[#This Row],[order_date]],"yyyy-mm")</f>
        <v>2026-01</v>
      </c>
      <c r="Q2276">
        <f>WEEKNUM(Table1[[#This Row],[order_date]])</f>
        <v>1</v>
      </c>
      <c r="R2276">
        <f>IF(Table1[[#This Row],[order_status]]="completed",1,0)</f>
        <v>0</v>
      </c>
    </row>
    <row r="2277" spans="1:18" x14ac:dyDescent="0.35">
      <c r="A2277">
        <v>2276</v>
      </c>
      <c r="B2277" s="1">
        <v>45891</v>
      </c>
      <c r="C2277">
        <v>1533</v>
      </c>
      <c r="D2277" t="s">
        <v>28</v>
      </c>
      <c r="E2277" t="s">
        <v>29</v>
      </c>
      <c r="F2277" t="s">
        <v>17</v>
      </c>
      <c r="G2277">
        <v>5</v>
      </c>
      <c r="H2277">
        <v>2070</v>
      </c>
      <c r="I2277" t="s">
        <v>25</v>
      </c>
      <c r="J2277" t="s">
        <v>19</v>
      </c>
      <c r="K2277" t="s">
        <v>40</v>
      </c>
      <c r="L2277">
        <v>7</v>
      </c>
      <c r="M2277">
        <v>0</v>
      </c>
      <c r="N2277">
        <v>0</v>
      </c>
      <c r="O2277" t="s">
        <v>21</v>
      </c>
      <c r="P2277" t="str">
        <f>TEXT(Table1[[#This Row],[order_date]],"yyyy-mm")</f>
        <v>2025-08</v>
      </c>
      <c r="Q2277">
        <f>WEEKNUM(Table1[[#This Row],[order_date]])</f>
        <v>34</v>
      </c>
      <c r="R2277">
        <f>IF(Table1[[#This Row],[order_status]]="completed",1,0)</f>
        <v>1</v>
      </c>
    </row>
    <row r="2278" spans="1:18" x14ac:dyDescent="0.35">
      <c r="A2278">
        <v>2277</v>
      </c>
      <c r="B2278" s="1">
        <v>45875</v>
      </c>
      <c r="C2278">
        <v>1491</v>
      </c>
      <c r="D2278" t="s">
        <v>15</v>
      </c>
      <c r="E2278" t="s">
        <v>33</v>
      </c>
      <c r="F2278" t="s">
        <v>30</v>
      </c>
      <c r="G2278">
        <v>4</v>
      </c>
      <c r="H2278">
        <v>0</v>
      </c>
      <c r="I2278" t="s">
        <v>35</v>
      </c>
      <c r="J2278" t="s">
        <v>37</v>
      </c>
      <c r="K2278" t="s">
        <v>26</v>
      </c>
      <c r="L2278">
        <v>8</v>
      </c>
      <c r="M2278">
        <v>1</v>
      </c>
      <c r="N2278">
        <v>0</v>
      </c>
      <c r="O2278" t="s">
        <v>21</v>
      </c>
      <c r="P2278" t="str">
        <f>TEXT(Table1[[#This Row],[order_date]],"yyyy-mm")</f>
        <v>2025-08</v>
      </c>
      <c r="Q2278">
        <f>WEEKNUM(Table1[[#This Row],[order_date]])</f>
        <v>32</v>
      </c>
      <c r="R2278">
        <f>IF(Table1[[#This Row],[order_status]]="completed",1,0)</f>
        <v>0</v>
      </c>
    </row>
    <row r="2279" spans="1:18" x14ac:dyDescent="0.35">
      <c r="A2279">
        <v>2278</v>
      </c>
      <c r="B2279" s="1">
        <v>45977</v>
      </c>
      <c r="C2279">
        <v>1259</v>
      </c>
      <c r="D2279" t="s">
        <v>32</v>
      </c>
      <c r="E2279" t="s">
        <v>33</v>
      </c>
      <c r="F2279" t="s">
        <v>17</v>
      </c>
      <c r="G2279">
        <v>2</v>
      </c>
      <c r="H2279">
        <v>0</v>
      </c>
      <c r="I2279" t="s">
        <v>18</v>
      </c>
      <c r="J2279" t="s">
        <v>31</v>
      </c>
      <c r="K2279" t="s">
        <v>38</v>
      </c>
      <c r="L2279">
        <v>1</v>
      </c>
      <c r="M2279">
        <v>0</v>
      </c>
      <c r="N2279">
        <v>0</v>
      </c>
      <c r="O2279" t="s">
        <v>27</v>
      </c>
      <c r="P2279" t="str">
        <f>TEXT(Table1[[#This Row],[order_date]],"yyyy-mm")</f>
        <v>2025-11</v>
      </c>
      <c r="Q2279">
        <f>WEEKNUM(Table1[[#This Row],[order_date]])</f>
        <v>47</v>
      </c>
      <c r="R2279">
        <f>IF(Table1[[#This Row],[order_status]]="completed",1,0)</f>
        <v>0</v>
      </c>
    </row>
    <row r="2280" spans="1:18" x14ac:dyDescent="0.35">
      <c r="A2280">
        <v>2279</v>
      </c>
      <c r="B2280" s="1">
        <v>45902</v>
      </c>
      <c r="C2280">
        <v>1933</v>
      </c>
      <c r="D2280" t="s">
        <v>32</v>
      </c>
      <c r="E2280" t="s">
        <v>29</v>
      </c>
      <c r="F2280" t="s">
        <v>24</v>
      </c>
      <c r="G2280">
        <v>4</v>
      </c>
      <c r="H2280">
        <v>14868</v>
      </c>
      <c r="I2280" t="s">
        <v>39</v>
      </c>
      <c r="J2280" t="s">
        <v>19</v>
      </c>
      <c r="K2280" t="s">
        <v>38</v>
      </c>
      <c r="L2280">
        <v>6</v>
      </c>
      <c r="M2280">
        <v>1</v>
      </c>
      <c r="N2280">
        <v>1</v>
      </c>
      <c r="O2280" t="s">
        <v>27</v>
      </c>
      <c r="P2280" t="str">
        <f>TEXT(Table1[[#This Row],[order_date]],"yyyy-mm")</f>
        <v>2025-09</v>
      </c>
      <c r="Q2280">
        <f>WEEKNUM(Table1[[#This Row],[order_date]])</f>
        <v>36</v>
      </c>
      <c r="R2280">
        <f>IF(Table1[[#This Row],[order_status]]="completed",1,0)</f>
        <v>1</v>
      </c>
    </row>
    <row r="2281" spans="1:18" x14ac:dyDescent="0.35">
      <c r="A2281">
        <v>2280</v>
      </c>
      <c r="B2281" s="1">
        <v>45935</v>
      </c>
      <c r="C2281">
        <v>1478</v>
      </c>
      <c r="D2281" t="s">
        <v>28</v>
      </c>
      <c r="E2281" t="s">
        <v>16</v>
      </c>
      <c r="F2281" t="s">
        <v>30</v>
      </c>
      <c r="G2281">
        <v>4</v>
      </c>
      <c r="H2281">
        <v>0</v>
      </c>
      <c r="I2281" t="s">
        <v>35</v>
      </c>
      <c r="J2281" t="s">
        <v>31</v>
      </c>
      <c r="K2281" t="s">
        <v>40</v>
      </c>
      <c r="L2281">
        <v>8</v>
      </c>
      <c r="M2281">
        <v>1</v>
      </c>
      <c r="N2281">
        <v>1</v>
      </c>
      <c r="O2281" t="s">
        <v>21</v>
      </c>
      <c r="P2281" t="str">
        <f>TEXT(Table1[[#This Row],[order_date]],"yyyy-mm")</f>
        <v>2025-10</v>
      </c>
      <c r="Q2281">
        <f>WEEKNUM(Table1[[#This Row],[order_date]])</f>
        <v>41</v>
      </c>
      <c r="R2281">
        <f>IF(Table1[[#This Row],[order_status]]="completed",1,0)</f>
        <v>0</v>
      </c>
    </row>
    <row r="2282" spans="1:18" x14ac:dyDescent="0.35">
      <c r="A2282">
        <v>2281</v>
      </c>
      <c r="B2282" s="1">
        <v>45968</v>
      </c>
      <c r="C2282">
        <v>1426</v>
      </c>
      <c r="D2282" t="s">
        <v>15</v>
      </c>
      <c r="E2282" t="s">
        <v>16</v>
      </c>
      <c r="F2282" t="s">
        <v>34</v>
      </c>
      <c r="G2282">
        <v>4</v>
      </c>
      <c r="H2282">
        <v>2792</v>
      </c>
      <c r="I2282" t="s">
        <v>39</v>
      </c>
      <c r="J2282" t="s">
        <v>19</v>
      </c>
      <c r="K2282" t="s">
        <v>40</v>
      </c>
      <c r="L2282">
        <v>8</v>
      </c>
      <c r="M2282">
        <v>1</v>
      </c>
      <c r="N2282">
        <v>1</v>
      </c>
      <c r="O2282" t="s">
        <v>27</v>
      </c>
      <c r="P2282" t="str">
        <f>TEXT(Table1[[#This Row],[order_date]],"yyyy-mm")</f>
        <v>2025-11</v>
      </c>
      <c r="Q2282">
        <f>WEEKNUM(Table1[[#This Row],[order_date]])</f>
        <v>45</v>
      </c>
      <c r="R2282">
        <f>IF(Table1[[#This Row],[order_status]]="completed",1,0)</f>
        <v>1</v>
      </c>
    </row>
    <row r="2283" spans="1:18" x14ac:dyDescent="0.35">
      <c r="A2283">
        <v>2282</v>
      </c>
      <c r="B2283" s="1">
        <v>45898</v>
      </c>
      <c r="C2283">
        <v>1079</v>
      </c>
      <c r="D2283" t="s">
        <v>41</v>
      </c>
      <c r="E2283" t="s">
        <v>16</v>
      </c>
      <c r="F2283" t="s">
        <v>17</v>
      </c>
      <c r="G2283">
        <v>2</v>
      </c>
      <c r="H2283">
        <v>9182</v>
      </c>
      <c r="I2283" t="s">
        <v>35</v>
      </c>
      <c r="J2283" t="s">
        <v>19</v>
      </c>
      <c r="K2283" t="s">
        <v>26</v>
      </c>
      <c r="L2283">
        <v>5</v>
      </c>
      <c r="M2283">
        <v>0</v>
      </c>
      <c r="N2283">
        <v>0</v>
      </c>
      <c r="O2283" t="s">
        <v>27</v>
      </c>
      <c r="P2283" t="str">
        <f>TEXT(Table1[[#This Row],[order_date]],"yyyy-mm")</f>
        <v>2025-08</v>
      </c>
      <c r="Q2283">
        <f>WEEKNUM(Table1[[#This Row],[order_date]])</f>
        <v>35</v>
      </c>
      <c r="R2283">
        <f>IF(Table1[[#This Row],[order_status]]="completed",1,0)</f>
        <v>1</v>
      </c>
    </row>
    <row r="2284" spans="1:18" x14ac:dyDescent="0.35">
      <c r="A2284">
        <v>2283</v>
      </c>
      <c r="B2284" s="1">
        <v>45967</v>
      </c>
      <c r="C2284">
        <v>1421</v>
      </c>
      <c r="D2284" t="s">
        <v>15</v>
      </c>
      <c r="E2284" t="s">
        <v>16</v>
      </c>
      <c r="F2284" t="s">
        <v>34</v>
      </c>
      <c r="G2284">
        <v>3</v>
      </c>
      <c r="H2284">
        <v>0</v>
      </c>
      <c r="I2284" t="s">
        <v>18</v>
      </c>
      <c r="J2284" t="s">
        <v>31</v>
      </c>
      <c r="K2284" t="s">
        <v>26</v>
      </c>
      <c r="L2284">
        <v>8</v>
      </c>
      <c r="M2284">
        <v>0</v>
      </c>
      <c r="N2284">
        <v>1</v>
      </c>
      <c r="O2284" t="s">
        <v>21</v>
      </c>
      <c r="P2284" t="str">
        <f>TEXT(Table1[[#This Row],[order_date]],"yyyy-mm")</f>
        <v>2025-11</v>
      </c>
      <c r="Q2284">
        <f>WEEKNUM(Table1[[#This Row],[order_date]])</f>
        <v>45</v>
      </c>
      <c r="R2284">
        <f>IF(Table1[[#This Row],[order_status]]="completed",1,0)</f>
        <v>0</v>
      </c>
    </row>
    <row r="2285" spans="1:18" x14ac:dyDescent="0.35">
      <c r="A2285">
        <v>2284</v>
      </c>
      <c r="B2285" s="1">
        <v>46018</v>
      </c>
      <c r="C2285">
        <v>1553</v>
      </c>
      <c r="D2285" t="s">
        <v>41</v>
      </c>
      <c r="E2285" t="s">
        <v>16</v>
      </c>
      <c r="F2285" t="s">
        <v>17</v>
      </c>
      <c r="G2285">
        <v>2</v>
      </c>
      <c r="H2285">
        <v>0</v>
      </c>
      <c r="I2285" t="s">
        <v>25</v>
      </c>
      <c r="J2285" t="s">
        <v>37</v>
      </c>
      <c r="K2285" t="s">
        <v>26</v>
      </c>
      <c r="L2285">
        <v>5</v>
      </c>
      <c r="M2285">
        <v>0</v>
      </c>
      <c r="N2285">
        <v>1</v>
      </c>
      <c r="O2285" t="s">
        <v>27</v>
      </c>
      <c r="P2285" t="str">
        <f>TEXT(Table1[[#This Row],[order_date]],"yyyy-mm")</f>
        <v>2025-12</v>
      </c>
      <c r="Q2285">
        <f>WEEKNUM(Table1[[#This Row],[order_date]])</f>
        <v>52</v>
      </c>
      <c r="R2285">
        <f>IF(Table1[[#This Row],[order_status]]="completed",1,0)</f>
        <v>0</v>
      </c>
    </row>
    <row r="2286" spans="1:18" x14ac:dyDescent="0.35">
      <c r="A2286">
        <v>2285</v>
      </c>
      <c r="B2286" s="1">
        <v>45960</v>
      </c>
      <c r="C2286">
        <v>1852</v>
      </c>
      <c r="D2286" t="s">
        <v>15</v>
      </c>
      <c r="E2286" t="s">
        <v>23</v>
      </c>
      <c r="F2286" t="s">
        <v>17</v>
      </c>
      <c r="G2286">
        <v>2</v>
      </c>
      <c r="H2286">
        <v>3360</v>
      </c>
      <c r="I2286" t="s">
        <v>39</v>
      </c>
      <c r="J2286" t="s">
        <v>19</v>
      </c>
      <c r="K2286" t="s">
        <v>38</v>
      </c>
      <c r="L2286">
        <v>8</v>
      </c>
      <c r="M2286">
        <v>1</v>
      </c>
      <c r="N2286">
        <v>0</v>
      </c>
      <c r="O2286" t="s">
        <v>21</v>
      </c>
      <c r="P2286" t="str">
        <f>TEXT(Table1[[#This Row],[order_date]],"yyyy-mm")</f>
        <v>2025-10</v>
      </c>
      <c r="Q2286">
        <f>WEEKNUM(Table1[[#This Row],[order_date]])</f>
        <v>44</v>
      </c>
      <c r="R2286">
        <f>IF(Table1[[#This Row],[order_status]]="completed",1,0)</f>
        <v>1</v>
      </c>
    </row>
    <row r="2287" spans="1:18" x14ac:dyDescent="0.35">
      <c r="A2287">
        <v>2286</v>
      </c>
      <c r="B2287" s="1">
        <v>45860</v>
      </c>
      <c r="C2287">
        <v>1843</v>
      </c>
      <c r="D2287" t="s">
        <v>32</v>
      </c>
      <c r="E2287" t="s">
        <v>36</v>
      </c>
      <c r="F2287" t="s">
        <v>17</v>
      </c>
      <c r="G2287">
        <v>1</v>
      </c>
      <c r="H2287">
        <v>2520</v>
      </c>
      <c r="I2287" t="s">
        <v>25</v>
      </c>
      <c r="J2287" t="s">
        <v>19</v>
      </c>
      <c r="K2287" t="s">
        <v>38</v>
      </c>
      <c r="L2287">
        <v>6</v>
      </c>
      <c r="M2287">
        <v>1</v>
      </c>
      <c r="N2287">
        <v>1</v>
      </c>
      <c r="O2287" t="s">
        <v>21</v>
      </c>
      <c r="P2287" t="str">
        <f>TEXT(Table1[[#This Row],[order_date]],"yyyy-mm")</f>
        <v>2025-07</v>
      </c>
      <c r="Q2287">
        <f>WEEKNUM(Table1[[#This Row],[order_date]])</f>
        <v>30</v>
      </c>
      <c r="R2287">
        <f>IF(Table1[[#This Row],[order_status]]="completed",1,0)</f>
        <v>1</v>
      </c>
    </row>
    <row r="2288" spans="1:18" x14ac:dyDescent="0.35">
      <c r="A2288">
        <v>2287</v>
      </c>
      <c r="B2288" s="1">
        <v>46009</v>
      </c>
      <c r="C2288">
        <v>1754</v>
      </c>
      <c r="D2288" t="s">
        <v>41</v>
      </c>
      <c r="E2288" t="s">
        <v>29</v>
      </c>
      <c r="F2288" t="s">
        <v>30</v>
      </c>
      <c r="G2288">
        <v>4</v>
      </c>
      <c r="H2288">
        <v>0</v>
      </c>
      <c r="I2288" t="s">
        <v>39</v>
      </c>
      <c r="J2288" t="s">
        <v>31</v>
      </c>
      <c r="K2288" t="s">
        <v>26</v>
      </c>
      <c r="L2288">
        <v>10</v>
      </c>
      <c r="M2288">
        <v>1</v>
      </c>
      <c r="N2288">
        <v>1</v>
      </c>
      <c r="O2288" t="s">
        <v>27</v>
      </c>
      <c r="P2288" t="str">
        <f>TEXT(Table1[[#This Row],[order_date]],"yyyy-mm")</f>
        <v>2025-12</v>
      </c>
      <c r="Q2288">
        <f>WEEKNUM(Table1[[#This Row],[order_date]])</f>
        <v>51</v>
      </c>
      <c r="R2288">
        <f>IF(Table1[[#This Row],[order_status]]="completed",1,0)</f>
        <v>0</v>
      </c>
    </row>
    <row r="2289" spans="1:18" x14ac:dyDescent="0.35">
      <c r="A2289">
        <v>2288</v>
      </c>
      <c r="B2289" s="1">
        <v>45963</v>
      </c>
      <c r="C2289">
        <v>1532</v>
      </c>
      <c r="D2289" t="s">
        <v>15</v>
      </c>
      <c r="E2289" t="s">
        <v>23</v>
      </c>
      <c r="F2289" t="s">
        <v>30</v>
      </c>
      <c r="G2289">
        <v>5</v>
      </c>
      <c r="H2289">
        <v>0</v>
      </c>
      <c r="I2289" t="s">
        <v>25</v>
      </c>
      <c r="J2289" t="s">
        <v>37</v>
      </c>
      <c r="K2289" t="s">
        <v>40</v>
      </c>
      <c r="L2289">
        <v>9</v>
      </c>
      <c r="M2289">
        <v>0</v>
      </c>
      <c r="N2289">
        <v>1</v>
      </c>
      <c r="O2289" t="s">
        <v>27</v>
      </c>
      <c r="P2289" t="str">
        <f>TEXT(Table1[[#This Row],[order_date]],"yyyy-mm")</f>
        <v>2025-11</v>
      </c>
      <c r="Q2289">
        <f>WEEKNUM(Table1[[#This Row],[order_date]])</f>
        <v>45</v>
      </c>
      <c r="R2289">
        <f>IF(Table1[[#This Row],[order_status]]="completed",1,0)</f>
        <v>0</v>
      </c>
    </row>
    <row r="2290" spans="1:18" x14ac:dyDescent="0.35">
      <c r="A2290">
        <v>2289</v>
      </c>
      <c r="B2290" s="1">
        <v>45896</v>
      </c>
      <c r="C2290">
        <v>1473</v>
      </c>
      <c r="D2290" t="s">
        <v>32</v>
      </c>
      <c r="E2290" t="s">
        <v>29</v>
      </c>
      <c r="F2290" t="s">
        <v>24</v>
      </c>
      <c r="G2290">
        <v>4</v>
      </c>
      <c r="H2290">
        <v>11732</v>
      </c>
      <c r="I2290" t="s">
        <v>25</v>
      </c>
      <c r="J2290" t="s">
        <v>19</v>
      </c>
      <c r="K2290" t="s">
        <v>26</v>
      </c>
      <c r="L2290">
        <v>1</v>
      </c>
      <c r="M2290">
        <v>1</v>
      </c>
      <c r="N2290">
        <v>1</v>
      </c>
      <c r="O2290" t="s">
        <v>27</v>
      </c>
      <c r="P2290" t="str">
        <f>TEXT(Table1[[#This Row],[order_date]],"yyyy-mm")</f>
        <v>2025-08</v>
      </c>
      <c r="Q2290">
        <f>WEEKNUM(Table1[[#This Row],[order_date]])</f>
        <v>35</v>
      </c>
      <c r="R2290">
        <f>IF(Table1[[#This Row],[order_status]]="completed",1,0)</f>
        <v>1</v>
      </c>
    </row>
    <row r="2291" spans="1:18" x14ac:dyDescent="0.35">
      <c r="A2291">
        <v>2290</v>
      </c>
      <c r="B2291" s="1">
        <v>45860</v>
      </c>
      <c r="C2291">
        <v>1236</v>
      </c>
      <c r="D2291" t="s">
        <v>15</v>
      </c>
      <c r="E2291" t="s">
        <v>23</v>
      </c>
      <c r="F2291" t="s">
        <v>24</v>
      </c>
      <c r="G2291">
        <v>3</v>
      </c>
      <c r="H2291">
        <v>9546</v>
      </c>
      <c r="I2291" t="s">
        <v>39</v>
      </c>
      <c r="J2291" t="s">
        <v>19</v>
      </c>
      <c r="K2291" t="s">
        <v>40</v>
      </c>
      <c r="L2291">
        <v>10</v>
      </c>
      <c r="M2291">
        <v>0</v>
      </c>
      <c r="N2291">
        <v>1</v>
      </c>
      <c r="O2291" t="s">
        <v>21</v>
      </c>
      <c r="P2291" t="str">
        <f>TEXT(Table1[[#This Row],[order_date]],"yyyy-mm")</f>
        <v>2025-07</v>
      </c>
      <c r="Q2291">
        <f>WEEKNUM(Table1[[#This Row],[order_date]])</f>
        <v>30</v>
      </c>
      <c r="R2291">
        <f>IF(Table1[[#This Row],[order_status]]="completed",1,0)</f>
        <v>1</v>
      </c>
    </row>
    <row r="2292" spans="1:18" x14ac:dyDescent="0.35">
      <c r="A2292">
        <v>2291</v>
      </c>
      <c r="B2292" s="1">
        <v>45855</v>
      </c>
      <c r="C2292">
        <v>1627</v>
      </c>
      <c r="D2292" t="s">
        <v>15</v>
      </c>
      <c r="E2292" t="s">
        <v>33</v>
      </c>
      <c r="F2292" t="s">
        <v>30</v>
      </c>
      <c r="G2292">
        <v>1</v>
      </c>
      <c r="H2292">
        <v>4404</v>
      </c>
      <c r="I2292" t="s">
        <v>25</v>
      </c>
      <c r="J2292" t="s">
        <v>19</v>
      </c>
      <c r="K2292" t="s">
        <v>26</v>
      </c>
      <c r="L2292">
        <v>6</v>
      </c>
      <c r="M2292">
        <v>0</v>
      </c>
      <c r="N2292">
        <v>0</v>
      </c>
      <c r="O2292" t="s">
        <v>27</v>
      </c>
      <c r="P2292" t="str">
        <f>TEXT(Table1[[#This Row],[order_date]],"yyyy-mm")</f>
        <v>2025-07</v>
      </c>
      <c r="Q2292">
        <f>WEEKNUM(Table1[[#This Row],[order_date]])</f>
        <v>29</v>
      </c>
      <c r="R2292">
        <f>IF(Table1[[#This Row],[order_status]]="completed",1,0)</f>
        <v>1</v>
      </c>
    </row>
    <row r="2293" spans="1:18" x14ac:dyDescent="0.35">
      <c r="A2293">
        <v>2292</v>
      </c>
      <c r="B2293" s="1">
        <v>45979</v>
      </c>
      <c r="C2293">
        <v>1817</v>
      </c>
      <c r="D2293" t="s">
        <v>41</v>
      </c>
      <c r="E2293" t="s">
        <v>33</v>
      </c>
      <c r="F2293" t="s">
        <v>30</v>
      </c>
      <c r="G2293">
        <v>5</v>
      </c>
      <c r="H2293">
        <v>0</v>
      </c>
      <c r="I2293" t="s">
        <v>35</v>
      </c>
      <c r="J2293" t="s">
        <v>31</v>
      </c>
      <c r="K2293" t="s">
        <v>38</v>
      </c>
      <c r="L2293">
        <v>2</v>
      </c>
      <c r="M2293">
        <v>1</v>
      </c>
      <c r="N2293">
        <v>1</v>
      </c>
      <c r="O2293" t="s">
        <v>21</v>
      </c>
      <c r="P2293" t="str">
        <f>TEXT(Table1[[#This Row],[order_date]],"yyyy-mm")</f>
        <v>2025-11</v>
      </c>
      <c r="Q2293">
        <f>WEEKNUM(Table1[[#This Row],[order_date]])</f>
        <v>47</v>
      </c>
      <c r="R2293">
        <f>IF(Table1[[#This Row],[order_status]]="completed",1,0)</f>
        <v>0</v>
      </c>
    </row>
    <row r="2294" spans="1:18" x14ac:dyDescent="0.35">
      <c r="A2294">
        <v>2293</v>
      </c>
      <c r="B2294" s="1">
        <v>45988</v>
      </c>
      <c r="C2294">
        <v>1914</v>
      </c>
      <c r="D2294" t="s">
        <v>41</v>
      </c>
      <c r="E2294" t="s">
        <v>16</v>
      </c>
      <c r="F2294" t="s">
        <v>17</v>
      </c>
      <c r="G2294">
        <v>5</v>
      </c>
      <c r="H2294">
        <v>0</v>
      </c>
      <c r="I2294" t="s">
        <v>39</v>
      </c>
      <c r="J2294" t="s">
        <v>37</v>
      </c>
      <c r="K2294" t="s">
        <v>38</v>
      </c>
      <c r="L2294">
        <v>6</v>
      </c>
      <c r="M2294">
        <v>0</v>
      </c>
      <c r="N2294">
        <v>1</v>
      </c>
      <c r="O2294" t="s">
        <v>27</v>
      </c>
      <c r="P2294" t="str">
        <f>TEXT(Table1[[#This Row],[order_date]],"yyyy-mm")</f>
        <v>2025-11</v>
      </c>
      <c r="Q2294">
        <f>WEEKNUM(Table1[[#This Row],[order_date]])</f>
        <v>48</v>
      </c>
      <c r="R2294">
        <f>IF(Table1[[#This Row],[order_status]]="completed",1,0)</f>
        <v>0</v>
      </c>
    </row>
    <row r="2295" spans="1:18" x14ac:dyDescent="0.35">
      <c r="A2295">
        <v>2294</v>
      </c>
      <c r="B2295" s="1">
        <v>46015</v>
      </c>
      <c r="C2295">
        <v>1592</v>
      </c>
      <c r="D2295" t="s">
        <v>22</v>
      </c>
      <c r="E2295" t="s">
        <v>33</v>
      </c>
      <c r="F2295" t="s">
        <v>34</v>
      </c>
      <c r="G2295">
        <v>3</v>
      </c>
      <c r="H2295">
        <v>0</v>
      </c>
      <c r="I2295" t="s">
        <v>25</v>
      </c>
      <c r="J2295" t="s">
        <v>31</v>
      </c>
      <c r="K2295" t="s">
        <v>40</v>
      </c>
      <c r="L2295">
        <v>4</v>
      </c>
      <c r="M2295">
        <v>0</v>
      </c>
      <c r="N2295">
        <v>0</v>
      </c>
      <c r="O2295" t="s">
        <v>21</v>
      </c>
      <c r="P2295" t="str">
        <f>TEXT(Table1[[#This Row],[order_date]],"yyyy-mm")</f>
        <v>2025-12</v>
      </c>
      <c r="Q2295">
        <f>WEEKNUM(Table1[[#This Row],[order_date]])</f>
        <v>52</v>
      </c>
      <c r="R2295">
        <f>IF(Table1[[#This Row],[order_status]]="completed",1,0)</f>
        <v>0</v>
      </c>
    </row>
    <row r="2296" spans="1:18" x14ac:dyDescent="0.35">
      <c r="A2296">
        <v>2295</v>
      </c>
      <c r="B2296" s="1">
        <v>45883</v>
      </c>
      <c r="C2296">
        <v>1560</v>
      </c>
      <c r="D2296" t="s">
        <v>41</v>
      </c>
      <c r="E2296" t="s">
        <v>33</v>
      </c>
      <c r="F2296" t="s">
        <v>17</v>
      </c>
      <c r="G2296">
        <v>2</v>
      </c>
      <c r="H2296">
        <v>0</v>
      </c>
      <c r="I2296" t="s">
        <v>39</v>
      </c>
      <c r="J2296" t="s">
        <v>31</v>
      </c>
      <c r="K2296" t="s">
        <v>38</v>
      </c>
      <c r="L2296">
        <v>10</v>
      </c>
      <c r="M2296">
        <v>0</v>
      </c>
      <c r="N2296">
        <v>1</v>
      </c>
      <c r="O2296" t="s">
        <v>21</v>
      </c>
      <c r="P2296" t="str">
        <f>TEXT(Table1[[#This Row],[order_date]],"yyyy-mm")</f>
        <v>2025-08</v>
      </c>
      <c r="Q2296">
        <f>WEEKNUM(Table1[[#This Row],[order_date]])</f>
        <v>33</v>
      </c>
      <c r="R2296">
        <f>IF(Table1[[#This Row],[order_status]]="completed",1,0)</f>
        <v>0</v>
      </c>
    </row>
    <row r="2297" spans="1:18" x14ac:dyDescent="0.35">
      <c r="A2297">
        <v>2296</v>
      </c>
      <c r="B2297" s="1">
        <v>45924</v>
      </c>
      <c r="C2297">
        <v>1264</v>
      </c>
      <c r="D2297" t="s">
        <v>41</v>
      </c>
      <c r="E2297" t="s">
        <v>29</v>
      </c>
      <c r="F2297" t="s">
        <v>24</v>
      </c>
      <c r="G2297">
        <v>3</v>
      </c>
      <c r="H2297">
        <v>14148</v>
      </c>
      <c r="I2297" t="s">
        <v>18</v>
      </c>
      <c r="J2297" t="s">
        <v>19</v>
      </c>
      <c r="K2297" t="s">
        <v>40</v>
      </c>
      <c r="L2297">
        <v>8</v>
      </c>
      <c r="M2297">
        <v>1</v>
      </c>
      <c r="N2297">
        <v>1</v>
      </c>
      <c r="O2297" t="s">
        <v>27</v>
      </c>
      <c r="P2297" t="str">
        <f>TEXT(Table1[[#This Row],[order_date]],"yyyy-mm")</f>
        <v>2025-09</v>
      </c>
      <c r="Q2297">
        <f>WEEKNUM(Table1[[#This Row],[order_date]])</f>
        <v>39</v>
      </c>
      <c r="R2297">
        <f>IF(Table1[[#This Row],[order_status]]="completed",1,0)</f>
        <v>1</v>
      </c>
    </row>
    <row r="2298" spans="1:18" x14ac:dyDescent="0.35">
      <c r="A2298">
        <v>2297</v>
      </c>
      <c r="B2298" s="1">
        <v>45852</v>
      </c>
      <c r="C2298">
        <v>1894</v>
      </c>
      <c r="D2298" t="s">
        <v>28</v>
      </c>
      <c r="E2298" t="s">
        <v>29</v>
      </c>
      <c r="F2298" t="s">
        <v>30</v>
      </c>
      <c r="G2298">
        <v>3</v>
      </c>
      <c r="H2298">
        <v>13689</v>
      </c>
      <c r="I2298" t="s">
        <v>18</v>
      </c>
      <c r="J2298" t="s">
        <v>19</v>
      </c>
      <c r="K2298" t="s">
        <v>38</v>
      </c>
      <c r="L2298">
        <v>6</v>
      </c>
      <c r="M2298">
        <v>0</v>
      </c>
      <c r="N2298">
        <v>0</v>
      </c>
      <c r="O2298" t="s">
        <v>27</v>
      </c>
      <c r="P2298" t="str">
        <f>TEXT(Table1[[#This Row],[order_date]],"yyyy-mm")</f>
        <v>2025-07</v>
      </c>
      <c r="Q2298">
        <f>WEEKNUM(Table1[[#This Row],[order_date]])</f>
        <v>29</v>
      </c>
      <c r="R2298">
        <f>IF(Table1[[#This Row],[order_status]]="completed",1,0)</f>
        <v>1</v>
      </c>
    </row>
    <row r="2299" spans="1:18" x14ac:dyDescent="0.35">
      <c r="A2299">
        <v>2298</v>
      </c>
      <c r="B2299" s="1">
        <v>45986</v>
      </c>
      <c r="C2299">
        <v>1056</v>
      </c>
      <c r="D2299" t="s">
        <v>32</v>
      </c>
      <c r="E2299" t="s">
        <v>16</v>
      </c>
      <c r="F2299" t="s">
        <v>34</v>
      </c>
      <c r="G2299">
        <v>3</v>
      </c>
      <c r="H2299">
        <v>0</v>
      </c>
      <c r="I2299" t="s">
        <v>35</v>
      </c>
      <c r="J2299" t="s">
        <v>37</v>
      </c>
      <c r="K2299" t="s">
        <v>20</v>
      </c>
      <c r="L2299">
        <v>4</v>
      </c>
      <c r="M2299">
        <v>0</v>
      </c>
      <c r="N2299">
        <v>1</v>
      </c>
      <c r="O2299" t="s">
        <v>21</v>
      </c>
      <c r="P2299" t="str">
        <f>TEXT(Table1[[#This Row],[order_date]],"yyyy-mm")</f>
        <v>2025-11</v>
      </c>
      <c r="Q2299">
        <f>WEEKNUM(Table1[[#This Row],[order_date]])</f>
        <v>48</v>
      </c>
      <c r="R2299">
        <f>IF(Table1[[#This Row],[order_status]]="completed",1,0)</f>
        <v>0</v>
      </c>
    </row>
    <row r="2300" spans="1:18" x14ac:dyDescent="0.35">
      <c r="A2300">
        <v>2299</v>
      </c>
      <c r="B2300" s="1">
        <v>45880</v>
      </c>
      <c r="C2300">
        <v>1833</v>
      </c>
      <c r="D2300" t="s">
        <v>22</v>
      </c>
      <c r="E2300" t="s">
        <v>36</v>
      </c>
      <c r="F2300" t="s">
        <v>17</v>
      </c>
      <c r="G2300">
        <v>4</v>
      </c>
      <c r="H2300">
        <v>0</v>
      </c>
      <c r="I2300" t="s">
        <v>35</v>
      </c>
      <c r="J2300" t="s">
        <v>37</v>
      </c>
      <c r="K2300" t="s">
        <v>40</v>
      </c>
      <c r="L2300">
        <v>5</v>
      </c>
      <c r="M2300">
        <v>0</v>
      </c>
      <c r="N2300">
        <v>1</v>
      </c>
      <c r="O2300" t="s">
        <v>21</v>
      </c>
      <c r="P2300" t="str">
        <f>TEXT(Table1[[#This Row],[order_date]],"yyyy-mm")</f>
        <v>2025-08</v>
      </c>
      <c r="Q2300">
        <f>WEEKNUM(Table1[[#This Row],[order_date]])</f>
        <v>33</v>
      </c>
      <c r="R2300">
        <f>IF(Table1[[#This Row],[order_status]]="completed",1,0)</f>
        <v>0</v>
      </c>
    </row>
    <row r="2301" spans="1:18" x14ac:dyDescent="0.35">
      <c r="A2301">
        <v>2300</v>
      </c>
      <c r="B2301" s="1">
        <v>45990</v>
      </c>
      <c r="C2301">
        <v>1242</v>
      </c>
      <c r="D2301" t="s">
        <v>28</v>
      </c>
      <c r="E2301" t="s">
        <v>36</v>
      </c>
      <c r="F2301" t="s">
        <v>30</v>
      </c>
      <c r="G2301">
        <v>4</v>
      </c>
      <c r="H2301">
        <v>6752</v>
      </c>
      <c r="I2301" t="s">
        <v>39</v>
      </c>
      <c r="J2301" t="s">
        <v>19</v>
      </c>
      <c r="K2301" t="s">
        <v>38</v>
      </c>
      <c r="L2301">
        <v>5</v>
      </c>
      <c r="M2301">
        <v>1</v>
      </c>
      <c r="N2301">
        <v>1</v>
      </c>
      <c r="O2301" t="s">
        <v>21</v>
      </c>
      <c r="P2301" t="str">
        <f>TEXT(Table1[[#This Row],[order_date]],"yyyy-mm")</f>
        <v>2025-11</v>
      </c>
      <c r="Q2301">
        <f>WEEKNUM(Table1[[#This Row],[order_date]])</f>
        <v>48</v>
      </c>
      <c r="R2301">
        <f>IF(Table1[[#This Row],[order_status]]="completed",1,0)</f>
        <v>1</v>
      </c>
    </row>
    <row r="2302" spans="1:18" x14ac:dyDescent="0.35">
      <c r="A2302">
        <v>2301</v>
      </c>
      <c r="B2302" s="1">
        <v>46002</v>
      </c>
      <c r="C2302">
        <v>1034</v>
      </c>
      <c r="D2302" t="s">
        <v>32</v>
      </c>
      <c r="E2302" t="s">
        <v>33</v>
      </c>
      <c r="F2302" t="s">
        <v>24</v>
      </c>
      <c r="G2302">
        <v>3</v>
      </c>
      <c r="H2302">
        <v>0</v>
      </c>
      <c r="I2302" t="s">
        <v>39</v>
      </c>
      <c r="J2302" t="s">
        <v>31</v>
      </c>
      <c r="K2302" t="s">
        <v>26</v>
      </c>
      <c r="L2302">
        <v>8</v>
      </c>
      <c r="M2302">
        <v>0</v>
      </c>
      <c r="N2302">
        <v>1</v>
      </c>
      <c r="O2302" t="s">
        <v>27</v>
      </c>
      <c r="P2302" t="str">
        <f>TEXT(Table1[[#This Row],[order_date]],"yyyy-mm")</f>
        <v>2025-12</v>
      </c>
      <c r="Q2302">
        <f>WEEKNUM(Table1[[#This Row],[order_date]])</f>
        <v>50</v>
      </c>
      <c r="R2302">
        <f>IF(Table1[[#This Row],[order_status]]="completed",1,0)</f>
        <v>0</v>
      </c>
    </row>
    <row r="2303" spans="1:18" x14ac:dyDescent="0.35">
      <c r="A2303">
        <v>2302</v>
      </c>
      <c r="B2303" s="1">
        <v>45895</v>
      </c>
      <c r="C2303">
        <v>1425</v>
      </c>
      <c r="D2303" t="s">
        <v>32</v>
      </c>
      <c r="E2303" t="s">
        <v>23</v>
      </c>
      <c r="F2303" t="s">
        <v>24</v>
      </c>
      <c r="G2303">
        <v>4</v>
      </c>
      <c r="H2303">
        <v>9788</v>
      </c>
      <c r="I2303" t="s">
        <v>35</v>
      </c>
      <c r="J2303" t="s">
        <v>19</v>
      </c>
      <c r="K2303" t="s">
        <v>40</v>
      </c>
      <c r="L2303">
        <v>4</v>
      </c>
      <c r="M2303">
        <v>0</v>
      </c>
      <c r="N2303">
        <v>0</v>
      </c>
      <c r="O2303" t="s">
        <v>21</v>
      </c>
      <c r="P2303" t="str">
        <f>TEXT(Table1[[#This Row],[order_date]],"yyyy-mm")</f>
        <v>2025-08</v>
      </c>
      <c r="Q2303">
        <f>WEEKNUM(Table1[[#This Row],[order_date]])</f>
        <v>35</v>
      </c>
      <c r="R2303">
        <f>IF(Table1[[#This Row],[order_status]]="completed",1,0)</f>
        <v>1</v>
      </c>
    </row>
    <row r="2304" spans="1:18" x14ac:dyDescent="0.35">
      <c r="A2304">
        <v>2303</v>
      </c>
      <c r="B2304" s="1">
        <v>45883</v>
      </c>
      <c r="C2304">
        <v>1078</v>
      </c>
      <c r="D2304" t="s">
        <v>32</v>
      </c>
      <c r="E2304" t="s">
        <v>16</v>
      </c>
      <c r="F2304" t="s">
        <v>24</v>
      </c>
      <c r="G2304">
        <v>3</v>
      </c>
      <c r="H2304">
        <v>10026</v>
      </c>
      <c r="I2304" t="s">
        <v>25</v>
      </c>
      <c r="J2304" t="s">
        <v>19</v>
      </c>
      <c r="K2304" t="s">
        <v>26</v>
      </c>
      <c r="L2304">
        <v>7</v>
      </c>
      <c r="M2304">
        <v>1</v>
      </c>
      <c r="N2304">
        <v>0</v>
      </c>
      <c r="O2304" t="s">
        <v>27</v>
      </c>
      <c r="P2304" t="str">
        <f>TEXT(Table1[[#This Row],[order_date]],"yyyy-mm")</f>
        <v>2025-08</v>
      </c>
      <c r="Q2304">
        <f>WEEKNUM(Table1[[#This Row],[order_date]])</f>
        <v>33</v>
      </c>
      <c r="R2304">
        <f>IF(Table1[[#This Row],[order_status]]="completed",1,0)</f>
        <v>1</v>
      </c>
    </row>
    <row r="2305" spans="1:18" x14ac:dyDescent="0.35">
      <c r="A2305">
        <v>2304</v>
      </c>
      <c r="B2305" s="1">
        <v>46005</v>
      </c>
      <c r="C2305">
        <v>1128</v>
      </c>
      <c r="D2305" t="s">
        <v>22</v>
      </c>
      <c r="E2305" t="s">
        <v>36</v>
      </c>
      <c r="F2305" t="s">
        <v>30</v>
      </c>
      <c r="G2305">
        <v>3</v>
      </c>
      <c r="H2305">
        <v>3744</v>
      </c>
      <c r="I2305" t="s">
        <v>35</v>
      </c>
      <c r="J2305" t="s">
        <v>19</v>
      </c>
      <c r="K2305" t="s">
        <v>40</v>
      </c>
      <c r="L2305">
        <v>6</v>
      </c>
      <c r="M2305">
        <v>0</v>
      </c>
      <c r="N2305">
        <v>1</v>
      </c>
      <c r="O2305" t="s">
        <v>27</v>
      </c>
      <c r="P2305" t="str">
        <f>TEXT(Table1[[#This Row],[order_date]],"yyyy-mm")</f>
        <v>2025-12</v>
      </c>
      <c r="Q2305">
        <f>WEEKNUM(Table1[[#This Row],[order_date]])</f>
        <v>51</v>
      </c>
      <c r="R2305">
        <f>IF(Table1[[#This Row],[order_status]]="completed",1,0)</f>
        <v>1</v>
      </c>
    </row>
    <row r="2306" spans="1:18" x14ac:dyDescent="0.35">
      <c r="A2306">
        <v>2305</v>
      </c>
      <c r="B2306" s="1">
        <v>45937</v>
      </c>
      <c r="C2306">
        <v>1449</v>
      </c>
      <c r="D2306" t="s">
        <v>22</v>
      </c>
      <c r="E2306" t="s">
        <v>33</v>
      </c>
      <c r="F2306" t="s">
        <v>34</v>
      </c>
      <c r="G2306">
        <v>4</v>
      </c>
      <c r="H2306">
        <v>0</v>
      </c>
      <c r="I2306" t="s">
        <v>18</v>
      </c>
      <c r="J2306" t="s">
        <v>37</v>
      </c>
      <c r="K2306" t="s">
        <v>20</v>
      </c>
      <c r="L2306">
        <v>6</v>
      </c>
      <c r="M2306">
        <v>1</v>
      </c>
      <c r="N2306">
        <v>1</v>
      </c>
      <c r="O2306" t="s">
        <v>21</v>
      </c>
      <c r="P2306" t="str">
        <f>TEXT(Table1[[#This Row],[order_date]],"yyyy-mm")</f>
        <v>2025-10</v>
      </c>
      <c r="Q2306">
        <f>WEEKNUM(Table1[[#This Row],[order_date]])</f>
        <v>41</v>
      </c>
      <c r="R2306">
        <f>IF(Table1[[#This Row],[order_status]]="completed",1,0)</f>
        <v>0</v>
      </c>
    </row>
    <row r="2307" spans="1:18" x14ac:dyDescent="0.35">
      <c r="A2307">
        <v>2306</v>
      </c>
      <c r="B2307" s="1">
        <v>45856</v>
      </c>
      <c r="C2307">
        <v>1466</v>
      </c>
      <c r="D2307" t="s">
        <v>28</v>
      </c>
      <c r="E2307" t="s">
        <v>29</v>
      </c>
      <c r="F2307" t="s">
        <v>30</v>
      </c>
      <c r="G2307">
        <v>2</v>
      </c>
      <c r="H2307">
        <v>0</v>
      </c>
      <c r="I2307" t="s">
        <v>35</v>
      </c>
      <c r="J2307" t="s">
        <v>37</v>
      </c>
      <c r="K2307" t="s">
        <v>26</v>
      </c>
      <c r="L2307">
        <v>10</v>
      </c>
      <c r="M2307">
        <v>1</v>
      </c>
      <c r="N2307">
        <v>1</v>
      </c>
      <c r="O2307" t="s">
        <v>27</v>
      </c>
      <c r="P2307" t="str">
        <f>TEXT(Table1[[#This Row],[order_date]],"yyyy-mm")</f>
        <v>2025-07</v>
      </c>
      <c r="Q2307">
        <f>WEEKNUM(Table1[[#This Row],[order_date]])</f>
        <v>29</v>
      </c>
      <c r="R2307">
        <f>IF(Table1[[#This Row],[order_status]]="completed",1,0)</f>
        <v>0</v>
      </c>
    </row>
    <row r="2308" spans="1:18" x14ac:dyDescent="0.35">
      <c r="A2308">
        <v>2307</v>
      </c>
      <c r="B2308" s="1">
        <v>45859</v>
      </c>
      <c r="C2308">
        <v>1899</v>
      </c>
      <c r="D2308" t="s">
        <v>22</v>
      </c>
      <c r="E2308" t="s">
        <v>23</v>
      </c>
      <c r="F2308" t="s">
        <v>30</v>
      </c>
      <c r="G2308">
        <v>1</v>
      </c>
      <c r="H2308">
        <v>0</v>
      </c>
      <c r="I2308" t="s">
        <v>35</v>
      </c>
      <c r="J2308" t="s">
        <v>31</v>
      </c>
      <c r="K2308" t="s">
        <v>38</v>
      </c>
      <c r="L2308">
        <v>10</v>
      </c>
      <c r="M2308">
        <v>1</v>
      </c>
      <c r="N2308">
        <v>0</v>
      </c>
      <c r="O2308" t="s">
        <v>21</v>
      </c>
      <c r="P2308" t="str">
        <f>TEXT(Table1[[#This Row],[order_date]],"yyyy-mm")</f>
        <v>2025-07</v>
      </c>
      <c r="Q2308">
        <f>WEEKNUM(Table1[[#This Row],[order_date]])</f>
        <v>30</v>
      </c>
      <c r="R2308">
        <f>IF(Table1[[#This Row],[order_status]]="completed",1,0)</f>
        <v>0</v>
      </c>
    </row>
    <row r="2309" spans="1:18" x14ac:dyDescent="0.35">
      <c r="A2309">
        <v>2308</v>
      </c>
      <c r="B2309" s="1">
        <v>45866</v>
      </c>
      <c r="C2309">
        <v>1478</v>
      </c>
      <c r="D2309" t="s">
        <v>22</v>
      </c>
      <c r="E2309" t="s">
        <v>33</v>
      </c>
      <c r="F2309" t="s">
        <v>30</v>
      </c>
      <c r="G2309">
        <v>5</v>
      </c>
      <c r="H2309">
        <v>13815</v>
      </c>
      <c r="I2309" t="s">
        <v>25</v>
      </c>
      <c r="J2309" t="s">
        <v>19</v>
      </c>
      <c r="K2309" t="s">
        <v>26</v>
      </c>
      <c r="L2309">
        <v>8</v>
      </c>
      <c r="M2309">
        <v>0</v>
      </c>
      <c r="N2309">
        <v>0</v>
      </c>
      <c r="O2309" t="s">
        <v>27</v>
      </c>
      <c r="P2309" t="str">
        <f>TEXT(Table1[[#This Row],[order_date]],"yyyy-mm")</f>
        <v>2025-07</v>
      </c>
      <c r="Q2309">
        <f>WEEKNUM(Table1[[#This Row],[order_date]])</f>
        <v>31</v>
      </c>
      <c r="R2309">
        <f>IF(Table1[[#This Row],[order_status]]="completed",1,0)</f>
        <v>1</v>
      </c>
    </row>
    <row r="2310" spans="1:18" x14ac:dyDescent="0.35">
      <c r="A2310">
        <v>2309</v>
      </c>
      <c r="B2310" s="1">
        <v>45875</v>
      </c>
      <c r="C2310">
        <v>1760</v>
      </c>
      <c r="D2310" t="s">
        <v>15</v>
      </c>
      <c r="E2310" t="s">
        <v>16</v>
      </c>
      <c r="F2310" t="s">
        <v>17</v>
      </c>
      <c r="G2310">
        <v>1</v>
      </c>
      <c r="H2310">
        <v>0</v>
      </c>
      <c r="I2310" t="s">
        <v>39</v>
      </c>
      <c r="J2310" t="s">
        <v>31</v>
      </c>
      <c r="K2310" t="s">
        <v>38</v>
      </c>
      <c r="L2310">
        <v>2</v>
      </c>
      <c r="M2310">
        <v>1</v>
      </c>
      <c r="N2310">
        <v>0</v>
      </c>
      <c r="O2310" t="s">
        <v>27</v>
      </c>
      <c r="P2310" t="str">
        <f>TEXT(Table1[[#This Row],[order_date]],"yyyy-mm")</f>
        <v>2025-08</v>
      </c>
      <c r="Q2310">
        <f>WEEKNUM(Table1[[#This Row],[order_date]])</f>
        <v>32</v>
      </c>
      <c r="R2310">
        <f>IF(Table1[[#This Row],[order_status]]="completed",1,0)</f>
        <v>0</v>
      </c>
    </row>
    <row r="2311" spans="1:18" x14ac:dyDescent="0.35">
      <c r="A2311">
        <v>2310</v>
      </c>
      <c r="B2311" s="1">
        <v>45925</v>
      </c>
      <c r="C2311">
        <v>1913</v>
      </c>
      <c r="D2311" t="s">
        <v>41</v>
      </c>
      <c r="E2311" t="s">
        <v>36</v>
      </c>
      <c r="F2311" t="s">
        <v>34</v>
      </c>
      <c r="G2311">
        <v>4</v>
      </c>
      <c r="H2311">
        <v>0</v>
      </c>
      <c r="I2311" t="s">
        <v>35</v>
      </c>
      <c r="J2311" t="s">
        <v>31</v>
      </c>
      <c r="K2311" t="s">
        <v>26</v>
      </c>
      <c r="L2311">
        <v>2</v>
      </c>
      <c r="M2311">
        <v>0</v>
      </c>
      <c r="N2311">
        <v>0</v>
      </c>
      <c r="O2311" t="s">
        <v>27</v>
      </c>
      <c r="P2311" t="str">
        <f>TEXT(Table1[[#This Row],[order_date]],"yyyy-mm")</f>
        <v>2025-09</v>
      </c>
      <c r="Q2311">
        <f>WEEKNUM(Table1[[#This Row],[order_date]])</f>
        <v>39</v>
      </c>
      <c r="R2311">
        <f>IF(Table1[[#This Row],[order_status]]="completed",1,0)</f>
        <v>0</v>
      </c>
    </row>
    <row r="2312" spans="1:18" x14ac:dyDescent="0.35">
      <c r="A2312">
        <v>2311</v>
      </c>
      <c r="B2312" s="1">
        <v>45989</v>
      </c>
      <c r="C2312">
        <v>1175</v>
      </c>
      <c r="D2312" t="s">
        <v>32</v>
      </c>
      <c r="E2312" t="s">
        <v>29</v>
      </c>
      <c r="F2312" t="s">
        <v>34</v>
      </c>
      <c r="G2312">
        <v>1</v>
      </c>
      <c r="H2312">
        <v>213</v>
      </c>
      <c r="I2312" t="s">
        <v>18</v>
      </c>
      <c r="J2312" t="s">
        <v>19</v>
      </c>
      <c r="K2312" t="s">
        <v>26</v>
      </c>
      <c r="L2312">
        <v>3</v>
      </c>
      <c r="M2312">
        <v>1</v>
      </c>
      <c r="N2312">
        <v>1</v>
      </c>
      <c r="O2312" t="s">
        <v>21</v>
      </c>
      <c r="P2312" t="str">
        <f>TEXT(Table1[[#This Row],[order_date]],"yyyy-mm")</f>
        <v>2025-11</v>
      </c>
      <c r="Q2312">
        <f>WEEKNUM(Table1[[#This Row],[order_date]])</f>
        <v>48</v>
      </c>
      <c r="R2312">
        <f>IF(Table1[[#This Row],[order_status]]="completed",1,0)</f>
        <v>1</v>
      </c>
    </row>
    <row r="2313" spans="1:18" x14ac:dyDescent="0.35">
      <c r="A2313">
        <v>2312</v>
      </c>
      <c r="B2313" s="1">
        <v>45998</v>
      </c>
      <c r="C2313">
        <v>1208</v>
      </c>
      <c r="D2313" t="s">
        <v>32</v>
      </c>
      <c r="E2313" t="s">
        <v>36</v>
      </c>
      <c r="F2313" t="s">
        <v>30</v>
      </c>
      <c r="G2313">
        <v>1</v>
      </c>
      <c r="H2313">
        <v>0</v>
      </c>
      <c r="I2313" t="s">
        <v>39</v>
      </c>
      <c r="J2313" t="s">
        <v>31</v>
      </c>
      <c r="K2313" t="s">
        <v>38</v>
      </c>
      <c r="L2313">
        <v>8</v>
      </c>
      <c r="M2313">
        <v>0</v>
      </c>
      <c r="N2313">
        <v>1</v>
      </c>
      <c r="O2313" t="s">
        <v>27</v>
      </c>
      <c r="P2313" t="str">
        <f>TEXT(Table1[[#This Row],[order_date]],"yyyy-mm")</f>
        <v>2025-12</v>
      </c>
      <c r="Q2313">
        <f>WEEKNUM(Table1[[#This Row],[order_date]])</f>
        <v>50</v>
      </c>
      <c r="R2313">
        <f>IF(Table1[[#This Row],[order_status]]="completed",1,0)</f>
        <v>0</v>
      </c>
    </row>
    <row r="2314" spans="1:18" x14ac:dyDescent="0.35">
      <c r="A2314">
        <v>2313</v>
      </c>
      <c r="B2314" s="1">
        <v>45888</v>
      </c>
      <c r="C2314">
        <v>1606</v>
      </c>
      <c r="D2314" t="s">
        <v>32</v>
      </c>
      <c r="E2314" t="s">
        <v>23</v>
      </c>
      <c r="F2314" t="s">
        <v>24</v>
      </c>
      <c r="G2314">
        <v>1</v>
      </c>
      <c r="H2314">
        <v>0</v>
      </c>
      <c r="I2314" t="s">
        <v>25</v>
      </c>
      <c r="J2314" t="s">
        <v>37</v>
      </c>
      <c r="K2314" t="s">
        <v>38</v>
      </c>
      <c r="L2314">
        <v>1</v>
      </c>
      <c r="M2314">
        <v>0</v>
      </c>
      <c r="N2314">
        <v>1</v>
      </c>
      <c r="O2314" t="s">
        <v>27</v>
      </c>
      <c r="P2314" t="str">
        <f>TEXT(Table1[[#This Row],[order_date]],"yyyy-mm")</f>
        <v>2025-08</v>
      </c>
      <c r="Q2314">
        <f>WEEKNUM(Table1[[#This Row],[order_date]])</f>
        <v>34</v>
      </c>
      <c r="R2314">
        <f>IF(Table1[[#This Row],[order_status]]="completed",1,0)</f>
        <v>0</v>
      </c>
    </row>
    <row r="2315" spans="1:18" x14ac:dyDescent="0.35">
      <c r="A2315">
        <v>2314</v>
      </c>
      <c r="B2315" s="1">
        <v>45958</v>
      </c>
      <c r="C2315">
        <v>1808</v>
      </c>
      <c r="D2315" t="s">
        <v>15</v>
      </c>
      <c r="E2315" t="s">
        <v>23</v>
      </c>
      <c r="F2315" t="s">
        <v>34</v>
      </c>
      <c r="G2315">
        <v>1</v>
      </c>
      <c r="H2315">
        <v>2375</v>
      </c>
      <c r="I2315" t="s">
        <v>35</v>
      </c>
      <c r="J2315" t="s">
        <v>19</v>
      </c>
      <c r="K2315" t="s">
        <v>26</v>
      </c>
      <c r="L2315">
        <v>4</v>
      </c>
      <c r="M2315">
        <v>0</v>
      </c>
      <c r="N2315">
        <v>1</v>
      </c>
      <c r="O2315" t="s">
        <v>27</v>
      </c>
      <c r="P2315" t="str">
        <f>TEXT(Table1[[#This Row],[order_date]],"yyyy-mm")</f>
        <v>2025-10</v>
      </c>
      <c r="Q2315">
        <f>WEEKNUM(Table1[[#This Row],[order_date]])</f>
        <v>44</v>
      </c>
      <c r="R2315">
        <f>IF(Table1[[#This Row],[order_status]]="completed",1,0)</f>
        <v>1</v>
      </c>
    </row>
    <row r="2316" spans="1:18" x14ac:dyDescent="0.35">
      <c r="A2316">
        <v>2315</v>
      </c>
      <c r="B2316" s="1">
        <v>45916</v>
      </c>
      <c r="C2316">
        <v>1920</v>
      </c>
      <c r="D2316" t="s">
        <v>22</v>
      </c>
      <c r="E2316" t="s">
        <v>33</v>
      </c>
      <c r="F2316" t="s">
        <v>30</v>
      </c>
      <c r="G2316">
        <v>4</v>
      </c>
      <c r="H2316">
        <v>0</v>
      </c>
      <c r="I2316" t="s">
        <v>39</v>
      </c>
      <c r="J2316" t="s">
        <v>37</v>
      </c>
      <c r="K2316" t="s">
        <v>20</v>
      </c>
      <c r="L2316">
        <v>7</v>
      </c>
      <c r="M2316">
        <v>1</v>
      </c>
      <c r="N2316">
        <v>1</v>
      </c>
      <c r="O2316" t="s">
        <v>21</v>
      </c>
      <c r="P2316" t="str">
        <f>TEXT(Table1[[#This Row],[order_date]],"yyyy-mm")</f>
        <v>2025-09</v>
      </c>
      <c r="Q2316">
        <f>WEEKNUM(Table1[[#This Row],[order_date]])</f>
        <v>38</v>
      </c>
      <c r="R2316">
        <f>IF(Table1[[#This Row],[order_status]]="completed",1,0)</f>
        <v>0</v>
      </c>
    </row>
    <row r="2317" spans="1:18" x14ac:dyDescent="0.35">
      <c r="A2317">
        <v>2316</v>
      </c>
      <c r="B2317" s="1">
        <v>45978</v>
      </c>
      <c r="C2317">
        <v>1822</v>
      </c>
      <c r="D2317" t="s">
        <v>32</v>
      </c>
      <c r="E2317" t="s">
        <v>16</v>
      </c>
      <c r="F2317" t="s">
        <v>17</v>
      </c>
      <c r="G2317">
        <v>5</v>
      </c>
      <c r="H2317">
        <v>0</v>
      </c>
      <c r="I2317" t="s">
        <v>35</v>
      </c>
      <c r="J2317" t="s">
        <v>37</v>
      </c>
      <c r="K2317" t="s">
        <v>38</v>
      </c>
      <c r="L2317">
        <v>4</v>
      </c>
      <c r="M2317">
        <v>0</v>
      </c>
      <c r="N2317">
        <v>0</v>
      </c>
      <c r="O2317" t="s">
        <v>21</v>
      </c>
      <c r="P2317" t="str">
        <f>TEXT(Table1[[#This Row],[order_date]],"yyyy-mm")</f>
        <v>2025-11</v>
      </c>
      <c r="Q2317">
        <f>WEEKNUM(Table1[[#This Row],[order_date]])</f>
        <v>47</v>
      </c>
      <c r="R2317">
        <f>IF(Table1[[#This Row],[order_status]]="completed",1,0)</f>
        <v>0</v>
      </c>
    </row>
    <row r="2318" spans="1:18" x14ac:dyDescent="0.35">
      <c r="A2318">
        <v>2317</v>
      </c>
      <c r="B2318" s="1">
        <v>45904</v>
      </c>
      <c r="C2318">
        <v>1830</v>
      </c>
      <c r="D2318" t="s">
        <v>32</v>
      </c>
      <c r="E2318" t="s">
        <v>23</v>
      </c>
      <c r="F2318" t="s">
        <v>30</v>
      </c>
      <c r="G2318">
        <v>5</v>
      </c>
      <c r="H2318">
        <v>0</v>
      </c>
      <c r="I2318" t="s">
        <v>25</v>
      </c>
      <c r="J2318" t="s">
        <v>37</v>
      </c>
      <c r="K2318" t="s">
        <v>40</v>
      </c>
      <c r="L2318">
        <v>4</v>
      </c>
      <c r="M2318">
        <v>1</v>
      </c>
      <c r="N2318">
        <v>0</v>
      </c>
      <c r="O2318" t="s">
        <v>21</v>
      </c>
      <c r="P2318" t="str">
        <f>TEXT(Table1[[#This Row],[order_date]],"yyyy-mm")</f>
        <v>2025-09</v>
      </c>
      <c r="Q2318">
        <f>WEEKNUM(Table1[[#This Row],[order_date]])</f>
        <v>36</v>
      </c>
      <c r="R2318">
        <f>IF(Table1[[#This Row],[order_status]]="completed",1,0)</f>
        <v>0</v>
      </c>
    </row>
    <row r="2319" spans="1:18" x14ac:dyDescent="0.35">
      <c r="A2319">
        <v>2318</v>
      </c>
      <c r="B2319" s="1">
        <v>45998</v>
      </c>
      <c r="C2319">
        <v>1082</v>
      </c>
      <c r="D2319" t="s">
        <v>15</v>
      </c>
      <c r="E2319" t="s">
        <v>16</v>
      </c>
      <c r="F2319" t="s">
        <v>30</v>
      </c>
      <c r="G2319">
        <v>5</v>
      </c>
      <c r="H2319">
        <v>0</v>
      </c>
      <c r="I2319" t="s">
        <v>25</v>
      </c>
      <c r="J2319" t="s">
        <v>31</v>
      </c>
      <c r="K2319" t="s">
        <v>20</v>
      </c>
      <c r="L2319">
        <v>3</v>
      </c>
      <c r="M2319">
        <v>1</v>
      </c>
      <c r="N2319">
        <v>1</v>
      </c>
      <c r="O2319" t="s">
        <v>27</v>
      </c>
      <c r="P2319" t="str">
        <f>TEXT(Table1[[#This Row],[order_date]],"yyyy-mm")</f>
        <v>2025-12</v>
      </c>
      <c r="Q2319">
        <f>WEEKNUM(Table1[[#This Row],[order_date]])</f>
        <v>50</v>
      </c>
      <c r="R2319">
        <f>IF(Table1[[#This Row],[order_status]]="completed",1,0)</f>
        <v>0</v>
      </c>
    </row>
    <row r="2320" spans="1:18" x14ac:dyDescent="0.35">
      <c r="A2320">
        <v>2319</v>
      </c>
      <c r="B2320" s="1">
        <v>45929</v>
      </c>
      <c r="C2320">
        <v>1231</v>
      </c>
      <c r="D2320" t="s">
        <v>15</v>
      </c>
      <c r="E2320" t="s">
        <v>33</v>
      </c>
      <c r="F2320" t="s">
        <v>24</v>
      </c>
      <c r="G2320">
        <v>2</v>
      </c>
      <c r="H2320">
        <v>4500</v>
      </c>
      <c r="I2320" t="s">
        <v>18</v>
      </c>
      <c r="J2320" t="s">
        <v>19</v>
      </c>
      <c r="K2320" t="s">
        <v>26</v>
      </c>
      <c r="L2320">
        <v>1</v>
      </c>
      <c r="M2320">
        <v>0</v>
      </c>
      <c r="N2320">
        <v>0</v>
      </c>
      <c r="O2320" t="s">
        <v>21</v>
      </c>
      <c r="P2320" t="str">
        <f>TEXT(Table1[[#This Row],[order_date]],"yyyy-mm")</f>
        <v>2025-09</v>
      </c>
      <c r="Q2320">
        <f>WEEKNUM(Table1[[#This Row],[order_date]])</f>
        <v>40</v>
      </c>
      <c r="R2320">
        <f>IF(Table1[[#This Row],[order_status]]="completed",1,0)</f>
        <v>1</v>
      </c>
    </row>
    <row r="2321" spans="1:18" x14ac:dyDescent="0.35">
      <c r="A2321">
        <v>2320</v>
      </c>
      <c r="B2321" s="1">
        <v>45915</v>
      </c>
      <c r="C2321">
        <v>1693</v>
      </c>
      <c r="D2321" t="s">
        <v>28</v>
      </c>
      <c r="E2321" t="s">
        <v>29</v>
      </c>
      <c r="F2321" t="s">
        <v>34</v>
      </c>
      <c r="G2321">
        <v>4</v>
      </c>
      <c r="H2321">
        <v>0</v>
      </c>
      <c r="I2321" t="s">
        <v>18</v>
      </c>
      <c r="J2321" t="s">
        <v>31</v>
      </c>
      <c r="K2321" t="s">
        <v>26</v>
      </c>
      <c r="L2321">
        <v>10</v>
      </c>
      <c r="M2321">
        <v>0</v>
      </c>
      <c r="N2321">
        <v>0</v>
      </c>
      <c r="O2321" t="s">
        <v>21</v>
      </c>
      <c r="P2321" t="str">
        <f>TEXT(Table1[[#This Row],[order_date]],"yyyy-mm")</f>
        <v>2025-09</v>
      </c>
      <c r="Q2321">
        <f>WEEKNUM(Table1[[#This Row],[order_date]])</f>
        <v>38</v>
      </c>
      <c r="R2321">
        <f>IF(Table1[[#This Row],[order_status]]="completed",1,0)</f>
        <v>0</v>
      </c>
    </row>
    <row r="2322" spans="1:18" x14ac:dyDescent="0.35">
      <c r="A2322">
        <v>2321</v>
      </c>
      <c r="B2322" s="1">
        <v>45866</v>
      </c>
      <c r="C2322">
        <v>1803</v>
      </c>
      <c r="D2322" t="s">
        <v>41</v>
      </c>
      <c r="E2322" t="s">
        <v>16</v>
      </c>
      <c r="F2322" t="s">
        <v>30</v>
      </c>
      <c r="G2322">
        <v>3</v>
      </c>
      <c r="H2322">
        <v>0</v>
      </c>
      <c r="I2322" t="s">
        <v>35</v>
      </c>
      <c r="J2322" t="s">
        <v>31</v>
      </c>
      <c r="K2322" t="s">
        <v>26</v>
      </c>
      <c r="L2322">
        <v>4</v>
      </c>
      <c r="M2322">
        <v>0</v>
      </c>
      <c r="N2322">
        <v>0</v>
      </c>
      <c r="O2322" t="s">
        <v>21</v>
      </c>
      <c r="P2322" t="str">
        <f>TEXT(Table1[[#This Row],[order_date]],"yyyy-mm")</f>
        <v>2025-07</v>
      </c>
      <c r="Q2322">
        <f>WEEKNUM(Table1[[#This Row],[order_date]])</f>
        <v>31</v>
      </c>
      <c r="R2322">
        <f>IF(Table1[[#This Row],[order_status]]="completed",1,0)</f>
        <v>0</v>
      </c>
    </row>
    <row r="2323" spans="1:18" x14ac:dyDescent="0.35">
      <c r="A2323">
        <v>2322</v>
      </c>
      <c r="B2323" s="1">
        <v>45932</v>
      </c>
      <c r="C2323">
        <v>1651</v>
      </c>
      <c r="D2323" t="s">
        <v>22</v>
      </c>
      <c r="E2323" t="s">
        <v>16</v>
      </c>
      <c r="F2323" t="s">
        <v>30</v>
      </c>
      <c r="G2323">
        <v>2</v>
      </c>
      <c r="H2323">
        <v>0</v>
      </c>
      <c r="I2323" t="s">
        <v>18</v>
      </c>
      <c r="J2323" t="s">
        <v>31</v>
      </c>
      <c r="K2323" t="s">
        <v>26</v>
      </c>
      <c r="L2323">
        <v>2</v>
      </c>
      <c r="M2323">
        <v>0</v>
      </c>
      <c r="N2323">
        <v>0</v>
      </c>
      <c r="O2323" t="s">
        <v>21</v>
      </c>
      <c r="P2323" t="str">
        <f>TEXT(Table1[[#This Row],[order_date]],"yyyy-mm")</f>
        <v>2025-10</v>
      </c>
      <c r="Q2323">
        <f>WEEKNUM(Table1[[#This Row],[order_date]])</f>
        <v>40</v>
      </c>
      <c r="R2323">
        <f>IF(Table1[[#This Row],[order_status]]="completed",1,0)</f>
        <v>0</v>
      </c>
    </row>
    <row r="2324" spans="1:18" x14ac:dyDescent="0.35">
      <c r="A2324">
        <v>2323</v>
      </c>
      <c r="B2324" s="1">
        <v>45947</v>
      </c>
      <c r="C2324">
        <v>1969</v>
      </c>
      <c r="D2324" t="s">
        <v>41</v>
      </c>
      <c r="E2324" t="s">
        <v>36</v>
      </c>
      <c r="F2324" t="s">
        <v>24</v>
      </c>
      <c r="G2324">
        <v>3</v>
      </c>
      <c r="H2324">
        <v>0</v>
      </c>
      <c r="I2324" t="s">
        <v>39</v>
      </c>
      <c r="J2324" t="s">
        <v>37</v>
      </c>
      <c r="K2324" t="s">
        <v>40</v>
      </c>
      <c r="L2324">
        <v>8</v>
      </c>
      <c r="M2324">
        <v>1</v>
      </c>
      <c r="N2324">
        <v>1</v>
      </c>
      <c r="O2324" t="s">
        <v>21</v>
      </c>
      <c r="P2324" t="str">
        <f>TEXT(Table1[[#This Row],[order_date]],"yyyy-mm")</f>
        <v>2025-10</v>
      </c>
      <c r="Q2324">
        <f>WEEKNUM(Table1[[#This Row],[order_date]])</f>
        <v>42</v>
      </c>
      <c r="R2324">
        <f>IF(Table1[[#This Row],[order_status]]="completed",1,0)</f>
        <v>0</v>
      </c>
    </row>
    <row r="2325" spans="1:18" x14ac:dyDescent="0.35">
      <c r="A2325">
        <v>2324</v>
      </c>
      <c r="B2325" s="1">
        <v>45861</v>
      </c>
      <c r="C2325">
        <v>1621</v>
      </c>
      <c r="D2325" t="s">
        <v>41</v>
      </c>
      <c r="E2325" t="s">
        <v>33</v>
      </c>
      <c r="F2325" t="s">
        <v>24</v>
      </c>
      <c r="G2325">
        <v>3</v>
      </c>
      <c r="H2325">
        <v>0</v>
      </c>
      <c r="I2325" t="s">
        <v>35</v>
      </c>
      <c r="J2325" t="s">
        <v>37</v>
      </c>
      <c r="K2325" t="s">
        <v>20</v>
      </c>
      <c r="L2325">
        <v>8</v>
      </c>
      <c r="M2325">
        <v>1</v>
      </c>
      <c r="N2325">
        <v>0</v>
      </c>
      <c r="O2325" t="s">
        <v>27</v>
      </c>
      <c r="P2325" t="str">
        <f>TEXT(Table1[[#This Row],[order_date]],"yyyy-mm")</f>
        <v>2025-07</v>
      </c>
      <c r="Q2325">
        <f>WEEKNUM(Table1[[#This Row],[order_date]])</f>
        <v>30</v>
      </c>
      <c r="R2325">
        <f>IF(Table1[[#This Row],[order_status]]="completed",1,0)</f>
        <v>0</v>
      </c>
    </row>
    <row r="2326" spans="1:18" x14ac:dyDescent="0.35">
      <c r="A2326">
        <v>2325</v>
      </c>
      <c r="B2326" s="1">
        <v>46020</v>
      </c>
      <c r="C2326">
        <v>1508</v>
      </c>
      <c r="D2326" t="s">
        <v>15</v>
      </c>
      <c r="E2326" t="s">
        <v>16</v>
      </c>
      <c r="F2326" t="s">
        <v>17</v>
      </c>
      <c r="G2326">
        <v>1</v>
      </c>
      <c r="H2326">
        <v>3462</v>
      </c>
      <c r="I2326" t="s">
        <v>18</v>
      </c>
      <c r="J2326" t="s">
        <v>19</v>
      </c>
      <c r="K2326" t="s">
        <v>38</v>
      </c>
      <c r="L2326">
        <v>2</v>
      </c>
      <c r="M2326">
        <v>0</v>
      </c>
      <c r="N2326">
        <v>0</v>
      </c>
      <c r="O2326" t="s">
        <v>27</v>
      </c>
      <c r="P2326" t="str">
        <f>TEXT(Table1[[#This Row],[order_date]],"yyyy-mm")</f>
        <v>2025-12</v>
      </c>
      <c r="Q2326">
        <f>WEEKNUM(Table1[[#This Row],[order_date]])</f>
        <v>53</v>
      </c>
      <c r="R2326">
        <f>IF(Table1[[#This Row],[order_status]]="completed",1,0)</f>
        <v>1</v>
      </c>
    </row>
    <row r="2327" spans="1:18" x14ac:dyDescent="0.35">
      <c r="A2327">
        <v>2326</v>
      </c>
      <c r="B2327" s="1">
        <v>45994</v>
      </c>
      <c r="C2327">
        <v>1518</v>
      </c>
      <c r="D2327" t="s">
        <v>15</v>
      </c>
      <c r="E2327" t="s">
        <v>33</v>
      </c>
      <c r="F2327" t="s">
        <v>17</v>
      </c>
      <c r="G2327">
        <v>1</v>
      </c>
      <c r="H2327">
        <v>0</v>
      </c>
      <c r="I2327" t="s">
        <v>25</v>
      </c>
      <c r="J2327" t="s">
        <v>37</v>
      </c>
      <c r="K2327" t="s">
        <v>38</v>
      </c>
      <c r="L2327">
        <v>7</v>
      </c>
      <c r="M2327">
        <v>0</v>
      </c>
      <c r="N2327">
        <v>0</v>
      </c>
      <c r="O2327" t="s">
        <v>27</v>
      </c>
      <c r="P2327" t="str">
        <f>TEXT(Table1[[#This Row],[order_date]],"yyyy-mm")</f>
        <v>2025-12</v>
      </c>
      <c r="Q2327">
        <f>WEEKNUM(Table1[[#This Row],[order_date]])</f>
        <v>49</v>
      </c>
      <c r="R2327">
        <f>IF(Table1[[#This Row],[order_status]]="completed",1,0)</f>
        <v>0</v>
      </c>
    </row>
    <row r="2328" spans="1:18" x14ac:dyDescent="0.35">
      <c r="A2328">
        <v>2327</v>
      </c>
      <c r="B2328" s="1">
        <v>45958</v>
      </c>
      <c r="C2328">
        <v>1981</v>
      </c>
      <c r="D2328" t="s">
        <v>32</v>
      </c>
      <c r="E2328" t="s">
        <v>33</v>
      </c>
      <c r="F2328" t="s">
        <v>24</v>
      </c>
      <c r="G2328">
        <v>3</v>
      </c>
      <c r="H2328">
        <v>0</v>
      </c>
      <c r="I2328" t="s">
        <v>39</v>
      </c>
      <c r="J2328" t="s">
        <v>31</v>
      </c>
      <c r="K2328" t="s">
        <v>40</v>
      </c>
      <c r="L2328">
        <v>9</v>
      </c>
      <c r="M2328">
        <v>1</v>
      </c>
      <c r="N2328">
        <v>1</v>
      </c>
      <c r="O2328" t="s">
        <v>21</v>
      </c>
      <c r="P2328" t="str">
        <f>TEXT(Table1[[#This Row],[order_date]],"yyyy-mm")</f>
        <v>2025-10</v>
      </c>
      <c r="Q2328">
        <f>WEEKNUM(Table1[[#This Row],[order_date]])</f>
        <v>44</v>
      </c>
      <c r="R2328">
        <f>IF(Table1[[#This Row],[order_status]]="completed",1,0)</f>
        <v>0</v>
      </c>
    </row>
    <row r="2329" spans="1:18" x14ac:dyDescent="0.35">
      <c r="A2329">
        <v>2328</v>
      </c>
      <c r="B2329" s="1">
        <v>45913</v>
      </c>
      <c r="C2329">
        <v>1430</v>
      </c>
      <c r="D2329" t="s">
        <v>41</v>
      </c>
      <c r="E2329" t="s">
        <v>23</v>
      </c>
      <c r="F2329" t="s">
        <v>34</v>
      </c>
      <c r="G2329">
        <v>2</v>
      </c>
      <c r="H2329">
        <v>0</v>
      </c>
      <c r="I2329" t="s">
        <v>39</v>
      </c>
      <c r="J2329" t="s">
        <v>37</v>
      </c>
      <c r="K2329" t="s">
        <v>38</v>
      </c>
      <c r="L2329">
        <v>8</v>
      </c>
      <c r="M2329">
        <v>1</v>
      </c>
      <c r="N2329">
        <v>0</v>
      </c>
      <c r="O2329" t="s">
        <v>27</v>
      </c>
      <c r="P2329" t="str">
        <f>TEXT(Table1[[#This Row],[order_date]],"yyyy-mm")</f>
        <v>2025-09</v>
      </c>
      <c r="Q2329">
        <f>WEEKNUM(Table1[[#This Row],[order_date]])</f>
        <v>37</v>
      </c>
      <c r="R2329">
        <f>IF(Table1[[#This Row],[order_status]]="completed",1,0)</f>
        <v>0</v>
      </c>
    </row>
    <row r="2330" spans="1:18" x14ac:dyDescent="0.35">
      <c r="A2330">
        <v>2329</v>
      </c>
      <c r="B2330" s="1">
        <v>45898</v>
      </c>
      <c r="C2330">
        <v>1660</v>
      </c>
      <c r="D2330" t="s">
        <v>32</v>
      </c>
      <c r="E2330" t="s">
        <v>23</v>
      </c>
      <c r="F2330" t="s">
        <v>17</v>
      </c>
      <c r="G2330">
        <v>3</v>
      </c>
      <c r="H2330">
        <v>13302</v>
      </c>
      <c r="I2330" t="s">
        <v>25</v>
      </c>
      <c r="J2330" t="s">
        <v>19</v>
      </c>
      <c r="K2330" t="s">
        <v>40</v>
      </c>
      <c r="L2330">
        <v>7</v>
      </c>
      <c r="M2330">
        <v>1</v>
      </c>
      <c r="N2330">
        <v>0</v>
      </c>
      <c r="O2330" t="s">
        <v>27</v>
      </c>
      <c r="P2330" t="str">
        <f>TEXT(Table1[[#This Row],[order_date]],"yyyy-mm")</f>
        <v>2025-08</v>
      </c>
      <c r="Q2330">
        <f>WEEKNUM(Table1[[#This Row],[order_date]])</f>
        <v>35</v>
      </c>
      <c r="R2330">
        <f>IF(Table1[[#This Row],[order_status]]="completed",1,0)</f>
        <v>1</v>
      </c>
    </row>
    <row r="2331" spans="1:18" x14ac:dyDescent="0.35">
      <c r="A2331">
        <v>2330</v>
      </c>
      <c r="B2331" s="1">
        <v>46031</v>
      </c>
      <c r="C2331">
        <v>1358</v>
      </c>
      <c r="D2331" t="s">
        <v>32</v>
      </c>
      <c r="E2331" t="s">
        <v>16</v>
      </c>
      <c r="F2331" t="s">
        <v>24</v>
      </c>
      <c r="G2331">
        <v>3</v>
      </c>
      <c r="H2331">
        <v>0</v>
      </c>
      <c r="I2331" t="s">
        <v>25</v>
      </c>
      <c r="J2331" t="s">
        <v>37</v>
      </c>
      <c r="K2331" t="s">
        <v>20</v>
      </c>
      <c r="L2331">
        <v>10</v>
      </c>
      <c r="M2331">
        <v>1</v>
      </c>
      <c r="N2331">
        <v>0</v>
      </c>
      <c r="O2331" t="s">
        <v>27</v>
      </c>
      <c r="P2331" t="str">
        <f>TEXT(Table1[[#This Row],[order_date]],"yyyy-mm")</f>
        <v>2026-01</v>
      </c>
      <c r="Q2331">
        <f>WEEKNUM(Table1[[#This Row],[order_date]])</f>
        <v>2</v>
      </c>
      <c r="R2331">
        <f>IF(Table1[[#This Row],[order_status]]="completed",1,0)</f>
        <v>0</v>
      </c>
    </row>
    <row r="2332" spans="1:18" x14ac:dyDescent="0.35">
      <c r="A2332">
        <v>2331</v>
      </c>
      <c r="B2332" s="1">
        <v>45895</v>
      </c>
      <c r="C2332">
        <v>1774</v>
      </c>
      <c r="D2332" t="s">
        <v>28</v>
      </c>
      <c r="E2332" t="s">
        <v>16</v>
      </c>
      <c r="F2332" t="s">
        <v>34</v>
      </c>
      <c r="G2332">
        <v>1</v>
      </c>
      <c r="H2332">
        <v>0</v>
      </c>
      <c r="I2332" t="s">
        <v>35</v>
      </c>
      <c r="J2332" t="s">
        <v>31</v>
      </c>
      <c r="K2332" t="s">
        <v>20</v>
      </c>
      <c r="L2332">
        <v>2</v>
      </c>
      <c r="M2332">
        <v>0</v>
      </c>
      <c r="N2332">
        <v>0</v>
      </c>
      <c r="O2332" t="s">
        <v>21</v>
      </c>
      <c r="P2332" t="str">
        <f>TEXT(Table1[[#This Row],[order_date]],"yyyy-mm")</f>
        <v>2025-08</v>
      </c>
      <c r="Q2332">
        <f>WEEKNUM(Table1[[#This Row],[order_date]])</f>
        <v>35</v>
      </c>
      <c r="R2332">
        <f>IF(Table1[[#This Row],[order_status]]="completed",1,0)</f>
        <v>0</v>
      </c>
    </row>
    <row r="2333" spans="1:18" x14ac:dyDescent="0.35">
      <c r="A2333">
        <v>2332</v>
      </c>
      <c r="B2333" s="1">
        <v>45913</v>
      </c>
      <c r="C2333">
        <v>1317</v>
      </c>
      <c r="D2333" t="s">
        <v>22</v>
      </c>
      <c r="E2333" t="s">
        <v>33</v>
      </c>
      <c r="F2333" t="s">
        <v>34</v>
      </c>
      <c r="G2333">
        <v>4</v>
      </c>
      <c r="H2333">
        <v>16460</v>
      </c>
      <c r="I2333" t="s">
        <v>18</v>
      </c>
      <c r="J2333" t="s">
        <v>19</v>
      </c>
      <c r="K2333" t="s">
        <v>26</v>
      </c>
      <c r="L2333">
        <v>7</v>
      </c>
      <c r="M2333">
        <v>1</v>
      </c>
      <c r="N2333">
        <v>0</v>
      </c>
      <c r="O2333" t="s">
        <v>21</v>
      </c>
      <c r="P2333" t="str">
        <f>TEXT(Table1[[#This Row],[order_date]],"yyyy-mm")</f>
        <v>2025-09</v>
      </c>
      <c r="Q2333">
        <f>WEEKNUM(Table1[[#This Row],[order_date]])</f>
        <v>37</v>
      </c>
      <c r="R2333">
        <f>IF(Table1[[#This Row],[order_status]]="completed",1,0)</f>
        <v>1</v>
      </c>
    </row>
    <row r="2334" spans="1:18" x14ac:dyDescent="0.35">
      <c r="A2334">
        <v>2333</v>
      </c>
      <c r="B2334" s="1">
        <v>45933</v>
      </c>
      <c r="C2334">
        <v>1259</v>
      </c>
      <c r="D2334" t="s">
        <v>28</v>
      </c>
      <c r="E2334" t="s">
        <v>36</v>
      </c>
      <c r="F2334" t="s">
        <v>17</v>
      </c>
      <c r="G2334">
        <v>5</v>
      </c>
      <c r="H2334">
        <v>2115</v>
      </c>
      <c r="I2334" t="s">
        <v>18</v>
      </c>
      <c r="J2334" t="s">
        <v>19</v>
      </c>
      <c r="K2334" t="s">
        <v>40</v>
      </c>
      <c r="L2334">
        <v>6</v>
      </c>
      <c r="M2334">
        <v>1</v>
      </c>
      <c r="N2334">
        <v>1</v>
      </c>
      <c r="O2334" t="s">
        <v>27</v>
      </c>
      <c r="P2334" t="str">
        <f>TEXT(Table1[[#This Row],[order_date]],"yyyy-mm")</f>
        <v>2025-10</v>
      </c>
      <c r="Q2334">
        <f>WEEKNUM(Table1[[#This Row],[order_date]])</f>
        <v>40</v>
      </c>
      <c r="R2334">
        <f>IF(Table1[[#This Row],[order_status]]="completed",1,0)</f>
        <v>1</v>
      </c>
    </row>
    <row r="2335" spans="1:18" x14ac:dyDescent="0.35">
      <c r="A2335">
        <v>2334</v>
      </c>
      <c r="B2335" s="1">
        <v>45931</v>
      </c>
      <c r="C2335">
        <v>1241</v>
      </c>
      <c r="D2335" t="s">
        <v>22</v>
      </c>
      <c r="E2335" t="s">
        <v>33</v>
      </c>
      <c r="F2335" t="s">
        <v>34</v>
      </c>
      <c r="G2335">
        <v>2</v>
      </c>
      <c r="H2335">
        <v>0</v>
      </c>
      <c r="I2335" t="s">
        <v>39</v>
      </c>
      <c r="J2335" t="s">
        <v>31</v>
      </c>
      <c r="K2335" t="s">
        <v>20</v>
      </c>
      <c r="L2335">
        <v>5</v>
      </c>
      <c r="M2335">
        <v>1</v>
      </c>
      <c r="N2335">
        <v>0</v>
      </c>
      <c r="O2335" t="s">
        <v>27</v>
      </c>
      <c r="P2335" t="str">
        <f>TEXT(Table1[[#This Row],[order_date]],"yyyy-mm")</f>
        <v>2025-10</v>
      </c>
      <c r="Q2335">
        <f>WEEKNUM(Table1[[#This Row],[order_date]])</f>
        <v>40</v>
      </c>
      <c r="R2335">
        <f>IF(Table1[[#This Row],[order_status]]="completed",1,0)</f>
        <v>0</v>
      </c>
    </row>
    <row r="2336" spans="1:18" x14ac:dyDescent="0.35">
      <c r="A2336">
        <v>2335</v>
      </c>
      <c r="B2336" s="1">
        <v>45906</v>
      </c>
      <c r="C2336">
        <v>1992</v>
      </c>
      <c r="D2336" t="s">
        <v>41</v>
      </c>
      <c r="E2336" t="s">
        <v>36</v>
      </c>
      <c r="F2336" t="s">
        <v>30</v>
      </c>
      <c r="G2336">
        <v>3</v>
      </c>
      <c r="H2336">
        <v>0</v>
      </c>
      <c r="I2336" t="s">
        <v>25</v>
      </c>
      <c r="J2336" t="s">
        <v>31</v>
      </c>
      <c r="K2336" t="s">
        <v>20</v>
      </c>
      <c r="L2336">
        <v>3</v>
      </c>
      <c r="M2336">
        <v>0</v>
      </c>
      <c r="N2336">
        <v>0</v>
      </c>
      <c r="O2336" t="s">
        <v>21</v>
      </c>
      <c r="P2336" t="str">
        <f>TEXT(Table1[[#This Row],[order_date]],"yyyy-mm")</f>
        <v>2025-09</v>
      </c>
      <c r="Q2336">
        <f>WEEKNUM(Table1[[#This Row],[order_date]])</f>
        <v>36</v>
      </c>
      <c r="R2336">
        <f>IF(Table1[[#This Row],[order_status]]="completed",1,0)</f>
        <v>0</v>
      </c>
    </row>
    <row r="2337" spans="1:18" x14ac:dyDescent="0.35">
      <c r="A2337">
        <v>2336</v>
      </c>
      <c r="B2337" s="1">
        <v>45954</v>
      </c>
      <c r="C2337">
        <v>1802</v>
      </c>
      <c r="D2337" t="s">
        <v>15</v>
      </c>
      <c r="E2337" t="s">
        <v>36</v>
      </c>
      <c r="F2337" t="s">
        <v>30</v>
      </c>
      <c r="G2337">
        <v>5</v>
      </c>
      <c r="H2337">
        <v>12850</v>
      </c>
      <c r="I2337" t="s">
        <v>18</v>
      </c>
      <c r="J2337" t="s">
        <v>19</v>
      </c>
      <c r="K2337" t="s">
        <v>38</v>
      </c>
      <c r="L2337">
        <v>2</v>
      </c>
      <c r="M2337">
        <v>1</v>
      </c>
      <c r="N2337">
        <v>0</v>
      </c>
      <c r="O2337" t="s">
        <v>27</v>
      </c>
      <c r="P2337" t="str">
        <f>TEXT(Table1[[#This Row],[order_date]],"yyyy-mm")</f>
        <v>2025-10</v>
      </c>
      <c r="Q2337">
        <f>WEEKNUM(Table1[[#This Row],[order_date]])</f>
        <v>43</v>
      </c>
      <c r="R2337">
        <f>IF(Table1[[#This Row],[order_status]]="completed",1,0)</f>
        <v>1</v>
      </c>
    </row>
    <row r="2338" spans="1:18" x14ac:dyDescent="0.35">
      <c r="A2338">
        <v>2337</v>
      </c>
      <c r="B2338" s="1">
        <v>46023</v>
      </c>
      <c r="C2338">
        <v>1230</v>
      </c>
      <c r="D2338" t="s">
        <v>22</v>
      </c>
      <c r="E2338" t="s">
        <v>33</v>
      </c>
      <c r="F2338" t="s">
        <v>17</v>
      </c>
      <c r="G2338">
        <v>1</v>
      </c>
      <c r="H2338">
        <v>0</v>
      </c>
      <c r="I2338" t="s">
        <v>18</v>
      </c>
      <c r="J2338" t="s">
        <v>31</v>
      </c>
      <c r="K2338" t="s">
        <v>26</v>
      </c>
      <c r="L2338">
        <v>7</v>
      </c>
      <c r="M2338">
        <v>0</v>
      </c>
      <c r="N2338">
        <v>0</v>
      </c>
      <c r="O2338" t="s">
        <v>21</v>
      </c>
      <c r="P2338" t="str">
        <f>TEXT(Table1[[#This Row],[order_date]],"yyyy-mm")</f>
        <v>2026-01</v>
      </c>
      <c r="Q2338">
        <f>WEEKNUM(Table1[[#This Row],[order_date]])</f>
        <v>1</v>
      </c>
      <c r="R2338">
        <f>IF(Table1[[#This Row],[order_status]]="completed",1,0)</f>
        <v>0</v>
      </c>
    </row>
    <row r="2339" spans="1:18" x14ac:dyDescent="0.35">
      <c r="A2339">
        <v>2338</v>
      </c>
      <c r="B2339" s="1">
        <v>45894</v>
      </c>
      <c r="C2339">
        <v>1542</v>
      </c>
      <c r="D2339" t="s">
        <v>22</v>
      </c>
      <c r="E2339" t="s">
        <v>23</v>
      </c>
      <c r="F2339" t="s">
        <v>24</v>
      </c>
      <c r="G2339">
        <v>4</v>
      </c>
      <c r="H2339">
        <v>0</v>
      </c>
      <c r="I2339" t="s">
        <v>35</v>
      </c>
      <c r="J2339" t="s">
        <v>37</v>
      </c>
      <c r="K2339" t="s">
        <v>20</v>
      </c>
      <c r="L2339">
        <v>5</v>
      </c>
      <c r="M2339">
        <v>1</v>
      </c>
      <c r="N2339">
        <v>1</v>
      </c>
      <c r="O2339" t="s">
        <v>27</v>
      </c>
      <c r="P2339" t="str">
        <f>TEXT(Table1[[#This Row],[order_date]],"yyyy-mm")</f>
        <v>2025-08</v>
      </c>
      <c r="Q2339">
        <f>WEEKNUM(Table1[[#This Row],[order_date]])</f>
        <v>35</v>
      </c>
      <c r="R2339">
        <f>IF(Table1[[#This Row],[order_status]]="completed",1,0)</f>
        <v>0</v>
      </c>
    </row>
    <row r="2340" spans="1:18" x14ac:dyDescent="0.35">
      <c r="A2340">
        <v>2339</v>
      </c>
      <c r="B2340" s="1">
        <v>45944</v>
      </c>
      <c r="C2340">
        <v>1320</v>
      </c>
      <c r="D2340" t="s">
        <v>22</v>
      </c>
      <c r="E2340" t="s">
        <v>29</v>
      </c>
      <c r="F2340" t="s">
        <v>17</v>
      </c>
      <c r="G2340">
        <v>1</v>
      </c>
      <c r="H2340">
        <v>0</v>
      </c>
      <c r="I2340" t="s">
        <v>18</v>
      </c>
      <c r="J2340" t="s">
        <v>37</v>
      </c>
      <c r="K2340" t="s">
        <v>26</v>
      </c>
      <c r="L2340">
        <v>8</v>
      </c>
      <c r="M2340">
        <v>1</v>
      </c>
      <c r="N2340">
        <v>0</v>
      </c>
      <c r="O2340" t="s">
        <v>21</v>
      </c>
      <c r="P2340" t="str">
        <f>TEXT(Table1[[#This Row],[order_date]],"yyyy-mm")</f>
        <v>2025-10</v>
      </c>
      <c r="Q2340">
        <f>WEEKNUM(Table1[[#This Row],[order_date]])</f>
        <v>42</v>
      </c>
      <c r="R2340">
        <f>IF(Table1[[#This Row],[order_status]]="completed",1,0)</f>
        <v>0</v>
      </c>
    </row>
    <row r="2341" spans="1:18" x14ac:dyDescent="0.35">
      <c r="A2341">
        <v>2340</v>
      </c>
      <c r="B2341" s="1">
        <v>45948</v>
      </c>
      <c r="C2341">
        <v>1240</v>
      </c>
      <c r="D2341" t="s">
        <v>32</v>
      </c>
      <c r="E2341" t="s">
        <v>23</v>
      </c>
      <c r="F2341" t="s">
        <v>17</v>
      </c>
      <c r="G2341">
        <v>3</v>
      </c>
      <c r="H2341">
        <v>0</v>
      </c>
      <c r="I2341" t="s">
        <v>39</v>
      </c>
      <c r="J2341" t="s">
        <v>37</v>
      </c>
      <c r="K2341" t="s">
        <v>38</v>
      </c>
      <c r="L2341">
        <v>10</v>
      </c>
      <c r="M2341">
        <v>0</v>
      </c>
      <c r="N2341">
        <v>0</v>
      </c>
      <c r="O2341" t="s">
        <v>27</v>
      </c>
      <c r="P2341" t="str">
        <f>TEXT(Table1[[#This Row],[order_date]],"yyyy-mm")</f>
        <v>2025-10</v>
      </c>
      <c r="Q2341">
        <f>WEEKNUM(Table1[[#This Row],[order_date]])</f>
        <v>42</v>
      </c>
      <c r="R2341">
        <f>IF(Table1[[#This Row],[order_status]]="completed",1,0)</f>
        <v>0</v>
      </c>
    </row>
    <row r="2342" spans="1:18" x14ac:dyDescent="0.35">
      <c r="A2342">
        <v>2341</v>
      </c>
      <c r="B2342" s="1">
        <v>45872</v>
      </c>
      <c r="C2342">
        <v>1328</v>
      </c>
      <c r="D2342" t="s">
        <v>41</v>
      </c>
      <c r="E2342" t="s">
        <v>36</v>
      </c>
      <c r="F2342" t="s">
        <v>24</v>
      </c>
      <c r="G2342">
        <v>2</v>
      </c>
      <c r="H2342">
        <v>0</v>
      </c>
      <c r="I2342" t="s">
        <v>39</v>
      </c>
      <c r="J2342" t="s">
        <v>37</v>
      </c>
      <c r="K2342" t="s">
        <v>26</v>
      </c>
      <c r="L2342">
        <v>10</v>
      </c>
      <c r="M2342">
        <v>0</v>
      </c>
      <c r="N2342">
        <v>1</v>
      </c>
      <c r="O2342" t="s">
        <v>21</v>
      </c>
      <c r="P2342" t="str">
        <f>TEXT(Table1[[#This Row],[order_date]],"yyyy-mm")</f>
        <v>2025-08</v>
      </c>
      <c r="Q2342">
        <f>WEEKNUM(Table1[[#This Row],[order_date]])</f>
        <v>32</v>
      </c>
      <c r="R2342">
        <f>IF(Table1[[#This Row],[order_status]]="completed",1,0)</f>
        <v>0</v>
      </c>
    </row>
    <row r="2343" spans="1:18" x14ac:dyDescent="0.35">
      <c r="A2343">
        <v>2342</v>
      </c>
      <c r="B2343" s="1">
        <v>45937</v>
      </c>
      <c r="C2343">
        <v>1802</v>
      </c>
      <c r="D2343" t="s">
        <v>28</v>
      </c>
      <c r="E2343" t="s">
        <v>36</v>
      </c>
      <c r="F2343" t="s">
        <v>24</v>
      </c>
      <c r="G2343">
        <v>1</v>
      </c>
      <c r="H2343">
        <v>0</v>
      </c>
      <c r="I2343" t="s">
        <v>18</v>
      </c>
      <c r="J2343" t="s">
        <v>31</v>
      </c>
      <c r="K2343" t="s">
        <v>40</v>
      </c>
      <c r="L2343">
        <v>6</v>
      </c>
      <c r="M2343">
        <v>0</v>
      </c>
      <c r="N2343">
        <v>0</v>
      </c>
      <c r="O2343" t="s">
        <v>27</v>
      </c>
      <c r="P2343" t="str">
        <f>TEXT(Table1[[#This Row],[order_date]],"yyyy-mm")</f>
        <v>2025-10</v>
      </c>
      <c r="Q2343">
        <f>WEEKNUM(Table1[[#This Row],[order_date]])</f>
        <v>41</v>
      </c>
      <c r="R2343">
        <f>IF(Table1[[#This Row],[order_status]]="completed",1,0)</f>
        <v>0</v>
      </c>
    </row>
    <row r="2344" spans="1:18" x14ac:dyDescent="0.35">
      <c r="A2344">
        <v>2343</v>
      </c>
      <c r="B2344" s="1">
        <v>45995</v>
      </c>
      <c r="C2344">
        <v>1789</v>
      </c>
      <c r="D2344" t="s">
        <v>22</v>
      </c>
      <c r="E2344" t="s">
        <v>33</v>
      </c>
      <c r="F2344" t="s">
        <v>30</v>
      </c>
      <c r="G2344">
        <v>5</v>
      </c>
      <c r="H2344">
        <v>0</v>
      </c>
      <c r="I2344" t="s">
        <v>18</v>
      </c>
      <c r="J2344" t="s">
        <v>37</v>
      </c>
      <c r="K2344" t="s">
        <v>40</v>
      </c>
      <c r="L2344">
        <v>10</v>
      </c>
      <c r="M2344">
        <v>1</v>
      </c>
      <c r="N2344">
        <v>1</v>
      </c>
      <c r="O2344" t="s">
        <v>21</v>
      </c>
      <c r="P2344" t="str">
        <f>TEXT(Table1[[#This Row],[order_date]],"yyyy-mm")</f>
        <v>2025-12</v>
      </c>
      <c r="Q2344">
        <f>WEEKNUM(Table1[[#This Row],[order_date]])</f>
        <v>49</v>
      </c>
      <c r="R2344">
        <f>IF(Table1[[#This Row],[order_status]]="completed",1,0)</f>
        <v>0</v>
      </c>
    </row>
    <row r="2345" spans="1:18" x14ac:dyDescent="0.35">
      <c r="A2345">
        <v>2344</v>
      </c>
      <c r="B2345" s="1">
        <v>45874</v>
      </c>
      <c r="C2345">
        <v>1011</v>
      </c>
      <c r="D2345" t="s">
        <v>32</v>
      </c>
      <c r="E2345" t="s">
        <v>23</v>
      </c>
      <c r="F2345" t="s">
        <v>24</v>
      </c>
      <c r="G2345">
        <v>1</v>
      </c>
      <c r="H2345">
        <v>0</v>
      </c>
      <c r="I2345" t="s">
        <v>35</v>
      </c>
      <c r="J2345" t="s">
        <v>31</v>
      </c>
      <c r="K2345" t="s">
        <v>26</v>
      </c>
      <c r="L2345">
        <v>7</v>
      </c>
      <c r="M2345">
        <v>0</v>
      </c>
      <c r="N2345">
        <v>0</v>
      </c>
      <c r="O2345" t="s">
        <v>27</v>
      </c>
      <c r="P2345" t="str">
        <f>TEXT(Table1[[#This Row],[order_date]],"yyyy-mm")</f>
        <v>2025-08</v>
      </c>
      <c r="Q2345">
        <f>WEEKNUM(Table1[[#This Row],[order_date]])</f>
        <v>32</v>
      </c>
      <c r="R2345">
        <f>IF(Table1[[#This Row],[order_status]]="completed",1,0)</f>
        <v>0</v>
      </c>
    </row>
    <row r="2346" spans="1:18" x14ac:dyDescent="0.35">
      <c r="A2346">
        <v>2345</v>
      </c>
      <c r="B2346" s="1">
        <v>45918</v>
      </c>
      <c r="C2346">
        <v>1771</v>
      </c>
      <c r="D2346" t="s">
        <v>15</v>
      </c>
      <c r="E2346" t="s">
        <v>36</v>
      </c>
      <c r="F2346" t="s">
        <v>24</v>
      </c>
      <c r="G2346">
        <v>5</v>
      </c>
      <c r="H2346">
        <v>0</v>
      </c>
      <c r="I2346" t="s">
        <v>18</v>
      </c>
      <c r="J2346" t="s">
        <v>37</v>
      </c>
      <c r="K2346" t="s">
        <v>40</v>
      </c>
      <c r="L2346">
        <v>8</v>
      </c>
      <c r="M2346">
        <v>1</v>
      </c>
      <c r="N2346">
        <v>1</v>
      </c>
      <c r="O2346" t="s">
        <v>27</v>
      </c>
      <c r="P2346" t="str">
        <f>TEXT(Table1[[#This Row],[order_date]],"yyyy-mm")</f>
        <v>2025-09</v>
      </c>
      <c r="Q2346">
        <f>WEEKNUM(Table1[[#This Row],[order_date]])</f>
        <v>38</v>
      </c>
      <c r="R2346">
        <f>IF(Table1[[#This Row],[order_status]]="completed",1,0)</f>
        <v>0</v>
      </c>
    </row>
    <row r="2347" spans="1:18" x14ac:dyDescent="0.35">
      <c r="A2347">
        <v>2346</v>
      </c>
      <c r="B2347" s="1">
        <v>45951</v>
      </c>
      <c r="C2347">
        <v>1898</v>
      </c>
      <c r="D2347" t="s">
        <v>41</v>
      </c>
      <c r="E2347" t="s">
        <v>33</v>
      </c>
      <c r="F2347" t="s">
        <v>30</v>
      </c>
      <c r="G2347">
        <v>1</v>
      </c>
      <c r="H2347">
        <v>0</v>
      </c>
      <c r="I2347" t="s">
        <v>35</v>
      </c>
      <c r="J2347" t="s">
        <v>31</v>
      </c>
      <c r="K2347" t="s">
        <v>20</v>
      </c>
      <c r="L2347">
        <v>7</v>
      </c>
      <c r="M2347">
        <v>0</v>
      </c>
      <c r="N2347">
        <v>1</v>
      </c>
      <c r="O2347" t="s">
        <v>27</v>
      </c>
      <c r="P2347" t="str">
        <f>TEXT(Table1[[#This Row],[order_date]],"yyyy-mm")</f>
        <v>2025-10</v>
      </c>
      <c r="Q2347">
        <f>WEEKNUM(Table1[[#This Row],[order_date]])</f>
        <v>43</v>
      </c>
      <c r="R2347">
        <f>IF(Table1[[#This Row],[order_status]]="completed",1,0)</f>
        <v>0</v>
      </c>
    </row>
    <row r="2348" spans="1:18" x14ac:dyDescent="0.35">
      <c r="A2348">
        <v>2347</v>
      </c>
      <c r="B2348" s="1">
        <v>45979</v>
      </c>
      <c r="C2348">
        <v>1989</v>
      </c>
      <c r="D2348" t="s">
        <v>28</v>
      </c>
      <c r="E2348" t="s">
        <v>23</v>
      </c>
      <c r="F2348" t="s">
        <v>24</v>
      </c>
      <c r="G2348">
        <v>2</v>
      </c>
      <c r="H2348">
        <v>0</v>
      </c>
      <c r="I2348" t="s">
        <v>39</v>
      </c>
      <c r="J2348" t="s">
        <v>37</v>
      </c>
      <c r="K2348" t="s">
        <v>26</v>
      </c>
      <c r="L2348">
        <v>7</v>
      </c>
      <c r="M2348">
        <v>1</v>
      </c>
      <c r="N2348">
        <v>1</v>
      </c>
      <c r="O2348" t="s">
        <v>27</v>
      </c>
      <c r="P2348" t="str">
        <f>TEXT(Table1[[#This Row],[order_date]],"yyyy-mm")</f>
        <v>2025-11</v>
      </c>
      <c r="Q2348">
        <f>WEEKNUM(Table1[[#This Row],[order_date]])</f>
        <v>47</v>
      </c>
      <c r="R2348">
        <f>IF(Table1[[#This Row],[order_status]]="completed",1,0)</f>
        <v>0</v>
      </c>
    </row>
    <row r="2349" spans="1:18" x14ac:dyDescent="0.35">
      <c r="A2349">
        <v>2348</v>
      </c>
      <c r="B2349" s="1">
        <v>45979</v>
      </c>
      <c r="C2349">
        <v>1708</v>
      </c>
      <c r="D2349" t="s">
        <v>32</v>
      </c>
      <c r="E2349" t="s">
        <v>29</v>
      </c>
      <c r="F2349" t="s">
        <v>34</v>
      </c>
      <c r="G2349">
        <v>2</v>
      </c>
      <c r="H2349">
        <v>0</v>
      </c>
      <c r="I2349" t="s">
        <v>35</v>
      </c>
      <c r="J2349" t="s">
        <v>31</v>
      </c>
      <c r="K2349" t="s">
        <v>26</v>
      </c>
      <c r="L2349">
        <v>7</v>
      </c>
      <c r="M2349">
        <v>1</v>
      </c>
      <c r="N2349">
        <v>1</v>
      </c>
      <c r="O2349" t="s">
        <v>27</v>
      </c>
      <c r="P2349" t="str">
        <f>TEXT(Table1[[#This Row],[order_date]],"yyyy-mm")</f>
        <v>2025-11</v>
      </c>
      <c r="Q2349">
        <f>WEEKNUM(Table1[[#This Row],[order_date]])</f>
        <v>47</v>
      </c>
      <c r="R2349">
        <f>IF(Table1[[#This Row],[order_status]]="completed",1,0)</f>
        <v>0</v>
      </c>
    </row>
    <row r="2350" spans="1:18" x14ac:dyDescent="0.35">
      <c r="A2350">
        <v>2349</v>
      </c>
      <c r="B2350" s="1">
        <v>46022</v>
      </c>
      <c r="C2350">
        <v>1287</v>
      </c>
      <c r="D2350" t="s">
        <v>41</v>
      </c>
      <c r="E2350" t="s">
        <v>36</v>
      </c>
      <c r="F2350" t="s">
        <v>34</v>
      </c>
      <c r="G2350">
        <v>5</v>
      </c>
      <c r="H2350">
        <v>0</v>
      </c>
      <c r="I2350" t="s">
        <v>25</v>
      </c>
      <c r="J2350" t="s">
        <v>37</v>
      </c>
      <c r="K2350" t="s">
        <v>38</v>
      </c>
      <c r="L2350">
        <v>5</v>
      </c>
      <c r="M2350">
        <v>0</v>
      </c>
      <c r="N2350">
        <v>1</v>
      </c>
      <c r="O2350" t="s">
        <v>27</v>
      </c>
      <c r="P2350" t="str">
        <f>TEXT(Table1[[#This Row],[order_date]],"yyyy-mm")</f>
        <v>2025-12</v>
      </c>
      <c r="Q2350">
        <f>WEEKNUM(Table1[[#This Row],[order_date]])</f>
        <v>53</v>
      </c>
      <c r="R2350">
        <f>IF(Table1[[#This Row],[order_status]]="completed",1,0)</f>
        <v>0</v>
      </c>
    </row>
    <row r="2351" spans="1:18" x14ac:dyDescent="0.35">
      <c r="A2351">
        <v>2350</v>
      </c>
      <c r="B2351" s="1">
        <v>45907</v>
      </c>
      <c r="C2351">
        <v>1220</v>
      </c>
      <c r="D2351" t="s">
        <v>41</v>
      </c>
      <c r="E2351" t="s">
        <v>33</v>
      </c>
      <c r="F2351" t="s">
        <v>34</v>
      </c>
      <c r="G2351">
        <v>4</v>
      </c>
      <c r="H2351">
        <v>0</v>
      </c>
      <c r="I2351" t="s">
        <v>39</v>
      </c>
      <c r="J2351" t="s">
        <v>31</v>
      </c>
      <c r="K2351" t="s">
        <v>38</v>
      </c>
      <c r="L2351">
        <v>10</v>
      </c>
      <c r="M2351">
        <v>0</v>
      </c>
      <c r="N2351">
        <v>0</v>
      </c>
      <c r="O2351" t="s">
        <v>21</v>
      </c>
      <c r="P2351" t="str">
        <f>TEXT(Table1[[#This Row],[order_date]],"yyyy-mm")</f>
        <v>2025-09</v>
      </c>
      <c r="Q2351">
        <f>WEEKNUM(Table1[[#This Row],[order_date]])</f>
        <v>37</v>
      </c>
      <c r="R2351">
        <f>IF(Table1[[#This Row],[order_status]]="completed",1,0)</f>
        <v>0</v>
      </c>
    </row>
    <row r="2352" spans="1:18" x14ac:dyDescent="0.35">
      <c r="A2352">
        <v>2351</v>
      </c>
      <c r="B2352" s="1">
        <v>45983</v>
      </c>
      <c r="C2352">
        <v>1530</v>
      </c>
      <c r="D2352" t="s">
        <v>22</v>
      </c>
      <c r="E2352" t="s">
        <v>16</v>
      </c>
      <c r="F2352" t="s">
        <v>30</v>
      </c>
      <c r="G2352">
        <v>1</v>
      </c>
      <c r="H2352">
        <v>0</v>
      </c>
      <c r="I2352" t="s">
        <v>18</v>
      </c>
      <c r="J2352" t="s">
        <v>37</v>
      </c>
      <c r="K2352" t="s">
        <v>20</v>
      </c>
      <c r="L2352">
        <v>4</v>
      </c>
      <c r="M2352">
        <v>0</v>
      </c>
      <c r="N2352">
        <v>0</v>
      </c>
      <c r="O2352" t="s">
        <v>21</v>
      </c>
      <c r="P2352" t="str">
        <f>TEXT(Table1[[#This Row],[order_date]],"yyyy-mm")</f>
        <v>2025-11</v>
      </c>
      <c r="Q2352">
        <f>WEEKNUM(Table1[[#This Row],[order_date]])</f>
        <v>47</v>
      </c>
      <c r="R2352">
        <f>IF(Table1[[#This Row],[order_status]]="completed",1,0)</f>
        <v>0</v>
      </c>
    </row>
    <row r="2353" spans="1:18" x14ac:dyDescent="0.35">
      <c r="A2353">
        <v>2352</v>
      </c>
      <c r="B2353" s="1">
        <v>45866</v>
      </c>
      <c r="C2353">
        <v>1652</v>
      </c>
      <c r="D2353" t="s">
        <v>32</v>
      </c>
      <c r="E2353" t="s">
        <v>36</v>
      </c>
      <c r="F2353" t="s">
        <v>30</v>
      </c>
      <c r="G2353">
        <v>3</v>
      </c>
      <c r="H2353">
        <v>12159</v>
      </c>
      <c r="I2353" t="s">
        <v>39</v>
      </c>
      <c r="J2353" t="s">
        <v>19</v>
      </c>
      <c r="K2353" t="s">
        <v>20</v>
      </c>
      <c r="L2353">
        <v>3</v>
      </c>
      <c r="M2353">
        <v>0</v>
      </c>
      <c r="N2353">
        <v>0</v>
      </c>
      <c r="O2353" t="s">
        <v>21</v>
      </c>
      <c r="P2353" t="str">
        <f>TEXT(Table1[[#This Row],[order_date]],"yyyy-mm")</f>
        <v>2025-07</v>
      </c>
      <c r="Q2353">
        <f>WEEKNUM(Table1[[#This Row],[order_date]])</f>
        <v>31</v>
      </c>
      <c r="R2353">
        <f>IF(Table1[[#This Row],[order_status]]="completed",1,0)</f>
        <v>1</v>
      </c>
    </row>
    <row r="2354" spans="1:18" x14ac:dyDescent="0.35">
      <c r="A2354">
        <v>2353</v>
      </c>
      <c r="B2354" s="1">
        <v>45964</v>
      </c>
      <c r="C2354">
        <v>1305</v>
      </c>
      <c r="D2354" t="s">
        <v>41</v>
      </c>
      <c r="E2354" t="s">
        <v>23</v>
      </c>
      <c r="F2354" t="s">
        <v>17</v>
      </c>
      <c r="G2354">
        <v>1</v>
      </c>
      <c r="H2354">
        <v>1119</v>
      </c>
      <c r="I2354" t="s">
        <v>35</v>
      </c>
      <c r="J2354" t="s">
        <v>19</v>
      </c>
      <c r="K2354" t="s">
        <v>20</v>
      </c>
      <c r="L2354">
        <v>7</v>
      </c>
      <c r="M2354">
        <v>1</v>
      </c>
      <c r="N2354">
        <v>0</v>
      </c>
      <c r="O2354" t="s">
        <v>21</v>
      </c>
      <c r="P2354" t="str">
        <f>TEXT(Table1[[#This Row],[order_date]],"yyyy-mm")</f>
        <v>2025-11</v>
      </c>
      <c r="Q2354">
        <f>WEEKNUM(Table1[[#This Row],[order_date]])</f>
        <v>45</v>
      </c>
      <c r="R2354">
        <f>IF(Table1[[#This Row],[order_status]]="completed",1,0)</f>
        <v>1</v>
      </c>
    </row>
    <row r="2355" spans="1:18" x14ac:dyDescent="0.35">
      <c r="A2355">
        <v>2354</v>
      </c>
      <c r="B2355" s="1">
        <v>45949</v>
      </c>
      <c r="C2355">
        <v>1384</v>
      </c>
      <c r="D2355" t="s">
        <v>22</v>
      </c>
      <c r="E2355" t="s">
        <v>23</v>
      </c>
      <c r="F2355" t="s">
        <v>30</v>
      </c>
      <c r="G2355">
        <v>3</v>
      </c>
      <c r="H2355">
        <v>14865</v>
      </c>
      <c r="I2355" t="s">
        <v>39</v>
      </c>
      <c r="J2355" t="s">
        <v>19</v>
      </c>
      <c r="K2355" t="s">
        <v>26</v>
      </c>
      <c r="L2355">
        <v>4</v>
      </c>
      <c r="M2355">
        <v>1</v>
      </c>
      <c r="N2355">
        <v>0</v>
      </c>
      <c r="O2355" t="s">
        <v>21</v>
      </c>
      <c r="P2355" t="str">
        <f>TEXT(Table1[[#This Row],[order_date]],"yyyy-mm")</f>
        <v>2025-10</v>
      </c>
      <c r="Q2355">
        <f>WEEKNUM(Table1[[#This Row],[order_date]])</f>
        <v>43</v>
      </c>
      <c r="R2355">
        <f>IF(Table1[[#This Row],[order_status]]="completed",1,0)</f>
        <v>1</v>
      </c>
    </row>
    <row r="2356" spans="1:18" x14ac:dyDescent="0.35">
      <c r="A2356">
        <v>2355</v>
      </c>
      <c r="B2356" s="1">
        <v>45866</v>
      </c>
      <c r="C2356">
        <v>1856</v>
      </c>
      <c r="D2356" t="s">
        <v>41</v>
      </c>
      <c r="E2356" t="s">
        <v>29</v>
      </c>
      <c r="F2356" t="s">
        <v>24</v>
      </c>
      <c r="G2356">
        <v>5</v>
      </c>
      <c r="H2356">
        <v>0</v>
      </c>
      <c r="I2356" t="s">
        <v>18</v>
      </c>
      <c r="J2356" t="s">
        <v>31</v>
      </c>
      <c r="K2356" t="s">
        <v>40</v>
      </c>
      <c r="L2356">
        <v>9</v>
      </c>
      <c r="M2356">
        <v>1</v>
      </c>
      <c r="N2356">
        <v>1</v>
      </c>
      <c r="O2356" t="s">
        <v>27</v>
      </c>
      <c r="P2356" t="str">
        <f>TEXT(Table1[[#This Row],[order_date]],"yyyy-mm")</f>
        <v>2025-07</v>
      </c>
      <c r="Q2356">
        <f>WEEKNUM(Table1[[#This Row],[order_date]])</f>
        <v>31</v>
      </c>
      <c r="R2356">
        <f>IF(Table1[[#This Row],[order_status]]="completed",1,0)</f>
        <v>0</v>
      </c>
    </row>
    <row r="2357" spans="1:18" x14ac:dyDescent="0.35">
      <c r="A2357">
        <v>2356</v>
      </c>
      <c r="B2357" s="1">
        <v>45972</v>
      </c>
      <c r="C2357">
        <v>1728</v>
      </c>
      <c r="D2357" t="s">
        <v>32</v>
      </c>
      <c r="E2357" t="s">
        <v>33</v>
      </c>
      <c r="F2357" t="s">
        <v>24</v>
      </c>
      <c r="G2357">
        <v>4</v>
      </c>
      <c r="H2357">
        <v>0</v>
      </c>
      <c r="I2357" t="s">
        <v>39</v>
      </c>
      <c r="J2357" t="s">
        <v>31</v>
      </c>
      <c r="K2357" t="s">
        <v>40</v>
      </c>
      <c r="L2357">
        <v>3</v>
      </c>
      <c r="M2357">
        <v>1</v>
      </c>
      <c r="N2357">
        <v>1</v>
      </c>
      <c r="O2357" t="s">
        <v>21</v>
      </c>
      <c r="P2357" t="str">
        <f>TEXT(Table1[[#This Row],[order_date]],"yyyy-mm")</f>
        <v>2025-11</v>
      </c>
      <c r="Q2357">
        <f>WEEKNUM(Table1[[#This Row],[order_date]])</f>
        <v>46</v>
      </c>
      <c r="R2357">
        <f>IF(Table1[[#This Row],[order_status]]="completed",1,0)</f>
        <v>0</v>
      </c>
    </row>
    <row r="2358" spans="1:18" x14ac:dyDescent="0.35">
      <c r="A2358">
        <v>2357</v>
      </c>
      <c r="B2358" s="1">
        <v>46029</v>
      </c>
      <c r="C2358">
        <v>1598</v>
      </c>
      <c r="D2358" t="s">
        <v>28</v>
      </c>
      <c r="E2358" t="s">
        <v>16</v>
      </c>
      <c r="F2358" t="s">
        <v>30</v>
      </c>
      <c r="G2358">
        <v>5</v>
      </c>
      <c r="H2358">
        <v>0</v>
      </c>
      <c r="I2358" t="s">
        <v>35</v>
      </c>
      <c r="J2358" t="s">
        <v>31</v>
      </c>
      <c r="K2358" t="s">
        <v>26</v>
      </c>
      <c r="L2358">
        <v>8</v>
      </c>
      <c r="M2358">
        <v>0</v>
      </c>
      <c r="N2358">
        <v>1</v>
      </c>
      <c r="O2358" t="s">
        <v>21</v>
      </c>
      <c r="P2358" t="str">
        <f>TEXT(Table1[[#This Row],[order_date]],"yyyy-mm")</f>
        <v>2026-01</v>
      </c>
      <c r="Q2358">
        <f>WEEKNUM(Table1[[#This Row],[order_date]])</f>
        <v>2</v>
      </c>
      <c r="R2358">
        <f>IF(Table1[[#This Row],[order_status]]="completed",1,0)</f>
        <v>0</v>
      </c>
    </row>
    <row r="2359" spans="1:18" x14ac:dyDescent="0.35">
      <c r="A2359">
        <v>2358</v>
      </c>
      <c r="B2359" s="1">
        <v>45926</v>
      </c>
      <c r="C2359">
        <v>1331</v>
      </c>
      <c r="D2359" t="s">
        <v>32</v>
      </c>
      <c r="E2359" t="s">
        <v>33</v>
      </c>
      <c r="F2359" t="s">
        <v>34</v>
      </c>
      <c r="G2359">
        <v>3</v>
      </c>
      <c r="H2359">
        <v>0</v>
      </c>
      <c r="I2359" t="s">
        <v>18</v>
      </c>
      <c r="J2359" t="s">
        <v>37</v>
      </c>
      <c r="K2359" t="s">
        <v>38</v>
      </c>
      <c r="L2359">
        <v>3</v>
      </c>
      <c r="M2359">
        <v>1</v>
      </c>
      <c r="N2359">
        <v>1</v>
      </c>
      <c r="O2359" t="s">
        <v>27</v>
      </c>
      <c r="P2359" t="str">
        <f>TEXT(Table1[[#This Row],[order_date]],"yyyy-mm")</f>
        <v>2025-09</v>
      </c>
      <c r="Q2359">
        <f>WEEKNUM(Table1[[#This Row],[order_date]])</f>
        <v>39</v>
      </c>
      <c r="R2359">
        <f>IF(Table1[[#This Row],[order_status]]="completed",1,0)</f>
        <v>0</v>
      </c>
    </row>
    <row r="2360" spans="1:18" x14ac:dyDescent="0.35">
      <c r="A2360">
        <v>2359</v>
      </c>
      <c r="B2360" s="1">
        <v>46023</v>
      </c>
      <c r="C2360">
        <v>1377</v>
      </c>
      <c r="D2360" t="s">
        <v>28</v>
      </c>
      <c r="E2360" t="s">
        <v>23</v>
      </c>
      <c r="F2360" t="s">
        <v>34</v>
      </c>
      <c r="G2360">
        <v>3</v>
      </c>
      <c r="H2360">
        <v>0</v>
      </c>
      <c r="I2360" t="s">
        <v>35</v>
      </c>
      <c r="J2360" t="s">
        <v>31</v>
      </c>
      <c r="K2360" t="s">
        <v>26</v>
      </c>
      <c r="L2360">
        <v>2</v>
      </c>
      <c r="M2360">
        <v>1</v>
      </c>
      <c r="N2360">
        <v>1</v>
      </c>
      <c r="O2360" t="s">
        <v>21</v>
      </c>
      <c r="P2360" t="str">
        <f>TEXT(Table1[[#This Row],[order_date]],"yyyy-mm")</f>
        <v>2026-01</v>
      </c>
      <c r="Q2360">
        <f>WEEKNUM(Table1[[#This Row],[order_date]])</f>
        <v>1</v>
      </c>
      <c r="R2360">
        <f>IF(Table1[[#This Row],[order_status]]="completed",1,0)</f>
        <v>0</v>
      </c>
    </row>
    <row r="2361" spans="1:18" x14ac:dyDescent="0.35">
      <c r="A2361">
        <v>2360</v>
      </c>
      <c r="B2361" s="1">
        <v>45980</v>
      </c>
      <c r="C2361">
        <v>1622</v>
      </c>
      <c r="D2361" t="s">
        <v>15</v>
      </c>
      <c r="E2361" t="s">
        <v>36</v>
      </c>
      <c r="F2361" t="s">
        <v>30</v>
      </c>
      <c r="G2361">
        <v>4</v>
      </c>
      <c r="H2361">
        <v>9492</v>
      </c>
      <c r="I2361" t="s">
        <v>25</v>
      </c>
      <c r="J2361" t="s">
        <v>19</v>
      </c>
      <c r="K2361" t="s">
        <v>20</v>
      </c>
      <c r="L2361">
        <v>8</v>
      </c>
      <c r="M2361">
        <v>0</v>
      </c>
      <c r="N2361">
        <v>0</v>
      </c>
      <c r="O2361" t="s">
        <v>27</v>
      </c>
      <c r="P2361" t="str">
        <f>TEXT(Table1[[#This Row],[order_date]],"yyyy-mm")</f>
        <v>2025-11</v>
      </c>
      <c r="Q2361">
        <f>WEEKNUM(Table1[[#This Row],[order_date]])</f>
        <v>47</v>
      </c>
      <c r="R2361">
        <f>IF(Table1[[#This Row],[order_status]]="completed",1,0)</f>
        <v>1</v>
      </c>
    </row>
    <row r="2362" spans="1:18" x14ac:dyDescent="0.35">
      <c r="A2362">
        <v>2361</v>
      </c>
      <c r="B2362" s="1">
        <v>45983</v>
      </c>
      <c r="C2362">
        <v>1261</v>
      </c>
      <c r="D2362" t="s">
        <v>41</v>
      </c>
      <c r="E2362" t="s">
        <v>23</v>
      </c>
      <c r="F2362" t="s">
        <v>17</v>
      </c>
      <c r="G2362">
        <v>4</v>
      </c>
      <c r="H2362">
        <v>0</v>
      </c>
      <c r="I2362" t="s">
        <v>35</v>
      </c>
      <c r="J2362" t="s">
        <v>37</v>
      </c>
      <c r="K2362" t="s">
        <v>40</v>
      </c>
      <c r="L2362">
        <v>4</v>
      </c>
      <c r="M2362">
        <v>0</v>
      </c>
      <c r="N2362">
        <v>1</v>
      </c>
      <c r="O2362" t="s">
        <v>27</v>
      </c>
      <c r="P2362" t="str">
        <f>TEXT(Table1[[#This Row],[order_date]],"yyyy-mm")</f>
        <v>2025-11</v>
      </c>
      <c r="Q2362">
        <f>WEEKNUM(Table1[[#This Row],[order_date]])</f>
        <v>47</v>
      </c>
      <c r="R2362">
        <f>IF(Table1[[#This Row],[order_status]]="completed",1,0)</f>
        <v>0</v>
      </c>
    </row>
    <row r="2363" spans="1:18" x14ac:dyDescent="0.35">
      <c r="A2363">
        <v>2362</v>
      </c>
      <c r="B2363" s="1">
        <v>45949</v>
      </c>
      <c r="C2363">
        <v>1736</v>
      </c>
      <c r="D2363" t="s">
        <v>22</v>
      </c>
      <c r="E2363" t="s">
        <v>36</v>
      </c>
      <c r="F2363" t="s">
        <v>30</v>
      </c>
      <c r="G2363">
        <v>2</v>
      </c>
      <c r="H2363">
        <v>0</v>
      </c>
      <c r="I2363" t="s">
        <v>18</v>
      </c>
      <c r="J2363" t="s">
        <v>37</v>
      </c>
      <c r="K2363" t="s">
        <v>20</v>
      </c>
      <c r="L2363">
        <v>4</v>
      </c>
      <c r="M2363">
        <v>0</v>
      </c>
      <c r="N2363">
        <v>1</v>
      </c>
      <c r="O2363" t="s">
        <v>21</v>
      </c>
      <c r="P2363" t="str">
        <f>TEXT(Table1[[#This Row],[order_date]],"yyyy-mm")</f>
        <v>2025-10</v>
      </c>
      <c r="Q2363">
        <f>WEEKNUM(Table1[[#This Row],[order_date]])</f>
        <v>43</v>
      </c>
      <c r="R2363">
        <f>IF(Table1[[#This Row],[order_status]]="completed",1,0)</f>
        <v>0</v>
      </c>
    </row>
    <row r="2364" spans="1:18" x14ac:dyDescent="0.35">
      <c r="A2364">
        <v>2363</v>
      </c>
      <c r="B2364" s="1">
        <v>45861</v>
      </c>
      <c r="C2364">
        <v>1924</v>
      </c>
      <c r="D2364" t="s">
        <v>32</v>
      </c>
      <c r="E2364" t="s">
        <v>29</v>
      </c>
      <c r="F2364" t="s">
        <v>17</v>
      </c>
      <c r="G2364">
        <v>4</v>
      </c>
      <c r="H2364">
        <v>7020</v>
      </c>
      <c r="I2364" t="s">
        <v>39</v>
      </c>
      <c r="J2364" t="s">
        <v>19</v>
      </c>
      <c r="K2364" t="s">
        <v>20</v>
      </c>
      <c r="L2364">
        <v>2</v>
      </c>
      <c r="M2364">
        <v>0</v>
      </c>
      <c r="N2364">
        <v>0</v>
      </c>
      <c r="O2364" t="s">
        <v>27</v>
      </c>
      <c r="P2364" t="str">
        <f>TEXT(Table1[[#This Row],[order_date]],"yyyy-mm")</f>
        <v>2025-07</v>
      </c>
      <c r="Q2364">
        <f>WEEKNUM(Table1[[#This Row],[order_date]])</f>
        <v>30</v>
      </c>
      <c r="R2364">
        <f>IF(Table1[[#This Row],[order_status]]="completed",1,0)</f>
        <v>1</v>
      </c>
    </row>
    <row r="2365" spans="1:18" x14ac:dyDescent="0.35">
      <c r="A2365">
        <v>2364</v>
      </c>
      <c r="B2365" s="1">
        <v>45921</v>
      </c>
      <c r="C2365">
        <v>1673</v>
      </c>
      <c r="D2365" t="s">
        <v>28</v>
      </c>
      <c r="E2365" t="s">
        <v>29</v>
      </c>
      <c r="F2365" t="s">
        <v>30</v>
      </c>
      <c r="G2365">
        <v>2</v>
      </c>
      <c r="H2365">
        <v>0</v>
      </c>
      <c r="I2365" t="s">
        <v>25</v>
      </c>
      <c r="J2365" t="s">
        <v>31</v>
      </c>
      <c r="K2365" t="s">
        <v>26</v>
      </c>
      <c r="L2365">
        <v>3</v>
      </c>
      <c r="M2365">
        <v>0</v>
      </c>
      <c r="N2365">
        <v>1</v>
      </c>
      <c r="O2365" t="s">
        <v>21</v>
      </c>
      <c r="P2365" t="str">
        <f>TEXT(Table1[[#This Row],[order_date]],"yyyy-mm")</f>
        <v>2025-09</v>
      </c>
      <c r="Q2365">
        <f>WEEKNUM(Table1[[#This Row],[order_date]])</f>
        <v>39</v>
      </c>
      <c r="R2365">
        <f>IF(Table1[[#This Row],[order_status]]="completed",1,0)</f>
        <v>0</v>
      </c>
    </row>
    <row r="2366" spans="1:18" x14ac:dyDescent="0.35">
      <c r="A2366">
        <v>2365</v>
      </c>
      <c r="B2366" s="1">
        <v>46017</v>
      </c>
      <c r="C2366">
        <v>1193</v>
      </c>
      <c r="D2366" t="s">
        <v>22</v>
      </c>
      <c r="E2366" t="s">
        <v>29</v>
      </c>
      <c r="F2366" t="s">
        <v>30</v>
      </c>
      <c r="G2366">
        <v>2</v>
      </c>
      <c r="H2366">
        <v>3808</v>
      </c>
      <c r="I2366" t="s">
        <v>39</v>
      </c>
      <c r="J2366" t="s">
        <v>19</v>
      </c>
      <c r="K2366" t="s">
        <v>26</v>
      </c>
      <c r="L2366">
        <v>1</v>
      </c>
      <c r="M2366">
        <v>1</v>
      </c>
      <c r="N2366">
        <v>0</v>
      </c>
      <c r="O2366" t="s">
        <v>27</v>
      </c>
      <c r="P2366" t="str">
        <f>TEXT(Table1[[#This Row],[order_date]],"yyyy-mm")</f>
        <v>2025-12</v>
      </c>
      <c r="Q2366">
        <f>WEEKNUM(Table1[[#This Row],[order_date]])</f>
        <v>52</v>
      </c>
      <c r="R2366">
        <f>IF(Table1[[#This Row],[order_status]]="completed",1,0)</f>
        <v>1</v>
      </c>
    </row>
    <row r="2367" spans="1:18" x14ac:dyDescent="0.35">
      <c r="A2367">
        <v>2366</v>
      </c>
      <c r="B2367" s="1">
        <v>45916</v>
      </c>
      <c r="C2367">
        <v>1388</v>
      </c>
      <c r="D2367" t="s">
        <v>22</v>
      </c>
      <c r="E2367" t="s">
        <v>23</v>
      </c>
      <c r="F2367" t="s">
        <v>17</v>
      </c>
      <c r="G2367">
        <v>4</v>
      </c>
      <c r="H2367">
        <v>0</v>
      </c>
      <c r="I2367" t="s">
        <v>39</v>
      </c>
      <c r="J2367" t="s">
        <v>31</v>
      </c>
      <c r="K2367" t="s">
        <v>38</v>
      </c>
      <c r="L2367">
        <v>4</v>
      </c>
      <c r="M2367">
        <v>1</v>
      </c>
      <c r="N2367">
        <v>1</v>
      </c>
      <c r="O2367" t="s">
        <v>27</v>
      </c>
      <c r="P2367" t="str">
        <f>TEXT(Table1[[#This Row],[order_date]],"yyyy-mm")</f>
        <v>2025-09</v>
      </c>
      <c r="Q2367">
        <f>WEEKNUM(Table1[[#This Row],[order_date]])</f>
        <v>38</v>
      </c>
      <c r="R2367">
        <f>IF(Table1[[#This Row],[order_status]]="completed",1,0)</f>
        <v>0</v>
      </c>
    </row>
    <row r="2368" spans="1:18" x14ac:dyDescent="0.35">
      <c r="A2368">
        <v>2367</v>
      </c>
      <c r="B2368" s="1">
        <v>46005</v>
      </c>
      <c r="C2368">
        <v>1516</v>
      </c>
      <c r="D2368" t="s">
        <v>15</v>
      </c>
      <c r="E2368" t="s">
        <v>36</v>
      </c>
      <c r="F2368" t="s">
        <v>30</v>
      </c>
      <c r="G2368">
        <v>3</v>
      </c>
      <c r="H2368">
        <v>6150</v>
      </c>
      <c r="I2368" t="s">
        <v>25</v>
      </c>
      <c r="J2368" t="s">
        <v>19</v>
      </c>
      <c r="K2368" t="s">
        <v>40</v>
      </c>
      <c r="L2368">
        <v>5</v>
      </c>
      <c r="M2368">
        <v>0</v>
      </c>
      <c r="N2368">
        <v>0</v>
      </c>
      <c r="O2368" t="s">
        <v>21</v>
      </c>
      <c r="P2368" t="str">
        <f>TEXT(Table1[[#This Row],[order_date]],"yyyy-mm")</f>
        <v>2025-12</v>
      </c>
      <c r="Q2368">
        <f>WEEKNUM(Table1[[#This Row],[order_date]])</f>
        <v>51</v>
      </c>
      <c r="R2368">
        <f>IF(Table1[[#This Row],[order_status]]="completed",1,0)</f>
        <v>1</v>
      </c>
    </row>
    <row r="2369" spans="1:18" x14ac:dyDescent="0.35">
      <c r="A2369">
        <v>2368</v>
      </c>
      <c r="B2369" s="1">
        <v>46015</v>
      </c>
      <c r="C2369">
        <v>1291</v>
      </c>
      <c r="D2369" t="s">
        <v>41</v>
      </c>
      <c r="E2369" t="s">
        <v>36</v>
      </c>
      <c r="F2369" t="s">
        <v>17</v>
      </c>
      <c r="G2369">
        <v>3</v>
      </c>
      <c r="H2369">
        <v>3492</v>
      </c>
      <c r="I2369" t="s">
        <v>39</v>
      </c>
      <c r="J2369" t="s">
        <v>19</v>
      </c>
      <c r="K2369" t="s">
        <v>40</v>
      </c>
      <c r="L2369">
        <v>6</v>
      </c>
      <c r="M2369">
        <v>0</v>
      </c>
      <c r="N2369">
        <v>1</v>
      </c>
      <c r="O2369" t="s">
        <v>21</v>
      </c>
      <c r="P2369" t="str">
        <f>TEXT(Table1[[#This Row],[order_date]],"yyyy-mm")</f>
        <v>2025-12</v>
      </c>
      <c r="Q2369">
        <f>WEEKNUM(Table1[[#This Row],[order_date]])</f>
        <v>52</v>
      </c>
      <c r="R2369">
        <f>IF(Table1[[#This Row],[order_status]]="completed",1,0)</f>
        <v>1</v>
      </c>
    </row>
    <row r="2370" spans="1:18" x14ac:dyDescent="0.35">
      <c r="A2370">
        <v>2369</v>
      </c>
      <c r="B2370" s="1">
        <v>45877</v>
      </c>
      <c r="C2370">
        <v>1437</v>
      </c>
      <c r="D2370" t="s">
        <v>41</v>
      </c>
      <c r="E2370" t="s">
        <v>29</v>
      </c>
      <c r="F2370" t="s">
        <v>24</v>
      </c>
      <c r="G2370">
        <v>2</v>
      </c>
      <c r="H2370">
        <v>5392</v>
      </c>
      <c r="I2370" t="s">
        <v>18</v>
      </c>
      <c r="J2370" t="s">
        <v>19</v>
      </c>
      <c r="K2370" t="s">
        <v>40</v>
      </c>
      <c r="L2370">
        <v>9</v>
      </c>
      <c r="M2370">
        <v>1</v>
      </c>
      <c r="N2370">
        <v>1</v>
      </c>
      <c r="O2370" t="s">
        <v>27</v>
      </c>
      <c r="P2370" t="str">
        <f>TEXT(Table1[[#This Row],[order_date]],"yyyy-mm")</f>
        <v>2025-08</v>
      </c>
      <c r="Q2370">
        <f>WEEKNUM(Table1[[#This Row],[order_date]])</f>
        <v>32</v>
      </c>
      <c r="R2370">
        <f>IF(Table1[[#This Row],[order_status]]="completed",1,0)</f>
        <v>1</v>
      </c>
    </row>
    <row r="2371" spans="1:18" x14ac:dyDescent="0.35">
      <c r="A2371">
        <v>2370</v>
      </c>
      <c r="B2371" s="1">
        <v>45953</v>
      </c>
      <c r="C2371">
        <v>1884</v>
      </c>
      <c r="D2371" t="s">
        <v>22</v>
      </c>
      <c r="E2371" t="s">
        <v>33</v>
      </c>
      <c r="F2371" t="s">
        <v>34</v>
      </c>
      <c r="G2371">
        <v>5</v>
      </c>
      <c r="H2371">
        <v>0</v>
      </c>
      <c r="I2371" t="s">
        <v>18</v>
      </c>
      <c r="J2371" t="s">
        <v>37</v>
      </c>
      <c r="K2371" t="s">
        <v>38</v>
      </c>
      <c r="L2371">
        <v>5</v>
      </c>
      <c r="M2371">
        <v>1</v>
      </c>
      <c r="N2371">
        <v>0</v>
      </c>
      <c r="O2371" t="s">
        <v>27</v>
      </c>
      <c r="P2371" t="str">
        <f>TEXT(Table1[[#This Row],[order_date]],"yyyy-mm")</f>
        <v>2025-10</v>
      </c>
      <c r="Q2371">
        <f>WEEKNUM(Table1[[#This Row],[order_date]])</f>
        <v>43</v>
      </c>
      <c r="R2371">
        <f>IF(Table1[[#This Row],[order_status]]="completed",1,0)</f>
        <v>0</v>
      </c>
    </row>
    <row r="2372" spans="1:18" x14ac:dyDescent="0.35">
      <c r="A2372">
        <v>2371</v>
      </c>
      <c r="B2372" s="1">
        <v>46031</v>
      </c>
      <c r="C2372">
        <v>1103</v>
      </c>
      <c r="D2372" t="s">
        <v>15</v>
      </c>
      <c r="E2372" t="s">
        <v>29</v>
      </c>
      <c r="F2372" t="s">
        <v>34</v>
      </c>
      <c r="G2372">
        <v>2</v>
      </c>
      <c r="H2372">
        <v>3376</v>
      </c>
      <c r="I2372" t="s">
        <v>39</v>
      </c>
      <c r="J2372" t="s">
        <v>19</v>
      </c>
      <c r="K2372" t="s">
        <v>40</v>
      </c>
      <c r="L2372">
        <v>5</v>
      </c>
      <c r="M2372">
        <v>0</v>
      </c>
      <c r="N2372">
        <v>0</v>
      </c>
      <c r="O2372" t="s">
        <v>21</v>
      </c>
      <c r="P2372" t="str">
        <f>TEXT(Table1[[#This Row],[order_date]],"yyyy-mm")</f>
        <v>2026-01</v>
      </c>
      <c r="Q2372">
        <f>WEEKNUM(Table1[[#This Row],[order_date]])</f>
        <v>2</v>
      </c>
      <c r="R2372">
        <f>IF(Table1[[#This Row],[order_status]]="completed",1,0)</f>
        <v>1</v>
      </c>
    </row>
    <row r="2373" spans="1:18" x14ac:dyDescent="0.35">
      <c r="A2373">
        <v>2372</v>
      </c>
      <c r="B2373" s="1">
        <v>45885</v>
      </c>
      <c r="C2373">
        <v>1329</v>
      </c>
      <c r="D2373" t="s">
        <v>28</v>
      </c>
      <c r="E2373" t="s">
        <v>23</v>
      </c>
      <c r="F2373" t="s">
        <v>34</v>
      </c>
      <c r="G2373">
        <v>2</v>
      </c>
      <c r="H2373">
        <v>1318</v>
      </c>
      <c r="I2373" t="s">
        <v>39</v>
      </c>
      <c r="J2373" t="s">
        <v>19</v>
      </c>
      <c r="K2373" t="s">
        <v>20</v>
      </c>
      <c r="L2373">
        <v>9</v>
      </c>
      <c r="M2373">
        <v>0</v>
      </c>
      <c r="N2373">
        <v>1</v>
      </c>
      <c r="O2373" t="s">
        <v>27</v>
      </c>
      <c r="P2373" t="str">
        <f>TEXT(Table1[[#This Row],[order_date]],"yyyy-mm")</f>
        <v>2025-08</v>
      </c>
      <c r="Q2373">
        <f>WEEKNUM(Table1[[#This Row],[order_date]])</f>
        <v>33</v>
      </c>
      <c r="R2373">
        <f>IF(Table1[[#This Row],[order_status]]="completed",1,0)</f>
        <v>1</v>
      </c>
    </row>
    <row r="2374" spans="1:18" x14ac:dyDescent="0.35">
      <c r="A2374">
        <v>2373</v>
      </c>
      <c r="B2374" s="1">
        <v>45902</v>
      </c>
      <c r="C2374">
        <v>1922</v>
      </c>
      <c r="D2374" t="s">
        <v>22</v>
      </c>
      <c r="E2374" t="s">
        <v>23</v>
      </c>
      <c r="F2374" t="s">
        <v>30</v>
      </c>
      <c r="G2374">
        <v>1</v>
      </c>
      <c r="H2374">
        <v>1025</v>
      </c>
      <c r="I2374" t="s">
        <v>25</v>
      </c>
      <c r="J2374" t="s">
        <v>19</v>
      </c>
      <c r="K2374" t="s">
        <v>26</v>
      </c>
      <c r="L2374">
        <v>9</v>
      </c>
      <c r="M2374">
        <v>1</v>
      </c>
      <c r="N2374">
        <v>1</v>
      </c>
      <c r="O2374" t="s">
        <v>21</v>
      </c>
      <c r="P2374" t="str">
        <f>TEXT(Table1[[#This Row],[order_date]],"yyyy-mm")</f>
        <v>2025-09</v>
      </c>
      <c r="Q2374">
        <f>WEEKNUM(Table1[[#This Row],[order_date]])</f>
        <v>36</v>
      </c>
      <c r="R2374">
        <f>IF(Table1[[#This Row],[order_status]]="completed",1,0)</f>
        <v>1</v>
      </c>
    </row>
    <row r="2375" spans="1:18" x14ac:dyDescent="0.35">
      <c r="A2375">
        <v>2374</v>
      </c>
      <c r="B2375" s="1">
        <v>45939</v>
      </c>
      <c r="C2375">
        <v>1592</v>
      </c>
      <c r="D2375" t="s">
        <v>41</v>
      </c>
      <c r="E2375" t="s">
        <v>36</v>
      </c>
      <c r="F2375" t="s">
        <v>24</v>
      </c>
      <c r="G2375">
        <v>3</v>
      </c>
      <c r="H2375">
        <v>0</v>
      </c>
      <c r="I2375" t="s">
        <v>25</v>
      </c>
      <c r="J2375" t="s">
        <v>37</v>
      </c>
      <c r="K2375" t="s">
        <v>38</v>
      </c>
      <c r="L2375">
        <v>7</v>
      </c>
      <c r="M2375">
        <v>0</v>
      </c>
      <c r="N2375">
        <v>1</v>
      </c>
      <c r="O2375" t="s">
        <v>21</v>
      </c>
      <c r="P2375" t="str">
        <f>TEXT(Table1[[#This Row],[order_date]],"yyyy-mm")</f>
        <v>2025-10</v>
      </c>
      <c r="Q2375">
        <f>WEEKNUM(Table1[[#This Row],[order_date]])</f>
        <v>41</v>
      </c>
      <c r="R2375">
        <f>IF(Table1[[#This Row],[order_status]]="completed",1,0)</f>
        <v>0</v>
      </c>
    </row>
    <row r="2376" spans="1:18" x14ac:dyDescent="0.35">
      <c r="A2376">
        <v>2375</v>
      </c>
      <c r="B2376" s="1">
        <v>45882</v>
      </c>
      <c r="C2376">
        <v>1917</v>
      </c>
      <c r="D2376" t="s">
        <v>22</v>
      </c>
      <c r="E2376" t="s">
        <v>33</v>
      </c>
      <c r="F2376" t="s">
        <v>30</v>
      </c>
      <c r="G2376">
        <v>4</v>
      </c>
      <c r="H2376">
        <v>7660</v>
      </c>
      <c r="I2376" t="s">
        <v>39</v>
      </c>
      <c r="J2376" t="s">
        <v>19</v>
      </c>
      <c r="K2376" t="s">
        <v>40</v>
      </c>
      <c r="L2376">
        <v>5</v>
      </c>
      <c r="M2376">
        <v>0</v>
      </c>
      <c r="N2376">
        <v>0</v>
      </c>
      <c r="O2376" t="s">
        <v>21</v>
      </c>
      <c r="P2376" t="str">
        <f>TEXT(Table1[[#This Row],[order_date]],"yyyy-mm")</f>
        <v>2025-08</v>
      </c>
      <c r="Q2376">
        <f>WEEKNUM(Table1[[#This Row],[order_date]])</f>
        <v>33</v>
      </c>
      <c r="R2376">
        <f>IF(Table1[[#This Row],[order_status]]="completed",1,0)</f>
        <v>1</v>
      </c>
    </row>
    <row r="2377" spans="1:18" x14ac:dyDescent="0.35">
      <c r="A2377">
        <v>2376</v>
      </c>
      <c r="B2377" s="1">
        <v>45936</v>
      </c>
      <c r="C2377">
        <v>1818</v>
      </c>
      <c r="D2377" t="s">
        <v>15</v>
      </c>
      <c r="E2377" t="s">
        <v>33</v>
      </c>
      <c r="F2377" t="s">
        <v>30</v>
      </c>
      <c r="G2377">
        <v>2</v>
      </c>
      <c r="H2377">
        <v>0</v>
      </c>
      <c r="I2377" t="s">
        <v>35</v>
      </c>
      <c r="J2377" t="s">
        <v>31</v>
      </c>
      <c r="K2377" t="s">
        <v>26</v>
      </c>
      <c r="L2377">
        <v>1</v>
      </c>
      <c r="M2377">
        <v>0</v>
      </c>
      <c r="N2377">
        <v>0</v>
      </c>
      <c r="O2377" t="s">
        <v>27</v>
      </c>
      <c r="P2377" t="str">
        <f>TEXT(Table1[[#This Row],[order_date]],"yyyy-mm")</f>
        <v>2025-10</v>
      </c>
      <c r="Q2377">
        <f>WEEKNUM(Table1[[#This Row],[order_date]])</f>
        <v>41</v>
      </c>
      <c r="R2377">
        <f>IF(Table1[[#This Row],[order_status]]="completed",1,0)</f>
        <v>0</v>
      </c>
    </row>
    <row r="2378" spans="1:18" x14ac:dyDescent="0.35">
      <c r="A2378">
        <v>2377</v>
      </c>
      <c r="B2378" s="1">
        <v>45965</v>
      </c>
      <c r="C2378">
        <v>1990</v>
      </c>
      <c r="D2378" t="s">
        <v>22</v>
      </c>
      <c r="E2378" t="s">
        <v>23</v>
      </c>
      <c r="F2378" t="s">
        <v>30</v>
      </c>
      <c r="G2378">
        <v>5</v>
      </c>
      <c r="H2378">
        <v>0</v>
      </c>
      <c r="I2378" t="s">
        <v>18</v>
      </c>
      <c r="J2378" t="s">
        <v>37</v>
      </c>
      <c r="K2378" t="s">
        <v>40</v>
      </c>
      <c r="L2378">
        <v>7</v>
      </c>
      <c r="M2378">
        <v>0</v>
      </c>
      <c r="N2378">
        <v>1</v>
      </c>
      <c r="O2378" t="s">
        <v>21</v>
      </c>
      <c r="P2378" t="str">
        <f>TEXT(Table1[[#This Row],[order_date]],"yyyy-mm")</f>
        <v>2025-11</v>
      </c>
      <c r="Q2378">
        <f>WEEKNUM(Table1[[#This Row],[order_date]])</f>
        <v>45</v>
      </c>
      <c r="R2378">
        <f>IF(Table1[[#This Row],[order_status]]="completed",1,0)</f>
        <v>0</v>
      </c>
    </row>
    <row r="2379" spans="1:18" x14ac:dyDescent="0.35">
      <c r="A2379">
        <v>2378</v>
      </c>
      <c r="B2379" s="1">
        <v>45864</v>
      </c>
      <c r="C2379">
        <v>1844</v>
      </c>
      <c r="D2379" t="s">
        <v>22</v>
      </c>
      <c r="E2379" t="s">
        <v>23</v>
      </c>
      <c r="F2379" t="s">
        <v>24</v>
      </c>
      <c r="G2379">
        <v>2</v>
      </c>
      <c r="H2379">
        <v>0</v>
      </c>
      <c r="I2379" t="s">
        <v>18</v>
      </c>
      <c r="J2379" t="s">
        <v>31</v>
      </c>
      <c r="K2379" t="s">
        <v>38</v>
      </c>
      <c r="L2379">
        <v>2</v>
      </c>
      <c r="M2379">
        <v>0</v>
      </c>
      <c r="N2379">
        <v>0</v>
      </c>
      <c r="O2379" t="s">
        <v>21</v>
      </c>
      <c r="P2379" t="str">
        <f>TEXT(Table1[[#This Row],[order_date]],"yyyy-mm")</f>
        <v>2025-07</v>
      </c>
      <c r="Q2379">
        <f>WEEKNUM(Table1[[#This Row],[order_date]])</f>
        <v>30</v>
      </c>
      <c r="R2379">
        <f>IF(Table1[[#This Row],[order_status]]="completed",1,0)</f>
        <v>0</v>
      </c>
    </row>
    <row r="2380" spans="1:18" x14ac:dyDescent="0.35">
      <c r="A2380">
        <v>2379</v>
      </c>
      <c r="B2380" s="1">
        <v>45864</v>
      </c>
      <c r="C2380">
        <v>1656</v>
      </c>
      <c r="D2380" t="s">
        <v>15</v>
      </c>
      <c r="E2380" t="s">
        <v>33</v>
      </c>
      <c r="F2380" t="s">
        <v>30</v>
      </c>
      <c r="G2380">
        <v>4</v>
      </c>
      <c r="H2380">
        <v>0</v>
      </c>
      <c r="I2380" t="s">
        <v>39</v>
      </c>
      <c r="J2380" t="s">
        <v>37</v>
      </c>
      <c r="K2380" t="s">
        <v>26</v>
      </c>
      <c r="L2380">
        <v>1</v>
      </c>
      <c r="M2380">
        <v>0</v>
      </c>
      <c r="N2380">
        <v>0</v>
      </c>
      <c r="O2380" t="s">
        <v>27</v>
      </c>
      <c r="P2380" t="str">
        <f>TEXT(Table1[[#This Row],[order_date]],"yyyy-mm")</f>
        <v>2025-07</v>
      </c>
      <c r="Q2380">
        <f>WEEKNUM(Table1[[#This Row],[order_date]])</f>
        <v>30</v>
      </c>
      <c r="R2380">
        <f>IF(Table1[[#This Row],[order_status]]="completed",1,0)</f>
        <v>0</v>
      </c>
    </row>
    <row r="2381" spans="1:18" x14ac:dyDescent="0.35">
      <c r="A2381">
        <v>2380</v>
      </c>
      <c r="B2381" s="1">
        <v>45948</v>
      </c>
      <c r="C2381">
        <v>1491</v>
      </c>
      <c r="D2381" t="s">
        <v>15</v>
      </c>
      <c r="E2381" t="s">
        <v>29</v>
      </c>
      <c r="F2381" t="s">
        <v>30</v>
      </c>
      <c r="G2381">
        <v>3</v>
      </c>
      <c r="H2381">
        <v>0</v>
      </c>
      <c r="I2381" t="s">
        <v>25</v>
      </c>
      <c r="J2381" t="s">
        <v>31</v>
      </c>
      <c r="K2381" t="s">
        <v>20</v>
      </c>
      <c r="L2381">
        <v>6</v>
      </c>
      <c r="M2381">
        <v>0</v>
      </c>
      <c r="N2381">
        <v>1</v>
      </c>
      <c r="O2381" t="s">
        <v>27</v>
      </c>
      <c r="P2381" t="str">
        <f>TEXT(Table1[[#This Row],[order_date]],"yyyy-mm")</f>
        <v>2025-10</v>
      </c>
      <c r="Q2381">
        <f>WEEKNUM(Table1[[#This Row],[order_date]])</f>
        <v>42</v>
      </c>
      <c r="R2381">
        <f>IF(Table1[[#This Row],[order_status]]="completed",1,0)</f>
        <v>0</v>
      </c>
    </row>
    <row r="2382" spans="1:18" x14ac:dyDescent="0.35">
      <c r="A2382">
        <v>2381</v>
      </c>
      <c r="B2382" s="1">
        <v>45928</v>
      </c>
      <c r="C2382">
        <v>1139</v>
      </c>
      <c r="D2382" t="s">
        <v>28</v>
      </c>
      <c r="E2382" t="s">
        <v>33</v>
      </c>
      <c r="F2382" t="s">
        <v>34</v>
      </c>
      <c r="G2382">
        <v>4</v>
      </c>
      <c r="H2382">
        <v>0</v>
      </c>
      <c r="I2382" t="s">
        <v>18</v>
      </c>
      <c r="J2382" t="s">
        <v>31</v>
      </c>
      <c r="K2382" t="s">
        <v>40</v>
      </c>
      <c r="L2382">
        <v>8</v>
      </c>
      <c r="M2382">
        <v>0</v>
      </c>
      <c r="N2382">
        <v>1</v>
      </c>
      <c r="O2382" t="s">
        <v>27</v>
      </c>
      <c r="P2382" t="str">
        <f>TEXT(Table1[[#This Row],[order_date]],"yyyy-mm")</f>
        <v>2025-09</v>
      </c>
      <c r="Q2382">
        <f>WEEKNUM(Table1[[#This Row],[order_date]])</f>
        <v>40</v>
      </c>
      <c r="R2382">
        <f>IF(Table1[[#This Row],[order_status]]="completed",1,0)</f>
        <v>0</v>
      </c>
    </row>
    <row r="2383" spans="1:18" x14ac:dyDescent="0.35">
      <c r="A2383">
        <v>2382</v>
      </c>
      <c r="B2383" s="1">
        <v>45997</v>
      </c>
      <c r="C2383">
        <v>1274</v>
      </c>
      <c r="D2383" t="s">
        <v>15</v>
      </c>
      <c r="E2383" t="s">
        <v>23</v>
      </c>
      <c r="F2383" t="s">
        <v>24</v>
      </c>
      <c r="G2383">
        <v>5</v>
      </c>
      <c r="H2383">
        <v>0</v>
      </c>
      <c r="I2383" t="s">
        <v>25</v>
      </c>
      <c r="J2383" t="s">
        <v>31</v>
      </c>
      <c r="K2383" t="s">
        <v>40</v>
      </c>
      <c r="L2383">
        <v>9</v>
      </c>
      <c r="M2383">
        <v>0</v>
      </c>
      <c r="N2383">
        <v>0</v>
      </c>
      <c r="O2383" t="s">
        <v>21</v>
      </c>
      <c r="P2383" t="str">
        <f>TEXT(Table1[[#This Row],[order_date]],"yyyy-mm")</f>
        <v>2025-12</v>
      </c>
      <c r="Q2383">
        <f>WEEKNUM(Table1[[#This Row],[order_date]])</f>
        <v>49</v>
      </c>
      <c r="R2383">
        <f>IF(Table1[[#This Row],[order_status]]="completed",1,0)</f>
        <v>0</v>
      </c>
    </row>
    <row r="2384" spans="1:18" x14ac:dyDescent="0.35">
      <c r="A2384">
        <v>2383</v>
      </c>
      <c r="B2384" s="1">
        <v>45878</v>
      </c>
      <c r="C2384">
        <v>1191</v>
      </c>
      <c r="D2384" t="s">
        <v>28</v>
      </c>
      <c r="E2384" t="s">
        <v>23</v>
      </c>
      <c r="F2384" t="s">
        <v>17</v>
      </c>
      <c r="G2384">
        <v>1</v>
      </c>
      <c r="H2384">
        <v>0</v>
      </c>
      <c r="I2384" t="s">
        <v>39</v>
      </c>
      <c r="J2384" t="s">
        <v>37</v>
      </c>
      <c r="K2384" t="s">
        <v>26</v>
      </c>
      <c r="L2384">
        <v>6</v>
      </c>
      <c r="M2384">
        <v>0</v>
      </c>
      <c r="N2384">
        <v>1</v>
      </c>
      <c r="O2384" t="s">
        <v>21</v>
      </c>
      <c r="P2384" t="str">
        <f>TEXT(Table1[[#This Row],[order_date]],"yyyy-mm")</f>
        <v>2025-08</v>
      </c>
      <c r="Q2384">
        <f>WEEKNUM(Table1[[#This Row],[order_date]])</f>
        <v>32</v>
      </c>
      <c r="R2384">
        <f>IF(Table1[[#This Row],[order_status]]="completed",1,0)</f>
        <v>0</v>
      </c>
    </row>
    <row r="2385" spans="1:18" x14ac:dyDescent="0.35">
      <c r="A2385">
        <v>2384</v>
      </c>
      <c r="B2385" s="1">
        <v>45907</v>
      </c>
      <c r="C2385">
        <v>1470</v>
      </c>
      <c r="D2385" t="s">
        <v>22</v>
      </c>
      <c r="E2385" t="s">
        <v>36</v>
      </c>
      <c r="F2385" t="s">
        <v>17</v>
      </c>
      <c r="G2385">
        <v>5</v>
      </c>
      <c r="H2385">
        <v>0</v>
      </c>
      <c r="I2385" t="s">
        <v>39</v>
      </c>
      <c r="J2385" t="s">
        <v>31</v>
      </c>
      <c r="K2385" t="s">
        <v>38</v>
      </c>
      <c r="L2385">
        <v>4</v>
      </c>
      <c r="M2385">
        <v>0</v>
      </c>
      <c r="N2385">
        <v>1</v>
      </c>
      <c r="O2385" t="s">
        <v>27</v>
      </c>
      <c r="P2385" t="str">
        <f>TEXT(Table1[[#This Row],[order_date]],"yyyy-mm")</f>
        <v>2025-09</v>
      </c>
      <c r="Q2385">
        <f>WEEKNUM(Table1[[#This Row],[order_date]])</f>
        <v>37</v>
      </c>
      <c r="R2385">
        <f>IF(Table1[[#This Row],[order_status]]="completed",1,0)</f>
        <v>0</v>
      </c>
    </row>
    <row r="2386" spans="1:18" x14ac:dyDescent="0.35">
      <c r="A2386">
        <v>2385</v>
      </c>
      <c r="B2386" s="1">
        <v>45887</v>
      </c>
      <c r="C2386">
        <v>1656</v>
      </c>
      <c r="D2386" t="s">
        <v>15</v>
      </c>
      <c r="E2386" t="s">
        <v>29</v>
      </c>
      <c r="F2386" t="s">
        <v>34</v>
      </c>
      <c r="G2386">
        <v>2</v>
      </c>
      <c r="H2386">
        <v>2254</v>
      </c>
      <c r="I2386" t="s">
        <v>18</v>
      </c>
      <c r="J2386" t="s">
        <v>19</v>
      </c>
      <c r="K2386" t="s">
        <v>26</v>
      </c>
      <c r="L2386">
        <v>8</v>
      </c>
      <c r="M2386">
        <v>0</v>
      </c>
      <c r="N2386">
        <v>0</v>
      </c>
      <c r="O2386" t="s">
        <v>27</v>
      </c>
      <c r="P2386" t="str">
        <f>TEXT(Table1[[#This Row],[order_date]],"yyyy-mm")</f>
        <v>2025-08</v>
      </c>
      <c r="Q2386">
        <f>WEEKNUM(Table1[[#This Row],[order_date]])</f>
        <v>34</v>
      </c>
      <c r="R2386">
        <f>IF(Table1[[#This Row],[order_status]]="completed",1,0)</f>
        <v>1</v>
      </c>
    </row>
    <row r="2387" spans="1:18" x14ac:dyDescent="0.35">
      <c r="A2387">
        <v>2386</v>
      </c>
      <c r="B2387" s="1">
        <v>45920</v>
      </c>
      <c r="C2387">
        <v>1144</v>
      </c>
      <c r="D2387" t="s">
        <v>41</v>
      </c>
      <c r="E2387" t="s">
        <v>36</v>
      </c>
      <c r="F2387" t="s">
        <v>34</v>
      </c>
      <c r="G2387">
        <v>5</v>
      </c>
      <c r="H2387">
        <v>10370</v>
      </c>
      <c r="I2387" t="s">
        <v>35</v>
      </c>
      <c r="J2387" t="s">
        <v>19</v>
      </c>
      <c r="K2387" t="s">
        <v>40</v>
      </c>
      <c r="L2387">
        <v>3</v>
      </c>
      <c r="M2387">
        <v>0</v>
      </c>
      <c r="N2387">
        <v>1</v>
      </c>
      <c r="O2387" t="s">
        <v>21</v>
      </c>
      <c r="P2387" t="str">
        <f>TEXT(Table1[[#This Row],[order_date]],"yyyy-mm")</f>
        <v>2025-09</v>
      </c>
      <c r="Q2387">
        <f>WEEKNUM(Table1[[#This Row],[order_date]])</f>
        <v>38</v>
      </c>
      <c r="R2387">
        <f>IF(Table1[[#This Row],[order_status]]="completed",1,0)</f>
        <v>1</v>
      </c>
    </row>
    <row r="2388" spans="1:18" x14ac:dyDescent="0.35">
      <c r="A2388">
        <v>2387</v>
      </c>
      <c r="B2388" s="1">
        <v>45981</v>
      </c>
      <c r="C2388">
        <v>1799</v>
      </c>
      <c r="D2388" t="s">
        <v>28</v>
      </c>
      <c r="E2388" t="s">
        <v>36</v>
      </c>
      <c r="F2388" t="s">
        <v>24</v>
      </c>
      <c r="G2388">
        <v>2</v>
      </c>
      <c r="H2388">
        <v>0</v>
      </c>
      <c r="I2388" t="s">
        <v>25</v>
      </c>
      <c r="J2388" t="s">
        <v>31</v>
      </c>
      <c r="K2388" t="s">
        <v>40</v>
      </c>
      <c r="L2388">
        <v>3</v>
      </c>
      <c r="M2388">
        <v>0</v>
      </c>
      <c r="N2388">
        <v>0</v>
      </c>
      <c r="O2388" t="s">
        <v>21</v>
      </c>
      <c r="P2388" t="str">
        <f>TEXT(Table1[[#This Row],[order_date]],"yyyy-mm")</f>
        <v>2025-11</v>
      </c>
      <c r="Q2388">
        <f>WEEKNUM(Table1[[#This Row],[order_date]])</f>
        <v>47</v>
      </c>
      <c r="R2388">
        <f>IF(Table1[[#This Row],[order_status]]="completed",1,0)</f>
        <v>0</v>
      </c>
    </row>
    <row r="2389" spans="1:18" x14ac:dyDescent="0.35">
      <c r="A2389">
        <v>2388</v>
      </c>
      <c r="B2389" s="1">
        <v>46010</v>
      </c>
      <c r="C2389">
        <v>1760</v>
      </c>
      <c r="D2389" t="s">
        <v>32</v>
      </c>
      <c r="E2389" t="s">
        <v>23</v>
      </c>
      <c r="F2389" t="s">
        <v>34</v>
      </c>
      <c r="G2389">
        <v>2</v>
      </c>
      <c r="H2389">
        <v>7788</v>
      </c>
      <c r="I2389" t="s">
        <v>35</v>
      </c>
      <c r="J2389" t="s">
        <v>19</v>
      </c>
      <c r="K2389" t="s">
        <v>40</v>
      </c>
      <c r="L2389">
        <v>2</v>
      </c>
      <c r="M2389">
        <v>1</v>
      </c>
      <c r="N2389">
        <v>0</v>
      </c>
      <c r="O2389" t="s">
        <v>27</v>
      </c>
      <c r="P2389" t="str">
        <f>TEXT(Table1[[#This Row],[order_date]],"yyyy-mm")</f>
        <v>2025-12</v>
      </c>
      <c r="Q2389">
        <f>WEEKNUM(Table1[[#This Row],[order_date]])</f>
        <v>51</v>
      </c>
      <c r="R2389">
        <f>IF(Table1[[#This Row],[order_status]]="completed",1,0)</f>
        <v>1</v>
      </c>
    </row>
    <row r="2390" spans="1:18" x14ac:dyDescent="0.35">
      <c r="A2390">
        <v>2389</v>
      </c>
      <c r="B2390" s="1">
        <v>45858</v>
      </c>
      <c r="C2390">
        <v>1263</v>
      </c>
      <c r="D2390" t="s">
        <v>32</v>
      </c>
      <c r="E2390" t="s">
        <v>23</v>
      </c>
      <c r="F2390" t="s">
        <v>17</v>
      </c>
      <c r="G2390">
        <v>5</v>
      </c>
      <c r="H2390">
        <v>0</v>
      </c>
      <c r="I2390" t="s">
        <v>35</v>
      </c>
      <c r="J2390" t="s">
        <v>31</v>
      </c>
      <c r="K2390" t="s">
        <v>20</v>
      </c>
      <c r="L2390">
        <v>8</v>
      </c>
      <c r="M2390">
        <v>0</v>
      </c>
      <c r="N2390">
        <v>0</v>
      </c>
      <c r="O2390" t="s">
        <v>21</v>
      </c>
      <c r="P2390" t="str">
        <f>TEXT(Table1[[#This Row],[order_date]],"yyyy-mm")</f>
        <v>2025-07</v>
      </c>
      <c r="Q2390">
        <f>WEEKNUM(Table1[[#This Row],[order_date]])</f>
        <v>30</v>
      </c>
      <c r="R2390">
        <f>IF(Table1[[#This Row],[order_status]]="completed",1,0)</f>
        <v>0</v>
      </c>
    </row>
    <row r="2391" spans="1:18" x14ac:dyDescent="0.35">
      <c r="A2391">
        <v>2390</v>
      </c>
      <c r="B2391" s="1">
        <v>45879</v>
      </c>
      <c r="C2391">
        <v>1421</v>
      </c>
      <c r="D2391" t="s">
        <v>41</v>
      </c>
      <c r="E2391" t="s">
        <v>36</v>
      </c>
      <c r="F2391" t="s">
        <v>17</v>
      </c>
      <c r="G2391">
        <v>3</v>
      </c>
      <c r="H2391">
        <v>0</v>
      </c>
      <c r="I2391" t="s">
        <v>18</v>
      </c>
      <c r="J2391" t="s">
        <v>31</v>
      </c>
      <c r="K2391" t="s">
        <v>20</v>
      </c>
      <c r="L2391">
        <v>3</v>
      </c>
      <c r="M2391">
        <v>0</v>
      </c>
      <c r="N2391">
        <v>0</v>
      </c>
      <c r="O2391" t="s">
        <v>27</v>
      </c>
      <c r="P2391" t="str">
        <f>TEXT(Table1[[#This Row],[order_date]],"yyyy-mm")</f>
        <v>2025-08</v>
      </c>
      <c r="Q2391">
        <f>WEEKNUM(Table1[[#This Row],[order_date]])</f>
        <v>33</v>
      </c>
      <c r="R2391">
        <f>IF(Table1[[#This Row],[order_status]]="completed",1,0)</f>
        <v>0</v>
      </c>
    </row>
    <row r="2392" spans="1:18" x14ac:dyDescent="0.35">
      <c r="A2392">
        <v>2391</v>
      </c>
      <c r="B2392" s="1">
        <v>45963</v>
      </c>
      <c r="C2392">
        <v>1644</v>
      </c>
      <c r="D2392" t="s">
        <v>22</v>
      </c>
      <c r="E2392" t="s">
        <v>29</v>
      </c>
      <c r="F2392" t="s">
        <v>24</v>
      </c>
      <c r="G2392">
        <v>5</v>
      </c>
      <c r="H2392">
        <v>0</v>
      </c>
      <c r="I2392" t="s">
        <v>35</v>
      </c>
      <c r="J2392" t="s">
        <v>31</v>
      </c>
      <c r="K2392" t="s">
        <v>40</v>
      </c>
      <c r="L2392">
        <v>6</v>
      </c>
      <c r="M2392">
        <v>1</v>
      </c>
      <c r="N2392">
        <v>0</v>
      </c>
      <c r="O2392" t="s">
        <v>27</v>
      </c>
      <c r="P2392" t="str">
        <f>TEXT(Table1[[#This Row],[order_date]],"yyyy-mm")</f>
        <v>2025-11</v>
      </c>
      <c r="Q2392">
        <f>WEEKNUM(Table1[[#This Row],[order_date]])</f>
        <v>45</v>
      </c>
      <c r="R2392">
        <f>IF(Table1[[#This Row],[order_status]]="completed",1,0)</f>
        <v>0</v>
      </c>
    </row>
    <row r="2393" spans="1:18" x14ac:dyDescent="0.35">
      <c r="A2393">
        <v>2392</v>
      </c>
      <c r="B2393" s="1">
        <v>45951</v>
      </c>
      <c r="C2393">
        <v>1501</v>
      </c>
      <c r="D2393" t="s">
        <v>41</v>
      </c>
      <c r="E2393" t="s">
        <v>33</v>
      </c>
      <c r="F2393" t="s">
        <v>30</v>
      </c>
      <c r="G2393">
        <v>2</v>
      </c>
      <c r="H2393">
        <v>0</v>
      </c>
      <c r="I2393" t="s">
        <v>35</v>
      </c>
      <c r="J2393" t="s">
        <v>31</v>
      </c>
      <c r="K2393" t="s">
        <v>20</v>
      </c>
      <c r="L2393">
        <v>7</v>
      </c>
      <c r="M2393">
        <v>0</v>
      </c>
      <c r="N2393">
        <v>1</v>
      </c>
      <c r="O2393" t="s">
        <v>21</v>
      </c>
      <c r="P2393" t="str">
        <f>TEXT(Table1[[#This Row],[order_date]],"yyyy-mm")</f>
        <v>2025-10</v>
      </c>
      <c r="Q2393">
        <f>WEEKNUM(Table1[[#This Row],[order_date]])</f>
        <v>43</v>
      </c>
      <c r="R2393">
        <f>IF(Table1[[#This Row],[order_status]]="completed",1,0)</f>
        <v>0</v>
      </c>
    </row>
    <row r="2394" spans="1:18" x14ac:dyDescent="0.35">
      <c r="A2394">
        <v>2393</v>
      </c>
      <c r="B2394" s="1">
        <v>45971</v>
      </c>
      <c r="C2394">
        <v>1145</v>
      </c>
      <c r="D2394" t="s">
        <v>22</v>
      </c>
      <c r="E2394" t="s">
        <v>23</v>
      </c>
      <c r="F2394" t="s">
        <v>30</v>
      </c>
      <c r="G2394">
        <v>1</v>
      </c>
      <c r="H2394">
        <v>0</v>
      </c>
      <c r="I2394" t="s">
        <v>25</v>
      </c>
      <c r="J2394" t="s">
        <v>31</v>
      </c>
      <c r="K2394" t="s">
        <v>40</v>
      </c>
      <c r="L2394">
        <v>6</v>
      </c>
      <c r="M2394">
        <v>1</v>
      </c>
      <c r="N2394">
        <v>0</v>
      </c>
      <c r="O2394" t="s">
        <v>27</v>
      </c>
      <c r="P2394" t="str">
        <f>TEXT(Table1[[#This Row],[order_date]],"yyyy-mm")</f>
        <v>2025-11</v>
      </c>
      <c r="Q2394">
        <f>WEEKNUM(Table1[[#This Row],[order_date]])</f>
        <v>46</v>
      </c>
      <c r="R2394">
        <f>IF(Table1[[#This Row],[order_status]]="completed",1,0)</f>
        <v>0</v>
      </c>
    </row>
    <row r="2395" spans="1:18" x14ac:dyDescent="0.35">
      <c r="A2395">
        <v>2394</v>
      </c>
      <c r="B2395" s="1">
        <v>45866</v>
      </c>
      <c r="C2395">
        <v>1124</v>
      </c>
      <c r="D2395" t="s">
        <v>22</v>
      </c>
      <c r="E2395" t="s">
        <v>33</v>
      </c>
      <c r="F2395" t="s">
        <v>34</v>
      </c>
      <c r="G2395">
        <v>4</v>
      </c>
      <c r="H2395">
        <v>14572</v>
      </c>
      <c r="I2395" t="s">
        <v>25</v>
      </c>
      <c r="J2395" t="s">
        <v>19</v>
      </c>
      <c r="K2395" t="s">
        <v>40</v>
      </c>
      <c r="L2395">
        <v>10</v>
      </c>
      <c r="M2395">
        <v>1</v>
      </c>
      <c r="N2395">
        <v>0</v>
      </c>
      <c r="O2395" t="s">
        <v>21</v>
      </c>
      <c r="P2395" t="str">
        <f>TEXT(Table1[[#This Row],[order_date]],"yyyy-mm")</f>
        <v>2025-07</v>
      </c>
      <c r="Q2395">
        <f>WEEKNUM(Table1[[#This Row],[order_date]])</f>
        <v>31</v>
      </c>
      <c r="R2395">
        <f>IF(Table1[[#This Row],[order_status]]="completed",1,0)</f>
        <v>1</v>
      </c>
    </row>
    <row r="2396" spans="1:18" x14ac:dyDescent="0.35">
      <c r="A2396">
        <v>2395</v>
      </c>
      <c r="B2396" s="1">
        <v>46030</v>
      </c>
      <c r="C2396">
        <v>1000</v>
      </c>
      <c r="D2396" t="s">
        <v>41</v>
      </c>
      <c r="E2396" t="s">
        <v>36</v>
      </c>
      <c r="F2396" t="s">
        <v>17</v>
      </c>
      <c r="G2396">
        <v>3</v>
      </c>
      <c r="H2396">
        <v>0</v>
      </c>
      <c r="I2396" t="s">
        <v>18</v>
      </c>
      <c r="J2396" t="s">
        <v>37</v>
      </c>
      <c r="K2396" t="s">
        <v>40</v>
      </c>
      <c r="L2396">
        <v>4</v>
      </c>
      <c r="M2396">
        <v>1</v>
      </c>
      <c r="N2396">
        <v>1</v>
      </c>
      <c r="O2396" t="s">
        <v>21</v>
      </c>
      <c r="P2396" t="str">
        <f>TEXT(Table1[[#This Row],[order_date]],"yyyy-mm")</f>
        <v>2026-01</v>
      </c>
      <c r="Q2396">
        <f>WEEKNUM(Table1[[#This Row],[order_date]])</f>
        <v>2</v>
      </c>
      <c r="R2396">
        <f>IF(Table1[[#This Row],[order_status]]="completed",1,0)</f>
        <v>0</v>
      </c>
    </row>
    <row r="2397" spans="1:18" x14ac:dyDescent="0.35">
      <c r="A2397">
        <v>2396</v>
      </c>
      <c r="B2397" s="1">
        <v>45856</v>
      </c>
      <c r="C2397">
        <v>1093</v>
      </c>
      <c r="D2397" t="s">
        <v>15</v>
      </c>
      <c r="E2397" t="s">
        <v>29</v>
      </c>
      <c r="F2397" t="s">
        <v>34</v>
      </c>
      <c r="G2397">
        <v>1</v>
      </c>
      <c r="H2397">
        <v>0</v>
      </c>
      <c r="I2397" t="s">
        <v>25</v>
      </c>
      <c r="J2397" t="s">
        <v>37</v>
      </c>
      <c r="K2397" t="s">
        <v>38</v>
      </c>
      <c r="L2397">
        <v>10</v>
      </c>
      <c r="M2397">
        <v>1</v>
      </c>
      <c r="N2397">
        <v>0</v>
      </c>
      <c r="O2397" t="s">
        <v>27</v>
      </c>
      <c r="P2397" t="str">
        <f>TEXT(Table1[[#This Row],[order_date]],"yyyy-mm")</f>
        <v>2025-07</v>
      </c>
      <c r="Q2397">
        <f>WEEKNUM(Table1[[#This Row],[order_date]])</f>
        <v>29</v>
      </c>
      <c r="R2397">
        <f>IF(Table1[[#This Row],[order_status]]="completed",1,0)</f>
        <v>0</v>
      </c>
    </row>
    <row r="2398" spans="1:18" x14ac:dyDescent="0.35">
      <c r="A2398">
        <v>2397</v>
      </c>
      <c r="B2398" s="1">
        <v>45891</v>
      </c>
      <c r="C2398">
        <v>1831</v>
      </c>
      <c r="D2398" t="s">
        <v>32</v>
      </c>
      <c r="E2398" t="s">
        <v>29</v>
      </c>
      <c r="F2398" t="s">
        <v>30</v>
      </c>
      <c r="G2398">
        <v>3</v>
      </c>
      <c r="H2398">
        <v>8586</v>
      </c>
      <c r="I2398" t="s">
        <v>35</v>
      </c>
      <c r="J2398" t="s">
        <v>19</v>
      </c>
      <c r="K2398" t="s">
        <v>26</v>
      </c>
      <c r="L2398">
        <v>8</v>
      </c>
      <c r="M2398">
        <v>0</v>
      </c>
      <c r="N2398">
        <v>1</v>
      </c>
      <c r="O2398" t="s">
        <v>21</v>
      </c>
      <c r="P2398" t="str">
        <f>TEXT(Table1[[#This Row],[order_date]],"yyyy-mm")</f>
        <v>2025-08</v>
      </c>
      <c r="Q2398">
        <f>WEEKNUM(Table1[[#This Row],[order_date]])</f>
        <v>34</v>
      </c>
      <c r="R2398">
        <f>IF(Table1[[#This Row],[order_status]]="completed",1,0)</f>
        <v>1</v>
      </c>
    </row>
    <row r="2399" spans="1:18" x14ac:dyDescent="0.35">
      <c r="A2399">
        <v>2398</v>
      </c>
      <c r="B2399" s="1">
        <v>45937</v>
      </c>
      <c r="C2399">
        <v>1263</v>
      </c>
      <c r="D2399" t="s">
        <v>15</v>
      </c>
      <c r="E2399" t="s">
        <v>33</v>
      </c>
      <c r="F2399" t="s">
        <v>30</v>
      </c>
      <c r="G2399">
        <v>1</v>
      </c>
      <c r="H2399">
        <v>0</v>
      </c>
      <c r="I2399" t="s">
        <v>18</v>
      </c>
      <c r="J2399" t="s">
        <v>37</v>
      </c>
      <c r="K2399" t="s">
        <v>40</v>
      </c>
      <c r="L2399">
        <v>2</v>
      </c>
      <c r="M2399">
        <v>0</v>
      </c>
      <c r="N2399">
        <v>0</v>
      </c>
      <c r="O2399" t="s">
        <v>21</v>
      </c>
      <c r="P2399" t="str">
        <f>TEXT(Table1[[#This Row],[order_date]],"yyyy-mm")</f>
        <v>2025-10</v>
      </c>
      <c r="Q2399">
        <f>WEEKNUM(Table1[[#This Row],[order_date]])</f>
        <v>41</v>
      </c>
      <c r="R2399">
        <f>IF(Table1[[#This Row],[order_status]]="completed",1,0)</f>
        <v>0</v>
      </c>
    </row>
    <row r="2400" spans="1:18" x14ac:dyDescent="0.35">
      <c r="A2400">
        <v>2399</v>
      </c>
      <c r="B2400" s="1">
        <v>45999</v>
      </c>
      <c r="C2400">
        <v>1802</v>
      </c>
      <c r="D2400" t="s">
        <v>41</v>
      </c>
      <c r="E2400" t="s">
        <v>33</v>
      </c>
      <c r="F2400" t="s">
        <v>30</v>
      </c>
      <c r="G2400">
        <v>2</v>
      </c>
      <c r="H2400">
        <v>0</v>
      </c>
      <c r="I2400" t="s">
        <v>25</v>
      </c>
      <c r="J2400" t="s">
        <v>37</v>
      </c>
      <c r="K2400" t="s">
        <v>38</v>
      </c>
      <c r="L2400">
        <v>10</v>
      </c>
      <c r="M2400">
        <v>1</v>
      </c>
      <c r="N2400">
        <v>1</v>
      </c>
      <c r="O2400" t="s">
        <v>27</v>
      </c>
      <c r="P2400" t="str">
        <f>TEXT(Table1[[#This Row],[order_date]],"yyyy-mm")</f>
        <v>2025-12</v>
      </c>
      <c r="Q2400">
        <f>WEEKNUM(Table1[[#This Row],[order_date]])</f>
        <v>50</v>
      </c>
      <c r="R2400">
        <f>IF(Table1[[#This Row],[order_status]]="completed",1,0)</f>
        <v>0</v>
      </c>
    </row>
    <row r="2401" spans="1:18" x14ac:dyDescent="0.35">
      <c r="A2401">
        <v>2400</v>
      </c>
      <c r="B2401" s="1">
        <v>46025</v>
      </c>
      <c r="C2401">
        <v>1509</v>
      </c>
      <c r="D2401" t="s">
        <v>28</v>
      </c>
      <c r="E2401" t="s">
        <v>16</v>
      </c>
      <c r="F2401" t="s">
        <v>24</v>
      </c>
      <c r="G2401">
        <v>4</v>
      </c>
      <c r="H2401">
        <v>812</v>
      </c>
      <c r="I2401" t="s">
        <v>25</v>
      </c>
      <c r="J2401" t="s">
        <v>19</v>
      </c>
      <c r="K2401" t="s">
        <v>26</v>
      </c>
      <c r="L2401">
        <v>8</v>
      </c>
      <c r="M2401">
        <v>0</v>
      </c>
      <c r="N2401">
        <v>1</v>
      </c>
      <c r="O2401" t="s">
        <v>21</v>
      </c>
      <c r="P2401" t="str">
        <f>TEXT(Table1[[#This Row],[order_date]],"yyyy-mm")</f>
        <v>2026-01</v>
      </c>
      <c r="Q2401">
        <f>WEEKNUM(Table1[[#This Row],[order_date]])</f>
        <v>1</v>
      </c>
      <c r="R2401">
        <f>IF(Table1[[#This Row],[order_status]]="completed",1,0)</f>
        <v>1</v>
      </c>
    </row>
    <row r="2402" spans="1:18" x14ac:dyDescent="0.35">
      <c r="A2402">
        <v>2401</v>
      </c>
      <c r="B2402" s="1">
        <v>45884</v>
      </c>
      <c r="C2402">
        <v>1420</v>
      </c>
      <c r="D2402" t="s">
        <v>32</v>
      </c>
      <c r="E2402" t="s">
        <v>33</v>
      </c>
      <c r="F2402" t="s">
        <v>24</v>
      </c>
      <c r="G2402">
        <v>4</v>
      </c>
      <c r="H2402">
        <v>0</v>
      </c>
      <c r="I2402" t="s">
        <v>35</v>
      </c>
      <c r="J2402" t="s">
        <v>31</v>
      </c>
      <c r="K2402" t="s">
        <v>40</v>
      </c>
      <c r="L2402">
        <v>3</v>
      </c>
      <c r="M2402">
        <v>1</v>
      </c>
      <c r="N2402">
        <v>1</v>
      </c>
      <c r="O2402" t="s">
        <v>21</v>
      </c>
      <c r="P2402" t="str">
        <f>TEXT(Table1[[#This Row],[order_date]],"yyyy-mm")</f>
        <v>2025-08</v>
      </c>
      <c r="Q2402">
        <f>WEEKNUM(Table1[[#This Row],[order_date]])</f>
        <v>33</v>
      </c>
      <c r="R2402">
        <f>IF(Table1[[#This Row],[order_status]]="completed",1,0)</f>
        <v>0</v>
      </c>
    </row>
    <row r="2403" spans="1:18" x14ac:dyDescent="0.35">
      <c r="A2403">
        <v>2402</v>
      </c>
      <c r="B2403" s="1">
        <v>45983</v>
      </c>
      <c r="C2403">
        <v>1844</v>
      </c>
      <c r="D2403" t="s">
        <v>28</v>
      </c>
      <c r="E2403" t="s">
        <v>36</v>
      </c>
      <c r="F2403" t="s">
        <v>24</v>
      </c>
      <c r="G2403">
        <v>4</v>
      </c>
      <c r="H2403">
        <v>0</v>
      </c>
      <c r="I2403" t="s">
        <v>18</v>
      </c>
      <c r="J2403" t="s">
        <v>37</v>
      </c>
      <c r="K2403" t="s">
        <v>40</v>
      </c>
      <c r="L2403">
        <v>7</v>
      </c>
      <c r="M2403">
        <v>1</v>
      </c>
      <c r="N2403">
        <v>0</v>
      </c>
      <c r="O2403" t="s">
        <v>27</v>
      </c>
      <c r="P2403" t="str">
        <f>TEXT(Table1[[#This Row],[order_date]],"yyyy-mm")</f>
        <v>2025-11</v>
      </c>
      <c r="Q2403">
        <f>WEEKNUM(Table1[[#This Row],[order_date]])</f>
        <v>47</v>
      </c>
      <c r="R2403">
        <f>IF(Table1[[#This Row],[order_status]]="completed",1,0)</f>
        <v>0</v>
      </c>
    </row>
    <row r="2404" spans="1:18" x14ac:dyDescent="0.35">
      <c r="A2404">
        <v>2403</v>
      </c>
      <c r="B2404" s="1">
        <v>45861</v>
      </c>
      <c r="C2404">
        <v>1167</v>
      </c>
      <c r="D2404" t="s">
        <v>28</v>
      </c>
      <c r="E2404" t="s">
        <v>23</v>
      </c>
      <c r="F2404" t="s">
        <v>30</v>
      </c>
      <c r="G2404">
        <v>2</v>
      </c>
      <c r="H2404">
        <v>0</v>
      </c>
      <c r="I2404" t="s">
        <v>25</v>
      </c>
      <c r="J2404" t="s">
        <v>31</v>
      </c>
      <c r="K2404" t="s">
        <v>26</v>
      </c>
      <c r="L2404">
        <v>3</v>
      </c>
      <c r="M2404">
        <v>0</v>
      </c>
      <c r="N2404">
        <v>1</v>
      </c>
      <c r="O2404" t="s">
        <v>27</v>
      </c>
      <c r="P2404" t="str">
        <f>TEXT(Table1[[#This Row],[order_date]],"yyyy-mm")</f>
        <v>2025-07</v>
      </c>
      <c r="Q2404">
        <f>WEEKNUM(Table1[[#This Row],[order_date]])</f>
        <v>30</v>
      </c>
      <c r="R2404">
        <f>IF(Table1[[#This Row],[order_status]]="completed",1,0)</f>
        <v>0</v>
      </c>
    </row>
    <row r="2405" spans="1:18" x14ac:dyDescent="0.35">
      <c r="A2405">
        <v>2404</v>
      </c>
      <c r="B2405" s="1">
        <v>45892</v>
      </c>
      <c r="C2405">
        <v>1641</v>
      </c>
      <c r="D2405" t="s">
        <v>32</v>
      </c>
      <c r="E2405" t="s">
        <v>16</v>
      </c>
      <c r="F2405" t="s">
        <v>34</v>
      </c>
      <c r="G2405">
        <v>5</v>
      </c>
      <c r="H2405">
        <v>4455</v>
      </c>
      <c r="I2405" t="s">
        <v>39</v>
      </c>
      <c r="J2405" t="s">
        <v>19</v>
      </c>
      <c r="K2405" t="s">
        <v>40</v>
      </c>
      <c r="L2405">
        <v>3</v>
      </c>
      <c r="M2405">
        <v>1</v>
      </c>
      <c r="N2405">
        <v>0</v>
      </c>
      <c r="O2405" t="s">
        <v>27</v>
      </c>
      <c r="P2405" t="str">
        <f>TEXT(Table1[[#This Row],[order_date]],"yyyy-mm")</f>
        <v>2025-08</v>
      </c>
      <c r="Q2405">
        <f>WEEKNUM(Table1[[#This Row],[order_date]])</f>
        <v>34</v>
      </c>
      <c r="R2405">
        <f>IF(Table1[[#This Row],[order_status]]="completed",1,0)</f>
        <v>1</v>
      </c>
    </row>
    <row r="2406" spans="1:18" x14ac:dyDescent="0.35">
      <c r="A2406">
        <v>2405</v>
      </c>
      <c r="B2406" s="1">
        <v>46024</v>
      </c>
      <c r="C2406">
        <v>1589</v>
      </c>
      <c r="D2406" t="s">
        <v>41</v>
      </c>
      <c r="E2406" t="s">
        <v>23</v>
      </c>
      <c r="F2406" t="s">
        <v>34</v>
      </c>
      <c r="G2406">
        <v>2</v>
      </c>
      <c r="H2406">
        <v>0</v>
      </c>
      <c r="I2406" t="s">
        <v>18</v>
      </c>
      <c r="J2406" t="s">
        <v>37</v>
      </c>
      <c r="K2406" t="s">
        <v>38</v>
      </c>
      <c r="L2406">
        <v>1</v>
      </c>
      <c r="M2406">
        <v>0</v>
      </c>
      <c r="N2406">
        <v>0</v>
      </c>
      <c r="O2406" t="s">
        <v>21</v>
      </c>
      <c r="P2406" t="str">
        <f>TEXT(Table1[[#This Row],[order_date]],"yyyy-mm")</f>
        <v>2026-01</v>
      </c>
      <c r="Q2406">
        <f>WEEKNUM(Table1[[#This Row],[order_date]])</f>
        <v>1</v>
      </c>
      <c r="R2406">
        <f>IF(Table1[[#This Row],[order_status]]="completed",1,0)</f>
        <v>0</v>
      </c>
    </row>
    <row r="2407" spans="1:18" x14ac:dyDescent="0.35">
      <c r="A2407">
        <v>2406</v>
      </c>
      <c r="B2407" s="1">
        <v>45859</v>
      </c>
      <c r="C2407">
        <v>1215</v>
      </c>
      <c r="D2407" t="s">
        <v>41</v>
      </c>
      <c r="E2407" t="s">
        <v>36</v>
      </c>
      <c r="F2407" t="s">
        <v>24</v>
      </c>
      <c r="G2407">
        <v>2</v>
      </c>
      <c r="H2407">
        <v>0</v>
      </c>
      <c r="I2407" t="s">
        <v>39</v>
      </c>
      <c r="J2407" t="s">
        <v>37</v>
      </c>
      <c r="K2407" t="s">
        <v>20</v>
      </c>
      <c r="L2407">
        <v>10</v>
      </c>
      <c r="M2407">
        <v>1</v>
      </c>
      <c r="N2407">
        <v>0</v>
      </c>
      <c r="O2407" t="s">
        <v>21</v>
      </c>
      <c r="P2407" t="str">
        <f>TEXT(Table1[[#This Row],[order_date]],"yyyy-mm")</f>
        <v>2025-07</v>
      </c>
      <c r="Q2407">
        <f>WEEKNUM(Table1[[#This Row],[order_date]])</f>
        <v>30</v>
      </c>
      <c r="R2407">
        <f>IF(Table1[[#This Row],[order_status]]="completed",1,0)</f>
        <v>0</v>
      </c>
    </row>
    <row r="2408" spans="1:18" x14ac:dyDescent="0.35">
      <c r="A2408">
        <v>2407</v>
      </c>
      <c r="B2408" s="1">
        <v>45886</v>
      </c>
      <c r="C2408">
        <v>1473</v>
      </c>
      <c r="D2408" t="s">
        <v>15</v>
      </c>
      <c r="E2408" t="s">
        <v>33</v>
      </c>
      <c r="F2408" t="s">
        <v>24</v>
      </c>
      <c r="G2408">
        <v>3</v>
      </c>
      <c r="H2408">
        <v>0</v>
      </c>
      <c r="I2408" t="s">
        <v>18</v>
      </c>
      <c r="J2408" t="s">
        <v>37</v>
      </c>
      <c r="K2408" t="s">
        <v>20</v>
      </c>
      <c r="L2408">
        <v>1</v>
      </c>
      <c r="M2408">
        <v>0</v>
      </c>
      <c r="N2408">
        <v>1</v>
      </c>
      <c r="O2408" t="s">
        <v>27</v>
      </c>
      <c r="P2408" t="str">
        <f>TEXT(Table1[[#This Row],[order_date]],"yyyy-mm")</f>
        <v>2025-08</v>
      </c>
      <c r="Q2408">
        <f>WEEKNUM(Table1[[#This Row],[order_date]])</f>
        <v>34</v>
      </c>
      <c r="R2408">
        <f>IF(Table1[[#This Row],[order_status]]="completed",1,0)</f>
        <v>0</v>
      </c>
    </row>
    <row r="2409" spans="1:18" x14ac:dyDescent="0.35">
      <c r="A2409">
        <v>2408</v>
      </c>
      <c r="B2409" s="1">
        <v>45973</v>
      </c>
      <c r="C2409">
        <v>1423</v>
      </c>
      <c r="D2409" t="s">
        <v>28</v>
      </c>
      <c r="E2409" t="s">
        <v>16</v>
      </c>
      <c r="F2409" t="s">
        <v>30</v>
      </c>
      <c r="G2409">
        <v>2</v>
      </c>
      <c r="H2409">
        <v>0</v>
      </c>
      <c r="I2409" t="s">
        <v>39</v>
      </c>
      <c r="J2409" t="s">
        <v>31</v>
      </c>
      <c r="K2409" t="s">
        <v>40</v>
      </c>
      <c r="L2409">
        <v>2</v>
      </c>
      <c r="M2409">
        <v>0</v>
      </c>
      <c r="N2409">
        <v>0</v>
      </c>
      <c r="O2409" t="s">
        <v>21</v>
      </c>
      <c r="P2409" t="str">
        <f>TEXT(Table1[[#This Row],[order_date]],"yyyy-mm")</f>
        <v>2025-11</v>
      </c>
      <c r="Q2409">
        <f>WEEKNUM(Table1[[#This Row],[order_date]])</f>
        <v>46</v>
      </c>
      <c r="R2409">
        <f>IF(Table1[[#This Row],[order_status]]="completed",1,0)</f>
        <v>0</v>
      </c>
    </row>
    <row r="2410" spans="1:18" x14ac:dyDescent="0.35">
      <c r="A2410">
        <v>2409</v>
      </c>
      <c r="B2410" s="1">
        <v>45943</v>
      </c>
      <c r="C2410">
        <v>1415</v>
      </c>
      <c r="D2410" t="s">
        <v>41</v>
      </c>
      <c r="E2410" t="s">
        <v>29</v>
      </c>
      <c r="F2410" t="s">
        <v>17</v>
      </c>
      <c r="G2410">
        <v>3</v>
      </c>
      <c r="H2410">
        <v>0</v>
      </c>
      <c r="I2410" t="s">
        <v>25</v>
      </c>
      <c r="J2410" t="s">
        <v>31</v>
      </c>
      <c r="K2410" t="s">
        <v>20</v>
      </c>
      <c r="L2410">
        <v>9</v>
      </c>
      <c r="M2410">
        <v>1</v>
      </c>
      <c r="N2410">
        <v>0</v>
      </c>
      <c r="O2410" t="s">
        <v>21</v>
      </c>
      <c r="P2410" t="str">
        <f>TEXT(Table1[[#This Row],[order_date]],"yyyy-mm")</f>
        <v>2025-10</v>
      </c>
      <c r="Q2410">
        <f>WEEKNUM(Table1[[#This Row],[order_date]])</f>
        <v>42</v>
      </c>
      <c r="R2410">
        <f>IF(Table1[[#This Row],[order_status]]="completed",1,0)</f>
        <v>0</v>
      </c>
    </row>
    <row r="2411" spans="1:18" x14ac:dyDescent="0.35">
      <c r="A2411">
        <v>2410</v>
      </c>
      <c r="B2411" s="1">
        <v>45886</v>
      </c>
      <c r="C2411">
        <v>1536</v>
      </c>
      <c r="D2411" t="s">
        <v>32</v>
      </c>
      <c r="E2411" t="s">
        <v>33</v>
      </c>
      <c r="F2411" t="s">
        <v>24</v>
      </c>
      <c r="G2411">
        <v>5</v>
      </c>
      <c r="H2411">
        <v>23250</v>
      </c>
      <c r="I2411" t="s">
        <v>39</v>
      </c>
      <c r="J2411" t="s">
        <v>19</v>
      </c>
      <c r="K2411" t="s">
        <v>20</v>
      </c>
      <c r="L2411">
        <v>9</v>
      </c>
      <c r="M2411">
        <v>1</v>
      </c>
      <c r="N2411">
        <v>1</v>
      </c>
      <c r="O2411" t="s">
        <v>27</v>
      </c>
      <c r="P2411" t="str">
        <f>TEXT(Table1[[#This Row],[order_date]],"yyyy-mm")</f>
        <v>2025-08</v>
      </c>
      <c r="Q2411">
        <f>WEEKNUM(Table1[[#This Row],[order_date]])</f>
        <v>34</v>
      </c>
      <c r="R2411">
        <f>IF(Table1[[#This Row],[order_status]]="completed",1,0)</f>
        <v>1</v>
      </c>
    </row>
    <row r="2412" spans="1:18" x14ac:dyDescent="0.35">
      <c r="A2412">
        <v>2411</v>
      </c>
      <c r="B2412" s="1">
        <v>45947</v>
      </c>
      <c r="C2412">
        <v>1409</v>
      </c>
      <c r="D2412" t="s">
        <v>41</v>
      </c>
      <c r="E2412" t="s">
        <v>29</v>
      </c>
      <c r="F2412" t="s">
        <v>17</v>
      </c>
      <c r="G2412">
        <v>3</v>
      </c>
      <c r="H2412">
        <v>6051</v>
      </c>
      <c r="I2412" t="s">
        <v>18</v>
      </c>
      <c r="J2412" t="s">
        <v>19</v>
      </c>
      <c r="K2412" t="s">
        <v>26</v>
      </c>
      <c r="L2412">
        <v>2</v>
      </c>
      <c r="M2412">
        <v>0</v>
      </c>
      <c r="N2412">
        <v>0</v>
      </c>
      <c r="O2412" t="s">
        <v>21</v>
      </c>
      <c r="P2412" t="str">
        <f>TEXT(Table1[[#This Row],[order_date]],"yyyy-mm")</f>
        <v>2025-10</v>
      </c>
      <c r="Q2412">
        <f>WEEKNUM(Table1[[#This Row],[order_date]])</f>
        <v>42</v>
      </c>
      <c r="R2412">
        <f>IF(Table1[[#This Row],[order_status]]="completed",1,0)</f>
        <v>1</v>
      </c>
    </row>
    <row r="2413" spans="1:18" x14ac:dyDescent="0.35">
      <c r="A2413">
        <v>2412</v>
      </c>
      <c r="B2413" s="1">
        <v>45886</v>
      </c>
      <c r="C2413">
        <v>1058</v>
      </c>
      <c r="D2413" t="s">
        <v>15</v>
      </c>
      <c r="E2413" t="s">
        <v>29</v>
      </c>
      <c r="F2413" t="s">
        <v>17</v>
      </c>
      <c r="G2413">
        <v>3</v>
      </c>
      <c r="H2413">
        <v>0</v>
      </c>
      <c r="I2413" t="s">
        <v>39</v>
      </c>
      <c r="J2413" t="s">
        <v>31</v>
      </c>
      <c r="K2413" t="s">
        <v>26</v>
      </c>
      <c r="L2413">
        <v>3</v>
      </c>
      <c r="M2413">
        <v>1</v>
      </c>
      <c r="N2413">
        <v>1</v>
      </c>
      <c r="O2413" t="s">
        <v>21</v>
      </c>
      <c r="P2413" t="str">
        <f>TEXT(Table1[[#This Row],[order_date]],"yyyy-mm")</f>
        <v>2025-08</v>
      </c>
      <c r="Q2413">
        <f>WEEKNUM(Table1[[#This Row],[order_date]])</f>
        <v>34</v>
      </c>
      <c r="R2413">
        <f>IF(Table1[[#This Row],[order_status]]="completed",1,0)</f>
        <v>0</v>
      </c>
    </row>
    <row r="2414" spans="1:18" x14ac:dyDescent="0.35">
      <c r="A2414">
        <v>2413</v>
      </c>
      <c r="B2414" s="1">
        <v>45958</v>
      </c>
      <c r="C2414">
        <v>1352</v>
      </c>
      <c r="D2414" t="s">
        <v>32</v>
      </c>
      <c r="E2414" t="s">
        <v>33</v>
      </c>
      <c r="F2414" t="s">
        <v>17</v>
      </c>
      <c r="G2414">
        <v>3</v>
      </c>
      <c r="H2414">
        <v>0</v>
      </c>
      <c r="I2414" t="s">
        <v>18</v>
      </c>
      <c r="J2414" t="s">
        <v>31</v>
      </c>
      <c r="K2414" t="s">
        <v>38</v>
      </c>
      <c r="L2414">
        <v>2</v>
      </c>
      <c r="M2414">
        <v>0</v>
      </c>
      <c r="N2414">
        <v>0</v>
      </c>
      <c r="O2414" t="s">
        <v>27</v>
      </c>
      <c r="P2414" t="str">
        <f>TEXT(Table1[[#This Row],[order_date]],"yyyy-mm")</f>
        <v>2025-10</v>
      </c>
      <c r="Q2414">
        <f>WEEKNUM(Table1[[#This Row],[order_date]])</f>
        <v>44</v>
      </c>
      <c r="R2414">
        <f>IF(Table1[[#This Row],[order_status]]="completed",1,0)</f>
        <v>0</v>
      </c>
    </row>
    <row r="2415" spans="1:18" x14ac:dyDescent="0.35">
      <c r="A2415">
        <v>2414</v>
      </c>
      <c r="B2415" s="1">
        <v>45906</v>
      </c>
      <c r="C2415">
        <v>1313</v>
      </c>
      <c r="D2415" t="s">
        <v>41</v>
      </c>
      <c r="E2415" t="s">
        <v>33</v>
      </c>
      <c r="F2415" t="s">
        <v>17</v>
      </c>
      <c r="G2415">
        <v>4</v>
      </c>
      <c r="H2415">
        <v>18120</v>
      </c>
      <c r="I2415" t="s">
        <v>18</v>
      </c>
      <c r="J2415" t="s">
        <v>19</v>
      </c>
      <c r="K2415" t="s">
        <v>40</v>
      </c>
      <c r="L2415">
        <v>7</v>
      </c>
      <c r="M2415">
        <v>1</v>
      </c>
      <c r="N2415">
        <v>1</v>
      </c>
      <c r="O2415" t="s">
        <v>21</v>
      </c>
      <c r="P2415" t="str">
        <f>TEXT(Table1[[#This Row],[order_date]],"yyyy-mm")</f>
        <v>2025-09</v>
      </c>
      <c r="Q2415">
        <f>WEEKNUM(Table1[[#This Row],[order_date]])</f>
        <v>36</v>
      </c>
      <c r="R2415">
        <f>IF(Table1[[#This Row],[order_status]]="completed",1,0)</f>
        <v>1</v>
      </c>
    </row>
    <row r="2416" spans="1:18" x14ac:dyDescent="0.35">
      <c r="A2416">
        <v>2415</v>
      </c>
      <c r="B2416" s="1">
        <v>45855</v>
      </c>
      <c r="C2416">
        <v>1260</v>
      </c>
      <c r="D2416" t="s">
        <v>41</v>
      </c>
      <c r="E2416" t="s">
        <v>36</v>
      </c>
      <c r="F2416" t="s">
        <v>30</v>
      </c>
      <c r="G2416">
        <v>3</v>
      </c>
      <c r="H2416">
        <v>0</v>
      </c>
      <c r="I2416" t="s">
        <v>18</v>
      </c>
      <c r="J2416" t="s">
        <v>31</v>
      </c>
      <c r="K2416" t="s">
        <v>20</v>
      </c>
      <c r="L2416">
        <v>10</v>
      </c>
      <c r="M2416">
        <v>1</v>
      </c>
      <c r="N2416">
        <v>1</v>
      </c>
      <c r="O2416" t="s">
        <v>21</v>
      </c>
      <c r="P2416" t="str">
        <f>TEXT(Table1[[#This Row],[order_date]],"yyyy-mm")</f>
        <v>2025-07</v>
      </c>
      <c r="Q2416">
        <f>WEEKNUM(Table1[[#This Row],[order_date]])</f>
        <v>29</v>
      </c>
      <c r="R2416">
        <f>IF(Table1[[#This Row],[order_status]]="completed",1,0)</f>
        <v>0</v>
      </c>
    </row>
    <row r="2417" spans="1:18" x14ac:dyDescent="0.35">
      <c r="A2417">
        <v>2416</v>
      </c>
      <c r="B2417" s="1">
        <v>45917</v>
      </c>
      <c r="C2417">
        <v>1707</v>
      </c>
      <c r="D2417" t="s">
        <v>28</v>
      </c>
      <c r="E2417" t="s">
        <v>36</v>
      </c>
      <c r="F2417" t="s">
        <v>17</v>
      </c>
      <c r="G2417">
        <v>2</v>
      </c>
      <c r="H2417">
        <v>0</v>
      </c>
      <c r="I2417" t="s">
        <v>35</v>
      </c>
      <c r="J2417" t="s">
        <v>37</v>
      </c>
      <c r="K2417" t="s">
        <v>20</v>
      </c>
      <c r="L2417">
        <v>3</v>
      </c>
      <c r="M2417">
        <v>0</v>
      </c>
      <c r="N2417">
        <v>0</v>
      </c>
      <c r="O2417" t="s">
        <v>27</v>
      </c>
      <c r="P2417" t="str">
        <f>TEXT(Table1[[#This Row],[order_date]],"yyyy-mm")</f>
        <v>2025-09</v>
      </c>
      <c r="Q2417">
        <f>WEEKNUM(Table1[[#This Row],[order_date]])</f>
        <v>38</v>
      </c>
      <c r="R2417">
        <f>IF(Table1[[#This Row],[order_status]]="completed",1,0)</f>
        <v>0</v>
      </c>
    </row>
    <row r="2418" spans="1:18" x14ac:dyDescent="0.35">
      <c r="A2418">
        <v>2417</v>
      </c>
      <c r="B2418" s="1">
        <v>46026</v>
      </c>
      <c r="C2418">
        <v>1198</v>
      </c>
      <c r="D2418" t="s">
        <v>15</v>
      </c>
      <c r="E2418" t="s">
        <v>36</v>
      </c>
      <c r="F2418" t="s">
        <v>30</v>
      </c>
      <c r="G2418">
        <v>5</v>
      </c>
      <c r="H2418">
        <v>1015</v>
      </c>
      <c r="I2418" t="s">
        <v>18</v>
      </c>
      <c r="J2418" t="s">
        <v>19</v>
      </c>
      <c r="K2418" t="s">
        <v>20</v>
      </c>
      <c r="L2418">
        <v>6</v>
      </c>
      <c r="M2418">
        <v>1</v>
      </c>
      <c r="N2418">
        <v>0</v>
      </c>
      <c r="O2418" t="s">
        <v>21</v>
      </c>
      <c r="P2418" t="str">
        <f>TEXT(Table1[[#This Row],[order_date]],"yyyy-mm")</f>
        <v>2026-01</v>
      </c>
      <c r="Q2418">
        <f>WEEKNUM(Table1[[#This Row],[order_date]])</f>
        <v>2</v>
      </c>
      <c r="R2418">
        <f>IF(Table1[[#This Row],[order_status]]="completed",1,0)</f>
        <v>1</v>
      </c>
    </row>
    <row r="2419" spans="1:18" x14ac:dyDescent="0.35">
      <c r="A2419">
        <v>2418</v>
      </c>
      <c r="B2419" s="1">
        <v>45909</v>
      </c>
      <c r="C2419">
        <v>1787</v>
      </c>
      <c r="D2419" t="s">
        <v>41</v>
      </c>
      <c r="E2419" t="s">
        <v>23</v>
      </c>
      <c r="F2419" t="s">
        <v>24</v>
      </c>
      <c r="G2419">
        <v>5</v>
      </c>
      <c r="H2419">
        <v>5405</v>
      </c>
      <c r="I2419" t="s">
        <v>25</v>
      </c>
      <c r="J2419" t="s">
        <v>19</v>
      </c>
      <c r="K2419" t="s">
        <v>26</v>
      </c>
      <c r="L2419">
        <v>6</v>
      </c>
      <c r="M2419">
        <v>1</v>
      </c>
      <c r="N2419">
        <v>0</v>
      </c>
      <c r="O2419" t="s">
        <v>21</v>
      </c>
      <c r="P2419" t="str">
        <f>TEXT(Table1[[#This Row],[order_date]],"yyyy-mm")</f>
        <v>2025-09</v>
      </c>
      <c r="Q2419">
        <f>WEEKNUM(Table1[[#This Row],[order_date]])</f>
        <v>37</v>
      </c>
      <c r="R2419">
        <f>IF(Table1[[#This Row],[order_status]]="completed",1,0)</f>
        <v>1</v>
      </c>
    </row>
    <row r="2420" spans="1:18" x14ac:dyDescent="0.35">
      <c r="A2420">
        <v>2419</v>
      </c>
      <c r="B2420" s="1">
        <v>46008</v>
      </c>
      <c r="C2420">
        <v>1119</v>
      </c>
      <c r="D2420" t="s">
        <v>32</v>
      </c>
      <c r="E2420" t="s">
        <v>29</v>
      </c>
      <c r="F2420" t="s">
        <v>24</v>
      </c>
      <c r="G2420">
        <v>1</v>
      </c>
      <c r="H2420">
        <v>0</v>
      </c>
      <c r="I2420" t="s">
        <v>35</v>
      </c>
      <c r="J2420" t="s">
        <v>31</v>
      </c>
      <c r="K2420" t="s">
        <v>38</v>
      </c>
      <c r="L2420">
        <v>10</v>
      </c>
      <c r="M2420">
        <v>1</v>
      </c>
      <c r="N2420">
        <v>0</v>
      </c>
      <c r="O2420" t="s">
        <v>27</v>
      </c>
      <c r="P2420" t="str">
        <f>TEXT(Table1[[#This Row],[order_date]],"yyyy-mm")</f>
        <v>2025-12</v>
      </c>
      <c r="Q2420">
        <f>WEEKNUM(Table1[[#This Row],[order_date]])</f>
        <v>51</v>
      </c>
      <c r="R2420">
        <f>IF(Table1[[#This Row],[order_status]]="completed",1,0)</f>
        <v>0</v>
      </c>
    </row>
    <row r="2421" spans="1:18" x14ac:dyDescent="0.35">
      <c r="A2421">
        <v>2420</v>
      </c>
      <c r="B2421" s="1">
        <v>45914</v>
      </c>
      <c r="C2421">
        <v>1408</v>
      </c>
      <c r="D2421" t="s">
        <v>22</v>
      </c>
      <c r="E2421" t="s">
        <v>33</v>
      </c>
      <c r="F2421" t="s">
        <v>34</v>
      </c>
      <c r="G2421">
        <v>4</v>
      </c>
      <c r="H2421">
        <v>0</v>
      </c>
      <c r="I2421" t="s">
        <v>18</v>
      </c>
      <c r="J2421" t="s">
        <v>31</v>
      </c>
      <c r="K2421" t="s">
        <v>40</v>
      </c>
      <c r="L2421">
        <v>5</v>
      </c>
      <c r="M2421">
        <v>0</v>
      </c>
      <c r="N2421">
        <v>0</v>
      </c>
      <c r="O2421" t="s">
        <v>27</v>
      </c>
      <c r="P2421" t="str">
        <f>TEXT(Table1[[#This Row],[order_date]],"yyyy-mm")</f>
        <v>2025-09</v>
      </c>
      <c r="Q2421">
        <f>WEEKNUM(Table1[[#This Row],[order_date]])</f>
        <v>38</v>
      </c>
      <c r="R2421">
        <f>IF(Table1[[#This Row],[order_status]]="completed",1,0)</f>
        <v>0</v>
      </c>
    </row>
    <row r="2422" spans="1:18" x14ac:dyDescent="0.35">
      <c r="A2422">
        <v>2421</v>
      </c>
      <c r="B2422" s="1">
        <v>45933</v>
      </c>
      <c r="C2422">
        <v>1196</v>
      </c>
      <c r="D2422" t="s">
        <v>32</v>
      </c>
      <c r="E2422" t="s">
        <v>23</v>
      </c>
      <c r="F2422" t="s">
        <v>30</v>
      </c>
      <c r="G2422">
        <v>5</v>
      </c>
      <c r="H2422">
        <v>10980</v>
      </c>
      <c r="I2422" t="s">
        <v>39</v>
      </c>
      <c r="J2422" t="s">
        <v>19</v>
      </c>
      <c r="K2422" t="s">
        <v>26</v>
      </c>
      <c r="L2422">
        <v>9</v>
      </c>
      <c r="M2422">
        <v>0</v>
      </c>
      <c r="N2422">
        <v>1</v>
      </c>
      <c r="O2422" t="s">
        <v>21</v>
      </c>
      <c r="P2422" t="str">
        <f>TEXT(Table1[[#This Row],[order_date]],"yyyy-mm")</f>
        <v>2025-10</v>
      </c>
      <c r="Q2422">
        <f>WEEKNUM(Table1[[#This Row],[order_date]])</f>
        <v>40</v>
      </c>
      <c r="R2422">
        <f>IF(Table1[[#This Row],[order_status]]="completed",1,0)</f>
        <v>1</v>
      </c>
    </row>
    <row r="2423" spans="1:18" x14ac:dyDescent="0.35">
      <c r="A2423">
        <v>2422</v>
      </c>
      <c r="B2423" s="1">
        <v>45946</v>
      </c>
      <c r="C2423">
        <v>1280</v>
      </c>
      <c r="D2423" t="s">
        <v>15</v>
      </c>
      <c r="E2423" t="s">
        <v>16</v>
      </c>
      <c r="F2423" t="s">
        <v>17</v>
      </c>
      <c r="G2423">
        <v>5</v>
      </c>
      <c r="H2423">
        <v>15845</v>
      </c>
      <c r="I2423" t="s">
        <v>35</v>
      </c>
      <c r="J2423" t="s">
        <v>19</v>
      </c>
      <c r="K2423" t="s">
        <v>26</v>
      </c>
      <c r="L2423">
        <v>9</v>
      </c>
      <c r="M2423">
        <v>1</v>
      </c>
      <c r="N2423">
        <v>1</v>
      </c>
      <c r="O2423" t="s">
        <v>27</v>
      </c>
      <c r="P2423" t="str">
        <f>TEXT(Table1[[#This Row],[order_date]],"yyyy-mm")</f>
        <v>2025-10</v>
      </c>
      <c r="Q2423">
        <f>WEEKNUM(Table1[[#This Row],[order_date]])</f>
        <v>42</v>
      </c>
      <c r="R2423">
        <f>IF(Table1[[#This Row],[order_status]]="completed",1,0)</f>
        <v>1</v>
      </c>
    </row>
    <row r="2424" spans="1:18" x14ac:dyDescent="0.35">
      <c r="A2424">
        <v>2423</v>
      </c>
      <c r="B2424" s="1">
        <v>45931</v>
      </c>
      <c r="C2424">
        <v>1219</v>
      </c>
      <c r="D2424" t="s">
        <v>28</v>
      </c>
      <c r="E2424" t="s">
        <v>23</v>
      </c>
      <c r="F2424" t="s">
        <v>24</v>
      </c>
      <c r="G2424">
        <v>1</v>
      </c>
      <c r="H2424">
        <v>0</v>
      </c>
      <c r="I2424" t="s">
        <v>18</v>
      </c>
      <c r="J2424" t="s">
        <v>31</v>
      </c>
      <c r="K2424" t="s">
        <v>26</v>
      </c>
      <c r="L2424">
        <v>1</v>
      </c>
      <c r="M2424">
        <v>0</v>
      </c>
      <c r="N2424">
        <v>1</v>
      </c>
      <c r="O2424" t="s">
        <v>21</v>
      </c>
      <c r="P2424" t="str">
        <f>TEXT(Table1[[#This Row],[order_date]],"yyyy-mm")</f>
        <v>2025-10</v>
      </c>
      <c r="Q2424">
        <f>WEEKNUM(Table1[[#This Row],[order_date]])</f>
        <v>40</v>
      </c>
      <c r="R2424">
        <f>IF(Table1[[#This Row],[order_status]]="completed",1,0)</f>
        <v>0</v>
      </c>
    </row>
    <row r="2425" spans="1:18" x14ac:dyDescent="0.35">
      <c r="A2425">
        <v>2424</v>
      </c>
      <c r="B2425" s="1">
        <v>45964</v>
      </c>
      <c r="C2425">
        <v>1306</v>
      </c>
      <c r="D2425" t="s">
        <v>15</v>
      </c>
      <c r="E2425" t="s">
        <v>23</v>
      </c>
      <c r="F2425" t="s">
        <v>34</v>
      </c>
      <c r="G2425">
        <v>5</v>
      </c>
      <c r="H2425">
        <v>0</v>
      </c>
      <c r="I2425" t="s">
        <v>18</v>
      </c>
      <c r="J2425" t="s">
        <v>37</v>
      </c>
      <c r="K2425" t="s">
        <v>38</v>
      </c>
      <c r="L2425">
        <v>4</v>
      </c>
      <c r="M2425">
        <v>0</v>
      </c>
      <c r="N2425">
        <v>1</v>
      </c>
      <c r="O2425" t="s">
        <v>27</v>
      </c>
      <c r="P2425" t="str">
        <f>TEXT(Table1[[#This Row],[order_date]],"yyyy-mm")</f>
        <v>2025-11</v>
      </c>
      <c r="Q2425">
        <f>WEEKNUM(Table1[[#This Row],[order_date]])</f>
        <v>45</v>
      </c>
      <c r="R2425">
        <f>IF(Table1[[#This Row],[order_status]]="completed",1,0)</f>
        <v>0</v>
      </c>
    </row>
    <row r="2426" spans="1:18" x14ac:dyDescent="0.35">
      <c r="A2426">
        <v>2425</v>
      </c>
      <c r="B2426" s="1">
        <v>45915</v>
      </c>
      <c r="C2426">
        <v>1632</v>
      </c>
      <c r="D2426" t="s">
        <v>32</v>
      </c>
      <c r="E2426" t="s">
        <v>16</v>
      </c>
      <c r="F2426" t="s">
        <v>34</v>
      </c>
      <c r="G2426">
        <v>4</v>
      </c>
      <c r="H2426">
        <v>0</v>
      </c>
      <c r="I2426" t="s">
        <v>25</v>
      </c>
      <c r="J2426" t="s">
        <v>31</v>
      </c>
      <c r="K2426" t="s">
        <v>20</v>
      </c>
      <c r="L2426">
        <v>3</v>
      </c>
      <c r="M2426">
        <v>0</v>
      </c>
      <c r="N2426">
        <v>0</v>
      </c>
      <c r="O2426" t="s">
        <v>21</v>
      </c>
      <c r="P2426" t="str">
        <f>TEXT(Table1[[#This Row],[order_date]],"yyyy-mm")</f>
        <v>2025-09</v>
      </c>
      <c r="Q2426">
        <f>WEEKNUM(Table1[[#This Row],[order_date]])</f>
        <v>38</v>
      </c>
      <c r="R2426">
        <f>IF(Table1[[#This Row],[order_status]]="completed",1,0)</f>
        <v>0</v>
      </c>
    </row>
    <row r="2427" spans="1:18" x14ac:dyDescent="0.35">
      <c r="A2427">
        <v>2426</v>
      </c>
      <c r="B2427" s="1">
        <v>45858</v>
      </c>
      <c r="C2427">
        <v>1832</v>
      </c>
      <c r="D2427" t="s">
        <v>22</v>
      </c>
      <c r="E2427" t="s">
        <v>23</v>
      </c>
      <c r="F2427" t="s">
        <v>17</v>
      </c>
      <c r="G2427">
        <v>1</v>
      </c>
      <c r="H2427">
        <v>0</v>
      </c>
      <c r="I2427" t="s">
        <v>35</v>
      </c>
      <c r="J2427" t="s">
        <v>37</v>
      </c>
      <c r="K2427" t="s">
        <v>26</v>
      </c>
      <c r="L2427">
        <v>9</v>
      </c>
      <c r="M2427">
        <v>0</v>
      </c>
      <c r="N2427">
        <v>0</v>
      </c>
      <c r="O2427" t="s">
        <v>21</v>
      </c>
      <c r="P2427" t="str">
        <f>TEXT(Table1[[#This Row],[order_date]],"yyyy-mm")</f>
        <v>2025-07</v>
      </c>
      <c r="Q2427">
        <f>WEEKNUM(Table1[[#This Row],[order_date]])</f>
        <v>30</v>
      </c>
      <c r="R2427">
        <f>IF(Table1[[#This Row],[order_status]]="completed",1,0)</f>
        <v>0</v>
      </c>
    </row>
    <row r="2428" spans="1:18" x14ac:dyDescent="0.35">
      <c r="A2428">
        <v>2427</v>
      </c>
      <c r="B2428" s="1">
        <v>45869</v>
      </c>
      <c r="C2428">
        <v>1973</v>
      </c>
      <c r="D2428" t="s">
        <v>41</v>
      </c>
      <c r="E2428" t="s">
        <v>29</v>
      </c>
      <c r="F2428" t="s">
        <v>24</v>
      </c>
      <c r="G2428">
        <v>1</v>
      </c>
      <c r="H2428">
        <v>3277</v>
      </c>
      <c r="I2428" t="s">
        <v>35</v>
      </c>
      <c r="J2428" t="s">
        <v>19</v>
      </c>
      <c r="K2428" t="s">
        <v>40</v>
      </c>
      <c r="L2428">
        <v>6</v>
      </c>
      <c r="M2428">
        <v>1</v>
      </c>
      <c r="N2428">
        <v>0</v>
      </c>
      <c r="O2428" t="s">
        <v>27</v>
      </c>
      <c r="P2428" t="str">
        <f>TEXT(Table1[[#This Row],[order_date]],"yyyy-mm")</f>
        <v>2025-07</v>
      </c>
      <c r="Q2428">
        <f>WEEKNUM(Table1[[#This Row],[order_date]])</f>
        <v>31</v>
      </c>
      <c r="R2428">
        <f>IF(Table1[[#This Row],[order_status]]="completed",1,0)</f>
        <v>1</v>
      </c>
    </row>
    <row r="2429" spans="1:18" x14ac:dyDescent="0.35">
      <c r="A2429">
        <v>2428</v>
      </c>
      <c r="B2429" s="1">
        <v>45852</v>
      </c>
      <c r="C2429">
        <v>1476</v>
      </c>
      <c r="D2429" t="s">
        <v>32</v>
      </c>
      <c r="E2429" t="s">
        <v>23</v>
      </c>
      <c r="F2429" t="s">
        <v>30</v>
      </c>
      <c r="G2429">
        <v>1</v>
      </c>
      <c r="H2429">
        <v>0</v>
      </c>
      <c r="I2429" t="s">
        <v>35</v>
      </c>
      <c r="J2429" t="s">
        <v>37</v>
      </c>
      <c r="K2429" t="s">
        <v>40</v>
      </c>
      <c r="L2429">
        <v>1</v>
      </c>
      <c r="M2429">
        <v>0</v>
      </c>
      <c r="N2429">
        <v>1</v>
      </c>
      <c r="O2429" t="s">
        <v>27</v>
      </c>
      <c r="P2429" t="str">
        <f>TEXT(Table1[[#This Row],[order_date]],"yyyy-mm")</f>
        <v>2025-07</v>
      </c>
      <c r="Q2429">
        <f>WEEKNUM(Table1[[#This Row],[order_date]])</f>
        <v>29</v>
      </c>
      <c r="R2429">
        <f>IF(Table1[[#This Row],[order_status]]="completed",1,0)</f>
        <v>0</v>
      </c>
    </row>
    <row r="2430" spans="1:18" x14ac:dyDescent="0.35">
      <c r="A2430">
        <v>2429</v>
      </c>
      <c r="B2430" s="1">
        <v>46009</v>
      </c>
      <c r="C2430">
        <v>1286</v>
      </c>
      <c r="D2430" t="s">
        <v>15</v>
      </c>
      <c r="E2430" t="s">
        <v>23</v>
      </c>
      <c r="F2430" t="s">
        <v>30</v>
      </c>
      <c r="G2430">
        <v>3</v>
      </c>
      <c r="H2430">
        <v>0</v>
      </c>
      <c r="I2430" t="s">
        <v>39</v>
      </c>
      <c r="J2430" t="s">
        <v>31</v>
      </c>
      <c r="K2430" t="s">
        <v>26</v>
      </c>
      <c r="L2430">
        <v>4</v>
      </c>
      <c r="M2430">
        <v>0</v>
      </c>
      <c r="N2430">
        <v>0</v>
      </c>
      <c r="O2430" t="s">
        <v>21</v>
      </c>
      <c r="P2430" t="str">
        <f>TEXT(Table1[[#This Row],[order_date]],"yyyy-mm")</f>
        <v>2025-12</v>
      </c>
      <c r="Q2430">
        <f>WEEKNUM(Table1[[#This Row],[order_date]])</f>
        <v>51</v>
      </c>
      <c r="R2430">
        <f>IF(Table1[[#This Row],[order_status]]="completed",1,0)</f>
        <v>0</v>
      </c>
    </row>
    <row r="2431" spans="1:18" x14ac:dyDescent="0.35">
      <c r="A2431">
        <v>2430</v>
      </c>
      <c r="B2431" s="1">
        <v>45894</v>
      </c>
      <c r="C2431">
        <v>1859</v>
      </c>
      <c r="D2431" t="s">
        <v>41</v>
      </c>
      <c r="E2431" t="s">
        <v>16</v>
      </c>
      <c r="F2431" t="s">
        <v>34</v>
      </c>
      <c r="G2431">
        <v>1</v>
      </c>
      <c r="H2431">
        <v>0</v>
      </c>
      <c r="I2431" t="s">
        <v>25</v>
      </c>
      <c r="J2431" t="s">
        <v>31</v>
      </c>
      <c r="K2431" t="s">
        <v>26</v>
      </c>
      <c r="L2431">
        <v>4</v>
      </c>
      <c r="M2431">
        <v>0</v>
      </c>
      <c r="N2431">
        <v>1</v>
      </c>
      <c r="O2431" t="s">
        <v>21</v>
      </c>
      <c r="P2431" t="str">
        <f>TEXT(Table1[[#This Row],[order_date]],"yyyy-mm")</f>
        <v>2025-08</v>
      </c>
      <c r="Q2431">
        <f>WEEKNUM(Table1[[#This Row],[order_date]])</f>
        <v>35</v>
      </c>
      <c r="R2431">
        <f>IF(Table1[[#This Row],[order_status]]="completed",1,0)</f>
        <v>0</v>
      </c>
    </row>
    <row r="2432" spans="1:18" x14ac:dyDescent="0.35">
      <c r="A2432">
        <v>2431</v>
      </c>
      <c r="B2432" s="1">
        <v>45975</v>
      </c>
      <c r="C2432">
        <v>1626</v>
      </c>
      <c r="D2432" t="s">
        <v>22</v>
      </c>
      <c r="E2432" t="s">
        <v>33</v>
      </c>
      <c r="F2432" t="s">
        <v>30</v>
      </c>
      <c r="G2432">
        <v>1</v>
      </c>
      <c r="H2432">
        <v>0</v>
      </c>
      <c r="I2432" t="s">
        <v>25</v>
      </c>
      <c r="J2432" t="s">
        <v>31</v>
      </c>
      <c r="K2432" t="s">
        <v>26</v>
      </c>
      <c r="L2432">
        <v>9</v>
      </c>
      <c r="M2432">
        <v>1</v>
      </c>
      <c r="N2432">
        <v>1</v>
      </c>
      <c r="O2432" t="s">
        <v>27</v>
      </c>
      <c r="P2432" t="str">
        <f>TEXT(Table1[[#This Row],[order_date]],"yyyy-mm")</f>
        <v>2025-11</v>
      </c>
      <c r="Q2432">
        <f>WEEKNUM(Table1[[#This Row],[order_date]])</f>
        <v>46</v>
      </c>
      <c r="R2432">
        <f>IF(Table1[[#This Row],[order_status]]="completed",1,0)</f>
        <v>0</v>
      </c>
    </row>
    <row r="2433" spans="1:18" x14ac:dyDescent="0.35">
      <c r="A2433">
        <v>2432</v>
      </c>
      <c r="B2433" s="1">
        <v>45985</v>
      </c>
      <c r="C2433">
        <v>1187</v>
      </c>
      <c r="D2433" t="s">
        <v>22</v>
      </c>
      <c r="E2433" t="s">
        <v>16</v>
      </c>
      <c r="F2433" t="s">
        <v>24</v>
      </c>
      <c r="G2433">
        <v>4</v>
      </c>
      <c r="H2433">
        <v>0</v>
      </c>
      <c r="I2433" t="s">
        <v>18</v>
      </c>
      <c r="J2433" t="s">
        <v>37</v>
      </c>
      <c r="K2433" t="s">
        <v>40</v>
      </c>
      <c r="L2433">
        <v>9</v>
      </c>
      <c r="M2433">
        <v>1</v>
      </c>
      <c r="N2433">
        <v>0</v>
      </c>
      <c r="O2433" t="s">
        <v>27</v>
      </c>
      <c r="P2433" t="str">
        <f>TEXT(Table1[[#This Row],[order_date]],"yyyy-mm")</f>
        <v>2025-11</v>
      </c>
      <c r="Q2433">
        <f>WEEKNUM(Table1[[#This Row],[order_date]])</f>
        <v>48</v>
      </c>
      <c r="R2433">
        <f>IF(Table1[[#This Row],[order_status]]="completed",1,0)</f>
        <v>0</v>
      </c>
    </row>
    <row r="2434" spans="1:18" x14ac:dyDescent="0.35">
      <c r="A2434">
        <v>2433</v>
      </c>
      <c r="B2434" s="1">
        <v>45906</v>
      </c>
      <c r="C2434">
        <v>1419</v>
      </c>
      <c r="D2434" t="s">
        <v>28</v>
      </c>
      <c r="E2434" t="s">
        <v>23</v>
      </c>
      <c r="F2434" t="s">
        <v>17</v>
      </c>
      <c r="G2434">
        <v>2</v>
      </c>
      <c r="H2434">
        <v>5664</v>
      </c>
      <c r="I2434" t="s">
        <v>35</v>
      </c>
      <c r="J2434" t="s">
        <v>19</v>
      </c>
      <c r="K2434" t="s">
        <v>40</v>
      </c>
      <c r="L2434">
        <v>10</v>
      </c>
      <c r="M2434">
        <v>0</v>
      </c>
      <c r="N2434">
        <v>0</v>
      </c>
      <c r="O2434" t="s">
        <v>27</v>
      </c>
      <c r="P2434" t="str">
        <f>TEXT(Table1[[#This Row],[order_date]],"yyyy-mm")</f>
        <v>2025-09</v>
      </c>
      <c r="Q2434">
        <f>WEEKNUM(Table1[[#This Row],[order_date]])</f>
        <v>36</v>
      </c>
      <c r="R2434">
        <f>IF(Table1[[#This Row],[order_status]]="completed",1,0)</f>
        <v>1</v>
      </c>
    </row>
    <row r="2435" spans="1:18" x14ac:dyDescent="0.35">
      <c r="A2435">
        <v>2434</v>
      </c>
      <c r="B2435" s="1">
        <v>45872</v>
      </c>
      <c r="C2435">
        <v>1601</v>
      </c>
      <c r="D2435" t="s">
        <v>32</v>
      </c>
      <c r="E2435" t="s">
        <v>29</v>
      </c>
      <c r="F2435" t="s">
        <v>30</v>
      </c>
      <c r="G2435">
        <v>4</v>
      </c>
      <c r="H2435">
        <v>0</v>
      </c>
      <c r="I2435" t="s">
        <v>35</v>
      </c>
      <c r="J2435" t="s">
        <v>37</v>
      </c>
      <c r="K2435" t="s">
        <v>40</v>
      </c>
      <c r="L2435">
        <v>1</v>
      </c>
      <c r="M2435">
        <v>0</v>
      </c>
      <c r="N2435">
        <v>1</v>
      </c>
      <c r="O2435" t="s">
        <v>27</v>
      </c>
      <c r="P2435" t="str">
        <f>TEXT(Table1[[#This Row],[order_date]],"yyyy-mm")</f>
        <v>2025-08</v>
      </c>
      <c r="Q2435">
        <f>WEEKNUM(Table1[[#This Row],[order_date]])</f>
        <v>32</v>
      </c>
      <c r="R2435">
        <f>IF(Table1[[#This Row],[order_status]]="completed",1,0)</f>
        <v>0</v>
      </c>
    </row>
    <row r="2436" spans="1:18" x14ac:dyDescent="0.35">
      <c r="A2436">
        <v>2435</v>
      </c>
      <c r="B2436" s="1">
        <v>45893</v>
      </c>
      <c r="C2436">
        <v>1019</v>
      </c>
      <c r="D2436" t="s">
        <v>28</v>
      </c>
      <c r="E2436" t="s">
        <v>16</v>
      </c>
      <c r="F2436" t="s">
        <v>17</v>
      </c>
      <c r="G2436">
        <v>2</v>
      </c>
      <c r="H2436">
        <v>0</v>
      </c>
      <c r="I2436" t="s">
        <v>18</v>
      </c>
      <c r="J2436" t="s">
        <v>37</v>
      </c>
      <c r="K2436" t="s">
        <v>40</v>
      </c>
      <c r="L2436">
        <v>5</v>
      </c>
      <c r="M2436">
        <v>1</v>
      </c>
      <c r="N2436">
        <v>1</v>
      </c>
      <c r="O2436" t="s">
        <v>21</v>
      </c>
      <c r="P2436" t="str">
        <f>TEXT(Table1[[#This Row],[order_date]],"yyyy-mm")</f>
        <v>2025-08</v>
      </c>
      <c r="Q2436">
        <f>WEEKNUM(Table1[[#This Row],[order_date]])</f>
        <v>35</v>
      </c>
      <c r="R2436">
        <f>IF(Table1[[#This Row],[order_status]]="completed",1,0)</f>
        <v>0</v>
      </c>
    </row>
    <row r="2437" spans="1:18" x14ac:dyDescent="0.35">
      <c r="A2437">
        <v>2436</v>
      </c>
      <c r="B2437" s="1">
        <v>45983</v>
      </c>
      <c r="C2437">
        <v>1296</v>
      </c>
      <c r="D2437" t="s">
        <v>15</v>
      </c>
      <c r="E2437" t="s">
        <v>16</v>
      </c>
      <c r="F2437" t="s">
        <v>30</v>
      </c>
      <c r="G2437">
        <v>2</v>
      </c>
      <c r="H2437">
        <v>8732</v>
      </c>
      <c r="I2437" t="s">
        <v>25</v>
      </c>
      <c r="J2437" t="s">
        <v>19</v>
      </c>
      <c r="K2437" t="s">
        <v>38</v>
      </c>
      <c r="L2437">
        <v>4</v>
      </c>
      <c r="M2437">
        <v>0</v>
      </c>
      <c r="N2437">
        <v>0</v>
      </c>
      <c r="O2437" t="s">
        <v>27</v>
      </c>
      <c r="P2437" t="str">
        <f>TEXT(Table1[[#This Row],[order_date]],"yyyy-mm")</f>
        <v>2025-11</v>
      </c>
      <c r="Q2437">
        <f>WEEKNUM(Table1[[#This Row],[order_date]])</f>
        <v>47</v>
      </c>
      <c r="R2437">
        <f>IF(Table1[[#This Row],[order_status]]="completed",1,0)</f>
        <v>1</v>
      </c>
    </row>
    <row r="2438" spans="1:18" x14ac:dyDescent="0.35">
      <c r="A2438">
        <v>2437</v>
      </c>
      <c r="B2438" s="1">
        <v>46008</v>
      </c>
      <c r="C2438">
        <v>1860</v>
      </c>
      <c r="D2438" t="s">
        <v>41</v>
      </c>
      <c r="E2438" t="s">
        <v>33</v>
      </c>
      <c r="F2438" t="s">
        <v>34</v>
      </c>
      <c r="G2438">
        <v>3</v>
      </c>
      <c r="H2438">
        <v>0</v>
      </c>
      <c r="I2438" t="s">
        <v>18</v>
      </c>
      <c r="J2438" t="s">
        <v>31</v>
      </c>
      <c r="K2438" t="s">
        <v>26</v>
      </c>
      <c r="L2438">
        <v>10</v>
      </c>
      <c r="M2438">
        <v>0</v>
      </c>
      <c r="N2438">
        <v>1</v>
      </c>
      <c r="O2438" t="s">
        <v>27</v>
      </c>
      <c r="P2438" t="str">
        <f>TEXT(Table1[[#This Row],[order_date]],"yyyy-mm")</f>
        <v>2025-12</v>
      </c>
      <c r="Q2438">
        <f>WEEKNUM(Table1[[#This Row],[order_date]])</f>
        <v>51</v>
      </c>
      <c r="R2438">
        <f>IF(Table1[[#This Row],[order_status]]="completed",1,0)</f>
        <v>0</v>
      </c>
    </row>
    <row r="2439" spans="1:18" x14ac:dyDescent="0.35">
      <c r="A2439">
        <v>2438</v>
      </c>
      <c r="B2439" s="1">
        <v>45994</v>
      </c>
      <c r="C2439">
        <v>1390</v>
      </c>
      <c r="D2439" t="s">
        <v>22</v>
      </c>
      <c r="E2439" t="s">
        <v>23</v>
      </c>
      <c r="F2439" t="s">
        <v>30</v>
      </c>
      <c r="G2439">
        <v>3</v>
      </c>
      <c r="H2439">
        <v>0</v>
      </c>
      <c r="I2439" t="s">
        <v>18</v>
      </c>
      <c r="J2439" t="s">
        <v>31</v>
      </c>
      <c r="K2439" t="s">
        <v>40</v>
      </c>
      <c r="L2439">
        <v>8</v>
      </c>
      <c r="M2439">
        <v>1</v>
      </c>
      <c r="N2439">
        <v>1</v>
      </c>
      <c r="O2439" t="s">
        <v>21</v>
      </c>
      <c r="P2439" t="str">
        <f>TEXT(Table1[[#This Row],[order_date]],"yyyy-mm")</f>
        <v>2025-12</v>
      </c>
      <c r="Q2439">
        <f>WEEKNUM(Table1[[#This Row],[order_date]])</f>
        <v>49</v>
      </c>
      <c r="R2439">
        <f>IF(Table1[[#This Row],[order_status]]="completed",1,0)</f>
        <v>0</v>
      </c>
    </row>
    <row r="2440" spans="1:18" x14ac:dyDescent="0.35">
      <c r="A2440">
        <v>2439</v>
      </c>
      <c r="B2440" s="1">
        <v>45981</v>
      </c>
      <c r="C2440">
        <v>1119</v>
      </c>
      <c r="D2440" t="s">
        <v>15</v>
      </c>
      <c r="E2440" t="s">
        <v>36</v>
      </c>
      <c r="F2440" t="s">
        <v>30</v>
      </c>
      <c r="G2440">
        <v>5</v>
      </c>
      <c r="H2440">
        <v>0</v>
      </c>
      <c r="I2440" t="s">
        <v>39</v>
      </c>
      <c r="J2440" t="s">
        <v>37</v>
      </c>
      <c r="K2440" t="s">
        <v>38</v>
      </c>
      <c r="L2440">
        <v>6</v>
      </c>
      <c r="M2440">
        <v>1</v>
      </c>
      <c r="N2440">
        <v>1</v>
      </c>
      <c r="O2440" t="s">
        <v>27</v>
      </c>
      <c r="P2440" t="str">
        <f>TEXT(Table1[[#This Row],[order_date]],"yyyy-mm")</f>
        <v>2025-11</v>
      </c>
      <c r="Q2440">
        <f>WEEKNUM(Table1[[#This Row],[order_date]])</f>
        <v>47</v>
      </c>
      <c r="R2440">
        <f>IF(Table1[[#This Row],[order_status]]="completed",1,0)</f>
        <v>0</v>
      </c>
    </row>
    <row r="2441" spans="1:18" x14ac:dyDescent="0.35">
      <c r="A2441">
        <v>2440</v>
      </c>
      <c r="B2441" s="1">
        <v>45863</v>
      </c>
      <c r="C2441">
        <v>1268</v>
      </c>
      <c r="D2441" t="s">
        <v>28</v>
      </c>
      <c r="E2441" t="s">
        <v>29</v>
      </c>
      <c r="F2441" t="s">
        <v>30</v>
      </c>
      <c r="G2441">
        <v>2</v>
      </c>
      <c r="H2441">
        <v>0</v>
      </c>
      <c r="I2441" t="s">
        <v>39</v>
      </c>
      <c r="J2441" t="s">
        <v>37</v>
      </c>
      <c r="K2441" t="s">
        <v>26</v>
      </c>
      <c r="L2441">
        <v>7</v>
      </c>
      <c r="M2441">
        <v>1</v>
      </c>
      <c r="N2441">
        <v>1</v>
      </c>
      <c r="O2441" t="s">
        <v>21</v>
      </c>
      <c r="P2441" t="str">
        <f>TEXT(Table1[[#This Row],[order_date]],"yyyy-mm")</f>
        <v>2025-07</v>
      </c>
      <c r="Q2441">
        <f>WEEKNUM(Table1[[#This Row],[order_date]])</f>
        <v>30</v>
      </c>
      <c r="R2441">
        <f>IF(Table1[[#This Row],[order_status]]="completed",1,0)</f>
        <v>0</v>
      </c>
    </row>
    <row r="2442" spans="1:18" x14ac:dyDescent="0.35">
      <c r="A2442">
        <v>2441</v>
      </c>
      <c r="B2442" s="1">
        <v>45886</v>
      </c>
      <c r="C2442">
        <v>1235</v>
      </c>
      <c r="D2442" t="s">
        <v>41</v>
      </c>
      <c r="E2442" t="s">
        <v>29</v>
      </c>
      <c r="F2442" t="s">
        <v>17</v>
      </c>
      <c r="G2442">
        <v>4</v>
      </c>
      <c r="H2442">
        <v>0</v>
      </c>
      <c r="I2442" t="s">
        <v>39</v>
      </c>
      <c r="J2442" t="s">
        <v>37</v>
      </c>
      <c r="K2442" t="s">
        <v>26</v>
      </c>
      <c r="L2442">
        <v>2</v>
      </c>
      <c r="M2442">
        <v>0</v>
      </c>
      <c r="N2442">
        <v>0</v>
      </c>
      <c r="O2442" t="s">
        <v>21</v>
      </c>
      <c r="P2442" t="str">
        <f>TEXT(Table1[[#This Row],[order_date]],"yyyy-mm")</f>
        <v>2025-08</v>
      </c>
      <c r="Q2442">
        <f>WEEKNUM(Table1[[#This Row],[order_date]])</f>
        <v>34</v>
      </c>
      <c r="R2442">
        <f>IF(Table1[[#This Row],[order_status]]="completed",1,0)</f>
        <v>0</v>
      </c>
    </row>
    <row r="2443" spans="1:18" x14ac:dyDescent="0.35">
      <c r="A2443">
        <v>2442</v>
      </c>
      <c r="B2443" s="1">
        <v>45897</v>
      </c>
      <c r="C2443">
        <v>1376</v>
      </c>
      <c r="D2443" t="s">
        <v>22</v>
      </c>
      <c r="E2443" t="s">
        <v>23</v>
      </c>
      <c r="F2443" t="s">
        <v>34</v>
      </c>
      <c r="G2443">
        <v>5</v>
      </c>
      <c r="H2443">
        <v>0</v>
      </c>
      <c r="I2443" t="s">
        <v>18</v>
      </c>
      <c r="J2443" t="s">
        <v>37</v>
      </c>
      <c r="K2443" t="s">
        <v>20</v>
      </c>
      <c r="L2443">
        <v>8</v>
      </c>
      <c r="M2443">
        <v>1</v>
      </c>
      <c r="N2443">
        <v>1</v>
      </c>
      <c r="O2443" t="s">
        <v>21</v>
      </c>
      <c r="P2443" t="str">
        <f>TEXT(Table1[[#This Row],[order_date]],"yyyy-mm")</f>
        <v>2025-08</v>
      </c>
      <c r="Q2443">
        <f>WEEKNUM(Table1[[#This Row],[order_date]])</f>
        <v>35</v>
      </c>
      <c r="R2443">
        <f>IF(Table1[[#This Row],[order_status]]="completed",1,0)</f>
        <v>0</v>
      </c>
    </row>
    <row r="2444" spans="1:18" x14ac:dyDescent="0.35">
      <c r="A2444">
        <v>2443</v>
      </c>
      <c r="B2444" s="1">
        <v>45945</v>
      </c>
      <c r="C2444">
        <v>1485</v>
      </c>
      <c r="D2444" t="s">
        <v>32</v>
      </c>
      <c r="E2444" t="s">
        <v>33</v>
      </c>
      <c r="F2444" t="s">
        <v>17</v>
      </c>
      <c r="G2444">
        <v>5</v>
      </c>
      <c r="H2444">
        <v>0</v>
      </c>
      <c r="I2444" t="s">
        <v>39</v>
      </c>
      <c r="J2444" t="s">
        <v>31</v>
      </c>
      <c r="K2444" t="s">
        <v>20</v>
      </c>
      <c r="L2444">
        <v>10</v>
      </c>
      <c r="M2444">
        <v>0</v>
      </c>
      <c r="N2444">
        <v>1</v>
      </c>
      <c r="O2444" t="s">
        <v>21</v>
      </c>
      <c r="P2444" t="str">
        <f>TEXT(Table1[[#This Row],[order_date]],"yyyy-mm")</f>
        <v>2025-10</v>
      </c>
      <c r="Q2444">
        <f>WEEKNUM(Table1[[#This Row],[order_date]])</f>
        <v>42</v>
      </c>
      <c r="R2444">
        <f>IF(Table1[[#This Row],[order_status]]="completed",1,0)</f>
        <v>0</v>
      </c>
    </row>
    <row r="2445" spans="1:18" x14ac:dyDescent="0.35">
      <c r="A2445">
        <v>2444</v>
      </c>
      <c r="B2445" s="1">
        <v>45894</v>
      </c>
      <c r="C2445">
        <v>1942</v>
      </c>
      <c r="D2445" t="s">
        <v>28</v>
      </c>
      <c r="E2445" t="s">
        <v>33</v>
      </c>
      <c r="F2445" t="s">
        <v>30</v>
      </c>
      <c r="G2445">
        <v>1</v>
      </c>
      <c r="H2445">
        <v>1926</v>
      </c>
      <c r="I2445" t="s">
        <v>35</v>
      </c>
      <c r="J2445" t="s">
        <v>19</v>
      </c>
      <c r="K2445" t="s">
        <v>38</v>
      </c>
      <c r="L2445">
        <v>4</v>
      </c>
      <c r="M2445">
        <v>1</v>
      </c>
      <c r="N2445">
        <v>0</v>
      </c>
      <c r="O2445" t="s">
        <v>21</v>
      </c>
      <c r="P2445" t="str">
        <f>TEXT(Table1[[#This Row],[order_date]],"yyyy-mm")</f>
        <v>2025-08</v>
      </c>
      <c r="Q2445">
        <f>WEEKNUM(Table1[[#This Row],[order_date]])</f>
        <v>35</v>
      </c>
      <c r="R2445">
        <f>IF(Table1[[#This Row],[order_status]]="completed",1,0)</f>
        <v>1</v>
      </c>
    </row>
    <row r="2446" spans="1:18" x14ac:dyDescent="0.35">
      <c r="A2446">
        <v>2445</v>
      </c>
      <c r="B2446" s="1">
        <v>45924</v>
      </c>
      <c r="C2446">
        <v>1017</v>
      </c>
      <c r="D2446" t="s">
        <v>15</v>
      </c>
      <c r="E2446" t="s">
        <v>29</v>
      </c>
      <c r="F2446" t="s">
        <v>30</v>
      </c>
      <c r="G2446">
        <v>3</v>
      </c>
      <c r="H2446">
        <v>0</v>
      </c>
      <c r="I2446" t="s">
        <v>25</v>
      </c>
      <c r="J2446" t="s">
        <v>31</v>
      </c>
      <c r="K2446" t="s">
        <v>38</v>
      </c>
      <c r="L2446">
        <v>5</v>
      </c>
      <c r="M2446">
        <v>0</v>
      </c>
      <c r="N2446">
        <v>1</v>
      </c>
      <c r="O2446" t="s">
        <v>27</v>
      </c>
      <c r="P2446" t="str">
        <f>TEXT(Table1[[#This Row],[order_date]],"yyyy-mm")</f>
        <v>2025-09</v>
      </c>
      <c r="Q2446">
        <f>WEEKNUM(Table1[[#This Row],[order_date]])</f>
        <v>39</v>
      </c>
      <c r="R2446">
        <f>IF(Table1[[#This Row],[order_status]]="completed",1,0)</f>
        <v>0</v>
      </c>
    </row>
    <row r="2447" spans="1:18" x14ac:dyDescent="0.35">
      <c r="A2447">
        <v>2446</v>
      </c>
      <c r="B2447" s="1">
        <v>45954</v>
      </c>
      <c r="C2447">
        <v>1389</v>
      </c>
      <c r="D2447" t="s">
        <v>22</v>
      </c>
      <c r="E2447" t="s">
        <v>29</v>
      </c>
      <c r="F2447" t="s">
        <v>17</v>
      </c>
      <c r="G2447">
        <v>2</v>
      </c>
      <c r="H2447">
        <v>0</v>
      </c>
      <c r="I2447" t="s">
        <v>35</v>
      </c>
      <c r="J2447" t="s">
        <v>37</v>
      </c>
      <c r="K2447" t="s">
        <v>26</v>
      </c>
      <c r="L2447">
        <v>7</v>
      </c>
      <c r="M2447">
        <v>1</v>
      </c>
      <c r="N2447">
        <v>1</v>
      </c>
      <c r="O2447" t="s">
        <v>27</v>
      </c>
      <c r="P2447" t="str">
        <f>TEXT(Table1[[#This Row],[order_date]],"yyyy-mm")</f>
        <v>2025-10</v>
      </c>
      <c r="Q2447">
        <f>WEEKNUM(Table1[[#This Row],[order_date]])</f>
        <v>43</v>
      </c>
      <c r="R2447">
        <f>IF(Table1[[#This Row],[order_status]]="completed",1,0)</f>
        <v>0</v>
      </c>
    </row>
    <row r="2448" spans="1:18" x14ac:dyDescent="0.35">
      <c r="A2448">
        <v>2447</v>
      </c>
      <c r="B2448" s="1">
        <v>46023</v>
      </c>
      <c r="C2448">
        <v>1324</v>
      </c>
      <c r="D2448" t="s">
        <v>41</v>
      </c>
      <c r="E2448" t="s">
        <v>29</v>
      </c>
      <c r="F2448" t="s">
        <v>30</v>
      </c>
      <c r="G2448">
        <v>5</v>
      </c>
      <c r="H2448">
        <v>0</v>
      </c>
      <c r="I2448" t="s">
        <v>35</v>
      </c>
      <c r="J2448" t="s">
        <v>37</v>
      </c>
      <c r="K2448" t="s">
        <v>20</v>
      </c>
      <c r="L2448">
        <v>1</v>
      </c>
      <c r="M2448">
        <v>0</v>
      </c>
      <c r="N2448">
        <v>0</v>
      </c>
      <c r="O2448" t="s">
        <v>27</v>
      </c>
      <c r="P2448" t="str">
        <f>TEXT(Table1[[#This Row],[order_date]],"yyyy-mm")</f>
        <v>2026-01</v>
      </c>
      <c r="Q2448">
        <f>WEEKNUM(Table1[[#This Row],[order_date]])</f>
        <v>1</v>
      </c>
      <c r="R2448">
        <f>IF(Table1[[#This Row],[order_status]]="completed",1,0)</f>
        <v>0</v>
      </c>
    </row>
    <row r="2449" spans="1:18" x14ac:dyDescent="0.35">
      <c r="A2449">
        <v>2448</v>
      </c>
      <c r="B2449" s="1">
        <v>45923</v>
      </c>
      <c r="C2449">
        <v>1897</v>
      </c>
      <c r="D2449" t="s">
        <v>41</v>
      </c>
      <c r="E2449" t="s">
        <v>33</v>
      </c>
      <c r="F2449" t="s">
        <v>30</v>
      </c>
      <c r="G2449">
        <v>5</v>
      </c>
      <c r="H2449">
        <v>12825</v>
      </c>
      <c r="I2449" t="s">
        <v>18</v>
      </c>
      <c r="J2449" t="s">
        <v>19</v>
      </c>
      <c r="K2449" t="s">
        <v>26</v>
      </c>
      <c r="L2449">
        <v>7</v>
      </c>
      <c r="M2449">
        <v>0</v>
      </c>
      <c r="N2449">
        <v>0</v>
      </c>
      <c r="O2449" t="s">
        <v>21</v>
      </c>
      <c r="P2449" t="str">
        <f>TEXT(Table1[[#This Row],[order_date]],"yyyy-mm")</f>
        <v>2025-09</v>
      </c>
      <c r="Q2449">
        <f>WEEKNUM(Table1[[#This Row],[order_date]])</f>
        <v>39</v>
      </c>
      <c r="R2449">
        <f>IF(Table1[[#This Row],[order_status]]="completed",1,0)</f>
        <v>1</v>
      </c>
    </row>
    <row r="2450" spans="1:18" x14ac:dyDescent="0.35">
      <c r="A2450">
        <v>2449</v>
      </c>
      <c r="B2450" s="1">
        <v>45960</v>
      </c>
      <c r="C2450">
        <v>1562</v>
      </c>
      <c r="D2450" t="s">
        <v>28</v>
      </c>
      <c r="E2450" t="s">
        <v>36</v>
      </c>
      <c r="F2450" t="s">
        <v>34</v>
      </c>
      <c r="G2450">
        <v>1</v>
      </c>
      <c r="H2450">
        <v>4923</v>
      </c>
      <c r="I2450" t="s">
        <v>39</v>
      </c>
      <c r="J2450" t="s">
        <v>19</v>
      </c>
      <c r="K2450" t="s">
        <v>20</v>
      </c>
      <c r="L2450">
        <v>3</v>
      </c>
      <c r="M2450">
        <v>0</v>
      </c>
      <c r="N2450">
        <v>0</v>
      </c>
      <c r="O2450" t="s">
        <v>27</v>
      </c>
      <c r="P2450" t="str">
        <f>TEXT(Table1[[#This Row],[order_date]],"yyyy-mm")</f>
        <v>2025-10</v>
      </c>
      <c r="Q2450">
        <f>WEEKNUM(Table1[[#This Row],[order_date]])</f>
        <v>44</v>
      </c>
      <c r="R2450">
        <f>IF(Table1[[#This Row],[order_status]]="completed",1,0)</f>
        <v>1</v>
      </c>
    </row>
    <row r="2451" spans="1:18" x14ac:dyDescent="0.35">
      <c r="A2451">
        <v>2450</v>
      </c>
      <c r="B2451" s="1">
        <v>45955</v>
      </c>
      <c r="C2451">
        <v>1508</v>
      </c>
      <c r="D2451" t="s">
        <v>22</v>
      </c>
      <c r="E2451" t="s">
        <v>36</v>
      </c>
      <c r="F2451" t="s">
        <v>17</v>
      </c>
      <c r="G2451">
        <v>1</v>
      </c>
      <c r="H2451">
        <v>0</v>
      </c>
      <c r="I2451" t="s">
        <v>18</v>
      </c>
      <c r="J2451" t="s">
        <v>37</v>
      </c>
      <c r="K2451" t="s">
        <v>26</v>
      </c>
      <c r="L2451">
        <v>10</v>
      </c>
      <c r="M2451">
        <v>1</v>
      </c>
      <c r="N2451">
        <v>0</v>
      </c>
      <c r="O2451" t="s">
        <v>27</v>
      </c>
      <c r="P2451" t="str">
        <f>TEXT(Table1[[#This Row],[order_date]],"yyyy-mm")</f>
        <v>2025-10</v>
      </c>
      <c r="Q2451">
        <f>WEEKNUM(Table1[[#This Row],[order_date]])</f>
        <v>43</v>
      </c>
      <c r="R2451">
        <f>IF(Table1[[#This Row],[order_status]]="completed",1,0)</f>
        <v>0</v>
      </c>
    </row>
    <row r="2452" spans="1:18" x14ac:dyDescent="0.35">
      <c r="A2452">
        <v>2451</v>
      </c>
      <c r="B2452" s="1">
        <v>45949</v>
      </c>
      <c r="C2452">
        <v>1174</v>
      </c>
      <c r="D2452" t="s">
        <v>32</v>
      </c>
      <c r="E2452" t="s">
        <v>36</v>
      </c>
      <c r="F2452" t="s">
        <v>17</v>
      </c>
      <c r="G2452">
        <v>2</v>
      </c>
      <c r="H2452">
        <v>7254</v>
      </c>
      <c r="I2452" t="s">
        <v>35</v>
      </c>
      <c r="J2452" t="s">
        <v>19</v>
      </c>
      <c r="K2452" t="s">
        <v>38</v>
      </c>
      <c r="L2452">
        <v>9</v>
      </c>
      <c r="M2452">
        <v>0</v>
      </c>
      <c r="N2452">
        <v>0</v>
      </c>
      <c r="O2452" t="s">
        <v>21</v>
      </c>
      <c r="P2452" t="str">
        <f>TEXT(Table1[[#This Row],[order_date]],"yyyy-mm")</f>
        <v>2025-10</v>
      </c>
      <c r="Q2452">
        <f>WEEKNUM(Table1[[#This Row],[order_date]])</f>
        <v>43</v>
      </c>
      <c r="R2452">
        <f>IF(Table1[[#This Row],[order_status]]="completed",1,0)</f>
        <v>1</v>
      </c>
    </row>
    <row r="2453" spans="1:18" x14ac:dyDescent="0.35">
      <c r="A2453">
        <v>2452</v>
      </c>
      <c r="B2453" s="1">
        <v>45961</v>
      </c>
      <c r="C2453">
        <v>1902</v>
      </c>
      <c r="D2453" t="s">
        <v>22</v>
      </c>
      <c r="E2453" t="s">
        <v>16</v>
      </c>
      <c r="F2453" t="s">
        <v>30</v>
      </c>
      <c r="G2453">
        <v>3</v>
      </c>
      <c r="H2453">
        <v>0</v>
      </c>
      <c r="I2453" t="s">
        <v>18</v>
      </c>
      <c r="J2453" t="s">
        <v>31</v>
      </c>
      <c r="K2453" t="s">
        <v>38</v>
      </c>
      <c r="L2453">
        <v>6</v>
      </c>
      <c r="M2453">
        <v>1</v>
      </c>
      <c r="N2453">
        <v>0</v>
      </c>
      <c r="O2453" t="s">
        <v>21</v>
      </c>
      <c r="P2453" t="str">
        <f>TEXT(Table1[[#This Row],[order_date]],"yyyy-mm")</f>
        <v>2025-10</v>
      </c>
      <c r="Q2453">
        <f>WEEKNUM(Table1[[#This Row],[order_date]])</f>
        <v>44</v>
      </c>
      <c r="R2453">
        <f>IF(Table1[[#This Row],[order_status]]="completed",1,0)</f>
        <v>0</v>
      </c>
    </row>
    <row r="2454" spans="1:18" x14ac:dyDescent="0.35">
      <c r="A2454">
        <v>2453</v>
      </c>
      <c r="B2454" s="1">
        <v>45894</v>
      </c>
      <c r="C2454">
        <v>1147</v>
      </c>
      <c r="D2454" t="s">
        <v>41</v>
      </c>
      <c r="E2454" t="s">
        <v>23</v>
      </c>
      <c r="F2454" t="s">
        <v>30</v>
      </c>
      <c r="G2454">
        <v>4</v>
      </c>
      <c r="H2454">
        <v>0</v>
      </c>
      <c r="I2454" t="s">
        <v>39</v>
      </c>
      <c r="J2454" t="s">
        <v>31</v>
      </c>
      <c r="K2454" t="s">
        <v>20</v>
      </c>
      <c r="L2454">
        <v>4</v>
      </c>
      <c r="M2454">
        <v>0</v>
      </c>
      <c r="N2454">
        <v>1</v>
      </c>
      <c r="O2454" t="s">
        <v>21</v>
      </c>
      <c r="P2454" t="str">
        <f>TEXT(Table1[[#This Row],[order_date]],"yyyy-mm")</f>
        <v>2025-08</v>
      </c>
      <c r="Q2454">
        <f>WEEKNUM(Table1[[#This Row],[order_date]])</f>
        <v>35</v>
      </c>
      <c r="R2454">
        <f>IF(Table1[[#This Row],[order_status]]="completed",1,0)</f>
        <v>0</v>
      </c>
    </row>
    <row r="2455" spans="1:18" x14ac:dyDescent="0.35">
      <c r="A2455">
        <v>2454</v>
      </c>
      <c r="B2455" s="1">
        <v>45979</v>
      </c>
      <c r="C2455">
        <v>1419</v>
      </c>
      <c r="D2455" t="s">
        <v>15</v>
      </c>
      <c r="E2455" t="s">
        <v>36</v>
      </c>
      <c r="F2455" t="s">
        <v>34</v>
      </c>
      <c r="G2455">
        <v>4</v>
      </c>
      <c r="H2455">
        <v>8252</v>
      </c>
      <c r="I2455" t="s">
        <v>18</v>
      </c>
      <c r="J2455" t="s">
        <v>19</v>
      </c>
      <c r="K2455" t="s">
        <v>20</v>
      </c>
      <c r="L2455">
        <v>7</v>
      </c>
      <c r="M2455">
        <v>1</v>
      </c>
      <c r="N2455">
        <v>0</v>
      </c>
      <c r="O2455" t="s">
        <v>27</v>
      </c>
      <c r="P2455" t="str">
        <f>TEXT(Table1[[#This Row],[order_date]],"yyyy-mm")</f>
        <v>2025-11</v>
      </c>
      <c r="Q2455">
        <f>WEEKNUM(Table1[[#This Row],[order_date]])</f>
        <v>47</v>
      </c>
      <c r="R2455">
        <f>IF(Table1[[#This Row],[order_status]]="completed",1,0)</f>
        <v>1</v>
      </c>
    </row>
    <row r="2456" spans="1:18" x14ac:dyDescent="0.35">
      <c r="A2456">
        <v>2455</v>
      </c>
      <c r="B2456" s="1">
        <v>45957</v>
      </c>
      <c r="C2456">
        <v>1075</v>
      </c>
      <c r="D2456" t="s">
        <v>28</v>
      </c>
      <c r="E2456" t="s">
        <v>33</v>
      </c>
      <c r="F2456" t="s">
        <v>34</v>
      </c>
      <c r="G2456">
        <v>1</v>
      </c>
      <c r="H2456">
        <v>4001</v>
      </c>
      <c r="I2456" t="s">
        <v>35</v>
      </c>
      <c r="J2456" t="s">
        <v>19</v>
      </c>
      <c r="K2456" t="s">
        <v>26</v>
      </c>
      <c r="L2456">
        <v>7</v>
      </c>
      <c r="M2456">
        <v>1</v>
      </c>
      <c r="N2456">
        <v>1</v>
      </c>
      <c r="O2456" t="s">
        <v>27</v>
      </c>
      <c r="P2456" t="str">
        <f>TEXT(Table1[[#This Row],[order_date]],"yyyy-mm")</f>
        <v>2025-10</v>
      </c>
      <c r="Q2456">
        <f>WEEKNUM(Table1[[#This Row],[order_date]])</f>
        <v>44</v>
      </c>
      <c r="R2456">
        <f>IF(Table1[[#This Row],[order_status]]="completed",1,0)</f>
        <v>1</v>
      </c>
    </row>
    <row r="2457" spans="1:18" x14ac:dyDescent="0.35">
      <c r="A2457">
        <v>2456</v>
      </c>
      <c r="B2457" s="1">
        <v>45993</v>
      </c>
      <c r="C2457">
        <v>1913</v>
      </c>
      <c r="D2457" t="s">
        <v>41</v>
      </c>
      <c r="E2457" t="s">
        <v>33</v>
      </c>
      <c r="F2457" t="s">
        <v>34</v>
      </c>
      <c r="G2457">
        <v>2</v>
      </c>
      <c r="H2457">
        <v>3476</v>
      </c>
      <c r="I2457" t="s">
        <v>39</v>
      </c>
      <c r="J2457" t="s">
        <v>19</v>
      </c>
      <c r="K2457" t="s">
        <v>40</v>
      </c>
      <c r="L2457">
        <v>6</v>
      </c>
      <c r="M2457">
        <v>0</v>
      </c>
      <c r="N2457">
        <v>1</v>
      </c>
      <c r="O2457" t="s">
        <v>21</v>
      </c>
      <c r="P2457" t="str">
        <f>TEXT(Table1[[#This Row],[order_date]],"yyyy-mm")</f>
        <v>2025-12</v>
      </c>
      <c r="Q2457">
        <f>WEEKNUM(Table1[[#This Row],[order_date]])</f>
        <v>49</v>
      </c>
      <c r="R2457">
        <f>IF(Table1[[#This Row],[order_status]]="completed",1,0)</f>
        <v>1</v>
      </c>
    </row>
    <row r="2458" spans="1:18" x14ac:dyDescent="0.35">
      <c r="A2458">
        <v>2457</v>
      </c>
      <c r="B2458" s="1">
        <v>45960</v>
      </c>
      <c r="C2458">
        <v>1439</v>
      </c>
      <c r="D2458" t="s">
        <v>22</v>
      </c>
      <c r="E2458" t="s">
        <v>16</v>
      </c>
      <c r="F2458" t="s">
        <v>17</v>
      </c>
      <c r="G2458">
        <v>2</v>
      </c>
      <c r="H2458">
        <v>0</v>
      </c>
      <c r="I2458" t="s">
        <v>39</v>
      </c>
      <c r="J2458" t="s">
        <v>31</v>
      </c>
      <c r="K2458" t="s">
        <v>26</v>
      </c>
      <c r="L2458">
        <v>4</v>
      </c>
      <c r="M2458">
        <v>0</v>
      </c>
      <c r="N2458">
        <v>1</v>
      </c>
      <c r="O2458" t="s">
        <v>27</v>
      </c>
      <c r="P2458" t="str">
        <f>TEXT(Table1[[#This Row],[order_date]],"yyyy-mm")</f>
        <v>2025-10</v>
      </c>
      <c r="Q2458">
        <f>WEEKNUM(Table1[[#This Row],[order_date]])</f>
        <v>44</v>
      </c>
      <c r="R2458">
        <f>IF(Table1[[#This Row],[order_status]]="completed",1,0)</f>
        <v>0</v>
      </c>
    </row>
    <row r="2459" spans="1:18" x14ac:dyDescent="0.35">
      <c r="A2459">
        <v>2458</v>
      </c>
      <c r="B2459" s="1">
        <v>45915</v>
      </c>
      <c r="C2459">
        <v>1862</v>
      </c>
      <c r="D2459" t="s">
        <v>41</v>
      </c>
      <c r="E2459" t="s">
        <v>29</v>
      </c>
      <c r="F2459" t="s">
        <v>34</v>
      </c>
      <c r="G2459">
        <v>2</v>
      </c>
      <c r="H2459">
        <v>3336</v>
      </c>
      <c r="I2459" t="s">
        <v>35</v>
      </c>
      <c r="J2459" t="s">
        <v>19</v>
      </c>
      <c r="K2459" t="s">
        <v>38</v>
      </c>
      <c r="L2459">
        <v>10</v>
      </c>
      <c r="M2459">
        <v>1</v>
      </c>
      <c r="N2459">
        <v>0</v>
      </c>
      <c r="O2459" t="s">
        <v>21</v>
      </c>
      <c r="P2459" t="str">
        <f>TEXT(Table1[[#This Row],[order_date]],"yyyy-mm")</f>
        <v>2025-09</v>
      </c>
      <c r="Q2459">
        <f>WEEKNUM(Table1[[#This Row],[order_date]])</f>
        <v>38</v>
      </c>
      <c r="R2459">
        <f>IF(Table1[[#This Row],[order_status]]="completed",1,0)</f>
        <v>1</v>
      </c>
    </row>
    <row r="2460" spans="1:18" x14ac:dyDescent="0.35">
      <c r="A2460">
        <v>2459</v>
      </c>
      <c r="B2460" s="1">
        <v>45899</v>
      </c>
      <c r="C2460">
        <v>1505</v>
      </c>
      <c r="D2460" t="s">
        <v>22</v>
      </c>
      <c r="E2460" t="s">
        <v>29</v>
      </c>
      <c r="F2460" t="s">
        <v>17</v>
      </c>
      <c r="G2460">
        <v>5</v>
      </c>
      <c r="H2460">
        <v>0</v>
      </c>
      <c r="I2460" t="s">
        <v>35</v>
      </c>
      <c r="J2460" t="s">
        <v>37</v>
      </c>
      <c r="K2460" t="s">
        <v>40</v>
      </c>
      <c r="L2460">
        <v>9</v>
      </c>
      <c r="M2460">
        <v>0</v>
      </c>
      <c r="N2460">
        <v>0</v>
      </c>
      <c r="O2460" t="s">
        <v>21</v>
      </c>
      <c r="P2460" t="str">
        <f>TEXT(Table1[[#This Row],[order_date]],"yyyy-mm")</f>
        <v>2025-08</v>
      </c>
      <c r="Q2460">
        <f>WEEKNUM(Table1[[#This Row],[order_date]])</f>
        <v>35</v>
      </c>
      <c r="R2460">
        <f>IF(Table1[[#This Row],[order_status]]="completed",1,0)</f>
        <v>0</v>
      </c>
    </row>
    <row r="2461" spans="1:18" x14ac:dyDescent="0.35">
      <c r="A2461">
        <v>2460</v>
      </c>
      <c r="B2461" s="1">
        <v>45978</v>
      </c>
      <c r="C2461">
        <v>1376</v>
      </c>
      <c r="D2461" t="s">
        <v>32</v>
      </c>
      <c r="E2461" t="s">
        <v>36</v>
      </c>
      <c r="F2461" t="s">
        <v>24</v>
      </c>
      <c r="G2461">
        <v>5</v>
      </c>
      <c r="H2461">
        <v>2435</v>
      </c>
      <c r="I2461" t="s">
        <v>39</v>
      </c>
      <c r="J2461" t="s">
        <v>19</v>
      </c>
      <c r="K2461" t="s">
        <v>40</v>
      </c>
      <c r="L2461">
        <v>5</v>
      </c>
      <c r="M2461">
        <v>0</v>
      </c>
      <c r="N2461">
        <v>1</v>
      </c>
      <c r="O2461" t="s">
        <v>27</v>
      </c>
      <c r="P2461" t="str">
        <f>TEXT(Table1[[#This Row],[order_date]],"yyyy-mm")</f>
        <v>2025-11</v>
      </c>
      <c r="Q2461">
        <f>WEEKNUM(Table1[[#This Row],[order_date]])</f>
        <v>47</v>
      </c>
      <c r="R2461">
        <f>IF(Table1[[#This Row],[order_status]]="completed",1,0)</f>
        <v>1</v>
      </c>
    </row>
    <row r="2462" spans="1:18" x14ac:dyDescent="0.35">
      <c r="A2462">
        <v>2461</v>
      </c>
      <c r="B2462" s="1">
        <v>46014</v>
      </c>
      <c r="C2462">
        <v>1074</v>
      </c>
      <c r="D2462" t="s">
        <v>41</v>
      </c>
      <c r="E2462" t="s">
        <v>16</v>
      </c>
      <c r="F2462" t="s">
        <v>17</v>
      </c>
      <c r="G2462">
        <v>3</v>
      </c>
      <c r="H2462">
        <v>0</v>
      </c>
      <c r="I2462" t="s">
        <v>18</v>
      </c>
      <c r="J2462" t="s">
        <v>31</v>
      </c>
      <c r="K2462" t="s">
        <v>26</v>
      </c>
      <c r="L2462">
        <v>5</v>
      </c>
      <c r="M2462">
        <v>1</v>
      </c>
      <c r="N2462">
        <v>1</v>
      </c>
      <c r="O2462" t="s">
        <v>27</v>
      </c>
      <c r="P2462" t="str">
        <f>TEXT(Table1[[#This Row],[order_date]],"yyyy-mm")</f>
        <v>2025-12</v>
      </c>
      <c r="Q2462">
        <f>WEEKNUM(Table1[[#This Row],[order_date]])</f>
        <v>52</v>
      </c>
      <c r="R2462">
        <f>IF(Table1[[#This Row],[order_status]]="completed",1,0)</f>
        <v>0</v>
      </c>
    </row>
    <row r="2463" spans="1:18" x14ac:dyDescent="0.35">
      <c r="A2463">
        <v>2462</v>
      </c>
      <c r="B2463" s="1">
        <v>45935</v>
      </c>
      <c r="C2463">
        <v>1174</v>
      </c>
      <c r="D2463" t="s">
        <v>28</v>
      </c>
      <c r="E2463" t="s">
        <v>29</v>
      </c>
      <c r="F2463" t="s">
        <v>30</v>
      </c>
      <c r="G2463">
        <v>3</v>
      </c>
      <c r="H2463">
        <v>0</v>
      </c>
      <c r="I2463" t="s">
        <v>18</v>
      </c>
      <c r="J2463" t="s">
        <v>37</v>
      </c>
      <c r="K2463" t="s">
        <v>26</v>
      </c>
      <c r="L2463">
        <v>5</v>
      </c>
      <c r="M2463">
        <v>0</v>
      </c>
      <c r="N2463">
        <v>1</v>
      </c>
      <c r="O2463" t="s">
        <v>27</v>
      </c>
      <c r="P2463" t="str">
        <f>TEXT(Table1[[#This Row],[order_date]],"yyyy-mm")</f>
        <v>2025-10</v>
      </c>
      <c r="Q2463">
        <f>WEEKNUM(Table1[[#This Row],[order_date]])</f>
        <v>41</v>
      </c>
      <c r="R2463">
        <f>IF(Table1[[#This Row],[order_status]]="completed",1,0)</f>
        <v>0</v>
      </c>
    </row>
    <row r="2464" spans="1:18" x14ac:dyDescent="0.35">
      <c r="A2464">
        <v>2463</v>
      </c>
      <c r="B2464" s="1">
        <v>45884</v>
      </c>
      <c r="C2464">
        <v>1271</v>
      </c>
      <c r="D2464" t="s">
        <v>32</v>
      </c>
      <c r="E2464" t="s">
        <v>16</v>
      </c>
      <c r="F2464" t="s">
        <v>34</v>
      </c>
      <c r="G2464">
        <v>4</v>
      </c>
      <c r="H2464">
        <v>11104</v>
      </c>
      <c r="I2464" t="s">
        <v>39</v>
      </c>
      <c r="J2464" t="s">
        <v>19</v>
      </c>
      <c r="K2464" t="s">
        <v>26</v>
      </c>
      <c r="L2464">
        <v>5</v>
      </c>
      <c r="M2464">
        <v>0</v>
      </c>
      <c r="N2464">
        <v>1</v>
      </c>
      <c r="O2464" t="s">
        <v>27</v>
      </c>
      <c r="P2464" t="str">
        <f>TEXT(Table1[[#This Row],[order_date]],"yyyy-mm")</f>
        <v>2025-08</v>
      </c>
      <c r="Q2464">
        <f>WEEKNUM(Table1[[#This Row],[order_date]])</f>
        <v>33</v>
      </c>
      <c r="R2464">
        <f>IF(Table1[[#This Row],[order_status]]="completed",1,0)</f>
        <v>1</v>
      </c>
    </row>
    <row r="2465" spans="1:18" x14ac:dyDescent="0.35">
      <c r="A2465">
        <v>2464</v>
      </c>
      <c r="B2465" s="1">
        <v>45972</v>
      </c>
      <c r="C2465">
        <v>1525</v>
      </c>
      <c r="D2465" t="s">
        <v>22</v>
      </c>
      <c r="E2465" t="s">
        <v>29</v>
      </c>
      <c r="F2465" t="s">
        <v>17</v>
      </c>
      <c r="G2465">
        <v>5</v>
      </c>
      <c r="H2465">
        <v>4885</v>
      </c>
      <c r="I2465" t="s">
        <v>35</v>
      </c>
      <c r="J2465" t="s">
        <v>19</v>
      </c>
      <c r="K2465" t="s">
        <v>20</v>
      </c>
      <c r="L2465">
        <v>7</v>
      </c>
      <c r="M2465">
        <v>0</v>
      </c>
      <c r="N2465">
        <v>0</v>
      </c>
      <c r="O2465" t="s">
        <v>21</v>
      </c>
      <c r="P2465" t="str">
        <f>TEXT(Table1[[#This Row],[order_date]],"yyyy-mm")</f>
        <v>2025-11</v>
      </c>
      <c r="Q2465">
        <f>WEEKNUM(Table1[[#This Row],[order_date]])</f>
        <v>46</v>
      </c>
      <c r="R2465">
        <f>IF(Table1[[#This Row],[order_status]]="completed",1,0)</f>
        <v>1</v>
      </c>
    </row>
    <row r="2466" spans="1:18" x14ac:dyDescent="0.35">
      <c r="A2466">
        <v>2465</v>
      </c>
      <c r="B2466" s="1">
        <v>45889</v>
      </c>
      <c r="C2466">
        <v>1716</v>
      </c>
      <c r="D2466" t="s">
        <v>41</v>
      </c>
      <c r="E2466" t="s">
        <v>23</v>
      </c>
      <c r="F2466" t="s">
        <v>30</v>
      </c>
      <c r="G2466">
        <v>3</v>
      </c>
      <c r="H2466">
        <v>4848</v>
      </c>
      <c r="I2466" t="s">
        <v>25</v>
      </c>
      <c r="J2466" t="s">
        <v>19</v>
      </c>
      <c r="K2466" t="s">
        <v>20</v>
      </c>
      <c r="L2466">
        <v>9</v>
      </c>
      <c r="M2466">
        <v>1</v>
      </c>
      <c r="N2466">
        <v>0</v>
      </c>
      <c r="O2466" t="s">
        <v>21</v>
      </c>
      <c r="P2466" t="str">
        <f>TEXT(Table1[[#This Row],[order_date]],"yyyy-mm")</f>
        <v>2025-08</v>
      </c>
      <c r="Q2466">
        <f>WEEKNUM(Table1[[#This Row],[order_date]])</f>
        <v>34</v>
      </c>
      <c r="R2466">
        <f>IF(Table1[[#This Row],[order_status]]="completed",1,0)</f>
        <v>1</v>
      </c>
    </row>
    <row r="2467" spans="1:18" x14ac:dyDescent="0.35">
      <c r="A2467">
        <v>2466</v>
      </c>
      <c r="B2467" s="1">
        <v>45991</v>
      </c>
      <c r="C2467">
        <v>1605</v>
      </c>
      <c r="D2467" t="s">
        <v>22</v>
      </c>
      <c r="E2467" t="s">
        <v>16</v>
      </c>
      <c r="F2467" t="s">
        <v>24</v>
      </c>
      <c r="G2467">
        <v>4</v>
      </c>
      <c r="H2467">
        <v>0</v>
      </c>
      <c r="I2467" t="s">
        <v>25</v>
      </c>
      <c r="J2467" t="s">
        <v>31</v>
      </c>
      <c r="K2467" t="s">
        <v>20</v>
      </c>
      <c r="L2467">
        <v>10</v>
      </c>
      <c r="M2467">
        <v>0</v>
      </c>
      <c r="N2467">
        <v>1</v>
      </c>
      <c r="O2467" t="s">
        <v>21</v>
      </c>
      <c r="P2467" t="str">
        <f>TEXT(Table1[[#This Row],[order_date]],"yyyy-mm")</f>
        <v>2025-11</v>
      </c>
      <c r="Q2467">
        <f>WEEKNUM(Table1[[#This Row],[order_date]])</f>
        <v>49</v>
      </c>
      <c r="R2467">
        <f>IF(Table1[[#This Row],[order_status]]="completed",1,0)</f>
        <v>0</v>
      </c>
    </row>
    <row r="2468" spans="1:18" x14ac:dyDescent="0.35">
      <c r="A2468">
        <v>2467</v>
      </c>
      <c r="B2468" s="1">
        <v>45953</v>
      </c>
      <c r="C2468">
        <v>1038</v>
      </c>
      <c r="D2468" t="s">
        <v>28</v>
      </c>
      <c r="E2468" t="s">
        <v>23</v>
      </c>
      <c r="F2468" t="s">
        <v>30</v>
      </c>
      <c r="G2468">
        <v>3</v>
      </c>
      <c r="H2468">
        <v>0</v>
      </c>
      <c r="I2468" t="s">
        <v>18</v>
      </c>
      <c r="J2468" t="s">
        <v>31</v>
      </c>
      <c r="K2468" t="s">
        <v>26</v>
      </c>
      <c r="L2468">
        <v>8</v>
      </c>
      <c r="M2468">
        <v>0</v>
      </c>
      <c r="N2468">
        <v>0</v>
      </c>
      <c r="O2468" t="s">
        <v>21</v>
      </c>
      <c r="P2468" t="str">
        <f>TEXT(Table1[[#This Row],[order_date]],"yyyy-mm")</f>
        <v>2025-10</v>
      </c>
      <c r="Q2468">
        <f>WEEKNUM(Table1[[#This Row],[order_date]])</f>
        <v>43</v>
      </c>
      <c r="R2468">
        <f>IF(Table1[[#This Row],[order_status]]="completed",1,0)</f>
        <v>0</v>
      </c>
    </row>
    <row r="2469" spans="1:18" x14ac:dyDescent="0.35">
      <c r="A2469">
        <v>2468</v>
      </c>
      <c r="B2469" s="1">
        <v>45956</v>
      </c>
      <c r="C2469">
        <v>1887</v>
      </c>
      <c r="D2469" t="s">
        <v>32</v>
      </c>
      <c r="E2469" t="s">
        <v>33</v>
      </c>
      <c r="F2469" t="s">
        <v>30</v>
      </c>
      <c r="G2469">
        <v>2</v>
      </c>
      <c r="H2469">
        <v>0</v>
      </c>
      <c r="I2469" t="s">
        <v>18</v>
      </c>
      <c r="J2469" t="s">
        <v>31</v>
      </c>
      <c r="K2469" t="s">
        <v>38</v>
      </c>
      <c r="L2469">
        <v>1</v>
      </c>
      <c r="M2469">
        <v>0</v>
      </c>
      <c r="N2469">
        <v>1</v>
      </c>
      <c r="O2469" t="s">
        <v>21</v>
      </c>
      <c r="P2469" t="str">
        <f>TEXT(Table1[[#This Row],[order_date]],"yyyy-mm")</f>
        <v>2025-10</v>
      </c>
      <c r="Q2469">
        <f>WEEKNUM(Table1[[#This Row],[order_date]])</f>
        <v>44</v>
      </c>
      <c r="R2469">
        <f>IF(Table1[[#This Row],[order_status]]="completed",1,0)</f>
        <v>0</v>
      </c>
    </row>
    <row r="2470" spans="1:18" x14ac:dyDescent="0.35">
      <c r="A2470">
        <v>2469</v>
      </c>
      <c r="B2470" s="1">
        <v>45933</v>
      </c>
      <c r="C2470">
        <v>1961</v>
      </c>
      <c r="D2470" t="s">
        <v>28</v>
      </c>
      <c r="E2470" t="s">
        <v>29</v>
      </c>
      <c r="F2470" t="s">
        <v>30</v>
      </c>
      <c r="G2470">
        <v>5</v>
      </c>
      <c r="H2470">
        <v>0</v>
      </c>
      <c r="I2470" t="s">
        <v>35</v>
      </c>
      <c r="J2470" t="s">
        <v>37</v>
      </c>
      <c r="K2470" t="s">
        <v>40</v>
      </c>
      <c r="L2470">
        <v>4</v>
      </c>
      <c r="M2470">
        <v>0</v>
      </c>
      <c r="N2470">
        <v>1</v>
      </c>
      <c r="O2470" t="s">
        <v>27</v>
      </c>
      <c r="P2470" t="str">
        <f>TEXT(Table1[[#This Row],[order_date]],"yyyy-mm")</f>
        <v>2025-10</v>
      </c>
      <c r="Q2470">
        <f>WEEKNUM(Table1[[#This Row],[order_date]])</f>
        <v>40</v>
      </c>
      <c r="R2470">
        <f>IF(Table1[[#This Row],[order_status]]="completed",1,0)</f>
        <v>0</v>
      </c>
    </row>
    <row r="2471" spans="1:18" x14ac:dyDescent="0.35">
      <c r="A2471">
        <v>2470</v>
      </c>
      <c r="B2471" s="1">
        <v>45911</v>
      </c>
      <c r="C2471">
        <v>1858</v>
      </c>
      <c r="D2471" t="s">
        <v>22</v>
      </c>
      <c r="E2471" t="s">
        <v>33</v>
      </c>
      <c r="F2471" t="s">
        <v>30</v>
      </c>
      <c r="G2471">
        <v>5</v>
      </c>
      <c r="H2471">
        <v>0</v>
      </c>
      <c r="I2471" t="s">
        <v>25</v>
      </c>
      <c r="J2471" t="s">
        <v>37</v>
      </c>
      <c r="K2471" t="s">
        <v>26</v>
      </c>
      <c r="L2471">
        <v>9</v>
      </c>
      <c r="M2471">
        <v>1</v>
      </c>
      <c r="N2471">
        <v>1</v>
      </c>
      <c r="O2471" t="s">
        <v>27</v>
      </c>
      <c r="P2471" t="str">
        <f>TEXT(Table1[[#This Row],[order_date]],"yyyy-mm")</f>
        <v>2025-09</v>
      </c>
      <c r="Q2471">
        <f>WEEKNUM(Table1[[#This Row],[order_date]])</f>
        <v>37</v>
      </c>
      <c r="R2471">
        <f>IF(Table1[[#This Row],[order_status]]="completed",1,0)</f>
        <v>0</v>
      </c>
    </row>
    <row r="2472" spans="1:18" x14ac:dyDescent="0.35">
      <c r="A2472">
        <v>2471</v>
      </c>
      <c r="B2472" s="1">
        <v>46016</v>
      </c>
      <c r="C2472">
        <v>1089</v>
      </c>
      <c r="D2472" t="s">
        <v>28</v>
      </c>
      <c r="E2472" t="s">
        <v>16</v>
      </c>
      <c r="F2472" t="s">
        <v>30</v>
      </c>
      <c r="G2472">
        <v>4</v>
      </c>
      <c r="H2472">
        <v>3448</v>
      </c>
      <c r="I2472" t="s">
        <v>39</v>
      </c>
      <c r="J2472" t="s">
        <v>19</v>
      </c>
      <c r="K2472" t="s">
        <v>38</v>
      </c>
      <c r="L2472">
        <v>5</v>
      </c>
      <c r="M2472">
        <v>1</v>
      </c>
      <c r="N2472">
        <v>1</v>
      </c>
      <c r="O2472" t="s">
        <v>21</v>
      </c>
      <c r="P2472" t="str">
        <f>TEXT(Table1[[#This Row],[order_date]],"yyyy-mm")</f>
        <v>2025-12</v>
      </c>
      <c r="Q2472">
        <f>WEEKNUM(Table1[[#This Row],[order_date]])</f>
        <v>52</v>
      </c>
      <c r="R2472">
        <f>IF(Table1[[#This Row],[order_status]]="completed",1,0)</f>
        <v>1</v>
      </c>
    </row>
    <row r="2473" spans="1:18" x14ac:dyDescent="0.35">
      <c r="A2473">
        <v>2472</v>
      </c>
      <c r="B2473" s="1">
        <v>45919</v>
      </c>
      <c r="C2473">
        <v>1007</v>
      </c>
      <c r="D2473" t="s">
        <v>28</v>
      </c>
      <c r="E2473" t="s">
        <v>33</v>
      </c>
      <c r="F2473" t="s">
        <v>34</v>
      </c>
      <c r="G2473">
        <v>3</v>
      </c>
      <c r="H2473">
        <v>0</v>
      </c>
      <c r="I2473" t="s">
        <v>25</v>
      </c>
      <c r="J2473" t="s">
        <v>37</v>
      </c>
      <c r="K2473" t="s">
        <v>20</v>
      </c>
      <c r="L2473">
        <v>5</v>
      </c>
      <c r="M2473">
        <v>0</v>
      </c>
      <c r="N2473">
        <v>1</v>
      </c>
      <c r="O2473" t="s">
        <v>27</v>
      </c>
      <c r="P2473" t="str">
        <f>TEXT(Table1[[#This Row],[order_date]],"yyyy-mm")</f>
        <v>2025-09</v>
      </c>
      <c r="Q2473">
        <f>WEEKNUM(Table1[[#This Row],[order_date]])</f>
        <v>38</v>
      </c>
      <c r="R2473">
        <f>IF(Table1[[#This Row],[order_status]]="completed",1,0)</f>
        <v>0</v>
      </c>
    </row>
    <row r="2474" spans="1:18" x14ac:dyDescent="0.35">
      <c r="A2474">
        <v>2473</v>
      </c>
      <c r="B2474" s="1">
        <v>45896</v>
      </c>
      <c r="C2474">
        <v>1403</v>
      </c>
      <c r="D2474" t="s">
        <v>22</v>
      </c>
      <c r="E2474" t="s">
        <v>29</v>
      </c>
      <c r="F2474" t="s">
        <v>17</v>
      </c>
      <c r="G2474">
        <v>4</v>
      </c>
      <c r="H2474">
        <v>0</v>
      </c>
      <c r="I2474" t="s">
        <v>35</v>
      </c>
      <c r="J2474" t="s">
        <v>31</v>
      </c>
      <c r="K2474" t="s">
        <v>40</v>
      </c>
      <c r="L2474">
        <v>6</v>
      </c>
      <c r="M2474">
        <v>1</v>
      </c>
      <c r="N2474">
        <v>1</v>
      </c>
      <c r="O2474" t="s">
        <v>27</v>
      </c>
      <c r="P2474" t="str">
        <f>TEXT(Table1[[#This Row],[order_date]],"yyyy-mm")</f>
        <v>2025-08</v>
      </c>
      <c r="Q2474">
        <f>WEEKNUM(Table1[[#This Row],[order_date]])</f>
        <v>35</v>
      </c>
      <c r="R2474">
        <f>IF(Table1[[#This Row],[order_status]]="completed",1,0)</f>
        <v>0</v>
      </c>
    </row>
    <row r="2475" spans="1:18" x14ac:dyDescent="0.35">
      <c r="A2475">
        <v>2474</v>
      </c>
      <c r="B2475" s="1">
        <v>46008</v>
      </c>
      <c r="C2475">
        <v>1053</v>
      </c>
      <c r="D2475" t="s">
        <v>15</v>
      </c>
      <c r="E2475" t="s">
        <v>33</v>
      </c>
      <c r="F2475" t="s">
        <v>17</v>
      </c>
      <c r="G2475">
        <v>5</v>
      </c>
      <c r="H2475">
        <v>0</v>
      </c>
      <c r="I2475" t="s">
        <v>35</v>
      </c>
      <c r="J2475" t="s">
        <v>31</v>
      </c>
      <c r="K2475" t="s">
        <v>40</v>
      </c>
      <c r="L2475">
        <v>5</v>
      </c>
      <c r="M2475">
        <v>1</v>
      </c>
      <c r="N2475">
        <v>1</v>
      </c>
      <c r="O2475" t="s">
        <v>27</v>
      </c>
      <c r="P2475" t="str">
        <f>TEXT(Table1[[#This Row],[order_date]],"yyyy-mm")</f>
        <v>2025-12</v>
      </c>
      <c r="Q2475">
        <f>WEEKNUM(Table1[[#This Row],[order_date]])</f>
        <v>51</v>
      </c>
      <c r="R2475">
        <f>IF(Table1[[#This Row],[order_status]]="completed",1,0)</f>
        <v>0</v>
      </c>
    </row>
    <row r="2476" spans="1:18" x14ac:dyDescent="0.35">
      <c r="A2476">
        <v>2475</v>
      </c>
      <c r="B2476" s="1">
        <v>45954</v>
      </c>
      <c r="C2476">
        <v>1277</v>
      </c>
      <c r="D2476" t="s">
        <v>32</v>
      </c>
      <c r="E2476" t="s">
        <v>29</v>
      </c>
      <c r="F2476" t="s">
        <v>34</v>
      </c>
      <c r="G2476">
        <v>3</v>
      </c>
      <c r="H2476">
        <v>0</v>
      </c>
      <c r="I2476" t="s">
        <v>25</v>
      </c>
      <c r="J2476" t="s">
        <v>37</v>
      </c>
      <c r="K2476" t="s">
        <v>26</v>
      </c>
      <c r="L2476">
        <v>4</v>
      </c>
      <c r="M2476">
        <v>0</v>
      </c>
      <c r="N2476">
        <v>0</v>
      </c>
      <c r="O2476" t="s">
        <v>21</v>
      </c>
      <c r="P2476" t="str">
        <f>TEXT(Table1[[#This Row],[order_date]],"yyyy-mm")</f>
        <v>2025-10</v>
      </c>
      <c r="Q2476">
        <f>WEEKNUM(Table1[[#This Row],[order_date]])</f>
        <v>43</v>
      </c>
      <c r="R2476">
        <f>IF(Table1[[#This Row],[order_status]]="completed",1,0)</f>
        <v>0</v>
      </c>
    </row>
    <row r="2477" spans="1:18" x14ac:dyDescent="0.35">
      <c r="A2477">
        <v>2476</v>
      </c>
      <c r="B2477" s="1">
        <v>45966</v>
      </c>
      <c r="C2477">
        <v>1422</v>
      </c>
      <c r="D2477" t="s">
        <v>32</v>
      </c>
      <c r="E2477" t="s">
        <v>23</v>
      </c>
      <c r="F2477" t="s">
        <v>17</v>
      </c>
      <c r="G2477">
        <v>4</v>
      </c>
      <c r="H2477">
        <v>9032</v>
      </c>
      <c r="I2477" t="s">
        <v>18</v>
      </c>
      <c r="J2477" t="s">
        <v>19</v>
      </c>
      <c r="K2477" t="s">
        <v>20</v>
      </c>
      <c r="L2477">
        <v>6</v>
      </c>
      <c r="M2477">
        <v>1</v>
      </c>
      <c r="N2477">
        <v>1</v>
      </c>
      <c r="O2477" t="s">
        <v>27</v>
      </c>
      <c r="P2477" t="str">
        <f>TEXT(Table1[[#This Row],[order_date]],"yyyy-mm")</f>
        <v>2025-11</v>
      </c>
      <c r="Q2477">
        <f>WEEKNUM(Table1[[#This Row],[order_date]])</f>
        <v>45</v>
      </c>
      <c r="R2477">
        <f>IF(Table1[[#This Row],[order_status]]="completed",1,0)</f>
        <v>1</v>
      </c>
    </row>
    <row r="2478" spans="1:18" x14ac:dyDescent="0.35">
      <c r="A2478">
        <v>2477</v>
      </c>
      <c r="B2478" s="1">
        <v>45925</v>
      </c>
      <c r="C2478">
        <v>1632</v>
      </c>
      <c r="D2478" t="s">
        <v>28</v>
      </c>
      <c r="E2478" t="s">
        <v>33</v>
      </c>
      <c r="F2478" t="s">
        <v>30</v>
      </c>
      <c r="G2478">
        <v>5</v>
      </c>
      <c r="H2478">
        <v>24890</v>
      </c>
      <c r="I2478" t="s">
        <v>39</v>
      </c>
      <c r="J2478" t="s">
        <v>19</v>
      </c>
      <c r="K2478" t="s">
        <v>20</v>
      </c>
      <c r="L2478">
        <v>3</v>
      </c>
      <c r="M2478">
        <v>0</v>
      </c>
      <c r="N2478">
        <v>0</v>
      </c>
      <c r="O2478" t="s">
        <v>27</v>
      </c>
      <c r="P2478" t="str">
        <f>TEXT(Table1[[#This Row],[order_date]],"yyyy-mm")</f>
        <v>2025-09</v>
      </c>
      <c r="Q2478">
        <f>WEEKNUM(Table1[[#This Row],[order_date]])</f>
        <v>39</v>
      </c>
      <c r="R2478">
        <f>IF(Table1[[#This Row],[order_status]]="completed",1,0)</f>
        <v>1</v>
      </c>
    </row>
    <row r="2479" spans="1:18" x14ac:dyDescent="0.35">
      <c r="A2479">
        <v>2478</v>
      </c>
      <c r="B2479" s="1">
        <v>45879</v>
      </c>
      <c r="C2479">
        <v>1368</v>
      </c>
      <c r="D2479" t="s">
        <v>28</v>
      </c>
      <c r="E2479" t="s">
        <v>33</v>
      </c>
      <c r="F2479" t="s">
        <v>30</v>
      </c>
      <c r="G2479">
        <v>5</v>
      </c>
      <c r="H2479">
        <v>0</v>
      </c>
      <c r="I2479" t="s">
        <v>35</v>
      </c>
      <c r="J2479" t="s">
        <v>37</v>
      </c>
      <c r="K2479" t="s">
        <v>26</v>
      </c>
      <c r="L2479">
        <v>4</v>
      </c>
      <c r="M2479">
        <v>1</v>
      </c>
      <c r="N2479">
        <v>0</v>
      </c>
      <c r="O2479" t="s">
        <v>21</v>
      </c>
      <c r="P2479" t="str">
        <f>TEXT(Table1[[#This Row],[order_date]],"yyyy-mm")</f>
        <v>2025-08</v>
      </c>
      <c r="Q2479">
        <f>WEEKNUM(Table1[[#This Row],[order_date]])</f>
        <v>33</v>
      </c>
      <c r="R2479">
        <f>IF(Table1[[#This Row],[order_status]]="completed",1,0)</f>
        <v>0</v>
      </c>
    </row>
    <row r="2480" spans="1:18" x14ac:dyDescent="0.35">
      <c r="A2480">
        <v>2479</v>
      </c>
      <c r="B2480" s="1">
        <v>45987</v>
      </c>
      <c r="C2480">
        <v>1768</v>
      </c>
      <c r="D2480" t="s">
        <v>32</v>
      </c>
      <c r="E2480" t="s">
        <v>23</v>
      </c>
      <c r="F2480" t="s">
        <v>34</v>
      </c>
      <c r="G2480">
        <v>3</v>
      </c>
      <c r="H2480">
        <v>0</v>
      </c>
      <c r="I2480" t="s">
        <v>39</v>
      </c>
      <c r="J2480" t="s">
        <v>31</v>
      </c>
      <c r="K2480" t="s">
        <v>26</v>
      </c>
      <c r="L2480">
        <v>10</v>
      </c>
      <c r="M2480">
        <v>0</v>
      </c>
      <c r="N2480">
        <v>0</v>
      </c>
      <c r="O2480" t="s">
        <v>21</v>
      </c>
      <c r="P2480" t="str">
        <f>TEXT(Table1[[#This Row],[order_date]],"yyyy-mm")</f>
        <v>2025-11</v>
      </c>
      <c r="Q2480">
        <f>WEEKNUM(Table1[[#This Row],[order_date]])</f>
        <v>48</v>
      </c>
      <c r="R2480">
        <f>IF(Table1[[#This Row],[order_status]]="completed",1,0)</f>
        <v>0</v>
      </c>
    </row>
    <row r="2481" spans="1:18" x14ac:dyDescent="0.35">
      <c r="A2481">
        <v>2480</v>
      </c>
      <c r="B2481" s="1">
        <v>45898</v>
      </c>
      <c r="C2481">
        <v>1765</v>
      </c>
      <c r="D2481" t="s">
        <v>15</v>
      </c>
      <c r="E2481" t="s">
        <v>33</v>
      </c>
      <c r="F2481" t="s">
        <v>34</v>
      </c>
      <c r="G2481">
        <v>5</v>
      </c>
      <c r="H2481">
        <v>0</v>
      </c>
      <c r="I2481" t="s">
        <v>39</v>
      </c>
      <c r="J2481" t="s">
        <v>37</v>
      </c>
      <c r="K2481" t="s">
        <v>38</v>
      </c>
      <c r="L2481">
        <v>6</v>
      </c>
      <c r="M2481">
        <v>0</v>
      </c>
      <c r="N2481">
        <v>1</v>
      </c>
      <c r="O2481" t="s">
        <v>21</v>
      </c>
      <c r="P2481" t="str">
        <f>TEXT(Table1[[#This Row],[order_date]],"yyyy-mm")</f>
        <v>2025-08</v>
      </c>
      <c r="Q2481">
        <f>WEEKNUM(Table1[[#This Row],[order_date]])</f>
        <v>35</v>
      </c>
      <c r="R2481">
        <f>IF(Table1[[#This Row],[order_status]]="completed",1,0)</f>
        <v>0</v>
      </c>
    </row>
    <row r="2482" spans="1:18" x14ac:dyDescent="0.35">
      <c r="A2482">
        <v>2481</v>
      </c>
      <c r="B2482" s="1">
        <v>45894</v>
      </c>
      <c r="C2482">
        <v>1980</v>
      </c>
      <c r="D2482" t="s">
        <v>41</v>
      </c>
      <c r="E2482" t="s">
        <v>29</v>
      </c>
      <c r="F2482" t="s">
        <v>34</v>
      </c>
      <c r="G2482">
        <v>4</v>
      </c>
      <c r="H2482">
        <v>0</v>
      </c>
      <c r="I2482" t="s">
        <v>39</v>
      </c>
      <c r="J2482" t="s">
        <v>31</v>
      </c>
      <c r="K2482" t="s">
        <v>38</v>
      </c>
      <c r="L2482">
        <v>4</v>
      </c>
      <c r="M2482">
        <v>1</v>
      </c>
      <c r="N2482">
        <v>0</v>
      </c>
      <c r="O2482" t="s">
        <v>27</v>
      </c>
      <c r="P2482" t="str">
        <f>TEXT(Table1[[#This Row],[order_date]],"yyyy-mm")</f>
        <v>2025-08</v>
      </c>
      <c r="Q2482">
        <f>WEEKNUM(Table1[[#This Row],[order_date]])</f>
        <v>35</v>
      </c>
      <c r="R2482">
        <f>IF(Table1[[#This Row],[order_status]]="completed",1,0)</f>
        <v>0</v>
      </c>
    </row>
    <row r="2483" spans="1:18" x14ac:dyDescent="0.35">
      <c r="A2483">
        <v>2482</v>
      </c>
      <c r="B2483" s="1">
        <v>46031</v>
      </c>
      <c r="C2483">
        <v>1673</v>
      </c>
      <c r="D2483" t="s">
        <v>32</v>
      </c>
      <c r="E2483" t="s">
        <v>36</v>
      </c>
      <c r="F2483" t="s">
        <v>34</v>
      </c>
      <c r="G2483">
        <v>5</v>
      </c>
      <c r="H2483">
        <v>0</v>
      </c>
      <c r="I2483" t="s">
        <v>39</v>
      </c>
      <c r="J2483" t="s">
        <v>31</v>
      </c>
      <c r="K2483" t="s">
        <v>38</v>
      </c>
      <c r="L2483">
        <v>10</v>
      </c>
      <c r="M2483">
        <v>1</v>
      </c>
      <c r="N2483">
        <v>1</v>
      </c>
      <c r="O2483" t="s">
        <v>27</v>
      </c>
      <c r="P2483" t="str">
        <f>TEXT(Table1[[#This Row],[order_date]],"yyyy-mm")</f>
        <v>2026-01</v>
      </c>
      <c r="Q2483">
        <f>WEEKNUM(Table1[[#This Row],[order_date]])</f>
        <v>2</v>
      </c>
      <c r="R2483">
        <f>IF(Table1[[#This Row],[order_status]]="completed",1,0)</f>
        <v>0</v>
      </c>
    </row>
    <row r="2484" spans="1:18" x14ac:dyDescent="0.35">
      <c r="A2484">
        <v>2483</v>
      </c>
      <c r="B2484" s="1">
        <v>45933</v>
      </c>
      <c r="C2484">
        <v>1290</v>
      </c>
      <c r="D2484" t="s">
        <v>28</v>
      </c>
      <c r="E2484" t="s">
        <v>16</v>
      </c>
      <c r="F2484" t="s">
        <v>30</v>
      </c>
      <c r="G2484">
        <v>2</v>
      </c>
      <c r="H2484">
        <v>0</v>
      </c>
      <c r="I2484" t="s">
        <v>35</v>
      </c>
      <c r="J2484" t="s">
        <v>37</v>
      </c>
      <c r="K2484" t="s">
        <v>26</v>
      </c>
      <c r="L2484">
        <v>3</v>
      </c>
      <c r="M2484">
        <v>0</v>
      </c>
      <c r="N2484">
        <v>0</v>
      </c>
      <c r="O2484" t="s">
        <v>27</v>
      </c>
      <c r="P2484" t="str">
        <f>TEXT(Table1[[#This Row],[order_date]],"yyyy-mm")</f>
        <v>2025-10</v>
      </c>
      <c r="Q2484">
        <f>WEEKNUM(Table1[[#This Row],[order_date]])</f>
        <v>40</v>
      </c>
      <c r="R2484">
        <f>IF(Table1[[#This Row],[order_status]]="completed",1,0)</f>
        <v>0</v>
      </c>
    </row>
    <row r="2485" spans="1:18" x14ac:dyDescent="0.35">
      <c r="A2485">
        <v>2484</v>
      </c>
      <c r="B2485" s="1">
        <v>46026</v>
      </c>
      <c r="C2485">
        <v>1936</v>
      </c>
      <c r="D2485" t="s">
        <v>28</v>
      </c>
      <c r="E2485" t="s">
        <v>16</v>
      </c>
      <c r="F2485" t="s">
        <v>24</v>
      </c>
      <c r="G2485">
        <v>1</v>
      </c>
      <c r="H2485">
        <v>3205</v>
      </c>
      <c r="I2485" t="s">
        <v>35</v>
      </c>
      <c r="J2485" t="s">
        <v>19</v>
      </c>
      <c r="K2485" t="s">
        <v>26</v>
      </c>
      <c r="L2485">
        <v>3</v>
      </c>
      <c r="M2485">
        <v>1</v>
      </c>
      <c r="N2485">
        <v>0</v>
      </c>
      <c r="O2485" t="s">
        <v>21</v>
      </c>
      <c r="P2485" t="str">
        <f>TEXT(Table1[[#This Row],[order_date]],"yyyy-mm")</f>
        <v>2026-01</v>
      </c>
      <c r="Q2485">
        <f>WEEKNUM(Table1[[#This Row],[order_date]])</f>
        <v>2</v>
      </c>
      <c r="R2485">
        <f>IF(Table1[[#This Row],[order_status]]="completed",1,0)</f>
        <v>1</v>
      </c>
    </row>
    <row r="2486" spans="1:18" x14ac:dyDescent="0.35">
      <c r="A2486">
        <v>2485</v>
      </c>
      <c r="B2486" s="1">
        <v>45882</v>
      </c>
      <c r="C2486">
        <v>1670</v>
      </c>
      <c r="D2486" t="s">
        <v>41</v>
      </c>
      <c r="E2486" t="s">
        <v>36</v>
      </c>
      <c r="F2486" t="s">
        <v>17</v>
      </c>
      <c r="G2486">
        <v>3</v>
      </c>
      <c r="H2486">
        <v>0</v>
      </c>
      <c r="I2486" t="s">
        <v>25</v>
      </c>
      <c r="J2486" t="s">
        <v>31</v>
      </c>
      <c r="K2486" t="s">
        <v>20</v>
      </c>
      <c r="L2486">
        <v>8</v>
      </c>
      <c r="M2486">
        <v>0</v>
      </c>
      <c r="N2486">
        <v>1</v>
      </c>
      <c r="O2486" t="s">
        <v>27</v>
      </c>
      <c r="P2486" t="str">
        <f>TEXT(Table1[[#This Row],[order_date]],"yyyy-mm")</f>
        <v>2025-08</v>
      </c>
      <c r="Q2486">
        <f>WEEKNUM(Table1[[#This Row],[order_date]])</f>
        <v>33</v>
      </c>
      <c r="R2486">
        <f>IF(Table1[[#This Row],[order_status]]="completed",1,0)</f>
        <v>0</v>
      </c>
    </row>
    <row r="2487" spans="1:18" x14ac:dyDescent="0.35">
      <c r="A2487">
        <v>2486</v>
      </c>
      <c r="B2487" s="1">
        <v>46005</v>
      </c>
      <c r="C2487">
        <v>1942</v>
      </c>
      <c r="D2487" t="s">
        <v>28</v>
      </c>
      <c r="E2487" t="s">
        <v>16</v>
      </c>
      <c r="F2487" t="s">
        <v>30</v>
      </c>
      <c r="G2487">
        <v>4</v>
      </c>
      <c r="H2487">
        <v>0</v>
      </c>
      <c r="I2487" t="s">
        <v>25</v>
      </c>
      <c r="J2487" t="s">
        <v>37</v>
      </c>
      <c r="K2487" t="s">
        <v>26</v>
      </c>
      <c r="L2487">
        <v>2</v>
      </c>
      <c r="M2487">
        <v>0</v>
      </c>
      <c r="N2487">
        <v>0</v>
      </c>
      <c r="O2487" t="s">
        <v>27</v>
      </c>
      <c r="P2487" t="str">
        <f>TEXT(Table1[[#This Row],[order_date]],"yyyy-mm")</f>
        <v>2025-12</v>
      </c>
      <c r="Q2487">
        <f>WEEKNUM(Table1[[#This Row],[order_date]])</f>
        <v>51</v>
      </c>
      <c r="R2487">
        <f>IF(Table1[[#This Row],[order_status]]="completed",1,0)</f>
        <v>0</v>
      </c>
    </row>
    <row r="2488" spans="1:18" x14ac:dyDescent="0.35">
      <c r="A2488">
        <v>2487</v>
      </c>
      <c r="B2488" s="1">
        <v>45985</v>
      </c>
      <c r="C2488">
        <v>1165</v>
      </c>
      <c r="D2488" t="s">
        <v>32</v>
      </c>
      <c r="E2488" t="s">
        <v>16</v>
      </c>
      <c r="F2488" t="s">
        <v>17</v>
      </c>
      <c r="G2488">
        <v>2</v>
      </c>
      <c r="H2488">
        <v>0</v>
      </c>
      <c r="I2488" t="s">
        <v>39</v>
      </c>
      <c r="J2488" t="s">
        <v>31</v>
      </c>
      <c r="K2488" t="s">
        <v>20</v>
      </c>
      <c r="L2488">
        <v>10</v>
      </c>
      <c r="M2488">
        <v>1</v>
      </c>
      <c r="N2488">
        <v>1</v>
      </c>
      <c r="O2488" t="s">
        <v>27</v>
      </c>
      <c r="P2488" t="str">
        <f>TEXT(Table1[[#This Row],[order_date]],"yyyy-mm")</f>
        <v>2025-11</v>
      </c>
      <c r="Q2488">
        <f>WEEKNUM(Table1[[#This Row],[order_date]])</f>
        <v>48</v>
      </c>
      <c r="R2488">
        <f>IF(Table1[[#This Row],[order_status]]="completed",1,0)</f>
        <v>0</v>
      </c>
    </row>
    <row r="2489" spans="1:18" x14ac:dyDescent="0.35">
      <c r="A2489">
        <v>2488</v>
      </c>
      <c r="B2489" s="1">
        <v>45867</v>
      </c>
      <c r="C2489">
        <v>1908</v>
      </c>
      <c r="D2489" t="s">
        <v>32</v>
      </c>
      <c r="E2489" t="s">
        <v>23</v>
      </c>
      <c r="F2489" t="s">
        <v>17</v>
      </c>
      <c r="G2489">
        <v>2</v>
      </c>
      <c r="H2489">
        <v>1874</v>
      </c>
      <c r="I2489" t="s">
        <v>35</v>
      </c>
      <c r="J2489" t="s">
        <v>19</v>
      </c>
      <c r="K2489" t="s">
        <v>26</v>
      </c>
      <c r="L2489">
        <v>4</v>
      </c>
      <c r="M2489">
        <v>0</v>
      </c>
      <c r="N2489">
        <v>1</v>
      </c>
      <c r="O2489" t="s">
        <v>21</v>
      </c>
      <c r="P2489" t="str">
        <f>TEXT(Table1[[#This Row],[order_date]],"yyyy-mm")</f>
        <v>2025-07</v>
      </c>
      <c r="Q2489">
        <f>WEEKNUM(Table1[[#This Row],[order_date]])</f>
        <v>31</v>
      </c>
      <c r="R2489">
        <f>IF(Table1[[#This Row],[order_status]]="completed",1,0)</f>
        <v>1</v>
      </c>
    </row>
    <row r="2490" spans="1:18" x14ac:dyDescent="0.35">
      <c r="A2490">
        <v>2489</v>
      </c>
      <c r="B2490" s="1">
        <v>46016</v>
      </c>
      <c r="C2490">
        <v>1855</v>
      </c>
      <c r="D2490" t="s">
        <v>32</v>
      </c>
      <c r="E2490" t="s">
        <v>16</v>
      </c>
      <c r="F2490" t="s">
        <v>24</v>
      </c>
      <c r="G2490">
        <v>3</v>
      </c>
      <c r="H2490">
        <v>0</v>
      </c>
      <c r="I2490" t="s">
        <v>35</v>
      </c>
      <c r="J2490" t="s">
        <v>37</v>
      </c>
      <c r="K2490" t="s">
        <v>20</v>
      </c>
      <c r="L2490">
        <v>4</v>
      </c>
      <c r="M2490">
        <v>1</v>
      </c>
      <c r="N2490">
        <v>0</v>
      </c>
      <c r="O2490" t="s">
        <v>21</v>
      </c>
      <c r="P2490" t="str">
        <f>TEXT(Table1[[#This Row],[order_date]],"yyyy-mm")</f>
        <v>2025-12</v>
      </c>
      <c r="Q2490">
        <f>WEEKNUM(Table1[[#This Row],[order_date]])</f>
        <v>52</v>
      </c>
      <c r="R2490">
        <f>IF(Table1[[#This Row],[order_status]]="completed",1,0)</f>
        <v>0</v>
      </c>
    </row>
    <row r="2491" spans="1:18" x14ac:dyDescent="0.35">
      <c r="A2491">
        <v>2490</v>
      </c>
      <c r="B2491" s="1">
        <v>45996</v>
      </c>
      <c r="C2491">
        <v>1118</v>
      </c>
      <c r="D2491" t="s">
        <v>22</v>
      </c>
      <c r="E2491" t="s">
        <v>36</v>
      </c>
      <c r="F2491" t="s">
        <v>30</v>
      </c>
      <c r="G2491">
        <v>3</v>
      </c>
      <c r="H2491">
        <v>2352</v>
      </c>
      <c r="I2491" t="s">
        <v>25</v>
      </c>
      <c r="J2491" t="s">
        <v>19</v>
      </c>
      <c r="K2491" t="s">
        <v>26</v>
      </c>
      <c r="L2491">
        <v>2</v>
      </c>
      <c r="M2491">
        <v>0</v>
      </c>
      <c r="N2491">
        <v>0</v>
      </c>
      <c r="O2491" t="s">
        <v>21</v>
      </c>
      <c r="P2491" t="str">
        <f>TEXT(Table1[[#This Row],[order_date]],"yyyy-mm")</f>
        <v>2025-12</v>
      </c>
      <c r="Q2491">
        <f>WEEKNUM(Table1[[#This Row],[order_date]])</f>
        <v>49</v>
      </c>
      <c r="R2491">
        <f>IF(Table1[[#This Row],[order_status]]="completed",1,0)</f>
        <v>1</v>
      </c>
    </row>
    <row r="2492" spans="1:18" x14ac:dyDescent="0.35">
      <c r="A2492">
        <v>2491</v>
      </c>
      <c r="B2492" s="1">
        <v>46021</v>
      </c>
      <c r="C2492">
        <v>1120</v>
      </c>
      <c r="D2492" t="s">
        <v>41</v>
      </c>
      <c r="E2492" t="s">
        <v>29</v>
      </c>
      <c r="F2492" t="s">
        <v>30</v>
      </c>
      <c r="G2492">
        <v>4</v>
      </c>
      <c r="H2492">
        <v>0</v>
      </c>
      <c r="I2492" t="s">
        <v>39</v>
      </c>
      <c r="J2492" t="s">
        <v>31</v>
      </c>
      <c r="K2492" t="s">
        <v>26</v>
      </c>
      <c r="L2492">
        <v>6</v>
      </c>
      <c r="M2492">
        <v>0</v>
      </c>
      <c r="N2492">
        <v>1</v>
      </c>
      <c r="O2492" t="s">
        <v>27</v>
      </c>
      <c r="P2492" t="str">
        <f>TEXT(Table1[[#This Row],[order_date]],"yyyy-mm")</f>
        <v>2025-12</v>
      </c>
      <c r="Q2492">
        <f>WEEKNUM(Table1[[#This Row],[order_date]])</f>
        <v>53</v>
      </c>
      <c r="R2492">
        <f>IF(Table1[[#This Row],[order_status]]="completed",1,0)</f>
        <v>0</v>
      </c>
    </row>
    <row r="2493" spans="1:18" x14ac:dyDescent="0.35">
      <c r="A2493">
        <v>2492</v>
      </c>
      <c r="B2493" s="1">
        <v>45975</v>
      </c>
      <c r="C2493">
        <v>1732</v>
      </c>
      <c r="D2493" t="s">
        <v>41</v>
      </c>
      <c r="E2493" t="s">
        <v>23</v>
      </c>
      <c r="F2493" t="s">
        <v>30</v>
      </c>
      <c r="G2493">
        <v>3</v>
      </c>
      <c r="H2493">
        <v>1209</v>
      </c>
      <c r="I2493" t="s">
        <v>18</v>
      </c>
      <c r="J2493" t="s">
        <v>19</v>
      </c>
      <c r="K2493" t="s">
        <v>40</v>
      </c>
      <c r="L2493">
        <v>10</v>
      </c>
      <c r="M2493">
        <v>0</v>
      </c>
      <c r="N2493">
        <v>1</v>
      </c>
      <c r="O2493" t="s">
        <v>21</v>
      </c>
      <c r="P2493" t="str">
        <f>TEXT(Table1[[#This Row],[order_date]],"yyyy-mm")</f>
        <v>2025-11</v>
      </c>
      <c r="Q2493">
        <f>WEEKNUM(Table1[[#This Row],[order_date]])</f>
        <v>46</v>
      </c>
      <c r="R2493">
        <f>IF(Table1[[#This Row],[order_status]]="completed",1,0)</f>
        <v>1</v>
      </c>
    </row>
    <row r="2494" spans="1:18" x14ac:dyDescent="0.35">
      <c r="A2494">
        <v>2493</v>
      </c>
      <c r="B2494" s="1">
        <v>45995</v>
      </c>
      <c r="C2494">
        <v>1951</v>
      </c>
      <c r="D2494" t="s">
        <v>41</v>
      </c>
      <c r="E2494" t="s">
        <v>16</v>
      </c>
      <c r="F2494" t="s">
        <v>24</v>
      </c>
      <c r="G2494">
        <v>3</v>
      </c>
      <c r="H2494">
        <v>0</v>
      </c>
      <c r="I2494" t="s">
        <v>25</v>
      </c>
      <c r="J2494" t="s">
        <v>37</v>
      </c>
      <c r="K2494" t="s">
        <v>26</v>
      </c>
      <c r="L2494">
        <v>9</v>
      </c>
      <c r="M2494">
        <v>0</v>
      </c>
      <c r="N2494">
        <v>0</v>
      </c>
      <c r="O2494" t="s">
        <v>21</v>
      </c>
      <c r="P2494" t="str">
        <f>TEXT(Table1[[#This Row],[order_date]],"yyyy-mm")</f>
        <v>2025-12</v>
      </c>
      <c r="Q2494">
        <f>WEEKNUM(Table1[[#This Row],[order_date]])</f>
        <v>49</v>
      </c>
      <c r="R2494">
        <f>IF(Table1[[#This Row],[order_status]]="completed",1,0)</f>
        <v>0</v>
      </c>
    </row>
    <row r="2495" spans="1:18" x14ac:dyDescent="0.35">
      <c r="A2495">
        <v>2494</v>
      </c>
      <c r="B2495" s="1">
        <v>45981</v>
      </c>
      <c r="C2495">
        <v>1619</v>
      </c>
      <c r="D2495" t="s">
        <v>41</v>
      </c>
      <c r="E2495" t="s">
        <v>23</v>
      </c>
      <c r="F2495" t="s">
        <v>34</v>
      </c>
      <c r="G2495">
        <v>5</v>
      </c>
      <c r="H2495">
        <v>0</v>
      </c>
      <c r="I2495" t="s">
        <v>25</v>
      </c>
      <c r="J2495" t="s">
        <v>31</v>
      </c>
      <c r="K2495" t="s">
        <v>26</v>
      </c>
      <c r="L2495">
        <v>5</v>
      </c>
      <c r="M2495">
        <v>0</v>
      </c>
      <c r="N2495">
        <v>1</v>
      </c>
      <c r="O2495" t="s">
        <v>21</v>
      </c>
      <c r="P2495" t="str">
        <f>TEXT(Table1[[#This Row],[order_date]],"yyyy-mm")</f>
        <v>2025-11</v>
      </c>
      <c r="Q2495">
        <f>WEEKNUM(Table1[[#This Row],[order_date]])</f>
        <v>47</v>
      </c>
      <c r="R2495">
        <f>IF(Table1[[#This Row],[order_status]]="completed",1,0)</f>
        <v>0</v>
      </c>
    </row>
    <row r="2496" spans="1:18" x14ac:dyDescent="0.35">
      <c r="A2496">
        <v>2495</v>
      </c>
      <c r="B2496" s="1">
        <v>46016</v>
      </c>
      <c r="C2496">
        <v>1176</v>
      </c>
      <c r="D2496" t="s">
        <v>32</v>
      </c>
      <c r="E2496" t="s">
        <v>29</v>
      </c>
      <c r="F2496" t="s">
        <v>24</v>
      </c>
      <c r="G2496">
        <v>4</v>
      </c>
      <c r="H2496">
        <v>10104</v>
      </c>
      <c r="I2496" t="s">
        <v>39</v>
      </c>
      <c r="J2496" t="s">
        <v>19</v>
      </c>
      <c r="K2496" t="s">
        <v>38</v>
      </c>
      <c r="L2496">
        <v>6</v>
      </c>
      <c r="M2496">
        <v>1</v>
      </c>
      <c r="N2496">
        <v>1</v>
      </c>
      <c r="O2496" t="s">
        <v>27</v>
      </c>
      <c r="P2496" t="str">
        <f>TEXT(Table1[[#This Row],[order_date]],"yyyy-mm")</f>
        <v>2025-12</v>
      </c>
      <c r="Q2496">
        <f>WEEKNUM(Table1[[#This Row],[order_date]])</f>
        <v>52</v>
      </c>
      <c r="R2496">
        <f>IF(Table1[[#This Row],[order_status]]="completed",1,0)</f>
        <v>1</v>
      </c>
    </row>
    <row r="2497" spans="1:18" x14ac:dyDescent="0.35">
      <c r="A2497">
        <v>2496</v>
      </c>
      <c r="B2497" s="1">
        <v>46015</v>
      </c>
      <c r="C2497">
        <v>1107</v>
      </c>
      <c r="D2497" t="s">
        <v>32</v>
      </c>
      <c r="E2497" t="s">
        <v>36</v>
      </c>
      <c r="F2497" t="s">
        <v>34</v>
      </c>
      <c r="G2497">
        <v>5</v>
      </c>
      <c r="H2497">
        <v>0</v>
      </c>
      <c r="I2497" t="s">
        <v>35</v>
      </c>
      <c r="J2497" t="s">
        <v>31</v>
      </c>
      <c r="K2497" t="s">
        <v>38</v>
      </c>
      <c r="L2497">
        <v>10</v>
      </c>
      <c r="M2497">
        <v>1</v>
      </c>
      <c r="N2497">
        <v>1</v>
      </c>
      <c r="O2497" t="s">
        <v>21</v>
      </c>
      <c r="P2497" t="str">
        <f>TEXT(Table1[[#This Row],[order_date]],"yyyy-mm")</f>
        <v>2025-12</v>
      </c>
      <c r="Q2497">
        <f>WEEKNUM(Table1[[#This Row],[order_date]])</f>
        <v>52</v>
      </c>
      <c r="R2497">
        <f>IF(Table1[[#This Row],[order_status]]="completed",1,0)</f>
        <v>0</v>
      </c>
    </row>
    <row r="2498" spans="1:18" x14ac:dyDescent="0.35">
      <c r="A2498">
        <v>2497</v>
      </c>
      <c r="B2498" s="1">
        <v>45935</v>
      </c>
      <c r="C2498">
        <v>1681</v>
      </c>
      <c r="D2498" t="s">
        <v>32</v>
      </c>
      <c r="E2498" t="s">
        <v>16</v>
      </c>
      <c r="F2498" t="s">
        <v>34</v>
      </c>
      <c r="G2498">
        <v>5</v>
      </c>
      <c r="H2498">
        <v>0</v>
      </c>
      <c r="I2498" t="s">
        <v>35</v>
      </c>
      <c r="J2498" t="s">
        <v>31</v>
      </c>
      <c r="K2498" t="s">
        <v>20</v>
      </c>
      <c r="L2498">
        <v>9</v>
      </c>
      <c r="M2498">
        <v>1</v>
      </c>
      <c r="N2498">
        <v>0</v>
      </c>
      <c r="O2498" t="s">
        <v>27</v>
      </c>
      <c r="P2498" t="str">
        <f>TEXT(Table1[[#This Row],[order_date]],"yyyy-mm")</f>
        <v>2025-10</v>
      </c>
      <c r="Q2498">
        <f>WEEKNUM(Table1[[#This Row],[order_date]])</f>
        <v>41</v>
      </c>
      <c r="R2498">
        <f>IF(Table1[[#This Row],[order_status]]="completed",1,0)</f>
        <v>0</v>
      </c>
    </row>
    <row r="2499" spans="1:18" x14ac:dyDescent="0.35">
      <c r="A2499">
        <v>2498</v>
      </c>
      <c r="B2499" s="1">
        <v>45899</v>
      </c>
      <c r="C2499">
        <v>1623</v>
      </c>
      <c r="D2499" t="s">
        <v>15</v>
      </c>
      <c r="E2499" t="s">
        <v>16</v>
      </c>
      <c r="F2499" t="s">
        <v>24</v>
      </c>
      <c r="G2499">
        <v>1</v>
      </c>
      <c r="H2499">
        <v>0</v>
      </c>
      <c r="I2499" t="s">
        <v>39</v>
      </c>
      <c r="J2499" t="s">
        <v>31</v>
      </c>
      <c r="K2499" t="s">
        <v>40</v>
      </c>
      <c r="L2499">
        <v>2</v>
      </c>
      <c r="M2499">
        <v>1</v>
      </c>
      <c r="N2499">
        <v>0</v>
      </c>
      <c r="O2499" t="s">
        <v>21</v>
      </c>
      <c r="P2499" t="str">
        <f>TEXT(Table1[[#This Row],[order_date]],"yyyy-mm")</f>
        <v>2025-08</v>
      </c>
      <c r="Q2499">
        <f>WEEKNUM(Table1[[#This Row],[order_date]])</f>
        <v>35</v>
      </c>
      <c r="R2499">
        <f>IF(Table1[[#This Row],[order_status]]="completed",1,0)</f>
        <v>0</v>
      </c>
    </row>
    <row r="2500" spans="1:18" x14ac:dyDescent="0.35">
      <c r="A2500">
        <v>2499</v>
      </c>
      <c r="B2500" s="1">
        <v>46012</v>
      </c>
      <c r="C2500">
        <v>1491</v>
      </c>
      <c r="D2500" t="s">
        <v>28</v>
      </c>
      <c r="E2500" t="s">
        <v>36</v>
      </c>
      <c r="F2500" t="s">
        <v>30</v>
      </c>
      <c r="G2500">
        <v>3</v>
      </c>
      <c r="H2500">
        <v>0</v>
      </c>
      <c r="I2500" t="s">
        <v>39</v>
      </c>
      <c r="J2500" t="s">
        <v>31</v>
      </c>
      <c r="K2500" t="s">
        <v>20</v>
      </c>
      <c r="L2500">
        <v>6</v>
      </c>
      <c r="M2500">
        <v>0</v>
      </c>
      <c r="N2500">
        <v>1</v>
      </c>
      <c r="O2500" t="s">
        <v>21</v>
      </c>
      <c r="P2500" t="str">
        <f>TEXT(Table1[[#This Row],[order_date]],"yyyy-mm")</f>
        <v>2025-12</v>
      </c>
      <c r="Q2500">
        <f>WEEKNUM(Table1[[#This Row],[order_date]])</f>
        <v>52</v>
      </c>
      <c r="R2500">
        <f>IF(Table1[[#This Row],[order_status]]="completed",1,0)</f>
        <v>0</v>
      </c>
    </row>
    <row r="2501" spans="1:18" x14ac:dyDescent="0.35">
      <c r="A2501">
        <v>2500</v>
      </c>
      <c r="B2501" s="1">
        <v>45988</v>
      </c>
      <c r="C2501">
        <v>1127</v>
      </c>
      <c r="D2501" t="s">
        <v>28</v>
      </c>
      <c r="E2501" t="s">
        <v>23</v>
      </c>
      <c r="F2501" t="s">
        <v>34</v>
      </c>
      <c r="G2501">
        <v>4</v>
      </c>
      <c r="H2501">
        <v>18552</v>
      </c>
      <c r="I2501" t="s">
        <v>25</v>
      </c>
      <c r="J2501" t="s">
        <v>19</v>
      </c>
      <c r="K2501" t="s">
        <v>20</v>
      </c>
      <c r="L2501">
        <v>1</v>
      </c>
      <c r="M2501">
        <v>0</v>
      </c>
      <c r="N2501">
        <v>0</v>
      </c>
      <c r="O2501" t="s">
        <v>21</v>
      </c>
      <c r="P2501" t="str">
        <f>TEXT(Table1[[#This Row],[order_date]],"yyyy-mm")</f>
        <v>2025-11</v>
      </c>
      <c r="Q2501">
        <f>WEEKNUM(Table1[[#This Row],[order_date]])</f>
        <v>48</v>
      </c>
      <c r="R2501">
        <f>IF(Table1[[#This Row],[order_status]]="completed",1,0)</f>
        <v>1</v>
      </c>
    </row>
    <row r="2502" spans="1:18" x14ac:dyDescent="0.35">
      <c r="A2502">
        <v>2501</v>
      </c>
      <c r="B2502" s="1">
        <v>45864</v>
      </c>
      <c r="C2502">
        <v>1603</v>
      </c>
      <c r="D2502" t="s">
        <v>41</v>
      </c>
      <c r="E2502" t="s">
        <v>36</v>
      </c>
      <c r="F2502" t="s">
        <v>17</v>
      </c>
      <c r="G2502">
        <v>4</v>
      </c>
      <c r="H2502">
        <v>11620</v>
      </c>
      <c r="I2502" t="s">
        <v>25</v>
      </c>
      <c r="J2502" t="s">
        <v>19</v>
      </c>
      <c r="K2502" t="s">
        <v>20</v>
      </c>
      <c r="L2502">
        <v>1</v>
      </c>
      <c r="M2502">
        <v>0</v>
      </c>
      <c r="N2502">
        <v>1</v>
      </c>
      <c r="O2502" t="s">
        <v>27</v>
      </c>
      <c r="P2502" t="str">
        <f>TEXT(Table1[[#This Row],[order_date]],"yyyy-mm")</f>
        <v>2025-07</v>
      </c>
      <c r="Q2502">
        <f>WEEKNUM(Table1[[#This Row],[order_date]])</f>
        <v>30</v>
      </c>
      <c r="R2502">
        <f>IF(Table1[[#This Row],[order_status]]="completed",1,0)</f>
        <v>1</v>
      </c>
    </row>
    <row r="2503" spans="1:18" x14ac:dyDescent="0.35">
      <c r="A2503">
        <v>2502</v>
      </c>
      <c r="B2503" s="1">
        <v>45876</v>
      </c>
      <c r="C2503">
        <v>1627</v>
      </c>
      <c r="D2503" t="s">
        <v>15</v>
      </c>
      <c r="E2503" t="s">
        <v>36</v>
      </c>
      <c r="F2503" t="s">
        <v>34</v>
      </c>
      <c r="G2503">
        <v>3</v>
      </c>
      <c r="H2503">
        <v>0</v>
      </c>
      <c r="I2503" t="s">
        <v>18</v>
      </c>
      <c r="J2503" t="s">
        <v>37</v>
      </c>
      <c r="K2503" t="s">
        <v>20</v>
      </c>
      <c r="L2503">
        <v>9</v>
      </c>
      <c r="M2503">
        <v>0</v>
      </c>
      <c r="N2503">
        <v>0</v>
      </c>
      <c r="O2503" t="s">
        <v>21</v>
      </c>
      <c r="P2503" t="str">
        <f>TEXT(Table1[[#This Row],[order_date]],"yyyy-mm")</f>
        <v>2025-08</v>
      </c>
      <c r="Q2503">
        <f>WEEKNUM(Table1[[#This Row],[order_date]])</f>
        <v>32</v>
      </c>
      <c r="R2503">
        <f>IF(Table1[[#This Row],[order_status]]="completed",1,0)</f>
        <v>0</v>
      </c>
    </row>
    <row r="2504" spans="1:18" x14ac:dyDescent="0.35">
      <c r="A2504">
        <v>2503</v>
      </c>
      <c r="B2504" s="1">
        <v>45968</v>
      </c>
      <c r="C2504">
        <v>1151</v>
      </c>
      <c r="D2504" t="s">
        <v>41</v>
      </c>
      <c r="E2504" t="s">
        <v>16</v>
      </c>
      <c r="F2504" t="s">
        <v>17</v>
      </c>
      <c r="G2504">
        <v>4</v>
      </c>
      <c r="H2504">
        <v>0</v>
      </c>
      <c r="I2504" t="s">
        <v>35</v>
      </c>
      <c r="J2504" t="s">
        <v>37</v>
      </c>
      <c r="K2504" t="s">
        <v>26</v>
      </c>
      <c r="L2504">
        <v>1</v>
      </c>
      <c r="M2504">
        <v>0</v>
      </c>
      <c r="N2504">
        <v>0</v>
      </c>
      <c r="O2504" t="s">
        <v>21</v>
      </c>
      <c r="P2504" t="str">
        <f>TEXT(Table1[[#This Row],[order_date]],"yyyy-mm")</f>
        <v>2025-11</v>
      </c>
      <c r="Q2504">
        <f>WEEKNUM(Table1[[#This Row],[order_date]])</f>
        <v>45</v>
      </c>
      <c r="R2504">
        <f>IF(Table1[[#This Row],[order_status]]="completed",1,0)</f>
        <v>0</v>
      </c>
    </row>
    <row r="2505" spans="1:18" x14ac:dyDescent="0.35">
      <c r="A2505">
        <v>2504</v>
      </c>
      <c r="B2505" s="1">
        <v>46012</v>
      </c>
      <c r="C2505">
        <v>1614</v>
      </c>
      <c r="D2505" t="s">
        <v>15</v>
      </c>
      <c r="E2505" t="s">
        <v>33</v>
      </c>
      <c r="F2505" t="s">
        <v>30</v>
      </c>
      <c r="G2505">
        <v>5</v>
      </c>
      <c r="H2505">
        <v>0</v>
      </c>
      <c r="I2505" t="s">
        <v>39</v>
      </c>
      <c r="J2505" t="s">
        <v>31</v>
      </c>
      <c r="K2505" t="s">
        <v>26</v>
      </c>
      <c r="L2505">
        <v>6</v>
      </c>
      <c r="M2505">
        <v>0</v>
      </c>
      <c r="N2505">
        <v>0</v>
      </c>
      <c r="O2505" t="s">
        <v>21</v>
      </c>
      <c r="P2505" t="str">
        <f>TEXT(Table1[[#This Row],[order_date]],"yyyy-mm")</f>
        <v>2025-12</v>
      </c>
      <c r="Q2505">
        <f>WEEKNUM(Table1[[#This Row],[order_date]])</f>
        <v>52</v>
      </c>
      <c r="R2505">
        <f>IF(Table1[[#This Row],[order_status]]="completed",1,0)</f>
        <v>0</v>
      </c>
    </row>
    <row r="2506" spans="1:18" x14ac:dyDescent="0.35">
      <c r="A2506">
        <v>2505</v>
      </c>
      <c r="B2506" s="1">
        <v>45967</v>
      </c>
      <c r="C2506">
        <v>1048</v>
      </c>
      <c r="D2506" t="s">
        <v>22</v>
      </c>
      <c r="E2506" t="s">
        <v>36</v>
      </c>
      <c r="F2506" t="s">
        <v>30</v>
      </c>
      <c r="G2506">
        <v>2</v>
      </c>
      <c r="H2506">
        <v>0</v>
      </c>
      <c r="I2506" t="s">
        <v>35</v>
      </c>
      <c r="J2506" t="s">
        <v>31</v>
      </c>
      <c r="K2506" t="s">
        <v>26</v>
      </c>
      <c r="L2506">
        <v>7</v>
      </c>
      <c r="M2506">
        <v>0</v>
      </c>
      <c r="N2506">
        <v>1</v>
      </c>
      <c r="O2506" t="s">
        <v>21</v>
      </c>
      <c r="P2506" t="str">
        <f>TEXT(Table1[[#This Row],[order_date]],"yyyy-mm")</f>
        <v>2025-11</v>
      </c>
      <c r="Q2506">
        <f>WEEKNUM(Table1[[#This Row],[order_date]])</f>
        <v>45</v>
      </c>
      <c r="R2506">
        <f>IF(Table1[[#This Row],[order_status]]="completed",1,0)</f>
        <v>0</v>
      </c>
    </row>
    <row r="2507" spans="1:18" x14ac:dyDescent="0.35">
      <c r="A2507">
        <v>2506</v>
      </c>
      <c r="B2507" s="1">
        <v>45887</v>
      </c>
      <c r="C2507">
        <v>1861</v>
      </c>
      <c r="D2507" t="s">
        <v>32</v>
      </c>
      <c r="E2507" t="s">
        <v>33</v>
      </c>
      <c r="F2507" t="s">
        <v>30</v>
      </c>
      <c r="G2507">
        <v>4</v>
      </c>
      <c r="H2507">
        <v>0</v>
      </c>
      <c r="I2507" t="s">
        <v>25</v>
      </c>
      <c r="J2507" t="s">
        <v>31</v>
      </c>
      <c r="K2507" t="s">
        <v>38</v>
      </c>
      <c r="L2507">
        <v>7</v>
      </c>
      <c r="M2507">
        <v>1</v>
      </c>
      <c r="N2507">
        <v>0</v>
      </c>
      <c r="O2507" t="s">
        <v>21</v>
      </c>
      <c r="P2507" t="str">
        <f>TEXT(Table1[[#This Row],[order_date]],"yyyy-mm")</f>
        <v>2025-08</v>
      </c>
      <c r="Q2507">
        <f>WEEKNUM(Table1[[#This Row],[order_date]])</f>
        <v>34</v>
      </c>
      <c r="R2507">
        <f>IF(Table1[[#This Row],[order_status]]="completed",1,0)</f>
        <v>0</v>
      </c>
    </row>
    <row r="2508" spans="1:18" x14ac:dyDescent="0.35">
      <c r="A2508">
        <v>2507</v>
      </c>
      <c r="B2508" s="1">
        <v>45967</v>
      </c>
      <c r="C2508">
        <v>1282</v>
      </c>
      <c r="D2508" t="s">
        <v>32</v>
      </c>
      <c r="E2508" t="s">
        <v>36</v>
      </c>
      <c r="F2508" t="s">
        <v>24</v>
      </c>
      <c r="G2508">
        <v>1</v>
      </c>
      <c r="H2508">
        <v>0</v>
      </c>
      <c r="I2508" t="s">
        <v>35</v>
      </c>
      <c r="J2508" t="s">
        <v>31</v>
      </c>
      <c r="K2508" t="s">
        <v>38</v>
      </c>
      <c r="L2508">
        <v>7</v>
      </c>
      <c r="M2508">
        <v>0</v>
      </c>
      <c r="N2508">
        <v>0</v>
      </c>
      <c r="O2508" t="s">
        <v>21</v>
      </c>
      <c r="P2508" t="str">
        <f>TEXT(Table1[[#This Row],[order_date]],"yyyy-mm")</f>
        <v>2025-11</v>
      </c>
      <c r="Q2508">
        <f>WEEKNUM(Table1[[#This Row],[order_date]])</f>
        <v>45</v>
      </c>
      <c r="R2508">
        <f>IF(Table1[[#This Row],[order_status]]="completed",1,0)</f>
        <v>0</v>
      </c>
    </row>
    <row r="2509" spans="1:18" x14ac:dyDescent="0.35">
      <c r="A2509">
        <v>2508</v>
      </c>
      <c r="B2509" s="1">
        <v>45925</v>
      </c>
      <c r="C2509">
        <v>1793</v>
      </c>
      <c r="D2509" t="s">
        <v>22</v>
      </c>
      <c r="E2509" t="s">
        <v>36</v>
      </c>
      <c r="F2509" t="s">
        <v>17</v>
      </c>
      <c r="G2509">
        <v>3</v>
      </c>
      <c r="H2509">
        <v>8625</v>
      </c>
      <c r="I2509" t="s">
        <v>35</v>
      </c>
      <c r="J2509" t="s">
        <v>19</v>
      </c>
      <c r="K2509" t="s">
        <v>20</v>
      </c>
      <c r="L2509">
        <v>10</v>
      </c>
      <c r="M2509">
        <v>1</v>
      </c>
      <c r="N2509">
        <v>1</v>
      </c>
      <c r="O2509" t="s">
        <v>27</v>
      </c>
      <c r="P2509" t="str">
        <f>TEXT(Table1[[#This Row],[order_date]],"yyyy-mm")</f>
        <v>2025-09</v>
      </c>
      <c r="Q2509">
        <f>WEEKNUM(Table1[[#This Row],[order_date]])</f>
        <v>39</v>
      </c>
      <c r="R2509">
        <f>IF(Table1[[#This Row],[order_status]]="completed",1,0)</f>
        <v>1</v>
      </c>
    </row>
    <row r="2510" spans="1:18" x14ac:dyDescent="0.35">
      <c r="A2510">
        <v>2509</v>
      </c>
      <c r="B2510" s="1">
        <v>45962</v>
      </c>
      <c r="C2510">
        <v>1592</v>
      </c>
      <c r="D2510" t="s">
        <v>15</v>
      </c>
      <c r="E2510" t="s">
        <v>16</v>
      </c>
      <c r="F2510" t="s">
        <v>17</v>
      </c>
      <c r="G2510">
        <v>1</v>
      </c>
      <c r="H2510">
        <v>0</v>
      </c>
      <c r="I2510" t="s">
        <v>35</v>
      </c>
      <c r="J2510" t="s">
        <v>31</v>
      </c>
      <c r="K2510" t="s">
        <v>38</v>
      </c>
      <c r="L2510">
        <v>7</v>
      </c>
      <c r="M2510">
        <v>0</v>
      </c>
      <c r="N2510">
        <v>0</v>
      </c>
      <c r="O2510" t="s">
        <v>21</v>
      </c>
      <c r="P2510" t="str">
        <f>TEXT(Table1[[#This Row],[order_date]],"yyyy-mm")</f>
        <v>2025-11</v>
      </c>
      <c r="Q2510">
        <f>WEEKNUM(Table1[[#This Row],[order_date]])</f>
        <v>44</v>
      </c>
      <c r="R2510">
        <f>IF(Table1[[#This Row],[order_status]]="completed",1,0)</f>
        <v>0</v>
      </c>
    </row>
    <row r="2511" spans="1:18" x14ac:dyDescent="0.35">
      <c r="A2511">
        <v>2510</v>
      </c>
      <c r="B2511" s="1">
        <v>45883</v>
      </c>
      <c r="C2511">
        <v>1869</v>
      </c>
      <c r="D2511" t="s">
        <v>15</v>
      </c>
      <c r="E2511" t="s">
        <v>29</v>
      </c>
      <c r="F2511" t="s">
        <v>17</v>
      </c>
      <c r="G2511">
        <v>3</v>
      </c>
      <c r="H2511">
        <v>0</v>
      </c>
      <c r="I2511" t="s">
        <v>35</v>
      </c>
      <c r="J2511" t="s">
        <v>37</v>
      </c>
      <c r="K2511" t="s">
        <v>38</v>
      </c>
      <c r="L2511">
        <v>4</v>
      </c>
      <c r="M2511">
        <v>0</v>
      </c>
      <c r="N2511">
        <v>0</v>
      </c>
      <c r="O2511" t="s">
        <v>27</v>
      </c>
      <c r="P2511" t="str">
        <f>TEXT(Table1[[#This Row],[order_date]],"yyyy-mm")</f>
        <v>2025-08</v>
      </c>
      <c r="Q2511">
        <f>WEEKNUM(Table1[[#This Row],[order_date]])</f>
        <v>33</v>
      </c>
      <c r="R2511">
        <f>IF(Table1[[#This Row],[order_status]]="completed",1,0)</f>
        <v>0</v>
      </c>
    </row>
    <row r="2512" spans="1:18" x14ac:dyDescent="0.35">
      <c r="A2512">
        <v>2511</v>
      </c>
      <c r="B2512" s="1">
        <v>45999</v>
      </c>
      <c r="C2512">
        <v>1209</v>
      </c>
      <c r="D2512" t="s">
        <v>22</v>
      </c>
      <c r="E2512" t="s">
        <v>29</v>
      </c>
      <c r="F2512" t="s">
        <v>30</v>
      </c>
      <c r="G2512">
        <v>4</v>
      </c>
      <c r="H2512">
        <v>0</v>
      </c>
      <c r="I2512" t="s">
        <v>39</v>
      </c>
      <c r="J2512" t="s">
        <v>37</v>
      </c>
      <c r="K2512" t="s">
        <v>40</v>
      </c>
      <c r="L2512">
        <v>6</v>
      </c>
      <c r="M2512">
        <v>1</v>
      </c>
      <c r="N2512">
        <v>1</v>
      </c>
      <c r="O2512" t="s">
        <v>21</v>
      </c>
      <c r="P2512" t="str">
        <f>TEXT(Table1[[#This Row],[order_date]],"yyyy-mm")</f>
        <v>2025-12</v>
      </c>
      <c r="Q2512">
        <f>WEEKNUM(Table1[[#This Row],[order_date]])</f>
        <v>50</v>
      </c>
      <c r="R2512">
        <f>IF(Table1[[#This Row],[order_status]]="completed",1,0)</f>
        <v>0</v>
      </c>
    </row>
    <row r="2513" spans="1:18" x14ac:dyDescent="0.35">
      <c r="A2513">
        <v>2512</v>
      </c>
      <c r="B2513" s="1">
        <v>45992</v>
      </c>
      <c r="C2513">
        <v>1144</v>
      </c>
      <c r="D2513" t="s">
        <v>15</v>
      </c>
      <c r="E2513" t="s">
        <v>36</v>
      </c>
      <c r="F2513" t="s">
        <v>30</v>
      </c>
      <c r="G2513">
        <v>2</v>
      </c>
      <c r="H2513">
        <v>0</v>
      </c>
      <c r="I2513" t="s">
        <v>39</v>
      </c>
      <c r="J2513" t="s">
        <v>37</v>
      </c>
      <c r="K2513" t="s">
        <v>26</v>
      </c>
      <c r="L2513">
        <v>4</v>
      </c>
      <c r="M2513">
        <v>0</v>
      </c>
      <c r="N2513">
        <v>1</v>
      </c>
      <c r="O2513" t="s">
        <v>21</v>
      </c>
      <c r="P2513" t="str">
        <f>TEXT(Table1[[#This Row],[order_date]],"yyyy-mm")</f>
        <v>2025-12</v>
      </c>
      <c r="Q2513">
        <f>WEEKNUM(Table1[[#This Row],[order_date]])</f>
        <v>49</v>
      </c>
      <c r="R2513">
        <f>IF(Table1[[#This Row],[order_status]]="completed",1,0)</f>
        <v>0</v>
      </c>
    </row>
    <row r="2514" spans="1:18" x14ac:dyDescent="0.35">
      <c r="A2514">
        <v>2513</v>
      </c>
      <c r="B2514" s="1">
        <v>45909</v>
      </c>
      <c r="C2514">
        <v>1723</v>
      </c>
      <c r="D2514" t="s">
        <v>15</v>
      </c>
      <c r="E2514" t="s">
        <v>36</v>
      </c>
      <c r="F2514" t="s">
        <v>24</v>
      </c>
      <c r="G2514">
        <v>3</v>
      </c>
      <c r="H2514">
        <v>3177</v>
      </c>
      <c r="I2514" t="s">
        <v>35</v>
      </c>
      <c r="J2514" t="s">
        <v>19</v>
      </c>
      <c r="K2514" t="s">
        <v>38</v>
      </c>
      <c r="L2514">
        <v>3</v>
      </c>
      <c r="M2514">
        <v>1</v>
      </c>
      <c r="N2514">
        <v>0</v>
      </c>
      <c r="O2514" t="s">
        <v>27</v>
      </c>
      <c r="P2514" t="str">
        <f>TEXT(Table1[[#This Row],[order_date]],"yyyy-mm")</f>
        <v>2025-09</v>
      </c>
      <c r="Q2514">
        <f>WEEKNUM(Table1[[#This Row],[order_date]])</f>
        <v>37</v>
      </c>
      <c r="R2514">
        <f>IF(Table1[[#This Row],[order_status]]="completed",1,0)</f>
        <v>1</v>
      </c>
    </row>
    <row r="2515" spans="1:18" x14ac:dyDescent="0.35">
      <c r="A2515">
        <v>2514</v>
      </c>
      <c r="B2515" s="1">
        <v>45974</v>
      </c>
      <c r="C2515">
        <v>1898</v>
      </c>
      <c r="D2515" t="s">
        <v>15</v>
      </c>
      <c r="E2515" t="s">
        <v>33</v>
      </c>
      <c r="F2515" t="s">
        <v>30</v>
      </c>
      <c r="G2515">
        <v>1</v>
      </c>
      <c r="H2515">
        <v>1324</v>
      </c>
      <c r="I2515" t="s">
        <v>35</v>
      </c>
      <c r="J2515" t="s">
        <v>19</v>
      </c>
      <c r="K2515" t="s">
        <v>40</v>
      </c>
      <c r="L2515">
        <v>4</v>
      </c>
      <c r="M2515">
        <v>0</v>
      </c>
      <c r="N2515">
        <v>1</v>
      </c>
      <c r="O2515" t="s">
        <v>27</v>
      </c>
      <c r="P2515" t="str">
        <f>TEXT(Table1[[#This Row],[order_date]],"yyyy-mm")</f>
        <v>2025-11</v>
      </c>
      <c r="Q2515">
        <f>WEEKNUM(Table1[[#This Row],[order_date]])</f>
        <v>46</v>
      </c>
      <c r="R2515">
        <f>IF(Table1[[#This Row],[order_status]]="completed",1,0)</f>
        <v>1</v>
      </c>
    </row>
    <row r="2516" spans="1:18" x14ac:dyDescent="0.35">
      <c r="A2516">
        <v>2515</v>
      </c>
      <c r="B2516" s="1">
        <v>45986</v>
      </c>
      <c r="C2516">
        <v>1327</v>
      </c>
      <c r="D2516" t="s">
        <v>15</v>
      </c>
      <c r="E2516" t="s">
        <v>29</v>
      </c>
      <c r="F2516" t="s">
        <v>30</v>
      </c>
      <c r="G2516">
        <v>2</v>
      </c>
      <c r="H2516">
        <v>0</v>
      </c>
      <c r="I2516" t="s">
        <v>18</v>
      </c>
      <c r="J2516" t="s">
        <v>37</v>
      </c>
      <c r="K2516" t="s">
        <v>38</v>
      </c>
      <c r="L2516">
        <v>5</v>
      </c>
      <c r="M2516">
        <v>1</v>
      </c>
      <c r="N2516">
        <v>1</v>
      </c>
      <c r="O2516" t="s">
        <v>21</v>
      </c>
      <c r="P2516" t="str">
        <f>TEXT(Table1[[#This Row],[order_date]],"yyyy-mm")</f>
        <v>2025-11</v>
      </c>
      <c r="Q2516">
        <f>WEEKNUM(Table1[[#This Row],[order_date]])</f>
        <v>48</v>
      </c>
      <c r="R2516">
        <f>IF(Table1[[#This Row],[order_status]]="completed",1,0)</f>
        <v>0</v>
      </c>
    </row>
    <row r="2517" spans="1:18" x14ac:dyDescent="0.35">
      <c r="A2517">
        <v>2516</v>
      </c>
      <c r="B2517" s="1">
        <v>45900</v>
      </c>
      <c r="C2517">
        <v>1940</v>
      </c>
      <c r="D2517" t="s">
        <v>22</v>
      </c>
      <c r="E2517" t="s">
        <v>16</v>
      </c>
      <c r="F2517" t="s">
        <v>24</v>
      </c>
      <c r="G2517">
        <v>5</v>
      </c>
      <c r="H2517">
        <v>22900</v>
      </c>
      <c r="I2517" t="s">
        <v>35</v>
      </c>
      <c r="J2517" t="s">
        <v>19</v>
      </c>
      <c r="K2517" t="s">
        <v>38</v>
      </c>
      <c r="L2517">
        <v>6</v>
      </c>
      <c r="M2517">
        <v>1</v>
      </c>
      <c r="N2517">
        <v>0</v>
      </c>
      <c r="O2517" t="s">
        <v>21</v>
      </c>
      <c r="P2517" t="str">
        <f>TEXT(Table1[[#This Row],[order_date]],"yyyy-mm")</f>
        <v>2025-08</v>
      </c>
      <c r="Q2517">
        <f>WEEKNUM(Table1[[#This Row],[order_date]])</f>
        <v>36</v>
      </c>
      <c r="R2517">
        <f>IF(Table1[[#This Row],[order_status]]="completed",1,0)</f>
        <v>1</v>
      </c>
    </row>
    <row r="2518" spans="1:18" x14ac:dyDescent="0.35">
      <c r="A2518">
        <v>2517</v>
      </c>
      <c r="B2518" s="1">
        <v>45888</v>
      </c>
      <c r="C2518">
        <v>1080</v>
      </c>
      <c r="D2518" t="s">
        <v>32</v>
      </c>
      <c r="E2518" t="s">
        <v>23</v>
      </c>
      <c r="F2518" t="s">
        <v>17</v>
      </c>
      <c r="G2518">
        <v>5</v>
      </c>
      <c r="H2518">
        <v>20895</v>
      </c>
      <c r="I2518" t="s">
        <v>18</v>
      </c>
      <c r="J2518" t="s">
        <v>19</v>
      </c>
      <c r="K2518" t="s">
        <v>38</v>
      </c>
      <c r="L2518">
        <v>2</v>
      </c>
      <c r="M2518">
        <v>0</v>
      </c>
      <c r="N2518">
        <v>0</v>
      </c>
      <c r="O2518" t="s">
        <v>27</v>
      </c>
      <c r="P2518" t="str">
        <f>TEXT(Table1[[#This Row],[order_date]],"yyyy-mm")</f>
        <v>2025-08</v>
      </c>
      <c r="Q2518">
        <f>WEEKNUM(Table1[[#This Row],[order_date]])</f>
        <v>34</v>
      </c>
      <c r="R2518">
        <f>IF(Table1[[#This Row],[order_status]]="completed",1,0)</f>
        <v>1</v>
      </c>
    </row>
    <row r="2519" spans="1:18" x14ac:dyDescent="0.35">
      <c r="A2519">
        <v>2518</v>
      </c>
      <c r="B2519" s="1">
        <v>45880</v>
      </c>
      <c r="C2519">
        <v>1766</v>
      </c>
      <c r="D2519" t="s">
        <v>15</v>
      </c>
      <c r="E2519" t="s">
        <v>23</v>
      </c>
      <c r="F2519" t="s">
        <v>17</v>
      </c>
      <c r="G2519">
        <v>1</v>
      </c>
      <c r="H2519">
        <v>265</v>
      </c>
      <c r="I2519" t="s">
        <v>39</v>
      </c>
      <c r="J2519" t="s">
        <v>19</v>
      </c>
      <c r="K2519" t="s">
        <v>26</v>
      </c>
      <c r="L2519">
        <v>3</v>
      </c>
      <c r="M2519">
        <v>0</v>
      </c>
      <c r="N2519">
        <v>1</v>
      </c>
      <c r="O2519" t="s">
        <v>21</v>
      </c>
      <c r="P2519" t="str">
        <f>TEXT(Table1[[#This Row],[order_date]],"yyyy-mm")</f>
        <v>2025-08</v>
      </c>
      <c r="Q2519">
        <f>WEEKNUM(Table1[[#This Row],[order_date]])</f>
        <v>33</v>
      </c>
      <c r="R2519">
        <f>IF(Table1[[#This Row],[order_status]]="completed",1,0)</f>
        <v>1</v>
      </c>
    </row>
    <row r="2520" spans="1:18" x14ac:dyDescent="0.35">
      <c r="A2520">
        <v>2519</v>
      </c>
      <c r="B2520" s="1">
        <v>45970</v>
      </c>
      <c r="C2520">
        <v>1264</v>
      </c>
      <c r="D2520" t="s">
        <v>22</v>
      </c>
      <c r="E2520" t="s">
        <v>16</v>
      </c>
      <c r="F2520" t="s">
        <v>24</v>
      </c>
      <c r="G2520">
        <v>3</v>
      </c>
      <c r="H2520">
        <v>0</v>
      </c>
      <c r="I2520" t="s">
        <v>25</v>
      </c>
      <c r="J2520" t="s">
        <v>31</v>
      </c>
      <c r="K2520" t="s">
        <v>20</v>
      </c>
      <c r="L2520">
        <v>7</v>
      </c>
      <c r="M2520">
        <v>1</v>
      </c>
      <c r="N2520">
        <v>0</v>
      </c>
      <c r="O2520" t="s">
        <v>21</v>
      </c>
      <c r="P2520" t="str">
        <f>TEXT(Table1[[#This Row],[order_date]],"yyyy-mm")</f>
        <v>2025-11</v>
      </c>
      <c r="Q2520">
        <f>WEEKNUM(Table1[[#This Row],[order_date]])</f>
        <v>46</v>
      </c>
      <c r="R2520">
        <f>IF(Table1[[#This Row],[order_status]]="completed",1,0)</f>
        <v>0</v>
      </c>
    </row>
    <row r="2521" spans="1:18" x14ac:dyDescent="0.35">
      <c r="A2521">
        <v>2520</v>
      </c>
      <c r="B2521" s="1">
        <v>45876</v>
      </c>
      <c r="C2521">
        <v>1108</v>
      </c>
      <c r="D2521" t="s">
        <v>32</v>
      </c>
      <c r="E2521" t="s">
        <v>16</v>
      </c>
      <c r="F2521" t="s">
        <v>34</v>
      </c>
      <c r="G2521">
        <v>1</v>
      </c>
      <c r="H2521">
        <v>0</v>
      </c>
      <c r="I2521" t="s">
        <v>25</v>
      </c>
      <c r="J2521" t="s">
        <v>37</v>
      </c>
      <c r="K2521" t="s">
        <v>38</v>
      </c>
      <c r="L2521">
        <v>6</v>
      </c>
      <c r="M2521">
        <v>0</v>
      </c>
      <c r="N2521">
        <v>0</v>
      </c>
      <c r="O2521" t="s">
        <v>21</v>
      </c>
      <c r="P2521" t="str">
        <f>TEXT(Table1[[#This Row],[order_date]],"yyyy-mm")</f>
        <v>2025-08</v>
      </c>
      <c r="Q2521">
        <f>WEEKNUM(Table1[[#This Row],[order_date]])</f>
        <v>32</v>
      </c>
      <c r="R2521">
        <f>IF(Table1[[#This Row],[order_status]]="completed",1,0)</f>
        <v>0</v>
      </c>
    </row>
    <row r="2522" spans="1:18" x14ac:dyDescent="0.35">
      <c r="A2522">
        <v>2521</v>
      </c>
      <c r="B2522" s="1">
        <v>45993</v>
      </c>
      <c r="C2522">
        <v>1348</v>
      </c>
      <c r="D2522" t="s">
        <v>28</v>
      </c>
      <c r="E2522" t="s">
        <v>36</v>
      </c>
      <c r="F2522" t="s">
        <v>17</v>
      </c>
      <c r="G2522">
        <v>3</v>
      </c>
      <c r="H2522">
        <v>0</v>
      </c>
      <c r="I2522" t="s">
        <v>35</v>
      </c>
      <c r="J2522" t="s">
        <v>31</v>
      </c>
      <c r="K2522" t="s">
        <v>26</v>
      </c>
      <c r="L2522">
        <v>2</v>
      </c>
      <c r="M2522">
        <v>1</v>
      </c>
      <c r="N2522">
        <v>1</v>
      </c>
      <c r="O2522" t="s">
        <v>27</v>
      </c>
      <c r="P2522" t="str">
        <f>TEXT(Table1[[#This Row],[order_date]],"yyyy-mm")</f>
        <v>2025-12</v>
      </c>
      <c r="Q2522">
        <f>WEEKNUM(Table1[[#This Row],[order_date]])</f>
        <v>49</v>
      </c>
      <c r="R2522">
        <f>IF(Table1[[#This Row],[order_status]]="completed",1,0)</f>
        <v>0</v>
      </c>
    </row>
    <row r="2523" spans="1:18" x14ac:dyDescent="0.35">
      <c r="A2523">
        <v>2522</v>
      </c>
      <c r="B2523" s="1">
        <v>45935</v>
      </c>
      <c r="C2523">
        <v>1803</v>
      </c>
      <c r="D2523" t="s">
        <v>41</v>
      </c>
      <c r="E2523" t="s">
        <v>23</v>
      </c>
      <c r="F2523" t="s">
        <v>17</v>
      </c>
      <c r="G2523">
        <v>1</v>
      </c>
      <c r="H2523">
        <v>0</v>
      </c>
      <c r="I2523" t="s">
        <v>25</v>
      </c>
      <c r="J2523" t="s">
        <v>31</v>
      </c>
      <c r="K2523" t="s">
        <v>38</v>
      </c>
      <c r="L2523">
        <v>6</v>
      </c>
      <c r="M2523">
        <v>0</v>
      </c>
      <c r="N2523">
        <v>1</v>
      </c>
      <c r="O2523" t="s">
        <v>27</v>
      </c>
      <c r="P2523" t="str">
        <f>TEXT(Table1[[#This Row],[order_date]],"yyyy-mm")</f>
        <v>2025-10</v>
      </c>
      <c r="Q2523">
        <f>WEEKNUM(Table1[[#This Row],[order_date]])</f>
        <v>41</v>
      </c>
      <c r="R2523">
        <f>IF(Table1[[#This Row],[order_status]]="completed",1,0)</f>
        <v>0</v>
      </c>
    </row>
    <row r="2524" spans="1:18" x14ac:dyDescent="0.35">
      <c r="A2524">
        <v>2523</v>
      </c>
      <c r="B2524" s="1">
        <v>46026</v>
      </c>
      <c r="C2524">
        <v>1283</v>
      </c>
      <c r="D2524" t="s">
        <v>41</v>
      </c>
      <c r="E2524" t="s">
        <v>36</v>
      </c>
      <c r="F2524" t="s">
        <v>34</v>
      </c>
      <c r="G2524">
        <v>3</v>
      </c>
      <c r="H2524">
        <v>0</v>
      </c>
      <c r="I2524" t="s">
        <v>25</v>
      </c>
      <c r="J2524" t="s">
        <v>37</v>
      </c>
      <c r="K2524" t="s">
        <v>26</v>
      </c>
      <c r="L2524">
        <v>4</v>
      </c>
      <c r="M2524">
        <v>0</v>
      </c>
      <c r="N2524">
        <v>0</v>
      </c>
      <c r="O2524" t="s">
        <v>21</v>
      </c>
      <c r="P2524" t="str">
        <f>TEXT(Table1[[#This Row],[order_date]],"yyyy-mm")</f>
        <v>2026-01</v>
      </c>
      <c r="Q2524">
        <f>WEEKNUM(Table1[[#This Row],[order_date]])</f>
        <v>2</v>
      </c>
      <c r="R2524">
        <f>IF(Table1[[#This Row],[order_status]]="completed",1,0)</f>
        <v>0</v>
      </c>
    </row>
    <row r="2525" spans="1:18" x14ac:dyDescent="0.35">
      <c r="A2525">
        <v>2524</v>
      </c>
      <c r="B2525" s="1">
        <v>45964</v>
      </c>
      <c r="C2525">
        <v>1214</v>
      </c>
      <c r="D2525" t="s">
        <v>28</v>
      </c>
      <c r="E2525" t="s">
        <v>36</v>
      </c>
      <c r="F2525" t="s">
        <v>34</v>
      </c>
      <c r="G2525">
        <v>2</v>
      </c>
      <c r="H2525">
        <v>2068</v>
      </c>
      <c r="I2525" t="s">
        <v>18</v>
      </c>
      <c r="J2525" t="s">
        <v>19</v>
      </c>
      <c r="K2525" t="s">
        <v>38</v>
      </c>
      <c r="L2525">
        <v>5</v>
      </c>
      <c r="M2525">
        <v>1</v>
      </c>
      <c r="N2525">
        <v>0</v>
      </c>
      <c r="O2525" t="s">
        <v>21</v>
      </c>
      <c r="P2525" t="str">
        <f>TEXT(Table1[[#This Row],[order_date]],"yyyy-mm")</f>
        <v>2025-11</v>
      </c>
      <c r="Q2525">
        <f>WEEKNUM(Table1[[#This Row],[order_date]])</f>
        <v>45</v>
      </c>
      <c r="R2525">
        <f>IF(Table1[[#This Row],[order_status]]="completed",1,0)</f>
        <v>1</v>
      </c>
    </row>
    <row r="2526" spans="1:18" x14ac:dyDescent="0.35">
      <c r="A2526">
        <v>2525</v>
      </c>
      <c r="B2526" s="1">
        <v>45898</v>
      </c>
      <c r="C2526">
        <v>1052</v>
      </c>
      <c r="D2526" t="s">
        <v>32</v>
      </c>
      <c r="E2526" t="s">
        <v>23</v>
      </c>
      <c r="F2526" t="s">
        <v>24</v>
      </c>
      <c r="G2526">
        <v>3</v>
      </c>
      <c r="H2526">
        <v>0</v>
      </c>
      <c r="I2526" t="s">
        <v>18</v>
      </c>
      <c r="J2526" t="s">
        <v>31</v>
      </c>
      <c r="K2526" t="s">
        <v>20</v>
      </c>
      <c r="L2526">
        <v>2</v>
      </c>
      <c r="M2526">
        <v>0</v>
      </c>
      <c r="N2526">
        <v>1</v>
      </c>
      <c r="O2526" t="s">
        <v>21</v>
      </c>
      <c r="P2526" t="str">
        <f>TEXT(Table1[[#This Row],[order_date]],"yyyy-mm")</f>
        <v>2025-08</v>
      </c>
      <c r="Q2526">
        <f>WEEKNUM(Table1[[#This Row],[order_date]])</f>
        <v>35</v>
      </c>
      <c r="R2526">
        <f>IF(Table1[[#This Row],[order_status]]="completed",1,0)</f>
        <v>0</v>
      </c>
    </row>
    <row r="2527" spans="1:18" x14ac:dyDescent="0.35">
      <c r="A2527">
        <v>2526</v>
      </c>
      <c r="B2527" s="1">
        <v>46022</v>
      </c>
      <c r="C2527">
        <v>1659</v>
      </c>
      <c r="D2527" t="s">
        <v>15</v>
      </c>
      <c r="E2527" t="s">
        <v>36</v>
      </c>
      <c r="F2527" t="s">
        <v>24</v>
      </c>
      <c r="G2527">
        <v>1</v>
      </c>
      <c r="H2527">
        <v>0</v>
      </c>
      <c r="I2527" t="s">
        <v>18</v>
      </c>
      <c r="J2527" t="s">
        <v>37</v>
      </c>
      <c r="K2527" t="s">
        <v>40</v>
      </c>
      <c r="L2527">
        <v>8</v>
      </c>
      <c r="M2527">
        <v>1</v>
      </c>
      <c r="N2527">
        <v>0</v>
      </c>
      <c r="O2527" t="s">
        <v>21</v>
      </c>
      <c r="P2527" t="str">
        <f>TEXT(Table1[[#This Row],[order_date]],"yyyy-mm")</f>
        <v>2025-12</v>
      </c>
      <c r="Q2527">
        <f>WEEKNUM(Table1[[#This Row],[order_date]])</f>
        <v>53</v>
      </c>
      <c r="R2527">
        <f>IF(Table1[[#This Row],[order_status]]="completed",1,0)</f>
        <v>0</v>
      </c>
    </row>
    <row r="2528" spans="1:18" x14ac:dyDescent="0.35">
      <c r="A2528">
        <v>2527</v>
      </c>
      <c r="B2528" s="1">
        <v>45968</v>
      </c>
      <c r="C2528">
        <v>1638</v>
      </c>
      <c r="D2528" t="s">
        <v>22</v>
      </c>
      <c r="E2528" t="s">
        <v>23</v>
      </c>
      <c r="F2528" t="s">
        <v>17</v>
      </c>
      <c r="G2528">
        <v>2</v>
      </c>
      <c r="H2528">
        <v>0</v>
      </c>
      <c r="I2528" t="s">
        <v>18</v>
      </c>
      <c r="J2528" t="s">
        <v>31</v>
      </c>
      <c r="K2528" t="s">
        <v>26</v>
      </c>
      <c r="L2528">
        <v>2</v>
      </c>
      <c r="M2528">
        <v>0</v>
      </c>
      <c r="N2528">
        <v>1</v>
      </c>
      <c r="O2528" t="s">
        <v>27</v>
      </c>
      <c r="P2528" t="str">
        <f>TEXT(Table1[[#This Row],[order_date]],"yyyy-mm")</f>
        <v>2025-11</v>
      </c>
      <c r="Q2528">
        <f>WEEKNUM(Table1[[#This Row],[order_date]])</f>
        <v>45</v>
      </c>
      <c r="R2528">
        <f>IF(Table1[[#This Row],[order_status]]="completed",1,0)</f>
        <v>0</v>
      </c>
    </row>
    <row r="2529" spans="1:18" x14ac:dyDescent="0.35">
      <c r="A2529">
        <v>2528</v>
      </c>
      <c r="B2529" s="1">
        <v>45853</v>
      </c>
      <c r="C2529">
        <v>1224</v>
      </c>
      <c r="D2529" t="s">
        <v>28</v>
      </c>
      <c r="E2529" t="s">
        <v>16</v>
      </c>
      <c r="F2529" t="s">
        <v>17</v>
      </c>
      <c r="G2529">
        <v>1</v>
      </c>
      <c r="H2529">
        <v>4196</v>
      </c>
      <c r="I2529" t="s">
        <v>25</v>
      </c>
      <c r="J2529" t="s">
        <v>19</v>
      </c>
      <c r="K2529" t="s">
        <v>26</v>
      </c>
      <c r="L2529">
        <v>8</v>
      </c>
      <c r="M2529">
        <v>1</v>
      </c>
      <c r="N2529">
        <v>0</v>
      </c>
      <c r="O2529" t="s">
        <v>27</v>
      </c>
      <c r="P2529" t="str">
        <f>TEXT(Table1[[#This Row],[order_date]],"yyyy-mm")</f>
        <v>2025-07</v>
      </c>
      <c r="Q2529">
        <f>WEEKNUM(Table1[[#This Row],[order_date]])</f>
        <v>29</v>
      </c>
      <c r="R2529">
        <f>IF(Table1[[#This Row],[order_status]]="completed",1,0)</f>
        <v>1</v>
      </c>
    </row>
    <row r="2530" spans="1:18" x14ac:dyDescent="0.35">
      <c r="A2530">
        <v>2529</v>
      </c>
      <c r="B2530" s="1">
        <v>46007</v>
      </c>
      <c r="C2530">
        <v>1270</v>
      </c>
      <c r="D2530" t="s">
        <v>28</v>
      </c>
      <c r="E2530" t="s">
        <v>16</v>
      </c>
      <c r="F2530" t="s">
        <v>17</v>
      </c>
      <c r="G2530">
        <v>1</v>
      </c>
      <c r="H2530">
        <v>2073</v>
      </c>
      <c r="I2530" t="s">
        <v>25</v>
      </c>
      <c r="J2530" t="s">
        <v>19</v>
      </c>
      <c r="K2530" t="s">
        <v>20</v>
      </c>
      <c r="L2530">
        <v>4</v>
      </c>
      <c r="M2530">
        <v>0</v>
      </c>
      <c r="N2530">
        <v>1</v>
      </c>
      <c r="O2530" t="s">
        <v>27</v>
      </c>
      <c r="P2530" t="str">
        <f>TEXT(Table1[[#This Row],[order_date]],"yyyy-mm")</f>
        <v>2025-12</v>
      </c>
      <c r="Q2530">
        <f>WEEKNUM(Table1[[#This Row],[order_date]])</f>
        <v>51</v>
      </c>
      <c r="R2530">
        <f>IF(Table1[[#This Row],[order_status]]="completed",1,0)</f>
        <v>1</v>
      </c>
    </row>
    <row r="2531" spans="1:18" x14ac:dyDescent="0.35">
      <c r="A2531">
        <v>2530</v>
      </c>
      <c r="B2531" s="1">
        <v>45975</v>
      </c>
      <c r="C2531">
        <v>1517</v>
      </c>
      <c r="D2531" t="s">
        <v>22</v>
      </c>
      <c r="E2531" t="s">
        <v>23</v>
      </c>
      <c r="F2531" t="s">
        <v>17</v>
      </c>
      <c r="G2531">
        <v>5</v>
      </c>
      <c r="H2531">
        <v>0</v>
      </c>
      <c r="I2531" t="s">
        <v>18</v>
      </c>
      <c r="J2531" t="s">
        <v>37</v>
      </c>
      <c r="K2531" t="s">
        <v>26</v>
      </c>
      <c r="L2531">
        <v>8</v>
      </c>
      <c r="M2531">
        <v>0</v>
      </c>
      <c r="N2531">
        <v>1</v>
      </c>
      <c r="O2531" t="s">
        <v>21</v>
      </c>
      <c r="P2531" t="str">
        <f>TEXT(Table1[[#This Row],[order_date]],"yyyy-mm")</f>
        <v>2025-11</v>
      </c>
      <c r="Q2531">
        <f>WEEKNUM(Table1[[#This Row],[order_date]])</f>
        <v>46</v>
      </c>
      <c r="R2531">
        <f>IF(Table1[[#This Row],[order_status]]="completed",1,0)</f>
        <v>0</v>
      </c>
    </row>
    <row r="2532" spans="1:18" x14ac:dyDescent="0.35">
      <c r="A2532">
        <v>2531</v>
      </c>
      <c r="B2532" s="1">
        <v>45912</v>
      </c>
      <c r="C2532">
        <v>1905</v>
      </c>
      <c r="D2532" t="s">
        <v>22</v>
      </c>
      <c r="E2532" t="s">
        <v>29</v>
      </c>
      <c r="F2532" t="s">
        <v>24</v>
      </c>
      <c r="G2532">
        <v>4</v>
      </c>
      <c r="H2532">
        <v>8600</v>
      </c>
      <c r="I2532" t="s">
        <v>25</v>
      </c>
      <c r="J2532" t="s">
        <v>19</v>
      </c>
      <c r="K2532" t="s">
        <v>38</v>
      </c>
      <c r="L2532">
        <v>10</v>
      </c>
      <c r="M2532">
        <v>0</v>
      </c>
      <c r="N2532">
        <v>1</v>
      </c>
      <c r="O2532" t="s">
        <v>21</v>
      </c>
      <c r="P2532" t="str">
        <f>TEXT(Table1[[#This Row],[order_date]],"yyyy-mm")</f>
        <v>2025-09</v>
      </c>
      <c r="Q2532">
        <f>WEEKNUM(Table1[[#This Row],[order_date]])</f>
        <v>37</v>
      </c>
      <c r="R2532">
        <f>IF(Table1[[#This Row],[order_status]]="completed",1,0)</f>
        <v>1</v>
      </c>
    </row>
    <row r="2533" spans="1:18" x14ac:dyDescent="0.35">
      <c r="A2533">
        <v>2532</v>
      </c>
      <c r="B2533" s="1">
        <v>45910</v>
      </c>
      <c r="C2533">
        <v>1920</v>
      </c>
      <c r="D2533" t="s">
        <v>28</v>
      </c>
      <c r="E2533" t="s">
        <v>16</v>
      </c>
      <c r="F2533" t="s">
        <v>24</v>
      </c>
      <c r="G2533">
        <v>5</v>
      </c>
      <c r="H2533">
        <v>0</v>
      </c>
      <c r="I2533" t="s">
        <v>39</v>
      </c>
      <c r="J2533" t="s">
        <v>31</v>
      </c>
      <c r="K2533" t="s">
        <v>38</v>
      </c>
      <c r="L2533">
        <v>5</v>
      </c>
      <c r="M2533">
        <v>0</v>
      </c>
      <c r="N2533">
        <v>0</v>
      </c>
      <c r="O2533" t="s">
        <v>21</v>
      </c>
      <c r="P2533" t="str">
        <f>TEXT(Table1[[#This Row],[order_date]],"yyyy-mm")</f>
        <v>2025-09</v>
      </c>
      <c r="Q2533">
        <f>WEEKNUM(Table1[[#This Row],[order_date]])</f>
        <v>37</v>
      </c>
      <c r="R2533">
        <f>IF(Table1[[#This Row],[order_status]]="completed",1,0)</f>
        <v>0</v>
      </c>
    </row>
    <row r="2534" spans="1:18" x14ac:dyDescent="0.35">
      <c r="A2534">
        <v>2533</v>
      </c>
      <c r="B2534" s="1">
        <v>46013</v>
      </c>
      <c r="C2534">
        <v>1741</v>
      </c>
      <c r="D2534" t="s">
        <v>41</v>
      </c>
      <c r="E2534" t="s">
        <v>33</v>
      </c>
      <c r="F2534" t="s">
        <v>17</v>
      </c>
      <c r="G2534">
        <v>5</v>
      </c>
      <c r="H2534">
        <v>0</v>
      </c>
      <c r="I2534" t="s">
        <v>39</v>
      </c>
      <c r="J2534" t="s">
        <v>31</v>
      </c>
      <c r="K2534" t="s">
        <v>26</v>
      </c>
      <c r="L2534">
        <v>7</v>
      </c>
      <c r="M2534">
        <v>0</v>
      </c>
      <c r="N2534">
        <v>1</v>
      </c>
      <c r="O2534" t="s">
        <v>21</v>
      </c>
      <c r="P2534" t="str">
        <f>TEXT(Table1[[#This Row],[order_date]],"yyyy-mm")</f>
        <v>2025-12</v>
      </c>
      <c r="Q2534">
        <f>WEEKNUM(Table1[[#This Row],[order_date]])</f>
        <v>52</v>
      </c>
      <c r="R2534">
        <f>IF(Table1[[#This Row],[order_status]]="completed",1,0)</f>
        <v>0</v>
      </c>
    </row>
    <row r="2535" spans="1:18" x14ac:dyDescent="0.35">
      <c r="A2535">
        <v>2534</v>
      </c>
      <c r="B2535" s="1">
        <v>46014</v>
      </c>
      <c r="C2535">
        <v>1945</v>
      </c>
      <c r="D2535" t="s">
        <v>15</v>
      </c>
      <c r="E2535" t="s">
        <v>36</v>
      </c>
      <c r="F2535" t="s">
        <v>34</v>
      </c>
      <c r="G2535">
        <v>5</v>
      </c>
      <c r="H2535">
        <v>2490</v>
      </c>
      <c r="I2535" t="s">
        <v>25</v>
      </c>
      <c r="J2535" t="s">
        <v>19</v>
      </c>
      <c r="K2535" t="s">
        <v>38</v>
      </c>
      <c r="L2535">
        <v>2</v>
      </c>
      <c r="M2535">
        <v>1</v>
      </c>
      <c r="N2535">
        <v>0</v>
      </c>
      <c r="O2535" t="s">
        <v>27</v>
      </c>
      <c r="P2535" t="str">
        <f>TEXT(Table1[[#This Row],[order_date]],"yyyy-mm")</f>
        <v>2025-12</v>
      </c>
      <c r="Q2535">
        <f>WEEKNUM(Table1[[#This Row],[order_date]])</f>
        <v>52</v>
      </c>
      <c r="R2535">
        <f>IF(Table1[[#This Row],[order_status]]="completed",1,0)</f>
        <v>1</v>
      </c>
    </row>
    <row r="2536" spans="1:18" x14ac:dyDescent="0.35">
      <c r="A2536">
        <v>2535</v>
      </c>
      <c r="B2536" s="1">
        <v>46010</v>
      </c>
      <c r="C2536">
        <v>1103</v>
      </c>
      <c r="D2536" t="s">
        <v>15</v>
      </c>
      <c r="E2536" t="s">
        <v>23</v>
      </c>
      <c r="F2536" t="s">
        <v>30</v>
      </c>
      <c r="G2536">
        <v>2</v>
      </c>
      <c r="H2536">
        <v>0</v>
      </c>
      <c r="I2536" t="s">
        <v>25</v>
      </c>
      <c r="J2536" t="s">
        <v>37</v>
      </c>
      <c r="K2536" t="s">
        <v>20</v>
      </c>
      <c r="L2536">
        <v>3</v>
      </c>
      <c r="M2536">
        <v>1</v>
      </c>
      <c r="N2536">
        <v>0</v>
      </c>
      <c r="O2536" t="s">
        <v>27</v>
      </c>
      <c r="P2536" t="str">
        <f>TEXT(Table1[[#This Row],[order_date]],"yyyy-mm")</f>
        <v>2025-12</v>
      </c>
      <c r="Q2536">
        <f>WEEKNUM(Table1[[#This Row],[order_date]])</f>
        <v>51</v>
      </c>
      <c r="R2536">
        <f>IF(Table1[[#This Row],[order_status]]="completed",1,0)</f>
        <v>0</v>
      </c>
    </row>
    <row r="2537" spans="1:18" x14ac:dyDescent="0.35">
      <c r="A2537">
        <v>2536</v>
      </c>
      <c r="B2537" s="1">
        <v>45922</v>
      </c>
      <c r="C2537">
        <v>1453</v>
      </c>
      <c r="D2537" t="s">
        <v>15</v>
      </c>
      <c r="E2537" t="s">
        <v>36</v>
      </c>
      <c r="F2537" t="s">
        <v>24</v>
      </c>
      <c r="G2537">
        <v>1</v>
      </c>
      <c r="H2537">
        <v>1643</v>
      </c>
      <c r="I2537" t="s">
        <v>25</v>
      </c>
      <c r="J2537" t="s">
        <v>19</v>
      </c>
      <c r="K2537" t="s">
        <v>20</v>
      </c>
      <c r="L2537">
        <v>5</v>
      </c>
      <c r="M2537">
        <v>1</v>
      </c>
      <c r="N2537">
        <v>0</v>
      </c>
      <c r="O2537" t="s">
        <v>21</v>
      </c>
      <c r="P2537" t="str">
        <f>TEXT(Table1[[#This Row],[order_date]],"yyyy-mm")</f>
        <v>2025-09</v>
      </c>
      <c r="Q2537">
        <f>WEEKNUM(Table1[[#This Row],[order_date]])</f>
        <v>39</v>
      </c>
      <c r="R2537">
        <f>IF(Table1[[#This Row],[order_status]]="completed",1,0)</f>
        <v>1</v>
      </c>
    </row>
    <row r="2538" spans="1:18" x14ac:dyDescent="0.35">
      <c r="A2538">
        <v>2537</v>
      </c>
      <c r="B2538" s="1">
        <v>46013</v>
      </c>
      <c r="C2538">
        <v>1888</v>
      </c>
      <c r="D2538" t="s">
        <v>41</v>
      </c>
      <c r="E2538" t="s">
        <v>33</v>
      </c>
      <c r="F2538" t="s">
        <v>17</v>
      </c>
      <c r="G2538">
        <v>3</v>
      </c>
      <c r="H2538">
        <v>0</v>
      </c>
      <c r="I2538" t="s">
        <v>35</v>
      </c>
      <c r="J2538" t="s">
        <v>37</v>
      </c>
      <c r="K2538" t="s">
        <v>40</v>
      </c>
      <c r="L2538">
        <v>3</v>
      </c>
      <c r="M2538">
        <v>0</v>
      </c>
      <c r="N2538">
        <v>0</v>
      </c>
      <c r="O2538" t="s">
        <v>27</v>
      </c>
      <c r="P2538" t="str">
        <f>TEXT(Table1[[#This Row],[order_date]],"yyyy-mm")</f>
        <v>2025-12</v>
      </c>
      <c r="Q2538">
        <f>WEEKNUM(Table1[[#This Row],[order_date]])</f>
        <v>52</v>
      </c>
      <c r="R2538">
        <f>IF(Table1[[#This Row],[order_status]]="completed",1,0)</f>
        <v>0</v>
      </c>
    </row>
    <row r="2539" spans="1:18" x14ac:dyDescent="0.35">
      <c r="A2539">
        <v>2538</v>
      </c>
      <c r="B2539" s="1">
        <v>46015</v>
      </c>
      <c r="C2539">
        <v>1025</v>
      </c>
      <c r="D2539" t="s">
        <v>15</v>
      </c>
      <c r="E2539" t="s">
        <v>33</v>
      </c>
      <c r="F2539" t="s">
        <v>34</v>
      </c>
      <c r="G2539">
        <v>5</v>
      </c>
      <c r="H2539">
        <v>17985</v>
      </c>
      <c r="I2539" t="s">
        <v>39</v>
      </c>
      <c r="J2539" t="s">
        <v>19</v>
      </c>
      <c r="K2539" t="s">
        <v>40</v>
      </c>
      <c r="L2539">
        <v>6</v>
      </c>
      <c r="M2539">
        <v>1</v>
      </c>
      <c r="N2539">
        <v>1</v>
      </c>
      <c r="O2539" t="s">
        <v>21</v>
      </c>
      <c r="P2539" t="str">
        <f>TEXT(Table1[[#This Row],[order_date]],"yyyy-mm")</f>
        <v>2025-12</v>
      </c>
      <c r="Q2539">
        <f>WEEKNUM(Table1[[#This Row],[order_date]])</f>
        <v>52</v>
      </c>
      <c r="R2539">
        <f>IF(Table1[[#This Row],[order_status]]="completed",1,0)</f>
        <v>1</v>
      </c>
    </row>
    <row r="2540" spans="1:18" x14ac:dyDescent="0.35">
      <c r="A2540">
        <v>2539</v>
      </c>
      <c r="B2540" s="1">
        <v>45985</v>
      </c>
      <c r="C2540">
        <v>1298</v>
      </c>
      <c r="D2540" t="s">
        <v>28</v>
      </c>
      <c r="E2540" t="s">
        <v>29</v>
      </c>
      <c r="F2540" t="s">
        <v>34</v>
      </c>
      <c r="G2540">
        <v>5</v>
      </c>
      <c r="H2540">
        <v>23925</v>
      </c>
      <c r="I2540" t="s">
        <v>39</v>
      </c>
      <c r="J2540" t="s">
        <v>19</v>
      </c>
      <c r="K2540" t="s">
        <v>38</v>
      </c>
      <c r="L2540">
        <v>8</v>
      </c>
      <c r="M2540">
        <v>1</v>
      </c>
      <c r="N2540">
        <v>1</v>
      </c>
      <c r="O2540" t="s">
        <v>27</v>
      </c>
      <c r="P2540" t="str">
        <f>TEXT(Table1[[#This Row],[order_date]],"yyyy-mm")</f>
        <v>2025-11</v>
      </c>
      <c r="Q2540">
        <f>WEEKNUM(Table1[[#This Row],[order_date]])</f>
        <v>48</v>
      </c>
      <c r="R2540">
        <f>IF(Table1[[#This Row],[order_status]]="completed",1,0)</f>
        <v>1</v>
      </c>
    </row>
    <row r="2541" spans="1:18" x14ac:dyDescent="0.35">
      <c r="A2541">
        <v>2540</v>
      </c>
      <c r="B2541" s="1">
        <v>45957</v>
      </c>
      <c r="C2541">
        <v>1187</v>
      </c>
      <c r="D2541" t="s">
        <v>32</v>
      </c>
      <c r="E2541" t="s">
        <v>23</v>
      </c>
      <c r="F2541" t="s">
        <v>17</v>
      </c>
      <c r="G2541">
        <v>3</v>
      </c>
      <c r="H2541">
        <v>0</v>
      </c>
      <c r="I2541" t="s">
        <v>18</v>
      </c>
      <c r="J2541" t="s">
        <v>31</v>
      </c>
      <c r="K2541" t="s">
        <v>40</v>
      </c>
      <c r="L2541">
        <v>1</v>
      </c>
      <c r="M2541">
        <v>1</v>
      </c>
      <c r="N2541">
        <v>0</v>
      </c>
      <c r="O2541" t="s">
        <v>27</v>
      </c>
      <c r="P2541" t="str">
        <f>TEXT(Table1[[#This Row],[order_date]],"yyyy-mm")</f>
        <v>2025-10</v>
      </c>
      <c r="Q2541">
        <f>WEEKNUM(Table1[[#This Row],[order_date]])</f>
        <v>44</v>
      </c>
      <c r="R2541">
        <f>IF(Table1[[#This Row],[order_status]]="completed",1,0)</f>
        <v>0</v>
      </c>
    </row>
    <row r="2542" spans="1:18" x14ac:dyDescent="0.35">
      <c r="A2542">
        <v>2541</v>
      </c>
      <c r="B2542" s="1">
        <v>45869</v>
      </c>
      <c r="C2542">
        <v>1638</v>
      </c>
      <c r="D2542" t="s">
        <v>22</v>
      </c>
      <c r="E2542" t="s">
        <v>36</v>
      </c>
      <c r="F2542" t="s">
        <v>24</v>
      </c>
      <c r="G2542">
        <v>5</v>
      </c>
      <c r="H2542">
        <v>15930</v>
      </c>
      <c r="I2542" t="s">
        <v>18</v>
      </c>
      <c r="J2542" t="s">
        <v>19</v>
      </c>
      <c r="K2542" t="s">
        <v>26</v>
      </c>
      <c r="L2542">
        <v>9</v>
      </c>
      <c r="M2542">
        <v>0</v>
      </c>
      <c r="N2542">
        <v>1</v>
      </c>
      <c r="O2542" t="s">
        <v>21</v>
      </c>
      <c r="P2542" t="str">
        <f>TEXT(Table1[[#This Row],[order_date]],"yyyy-mm")</f>
        <v>2025-07</v>
      </c>
      <c r="Q2542">
        <f>WEEKNUM(Table1[[#This Row],[order_date]])</f>
        <v>31</v>
      </c>
      <c r="R2542">
        <f>IF(Table1[[#This Row],[order_status]]="completed",1,0)</f>
        <v>1</v>
      </c>
    </row>
    <row r="2543" spans="1:18" x14ac:dyDescent="0.35">
      <c r="A2543">
        <v>2542</v>
      </c>
      <c r="B2543" s="1">
        <v>45859</v>
      </c>
      <c r="C2543">
        <v>1785</v>
      </c>
      <c r="D2543" t="s">
        <v>28</v>
      </c>
      <c r="E2543" t="s">
        <v>29</v>
      </c>
      <c r="F2543" t="s">
        <v>24</v>
      </c>
      <c r="G2543">
        <v>1</v>
      </c>
      <c r="H2543">
        <v>0</v>
      </c>
      <c r="I2543" t="s">
        <v>25</v>
      </c>
      <c r="J2543" t="s">
        <v>31</v>
      </c>
      <c r="K2543" t="s">
        <v>20</v>
      </c>
      <c r="L2543">
        <v>9</v>
      </c>
      <c r="M2543">
        <v>1</v>
      </c>
      <c r="N2543">
        <v>1</v>
      </c>
      <c r="O2543" t="s">
        <v>21</v>
      </c>
      <c r="P2543" t="str">
        <f>TEXT(Table1[[#This Row],[order_date]],"yyyy-mm")</f>
        <v>2025-07</v>
      </c>
      <c r="Q2543">
        <f>WEEKNUM(Table1[[#This Row],[order_date]])</f>
        <v>30</v>
      </c>
      <c r="R2543">
        <f>IF(Table1[[#This Row],[order_status]]="completed",1,0)</f>
        <v>0</v>
      </c>
    </row>
    <row r="2544" spans="1:18" x14ac:dyDescent="0.35">
      <c r="A2544">
        <v>2543</v>
      </c>
      <c r="B2544" s="1">
        <v>45872</v>
      </c>
      <c r="C2544">
        <v>1278</v>
      </c>
      <c r="D2544" t="s">
        <v>15</v>
      </c>
      <c r="E2544" t="s">
        <v>29</v>
      </c>
      <c r="F2544" t="s">
        <v>24</v>
      </c>
      <c r="G2544">
        <v>2</v>
      </c>
      <c r="H2544">
        <v>0</v>
      </c>
      <c r="I2544" t="s">
        <v>18</v>
      </c>
      <c r="J2544" t="s">
        <v>31</v>
      </c>
      <c r="K2544" t="s">
        <v>38</v>
      </c>
      <c r="L2544">
        <v>5</v>
      </c>
      <c r="M2544">
        <v>0</v>
      </c>
      <c r="N2544">
        <v>0</v>
      </c>
      <c r="O2544" t="s">
        <v>27</v>
      </c>
      <c r="P2544" t="str">
        <f>TEXT(Table1[[#This Row],[order_date]],"yyyy-mm")</f>
        <v>2025-08</v>
      </c>
      <c r="Q2544">
        <f>WEEKNUM(Table1[[#This Row],[order_date]])</f>
        <v>32</v>
      </c>
      <c r="R2544">
        <f>IF(Table1[[#This Row],[order_status]]="completed",1,0)</f>
        <v>0</v>
      </c>
    </row>
    <row r="2545" spans="1:18" x14ac:dyDescent="0.35">
      <c r="A2545">
        <v>2544</v>
      </c>
      <c r="B2545" s="1">
        <v>46012</v>
      </c>
      <c r="C2545">
        <v>1741</v>
      </c>
      <c r="D2545" t="s">
        <v>15</v>
      </c>
      <c r="E2545" t="s">
        <v>23</v>
      </c>
      <c r="F2545" t="s">
        <v>17</v>
      </c>
      <c r="G2545">
        <v>4</v>
      </c>
      <c r="H2545">
        <v>0</v>
      </c>
      <c r="I2545" t="s">
        <v>39</v>
      </c>
      <c r="J2545" t="s">
        <v>37</v>
      </c>
      <c r="K2545" t="s">
        <v>20</v>
      </c>
      <c r="L2545">
        <v>9</v>
      </c>
      <c r="M2545">
        <v>1</v>
      </c>
      <c r="N2545">
        <v>1</v>
      </c>
      <c r="O2545" t="s">
        <v>27</v>
      </c>
      <c r="P2545" t="str">
        <f>TEXT(Table1[[#This Row],[order_date]],"yyyy-mm")</f>
        <v>2025-12</v>
      </c>
      <c r="Q2545">
        <f>WEEKNUM(Table1[[#This Row],[order_date]])</f>
        <v>52</v>
      </c>
      <c r="R2545">
        <f>IF(Table1[[#This Row],[order_status]]="completed",1,0)</f>
        <v>0</v>
      </c>
    </row>
    <row r="2546" spans="1:18" x14ac:dyDescent="0.35">
      <c r="A2546">
        <v>2545</v>
      </c>
      <c r="B2546" s="1">
        <v>46005</v>
      </c>
      <c r="C2546">
        <v>1578</v>
      </c>
      <c r="D2546" t="s">
        <v>41</v>
      </c>
      <c r="E2546" t="s">
        <v>29</v>
      </c>
      <c r="F2546" t="s">
        <v>24</v>
      </c>
      <c r="G2546">
        <v>3</v>
      </c>
      <c r="H2546">
        <v>0</v>
      </c>
      <c r="I2546" t="s">
        <v>39</v>
      </c>
      <c r="J2546" t="s">
        <v>31</v>
      </c>
      <c r="K2546" t="s">
        <v>40</v>
      </c>
      <c r="L2546">
        <v>9</v>
      </c>
      <c r="M2546">
        <v>0</v>
      </c>
      <c r="N2546">
        <v>1</v>
      </c>
      <c r="O2546" t="s">
        <v>27</v>
      </c>
      <c r="P2546" t="str">
        <f>TEXT(Table1[[#This Row],[order_date]],"yyyy-mm")</f>
        <v>2025-12</v>
      </c>
      <c r="Q2546">
        <f>WEEKNUM(Table1[[#This Row],[order_date]])</f>
        <v>51</v>
      </c>
      <c r="R2546">
        <f>IF(Table1[[#This Row],[order_status]]="completed",1,0)</f>
        <v>0</v>
      </c>
    </row>
    <row r="2547" spans="1:18" x14ac:dyDescent="0.35">
      <c r="A2547">
        <v>2546</v>
      </c>
      <c r="B2547" s="1">
        <v>45898</v>
      </c>
      <c r="C2547">
        <v>1882</v>
      </c>
      <c r="D2547" t="s">
        <v>32</v>
      </c>
      <c r="E2547" t="s">
        <v>33</v>
      </c>
      <c r="F2547" t="s">
        <v>24</v>
      </c>
      <c r="G2547">
        <v>3</v>
      </c>
      <c r="H2547">
        <v>0</v>
      </c>
      <c r="I2547" t="s">
        <v>18</v>
      </c>
      <c r="J2547" t="s">
        <v>31</v>
      </c>
      <c r="K2547" t="s">
        <v>26</v>
      </c>
      <c r="L2547">
        <v>4</v>
      </c>
      <c r="M2547">
        <v>0</v>
      </c>
      <c r="N2547">
        <v>1</v>
      </c>
      <c r="O2547" t="s">
        <v>21</v>
      </c>
      <c r="P2547" t="str">
        <f>TEXT(Table1[[#This Row],[order_date]],"yyyy-mm")</f>
        <v>2025-08</v>
      </c>
      <c r="Q2547">
        <f>WEEKNUM(Table1[[#This Row],[order_date]])</f>
        <v>35</v>
      </c>
      <c r="R2547">
        <f>IF(Table1[[#This Row],[order_status]]="completed",1,0)</f>
        <v>0</v>
      </c>
    </row>
    <row r="2548" spans="1:18" x14ac:dyDescent="0.35">
      <c r="A2548">
        <v>2547</v>
      </c>
      <c r="B2548" s="1">
        <v>46022</v>
      </c>
      <c r="C2548">
        <v>1050</v>
      </c>
      <c r="D2548" t="s">
        <v>41</v>
      </c>
      <c r="E2548" t="s">
        <v>36</v>
      </c>
      <c r="F2548" t="s">
        <v>17</v>
      </c>
      <c r="G2548">
        <v>4</v>
      </c>
      <c r="H2548">
        <v>0</v>
      </c>
      <c r="I2548" t="s">
        <v>39</v>
      </c>
      <c r="J2548" t="s">
        <v>37</v>
      </c>
      <c r="K2548" t="s">
        <v>40</v>
      </c>
      <c r="L2548">
        <v>4</v>
      </c>
      <c r="M2548">
        <v>1</v>
      </c>
      <c r="N2548">
        <v>0</v>
      </c>
      <c r="O2548" t="s">
        <v>27</v>
      </c>
      <c r="P2548" t="str">
        <f>TEXT(Table1[[#This Row],[order_date]],"yyyy-mm")</f>
        <v>2025-12</v>
      </c>
      <c r="Q2548">
        <f>WEEKNUM(Table1[[#This Row],[order_date]])</f>
        <v>53</v>
      </c>
      <c r="R2548">
        <f>IF(Table1[[#This Row],[order_status]]="completed",1,0)</f>
        <v>0</v>
      </c>
    </row>
    <row r="2549" spans="1:18" x14ac:dyDescent="0.35">
      <c r="A2549">
        <v>2548</v>
      </c>
      <c r="B2549" s="1">
        <v>45923</v>
      </c>
      <c r="C2549">
        <v>1888</v>
      </c>
      <c r="D2549" t="s">
        <v>32</v>
      </c>
      <c r="E2549" t="s">
        <v>36</v>
      </c>
      <c r="F2549" t="s">
        <v>17</v>
      </c>
      <c r="G2549">
        <v>4</v>
      </c>
      <c r="H2549">
        <v>1912</v>
      </c>
      <c r="I2549" t="s">
        <v>25</v>
      </c>
      <c r="J2549" t="s">
        <v>19</v>
      </c>
      <c r="K2549" t="s">
        <v>40</v>
      </c>
      <c r="L2549">
        <v>4</v>
      </c>
      <c r="M2549">
        <v>0</v>
      </c>
      <c r="N2549">
        <v>0</v>
      </c>
      <c r="O2549" t="s">
        <v>27</v>
      </c>
      <c r="P2549" t="str">
        <f>TEXT(Table1[[#This Row],[order_date]],"yyyy-mm")</f>
        <v>2025-09</v>
      </c>
      <c r="Q2549">
        <f>WEEKNUM(Table1[[#This Row],[order_date]])</f>
        <v>39</v>
      </c>
      <c r="R2549">
        <f>IF(Table1[[#This Row],[order_status]]="completed",1,0)</f>
        <v>1</v>
      </c>
    </row>
    <row r="2550" spans="1:18" x14ac:dyDescent="0.35">
      <c r="A2550">
        <v>2549</v>
      </c>
      <c r="B2550" s="1">
        <v>46007</v>
      </c>
      <c r="C2550">
        <v>1411</v>
      </c>
      <c r="D2550" t="s">
        <v>22</v>
      </c>
      <c r="E2550" t="s">
        <v>33</v>
      </c>
      <c r="F2550" t="s">
        <v>30</v>
      </c>
      <c r="G2550">
        <v>2</v>
      </c>
      <c r="H2550">
        <v>0</v>
      </c>
      <c r="I2550" t="s">
        <v>18</v>
      </c>
      <c r="J2550" t="s">
        <v>37</v>
      </c>
      <c r="K2550" t="s">
        <v>38</v>
      </c>
      <c r="L2550">
        <v>2</v>
      </c>
      <c r="M2550">
        <v>1</v>
      </c>
      <c r="N2550">
        <v>0</v>
      </c>
      <c r="O2550" t="s">
        <v>21</v>
      </c>
      <c r="P2550" t="str">
        <f>TEXT(Table1[[#This Row],[order_date]],"yyyy-mm")</f>
        <v>2025-12</v>
      </c>
      <c r="Q2550">
        <f>WEEKNUM(Table1[[#This Row],[order_date]])</f>
        <v>51</v>
      </c>
      <c r="R2550">
        <f>IF(Table1[[#This Row],[order_status]]="completed",1,0)</f>
        <v>0</v>
      </c>
    </row>
    <row r="2551" spans="1:18" x14ac:dyDescent="0.35">
      <c r="A2551">
        <v>2550</v>
      </c>
      <c r="B2551" s="1">
        <v>45964</v>
      </c>
      <c r="C2551">
        <v>1328</v>
      </c>
      <c r="D2551" t="s">
        <v>15</v>
      </c>
      <c r="E2551" t="s">
        <v>29</v>
      </c>
      <c r="F2551" t="s">
        <v>30</v>
      </c>
      <c r="G2551">
        <v>4</v>
      </c>
      <c r="H2551">
        <v>0</v>
      </c>
      <c r="I2551" t="s">
        <v>18</v>
      </c>
      <c r="J2551" t="s">
        <v>31</v>
      </c>
      <c r="K2551" t="s">
        <v>38</v>
      </c>
      <c r="L2551">
        <v>6</v>
      </c>
      <c r="M2551">
        <v>0</v>
      </c>
      <c r="N2551">
        <v>1</v>
      </c>
      <c r="O2551" t="s">
        <v>27</v>
      </c>
      <c r="P2551" t="str">
        <f>TEXT(Table1[[#This Row],[order_date]],"yyyy-mm")</f>
        <v>2025-11</v>
      </c>
      <c r="Q2551">
        <f>WEEKNUM(Table1[[#This Row],[order_date]])</f>
        <v>45</v>
      </c>
      <c r="R2551">
        <f>IF(Table1[[#This Row],[order_status]]="completed",1,0)</f>
        <v>0</v>
      </c>
    </row>
    <row r="2552" spans="1:18" x14ac:dyDescent="0.35">
      <c r="A2552">
        <v>2551</v>
      </c>
      <c r="B2552" s="1">
        <v>45906</v>
      </c>
      <c r="C2552">
        <v>1588</v>
      </c>
      <c r="D2552" t="s">
        <v>15</v>
      </c>
      <c r="E2552" t="s">
        <v>36</v>
      </c>
      <c r="F2552" t="s">
        <v>24</v>
      </c>
      <c r="G2552">
        <v>3</v>
      </c>
      <c r="H2552">
        <v>0</v>
      </c>
      <c r="I2552" t="s">
        <v>39</v>
      </c>
      <c r="J2552" t="s">
        <v>31</v>
      </c>
      <c r="K2552" t="s">
        <v>40</v>
      </c>
      <c r="L2552">
        <v>8</v>
      </c>
      <c r="M2552">
        <v>0</v>
      </c>
      <c r="N2552">
        <v>0</v>
      </c>
      <c r="O2552" t="s">
        <v>21</v>
      </c>
      <c r="P2552" t="str">
        <f>TEXT(Table1[[#This Row],[order_date]],"yyyy-mm")</f>
        <v>2025-09</v>
      </c>
      <c r="Q2552">
        <f>WEEKNUM(Table1[[#This Row],[order_date]])</f>
        <v>36</v>
      </c>
      <c r="R2552">
        <f>IF(Table1[[#This Row],[order_status]]="completed",1,0)</f>
        <v>0</v>
      </c>
    </row>
    <row r="2553" spans="1:18" x14ac:dyDescent="0.35">
      <c r="A2553">
        <v>2552</v>
      </c>
      <c r="B2553" s="1">
        <v>45996</v>
      </c>
      <c r="C2553">
        <v>1309</v>
      </c>
      <c r="D2553" t="s">
        <v>22</v>
      </c>
      <c r="E2553" t="s">
        <v>33</v>
      </c>
      <c r="F2553" t="s">
        <v>17</v>
      </c>
      <c r="G2553">
        <v>4</v>
      </c>
      <c r="H2553">
        <v>17136</v>
      </c>
      <c r="I2553" t="s">
        <v>39</v>
      </c>
      <c r="J2553" t="s">
        <v>19</v>
      </c>
      <c r="K2553" t="s">
        <v>20</v>
      </c>
      <c r="L2553">
        <v>8</v>
      </c>
      <c r="M2553">
        <v>0</v>
      </c>
      <c r="N2553">
        <v>1</v>
      </c>
      <c r="O2553" t="s">
        <v>21</v>
      </c>
      <c r="P2553" t="str">
        <f>TEXT(Table1[[#This Row],[order_date]],"yyyy-mm")</f>
        <v>2025-12</v>
      </c>
      <c r="Q2553">
        <f>WEEKNUM(Table1[[#This Row],[order_date]])</f>
        <v>49</v>
      </c>
      <c r="R2553">
        <f>IF(Table1[[#This Row],[order_status]]="completed",1,0)</f>
        <v>1</v>
      </c>
    </row>
    <row r="2554" spans="1:18" x14ac:dyDescent="0.35">
      <c r="A2554">
        <v>2553</v>
      </c>
      <c r="B2554" s="1">
        <v>45961</v>
      </c>
      <c r="C2554">
        <v>1391</v>
      </c>
      <c r="D2554" t="s">
        <v>15</v>
      </c>
      <c r="E2554" t="s">
        <v>29</v>
      </c>
      <c r="F2554" t="s">
        <v>30</v>
      </c>
      <c r="G2554">
        <v>2</v>
      </c>
      <c r="H2554">
        <v>0</v>
      </c>
      <c r="I2554" t="s">
        <v>39</v>
      </c>
      <c r="J2554" t="s">
        <v>31</v>
      </c>
      <c r="K2554" t="s">
        <v>40</v>
      </c>
      <c r="L2554">
        <v>10</v>
      </c>
      <c r="M2554">
        <v>1</v>
      </c>
      <c r="N2554">
        <v>0</v>
      </c>
      <c r="O2554" t="s">
        <v>27</v>
      </c>
      <c r="P2554" t="str">
        <f>TEXT(Table1[[#This Row],[order_date]],"yyyy-mm")</f>
        <v>2025-10</v>
      </c>
      <c r="Q2554">
        <f>WEEKNUM(Table1[[#This Row],[order_date]])</f>
        <v>44</v>
      </c>
      <c r="R2554">
        <f>IF(Table1[[#This Row],[order_status]]="completed",1,0)</f>
        <v>0</v>
      </c>
    </row>
    <row r="2555" spans="1:18" x14ac:dyDescent="0.35">
      <c r="A2555">
        <v>2554</v>
      </c>
      <c r="B2555" s="1">
        <v>45887</v>
      </c>
      <c r="C2555">
        <v>1066</v>
      </c>
      <c r="D2555" t="s">
        <v>41</v>
      </c>
      <c r="E2555" t="s">
        <v>16</v>
      </c>
      <c r="F2555" t="s">
        <v>17</v>
      </c>
      <c r="G2555">
        <v>4</v>
      </c>
      <c r="H2555">
        <v>0</v>
      </c>
      <c r="I2555" t="s">
        <v>18</v>
      </c>
      <c r="J2555" t="s">
        <v>31</v>
      </c>
      <c r="K2555" t="s">
        <v>38</v>
      </c>
      <c r="L2555">
        <v>8</v>
      </c>
      <c r="M2555">
        <v>0</v>
      </c>
      <c r="N2555">
        <v>0</v>
      </c>
      <c r="O2555" t="s">
        <v>27</v>
      </c>
      <c r="P2555" t="str">
        <f>TEXT(Table1[[#This Row],[order_date]],"yyyy-mm")</f>
        <v>2025-08</v>
      </c>
      <c r="Q2555">
        <f>WEEKNUM(Table1[[#This Row],[order_date]])</f>
        <v>34</v>
      </c>
      <c r="R2555">
        <f>IF(Table1[[#This Row],[order_status]]="completed",1,0)</f>
        <v>0</v>
      </c>
    </row>
    <row r="2556" spans="1:18" x14ac:dyDescent="0.35">
      <c r="A2556">
        <v>2555</v>
      </c>
      <c r="B2556" s="1">
        <v>46006</v>
      </c>
      <c r="C2556">
        <v>1691</v>
      </c>
      <c r="D2556" t="s">
        <v>22</v>
      </c>
      <c r="E2556" t="s">
        <v>29</v>
      </c>
      <c r="F2556" t="s">
        <v>24</v>
      </c>
      <c r="G2556">
        <v>4</v>
      </c>
      <c r="H2556">
        <v>1928</v>
      </c>
      <c r="I2556" t="s">
        <v>18</v>
      </c>
      <c r="J2556" t="s">
        <v>19</v>
      </c>
      <c r="K2556" t="s">
        <v>20</v>
      </c>
      <c r="L2556">
        <v>7</v>
      </c>
      <c r="M2556">
        <v>0</v>
      </c>
      <c r="N2556">
        <v>1</v>
      </c>
      <c r="O2556" t="s">
        <v>27</v>
      </c>
      <c r="P2556" t="str">
        <f>TEXT(Table1[[#This Row],[order_date]],"yyyy-mm")</f>
        <v>2025-12</v>
      </c>
      <c r="Q2556">
        <f>WEEKNUM(Table1[[#This Row],[order_date]])</f>
        <v>51</v>
      </c>
      <c r="R2556">
        <f>IF(Table1[[#This Row],[order_status]]="completed",1,0)</f>
        <v>1</v>
      </c>
    </row>
    <row r="2557" spans="1:18" x14ac:dyDescent="0.35">
      <c r="A2557">
        <v>2556</v>
      </c>
      <c r="B2557" s="1">
        <v>45898</v>
      </c>
      <c r="C2557">
        <v>1449</v>
      </c>
      <c r="D2557" t="s">
        <v>22</v>
      </c>
      <c r="E2557" t="s">
        <v>16</v>
      </c>
      <c r="F2557" t="s">
        <v>34</v>
      </c>
      <c r="G2557">
        <v>1</v>
      </c>
      <c r="H2557">
        <v>0</v>
      </c>
      <c r="I2557" t="s">
        <v>25</v>
      </c>
      <c r="J2557" t="s">
        <v>37</v>
      </c>
      <c r="K2557" t="s">
        <v>38</v>
      </c>
      <c r="L2557">
        <v>5</v>
      </c>
      <c r="M2557">
        <v>1</v>
      </c>
      <c r="N2557">
        <v>1</v>
      </c>
      <c r="O2557" t="s">
        <v>27</v>
      </c>
      <c r="P2557" t="str">
        <f>TEXT(Table1[[#This Row],[order_date]],"yyyy-mm")</f>
        <v>2025-08</v>
      </c>
      <c r="Q2557">
        <f>WEEKNUM(Table1[[#This Row],[order_date]])</f>
        <v>35</v>
      </c>
      <c r="R2557">
        <f>IF(Table1[[#This Row],[order_status]]="completed",1,0)</f>
        <v>0</v>
      </c>
    </row>
    <row r="2558" spans="1:18" x14ac:dyDescent="0.35">
      <c r="A2558">
        <v>2557</v>
      </c>
      <c r="B2558" s="1">
        <v>45966</v>
      </c>
      <c r="C2558">
        <v>1289</v>
      </c>
      <c r="D2558" t="s">
        <v>22</v>
      </c>
      <c r="E2558" t="s">
        <v>23</v>
      </c>
      <c r="F2558" t="s">
        <v>24</v>
      </c>
      <c r="G2558">
        <v>4</v>
      </c>
      <c r="H2558">
        <v>4900</v>
      </c>
      <c r="I2558" t="s">
        <v>18</v>
      </c>
      <c r="J2558" t="s">
        <v>19</v>
      </c>
      <c r="K2558" t="s">
        <v>40</v>
      </c>
      <c r="L2558">
        <v>10</v>
      </c>
      <c r="M2558">
        <v>0</v>
      </c>
      <c r="N2558">
        <v>0</v>
      </c>
      <c r="O2558" t="s">
        <v>27</v>
      </c>
      <c r="P2558" t="str">
        <f>TEXT(Table1[[#This Row],[order_date]],"yyyy-mm")</f>
        <v>2025-11</v>
      </c>
      <c r="Q2558">
        <f>WEEKNUM(Table1[[#This Row],[order_date]])</f>
        <v>45</v>
      </c>
      <c r="R2558">
        <f>IF(Table1[[#This Row],[order_status]]="completed",1,0)</f>
        <v>1</v>
      </c>
    </row>
    <row r="2559" spans="1:18" x14ac:dyDescent="0.35">
      <c r="A2559">
        <v>2558</v>
      </c>
      <c r="B2559" s="1">
        <v>45977</v>
      </c>
      <c r="C2559">
        <v>1526</v>
      </c>
      <c r="D2559" t="s">
        <v>15</v>
      </c>
      <c r="E2559" t="s">
        <v>29</v>
      </c>
      <c r="F2559" t="s">
        <v>24</v>
      </c>
      <c r="G2559">
        <v>4</v>
      </c>
      <c r="H2559">
        <v>0</v>
      </c>
      <c r="I2559" t="s">
        <v>25</v>
      </c>
      <c r="J2559" t="s">
        <v>31</v>
      </c>
      <c r="K2559" t="s">
        <v>38</v>
      </c>
      <c r="L2559">
        <v>8</v>
      </c>
      <c r="M2559">
        <v>1</v>
      </c>
      <c r="N2559">
        <v>0</v>
      </c>
      <c r="O2559" t="s">
        <v>21</v>
      </c>
      <c r="P2559" t="str">
        <f>TEXT(Table1[[#This Row],[order_date]],"yyyy-mm")</f>
        <v>2025-11</v>
      </c>
      <c r="Q2559">
        <f>WEEKNUM(Table1[[#This Row],[order_date]])</f>
        <v>47</v>
      </c>
      <c r="R2559">
        <f>IF(Table1[[#This Row],[order_status]]="completed",1,0)</f>
        <v>0</v>
      </c>
    </row>
    <row r="2560" spans="1:18" x14ac:dyDescent="0.35">
      <c r="A2560">
        <v>2559</v>
      </c>
      <c r="B2560" s="1">
        <v>45992</v>
      </c>
      <c r="C2560">
        <v>1417</v>
      </c>
      <c r="D2560" t="s">
        <v>28</v>
      </c>
      <c r="E2560" t="s">
        <v>23</v>
      </c>
      <c r="F2560" t="s">
        <v>24</v>
      </c>
      <c r="G2560">
        <v>1</v>
      </c>
      <c r="H2560">
        <v>0</v>
      </c>
      <c r="I2560" t="s">
        <v>18</v>
      </c>
      <c r="J2560" t="s">
        <v>31</v>
      </c>
      <c r="K2560" t="s">
        <v>40</v>
      </c>
      <c r="L2560">
        <v>4</v>
      </c>
      <c r="M2560">
        <v>1</v>
      </c>
      <c r="N2560">
        <v>0</v>
      </c>
      <c r="O2560" t="s">
        <v>27</v>
      </c>
      <c r="P2560" t="str">
        <f>TEXT(Table1[[#This Row],[order_date]],"yyyy-mm")</f>
        <v>2025-12</v>
      </c>
      <c r="Q2560">
        <f>WEEKNUM(Table1[[#This Row],[order_date]])</f>
        <v>49</v>
      </c>
      <c r="R2560">
        <f>IF(Table1[[#This Row],[order_status]]="completed",1,0)</f>
        <v>0</v>
      </c>
    </row>
    <row r="2561" spans="1:18" x14ac:dyDescent="0.35">
      <c r="A2561">
        <v>2560</v>
      </c>
      <c r="B2561" s="1">
        <v>46011</v>
      </c>
      <c r="C2561">
        <v>1290</v>
      </c>
      <c r="D2561" t="s">
        <v>41</v>
      </c>
      <c r="E2561" t="s">
        <v>23</v>
      </c>
      <c r="F2561" t="s">
        <v>17</v>
      </c>
      <c r="G2561">
        <v>4</v>
      </c>
      <c r="H2561">
        <v>0</v>
      </c>
      <c r="I2561" t="s">
        <v>18</v>
      </c>
      <c r="J2561" t="s">
        <v>31</v>
      </c>
      <c r="K2561" t="s">
        <v>38</v>
      </c>
      <c r="L2561">
        <v>4</v>
      </c>
      <c r="M2561">
        <v>1</v>
      </c>
      <c r="N2561">
        <v>1</v>
      </c>
      <c r="O2561" t="s">
        <v>27</v>
      </c>
      <c r="P2561" t="str">
        <f>TEXT(Table1[[#This Row],[order_date]],"yyyy-mm")</f>
        <v>2025-12</v>
      </c>
      <c r="Q2561">
        <f>WEEKNUM(Table1[[#This Row],[order_date]])</f>
        <v>51</v>
      </c>
      <c r="R2561">
        <f>IF(Table1[[#This Row],[order_status]]="completed",1,0)</f>
        <v>0</v>
      </c>
    </row>
    <row r="2562" spans="1:18" x14ac:dyDescent="0.35">
      <c r="A2562">
        <v>2561</v>
      </c>
      <c r="B2562" s="1">
        <v>45901</v>
      </c>
      <c r="C2562">
        <v>1415</v>
      </c>
      <c r="D2562" t="s">
        <v>28</v>
      </c>
      <c r="E2562" t="s">
        <v>33</v>
      </c>
      <c r="F2562" t="s">
        <v>24</v>
      </c>
      <c r="G2562">
        <v>4</v>
      </c>
      <c r="H2562">
        <v>3468</v>
      </c>
      <c r="I2562" t="s">
        <v>39</v>
      </c>
      <c r="J2562" t="s">
        <v>19</v>
      </c>
      <c r="K2562" t="s">
        <v>40</v>
      </c>
      <c r="L2562">
        <v>10</v>
      </c>
      <c r="M2562">
        <v>1</v>
      </c>
      <c r="N2562">
        <v>1</v>
      </c>
      <c r="O2562" t="s">
        <v>27</v>
      </c>
      <c r="P2562" t="str">
        <f>TEXT(Table1[[#This Row],[order_date]],"yyyy-mm")</f>
        <v>2025-09</v>
      </c>
      <c r="Q2562">
        <f>WEEKNUM(Table1[[#This Row],[order_date]])</f>
        <v>36</v>
      </c>
      <c r="R2562">
        <f>IF(Table1[[#This Row],[order_status]]="completed",1,0)</f>
        <v>1</v>
      </c>
    </row>
    <row r="2563" spans="1:18" x14ac:dyDescent="0.35">
      <c r="A2563">
        <v>2562</v>
      </c>
      <c r="B2563" s="1">
        <v>45984</v>
      </c>
      <c r="C2563">
        <v>1204</v>
      </c>
      <c r="D2563" t="s">
        <v>15</v>
      </c>
      <c r="E2563" t="s">
        <v>29</v>
      </c>
      <c r="F2563" t="s">
        <v>24</v>
      </c>
      <c r="G2563">
        <v>4</v>
      </c>
      <c r="H2563">
        <v>0</v>
      </c>
      <c r="I2563" t="s">
        <v>25</v>
      </c>
      <c r="J2563" t="s">
        <v>37</v>
      </c>
      <c r="K2563" t="s">
        <v>20</v>
      </c>
      <c r="L2563">
        <v>7</v>
      </c>
      <c r="M2563">
        <v>0</v>
      </c>
      <c r="N2563">
        <v>1</v>
      </c>
      <c r="O2563" t="s">
        <v>21</v>
      </c>
      <c r="P2563" t="str">
        <f>TEXT(Table1[[#This Row],[order_date]],"yyyy-mm")</f>
        <v>2025-11</v>
      </c>
      <c r="Q2563">
        <f>WEEKNUM(Table1[[#This Row],[order_date]])</f>
        <v>48</v>
      </c>
      <c r="R2563">
        <f>IF(Table1[[#This Row],[order_status]]="completed",1,0)</f>
        <v>0</v>
      </c>
    </row>
    <row r="2564" spans="1:18" x14ac:dyDescent="0.35">
      <c r="A2564">
        <v>2563</v>
      </c>
      <c r="B2564" s="1">
        <v>45925</v>
      </c>
      <c r="C2564">
        <v>1921</v>
      </c>
      <c r="D2564" t="s">
        <v>32</v>
      </c>
      <c r="E2564" t="s">
        <v>23</v>
      </c>
      <c r="F2564" t="s">
        <v>30</v>
      </c>
      <c r="G2564">
        <v>4</v>
      </c>
      <c r="H2564">
        <v>0</v>
      </c>
      <c r="I2564" t="s">
        <v>18</v>
      </c>
      <c r="J2564" t="s">
        <v>31</v>
      </c>
      <c r="K2564" t="s">
        <v>40</v>
      </c>
      <c r="L2564">
        <v>10</v>
      </c>
      <c r="M2564">
        <v>1</v>
      </c>
      <c r="N2564">
        <v>0</v>
      </c>
      <c r="O2564" t="s">
        <v>21</v>
      </c>
      <c r="P2564" t="str">
        <f>TEXT(Table1[[#This Row],[order_date]],"yyyy-mm")</f>
        <v>2025-09</v>
      </c>
      <c r="Q2564">
        <f>WEEKNUM(Table1[[#This Row],[order_date]])</f>
        <v>39</v>
      </c>
      <c r="R2564">
        <f>IF(Table1[[#This Row],[order_status]]="completed",1,0)</f>
        <v>0</v>
      </c>
    </row>
    <row r="2565" spans="1:18" x14ac:dyDescent="0.35">
      <c r="A2565">
        <v>2564</v>
      </c>
      <c r="B2565" s="1">
        <v>45936</v>
      </c>
      <c r="C2565">
        <v>1181</v>
      </c>
      <c r="D2565" t="s">
        <v>15</v>
      </c>
      <c r="E2565" t="s">
        <v>29</v>
      </c>
      <c r="F2565" t="s">
        <v>24</v>
      </c>
      <c r="G2565">
        <v>5</v>
      </c>
      <c r="H2565">
        <v>11130</v>
      </c>
      <c r="I2565" t="s">
        <v>35</v>
      </c>
      <c r="J2565" t="s">
        <v>19</v>
      </c>
      <c r="K2565" t="s">
        <v>40</v>
      </c>
      <c r="L2565">
        <v>10</v>
      </c>
      <c r="M2565">
        <v>0</v>
      </c>
      <c r="N2565">
        <v>1</v>
      </c>
      <c r="O2565" t="s">
        <v>21</v>
      </c>
      <c r="P2565" t="str">
        <f>TEXT(Table1[[#This Row],[order_date]],"yyyy-mm")</f>
        <v>2025-10</v>
      </c>
      <c r="Q2565">
        <f>WEEKNUM(Table1[[#This Row],[order_date]])</f>
        <v>41</v>
      </c>
      <c r="R2565">
        <f>IF(Table1[[#This Row],[order_status]]="completed",1,0)</f>
        <v>1</v>
      </c>
    </row>
    <row r="2566" spans="1:18" x14ac:dyDescent="0.35">
      <c r="A2566">
        <v>2565</v>
      </c>
      <c r="B2566" s="1">
        <v>45874</v>
      </c>
      <c r="C2566">
        <v>1824</v>
      </c>
      <c r="D2566" t="s">
        <v>22</v>
      </c>
      <c r="E2566" t="s">
        <v>23</v>
      </c>
      <c r="F2566" t="s">
        <v>17</v>
      </c>
      <c r="G2566">
        <v>5</v>
      </c>
      <c r="H2566">
        <v>23025</v>
      </c>
      <c r="I2566" t="s">
        <v>39</v>
      </c>
      <c r="J2566" t="s">
        <v>19</v>
      </c>
      <c r="K2566" t="s">
        <v>40</v>
      </c>
      <c r="L2566">
        <v>1</v>
      </c>
      <c r="M2566">
        <v>1</v>
      </c>
      <c r="N2566">
        <v>1</v>
      </c>
      <c r="O2566" t="s">
        <v>27</v>
      </c>
      <c r="P2566" t="str">
        <f>TEXT(Table1[[#This Row],[order_date]],"yyyy-mm")</f>
        <v>2025-08</v>
      </c>
      <c r="Q2566">
        <f>WEEKNUM(Table1[[#This Row],[order_date]])</f>
        <v>32</v>
      </c>
      <c r="R2566">
        <f>IF(Table1[[#This Row],[order_status]]="completed",1,0)</f>
        <v>1</v>
      </c>
    </row>
    <row r="2567" spans="1:18" x14ac:dyDescent="0.35">
      <c r="A2567">
        <v>2566</v>
      </c>
      <c r="B2567" s="1">
        <v>45989</v>
      </c>
      <c r="C2567">
        <v>1399</v>
      </c>
      <c r="D2567" t="s">
        <v>22</v>
      </c>
      <c r="E2567" t="s">
        <v>16</v>
      </c>
      <c r="F2567" t="s">
        <v>34</v>
      </c>
      <c r="G2567">
        <v>1</v>
      </c>
      <c r="H2567">
        <v>0</v>
      </c>
      <c r="I2567" t="s">
        <v>18</v>
      </c>
      <c r="J2567" t="s">
        <v>37</v>
      </c>
      <c r="K2567" t="s">
        <v>20</v>
      </c>
      <c r="L2567">
        <v>7</v>
      </c>
      <c r="M2567">
        <v>1</v>
      </c>
      <c r="N2567">
        <v>0</v>
      </c>
      <c r="O2567" t="s">
        <v>27</v>
      </c>
      <c r="P2567" t="str">
        <f>TEXT(Table1[[#This Row],[order_date]],"yyyy-mm")</f>
        <v>2025-11</v>
      </c>
      <c r="Q2567">
        <f>WEEKNUM(Table1[[#This Row],[order_date]])</f>
        <v>48</v>
      </c>
      <c r="R2567">
        <f>IF(Table1[[#This Row],[order_status]]="completed",1,0)</f>
        <v>0</v>
      </c>
    </row>
    <row r="2568" spans="1:18" x14ac:dyDescent="0.35">
      <c r="A2568">
        <v>2567</v>
      </c>
      <c r="B2568" s="1">
        <v>45939</v>
      </c>
      <c r="C2568">
        <v>1396</v>
      </c>
      <c r="D2568" t="s">
        <v>28</v>
      </c>
      <c r="E2568" t="s">
        <v>36</v>
      </c>
      <c r="F2568" t="s">
        <v>30</v>
      </c>
      <c r="G2568">
        <v>1</v>
      </c>
      <c r="H2568">
        <v>4118</v>
      </c>
      <c r="I2568" t="s">
        <v>18</v>
      </c>
      <c r="J2568" t="s">
        <v>19</v>
      </c>
      <c r="K2568" t="s">
        <v>40</v>
      </c>
      <c r="L2568">
        <v>9</v>
      </c>
      <c r="M2568">
        <v>0</v>
      </c>
      <c r="N2568">
        <v>1</v>
      </c>
      <c r="O2568" t="s">
        <v>27</v>
      </c>
      <c r="P2568" t="str">
        <f>TEXT(Table1[[#This Row],[order_date]],"yyyy-mm")</f>
        <v>2025-10</v>
      </c>
      <c r="Q2568">
        <f>WEEKNUM(Table1[[#This Row],[order_date]])</f>
        <v>41</v>
      </c>
      <c r="R2568">
        <f>IF(Table1[[#This Row],[order_status]]="completed",1,0)</f>
        <v>1</v>
      </c>
    </row>
    <row r="2569" spans="1:18" x14ac:dyDescent="0.35">
      <c r="A2569">
        <v>2568</v>
      </c>
      <c r="B2569" s="1">
        <v>46012</v>
      </c>
      <c r="C2569">
        <v>1341</v>
      </c>
      <c r="D2569" t="s">
        <v>32</v>
      </c>
      <c r="E2569" t="s">
        <v>23</v>
      </c>
      <c r="F2569" t="s">
        <v>24</v>
      </c>
      <c r="G2569">
        <v>4</v>
      </c>
      <c r="H2569">
        <v>0</v>
      </c>
      <c r="I2569" t="s">
        <v>25</v>
      </c>
      <c r="J2569" t="s">
        <v>37</v>
      </c>
      <c r="K2569" t="s">
        <v>40</v>
      </c>
      <c r="L2569">
        <v>9</v>
      </c>
      <c r="M2569">
        <v>1</v>
      </c>
      <c r="N2569">
        <v>1</v>
      </c>
      <c r="O2569" t="s">
        <v>21</v>
      </c>
      <c r="P2569" t="str">
        <f>TEXT(Table1[[#This Row],[order_date]],"yyyy-mm")</f>
        <v>2025-12</v>
      </c>
      <c r="Q2569">
        <f>WEEKNUM(Table1[[#This Row],[order_date]])</f>
        <v>52</v>
      </c>
      <c r="R2569">
        <f>IF(Table1[[#This Row],[order_status]]="completed",1,0)</f>
        <v>0</v>
      </c>
    </row>
    <row r="2570" spans="1:18" x14ac:dyDescent="0.35">
      <c r="A2570">
        <v>2569</v>
      </c>
      <c r="B2570" s="1">
        <v>45855</v>
      </c>
      <c r="C2570">
        <v>1034</v>
      </c>
      <c r="D2570" t="s">
        <v>15</v>
      </c>
      <c r="E2570" t="s">
        <v>23</v>
      </c>
      <c r="F2570" t="s">
        <v>24</v>
      </c>
      <c r="G2570">
        <v>3</v>
      </c>
      <c r="H2570">
        <v>6999</v>
      </c>
      <c r="I2570" t="s">
        <v>39</v>
      </c>
      <c r="J2570" t="s">
        <v>19</v>
      </c>
      <c r="K2570" t="s">
        <v>40</v>
      </c>
      <c r="L2570">
        <v>3</v>
      </c>
      <c r="M2570">
        <v>0</v>
      </c>
      <c r="N2570">
        <v>0</v>
      </c>
      <c r="O2570" t="s">
        <v>21</v>
      </c>
      <c r="P2570" t="str">
        <f>TEXT(Table1[[#This Row],[order_date]],"yyyy-mm")</f>
        <v>2025-07</v>
      </c>
      <c r="Q2570">
        <f>WEEKNUM(Table1[[#This Row],[order_date]])</f>
        <v>29</v>
      </c>
      <c r="R2570">
        <f>IF(Table1[[#This Row],[order_status]]="completed",1,0)</f>
        <v>1</v>
      </c>
    </row>
    <row r="2571" spans="1:18" x14ac:dyDescent="0.35">
      <c r="A2571">
        <v>2570</v>
      </c>
      <c r="B2571" s="1">
        <v>45950</v>
      </c>
      <c r="C2571">
        <v>1612</v>
      </c>
      <c r="D2571" t="s">
        <v>22</v>
      </c>
      <c r="E2571" t="s">
        <v>23</v>
      </c>
      <c r="F2571" t="s">
        <v>17</v>
      </c>
      <c r="G2571">
        <v>1</v>
      </c>
      <c r="H2571">
        <v>3895</v>
      </c>
      <c r="I2571" t="s">
        <v>35</v>
      </c>
      <c r="J2571" t="s">
        <v>19</v>
      </c>
      <c r="K2571" t="s">
        <v>26</v>
      </c>
      <c r="L2571">
        <v>2</v>
      </c>
      <c r="M2571">
        <v>0</v>
      </c>
      <c r="N2571">
        <v>0</v>
      </c>
      <c r="O2571" t="s">
        <v>27</v>
      </c>
      <c r="P2571" t="str">
        <f>TEXT(Table1[[#This Row],[order_date]],"yyyy-mm")</f>
        <v>2025-10</v>
      </c>
      <c r="Q2571">
        <f>WEEKNUM(Table1[[#This Row],[order_date]])</f>
        <v>43</v>
      </c>
      <c r="R2571">
        <f>IF(Table1[[#This Row],[order_status]]="completed",1,0)</f>
        <v>1</v>
      </c>
    </row>
    <row r="2572" spans="1:18" x14ac:dyDescent="0.35">
      <c r="A2572">
        <v>2571</v>
      </c>
      <c r="B2572" s="1">
        <v>45936</v>
      </c>
      <c r="C2572">
        <v>1206</v>
      </c>
      <c r="D2572" t="s">
        <v>22</v>
      </c>
      <c r="E2572" t="s">
        <v>29</v>
      </c>
      <c r="F2572" t="s">
        <v>34</v>
      </c>
      <c r="G2572">
        <v>5</v>
      </c>
      <c r="H2572">
        <v>0</v>
      </c>
      <c r="I2572" t="s">
        <v>35</v>
      </c>
      <c r="J2572" t="s">
        <v>37</v>
      </c>
      <c r="K2572" t="s">
        <v>20</v>
      </c>
      <c r="L2572">
        <v>8</v>
      </c>
      <c r="M2572">
        <v>0</v>
      </c>
      <c r="N2572">
        <v>0</v>
      </c>
      <c r="O2572" t="s">
        <v>21</v>
      </c>
      <c r="P2572" t="str">
        <f>TEXT(Table1[[#This Row],[order_date]],"yyyy-mm")</f>
        <v>2025-10</v>
      </c>
      <c r="Q2572">
        <f>WEEKNUM(Table1[[#This Row],[order_date]])</f>
        <v>41</v>
      </c>
      <c r="R2572">
        <f>IF(Table1[[#This Row],[order_status]]="completed",1,0)</f>
        <v>0</v>
      </c>
    </row>
    <row r="2573" spans="1:18" x14ac:dyDescent="0.35">
      <c r="A2573">
        <v>2572</v>
      </c>
      <c r="B2573" s="1">
        <v>46017</v>
      </c>
      <c r="C2573">
        <v>1389</v>
      </c>
      <c r="D2573" t="s">
        <v>22</v>
      </c>
      <c r="E2573" t="s">
        <v>23</v>
      </c>
      <c r="F2573" t="s">
        <v>30</v>
      </c>
      <c r="G2573">
        <v>1</v>
      </c>
      <c r="H2573">
        <v>0</v>
      </c>
      <c r="I2573" t="s">
        <v>39</v>
      </c>
      <c r="J2573" t="s">
        <v>31</v>
      </c>
      <c r="K2573" t="s">
        <v>20</v>
      </c>
      <c r="L2573">
        <v>2</v>
      </c>
      <c r="M2573">
        <v>1</v>
      </c>
      <c r="N2573">
        <v>0</v>
      </c>
      <c r="O2573" t="s">
        <v>27</v>
      </c>
      <c r="P2573" t="str">
        <f>TEXT(Table1[[#This Row],[order_date]],"yyyy-mm")</f>
        <v>2025-12</v>
      </c>
      <c r="Q2573">
        <f>WEEKNUM(Table1[[#This Row],[order_date]])</f>
        <v>52</v>
      </c>
      <c r="R2573">
        <f>IF(Table1[[#This Row],[order_status]]="completed",1,0)</f>
        <v>0</v>
      </c>
    </row>
    <row r="2574" spans="1:18" x14ac:dyDescent="0.35">
      <c r="A2574">
        <v>2573</v>
      </c>
      <c r="B2574" s="1">
        <v>45862</v>
      </c>
      <c r="C2574">
        <v>1397</v>
      </c>
      <c r="D2574" t="s">
        <v>32</v>
      </c>
      <c r="E2574" t="s">
        <v>29</v>
      </c>
      <c r="F2574" t="s">
        <v>17</v>
      </c>
      <c r="G2574">
        <v>3</v>
      </c>
      <c r="H2574">
        <v>0</v>
      </c>
      <c r="I2574" t="s">
        <v>35</v>
      </c>
      <c r="J2574" t="s">
        <v>31</v>
      </c>
      <c r="K2574" t="s">
        <v>40</v>
      </c>
      <c r="L2574">
        <v>9</v>
      </c>
      <c r="M2574">
        <v>0</v>
      </c>
      <c r="N2574">
        <v>1</v>
      </c>
      <c r="O2574" t="s">
        <v>27</v>
      </c>
      <c r="P2574" t="str">
        <f>TEXT(Table1[[#This Row],[order_date]],"yyyy-mm")</f>
        <v>2025-07</v>
      </c>
      <c r="Q2574">
        <f>WEEKNUM(Table1[[#This Row],[order_date]])</f>
        <v>30</v>
      </c>
      <c r="R2574">
        <f>IF(Table1[[#This Row],[order_status]]="completed",1,0)</f>
        <v>0</v>
      </c>
    </row>
    <row r="2575" spans="1:18" x14ac:dyDescent="0.35">
      <c r="A2575">
        <v>2574</v>
      </c>
      <c r="B2575" s="1">
        <v>45979</v>
      </c>
      <c r="C2575">
        <v>1080</v>
      </c>
      <c r="D2575" t="s">
        <v>32</v>
      </c>
      <c r="E2575" t="s">
        <v>33</v>
      </c>
      <c r="F2575" t="s">
        <v>17</v>
      </c>
      <c r="G2575">
        <v>2</v>
      </c>
      <c r="H2575">
        <v>810</v>
      </c>
      <c r="I2575" t="s">
        <v>18</v>
      </c>
      <c r="J2575" t="s">
        <v>19</v>
      </c>
      <c r="K2575" t="s">
        <v>40</v>
      </c>
      <c r="L2575">
        <v>9</v>
      </c>
      <c r="M2575">
        <v>1</v>
      </c>
      <c r="N2575">
        <v>0</v>
      </c>
      <c r="O2575" t="s">
        <v>21</v>
      </c>
      <c r="P2575" t="str">
        <f>TEXT(Table1[[#This Row],[order_date]],"yyyy-mm")</f>
        <v>2025-11</v>
      </c>
      <c r="Q2575">
        <f>WEEKNUM(Table1[[#This Row],[order_date]])</f>
        <v>47</v>
      </c>
      <c r="R2575">
        <f>IF(Table1[[#This Row],[order_status]]="completed",1,0)</f>
        <v>1</v>
      </c>
    </row>
    <row r="2576" spans="1:18" x14ac:dyDescent="0.35">
      <c r="A2576">
        <v>2575</v>
      </c>
      <c r="B2576" s="1">
        <v>45990</v>
      </c>
      <c r="C2576">
        <v>1129</v>
      </c>
      <c r="D2576" t="s">
        <v>22</v>
      </c>
      <c r="E2576" t="s">
        <v>23</v>
      </c>
      <c r="F2576" t="s">
        <v>24</v>
      </c>
      <c r="G2576">
        <v>4</v>
      </c>
      <c r="H2576">
        <v>0</v>
      </c>
      <c r="I2576" t="s">
        <v>18</v>
      </c>
      <c r="J2576" t="s">
        <v>31</v>
      </c>
      <c r="K2576" t="s">
        <v>26</v>
      </c>
      <c r="L2576">
        <v>5</v>
      </c>
      <c r="M2576">
        <v>0</v>
      </c>
      <c r="N2576">
        <v>1</v>
      </c>
      <c r="O2576" t="s">
        <v>21</v>
      </c>
      <c r="P2576" t="str">
        <f>TEXT(Table1[[#This Row],[order_date]],"yyyy-mm")</f>
        <v>2025-11</v>
      </c>
      <c r="Q2576">
        <f>WEEKNUM(Table1[[#This Row],[order_date]])</f>
        <v>48</v>
      </c>
      <c r="R2576">
        <f>IF(Table1[[#This Row],[order_status]]="completed",1,0)</f>
        <v>0</v>
      </c>
    </row>
    <row r="2577" spans="1:18" x14ac:dyDescent="0.35">
      <c r="A2577">
        <v>2576</v>
      </c>
      <c r="B2577" s="1">
        <v>45920</v>
      </c>
      <c r="C2577">
        <v>1808</v>
      </c>
      <c r="D2577" t="s">
        <v>22</v>
      </c>
      <c r="E2577" t="s">
        <v>33</v>
      </c>
      <c r="F2577" t="s">
        <v>17</v>
      </c>
      <c r="G2577">
        <v>4</v>
      </c>
      <c r="H2577">
        <v>0</v>
      </c>
      <c r="I2577" t="s">
        <v>39</v>
      </c>
      <c r="J2577" t="s">
        <v>31</v>
      </c>
      <c r="K2577" t="s">
        <v>40</v>
      </c>
      <c r="L2577">
        <v>3</v>
      </c>
      <c r="M2577">
        <v>1</v>
      </c>
      <c r="N2577">
        <v>0</v>
      </c>
      <c r="O2577" t="s">
        <v>27</v>
      </c>
      <c r="P2577" t="str">
        <f>TEXT(Table1[[#This Row],[order_date]],"yyyy-mm")</f>
        <v>2025-09</v>
      </c>
      <c r="Q2577">
        <f>WEEKNUM(Table1[[#This Row],[order_date]])</f>
        <v>38</v>
      </c>
      <c r="R2577">
        <f>IF(Table1[[#This Row],[order_status]]="completed",1,0)</f>
        <v>0</v>
      </c>
    </row>
    <row r="2578" spans="1:18" x14ac:dyDescent="0.35">
      <c r="A2578">
        <v>2577</v>
      </c>
      <c r="B2578" s="1">
        <v>45855</v>
      </c>
      <c r="C2578">
        <v>1189</v>
      </c>
      <c r="D2578" t="s">
        <v>28</v>
      </c>
      <c r="E2578" t="s">
        <v>16</v>
      </c>
      <c r="F2578" t="s">
        <v>34</v>
      </c>
      <c r="G2578">
        <v>4</v>
      </c>
      <c r="H2578">
        <v>0</v>
      </c>
      <c r="I2578" t="s">
        <v>39</v>
      </c>
      <c r="J2578" t="s">
        <v>31</v>
      </c>
      <c r="K2578" t="s">
        <v>40</v>
      </c>
      <c r="L2578">
        <v>4</v>
      </c>
      <c r="M2578">
        <v>0</v>
      </c>
      <c r="N2578">
        <v>0</v>
      </c>
      <c r="O2578" t="s">
        <v>27</v>
      </c>
      <c r="P2578" t="str">
        <f>TEXT(Table1[[#This Row],[order_date]],"yyyy-mm")</f>
        <v>2025-07</v>
      </c>
      <c r="Q2578">
        <f>WEEKNUM(Table1[[#This Row],[order_date]])</f>
        <v>29</v>
      </c>
      <c r="R2578">
        <f>IF(Table1[[#This Row],[order_status]]="completed",1,0)</f>
        <v>0</v>
      </c>
    </row>
    <row r="2579" spans="1:18" x14ac:dyDescent="0.35">
      <c r="A2579">
        <v>2578</v>
      </c>
      <c r="B2579" s="1">
        <v>45864</v>
      </c>
      <c r="C2579">
        <v>1380</v>
      </c>
      <c r="D2579" t="s">
        <v>32</v>
      </c>
      <c r="E2579" t="s">
        <v>23</v>
      </c>
      <c r="F2579" t="s">
        <v>34</v>
      </c>
      <c r="G2579">
        <v>5</v>
      </c>
      <c r="H2579">
        <v>0</v>
      </c>
      <c r="I2579" t="s">
        <v>18</v>
      </c>
      <c r="J2579" t="s">
        <v>37</v>
      </c>
      <c r="K2579" t="s">
        <v>20</v>
      </c>
      <c r="L2579">
        <v>9</v>
      </c>
      <c r="M2579">
        <v>1</v>
      </c>
      <c r="N2579">
        <v>0</v>
      </c>
      <c r="O2579" t="s">
        <v>21</v>
      </c>
      <c r="P2579" t="str">
        <f>TEXT(Table1[[#This Row],[order_date]],"yyyy-mm")</f>
        <v>2025-07</v>
      </c>
      <c r="Q2579">
        <f>WEEKNUM(Table1[[#This Row],[order_date]])</f>
        <v>30</v>
      </c>
      <c r="R2579">
        <f>IF(Table1[[#This Row],[order_status]]="completed",1,0)</f>
        <v>0</v>
      </c>
    </row>
    <row r="2580" spans="1:18" x14ac:dyDescent="0.35">
      <c r="A2580">
        <v>2579</v>
      </c>
      <c r="B2580" s="1">
        <v>46013</v>
      </c>
      <c r="C2580">
        <v>1625</v>
      </c>
      <c r="D2580" t="s">
        <v>41</v>
      </c>
      <c r="E2580" t="s">
        <v>29</v>
      </c>
      <c r="F2580" t="s">
        <v>30</v>
      </c>
      <c r="G2580">
        <v>2</v>
      </c>
      <c r="H2580">
        <v>0</v>
      </c>
      <c r="I2580" t="s">
        <v>25</v>
      </c>
      <c r="J2580" t="s">
        <v>31</v>
      </c>
      <c r="K2580" t="s">
        <v>26</v>
      </c>
      <c r="L2580">
        <v>8</v>
      </c>
      <c r="M2580">
        <v>1</v>
      </c>
      <c r="N2580">
        <v>0</v>
      </c>
      <c r="O2580" t="s">
        <v>27</v>
      </c>
      <c r="P2580" t="str">
        <f>TEXT(Table1[[#This Row],[order_date]],"yyyy-mm")</f>
        <v>2025-12</v>
      </c>
      <c r="Q2580">
        <f>WEEKNUM(Table1[[#This Row],[order_date]])</f>
        <v>52</v>
      </c>
      <c r="R2580">
        <f>IF(Table1[[#This Row],[order_status]]="completed",1,0)</f>
        <v>0</v>
      </c>
    </row>
    <row r="2581" spans="1:18" x14ac:dyDescent="0.35">
      <c r="A2581">
        <v>2580</v>
      </c>
      <c r="B2581" s="1">
        <v>45955</v>
      </c>
      <c r="C2581">
        <v>1213</v>
      </c>
      <c r="D2581" t="s">
        <v>28</v>
      </c>
      <c r="E2581" t="s">
        <v>29</v>
      </c>
      <c r="F2581" t="s">
        <v>17</v>
      </c>
      <c r="G2581">
        <v>3</v>
      </c>
      <c r="H2581">
        <v>4383</v>
      </c>
      <c r="I2581" t="s">
        <v>39</v>
      </c>
      <c r="J2581" t="s">
        <v>19</v>
      </c>
      <c r="K2581" t="s">
        <v>38</v>
      </c>
      <c r="L2581">
        <v>3</v>
      </c>
      <c r="M2581">
        <v>1</v>
      </c>
      <c r="N2581">
        <v>1</v>
      </c>
      <c r="O2581" t="s">
        <v>21</v>
      </c>
      <c r="P2581" t="str">
        <f>TEXT(Table1[[#This Row],[order_date]],"yyyy-mm")</f>
        <v>2025-10</v>
      </c>
      <c r="Q2581">
        <f>WEEKNUM(Table1[[#This Row],[order_date]])</f>
        <v>43</v>
      </c>
      <c r="R2581">
        <f>IF(Table1[[#This Row],[order_status]]="completed",1,0)</f>
        <v>1</v>
      </c>
    </row>
    <row r="2582" spans="1:18" x14ac:dyDescent="0.35">
      <c r="A2582">
        <v>2581</v>
      </c>
      <c r="B2582" s="1">
        <v>46001</v>
      </c>
      <c r="C2582">
        <v>1650</v>
      </c>
      <c r="D2582" t="s">
        <v>41</v>
      </c>
      <c r="E2582" t="s">
        <v>16</v>
      </c>
      <c r="F2582" t="s">
        <v>17</v>
      </c>
      <c r="G2582">
        <v>2</v>
      </c>
      <c r="H2582">
        <v>6492</v>
      </c>
      <c r="I2582" t="s">
        <v>25</v>
      </c>
      <c r="J2582" t="s">
        <v>19</v>
      </c>
      <c r="K2582" t="s">
        <v>38</v>
      </c>
      <c r="L2582">
        <v>4</v>
      </c>
      <c r="M2582">
        <v>0</v>
      </c>
      <c r="N2582">
        <v>0</v>
      </c>
      <c r="O2582" t="s">
        <v>21</v>
      </c>
      <c r="P2582" t="str">
        <f>TEXT(Table1[[#This Row],[order_date]],"yyyy-mm")</f>
        <v>2025-12</v>
      </c>
      <c r="Q2582">
        <f>WEEKNUM(Table1[[#This Row],[order_date]])</f>
        <v>50</v>
      </c>
      <c r="R2582">
        <f>IF(Table1[[#This Row],[order_status]]="completed",1,0)</f>
        <v>1</v>
      </c>
    </row>
    <row r="2583" spans="1:18" x14ac:dyDescent="0.35">
      <c r="A2583">
        <v>2582</v>
      </c>
      <c r="B2583" s="1">
        <v>45904</v>
      </c>
      <c r="C2583">
        <v>1899</v>
      </c>
      <c r="D2583" t="s">
        <v>22</v>
      </c>
      <c r="E2583" t="s">
        <v>23</v>
      </c>
      <c r="F2583" t="s">
        <v>24</v>
      </c>
      <c r="G2583">
        <v>5</v>
      </c>
      <c r="H2583">
        <v>0</v>
      </c>
      <c r="I2583" t="s">
        <v>35</v>
      </c>
      <c r="J2583" t="s">
        <v>37</v>
      </c>
      <c r="K2583" t="s">
        <v>26</v>
      </c>
      <c r="L2583">
        <v>7</v>
      </c>
      <c r="M2583">
        <v>1</v>
      </c>
      <c r="N2583">
        <v>0</v>
      </c>
      <c r="O2583" t="s">
        <v>21</v>
      </c>
      <c r="P2583" t="str">
        <f>TEXT(Table1[[#This Row],[order_date]],"yyyy-mm")</f>
        <v>2025-09</v>
      </c>
      <c r="Q2583">
        <f>WEEKNUM(Table1[[#This Row],[order_date]])</f>
        <v>36</v>
      </c>
      <c r="R2583">
        <f>IF(Table1[[#This Row],[order_status]]="completed",1,0)</f>
        <v>0</v>
      </c>
    </row>
    <row r="2584" spans="1:18" x14ac:dyDescent="0.35">
      <c r="A2584">
        <v>2583</v>
      </c>
      <c r="B2584" s="1">
        <v>45923</v>
      </c>
      <c r="C2584">
        <v>1139</v>
      </c>
      <c r="D2584" t="s">
        <v>15</v>
      </c>
      <c r="E2584" t="s">
        <v>36</v>
      </c>
      <c r="F2584" t="s">
        <v>24</v>
      </c>
      <c r="G2584">
        <v>1</v>
      </c>
      <c r="H2584">
        <v>0</v>
      </c>
      <c r="I2584" t="s">
        <v>25</v>
      </c>
      <c r="J2584" t="s">
        <v>37</v>
      </c>
      <c r="K2584" t="s">
        <v>20</v>
      </c>
      <c r="L2584">
        <v>5</v>
      </c>
      <c r="M2584">
        <v>0</v>
      </c>
      <c r="N2584">
        <v>1</v>
      </c>
      <c r="O2584" t="s">
        <v>21</v>
      </c>
      <c r="P2584" t="str">
        <f>TEXT(Table1[[#This Row],[order_date]],"yyyy-mm")</f>
        <v>2025-09</v>
      </c>
      <c r="Q2584">
        <f>WEEKNUM(Table1[[#This Row],[order_date]])</f>
        <v>39</v>
      </c>
      <c r="R2584">
        <f>IF(Table1[[#This Row],[order_status]]="completed",1,0)</f>
        <v>0</v>
      </c>
    </row>
    <row r="2585" spans="1:18" x14ac:dyDescent="0.35">
      <c r="A2585">
        <v>2584</v>
      </c>
      <c r="B2585" s="1">
        <v>46031</v>
      </c>
      <c r="C2585">
        <v>1664</v>
      </c>
      <c r="D2585" t="s">
        <v>41</v>
      </c>
      <c r="E2585" t="s">
        <v>29</v>
      </c>
      <c r="F2585" t="s">
        <v>30</v>
      </c>
      <c r="G2585">
        <v>3</v>
      </c>
      <c r="H2585">
        <v>0</v>
      </c>
      <c r="I2585" t="s">
        <v>18</v>
      </c>
      <c r="J2585" t="s">
        <v>31</v>
      </c>
      <c r="K2585" t="s">
        <v>20</v>
      </c>
      <c r="L2585">
        <v>7</v>
      </c>
      <c r="M2585">
        <v>1</v>
      </c>
      <c r="N2585">
        <v>1</v>
      </c>
      <c r="O2585" t="s">
        <v>27</v>
      </c>
      <c r="P2585" t="str">
        <f>TEXT(Table1[[#This Row],[order_date]],"yyyy-mm")</f>
        <v>2026-01</v>
      </c>
      <c r="Q2585">
        <f>WEEKNUM(Table1[[#This Row],[order_date]])</f>
        <v>2</v>
      </c>
      <c r="R2585">
        <f>IF(Table1[[#This Row],[order_status]]="completed",1,0)</f>
        <v>0</v>
      </c>
    </row>
    <row r="2586" spans="1:18" x14ac:dyDescent="0.35">
      <c r="A2586">
        <v>2585</v>
      </c>
      <c r="B2586" s="1">
        <v>45956</v>
      </c>
      <c r="C2586">
        <v>1482</v>
      </c>
      <c r="D2586" t="s">
        <v>41</v>
      </c>
      <c r="E2586" t="s">
        <v>33</v>
      </c>
      <c r="F2586" t="s">
        <v>24</v>
      </c>
      <c r="G2586">
        <v>3</v>
      </c>
      <c r="H2586">
        <v>11697</v>
      </c>
      <c r="I2586" t="s">
        <v>35</v>
      </c>
      <c r="J2586" t="s">
        <v>19</v>
      </c>
      <c r="K2586" t="s">
        <v>38</v>
      </c>
      <c r="L2586">
        <v>6</v>
      </c>
      <c r="M2586">
        <v>0</v>
      </c>
      <c r="N2586">
        <v>1</v>
      </c>
      <c r="O2586" t="s">
        <v>21</v>
      </c>
      <c r="P2586" t="str">
        <f>TEXT(Table1[[#This Row],[order_date]],"yyyy-mm")</f>
        <v>2025-10</v>
      </c>
      <c r="Q2586">
        <f>WEEKNUM(Table1[[#This Row],[order_date]])</f>
        <v>44</v>
      </c>
      <c r="R2586">
        <f>IF(Table1[[#This Row],[order_status]]="completed",1,0)</f>
        <v>1</v>
      </c>
    </row>
    <row r="2587" spans="1:18" x14ac:dyDescent="0.35">
      <c r="A2587">
        <v>2586</v>
      </c>
      <c r="B2587" s="1">
        <v>45863</v>
      </c>
      <c r="C2587">
        <v>1835</v>
      </c>
      <c r="D2587" t="s">
        <v>32</v>
      </c>
      <c r="E2587" t="s">
        <v>36</v>
      </c>
      <c r="F2587" t="s">
        <v>17</v>
      </c>
      <c r="G2587">
        <v>3</v>
      </c>
      <c r="H2587">
        <v>0</v>
      </c>
      <c r="I2587" t="s">
        <v>18</v>
      </c>
      <c r="J2587" t="s">
        <v>37</v>
      </c>
      <c r="K2587" t="s">
        <v>26</v>
      </c>
      <c r="L2587">
        <v>6</v>
      </c>
      <c r="M2587">
        <v>0</v>
      </c>
      <c r="N2587">
        <v>1</v>
      </c>
      <c r="O2587" t="s">
        <v>27</v>
      </c>
      <c r="P2587" t="str">
        <f>TEXT(Table1[[#This Row],[order_date]],"yyyy-mm")</f>
        <v>2025-07</v>
      </c>
      <c r="Q2587">
        <f>WEEKNUM(Table1[[#This Row],[order_date]])</f>
        <v>30</v>
      </c>
      <c r="R2587">
        <f>IF(Table1[[#This Row],[order_status]]="completed",1,0)</f>
        <v>0</v>
      </c>
    </row>
    <row r="2588" spans="1:18" x14ac:dyDescent="0.35">
      <c r="A2588">
        <v>2587</v>
      </c>
      <c r="B2588" s="1">
        <v>45898</v>
      </c>
      <c r="C2588">
        <v>1295</v>
      </c>
      <c r="D2588" t="s">
        <v>22</v>
      </c>
      <c r="E2588" t="s">
        <v>36</v>
      </c>
      <c r="F2588" t="s">
        <v>34</v>
      </c>
      <c r="G2588">
        <v>2</v>
      </c>
      <c r="H2588">
        <v>0</v>
      </c>
      <c r="I2588" t="s">
        <v>18</v>
      </c>
      <c r="J2588" t="s">
        <v>37</v>
      </c>
      <c r="K2588" t="s">
        <v>20</v>
      </c>
      <c r="L2588">
        <v>8</v>
      </c>
      <c r="M2588">
        <v>1</v>
      </c>
      <c r="N2588">
        <v>1</v>
      </c>
      <c r="O2588" t="s">
        <v>21</v>
      </c>
      <c r="P2588" t="str">
        <f>TEXT(Table1[[#This Row],[order_date]],"yyyy-mm")</f>
        <v>2025-08</v>
      </c>
      <c r="Q2588">
        <f>WEEKNUM(Table1[[#This Row],[order_date]])</f>
        <v>35</v>
      </c>
      <c r="R2588">
        <f>IF(Table1[[#This Row],[order_status]]="completed",1,0)</f>
        <v>0</v>
      </c>
    </row>
    <row r="2589" spans="1:18" x14ac:dyDescent="0.35">
      <c r="A2589">
        <v>2588</v>
      </c>
      <c r="B2589" s="1">
        <v>45979</v>
      </c>
      <c r="C2589">
        <v>1280</v>
      </c>
      <c r="D2589" t="s">
        <v>32</v>
      </c>
      <c r="E2589" t="s">
        <v>23</v>
      </c>
      <c r="F2589" t="s">
        <v>34</v>
      </c>
      <c r="G2589">
        <v>4</v>
      </c>
      <c r="H2589">
        <v>0</v>
      </c>
      <c r="I2589" t="s">
        <v>25</v>
      </c>
      <c r="J2589" t="s">
        <v>31</v>
      </c>
      <c r="K2589" t="s">
        <v>38</v>
      </c>
      <c r="L2589">
        <v>7</v>
      </c>
      <c r="M2589">
        <v>0</v>
      </c>
      <c r="N2589">
        <v>0</v>
      </c>
      <c r="O2589" t="s">
        <v>27</v>
      </c>
      <c r="P2589" t="str">
        <f>TEXT(Table1[[#This Row],[order_date]],"yyyy-mm")</f>
        <v>2025-11</v>
      </c>
      <c r="Q2589">
        <f>WEEKNUM(Table1[[#This Row],[order_date]])</f>
        <v>47</v>
      </c>
      <c r="R2589">
        <f>IF(Table1[[#This Row],[order_status]]="completed",1,0)</f>
        <v>0</v>
      </c>
    </row>
    <row r="2590" spans="1:18" x14ac:dyDescent="0.35">
      <c r="A2590">
        <v>2589</v>
      </c>
      <c r="B2590" s="1">
        <v>46017</v>
      </c>
      <c r="C2590">
        <v>1939</v>
      </c>
      <c r="D2590" t="s">
        <v>41</v>
      </c>
      <c r="E2590" t="s">
        <v>23</v>
      </c>
      <c r="F2590" t="s">
        <v>34</v>
      </c>
      <c r="G2590">
        <v>3</v>
      </c>
      <c r="H2590">
        <v>5247</v>
      </c>
      <c r="I2590" t="s">
        <v>18</v>
      </c>
      <c r="J2590" t="s">
        <v>19</v>
      </c>
      <c r="K2590" t="s">
        <v>40</v>
      </c>
      <c r="L2590">
        <v>6</v>
      </c>
      <c r="M2590">
        <v>1</v>
      </c>
      <c r="N2590">
        <v>1</v>
      </c>
      <c r="O2590" t="s">
        <v>27</v>
      </c>
      <c r="P2590" t="str">
        <f>TEXT(Table1[[#This Row],[order_date]],"yyyy-mm")</f>
        <v>2025-12</v>
      </c>
      <c r="Q2590">
        <f>WEEKNUM(Table1[[#This Row],[order_date]])</f>
        <v>52</v>
      </c>
      <c r="R2590">
        <f>IF(Table1[[#This Row],[order_status]]="completed",1,0)</f>
        <v>1</v>
      </c>
    </row>
    <row r="2591" spans="1:18" x14ac:dyDescent="0.35">
      <c r="A2591">
        <v>2590</v>
      </c>
      <c r="B2591" s="1">
        <v>45968</v>
      </c>
      <c r="C2591">
        <v>1695</v>
      </c>
      <c r="D2591" t="s">
        <v>15</v>
      </c>
      <c r="E2591" t="s">
        <v>29</v>
      </c>
      <c r="F2591" t="s">
        <v>30</v>
      </c>
      <c r="G2591">
        <v>4</v>
      </c>
      <c r="H2591">
        <v>0</v>
      </c>
      <c r="I2591" t="s">
        <v>18</v>
      </c>
      <c r="J2591" t="s">
        <v>31</v>
      </c>
      <c r="K2591" t="s">
        <v>38</v>
      </c>
      <c r="L2591">
        <v>6</v>
      </c>
      <c r="M2591">
        <v>0</v>
      </c>
      <c r="N2591">
        <v>0</v>
      </c>
      <c r="O2591" t="s">
        <v>27</v>
      </c>
      <c r="P2591" t="str">
        <f>TEXT(Table1[[#This Row],[order_date]],"yyyy-mm")</f>
        <v>2025-11</v>
      </c>
      <c r="Q2591">
        <f>WEEKNUM(Table1[[#This Row],[order_date]])</f>
        <v>45</v>
      </c>
      <c r="R2591">
        <f>IF(Table1[[#This Row],[order_status]]="completed",1,0)</f>
        <v>0</v>
      </c>
    </row>
    <row r="2592" spans="1:18" x14ac:dyDescent="0.35">
      <c r="A2592">
        <v>2591</v>
      </c>
      <c r="B2592" s="1">
        <v>45961</v>
      </c>
      <c r="C2592">
        <v>1371</v>
      </c>
      <c r="D2592" t="s">
        <v>22</v>
      </c>
      <c r="E2592" t="s">
        <v>33</v>
      </c>
      <c r="F2592" t="s">
        <v>30</v>
      </c>
      <c r="G2592">
        <v>4</v>
      </c>
      <c r="H2592">
        <v>0</v>
      </c>
      <c r="I2592" t="s">
        <v>35</v>
      </c>
      <c r="J2592" t="s">
        <v>37</v>
      </c>
      <c r="K2592" t="s">
        <v>26</v>
      </c>
      <c r="L2592">
        <v>5</v>
      </c>
      <c r="M2592">
        <v>0</v>
      </c>
      <c r="N2592">
        <v>0</v>
      </c>
      <c r="O2592" t="s">
        <v>27</v>
      </c>
      <c r="P2592" t="str">
        <f>TEXT(Table1[[#This Row],[order_date]],"yyyy-mm")</f>
        <v>2025-10</v>
      </c>
      <c r="Q2592">
        <f>WEEKNUM(Table1[[#This Row],[order_date]])</f>
        <v>44</v>
      </c>
      <c r="R2592">
        <f>IF(Table1[[#This Row],[order_status]]="completed",1,0)</f>
        <v>0</v>
      </c>
    </row>
    <row r="2593" spans="1:18" x14ac:dyDescent="0.35">
      <c r="A2593">
        <v>2592</v>
      </c>
      <c r="B2593" s="1">
        <v>45995</v>
      </c>
      <c r="C2593">
        <v>1054</v>
      </c>
      <c r="D2593" t="s">
        <v>15</v>
      </c>
      <c r="E2593" t="s">
        <v>33</v>
      </c>
      <c r="F2593" t="s">
        <v>34</v>
      </c>
      <c r="G2593">
        <v>5</v>
      </c>
      <c r="H2593">
        <v>0</v>
      </c>
      <c r="I2593" t="s">
        <v>35</v>
      </c>
      <c r="J2593" t="s">
        <v>37</v>
      </c>
      <c r="K2593" t="s">
        <v>40</v>
      </c>
      <c r="L2593">
        <v>8</v>
      </c>
      <c r="M2593">
        <v>1</v>
      </c>
      <c r="N2593">
        <v>0</v>
      </c>
      <c r="O2593" t="s">
        <v>27</v>
      </c>
      <c r="P2593" t="str">
        <f>TEXT(Table1[[#This Row],[order_date]],"yyyy-mm")</f>
        <v>2025-12</v>
      </c>
      <c r="Q2593">
        <f>WEEKNUM(Table1[[#This Row],[order_date]])</f>
        <v>49</v>
      </c>
      <c r="R2593">
        <f>IF(Table1[[#This Row],[order_status]]="completed",1,0)</f>
        <v>0</v>
      </c>
    </row>
    <row r="2594" spans="1:18" x14ac:dyDescent="0.35">
      <c r="A2594">
        <v>2593</v>
      </c>
      <c r="B2594" s="1">
        <v>45980</v>
      </c>
      <c r="C2594">
        <v>1150</v>
      </c>
      <c r="D2594" t="s">
        <v>15</v>
      </c>
      <c r="E2594" t="s">
        <v>23</v>
      </c>
      <c r="F2594" t="s">
        <v>30</v>
      </c>
      <c r="G2594">
        <v>3</v>
      </c>
      <c r="H2594">
        <v>0</v>
      </c>
      <c r="I2594" t="s">
        <v>25</v>
      </c>
      <c r="J2594" t="s">
        <v>31</v>
      </c>
      <c r="K2594" t="s">
        <v>38</v>
      </c>
      <c r="L2594">
        <v>2</v>
      </c>
      <c r="M2594">
        <v>1</v>
      </c>
      <c r="N2594">
        <v>0</v>
      </c>
      <c r="O2594" t="s">
        <v>21</v>
      </c>
      <c r="P2594" t="str">
        <f>TEXT(Table1[[#This Row],[order_date]],"yyyy-mm")</f>
        <v>2025-11</v>
      </c>
      <c r="Q2594">
        <f>WEEKNUM(Table1[[#This Row],[order_date]])</f>
        <v>47</v>
      </c>
      <c r="R2594">
        <f>IF(Table1[[#This Row],[order_status]]="completed",1,0)</f>
        <v>0</v>
      </c>
    </row>
    <row r="2595" spans="1:18" x14ac:dyDescent="0.35">
      <c r="A2595">
        <v>2594</v>
      </c>
      <c r="B2595" s="1">
        <v>45921</v>
      </c>
      <c r="C2595">
        <v>1469</v>
      </c>
      <c r="D2595" t="s">
        <v>32</v>
      </c>
      <c r="E2595" t="s">
        <v>16</v>
      </c>
      <c r="F2595" t="s">
        <v>30</v>
      </c>
      <c r="G2595">
        <v>1</v>
      </c>
      <c r="H2595">
        <v>2905</v>
      </c>
      <c r="I2595" t="s">
        <v>18</v>
      </c>
      <c r="J2595" t="s">
        <v>19</v>
      </c>
      <c r="K2595" t="s">
        <v>40</v>
      </c>
      <c r="L2595">
        <v>10</v>
      </c>
      <c r="M2595">
        <v>1</v>
      </c>
      <c r="N2595">
        <v>1</v>
      </c>
      <c r="O2595" t="s">
        <v>27</v>
      </c>
      <c r="P2595" t="str">
        <f>TEXT(Table1[[#This Row],[order_date]],"yyyy-mm")</f>
        <v>2025-09</v>
      </c>
      <c r="Q2595">
        <f>WEEKNUM(Table1[[#This Row],[order_date]])</f>
        <v>39</v>
      </c>
      <c r="R2595">
        <f>IF(Table1[[#This Row],[order_status]]="completed",1,0)</f>
        <v>1</v>
      </c>
    </row>
    <row r="2596" spans="1:18" x14ac:dyDescent="0.35">
      <c r="A2596">
        <v>2595</v>
      </c>
      <c r="B2596" s="1">
        <v>45880</v>
      </c>
      <c r="C2596">
        <v>1018</v>
      </c>
      <c r="D2596" t="s">
        <v>41</v>
      </c>
      <c r="E2596" t="s">
        <v>29</v>
      </c>
      <c r="F2596" t="s">
        <v>34</v>
      </c>
      <c r="G2596">
        <v>1</v>
      </c>
      <c r="H2596">
        <v>0</v>
      </c>
      <c r="I2596" t="s">
        <v>18</v>
      </c>
      <c r="J2596" t="s">
        <v>31</v>
      </c>
      <c r="K2596" t="s">
        <v>26</v>
      </c>
      <c r="L2596">
        <v>9</v>
      </c>
      <c r="M2596">
        <v>0</v>
      </c>
      <c r="N2596">
        <v>1</v>
      </c>
      <c r="O2596" t="s">
        <v>27</v>
      </c>
      <c r="P2596" t="str">
        <f>TEXT(Table1[[#This Row],[order_date]],"yyyy-mm")</f>
        <v>2025-08</v>
      </c>
      <c r="Q2596">
        <f>WEEKNUM(Table1[[#This Row],[order_date]])</f>
        <v>33</v>
      </c>
      <c r="R2596">
        <f>IF(Table1[[#This Row],[order_status]]="completed",1,0)</f>
        <v>0</v>
      </c>
    </row>
    <row r="2597" spans="1:18" x14ac:dyDescent="0.35">
      <c r="A2597">
        <v>2596</v>
      </c>
      <c r="B2597" s="1">
        <v>46030</v>
      </c>
      <c r="C2597">
        <v>1871</v>
      </c>
      <c r="D2597" t="s">
        <v>15</v>
      </c>
      <c r="E2597" t="s">
        <v>36</v>
      </c>
      <c r="F2597" t="s">
        <v>30</v>
      </c>
      <c r="G2597">
        <v>3</v>
      </c>
      <c r="H2597">
        <v>4098</v>
      </c>
      <c r="I2597" t="s">
        <v>39</v>
      </c>
      <c r="J2597" t="s">
        <v>19</v>
      </c>
      <c r="K2597" t="s">
        <v>38</v>
      </c>
      <c r="L2597">
        <v>6</v>
      </c>
      <c r="M2597">
        <v>1</v>
      </c>
      <c r="N2597">
        <v>0</v>
      </c>
      <c r="O2597" t="s">
        <v>21</v>
      </c>
      <c r="P2597" t="str">
        <f>TEXT(Table1[[#This Row],[order_date]],"yyyy-mm")</f>
        <v>2026-01</v>
      </c>
      <c r="Q2597">
        <f>WEEKNUM(Table1[[#This Row],[order_date]])</f>
        <v>2</v>
      </c>
      <c r="R2597">
        <f>IF(Table1[[#This Row],[order_status]]="completed",1,0)</f>
        <v>1</v>
      </c>
    </row>
    <row r="2598" spans="1:18" x14ac:dyDescent="0.35">
      <c r="A2598">
        <v>2597</v>
      </c>
      <c r="B2598" s="1">
        <v>45857</v>
      </c>
      <c r="C2598">
        <v>1164</v>
      </c>
      <c r="D2598" t="s">
        <v>22</v>
      </c>
      <c r="E2598" t="s">
        <v>33</v>
      </c>
      <c r="F2598" t="s">
        <v>17</v>
      </c>
      <c r="G2598">
        <v>1</v>
      </c>
      <c r="H2598">
        <v>0</v>
      </c>
      <c r="I2598" t="s">
        <v>18</v>
      </c>
      <c r="J2598" t="s">
        <v>37</v>
      </c>
      <c r="K2598" t="s">
        <v>38</v>
      </c>
      <c r="L2598">
        <v>7</v>
      </c>
      <c r="M2598">
        <v>0</v>
      </c>
      <c r="N2598">
        <v>0</v>
      </c>
      <c r="O2598" t="s">
        <v>27</v>
      </c>
      <c r="P2598" t="str">
        <f>TEXT(Table1[[#This Row],[order_date]],"yyyy-mm")</f>
        <v>2025-07</v>
      </c>
      <c r="Q2598">
        <f>WEEKNUM(Table1[[#This Row],[order_date]])</f>
        <v>29</v>
      </c>
      <c r="R2598">
        <f>IF(Table1[[#This Row],[order_status]]="completed",1,0)</f>
        <v>0</v>
      </c>
    </row>
    <row r="2599" spans="1:18" x14ac:dyDescent="0.35">
      <c r="A2599">
        <v>2598</v>
      </c>
      <c r="B2599" s="1">
        <v>45929</v>
      </c>
      <c r="C2599">
        <v>1711</v>
      </c>
      <c r="D2599" t="s">
        <v>15</v>
      </c>
      <c r="E2599" t="s">
        <v>29</v>
      </c>
      <c r="F2599" t="s">
        <v>24</v>
      </c>
      <c r="G2599">
        <v>1</v>
      </c>
      <c r="H2599">
        <v>0</v>
      </c>
      <c r="I2599" t="s">
        <v>35</v>
      </c>
      <c r="J2599" t="s">
        <v>31</v>
      </c>
      <c r="K2599" t="s">
        <v>20</v>
      </c>
      <c r="L2599">
        <v>7</v>
      </c>
      <c r="M2599">
        <v>0</v>
      </c>
      <c r="N2599">
        <v>0</v>
      </c>
      <c r="O2599" t="s">
        <v>27</v>
      </c>
      <c r="P2599" t="str">
        <f>TEXT(Table1[[#This Row],[order_date]],"yyyy-mm")</f>
        <v>2025-09</v>
      </c>
      <c r="Q2599">
        <f>WEEKNUM(Table1[[#This Row],[order_date]])</f>
        <v>40</v>
      </c>
      <c r="R2599">
        <f>IF(Table1[[#This Row],[order_status]]="completed",1,0)</f>
        <v>0</v>
      </c>
    </row>
    <row r="2600" spans="1:18" x14ac:dyDescent="0.35">
      <c r="A2600">
        <v>2599</v>
      </c>
      <c r="B2600" s="1">
        <v>46015</v>
      </c>
      <c r="C2600">
        <v>1113</v>
      </c>
      <c r="D2600" t="s">
        <v>41</v>
      </c>
      <c r="E2600" t="s">
        <v>29</v>
      </c>
      <c r="F2600" t="s">
        <v>17</v>
      </c>
      <c r="G2600">
        <v>2</v>
      </c>
      <c r="H2600">
        <v>0</v>
      </c>
      <c r="I2600" t="s">
        <v>39</v>
      </c>
      <c r="J2600" t="s">
        <v>31</v>
      </c>
      <c r="K2600" t="s">
        <v>20</v>
      </c>
      <c r="L2600">
        <v>1</v>
      </c>
      <c r="M2600">
        <v>0</v>
      </c>
      <c r="N2600">
        <v>1</v>
      </c>
      <c r="O2600" t="s">
        <v>27</v>
      </c>
      <c r="P2600" t="str">
        <f>TEXT(Table1[[#This Row],[order_date]],"yyyy-mm")</f>
        <v>2025-12</v>
      </c>
      <c r="Q2600">
        <f>WEEKNUM(Table1[[#This Row],[order_date]])</f>
        <v>52</v>
      </c>
      <c r="R2600">
        <f>IF(Table1[[#This Row],[order_status]]="completed",1,0)</f>
        <v>0</v>
      </c>
    </row>
    <row r="2601" spans="1:18" x14ac:dyDescent="0.35">
      <c r="A2601">
        <v>2600</v>
      </c>
      <c r="B2601" s="1">
        <v>45984</v>
      </c>
      <c r="C2601">
        <v>1563</v>
      </c>
      <c r="D2601" t="s">
        <v>32</v>
      </c>
      <c r="E2601" t="s">
        <v>16</v>
      </c>
      <c r="F2601" t="s">
        <v>24</v>
      </c>
      <c r="G2601">
        <v>2</v>
      </c>
      <c r="H2601">
        <v>0</v>
      </c>
      <c r="I2601" t="s">
        <v>39</v>
      </c>
      <c r="J2601" t="s">
        <v>31</v>
      </c>
      <c r="K2601" t="s">
        <v>20</v>
      </c>
      <c r="L2601">
        <v>9</v>
      </c>
      <c r="M2601">
        <v>1</v>
      </c>
      <c r="N2601">
        <v>1</v>
      </c>
      <c r="O2601" t="s">
        <v>27</v>
      </c>
      <c r="P2601" t="str">
        <f>TEXT(Table1[[#This Row],[order_date]],"yyyy-mm")</f>
        <v>2025-11</v>
      </c>
      <c r="Q2601">
        <f>WEEKNUM(Table1[[#This Row],[order_date]])</f>
        <v>48</v>
      </c>
      <c r="R2601">
        <f>IF(Table1[[#This Row],[order_status]]="completed",1,0)</f>
        <v>0</v>
      </c>
    </row>
    <row r="2602" spans="1:18" x14ac:dyDescent="0.35">
      <c r="A2602">
        <v>2601</v>
      </c>
      <c r="B2602" s="1">
        <v>45890</v>
      </c>
      <c r="C2602">
        <v>1366</v>
      </c>
      <c r="D2602" t="s">
        <v>41</v>
      </c>
      <c r="E2602" t="s">
        <v>23</v>
      </c>
      <c r="F2602" t="s">
        <v>17</v>
      </c>
      <c r="G2602">
        <v>2</v>
      </c>
      <c r="H2602">
        <v>0</v>
      </c>
      <c r="I2602" t="s">
        <v>39</v>
      </c>
      <c r="J2602" t="s">
        <v>31</v>
      </c>
      <c r="K2602" t="s">
        <v>26</v>
      </c>
      <c r="L2602">
        <v>1</v>
      </c>
      <c r="M2602">
        <v>1</v>
      </c>
      <c r="N2602">
        <v>1</v>
      </c>
      <c r="O2602" t="s">
        <v>27</v>
      </c>
      <c r="P2602" t="str">
        <f>TEXT(Table1[[#This Row],[order_date]],"yyyy-mm")</f>
        <v>2025-08</v>
      </c>
      <c r="Q2602">
        <f>WEEKNUM(Table1[[#This Row],[order_date]])</f>
        <v>34</v>
      </c>
      <c r="R2602">
        <f>IF(Table1[[#This Row],[order_status]]="completed",1,0)</f>
        <v>0</v>
      </c>
    </row>
    <row r="2603" spans="1:18" x14ac:dyDescent="0.35">
      <c r="A2603">
        <v>2602</v>
      </c>
      <c r="B2603" s="1">
        <v>45860</v>
      </c>
      <c r="C2603">
        <v>1579</v>
      </c>
      <c r="D2603" t="s">
        <v>41</v>
      </c>
      <c r="E2603" t="s">
        <v>23</v>
      </c>
      <c r="F2603" t="s">
        <v>24</v>
      </c>
      <c r="G2603">
        <v>2</v>
      </c>
      <c r="H2603">
        <v>7426</v>
      </c>
      <c r="I2603" t="s">
        <v>25</v>
      </c>
      <c r="J2603" t="s">
        <v>19</v>
      </c>
      <c r="K2603" t="s">
        <v>20</v>
      </c>
      <c r="L2603">
        <v>7</v>
      </c>
      <c r="M2603">
        <v>0</v>
      </c>
      <c r="N2603">
        <v>0</v>
      </c>
      <c r="O2603" t="s">
        <v>21</v>
      </c>
      <c r="P2603" t="str">
        <f>TEXT(Table1[[#This Row],[order_date]],"yyyy-mm")</f>
        <v>2025-07</v>
      </c>
      <c r="Q2603">
        <f>WEEKNUM(Table1[[#This Row],[order_date]])</f>
        <v>30</v>
      </c>
      <c r="R2603">
        <f>IF(Table1[[#This Row],[order_status]]="completed",1,0)</f>
        <v>1</v>
      </c>
    </row>
    <row r="2604" spans="1:18" x14ac:dyDescent="0.35">
      <c r="A2604">
        <v>2603</v>
      </c>
      <c r="B2604" s="1">
        <v>45917</v>
      </c>
      <c r="C2604">
        <v>1477</v>
      </c>
      <c r="D2604" t="s">
        <v>28</v>
      </c>
      <c r="E2604" t="s">
        <v>16</v>
      </c>
      <c r="F2604" t="s">
        <v>17</v>
      </c>
      <c r="G2604">
        <v>2</v>
      </c>
      <c r="H2604">
        <v>0</v>
      </c>
      <c r="I2604" t="s">
        <v>25</v>
      </c>
      <c r="J2604" t="s">
        <v>31</v>
      </c>
      <c r="K2604" t="s">
        <v>20</v>
      </c>
      <c r="L2604">
        <v>4</v>
      </c>
      <c r="M2604">
        <v>1</v>
      </c>
      <c r="N2604">
        <v>0</v>
      </c>
      <c r="O2604" t="s">
        <v>27</v>
      </c>
      <c r="P2604" t="str">
        <f>TEXT(Table1[[#This Row],[order_date]],"yyyy-mm")</f>
        <v>2025-09</v>
      </c>
      <c r="Q2604">
        <f>WEEKNUM(Table1[[#This Row],[order_date]])</f>
        <v>38</v>
      </c>
      <c r="R2604">
        <f>IF(Table1[[#This Row],[order_status]]="completed",1,0)</f>
        <v>0</v>
      </c>
    </row>
    <row r="2605" spans="1:18" x14ac:dyDescent="0.35">
      <c r="A2605">
        <v>2604</v>
      </c>
      <c r="B2605" s="1">
        <v>45970</v>
      </c>
      <c r="C2605">
        <v>1218</v>
      </c>
      <c r="D2605" t="s">
        <v>28</v>
      </c>
      <c r="E2605" t="s">
        <v>23</v>
      </c>
      <c r="F2605" t="s">
        <v>17</v>
      </c>
      <c r="G2605">
        <v>1</v>
      </c>
      <c r="H2605">
        <v>0</v>
      </c>
      <c r="I2605" t="s">
        <v>39</v>
      </c>
      <c r="J2605" t="s">
        <v>31</v>
      </c>
      <c r="K2605" t="s">
        <v>20</v>
      </c>
      <c r="L2605">
        <v>2</v>
      </c>
      <c r="M2605">
        <v>0</v>
      </c>
      <c r="N2605">
        <v>1</v>
      </c>
      <c r="O2605" t="s">
        <v>21</v>
      </c>
      <c r="P2605" t="str">
        <f>TEXT(Table1[[#This Row],[order_date]],"yyyy-mm")</f>
        <v>2025-11</v>
      </c>
      <c r="Q2605">
        <f>WEEKNUM(Table1[[#This Row],[order_date]])</f>
        <v>46</v>
      </c>
      <c r="R2605">
        <f>IF(Table1[[#This Row],[order_status]]="completed",1,0)</f>
        <v>0</v>
      </c>
    </row>
    <row r="2606" spans="1:18" x14ac:dyDescent="0.35">
      <c r="A2606">
        <v>2605</v>
      </c>
      <c r="B2606" s="1">
        <v>45898</v>
      </c>
      <c r="C2606">
        <v>1954</v>
      </c>
      <c r="D2606" t="s">
        <v>32</v>
      </c>
      <c r="E2606" t="s">
        <v>16</v>
      </c>
      <c r="F2606" t="s">
        <v>24</v>
      </c>
      <c r="G2606">
        <v>1</v>
      </c>
      <c r="H2606">
        <v>4198</v>
      </c>
      <c r="I2606" t="s">
        <v>39</v>
      </c>
      <c r="J2606" t="s">
        <v>19</v>
      </c>
      <c r="K2606" t="s">
        <v>26</v>
      </c>
      <c r="L2606">
        <v>8</v>
      </c>
      <c r="M2606">
        <v>0</v>
      </c>
      <c r="N2606">
        <v>0</v>
      </c>
      <c r="O2606" t="s">
        <v>21</v>
      </c>
      <c r="P2606" t="str">
        <f>TEXT(Table1[[#This Row],[order_date]],"yyyy-mm")</f>
        <v>2025-08</v>
      </c>
      <c r="Q2606">
        <f>WEEKNUM(Table1[[#This Row],[order_date]])</f>
        <v>35</v>
      </c>
      <c r="R2606">
        <f>IF(Table1[[#This Row],[order_status]]="completed",1,0)</f>
        <v>1</v>
      </c>
    </row>
    <row r="2607" spans="1:18" x14ac:dyDescent="0.35">
      <c r="A2607">
        <v>2606</v>
      </c>
      <c r="B2607" s="1">
        <v>45953</v>
      </c>
      <c r="C2607">
        <v>1567</v>
      </c>
      <c r="D2607" t="s">
        <v>15</v>
      </c>
      <c r="E2607" t="s">
        <v>33</v>
      </c>
      <c r="F2607" t="s">
        <v>34</v>
      </c>
      <c r="G2607">
        <v>4</v>
      </c>
      <c r="H2607">
        <v>0</v>
      </c>
      <c r="I2607" t="s">
        <v>35</v>
      </c>
      <c r="J2607" t="s">
        <v>31</v>
      </c>
      <c r="K2607" t="s">
        <v>20</v>
      </c>
      <c r="L2607">
        <v>7</v>
      </c>
      <c r="M2607">
        <v>0</v>
      </c>
      <c r="N2607">
        <v>0</v>
      </c>
      <c r="O2607" t="s">
        <v>27</v>
      </c>
      <c r="P2607" t="str">
        <f>TEXT(Table1[[#This Row],[order_date]],"yyyy-mm")</f>
        <v>2025-10</v>
      </c>
      <c r="Q2607">
        <f>WEEKNUM(Table1[[#This Row],[order_date]])</f>
        <v>43</v>
      </c>
      <c r="R2607">
        <f>IF(Table1[[#This Row],[order_status]]="completed",1,0)</f>
        <v>0</v>
      </c>
    </row>
    <row r="2608" spans="1:18" x14ac:dyDescent="0.35">
      <c r="A2608">
        <v>2607</v>
      </c>
      <c r="B2608" s="1">
        <v>45946</v>
      </c>
      <c r="C2608">
        <v>1361</v>
      </c>
      <c r="D2608" t="s">
        <v>15</v>
      </c>
      <c r="E2608" t="s">
        <v>29</v>
      </c>
      <c r="F2608" t="s">
        <v>24</v>
      </c>
      <c r="G2608">
        <v>3</v>
      </c>
      <c r="H2608">
        <v>0</v>
      </c>
      <c r="I2608" t="s">
        <v>18</v>
      </c>
      <c r="J2608" t="s">
        <v>37</v>
      </c>
      <c r="K2608" t="s">
        <v>40</v>
      </c>
      <c r="L2608">
        <v>10</v>
      </c>
      <c r="M2608">
        <v>0</v>
      </c>
      <c r="N2608">
        <v>1</v>
      </c>
      <c r="O2608" t="s">
        <v>21</v>
      </c>
      <c r="P2608" t="str">
        <f>TEXT(Table1[[#This Row],[order_date]],"yyyy-mm")</f>
        <v>2025-10</v>
      </c>
      <c r="Q2608">
        <f>WEEKNUM(Table1[[#This Row],[order_date]])</f>
        <v>42</v>
      </c>
      <c r="R2608">
        <f>IF(Table1[[#This Row],[order_status]]="completed",1,0)</f>
        <v>0</v>
      </c>
    </row>
    <row r="2609" spans="1:18" x14ac:dyDescent="0.35">
      <c r="A2609">
        <v>2608</v>
      </c>
      <c r="B2609" s="1">
        <v>46028</v>
      </c>
      <c r="C2609">
        <v>1455</v>
      </c>
      <c r="D2609" t="s">
        <v>28</v>
      </c>
      <c r="E2609" t="s">
        <v>33</v>
      </c>
      <c r="F2609" t="s">
        <v>34</v>
      </c>
      <c r="G2609">
        <v>1</v>
      </c>
      <c r="H2609">
        <v>4423</v>
      </c>
      <c r="I2609" t="s">
        <v>35</v>
      </c>
      <c r="J2609" t="s">
        <v>19</v>
      </c>
      <c r="K2609" t="s">
        <v>40</v>
      </c>
      <c r="L2609">
        <v>8</v>
      </c>
      <c r="M2609">
        <v>0</v>
      </c>
      <c r="N2609">
        <v>1</v>
      </c>
      <c r="O2609" t="s">
        <v>21</v>
      </c>
      <c r="P2609" t="str">
        <f>TEXT(Table1[[#This Row],[order_date]],"yyyy-mm")</f>
        <v>2026-01</v>
      </c>
      <c r="Q2609">
        <f>WEEKNUM(Table1[[#This Row],[order_date]])</f>
        <v>2</v>
      </c>
      <c r="R2609">
        <f>IF(Table1[[#This Row],[order_status]]="completed",1,0)</f>
        <v>1</v>
      </c>
    </row>
    <row r="2610" spans="1:18" x14ac:dyDescent="0.35">
      <c r="A2610">
        <v>2609</v>
      </c>
      <c r="B2610" s="1">
        <v>45874</v>
      </c>
      <c r="C2610">
        <v>1173</v>
      </c>
      <c r="D2610" t="s">
        <v>41</v>
      </c>
      <c r="E2610" t="s">
        <v>16</v>
      </c>
      <c r="F2610" t="s">
        <v>34</v>
      </c>
      <c r="G2610">
        <v>5</v>
      </c>
      <c r="H2610">
        <v>0</v>
      </c>
      <c r="I2610" t="s">
        <v>35</v>
      </c>
      <c r="J2610" t="s">
        <v>37</v>
      </c>
      <c r="K2610" t="s">
        <v>20</v>
      </c>
      <c r="L2610">
        <v>1</v>
      </c>
      <c r="M2610">
        <v>1</v>
      </c>
      <c r="N2610">
        <v>0</v>
      </c>
      <c r="O2610" t="s">
        <v>21</v>
      </c>
      <c r="P2610" t="str">
        <f>TEXT(Table1[[#This Row],[order_date]],"yyyy-mm")</f>
        <v>2025-08</v>
      </c>
      <c r="Q2610">
        <f>WEEKNUM(Table1[[#This Row],[order_date]])</f>
        <v>32</v>
      </c>
      <c r="R2610">
        <f>IF(Table1[[#This Row],[order_status]]="completed",1,0)</f>
        <v>0</v>
      </c>
    </row>
    <row r="2611" spans="1:18" x14ac:dyDescent="0.35">
      <c r="A2611">
        <v>2610</v>
      </c>
      <c r="B2611" s="1">
        <v>46015</v>
      </c>
      <c r="C2611">
        <v>1312</v>
      </c>
      <c r="D2611" t="s">
        <v>32</v>
      </c>
      <c r="E2611" t="s">
        <v>29</v>
      </c>
      <c r="F2611" t="s">
        <v>34</v>
      </c>
      <c r="G2611">
        <v>5</v>
      </c>
      <c r="H2611">
        <v>14650</v>
      </c>
      <c r="I2611" t="s">
        <v>35</v>
      </c>
      <c r="J2611" t="s">
        <v>19</v>
      </c>
      <c r="K2611" t="s">
        <v>40</v>
      </c>
      <c r="L2611">
        <v>2</v>
      </c>
      <c r="M2611">
        <v>1</v>
      </c>
      <c r="N2611">
        <v>1</v>
      </c>
      <c r="O2611" t="s">
        <v>27</v>
      </c>
      <c r="P2611" t="str">
        <f>TEXT(Table1[[#This Row],[order_date]],"yyyy-mm")</f>
        <v>2025-12</v>
      </c>
      <c r="Q2611">
        <f>WEEKNUM(Table1[[#This Row],[order_date]])</f>
        <v>52</v>
      </c>
      <c r="R2611">
        <f>IF(Table1[[#This Row],[order_status]]="completed",1,0)</f>
        <v>1</v>
      </c>
    </row>
    <row r="2612" spans="1:18" x14ac:dyDescent="0.35">
      <c r="A2612">
        <v>2611</v>
      </c>
      <c r="B2612" s="1">
        <v>45980</v>
      </c>
      <c r="C2612">
        <v>1729</v>
      </c>
      <c r="D2612" t="s">
        <v>15</v>
      </c>
      <c r="E2612" t="s">
        <v>23</v>
      </c>
      <c r="F2612" t="s">
        <v>24</v>
      </c>
      <c r="G2612">
        <v>4</v>
      </c>
      <c r="H2612">
        <v>0</v>
      </c>
      <c r="I2612" t="s">
        <v>39</v>
      </c>
      <c r="J2612" t="s">
        <v>37</v>
      </c>
      <c r="K2612" t="s">
        <v>26</v>
      </c>
      <c r="L2612">
        <v>9</v>
      </c>
      <c r="M2612">
        <v>1</v>
      </c>
      <c r="N2612">
        <v>1</v>
      </c>
      <c r="O2612" t="s">
        <v>27</v>
      </c>
      <c r="P2612" t="str">
        <f>TEXT(Table1[[#This Row],[order_date]],"yyyy-mm")</f>
        <v>2025-11</v>
      </c>
      <c r="Q2612">
        <f>WEEKNUM(Table1[[#This Row],[order_date]])</f>
        <v>47</v>
      </c>
      <c r="R2612">
        <f>IF(Table1[[#This Row],[order_status]]="completed",1,0)</f>
        <v>0</v>
      </c>
    </row>
    <row r="2613" spans="1:18" x14ac:dyDescent="0.35">
      <c r="A2613">
        <v>2612</v>
      </c>
      <c r="B2613" s="1">
        <v>45923</v>
      </c>
      <c r="C2613">
        <v>1939</v>
      </c>
      <c r="D2613" t="s">
        <v>32</v>
      </c>
      <c r="E2613" t="s">
        <v>33</v>
      </c>
      <c r="F2613" t="s">
        <v>30</v>
      </c>
      <c r="G2613">
        <v>2</v>
      </c>
      <c r="H2613">
        <v>0</v>
      </c>
      <c r="I2613" t="s">
        <v>18</v>
      </c>
      <c r="J2613" t="s">
        <v>37</v>
      </c>
      <c r="K2613" t="s">
        <v>38</v>
      </c>
      <c r="L2613">
        <v>7</v>
      </c>
      <c r="M2613">
        <v>1</v>
      </c>
      <c r="N2613">
        <v>0</v>
      </c>
      <c r="O2613" t="s">
        <v>21</v>
      </c>
      <c r="P2613" t="str">
        <f>TEXT(Table1[[#This Row],[order_date]],"yyyy-mm")</f>
        <v>2025-09</v>
      </c>
      <c r="Q2613">
        <f>WEEKNUM(Table1[[#This Row],[order_date]])</f>
        <v>39</v>
      </c>
      <c r="R2613">
        <f>IF(Table1[[#This Row],[order_status]]="completed",1,0)</f>
        <v>0</v>
      </c>
    </row>
    <row r="2614" spans="1:18" x14ac:dyDescent="0.35">
      <c r="A2614">
        <v>2613</v>
      </c>
      <c r="B2614" s="1">
        <v>45923</v>
      </c>
      <c r="C2614">
        <v>1360</v>
      </c>
      <c r="D2614" t="s">
        <v>28</v>
      </c>
      <c r="E2614" t="s">
        <v>33</v>
      </c>
      <c r="F2614" t="s">
        <v>34</v>
      </c>
      <c r="G2614">
        <v>2</v>
      </c>
      <c r="H2614">
        <v>9370</v>
      </c>
      <c r="I2614" t="s">
        <v>39</v>
      </c>
      <c r="J2614" t="s">
        <v>19</v>
      </c>
      <c r="K2614" t="s">
        <v>38</v>
      </c>
      <c r="L2614">
        <v>1</v>
      </c>
      <c r="M2614">
        <v>1</v>
      </c>
      <c r="N2614">
        <v>1</v>
      </c>
      <c r="O2614" t="s">
        <v>27</v>
      </c>
      <c r="P2614" t="str">
        <f>TEXT(Table1[[#This Row],[order_date]],"yyyy-mm")</f>
        <v>2025-09</v>
      </c>
      <c r="Q2614">
        <f>WEEKNUM(Table1[[#This Row],[order_date]])</f>
        <v>39</v>
      </c>
      <c r="R2614">
        <f>IF(Table1[[#This Row],[order_status]]="completed",1,0)</f>
        <v>1</v>
      </c>
    </row>
    <row r="2615" spans="1:18" x14ac:dyDescent="0.35">
      <c r="A2615">
        <v>2614</v>
      </c>
      <c r="B2615" s="1">
        <v>45938</v>
      </c>
      <c r="C2615">
        <v>1762</v>
      </c>
      <c r="D2615" t="s">
        <v>15</v>
      </c>
      <c r="E2615" t="s">
        <v>16</v>
      </c>
      <c r="F2615" t="s">
        <v>34</v>
      </c>
      <c r="G2615">
        <v>5</v>
      </c>
      <c r="H2615">
        <v>0</v>
      </c>
      <c r="I2615" t="s">
        <v>18</v>
      </c>
      <c r="J2615" t="s">
        <v>37</v>
      </c>
      <c r="K2615" t="s">
        <v>20</v>
      </c>
      <c r="L2615">
        <v>4</v>
      </c>
      <c r="M2615">
        <v>0</v>
      </c>
      <c r="N2615">
        <v>0</v>
      </c>
      <c r="O2615" t="s">
        <v>21</v>
      </c>
      <c r="P2615" t="str">
        <f>TEXT(Table1[[#This Row],[order_date]],"yyyy-mm")</f>
        <v>2025-10</v>
      </c>
      <c r="Q2615">
        <f>WEEKNUM(Table1[[#This Row],[order_date]])</f>
        <v>41</v>
      </c>
      <c r="R2615">
        <f>IF(Table1[[#This Row],[order_status]]="completed",1,0)</f>
        <v>0</v>
      </c>
    </row>
    <row r="2616" spans="1:18" x14ac:dyDescent="0.35">
      <c r="A2616">
        <v>2615</v>
      </c>
      <c r="B2616" s="1">
        <v>45955</v>
      </c>
      <c r="C2616">
        <v>1892</v>
      </c>
      <c r="D2616" t="s">
        <v>22</v>
      </c>
      <c r="E2616" t="s">
        <v>23</v>
      </c>
      <c r="F2616" t="s">
        <v>34</v>
      </c>
      <c r="G2616">
        <v>3</v>
      </c>
      <c r="H2616">
        <v>0</v>
      </c>
      <c r="I2616" t="s">
        <v>35</v>
      </c>
      <c r="J2616" t="s">
        <v>37</v>
      </c>
      <c r="K2616" t="s">
        <v>38</v>
      </c>
      <c r="L2616">
        <v>8</v>
      </c>
      <c r="M2616">
        <v>0</v>
      </c>
      <c r="N2616">
        <v>0</v>
      </c>
      <c r="O2616" t="s">
        <v>21</v>
      </c>
      <c r="P2616" t="str">
        <f>TEXT(Table1[[#This Row],[order_date]],"yyyy-mm")</f>
        <v>2025-10</v>
      </c>
      <c r="Q2616">
        <f>WEEKNUM(Table1[[#This Row],[order_date]])</f>
        <v>43</v>
      </c>
      <c r="R2616">
        <f>IF(Table1[[#This Row],[order_status]]="completed",1,0)</f>
        <v>0</v>
      </c>
    </row>
    <row r="2617" spans="1:18" x14ac:dyDescent="0.35">
      <c r="A2617">
        <v>2616</v>
      </c>
      <c r="B2617" s="1">
        <v>45906</v>
      </c>
      <c r="C2617">
        <v>1642</v>
      </c>
      <c r="D2617" t="s">
        <v>32</v>
      </c>
      <c r="E2617" t="s">
        <v>33</v>
      </c>
      <c r="F2617" t="s">
        <v>24</v>
      </c>
      <c r="G2617">
        <v>5</v>
      </c>
      <c r="H2617">
        <v>16365</v>
      </c>
      <c r="I2617" t="s">
        <v>18</v>
      </c>
      <c r="J2617" t="s">
        <v>19</v>
      </c>
      <c r="K2617" t="s">
        <v>26</v>
      </c>
      <c r="L2617">
        <v>2</v>
      </c>
      <c r="M2617">
        <v>0</v>
      </c>
      <c r="N2617">
        <v>1</v>
      </c>
      <c r="O2617" t="s">
        <v>27</v>
      </c>
      <c r="P2617" t="str">
        <f>TEXT(Table1[[#This Row],[order_date]],"yyyy-mm")</f>
        <v>2025-09</v>
      </c>
      <c r="Q2617">
        <f>WEEKNUM(Table1[[#This Row],[order_date]])</f>
        <v>36</v>
      </c>
      <c r="R2617">
        <f>IF(Table1[[#This Row],[order_status]]="completed",1,0)</f>
        <v>1</v>
      </c>
    </row>
    <row r="2618" spans="1:18" x14ac:dyDescent="0.35">
      <c r="A2618">
        <v>2617</v>
      </c>
      <c r="B2618" s="1">
        <v>45937</v>
      </c>
      <c r="C2618">
        <v>1069</v>
      </c>
      <c r="D2618" t="s">
        <v>41</v>
      </c>
      <c r="E2618" t="s">
        <v>23</v>
      </c>
      <c r="F2618" t="s">
        <v>34</v>
      </c>
      <c r="G2618">
        <v>5</v>
      </c>
      <c r="H2618">
        <v>0</v>
      </c>
      <c r="I2618" t="s">
        <v>18</v>
      </c>
      <c r="J2618" t="s">
        <v>37</v>
      </c>
      <c r="K2618" t="s">
        <v>40</v>
      </c>
      <c r="L2618">
        <v>8</v>
      </c>
      <c r="M2618">
        <v>0</v>
      </c>
      <c r="N2618">
        <v>0</v>
      </c>
      <c r="O2618" t="s">
        <v>21</v>
      </c>
      <c r="P2618" t="str">
        <f>TEXT(Table1[[#This Row],[order_date]],"yyyy-mm")</f>
        <v>2025-10</v>
      </c>
      <c r="Q2618">
        <f>WEEKNUM(Table1[[#This Row],[order_date]])</f>
        <v>41</v>
      </c>
      <c r="R2618">
        <f>IF(Table1[[#This Row],[order_status]]="completed",1,0)</f>
        <v>0</v>
      </c>
    </row>
    <row r="2619" spans="1:18" x14ac:dyDescent="0.35">
      <c r="A2619">
        <v>2618</v>
      </c>
      <c r="B2619" s="1">
        <v>46031</v>
      </c>
      <c r="C2619">
        <v>1863</v>
      </c>
      <c r="D2619" t="s">
        <v>15</v>
      </c>
      <c r="E2619" t="s">
        <v>29</v>
      </c>
      <c r="F2619" t="s">
        <v>30</v>
      </c>
      <c r="G2619">
        <v>3</v>
      </c>
      <c r="H2619">
        <v>0</v>
      </c>
      <c r="I2619" t="s">
        <v>35</v>
      </c>
      <c r="J2619" t="s">
        <v>37</v>
      </c>
      <c r="K2619" t="s">
        <v>40</v>
      </c>
      <c r="L2619">
        <v>7</v>
      </c>
      <c r="M2619">
        <v>1</v>
      </c>
      <c r="N2619">
        <v>0</v>
      </c>
      <c r="O2619" t="s">
        <v>27</v>
      </c>
      <c r="P2619" t="str">
        <f>TEXT(Table1[[#This Row],[order_date]],"yyyy-mm")</f>
        <v>2026-01</v>
      </c>
      <c r="Q2619">
        <f>WEEKNUM(Table1[[#This Row],[order_date]])</f>
        <v>2</v>
      </c>
      <c r="R2619">
        <f>IF(Table1[[#This Row],[order_status]]="completed",1,0)</f>
        <v>0</v>
      </c>
    </row>
    <row r="2620" spans="1:18" x14ac:dyDescent="0.35">
      <c r="A2620">
        <v>2619</v>
      </c>
      <c r="B2620" s="1">
        <v>46028</v>
      </c>
      <c r="C2620">
        <v>1325</v>
      </c>
      <c r="D2620" t="s">
        <v>41</v>
      </c>
      <c r="E2620" t="s">
        <v>29</v>
      </c>
      <c r="F2620" t="s">
        <v>30</v>
      </c>
      <c r="G2620">
        <v>2</v>
      </c>
      <c r="H2620">
        <v>6694</v>
      </c>
      <c r="I2620" t="s">
        <v>25</v>
      </c>
      <c r="J2620" t="s">
        <v>19</v>
      </c>
      <c r="K2620" t="s">
        <v>40</v>
      </c>
      <c r="L2620">
        <v>8</v>
      </c>
      <c r="M2620">
        <v>1</v>
      </c>
      <c r="N2620">
        <v>1</v>
      </c>
      <c r="O2620" t="s">
        <v>27</v>
      </c>
      <c r="P2620" t="str">
        <f>TEXT(Table1[[#This Row],[order_date]],"yyyy-mm")</f>
        <v>2026-01</v>
      </c>
      <c r="Q2620">
        <f>WEEKNUM(Table1[[#This Row],[order_date]])</f>
        <v>2</v>
      </c>
      <c r="R2620">
        <f>IF(Table1[[#This Row],[order_status]]="completed",1,0)</f>
        <v>1</v>
      </c>
    </row>
    <row r="2621" spans="1:18" x14ac:dyDescent="0.35">
      <c r="A2621">
        <v>2620</v>
      </c>
      <c r="B2621" s="1">
        <v>45910</v>
      </c>
      <c r="C2621">
        <v>1522</v>
      </c>
      <c r="D2621" t="s">
        <v>22</v>
      </c>
      <c r="E2621" t="s">
        <v>33</v>
      </c>
      <c r="F2621" t="s">
        <v>17</v>
      </c>
      <c r="G2621">
        <v>1</v>
      </c>
      <c r="H2621">
        <v>2640</v>
      </c>
      <c r="I2621" t="s">
        <v>35</v>
      </c>
      <c r="J2621" t="s">
        <v>19</v>
      </c>
      <c r="K2621" t="s">
        <v>20</v>
      </c>
      <c r="L2621">
        <v>9</v>
      </c>
      <c r="M2621">
        <v>0</v>
      </c>
      <c r="N2621">
        <v>1</v>
      </c>
      <c r="O2621" t="s">
        <v>21</v>
      </c>
      <c r="P2621" t="str">
        <f>TEXT(Table1[[#This Row],[order_date]],"yyyy-mm")</f>
        <v>2025-09</v>
      </c>
      <c r="Q2621">
        <f>WEEKNUM(Table1[[#This Row],[order_date]])</f>
        <v>37</v>
      </c>
      <c r="R2621">
        <f>IF(Table1[[#This Row],[order_status]]="completed",1,0)</f>
        <v>1</v>
      </c>
    </row>
    <row r="2622" spans="1:18" x14ac:dyDescent="0.35">
      <c r="A2622">
        <v>2621</v>
      </c>
      <c r="B2622" s="1">
        <v>45863</v>
      </c>
      <c r="C2622">
        <v>1499</v>
      </c>
      <c r="D2622" t="s">
        <v>32</v>
      </c>
      <c r="E2622" t="s">
        <v>16</v>
      </c>
      <c r="F2622" t="s">
        <v>34</v>
      </c>
      <c r="G2622">
        <v>1</v>
      </c>
      <c r="H2622">
        <v>2080</v>
      </c>
      <c r="I2622" t="s">
        <v>25</v>
      </c>
      <c r="J2622" t="s">
        <v>19</v>
      </c>
      <c r="K2622" t="s">
        <v>20</v>
      </c>
      <c r="L2622">
        <v>6</v>
      </c>
      <c r="M2622">
        <v>1</v>
      </c>
      <c r="N2622">
        <v>1</v>
      </c>
      <c r="O2622" t="s">
        <v>21</v>
      </c>
      <c r="P2622" t="str">
        <f>TEXT(Table1[[#This Row],[order_date]],"yyyy-mm")</f>
        <v>2025-07</v>
      </c>
      <c r="Q2622">
        <f>WEEKNUM(Table1[[#This Row],[order_date]])</f>
        <v>30</v>
      </c>
      <c r="R2622">
        <f>IF(Table1[[#This Row],[order_status]]="completed",1,0)</f>
        <v>1</v>
      </c>
    </row>
    <row r="2623" spans="1:18" x14ac:dyDescent="0.35">
      <c r="A2623">
        <v>2622</v>
      </c>
      <c r="B2623" s="1">
        <v>45876</v>
      </c>
      <c r="C2623">
        <v>1863</v>
      </c>
      <c r="D2623" t="s">
        <v>41</v>
      </c>
      <c r="E2623" t="s">
        <v>36</v>
      </c>
      <c r="F2623" t="s">
        <v>24</v>
      </c>
      <c r="G2623">
        <v>1</v>
      </c>
      <c r="H2623">
        <v>0</v>
      </c>
      <c r="I2623" t="s">
        <v>18</v>
      </c>
      <c r="J2623" t="s">
        <v>31</v>
      </c>
      <c r="K2623" t="s">
        <v>20</v>
      </c>
      <c r="L2623">
        <v>5</v>
      </c>
      <c r="M2623">
        <v>1</v>
      </c>
      <c r="N2623">
        <v>1</v>
      </c>
      <c r="O2623" t="s">
        <v>27</v>
      </c>
      <c r="P2623" t="str">
        <f>TEXT(Table1[[#This Row],[order_date]],"yyyy-mm")</f>
        <v>2025-08</v>
      </c>
      <c r="Q2623">
        <f>WEEKNUM(Table1[[#This Row],[order_date]])</f>
        <v>32</v>
      </c>
      <c r="R2623">
        <f>IF(Table1[[#This Row],[order_status]]="completed",1,0)</f>
        <v>0</v>
      </c>
    </row>
    <row r="2624" spans="1:18" x14ac:dyDescent="0.35">
      <c r="A2624">
        <v>2623</v>
      </c>
      <c r="B2624" s="1">
        <v>45963</v>
      </c>
      <c r="C2624">
        <v>1389</v>
      </c>
      <c r="D2624" t="s">
        <v>22</v>
      </c>
      <c r="E2624" t="s">
        <v>16</v>
      </c>
      <c r="F2624" t="s">
        <v>30</v>
      </c>
      <c r="G2624">
        <v>5</v>
      </c>
      <c r="H2624">
        <v>0</v>
      </c>
      <c r="I2624" t="s">
        <v>25</v>
      </c>
      <c r="J2624" t="s">
        <v>31</v>
      </c>
      <c r="K2624" t="s">
        <v>40</v>
      </c>
      <c r="L2624">
        <v>10</v>
      </c>
      <c r="M2624">
        <v>0</v>
      </c>
      <c r="N2624">
        <v>1</v>
      </c>
      <c r="O2624" t="s">
        <v>21</v>
      </c>
      <c r="P2624" t="str">
        <f>TEXT(Table1[[#This Row],[order_date]],"yyyy-mm")</f>
        <v>2025-11</v>
      </c>
      <c r="Q2624">
        <f>WEEKNUM(Table1[[#This Row],[order_date]])</f>
        <v>45</v>
      </c>
      <c r="R2624">
        <f>IF(Table1[[#This Row],[order_status]]="completed",1,0)</f>
        <v>0</v>
      </c>
    </row>
    <row r="2625" spans="1:18" x14ac:dyDescent="0.35">
      <c r="A2625">
        <v>2624</v>
      </c>
      <c r="B2625" s="1">
        <v>45862</v>
      </c>
      <c r="C2625">
        <v>1759</v>
      </c>
      <c r="D2625" t="s">
        <v>41</v>
      </c>
      <c r="E2625" t="s">
        <v>33</v>
      </c>
      <c r="F2625" t="s">
        <v>30</v>
      </c>
      <c r="G2625">
        <v>2</v>
      </c>
      <c r="H2625">
        <v>0</v>
      </c>
      <c r="I2625" t="s">
        <v>39</v>
      </c>
      <c r="J2625" t="s">
        <v>31</v>
      </c>
      <c r="K2625" t="s">
        <v>26</v>
      </c>
      <c r="L2625">
        <v>7</v>
      </c>
      <c r="M2625">
        <v>0</v>
      </c>
      <c r="N2625">
        <v>0</v>
      </c>
      <c r="O2625" t="s">
        <v>27</v>
      </c>
      <c r="P2625" t="str">
        <f>TEXT(Table1[[#This Row],[order_date]],"yyyy-mm")</f>
        <v>2025-07</v>
      </c>
      <c r="Q2625">
        <f>WEEKNUM(Table1[[#This Row],[order_date]])</f>
        <v>30</v>
      </c>
      <c r="R2625">
        <f>IF(Table1[[#This Row],[order_status]]="completed",1,0)</f>
        <v>0</v>
      </c>
    </row>
    <row r="2626" spans="1:18" x14ac:dyDescent="0.35">
      <c r="A2626">
        <v>2625</v>
      </c>
      <c r="B2626" s="1">
        <v>45869</v>
      </c>
      <c r="C2626">
        <v>1758</v>
      </c>
      <c r="D2626" t="s">
        <v>22</v>
      </c>
      <c r="E2626" t="s">
        <v>23</v>
      </c>
      <c r="F2626" t="s">
        <v>34</v>
      </c>
      <c r="G2626">
        <v>4</v>
      </c>
      <c r="H2626">
        <v>4472</v>
      </c>
      <c r="I2626" t="s">
        <v>39</v>
      </c>
      <c r="J2626" t="s">
        <v>19</v>
      </c>
      <c r="K2626" t="s">
        <v>26</v>
      </c>
      <c r="L2626">
        <v>2</v>
      </c>
      <c r="M2626">
        <v>0</v>
      </c>
      <c r="N2626">
        <v>0</v>
      </c>
      <c r="O2626" t="s">
        <v>21</v>
      </c>
      <c r="P2626" t="str">
        <f>TEXT(Table1[[#This Row],[order_date]],"yyyy-mm")</f>
        <v>2025-07</v>
      </c>
      <c r="Q2626">
        <f>WEEKNUM(Table1[[#This Row],[order_date]])</f>
        <v>31</v>
      </c>
      <c r="R2626">
        <f>IF(Table1[[#This Row],[order_status]]="completed",1,0)</f>
        <v>1</v>
      </c>
    </row>
    <row r="2627" spans="1:18" x14ac:dyDescent="0.35">
      <c r="A2627">
        <v>2626</v>
      </c>
      <c r="B2627" s="1">
        <v>45958</v>
      </c>
      <c r="C2627">
        <v>1079</v>
      </c>
      <c r="D2627" t="s">
        <v>22</v>
      </c>
      <c r="E2627" t="s">
        <v>33</v>
      </c>
      <c r="F2627" t="s">
        <v>34</v>
      </c>
      <c r="G2627">
        <v>2</v>
      </c>
      <c r="H2627">
        <v>0</v>
      </c>
      <c r="I2627" t="s">
        <v>39</v>
      </c>
      <c r="J2627" t="s">
        <v>31</v>
      </c>
      <c r="K2627" t="s">
        <v>20</v>
      </c>
      <c r="L2627">
        <v>2</v>
      </c>
      <c r="M2627">
        <v>0</v>
      </c>
      <c r="N2627">
        <v>0</v>
      </c>
      <c r="O2627" t="s">
        <v>27</v>
      </c>
      <c r="P2627" t="str">
        <f>TEXT(Table1[[#This Row],[order_date]],"yyyy-mm")</f>
        <v>2025-10</v>
      </c>
      <c r="Q2627">
        <f>WEEKNUM(Table1[[#This Row],[order_date]])</f>
        <v>44</v>
      </c>
      <c r="R2627">
        <f>IF(Table1[[#This Row],[order_status]]="completed",1,0)</f>
        <v>0</v>
      </c>
    </row>
    <row r="2628" spans="1:18" x14ac:dyDescent="0.35">
      <c r="A2628">
        <v>2627</v>
      </c>
      <c r="B2628" s="1">
        <v>45913</v>
      </c>
      <c r="C2628">
        <v>1707</v>
      </c>
      <c r="D2628" t="s">
        <v>28</v>
      </c>
      <c r="E2628" t="s">
        <v>16</v>
      </c>
      <c r="F2628" t="s">
        <v>30</v>
      </c>
      <c r="G2628">
        <v>5</v>
      </c>
      <c r="H2628">
        <v>0</v>
      </c>
      <c r="I2628" t="s">
        <v>18</v>
      </c>
      <c r="J2628" t="s">
        <v>37</v>
      </c>
      <c r="K2628" t="s">
        <v>40</v>
      </c>
      <c r="L2628">
        <v>2</v>
      </c>
      <c r="M2628">
        <v>1</v>
      </c>
      <c r="N2628">
        <v>1</v>
      </c>
      <c r="O2628" t="s">
        <v>27</v>
      </c>
      <c r="P2628" t="str">
        <f>TEXT(Table1[[#This Row],[order_date]],"yyyy-mm")</f>
        <v>2025-09</v>
      </c>
      <c r="Q2628">
        <f>WEEKNUM(Table1[[#This Row],[order_date]])</f>
        <v>37</v>
      </c>
      <c r="R2628">
        <f>IF(Table1[[#This Row],[order_status]]="completed",1,0)</f>
        <v>0</v>
      </c>
    </row>
    <row r="2629" spans="1:18" x14ac:dyDescent="0.35">
      <c r="A2629">
        <v>2628</v>
      </c>
      <c r="B2629" s="1">
        <v>46005</v>
      </c>
      <c r="C2629">
        <v>1542</v>
      </c>
      <c r="D2629" t="s">
        <v>22</v>
      </c>
      <c r="E2629" t="s">
        <v>36</v>
      </c>
      <c r="F2629" t="s">
        <v>30</v>
      </c>
      <c r="G2629">
        <v>1</v>
      </c>
      <c r="H2629">
        <v>0</v>
      </c>
      <c r="I2629" t="s">
        <v>39</v>
      </c>
      <c r="J2629" t="s">
        <v>37</v>
      </c>
      <c r="K2629" t="s">
        <v>40</v>
      </c>
      <c r="L2629">
        <v>9</v>
      </c>
      <c r="M2629">
        <v>0</v>
      </c>
      <c r="N2629">
        <v>0</v>
      </c>
      <c r="O2629" t="s">
        <v>21</v>
      </c>
      <c r="P2629" t="str">
        <f>TEXT(Table1[[#This Row],[order_date]],"yyyy-mm")</f>
        <v>2025-12</v>
      </c>
      <c r="Q2629">
        <f>WEEKNUM(Table1[[#This Row],[order_date]])</f>
        <v>51</v>
      </c>
      <c r="R2629">
        <f>IF(Table1[[#This Row],[order_status]]="completed",1,0)</f>
        <v>0</v>
      </c>
    </row>
    <row r="2630" spans="1:18" x14ac:dyDescent="0.35">
      <c r="A2630">
        <v>2629</v>
      </c>
      <c r="B2630" s="1">
        <v>45995</v>
      </c>
      <c r="C2630">
        <v>1229</v>
      </c>
      <c r="D2630" t="s">
        <v>32</v>
      </c>
      <c r="E2630" t="s">
        <v>33</v>
      </c>
      <c r="F2630" t="s">
        <v>34</v>
      </c>
      <c r="G2630">
        <v>5</v>
      </c>
      <c r="H2630">
        <v>14995</v>
      </c>
      <c r="I2630" t="s">
        <v>39</v>
      </c>
      <c r="J2630" t="s">
        <v>19</v>
      </c>
      <c r="K2630" t="s">
        <v>40</v>
      </c>
      <c r="L2630">
        <v>6</v>
      </c>
      <c r="M2630">
        <v>0</v>
      </c>
      <c r="N2630">
        <v>1</v>
      </c>
      <c r="O2630" t="s">
        <v>21</v>
      </c>
      <c r="P2630" t="str">
        <f>TEXT(Table1[[#This Row],[order_date]],"yyyy-mm")</f>
        <v>2025-12</v>
      </c>
      <c r="Q2630">
        <f>WEEKNUM(Table1[[#This Row],[order_date]])</f>
        <v>49</v>
      </c>
      <c r="R2630">
        <f>IF(Table1[[#This Row],[order_status]]="completed",1,0)</f>
        <v>1</v>
      </c>
    </row>
    <row r="2631" spans="1:18" x14ac:dyDescent="0.35">
      <c r="A2631">
        <v>2630</v>
      </c>
      <c r="B2631" s="1">
        <v>45953</v>
      </c>
      <c r="C2631">
        <v>1390</v>
      </c>
      <c r="D2631" t="s">
        <v>28</v>
      </c>
      <c r="E2631" t="s">
        <v>16</v>
      </c>
      <c r="F2631" t="s">
        <v>34</v>
      </c>
      <c r="G2631">
        <v>2</v>
      </c>
      <c r="H2631">
        <v>4476</v>
      </c>
      <c r="I2631" t="s">
        <v>35</v>
      </c>
      <c r="J2631" t="s">
        <v>19</v>
      </c>
      <c r="K2631" t="s">
        <v>40</v>
      </c>
      <c r="L2631">
        <v>8</v>
      </c>
      <c r="M2631">
        <v>0</v>
      </c>
      <c r="N2631">
        <v>1</v>
      </c>
      <c r="O2631" t="s">
        <v>21</v>
      </c>
      <c r="P2631" t="str">
        <f>TEXT(Table1[[#This Row],[order_date]],"yyyy-mm")</f>
        <v>2025-10</v>
      </c>
      <c r="Q2631">
        <f>WEEKNUM(Table1[[#This Row],[order_date]])</f>
        <v>43</v>
      </c>
      <c r="R2631">
        <f>IF(Table1[[#This Row],[order_status]]="completed",1,0)</f>
        <v>1</v>
      </c>
    </row>
    <row r="2632" spans="1:18" x14ac:dyDescent="0.35">
      <c r="A2632">
        <v>2631</v>
      </c>
      <c r="B2632" s="1">
        <v>45966</v>
      </c>
      <c r="C2632">
        <v>1627</v>
      </c>
      <c r="D2632" t="s">
        <v>22</v>
      </c>
      <c r="E2632" t="s">
        <v>36</v>
      </c>
      <c r="F2632" t="s">
        <v>24</v>
      </c>
      <c r="G2632">
        <v>3</v>
      </c>
      <c r="H2632">
        <v>0</v>
      </c>
      <c r="I2632" t="s">
        <v>35</v>
      </c>
      <c r="J2632" t="s">
        <v>37</v>
      </c>
      <c r="K2632" t="s">
        <v>38</v>
      </c>
      <c r="L2632">
        <v>6</v>
      </c>
      <c r="M2632">
        <v>0</v>
      </c>
      <c r="N2632">
        <v>0</v>
      </c>
      <c r="O2632" t="s">
        <v>21</v>
      </c>
      <c r="P2632" t="str">
        <f>TEXT(Table1[[#This Row],[order_date]],"yyyy-mm")</f>
        <v>2025-11</v>
      </c>
      <c r="Q2632">
        <f>WEEKNUM(Table1[[#This Row],[order_date]])</f>
        <v>45</v>
      </c>
      <c r="R2632">
        <f>IF(Table1[[#This Row],[order_status]]="completed",1,0)</f>
        <v>0</v>
      </c>
    </row>
    <row r="2633" spans="1:18" x14ac:dyDescent="0.35">
      <c r="A2633">
        <v>2632</v>
      </c>
      <c r="B2633" s="1">
        <v>45909</v>
      </c>
      <c r="C2633">
        <v>1548</v>
      </c>
      <c r="D2633" t="s">
        <v>22</v>
      </c>
      <c r="E2633" t="s">
        <v>23</v>
      </c>
      <c r="F2633" t="s">
        <v>34</v>
      </c>
      <c r="G2633">
        <v>3</v>
      </c>
      <c r="H2633">
        <v>11763</v>
      </c>
      <c r="I2633" t="s">
        <v>39</v>
      </c>
      <c r="J2633" t="s">
        <v>19</v>
      </c>
      <c r="K2633" t="s">
        <v>40</v>
      </c>
      <c r="L2633">
        <v>9</v>
      </c>
      <c r="M2633">
        <v>0</v>
      </c>
      <c r="N2633">
        <v>1</v>
      </c>
      <c r="O2633" t="s">
        <v>21</v>
      </c>
      <c r="P2633" t="str">
        <f>TEXT(Table1[[#This Row],[order_date]],"yyyy-mm")</f>
        <v>2025-09</v>
      </c>
      <c r="Q2633">
        <f>WEEKNUM(Table1[[#This Row],[order_date]])</f>
        <v>37</v>
      </c>
      <c r="R2633">
        <f>IF(Table1[[#This Row],[order_status]]="completed",1,0)</f>
        <v>1</v>
      </c>
    </row>
    <row r="2634" spans="1:18" x14ac:dyDescent="0.35">
      <c r="A2634">
        <v>2633</v>
      </c>
      <c r="B2634" s="1">
        <v>45893</v>
      </c>
      <c r="C2634">
        <v>1904</v>
      </c>
      <c r="D2634" t="s">
        <v>32</v>
      </c>
      <c r="E2634" t="s">
        <v>29</v>
      </c>
      <c r="F2634" t="s">
        <v>17</v>
      </c>
      <c r="G2634">
        <v>4</v>
      </c>
      <c r="H2634">
        <v>0</v>
      </c>
      <c r="I2634" t="s">
        <v>25</v>
      </c>
      <c r="J2634" t="s">
        <v>31</v>
      </c>
      <c r="K2634" t="s">
        <v>20</v>
      </c>
      <c r="L2634">
        <v>1</v>
      </c>
      <c r="M2634">
        <v>1</v>
      </c>
      <c r="N2634">
        <v>1</v>
      </c>
      <c r="O2634" t="s">
        <v>27</v>
      </c>
      <c r="P2634" t="str">
        <f>TEXT(Table1[[#This Row],[order_date]],"yyyy-mm")</f>
        <v>2025-08</v>
      </c>
      <c r="Q2634">
        <f>WEEKNUM(Table1[[#This Row],[order_date]])</f>
        <v>35</v>
      </c>
      <c r="R2634">
        <f>IF(Table1[[#This Row],[order_status]]="completed",1,0)</f>
        <v>0</v>
      </c>
    </row>
    <row r="2635" spans="1:18" x14ac:dyDescent="0.35">
      <c r="A2635">
        <v>2634</v>
      </c>
      <c r="B2635" s="1">
        <v>45908</v>
      </c>
      <c r="C2635">
        <v>1872</v>
      </c>
      <c r="D2635" t="s">
        <v>32</v>
      </c>
      <c r="E2635" t="s">
        <v>23</v>
      </c>
      <c r="F2635" t="s">
        <v>34</v>
      </c>
      <c r="G2635">
        <v>2</v>
      </c>
      <c r="H2635">
        <v>0</v>
      </c>
      <c r="I2635" t="s">
        <v>25</v>
      </c>
      <c r="J2635" t="s">
        <v>37</v>
      </c>
      <c r="K2635" t="s">
        <v>20</v>
      </c>
      <c r="L2635">
        <v>3</v>
      </c>
      <c r="M2635">
        <v>1</v>
      </c>
      <c r="N2635">
        <v>0</v>
      </c>
      <c r="O2635" t="s">
        <v>21</v>
      </c>
      <c r="P2635" t="str">
        <f>TEXT(Table1[[#This Row],[order_date]],"yyyy-mm")</f>
        <v>2025-09</v>
      </c>
      <c r="Q2635">
        <f>WEEKNUM(Table1[[#This Row],[order_date]])</f>
        <v>37</v>
      </c>
      <c r="R2635">
        <f>IF(Table1[[#This Row],[order_status]]="completed",1,0)</f>
        <v>0</v>
      </c>
    </row>
    <row r="2636" spans="1:18" x14ac:dyDescent="0.35">
      <c r="A2636">
        <v>2635</v>
      </c>
      <c r="B2636" s="1">
        <v>45874</v>
      </c>
      <c r="C2636">
        <v>1273</v>
      </c>
      <c r="D2636" t="s">
        <v>32</v>
      </c>
      <c r="E2636" t="s">
        <v>36</v>
      </c>
      <c r="F2636" t="s">
        <v>17</v>
      </c>
      <c r="G2636">
        <v>3</v>
      </c>
      <c r="H2636">
        <v>882</v>
      </c>
      <c r="I2636" t="s">
        <v>35</v>
      </c>
      <c r="J2636" t="s">
        <v>19</v>
      </c>
      <c r="K2636" t="s">
        <v>26</v>
      </c>
      <c r="L2636">
        <v>1</v>
      </c>
      <c r="M2636">
        <v>1</v>
      </c>
      <c r="N2636">
        <v>0</v>
      </c>
      <c r="O2636" t="s">
        <v>21</v>
      </c>
      <c r="P2636" t="str">
        <f>TEXT(Table1[[#This Row],[order_date]],"yyyy-mm")</f>
        <v>2025-08</v>
      </c>
      <c r="Q2636">
        <f>WEEKNUM(Table1[[#This Row],[order_date]])</f>
        <v>32</v>
      </c>
      <c r="R2636">
        <f>IF(Table1[[#This Row],[order_status]]="completed",1,0)</f>
        <v>1</v>
      </c>
    </row>
    <row r="2637" spans="1:18" x14ac:dyDescent="0.35">
      <c r="A2637">
        <v>2636</v>
      </c>
      <c r="B2637" s="1">
        <v>45962</v>
      </c>
      <c r="C2637">
        <v>1151</v>
      </c>
      <c r="D2637" t="s">
        <v>28</v>
      </c>
      <c r="E2637" t="s">
        <v>29</v>
      </c>
      <c r="F2637" t="s">
        <v>30</v>
      </c>
      <c r="G2637">
        <v>1</v>
      </c>
      <c r="H2637">
        <v>0</v>
      </c>
      <c r="I2637" t="s">
        <v>25</v>
      </c>
      <c r="J2637" t="s">
        <v>37</v>
      </c>
      <c r="K2637" t="s">
        <v>38</v>
      </c>
      <c r="L2637">
        <v>9</v>
      </c>
      <c r="M2637">
        <v>1</v>
      </c>
      <c r="N2637">
        <v>1</v>
      </c>
      <c r="O2637" t="s">
        <v>27</v>
      </c>
      <c r="P2637" t="str">
        <f>TEXT(Table1[[#This Row],[order_date]],"yyyy-mm")</f>
        <v>2025-11</v>
      </c>
      <c r="Q2637">
        <f>WEEKNUM(Table1[[#This Row],[order_date]])</f>
        <v>44</v>
      </c>
      <c r="R2637">
        <f>IF(Table1[[#This Row],[order_status]]="completed",1,0)</f>
        <v>0</v>
      </c>
    </row>
    <row r="2638" spans="1:18" x14ac:dyDescent="0.35">
      <c r="A2638">
        <v>2637</v>
      </c>
      <c r="B2638" s="1">
        <v>45960</v>
      </c>
      <c r="C2638">
        <v>1849</v>
      </c>
      <c r="D2638" t="s">
        <v>32</v>
      </c>
      <c r="E2638" t="s">
        <v>16</v>
      </c>
      <c r="F2638" t="s">
        <v>34</v>
      </c>
      <c r="G2638">
        <v>1</v>
      </c>
      <c r="H2638">
        <v>0</v>
      </c>
      <c r="I2638" t="s">
        <v>39</v>
      </c>
      <c r="J2638" t="s">
        <v>37</v>
      </c>
      <c r="K2638" t="s">
        <v>26</v>
      </c>
      <c r="L2638">
        <v>7</v>
      </c>
      <c r="M2638">
        <v>0</v>
      </c>
      <c r="N2638">
        <v>1</v>
      </c>
      <c r="O2638" t="s">
        <v>27</v>
      </c>
      <c r="P2638" t="str">
        <f>TEXT(Table1[[#This Row],[order_date]],"yyyy-mm")</f>
        <v>2025-10</v>
      </c>
      <c r="Q2638">
        <f>WEEKNUM(Table1[[#This Row],[order_date]])</f>
        <v>44</v>
      </c>
      <c r="R2638">
        <f>IF(Table1[[#This Row],[order_status]]="completed",1,0)</f>
        <v>0</v>
      </c>
    </row>
    <row r="2639" spans="1:18" x14ac:dyDescent="0.35">
      <c r="A2639">
        <v>2638</v>
      </c>
      <c r="B2639" s="1">
        <v>45887</v>
      </c>
      <c r="C2639">
        <v>1762</v>
      </c>
      <c r="D2639" t="s">
        <v>15</v>
      </c>
      <c r="E2639" t="s">
        <v>23</v>
      </c>
      <c r="F2639" t="s">
        <v>17</v>
      </c>
      <c r="G2639">
        <v>1</v>
      </c>
      <c r="H2639">
        <v>0</v>
      </c>
      <c r="I2639" t="s">
        <v>35</v>
      </c>
      <c r="J2639" t="s">
        <v>37</v>
      </c>
      <c r="K2639" t="s">
        <v>20</v>
      </c>
      <c r="L2639">
        <v>4</v>
      </c>
      <c r="M2639">
        <v>1</v>
      </c>
      <c r="N2639">
        <v>0</v>
      </c>
      <c r="O2639" t="s">
        <v>21</v>
      </c>
      <c r="P2639" t="str">
        <f>TEXT(Table1[[#This Row],[order_date]],"yyyy-mm")</f>
        <v>2025-08</v>
      </c>
      <c r="Q2639">
        <f>WEEKNUM(Table1[[#This Row],[order_date]])</f>
        <v>34</v>
      </c>
      <c r="R2639">
        <f>IF(Table1[[#This Row],[order_status]]="completed",1,0)</f>
        <v>0</v>
      </c>
    </row>
    <row r="2640" spans="1:18" x14ac:dyDescent="0.35">
      <c r="A2640">
        <v>2639</v>
      </c>
      <c r="B2640" s="1">
        <v>45999</v>
      </c>
      <c r="C2640">
        <v>1980</v>
      </c>
      <c r="D2640" t="s">
        <v>22</v>
      </c>
      <c r="E2640" t="s">
        <v>36</v>
      </c>
      <c r="F2640" t="s">
        <v>30</v>
      </c>
      <c r="G2640">
        <v>4</v>
      </c>
      <c r="H2640">
        <v>0</v>
      </c>
      <c r="I2640" t="s">
        <v>18</v>
      </c>
      <c r="J2640" t="s">
        <v>31</v>
      </c>
      <c r="K2640" t="s">
        <v>40</v>
      </c>
      <c r="L2640">
        <v>5</v>
      </c>
      <c r="M2640">
        <v>1</v>
      </c>
      <c r="N2640">
        <v>1</v>
      </c>
      <c r="O2640" t="s">
        <v>21</v>
      </c>
      <c r="P2640" t="str">
        <f>TEXT(Table1[[#This Row],[order_date]],"yyyy-mm")</f>
        <v>2025-12</v>
      </c>
      <c r="Q2640">
        <f>WEEKNUM(Table1[[#This Row],[order_date]])</f>
        <v>50</v>
      </c>
      <c r="R2640">
        <f>IF(Table1[[#This Row],[order_status]]="completed",1,0)</f>
        <v>0</v>
      </c>
    </row>
    <row r="2641" spans="1:18" x14ac:dyDescent="0.35">
      <c r="A2641">
        <v>2640</v>
      </c>
      <c r="B2641" s="1">
        <v>45954</v>
      </c>
      <c r="C2641">
        <v>1507</v>
      </c>
      <c r="D2641" t="s">
        <v>22</v>
      </c>
      <c r="E2641" t="s">
        <v>16</v>
      </c>
      <c r="F2641" t="s">
        <v>17</v>
      </c>
      <c r="G2641">
        <v>2</v>
      </c>
      <c r="H2641">
        <v>0</v>
      </c>
      <c r="I2641" t="s">
        <v>39</v>
      </c>
      <c r="J2641" t="s">
        <v>37</v>
      </c>
      <c r="K2641" t="s">
        <v>26</v>
      </c>
      <c r="L2641">
        <v>10</v>
      </c>
      <c r="M2641">
        <v>1</v>
      </c>
      <c r="N2641">
        <v>1</v>
      </c>
      <c r="O2641" t="s">
        <v>21</v>
      </c>
      <c r="P2641" t="str">
        <f>TEXT(Table1[[#This Row],[order_date]],"yyyy-mm")</f>
        <v>2025-10</v>
      </c>
      <c r="Q2641">
        <f>WEEKNUM(Table1[[#This Row],[order_date]])</f>
        <v>43</v>
      </c>
      <c r="R2641">
        <f>IF(Table1[[#This Row],[order_status]]="completed",1,0)</f>
        <v>0</v>
      </c>
    </row>
    <row r="2642" spans="1:18" x14ac:dyDescent="0.35">
      <c r="A2642">
        <v>2641</v>
      </c>
      <c r="B2642" s="1">
        <v>45868</v>
      </c>
      <c r="C2642">
        <v>1148</v>
      </c>
      <c r="D2642" t="s">
        <v>28</v>
      </c>
      <c r="E2642" t="s">
        <v>36</v>
      </c>
      <c r="F2642" t="s">
        <v>24</v>
      </c>
      <c r="G2642">
        <v>5</v>
      </c>
      <c r="H2642">
        <v>0</v>
      </c>
      <c r="I2642" t="s">
        <v>18</v>
      </c>
      <c r="J2642" t="s">
        <v>37</v>
      </c>
      <c r="K2642" t="s">
        <v>40</v>
      </c>
      <c r="L2642">
        <v>3</v>
      </c>
      <c r="M2642">
        <v>0</v>
      </c>
      <c r="N2642">
        <v>0</v>
      </c>
      <c r="O2642" t="s">
        <v>21</v>
      </c>
      <c r="P2642" t="str">
        <f>TEXT(Table1[[#This Row],[order_date]],"yyyy-mm")</f>
        <v>2025-07</v>
      </c>
      <c r="Q2642">
        <f>WEEKNUM(Table1[[#This Row],[order_date]])</f>
        <v>31</v>
      </c>
      <c r="R2642">
        <f>IF(Table1[[#This Row],[order_status]]="completed",1,0)</f>
        <v>0</v>
      </c>
    </row>
    <row r="2643" spans="1:18" x14ac:dyDescent="0.35">
      <c r="A2643">
        <v>2642</v>
      </c>
      <c r="B2643" s="1">
        <v>45933</v>
      </c>
      <c r="C2643">
        <v>1274</v>
      </c>
      <c r="D2643" t="s">
        <v>32</v>
      </c>
      <c r="E2643" t="s">
        <v>29</v>
      </c>
      <c r="F2643" t="s">
        <v>24</v>
      </c>
      <c r="G2643">
        <v>4</v>
      </c>
      <c r="H2643">
        <v>0</v>
      </c>
      <c r="I2643" t="s">
        <v>39</v>
      </c>
      <c r="J2643" t="s">
        <v>31</v>
      </c>
      <c r="K2643" t="s">
        <v>38</v>
      </c>
      <c r="L2643">
        <v>1</v>
      </c>
      <c r="M2643">
        <v>1</v>
      </c>
      <c r="N2643">
        <v>0</v>
      </c>
      <c r="O2643" t="s">
        <v>21</v>
      </c>
      <c r="P2643" t="str">
        <f>TEXT(Table1[[#This Row],[order_date]],"yyyy-mm")</f>
        <v>2025-10</v>
      </c>
      <c r="Q2643">
        <f>WEEKNUM(Table1[[#This Row],[order_date]])</f>
        <v>40</v>
      </c>
      <c r="R2643">
        <f>IF(Table1[[#This Row],[order_status]]="completed",1,0)</f>
        <v>0</v>
      </c>
    </row>
    <row r="2644" spans="1:18" x14ac:dyDescent="0.35">
      <c r="A2644">
        <v>2643</v>
      </c>
      <c r="B2644" s="1">
        <v>45942</v>
      </c>
      <c r="C2644">
        <v>1412</v>
      </c>
      <c r="D2644" t="s">
        <v>22</v>
      </c>
      <c r="E2644" t="s">
        <v>36</v>
      </c>
      <c r="F2644" t="s">
        <v>24</v>
      </c>
      <c r="G2644">
        <v>3</v>
      </c>
      <c r="H2644">
        <v>12846</v>
      </c>
      <c r="I2644" t="s">
        <v>18</v>
      </c>
      <c r="J2644" t="s">
        <v>19</v>
      </c>
      <c r="K2644" t="s">
        <v>20</v>
      </c>
      <c r="L2644">
        <v>7</v>
      </c>
      <c r="M2644">
        <v>1</v>
      </c>
      <c r="N2644">
        <v>1</v>
      </c>
      <c r="O2644" t="s">
        <v>27</v>
      </c>
      <c r="P2644" t="str">
        <f>TEXT(Table1[[#This Row],[order_date]],"yyyy-mm")</f>
        <v>2025-10</v>
      </c>
      <c r="Q2644">
        <f>WEEKNUM(Table1[[#This Row],[order_date]])</f>
        <v>42</v>
      </c>
      <c r="R2644">
        <f>IF(Table1[[#This Row],[order_status]]="completed",1,0)</f>
        <v>1</v>
      </c>
    </row>
    <row r="2645" spans="1:18" x14ac:dyDescent="0.35">
      <c r="A2645">
        <v>2644</v>
      </c>
      <c r="B2645" s="1">
        <v>45908</v>
      </c>
      <c r="C2645">
        <v>1151</v>
      </c>
      <c r="D2645" t="s">
        <v>32</v>
      </c>
      <c r="E2645" t="s">
        <v>33</v>
      </c>
      <c r="F2645" t="s">
        <v>34</v>
      </c>
      <c r="G2645">
        <v>1</v>
      </c>
      <c r="H2645">
        <v>0</v>
      </c>
      <c r="I2645" t="s">
        <v>18</v>
      </c>
      <c r="J2645" t="s">
        <v>37</v>
      </c>
      <c r="K2645" t="s">
        <v>40</v>
      </c>
      <c r="L2645">
        <v>1</v>
      </c>
      <c r="M2645">
        <v>1</v>
      </c>
      <c r="N2645">
        <v>1</v>
      </c>
      <c r="O2645" t="s">
        <v>21</v>
      </c>
      <c r="P2645" t="str">
        <f>TEXT(Table1[[#This Row],[order_date]],"yyyy-mm")</f>
        <v>2025-09</v>
      </c>
      <c r="Q2645">
        <f>WEEKNUM(Table1[[#This Row],[order_date]])</f>
        <v>37</v>
      </c>
      <c r="R2645">
        <f>IF(Table1[[#This Row],[order_status]]="completed",1,0)</f>
        <v>0</v>
      </c>
    </row>
    <row r="2646" spans="1:18" x14ac:dyDescent="0.35">
      <c r="A2646">
        <v>2645</v>
      </c>
      <c r="B2646" s="1">
        <v>45960</v>
      </c>
      <c r="C2646">
        <v>1190</v>
      </c>
      <c r="D2646" t="s">
        <v>15</v>
      </c>
      <c r="E2646" t="s">
        <v>23</v>
      </c>
      <c r="F2646" t="s">
        <v>24</v>
      </c>
      <c r="G2646">
        <v>4</v>
      </c>
      <c r="H2646">
        <v>9756</v>
      </c>
      <c r="I2646" t="s">
        <v>39</v>
      </c>
      <c r="J2646" t="s">
        <v>19</v>
      </c>
      <c r="K2646" t="s">
        <v>38</v>
      </c>
      <c r="L2646">
        <v>6</v>
      </c>
      <c r="M2646">
        <v>0</v>
      </c>
      <c r="N2646">
        <v>1</v>
      </c>
      <c r="O2646" t="s">
        <v>21</v>
      </c>
      <c r="P2646" t="str">
        <f>TEXT(Table1[[#This Row],[order_date]],"yyyy-mm")</f>
        <v>2025-10</v>
      </c>
      <c r="Q2646">
        <f>WEEKNUM(Table1[[#This Row],[order_date]])</f>
        <v>44</v>
      </c>
      <c r="R2646">
        <f>IF(Table1[[#This Row],[order_status]]="completed",1,0)</f>
        <v>1</v>
      </c>
    </row>
    <row r="2647" spans="1:18" x14ac:dyDescent="0.35">
      <c r="A2647">
        <v>2646</v>
      </c>
      <c r="B2647" s="1">
        <v>46003</v>
      </c>
      <c r="C2647">
        <v>1909</v>
      </c>
      <c r="D2647" t="s">
        <v>22</v>
      </c>
      <c r="E2647" t="s">
        <v>16</v>
      </c>
      <c r="F2647" t="s">
        <v>30</v>
      </c>
      <c r="G2647">
        <v>1</v>
      </c>
      <c r="H2647">
        <v>0</v>
      </c>
      <c r="I2647" t="s">
        <v>35</v>
      </c>
      <c r="J2647" t="s">
        <v>31</v>
      </c>
      <c r="K2647" t="s">
        <v>20</v>
      </c>
      <c r="L2647">
        <v>6</v>
      </c>
      <c r="M2647">
        <v>1</v>
      </c>
      <c r="N2647">
        <v>1</v>
      </c>
      <c r="O2647" t="s">
        <v>27</v>
      </c>
      <c r="P2647" t="str">
        <f>TEXT(Table1[[#This Row],[order_date]],"yyyy-mm")</f>
        <v>2025-12</v>
      </c>
      <c r="Q2647">
        <f>WEEKNUM(Table1[[#This Row],[order_date]])</f>
        <v>50</v>
      </c>
      <c r="R2647">
        <f>IF(Table1[[#This Row],[order_status]]="completed",1,0)</f>
        <v>0</v>
      </c>
    </row>
    <row r="2648" spans="1:18" x14ac:dyDescent="0.35">
      <c r="A2648">
        <v>2647</v>
      </c>
      <c r="B2648" s="1">
        <v>45876</v>
      </c>
      <c r="C2648">
        <v>1142</v>
      </c>
      <c r="D2648" t="s">
        <v>41</v>
      </c>
      <c r="E2648" t="s">
        <v>33</v>
      </c>
      <c r="F2648" t="s">
        <v>34</v>
      </c>
      <c r="G2648">
        <v>1</v>
      </c>
      <c r="H2648">
        <v>4912</v>
      </c>
      <c r="I2648" t="s">
        <v>18</v>
      </c>
      <c r="J2648" t="s">
        <v>19</v>
      </c>
      <c r="K2648" t="s">
        <v>20</v>
      </c>
      <c r="L2648">
        <v>9</v>
      </c>
      <c r="M2648">
        <v>1</v>
      </c>
      <c r="N2648">
        <v>1</v>
      </c>
      <c r="O2648" t="s">
        <v>21</v>
      </c>
      <c r="P2648" t="str">
        <f>TEXT(Table1[[#This Row],[order_date]],"yyyy-mm")</f>
        <v>2025-08</v>
      </c>
      <c r="Q2648">
        <f>WEEKNUM(Table1[[#This Row],[order_date]])</f>
        <v>32</v>
      </c>
      <c r="R2648">
        <f>IF(Table1[[#This Row],[order_status]]="completed",1,0)</f>
        <v>1</v>
      </c>
    </row>
    <row r="2649" spans="1:18" x14ac:dyDescent="0.35">
      <c r="A2649">
        <v>2648</v>
      </c>
      <c r="B2649" s="1">
        <v>45924</v>
      </c>
      <c r="C2649">
        <v>1834</v>
      </c>
      <c r="D2649" t="s">
        <v>28</v>
      </c>
      <c r="E2649" t="s">
        <v>33</v>
      </c>
      <c r="F2649" t="s">
        <v>17</v>
      </c>
      <c r="G2649">
        <v>5</v>
      </c>
      <c r="H2649">
        <v>0</v>
      </c>
      <c r="I2649" t="s">
        <v>25</v>
      </c>
      <c r="J2649" t="s">
        <v>37</v>
      </c>
      <c r="K2649" t="s">
        <v>20</v>
      </c>
      <c r="L2649">
        <v>6</v>
      </c>
      <c r="M2649">
        <v>0</v>
      </c>
      <c r="N2649">
        <v>1</v>
      </c>
      <c r="O2649" t="s">
        <v>27</v>
      </c>
      <c r="P2649" t="str">
        <f>TEXT(Table1[[#This Row],[order_date]],"yyyy-mm")</f>
        <v>2025-09</v>
      </c>
      <c r="Q2649">
        <f>WEEKNUM(Table1[[#This Row],[order_date]])</f>
        <v>39</v>
      </c>
      <c r="R2649">
        <f>IF(Table1[[#This Row],[order_status]]="completed",1,0)</f>
        <v>0</v>
      </c>
    </row>
    <row r="2650" spans="1:18" x14ac:dyDescent="0.35">
      <c r="A2650">
        <v>2649</v>
      </c>
      <c r="B2650" s="1">
        <v>45897</v>
      </c>
      <c r="C2650">
        <v>1118</v>
      </c>
      <c r="D2650" t="s">
        <v>15</v>
      </c>
      <c r="E2650" t="s">
        <v>23</v>
      </c>
      <c r="F2650" t="s">
        <v>17</v>
      </c>
      <c r="G2650">
        <v>3</v>
      </c>
      <c r="H2650">
        <v>0</v>
      </c>
      <c r="I2650" t="s">
        <v>39</v>
      </c>
      <c r="J2650" t="s">
        <v>31</v>
      </c>
      <c r="K2650" t="s">
        <v>20</v>
      </c>
      <c r="L2650">
        <v>6</v>
      </c>
      <c r="M2650">
        <v>0</v>
      </c>
      <c r="N2650">
        <v>0</v>
      </c>
      <c r="O2650" t="s">
        <v>21</v>
      </c>
      <c r="P2650" t="str">
        <f>TEXT(Table1[[#This Row],[order_date]],"yyyy-mm")</f>
        <v>2025-08</v>
      </c>
      <c r="Q2650">
        <f>WEEKNUM(Table1[[#This Row],[order_date]])</f>
        <v>35</v>
      </c>
      <c r="R2650">
        <f>IF(Table1[[#This Row],[order_status]]="completed",1,0)</f>
        <v>0</v>
      </c>
    </row>
    <row r="2651" spans="1:18" x14ac:dyDescent="0.35">
      <c r="A2651">
        <v>2650</v>
      </c>
      <c r="B2651" s="1">
        <v>45862</v>
      </c>
      <c r="C2651">
        <v>1345</v>
      </c>
      <c r="D2651" t="s">
        <v>41</v>
      </c>
      <c r="E2651" t="s">
        <v>29</v>
      </c>
      <c r="F2651" t="s">
        <v>24</v>
      </c>
      <c r="G2651">
        <v>3</v>
      </c>
      <c r="H2651">
        <v>0</v>
      </c>
      <c r="I2651" t="s">
        <v>18</v>
      </c>
      <c r="J2651" t="s">
        <v>37</v>
      </c>
      <c r="K2651" t="s">
        <v>26</v>
      </c>
      <c r="L2651">
        <v>2</v>
      </c>
      <c r="M2651">
        <v>0</v>
      </c>
      <c r="N2651">
        <v>1</v>
      </c>
      <c r="O2651" t="s">
        <v>27</v>
      </c>
      <c r="P2651" t="str">
        <f>TEXT(Table1[[#This Row],[order_date]],"yyyy-mm")</f>
        <v>2025-07</v>
      </c>
      <c r="Q2651">
        <f>WEEKNUM(Table1[[#This Row],[order_date]])</f>
        <v>30</v>
      </c>
      <c r="R2651">
        <f>IF(Table1[[#This Row],[order_status]]="completed",1,0)</f>
        <v>0</v>
      </c>
    </row>
    <row r="2652" spans="1:18" x14ac:dyDescent="0.35">
      <c r="A2652">
        <v>2651</v>
      </c>
      <c r="B2652" s="1">
        <v>45988</v>
      </c>
      <c r="C2652">
        <v>1800</v>
      </c>
      <c r="D2652" t="s">
        <v>28</v>
      </c>
      <c r="E2652" t="s">
        <v>36</v>
      </c>
      <c r="F2652" t="s">
        <v>34</v>
      </c>
      <c r="G2652">
        <v>1</v>
      </c>
      <c r="H2652">
        <v>0</v>
      </c>
      <c r="I2652" t="s">
        <v>35</v>
      </c>
      <c r="J2652" t="s">
        <v>31</v>
      </c>
      <c r="K2652" t="s">
        <v>20</v>
      </c>
      <c r="L2652">
        <v>2</v>
      </c>
      <c r="M2652">
        <v>1</v>
      </c>
      <c r="N2652">
        <v>0</v>
      </c>
      <c r="O2652" t="s">
        <v>27</v>
      </c>
      <c r="P2652" t="str">
        <f>TEXT(Table1[[#This Row],[order_date]],"yyyy-mm")</f>
        <v>2025-11</v>
      </c>
      <c r="Q2652">
        <f>WEEKNUM(Table1[[#This Row],[order_date]])</f>
        <v>48</v>
      </c>
      <c r="R2652">
        <f>IF(Table1[[#This Row],[order_status]]="completed",1,0)</f>
        <v>0</v>
      </c>
    </row>
    <row r="2653" spans="1:18" x14ac:dyDescent="0.35">
      <c r="A2653">
        <v>2652</v>
      </c>
      <c r="B2653" s="1">
        <v>46014</v>
      </c>
      <c r="C2653">
        <v>1170</v>
      </c>
      <c r="D2653" t="s">
        <v>41</v>
      </c>
      <c r="E2653" t="s">
        <v>29</v>
      </c>
      <c r="F2653" t="s">
        <v>17</v>
      </c>
      <c r="G2653">
        <v>1</v>
      </c>
      <c r="H2653">
        <v>249</v>
      </c>
      <c r="I2653" t="s">
        <v>35</v>
      </c>
      <c r="J2653" t="s">
        <v>19</v>
      </c>
      <c r="K2653" t="s">
        <v>40</v>
      </c>
      <c r="L2653">
        <v>5</v>
      </c>
      <c r="M2653">
        <v>1</v>
      </c>
      <c r="N2653">
        <v>0</v>
      </c>
      <c r="O2653" t="s">
        <v>27</v>
      </c>
      <c r="P2653" t="str">
        <f>TEXT(Table1[[#This Row],[order_date]],"yyyy-mm")</f>
        <v>2025-12</v>
      </c>
      <c r="Q2653">
        <f>WEEKNUM(Table1[[#This Row],[order_date]])</f>
        <v>52</v>
      </c>
      <c r="R2653">
        <f>IF(Table1[[#This Row],[order_status]]="completed",1,0)</f>
        <v>1</v>
      </c>
    </row>
    <row r="2654" spans="1:18" x14ac:dyDescent="0.35">
      <c r="A2654">
        <v>2653</v>
      </c>
      <c r="B2654" s="1">
        <v>45905</v>
      </c>
      <c r="C2654">
        <v>1692</v>
      </c>
      <c r="D2654" t="s">
        <v>41</v>
      </c>
      <c r="E2654" t="s">
        <v>36</v>
      </c>
      <c r="F2654" t="s">
        <v>24</v>
      </c>
      <c r="G2654">
        <v>5</v>
      </c>
      <c r="H2654">
        <v>0</v>
      </c>
      <c r="I2654" t="s">
        <v>39</v>
      </c>
      <c r="J2654" t="s">
        <v>31</v>
      </c>
      <c r="K2654" t="s">
        <v>26</v>
      </c>
      <c r="L2654">
        <v>5</v>
      </c>
      <c r="M2654">
        <v>1</v>
      </c>
      <c r="N2654">
        <v>1</v>
      </c>
      <c r="O2654" t="s">
        <v>21</v>
      </c>
      <c r="P2654" t="str">
        <f>TEXT(Table1[[#This Row],[order_date]],"yyyy-mm")</f>
        <v>2025-09</v>
      </c>
      <c r="Q2654">
        <f>WEEKNUM(Table1[[#This Row],[order_date]])</f>
        <v>36</v>
      </c>
      <c r="R2654">
        <f>IF(Table1[[#This Row],[order_status]]="completed",1,0)</f>
        <v>0</v>
      </c>
    </row>
    <row r="2655" spans="1:18" x14ac:dyDescent="0.35">
      <c r="A2655">
        <v>2654</v>
      </c>
      <c r="B2655" s="1">
        <v>45880</v>
      </c>
      <c r="C2655">
        <v>1415</v>
      </c>
      <c r="D2655" t="s">
        <v>32</v>
      </c>
      <c r="E2655" t="s">
        <v>36</v>
      </c>
      <c r="F2655" t="s">
        <v>30</v>
      </c>
      <c r="G2655">
        <v>3</v>
      </c>
      <c r="H2655">
        <v>696</v>
      </c>
      <c r="I2655" t="s">
        <v>35</v>
      </c>
      <c r="J2655" t="s">
        <v>19</v>
      </c>
      <c r="K2655" t="s">
        <v>20</v>
      </c>
      <c r="L2655">
        <v>8</v>
      </c>
      <c r="M2655">
        <v>0</v>
      </c>
      <c r="N2655">
        <v>1</v>
      </c>
      <c r="O2655" t="s">
        <v>21</v>
      </c>
      <c r="P2655" t="str">
        <f>TEXT(Table1[[#This Row],[order_date]],"yyyy-mm")</f>
        <v>2025-08</v>
      </c>
      <c r="Q2655">
        <f>WEEKNUM(Table1[[#This Row],[order_date]])</f>
        <v>33</v>
      </c>
      <c r="R2655">
        <f>IF(Table1[[#This Row],[order_status]]="completed",1,0)</f>
        <v>1</v>
      </c>
    </row>
    <row r="2656" spans="1:18" x14ac:dyDescent="0.35">
      <c r="A2656">
        <v>2655</v>
      </c>
      <c r="B2656" s="1">
        <v>46012</v>
      </c>
      <c r="C2656">
        <v>1206</v>
      </c>
      <c r="D2656" t="s">
        <v>32</v>
      </c>
      <c r="E2656" t="s">
        <v>29</v>
      </c>
      <c r="F2656" t="s">
        <v>17</v>
      </c>
      <c r="G2656">
        <v>5</v>
      </c>
      <c r="H2656">
        <v>0</v>
      </c>
      <c r="I2656" t="s">
        <v>39</v>
      </c>
      <c r="J2656" t="s">
        <v>37</v>
      </c>
      <c r="K2656" t="s">
        <v>38</v>
      </c>
      <c r="L2656">
        <v>10</v>
      </c>
      <c r="M2656">
        <v>0</v>
      </c>
      <c r="N2656">
        <v>0</v>
      </c>
      <c r="O2656" t="s">
        <v>21</v>
      </c>
      <c r="P2656" t="str">
        <f>TEXT(Table1[[#This Row],[order_date]],"yyyy-mm")</f>
        <v>2025-12</v>
      </c>
      <c r="Q2656">
        <f>WEEKNUM(Table1[[#This Row],[order_date]])</f>
        <v>52</v>
      </c>
      <c r="R2656">
        <f>IF(Table1[[#This Row],[order_status]]="completed",1,0)</f>
        <v>0</v>
      </c>
    </row>
    <row r="2657" spans="1:18" x14ac:dyDescent="0.35">
      <c r="A2657">
        <v>2656</v>
      </c>
      <c r="B2657" s="1">
        <v>45913</v>
      </c>
      <c r="C2657">
        <v>1412</v>
      </c>
      <c r="D2657" t="s">
        <v>28</v>
      </c>
      <c r="E2657" t="s">
        <v>16</v>
      </c>
      <c r="F2657" t="s">
        <v>17</v>
      </c>
      <c r="G2657">
        <v>1</v>
      </c>
      <c r="H2657">
        <v>0</v>
      </c>
      <c r="I2657" t="s">
        <v>39</v>
      </c>
      <c r="J2657" t="s">
        <v>37</v>
      </c>
      <c r="K2657" t="s">
        <v>26</v>
      </c>
      <c r="L2657">
        <v>2</v>
      </c>
      <c r="M2657">
        <v>0</v>
      </c>
      <c r="N2657">
        <v>1</v>
      </c>
      <c r="O2657" t="s">
        <v>21</v>
      </c>
      <c r="P2657" t="str">
        <f>TEXT(Table1[[#This Row],[order_date]],"yyyy-mm")</f>
        <v>2025-09</v>
      </c>
      <c r="Q2657">
        <f>WEEKNUM(Table1[[#This Row],[order_date]])</f>
        <v>37</v>
      </c>
      <c r="R2657">
        <f>IF(Table1[[#This Row],[order_status]]="completed",1,0)</f>
        <v>0</v>
      </c>
    </row>
    <row r="2658" spans="1:18" x14ac:dyDescent="0.35">
      <c r="A2658">
        <v>2657</v>
      </c>
      <c r="B2658" s="1">
        <v>45992</v>
      </c>
      <c r="C2658">
        <v>1475</v>
      </c>
      <c r="D2658" t="s">
        <v>32</v>
      </c>
      <c r="E2658" t="s">
        <v>23</v>
      </c>
      <c r="F2658" t="s">
        <v>17</v>
      </c>
      <c r="G2658">
        <v>4</v>
      </c>
      <c r="H2658">
        <v>0</v>
      </c>
      <c r="I2658" t="s">
        <v>25</v>
      </c>
      <c r="J2658" t="s">
        <v>31</v>
      </c>
      <c r="K2658" t="s">
        <v>20</v>
      </c>
      <c r="L2658">
        <v>5</v>
      </c>
      <c r="M2658">
        <v>1</v>
      </c>
      <c r="N2658">
        <v>0</v>
      </c>
      <c r="O2658" t="s">
        <v>27</v>
      </c>
      <c r="P2658" t="str">
        <f>TEXT(Table1[[#This Row],[order_date]],"yyyy-mm")</f>
        <v>2025-12</v>
      </c>
      <c r="Q2658">
        <f>WEEKNUM(Table1[[#This Row],[order_date]])</f>
        <v>49</v>
      </c>
      <c r="R2658">
        <f>IF(Table1[[#This Row],[order_status]]="completed",1,0)</f>
        <v>0</v>
      </c>
    </row>
    <row r="2659" spans="1:18" x14ac:dyDescent="0.35">
      <c r="A2659">
        <v>2658</v>
      </c>
      <c r="B2659" s="1">
        <v>45938</v>
      </c>
      <c r="C2659">
        <v>1447</v>
      </c>
      <c r="D2659" t="s">
        <v>41</v>
      </c>
      <c r="E2659" t="s">
        <v>16</v>
      </c>
      <c r="F2659" t="s">
        <v>17</v>
      </c>
      <c r="G2659">
        <v>4</v>
      </c>
      <c r="H2659">
        <v>0</v>
      </c>
      <c r="I2659" t="s">
        <v>39</v>
      </c>
      <c r="J2659" t="s">
        <v>37</v>
      </c>
      <c r="K2659" t="s">
        <v>38</v>
      </c>
      <c r="L2659">
        <v>6</v>
      </c>
      <c r="M2659">
        <v>1</v>
      </c>
      <c r="N2659">
        <v>0</v>
      </c>
      <c r="O2659" t="s">
        <v>21</v>
      </c>
      <c r="P2659" t="str">
        <f>TEXT(Table1[[#This Row],[order_date]],"yyyy-mm")</f>
        <v>2025-10</v>
      </c>
      <c r="Q2659">
        <f>WEEKNUM(Table1[[#This Row],[order_date]])</f>
        <v>41</v>
      </c>
      <c r="R2659">
        <f>IF(Table1[[#This Row],[order_status]]="completed",1,0)</f>
        <v>0</v>
      </c>
    </row>
    <row r="2660" spans="1:18" x14ac:dyDescent="0.35">
      <c r="A2660">
        <v>2659</v>
      </c>
      <c r="B2660" s="1">
        <v>45904</v>
      </c>
      <c r="C2660">
        <v>1364</v>
      </c>
      <c r="D2660" t="s">
        <v>28</v>
      </c>
      <c r="E2660" t="s">
        <v>29</v>
      </c>
      <c r="F2660" t="s">
        <v>24</v>
      </c>
      <c r="G2660">
        <v>3</v>
      </c>
      <c r="H2660">
        <v>0</v>
      </c>
      <c r="I2660" t="s">
        <v>35</v>
      </c>
      <c r="J2660" t="s">
        <v>37</v>
      </c>
      <c r="K2660" t="s">
        <v>26</v>
      </c>
      <c r="L2660">
        <v>7</v>
      </c>
      <c r="M2660">
        <v>0</v>
      </c>
      <c r="N2660">
        <v>1</v>
      </c>
      <c r="O2660" t="s">
        <v>21</v>
      </c>
      <c r="P2660" t="str">
        <f>TEXT(Table1[[#This Row],[order_date]],"yyyy-mm")</f>
        <v>2025-09</v>
      </c>
      <c r="Q2660">
        <f>WEEKNUM(Table1[[#This Row],[order_date]])</f>
        <v>36</v>
      </c>
      <c r="R2660">
        <f>IF(Table1[[#This Row],[order_status]]="completed",1,0)</f>
        <v>0</v>
      </c>
    </row>
    <row r="2661" spans="1:18" x14ac:dyDescent="0.35">
      <c r="A2661">
        <v>2660</v>
      </c>
      <c r="B2661" s="1">
        <v>45919</v>
      </c>
      <c r="C2661">
        <v>1138</v>
      </c>
      <c r="D2661" t="s">
        <v>28</v>
      </c>
      <c r="E2661" t="s">
        <v>36</v>
      </c>
      <c r="F2661" t="s">
        <v>34</v>
      </c>
      <c r="G2661">
        <v>5</v>
      </c>
      <c r="H2661">
        <v>11635</v>
      </c>
      <c r="I2661" t="s">
        <v>25</v>
      </c>
      <c r="J2661" t="s">
        <v>19</v>
      </c>
      <c r="K2661" t="s">
        <v>38</v>
      </c>
      <c r="L2661">
        <v>1</v>
      </c>
      <c r="M2661">
        <v>0</v>
      </c>
      <c r="N2661">
        <v>1</v>
      </c>
      <c r="O2661" t="s">
        <v>21</v>
      </c>
      <c r="P2661" t="str">
        <f>TEXT(Table1[[#This Row],[order_date]],"yyyy-mm")</f>
        <v>2025-09</v>
      </c>
      <c r="Q2661">
        <f>WEEKNUM(Table1[[#This Row],[order_date]])</f>
        <v>38</v>
      </c>
      <c r="R2661">
        <f>IF(Table1[[#This Row],[order_status]]="completed",1,0)</f>
        <v>1</v>
      </c>
    </row>
    <row r="2662" spans="1:18" x14ac:dyDescent="0.35">
      <c r="A2662">
        <v>2661</v>
      </c>
      <c r="B2662" s="1">
        <v>45978</v>
      </c>
      <c r="C2662">
        <v>1883</v>
      </c>
      <c r="D2662" t="s">
        <v>41</v>
      </c>
      <c r="E2662" t="s">
        <v>23</v>
      </c>
      <c r="F2662" t="s">
        <v>34</v>
      </c>
      <c r="G2662">
        <v>1</v>
      </c>
      <c r="H2662">
        <v>4976</v>
      </c>
      <c r="I2662" t="s">
        <v>35</v>
      </c>
      <c r="J2662" t="s">
        <v>19</v>
      </c>
      <c r="K2662" t="s">
        <v>38</v>
      </c>
      <c r="L2662">
        <v>3</v>
      </c>
      <c r="M2662">
        <v>0</v>
      </c>
      <c r="N2662">
        <v>1</v>
      </c>
      <c r="O2662" t="s">
        <v>27</v>
      </c>
      <c r="P2662" t="str">
        <f>TEXT(Table1[[#This Row],[order_date]],"yyyy-mm")</f>
        <v>2025-11</v>
      </c>
      <c r="Q2662">
        <f>WEEKNUM(Table1[[#This Row],[order_date]])</f>
        <v>47</v>
      </c>
      <c r="R2662">
        <f>IF(Table1[[#This Row],[order_status]]="completed",1,0)</f>
        <v>1</v>
      </c>
    </row>
    <row r="2663" spans="1:18" x14ac:dyDescent="0.35">
      <c r="A2663">
        <v>2662</v>
      </c>
      <c r="B2663" s="1">
        <v>45916</v>
      </c>
      <c r="C2663">
        <v>1783</v>
      </c>
      <c r="D2663" t="s">
        <v>15</v>
      </c>
      <c r="E2663" t="s">
        <v>29</v>
      </c>
      <c r="F2663" t="s">
        <v>24</v>
      </c>
      <c r="G2663">
        <v>4</v>
      </c>
      <c r="H2663">
        <v>0</v>
      </c>
      <c r="I2663" t="s">
        <v>25</v>
      </c>
      <c r="J2663" t="s">
        <v>37</v>
      </c>
      <c r="K2663" t="s">
        <v>40</v>
      </c>
      <c r="L2663">
        <v>8</v>
      </c>
      <c r="M2663">
        <v>0</v>
      </c>
      <c r="N2663">
        <v>1</v>
      </c>
      <c r="O2663" t="s">
        <v>21</v>
      </c>
      <c r="P2663" t="str">
        <f>TEXT(Table1[[#This Row],[order_date]],"yyyy-mm")</f>
        <v>2025-09</v>
      </c>
      <c r="Q2663">
        <f>WEEKNUM(Table1[[#This Row],[order_date]])</f>
        <v>38</v>
      </c>
      <c r="R2663">
        <f>IF(Table1[[#This Row],[order_status]]="completed",1,0)</f>
        <v>0</v>
      </c>
    </row>
    <row r="2664" spans="1:18" x14ac:dyDescent="0.35">
      <c r="A2664">
        <v>2663</v>
      </c>
      <c r="B2664" s="1">
        <v>45883</v>
      </c>
      <c r="C2664">
        <v>1618</v>
      </c>
      <c r="D2664" t="s">
        <v>22</v>
      </c>
      <c r="E2664" t="s">
        <v>36</v>
      </c>
      <c r="F2664" t="s">
        <v>30</v>
      </c>
      <c r="G2664">
        <v>2</v>
      </c>
      <c r="H2664">
        <v>0</v>
      </c>
      <c r="I2664" t="s">
        <v>39</v>
      </c>
      <c r="J2664" t="s">
        <v>31</v>
      </c>
      <c r="K2664" t="s">
        <v>40</v>
      </c>
      <c r="L2664">
        <v>8</v>
      </c>
      <c r="M2664">
        <v>1</v>
      </c>
      <c r="N2664">
        <v>0</v>
      </c>
      <c r="O2664" t="s">
        <v>21</v>
      </c>
      <c r="P2664" t="str">
        <f>TEXT(Table1[[#This Row],[order_date]],"yyyy-mm")</f>
        <v>2025-08</v>
      </c>
      <c r="Q2664">
        <f>WEEKNUM(Table1[[#This Row],[order_date]])</f>
        <v>33</v>
      </c>
      <c r="R2664">
        <f>IF(Table1[[#This Row],[order_status]]="completed",1,0)</f>
        <v>0</v>
      </c>
    </row>
    <row r="2665" spans="1:18" x14ac:dyDescent="0.35">
      <c r="A2665">
        <v>2664</v>
      </c>
      <c r="B2665" s="1">
        <v>46007</v>
      </c>
      <c r="C2665">
        <v>1342</v>
      </c>
      <c r="D2665" t="s">
        <v>22</v>
      </c>
      <c r="E2665" t="s">
        <v>29</v>
      </c>
      <c r="F2665" t="s">
        <v>24</v>
      </c>
      <c r="G2665">
        <v>2</v>
      </c>
      <c r="H2665">
        <v>0</v>
      </c>
      <c r="I2665" t="s">
        <v>39</v>
      </c>
      <c r="J2665" t="s">
        <v>31</v>
      </c>
      <c r="K2665" t="s">
        <v>26</v>
      </c>
      <c r="L2665">
        <v>2</v>
      </c>
      <c r="M2665">
        <v>1</v>
      </c>
      <c r="N2665">
        <v>0</v>
      </c>
      <c r="O2665" t="s">
        <v>21</v>
      </c>
      <c r="P2665" t="str">
        <f>TEXT(Table1[[#This Row],[order_date]],"yyyy-mm")</f>
        <v>2025-12</v>
      </c>
      <c r="Q2665">
        <f>WEEKNUM(Table1[[#This Row],[order_date]])</f>
        <v>51</v>
      </c>
      <c r="R2665">
        <f>IF(Table1[[#This Row],[order_status]]="completed",1,0)</f>
        <v>0</v>
      </c>
    </row>
    <row r="2666" spans="1:18" x14ac:dyDescent="0.35">
      <c r="A2666">
        <v>2665</v>
      </c>
      <c r="B2666" s="1">
        <v>45920</v>
      </c>
      <c r="C2666">
        <v>1022</v>
      </c>
      <c r="D2666" t="s">
        <v>28</v>
      </c>
      <c r="E2666" t="s">
        <v>23</v>
      </c>
      <c r="F2666" t="s">
        <v>17</v>
      </c>
      <c r="G2666">
        <v>3</v>
      </c>
      <c r="H2666">
        <v>0</v>
      </c>
      <c r="I2666" t="s">
        <v>18</v>
      </c>
      <c r="J2666" t="s">
        <v>37</v>
      </c>
      <c r="K2666" t="s">
        <v>20</v>
      </c>
      <c r="L2666">
        <v>4</v>
      </c>
      <c r="M2666">
        <v>1</v>
      </c>
      <c r="N2666">
        <v>1</v>
      </c>
      <c r="O2666" t="s">
        <v>27</v>
      </c>
      <c r="P2666" t="str">
        <f>TEXT(Table1[[#This Row],[order_date]],"yyyy-mm")</f>
        <v>2025-09</v>
      </c>
      <c r="Q2666">
        <f>WEEKNUM(Table1[[#This Row],[order_date]])</f>
        <v>38</v>
      </c>
      <c r="R2666">
        <f>IF(Table1[[#This Row],[order_status]]="completed",1,0)</f>
        <v>0</v>
      </c>
    </row>
    <row r="2667" spans="1:18" x14ac:dyDescent="0.35">
      <c r="A2667">
        <v>2666</v>
      </c>
      <c r="B2667" s="1">
        <v>46004</v>
      </c>
      <c r="C2667">
        <v>1719</v>
      </c>
      <c r="D2667" t="s">
        <v>28</v>
      </c>
      <c r="E2667" t="s">
        <v>16</v>
      </c>
      <c r="F2667" t="s">
        <v>34</v>
      </c>
      <c r="G2667">
        <v>5</v>
      </c>
      <c r="H2667">
        <v>0</v>
      </c>
      <c r="I2667" t="s">
        <v>18</v>
      </c>
      <c r="J2667" t="s">
        <v>37</v>
      </c>
      <c r="K2667" t="s">
        <v>40</v>
      </c>
      <c r="L2667">
        <v>9</v>
      </c>
      <c r="M2667">
        <v>0</v>
      </c>
      <c r="N2667">
        <v>0</v>
      </c>
      <c r="O2667" t="s">
        <v>27</v>
      </c>
      <c r="P2667" t="str">
        <f>TEXT(Table1[[#This Row],[order_date]],"yyyy-mm")</f>
        <v>2025-12</v>
      </c>
      <c r="Q2667">
        <f>WEEKNUM(Table1[[#This Row],[order_date]])</f>
        <v>50</v>
      </c>
      <c r="R2667">
        <f>IF(Table1[[#This Row],[order_status]]="completed",1,0)</f>
        <v>0</v>
      </c>
    </row>
    <row r="2668" spans="1:18" x14ac:dyDescent="0.35">
      <c r="A2668">
        <v>2667</v>
      </c>
      <c r="B2668" s="1">
        <v>45911</v>
      </c>
      <c r="C2668">
        <v>1019</v>
      </c>
      <c r="D2668" t="s">
        <v>32</v>
      </c>
      <c r="E2668" t="s">
        <v>23</v>
      </c>
      <c r="F2668" t="s">
        <v>24</v>
      </c>
      <c r="G2668">
        <v>5</v>
      </c>
      <c r="H2668">
        <v>0</v>
      </c>
      <c r="I2668" t="s">
        <v>18</v>
      </c>
      <c r="J2668" t="s">
        <v>31</v>
      </c>
      <c r="K2668" t="s">
        <v>26</v>
      </c>
      <c r="L2668">
        <v>5</v>
      </c>
      <c r="M2668">
        <v>1</v>
      </c>
      <c r="N2668">
        <v>0</v>
      </c>
      <c r="O2668" t="s">
        <v>27</v>
      </c>
      <c r="P2668" t="str">
        <f>TEXT(Table1[[#This Row],[order_date]],"yyyy-mm")</f>
        <v>2025-09</v>
      </c>
      <c r="Q2668">
        <f>WEEKNUM(Table1[[#This Row],[order_date]])</f>
        <v>37</v>
      </c>
      <c r="R2668">
        <f>IF(Table1[[#This Row],[order_status]]="completed",1,0)</f>
        <v>0</v>
      </c>
    </row>
    <row r="2669" spans="1:18" x14ac:dyDescent="0.35">
      <c r="A2669">
        <v>2668</v>
      </c>
      <c r="B2669" s="1">
        <v>45991</v>
      </c>
      <c r="C2669">
        <v>1539</v>
      </c>
      <c r="D2669" t="s">
        <v>28</v>
      </c>
      <c r="E2669" t="s">
        <v>23</v>
      </c>
      <c r="F2669" t="s">
        <v>24</v>
      </c>
      <c r="G2669">
        <v>4</v>
      </c>
      <c r="H2669">
        <v>0</v>
      </c>
      <c r="I2669" t="s">
        <v>25</v>
      </c>
      <c r="J2669" t="s">
        <v>31</v>
      </c>
      <c r="K2669" t="s">
        <v>20</v>
      </c>
      <c r="L2669">
        <v>2</v>
      </c>
      <c r="M2669">
        <v>1</v>
      </c>
      <c r="N2669">
        <v>0</v>
      </c>
      <c r="O2669" t="s">
        <v>21</v>
      </c>
      <c r="P2669" t="str">
        <f>TEXT(Table1[[#This Row],[order_date]],"yyyy-mm")</f>
        <v>2025-11</v>
      </c>
      <c r="Q2669">
        <f>WEEKNUM(Table1[[#This Row],[order_date]])</f>
        <v>49</v>
      </c>
      <c r="R2669">
        <f>IF(Table1[[#This Row],[order_status]]="completed",1,0)</f>
        <v>0</v>
      </c>
    </row>
    <row r="2670" spans="1:18" x14ac:dyDescent="0.35">
      <c r="A2670">
        <v>2669</v>
      </c>
      <c r="B2670" s="1">
        <v>45947</v>
      </c>
      <c r="C2670">
        <v>1736</v>
      </c>
      <c r="D2670" t="s">
        <v>15</v>
      </c>
      <c r="E2670" t="s">
        <v>29</v>
      </c>
      <c r="F2670" t="s">
        <v>34</v>
      </c>
      <c r="G2670">
        <v>5</v>
      </c>
      <c r="H2670">
        <v>0</v>
      </c>
      <c r="I2670" t="s">
        <v>25</v>
      </c>
      <c r="J2670" t="s">
        <v>31</v>
      </c>
      <c r="K2670" t="s">
        <v>26</v>
      </c>
      <c r="L2670">
        <v>7</v>
      </c>
      <c r="M2670">
        <v>1</v>
      </c>
      <c r="N2670">
        <v>0</v>
      </c>
      <c r="O2670" t="s">
        <v>27</v>
      </c>
      <c r="P2670" t="str">
        <f>TEXT(Table1[[#This Row],[order_date]],"yyyy-mm")</f>
        <v>2025-10</v>
      </c>
      <c r="Q2670">
        <f>WEEKNUM(Table1[[#This Row],[order_date]])</f>
        <v>42</v>
      </c>
      <c r="R2670">
        <f>IF(Table1[[#This Row],[order_status]]="completed",1,0)</f>
        <v>0</v>
      </c>
    </row>
    <row r="2671" spans="1:18" x14ac:dyDescent="0.35">
      <c r="A2671">
        <v>2670</v>
      </c>
      <c r="B2671" s="1">
        <v>45994</v>
      </c>
      <c r="C2671">
        <v>1296</v>
      </c>
      <c r="D2671" t="s">
        <v>32</v>
      </c>
      <c r="E2671" t="s">
        <v>29</v>
      </c>
      <c r="F2671" t="s">
        <v>24</v>
      </c>
      <c r="G2671">
        <v>5</v>
      </c>
      <c r="H2671">
        <v>8950</v>
      </c>
      <c r="I2671" t="s">
        <v>39</v>
      </c>
      <c r="J2671" t="s">
        <v>19</v>
      </c>
      <c r="K2671" t="s">
        <v>26</v>
      </c>
      <c r="L2671">
        <v>6</v>
      </c>
      <c r="M2671">
        <v>0</v>
      </c>
      <c r="N2671">
        <v>1</v>
      </c>
      <c r="O2671" t="s">
        <v>21</v>
      </c>
      <c r="P2671" t="str">
        <f>TEXT(Table1[[#This Row],[order_date]],"yyyy-mm")</f>
        <v>2025-12</v>
      </c>
      <c r="Q2671">
        <f>WEEKNUM(Table1[[#This Row],[order_date]])</f>
        <v>49</v>
      </c>
      <c r="R2671">
        <f>IF(Table1[[#This Row],[order_status]]="completed",1,0)</f>
        <v>1</v>
      </c>
    </row>
    <row r="2672" spans="1:18" x14ac:dyDescent="0.35">
      <c r="A2672">
        <v>2671</v>
      </c>
      <c r="B2672" s="1">
        <v>46002</v>
      </c>
      <c r="C2672">
        <v>1448</v>
      </c>
      <c r="D2672" t="s">
        <v>41</v>
      </c>
      <c r="E2672" t="s">
        <v>29</v>
      </c>
      <c r="F2672" t="s">
        <v>30</v>
      </c>
      <c r="G2672">
        <v>2</v>
      </c>
      <c r="H2672">
        <v>0</v>
      </c>
      <c r="I2672" t="s">
        <v>18</v>
      </c>
      <c r="J2672" t="s">
        <v>31</v>
      </c>
      <c r="K2672" t="s">
        <v>38</v>
      </c>
      <c r="L2672">
        <v>10</v>
      </c>
      <c r="M2672">
        <v>0</v>
      </c>
      <c r="N2672">
        <v>1</v>
      </c>
      <c r="O2672" t="s">
        <v>27</v>
      </c>
      <c r="P2672" t="str">
        <f>TEXT(Table1[[#This Row],[order_date]],"yyyy-mm")</f>
        <v>2025-12</v>
      </c>
      <c r="Q2672">
        <f>WEEKNUM(Table1[[#This Row],[order_date]])</f>
        <v>50</v>
      </c>
      <c r="R2672">
        <f>IF(Table1[[#This Row],[order_status]]="completed",1,0)</f>
        <v>0</v>
      </c>
    </row>
    <row r="2673" spans="1:18" x14ac:dyDescent="0.35">
      <c r="A2673">
        <v>2672</v>
      </c>
      <c r="B2673" s="1">
        <v>45854</v>
      </c>
      <c r="C2673">
        <v>1566</v>
      </c>
      <c r="D2673" t="s">
        <v>41</v>
      </c>
      <c r="E2673" t="s">
        <v>36</v>
      </c>
      <c r="F2673" t="s">
        <v>30</v>
      </c>
      <c r="G2673">
        <v>1</v>
      </c>
      <c r="H2673">
        <v>2706</v>
      </c>
      <c r="I2673" t="s">
        <v>35</v>
      </c>
      <c r="J2673" t="s">
        <v>19</v>
      </c>
      <c r="K2673" t="s">
        <v>20</v>
      </c>
      <c r="L2673">
        <v>8</v>
      </c>
      <c r="M2673">
        <v>1</v>
      </c>
      <c r="N2673">
        <v>1</v>
      </c>
      <c r="O2673" t="s">
        <v>21</v>
      </c>
      <c r="P2673" t="str">
        <f>TEXT(Table1[[#This Row],[order_date]],"yyyy-mm")</f>
        <v>2025-07</v>
      </c>
      <c r="Q2673">
        <f>WEEKNUM(Table1[[#This Row],[order_date]])</f>
        <v>29</v>
      </c>
      <c r="R2673">
        <f>IF(Table1[[#This Row],[order_status]]="completed",1,0)</f>
        <v>1</v>
      </c>
    </row>
    <row r="2674" spans="1:18" x14ac:dyDescent="0.35">
      <c r="A2674">
        <v>2673</v>
      </c>
      <c r="B2674" s="1">
        <v>45927</v>
      </c>
      <c r="C2674">
        <v>1739</v>
      </c>
      <c r="D2674" t="s">
        <v>32</v>
      </c>
      <c r="E2674" t="s">
        <v>36</v>
      </c>
      <c r="F2674" t="s">
        <v>17</v>
      </c>
      <c r="G2674">
        <v>3</v>
      </c>
      <c r="H2674">
        <v>0</v>
      </c>
      <c r="I2674" t="s">
        <v>35</v>
      </c>
      <c r="J2674" t="s">
        <v>31</v>
      </c>
      <c r="K2674" t="s">
        <v>26</v>
      </c>
      <c r="L2674">
        <v>9</v>
      </c>
      <c r="M2674">
        <v>0</v>
      </c>
      <c r="N2674">
        <v>0</v>
      </c>
      <c r="O2674" t="s">
        <v>21</v>
      </c>
      <c r="P2674" t="str">
        <f>TEXT(Table1[[#This Row],[order_date]],"yyyy-mm")</f>
        <v>2025-09</v>
      </c>
      <c r="Q2674">
        <f>WEEKNUM(Table1[[#This Row],[order_date]])</f>
        <v>39</v>
      </c>
      <c r="R2674">
        <f>IF(Table1[[#This Row],[order_status]]="completed",1,0)</f>
        <v>0</v>
      </c>
    </row>
    <row r="2675" spans="1:18" x14ac:dyDescent="0.35">
      <c r="A2675">
        <v>2674</v>
      </c>
      <c r="B2675" s="1">
        <v>45981</v>
      </c>
      <c r="C2675">
        <v>1474</v>
      </c>
      <c r="D2675" t="s">
        <v>28</v>
      </c>
      <c r="E2675" t="s">
        <v>33</v>
      </c>
      <c r="F2675" t="s">
        <v>34</v>
      </c>
      <c r="G2675">
        <v>1</v>
      </c>
      <c r="H2675">
        <v>0</v>
      </c>
      <c r="I2675" t="s">
        <v>35</v>
      </c>
      <c r="J2675" t="s">
        <v>37</v>
      </c>
      <c r="K2675" t="s">
        <v>40</v>
      </c>
      <c r="L2675">
        <v>10</v>
      </c>
      <c r="M2675">
        <v>0</v>
      </c>
      <c r="N2675">
        <v>0</v>
      </c>
      <c r="O2675" t="s">
        <v>21</v>
      </c>
      <c r="P2675" t="str">
        <f>TEXT(Table1[[#This Row],[order_date]],"yyyy-mm")</f>
        <v>2025-11</v>
      </c>
      <c r="Q2675">
        <f>WEEKNUM(Table1[[#This Row],[order_date]])</f>
        <v>47</v>
      </c>
      <c r="R2675">
        <f>IF(Table1[[#This Row],[order_status]]="completed",1,0)</f>
        <v>0</v>
      </c>
    </row>
    <row r="2676" spans="1:18" x14ac:dyDescent="0.35">
      <c r="A2676">
        <v>2675</v>
      </c>
      <c r="B2676" s="1">
        <v>46012</v>
      </c>
      <c r="C2676">
        <v>1386</v>
      </c>
      <c r="D2676" t="s">
        <v>41</v>
      </c>
      <c r="E2676" t="s">
        <v>29</v>
      </c>
      <c r="F2676" t="s">
        <v>34</v>
      </c>
      <c r="G2676">
        <v>3</v>
      </c>
      <c r="H2676">
        <v>13782</v>
      </c>
      <c r="I2676" t="s">
        <v>35</v>
      </c>
      <c r="J2676" t="s">
        <v>19</v>
      </c>
      <c r="K2676" t="s">
        <v>38</v>
      </c>
      <c r="L2676">
        <v>4</v>
      </c>
      <c r="M2676">
        <v>0</v>
      </c>
      <c r="N2676">
        <v>1</v>
      </c>
      <c r="O2676" t="s">
        <v>27</v>
      </c>
      <c r="P2676" t="str">
        <f>TEXT(Table1[[#This Row],[order_date]],"yyyy-mm")</f>
        <v>2025-12</v>
      </c>
      <c r="Q2676">
        <f>WEEKNUM(Table1[[#This Row],[order_date]])</f>
        <v>52</v>
      </c>
      <c r="R2676">
        <f>IF(Table1[[#This Row],[order_status]]="completed",1,0)</f>
        <v>1</v>
      </c>
    </row>
    <row r="2677" spans="1:18" x14ac:dyDescent="0.35">
      <c r="A2677">
        <v>2676</v>
      </c>
      <c r="B2677" s="1">
        <v>46008</v>
      </c>
      <c r="C2677">
        <v>1407</v>
      </c>
      <c r="D2677" t="s">
        <v>28</v>
      </c>
      <c r="E2677" t="s">
        <v>23</v>
      </c>
      <c r="F2677" t="s">
        <v>30</v>
      </c>
      <c r="G2677">
        <v>4</v>
      </c>
      <c r="H2677">
        <v>0</v>
      </c>
      <c r="I2677" t="s">
        <v>39</v>
      </c>
      <c r="J2677" t="s">
        <v>31</v>
      </c>
      <c r="K2677" t="s">
        <v>38</v>
      </c>
      <c r="L2677">
        <v>5</v>
      </c>
      <c r="M2677">
        <v>1</v>
      </c>
      <c r="N2677">
        <v>0</v>
      </c>
      <c r="O2677" t="s">
        <v>21</v>
      </c>
      <c r="P2677" t="str">
        <f>TEXT(Table1[[#This Row],[order_date]],"yyyy-mm")</f>
        <v>2025-12</v>
      </c>
      <c r="Q2677">
        <f>WEEKNUM(Table1[[#This Row],[order_date]])</f>
        <v>51</v>
      </c>
      <c r="R2677">
        <f>IF(Table1[[#This Row],[order_status]]="completed",1,0)</f>
        <v>0</v>
      </c>
    </row>
    <row r="2678" spans="1:18" x14ac:dyDescent="0.35">
      <c r="A2678">
        <v>2677</v>
      </c>
      <c r="B2678" s="1">
        <v>45981</v>
      </c>
      <c r="C2678">
        <v>1044</v>
      </c>
      <c r="D2678" t="s">
        <v>32</v>
      </c>
      <c r="E2678" t="s">
        <v>29</v>
      </c>
      <c r="F2678" t="s">
        <v>34</v>
      </c>
      <c r="G2678">
        <v>1</v>
      </c>
      <c r="H2678">
        <v>0</v>
      </c>
      <c r="I2678" t="s">
        <v>18</v>
      </c>
      <c r="J2678" t="s">
        <v>37</v>
      </c>
      <c r="K2678" t="s">
        <v>26</v>
      </c>
      <c r="L2678">
        <v>10</v>
      </c>
      <c r="M2678">
        <v>1</v>
      </c>
      <c r="N2678">
        <v>0</v>
      </c>
      <c r="O2678" t="s">
        <v>21</v>
      </c>
      <c r="P2678" t="str">
        <f>TEXT(Table1[[#This Row],[order_date]],"yyyy-mm")</f>
        <v>2025-11</v>
      </c>
      <c r="Q2678">
        <f>WEEKNUM(Table1[[#This Row],[order_date]])</f>
        <v>47</v>
      </c>
      <c r="R2678">
        <f>IF(Table1[[#This Row],[order_status]]="completed",1,0)</f>
        <v>0</v>
      </c>
    </row>
    <row r="2679" spans="1:18" x14ac:dyDescent="0.35">
      <c r="A2679">
        <v>2678</v>
      </c>
      <c r="B2679" s="1">
        <v>45921</v>
      </c>
      <c r="C2679">
        <v>1067</v>
      </c>
      <c r="D2679" t="s">
        <v>32</v>
      </c>
      <c r="E2679" t="s">
        <v>36</v>
      </c>
      <c r="F2679" t="s">
        <v>30</v>
      </c>
      <c r="G2679">
        <v>2</v>
      </c>
      <c r="H2679">
        <v>4704</v>
      </c>
      <c r="I2679" t="s">
        <v>39</v>
      </c>
      <c r="J2679" t="s">
        <v>19</v>
      </c>
      <c r="K2679" t="s">
        <v>20</v>
      </c>
      <c r="L2679">
        <v>2</v>
      </c>
      <c r="M2679">
        <v>0</v>
      </c>
      <c r="N2679">
        <v>0</v>
      </c>
      <c r="O2679" t="s">
        <v>27</v>
      </c>
      <c r="P2679" t="str">
        <f>TEXT(Table1[[#This Row],[order_date]],"yyyy-mm")</f>
        <v>2025-09</v>
      </c>
      <c r="Q2679">
        <f>WEEKNUM(Table1[[#This Row],[order_date]])</f>
        <v>39</v>
      </c>
      <c r="R2679">
        <f>IF(Table1[[#This Row],[order_status]]="completed",1,0)</f>
        <v>1</v>
      </c>
    </row>
    <row r="2680" spans="1:18" x14ac:dyDescent="0.35">
      <c r="A2680">
        <v>2679</v>
      </c>
      <c r="B2680" s="1">
        <v>45974</v>
      </c>
      <c r="C2680">
        <v>1212</v>
      </c>
      <c r="D2680" t="s">
        <v>28</v>
      </c>
      <c r="E2680" t="s">
        <v>23</v>
      </c>
      <c r="F2680" t="s">
        <v>30</v>
      </c>
      <c r="G2680">
        <v>4</v>
      </c>
      <c r="H2680">
        <v>7336</v>
      </c>
      <c r="I2680" t="s">
        <v>25</v>
      </c>
      <c r="J2680" t="s">
        <v>19</v>
      </c>
      <c r="K2680" t="s">
        <v>40</v>
      </c>
      <c r="L2680">
        <v>8</v>
      </c>
      <c r="M2680">
        <v>1</v>
      </c>
      <c r="N2680">
        <v>1</v>
      </c>
      <c r="O2680" t="s">
        <v>27</v>
      </c>
      <c r="P2680" t="str">
        <f>TEXT(Table1[[#This Row],[order_date]],"yyyy-mm")</f>
        <v>2025-11</v>
      </c>
      <c r="Q2680">
        <f>WEEKNUM(Table1[[#This Row],[order_date]])</f>
        <v>46</v>
      </c>
      <c r="R2680">
        <f>IF(Table1[[#This Row],[order_status]]="completed",1,0)</f>
        <v>1</v>
      </c>
    </row>
    <row r="2681" spans="1:18" x14ac:dyDescent="0.35">
      <c r="A2681">
        <v>2680</v>
      </c>
      <c r="B2681" s="1">
        <v>45944</v>
      </c>
      <c r="C2681">
        <v>1389</v>
      </c>
      <c r="D2681" t="s">
        <v>32</v>
      </c>
      <c r="E2681" t="s">
        <v>36</v>
      </c>
      <c r="F2681" t="s">
        <v>17</v>
      </c>
      <c r="G2681">
        <v>2</v>
      </c>
      <c r="H2681">
        <v>3370</v>
      </c>
      <c r="I2681" t="s">
        <v>39</v>
      </c>
      <c r="J2681" t="s">
        <v>19</v>
      </c>
      <c r="K2681" t="s">
        <v>20</v>
      </c>
      <c r="L2681">
        <v>1</v>
      </c>
      <c r="M2681">
        <v>0</v>
      </c>
      <c r="N2681">
        <v>1</v>
      </c>
      <c r="O2681" t="s">
        <v>27</v>
      </c>
      <c r="P2681" t="str">
        <f>TEXT(Table1[[#This Row],[order_date]],"yyyy-mm")</f>
        <v>2025-10</v>
      </c>
      <c r="Q2681">
        <f>WEEKNUM(Table1[[#This Row],[order_date]])</f>
        <v>42</v>
      </c>
      <c r="R2681">
        <f>IF(Table1[[#This Row],[order_status]]="completed",1,0)</f>
        <v>1</v>
      </c>
    </row>
    <row r="2682" spans="1:18" x14ac:dyDescent="0.35">
      <c r="A2682">
        <v>2681</v>
      </c>
      <c r="B2682" s="1">
        <v>46020</v>
      </c>
      <c r="C2682">
        <v>1052</v>
      </c>
      <c r="D2682" t="s">
        <v>22</v>
      </c>
      <c r="E2682" t="s">
        <v>16</v>
      </c>
      <c r="F2682" t="s">
        <v>17</v>
      </c>
      <c r="G2682">
        <v>3</v>
      </c>
      <c r="H2682">
        <v>0</v>
      </c>
      <c r="I2682" t="s">
        <v>25</v>
      </c>
      <c r="J2682" t="s">
        <v>31</v>
      </c>
      <c r="K2682" t="s">
        <v>26</v>
      </c>
      <c r="L2682">
        <v>9</v>
      </c>
      <c r="M2682">
        <v>0</v>
      </c>
      <c r="N2682">
        <v>0</v>
      </c>
      <c r="O2682" t="s">
        <v>21</v>
      </c>
      <c r="P2682" t="str">
        <f>TEXT(Table1[[#This Row],[order_date]],"yyyy-mm")</f>
        <v>2025-12</v>
      </c>
      <c r="Q2682">
        <f>WEEKNUM(Table1[[#This Row],[order_date]])</f>
        <v>53</v>
      </c>
      <c r="R2682">
        <f>IF(Table1[[#This Row],[order_status]]="completed",1,0)</f>
        <v>0</v>
      </c>
    </row>
    <row r="2683" spans="1:18" x14ac:dyDescent="0.35">
      <c r="A2683">
        <v>2682</v>
      </c>
      <c r="B2683" s="1">
        <v>45970</v>
      </c>
      <c r="C2683">
        <v>1427</v>
      </c>
      <c r="D2683" t="s">
        <v>41</v>
      </c>
      <c r="E2683" t="s">
        <v>16</v>
      </c>
      <c r="F2683" t="s">
        <v>34</v>
      </c>
      <c r="G2683">
        <v>4</v>
      </c>
      <c r="H2683">
        <v>0</v>
      </c>
      <c r="I2683" t="s">
        <v>35</v>
      </c>
      <c r="J2683" t="s">
        <v>31</v>
      </c>
      <c r="K2683" t="s">
        <v>40</v>
      </c>
      <c r="L2683">
        <v>3</v>
      </c>
      <c r="M2683">
        <v>0</v>
      </c>
      <c r="N2683">
        <v>1</v>
      </c>
      <c r="O2683" t="s">
        <v>27</v>
      </c>
      <c r="P2683" t="str">
        <f>TEXT(Table1[[#This Row],[order_date]],"yyyy-mm")</f>
        <v>2025-11</v>
      </c>
      <c r="Q2683">
        <f>WEEKNUM(Table1[[#This Row],[order_date]])</f>
        <v>46</v>
      </c>
      <c r="R2683">
        <f>IF(Table1[[#This Row],[order_status]]="completed",1,0)</f>
        <v>0</v>
      </c>
    </row>
    <row r="2684" spans="1:18" x14ac:dyDescent="0.35">
      <c r="A2684">
        <v>2683</v>
      </c>
      <c r="B2684" s="1">
        <v>45893</v>
      </c>
      <c r="C2684">
        <v>1035</v>
      </c>
      <c r="D2684" t="s">
        <v>32</v>
      </c>
      <c r="E2684" t="s">
        <v>36</v>
      </c>
      <c r="F2684" t="s">
        <v>34</v>
      </c>
      <c r="G2684">
        <v>5</v>
      </c>
      <c r="H2684">
        <v>0</v>
      </c>
      <c r="I2684" t="s">
        <v>35</v>
      </c>
      <c r="J2684" t="s">
        <v>31</v>
      </c>
      <c r="K2684" t="s">
        <v>40</v>
      </c>
      <c r="L2684">
        <v>10</v>
      </c>
      <c r="M2684">
        <v>1</v>
      </c>
      <c r="N2684">
        <v>1</v>
      </c>
      <c r="O2684" t="s">
        <v>21</v>
      </c>
      <c r="P2684" t="str">
        <f>TEXT(Table1[[#This Row],[order_date]],"yyyy-mm")</f>
        <v>2025-08</v>
      </c>
      <c r="Q2684">
        <f>WEEKNUM(Table1[[#This Row],[order_date]])</f>
        <v>35</v>
      </c>
      <c r="R2684">
        <f>IF(Table1[[#This Row],[order_status]]="completed",1,0)</f>
        <v>0</v>
      </c>
    </row>
    <row r="2685" spans="1:18" x14ac:dyDescent="0.35">
      <c r="A2685">
        <v>2684</v>
      </c>
      <c r="B2685" s="1">
        <v>45916</v>
      </c>
      <c r="C2685">
        <v>1578</v>
      </c>
      <c r="D2685" t="s">
        <v>15</v>
      </c>
      <c r="E2685" t="s">
        <v>23</v>
      </c>
      <c r="F2685" t="s">
        <v>34</v>
      </c>
      <c r="G2685">
        <v>5</v>
      </c>
      <c r="H2685">
        <v>13410</v>
      </c>
      <c r="I2685" t="s">
        <v>35</v>
      </c>
      <c r="J2685" t="s">
        <v>19</v>
      </c>
      <c r="K2685" t="s">
        <v>40</v>
      </c>
      <c r="L2685">
        <v>6</v>
      </c>
      <c r="M2685">
        <v>1</v>
      </c>
      <c r="N2685">
        <v>1</v>
      </c>
      <c r="O2685" t="s">
        <v>27</v>
      </c>
      <c r="P2685" t="str">
        <f>TEXT(Table1[[#This Row],[order_date]],"yyyy-mm")</f>
        <v>2025-09</v>
      </c>
      <c r="Q2685">
        <f>WEEKNUM(Table1[[#This Row],[order_date]])</f>
        <v>38</v>
      </c>
      <c r="R2685">
        <f>IF(Table1[[#This Row],[order_status]]="completed",1,0)</f>
        <v>1</v>
      </c>
    </row>
    <row r="2686" spans="1:18" x14ac:dyDescent="0.35">
      <c r="A2686">
        <v>2685</v>
      </c>
      <c r="B2686" s="1">
        <v>45925</v>
      </c>
      <c r="C2686">
        <v>1247</v>
      </c>
      <c r="D2686" t="s">
        <v>28</v>
      </c>
      <c r="E2686" t="s">
        <v>33</v>
      </c>
      <c r="F2686" t="s">
        <v>24</v>
      </c>
      <c r="G2686">
        <v>5</v>
      </c>
      <c r="H2686">
        <v>0</v>
      </c>
      <c r="I2686" t="s">
        <v>35</v>
      </c>
      <c r="J2686" t="s">
        <v>31</v>
      </c>
      <c r="K2686" t="s">
        <v>26</v>
      </c>
      <c r="L2686">
        <v>4</v>
      </c>
      <c r="M2686">
        <v>1</v>
      </c>
      <c r="N2686">
        <v>0</v>
      </c>
      <c r="O2686" t="s">
        <v>27</v>
      </c>
      <c r="P2686" t="str">
        <f>TEXT(Table1[[#This Row],[order_date]],"yyyy-mm")</f>
        <v>2025-09</v>
      </c>
      <c r="Q2686">
        <f>WEEKNUM(Table1[[#This Row],[order_date]])</f>
        <v>39</v>
      </c>
      <c r="R2686">
        <f>IF(Table1[[#This Row],[order_status]]="completed",1,0)</f>
        <v>0</v>
      </c>
    </row>
    <row r="2687" spans="1:18" x14ac:dyDescent="0.35">
      <c r="A2687">
        <v>2686</v>
      </c>
      <c r="B2687" s="1">
        <v>45932</v>
      </c>
      <c r="C2687">
        <v>1746</v>
      </c>
      <c r="D2687" t="s">
        <v>28</v>
      </c>
      <c r="E2687" t="s">
        <v>29</v>
      </c>
      <c r="F2687" t="s">
        <v>34</v>
      </c>
      <c r="G2687">
        <v>4</v>
      </c>
      <c r="H2687">
        <v>8348</v>
      </c>
      <c r="I2687" t="s">
        <v>35</v>
      </c>
      <c r="J2687" t="s">
        <v>19</v>
      </c>
      <c r="K2687" t="s">
        <v>40</v>
      </c>
      <c r="L2687">
        <v>6</v>
      </c>
      <c r="M2687">
        <v>1</v>
      </c>
      <c r="N2687">
        <v>1</v>
      </c>
      <c r="O2687" t="s">
        <v>21</v>
      </c>
      <c r="P2687" t="str">
        <f>TEXT(Table1[[#This Row],[order_date]],"yyyy-mm")</f>
        <v>2025-10</v>
      </c>
      <c r="Q2687">
        <f>WEEKNUM(Table1[[#This Row],[order_date]])</f>
        <v>40</v>
      </c>
      <c r="R2687">
        <f>IF(Table1[[#This Row],[order_status]]="completed",1,0)</f>
        <v>1</v>
      </c>
    </row>
    <row r="2688" spans="1:18" x14ac:dyDescent="0.35">
      <c r="A2688">
        <v>2687</v>
      </c>
      <c r="B2688" s="1">
        <v>46013</v>
      </c>
      <c r="C2688">
        <v>1223</v>
      </c>
      <c r="D2688" t="s">
        <v>15</v>
      </c>
      <c r="E2688" t="s">
        <v>36</v>
      </c>
      <c r="F2688" t="s">
        <v>17</v>
      </c>
      <c r="G2688">
        <v>4</v>
      </c>
      <c r="H2688">
        <v>4584</v>
      </c>
      <c r="I2688" t="s">
        <v>18</v>
      </c>
      <c r="J2688" t="s">
        <v>19</v>
      </c>
      <c r="K2688" t="s">
        <v>20</v>
      </c>
      <c r="L2688">
        <v>8</v>
      </c>
      <c r="M2688">
        <v>1</v>
      </c>
      <c r="N2688">
        <v>0</v>
      </c>
      <c r="O2688" t="s">
        <v>21</v>
      </c>
      <c r="P2688" t="str">
        <f>TEXT(Table1[[#This Row],[order_date]],"yyyy-mm")</f>
        <v>2025-12</v>
      </c>
      <c r="Q2688">
        <f>WEEKNUM(Table1[[#This Row],[order_date]])</f>
        <v>52</v>
      </c>
      <c r="R2688">
        <f>IF(Table1[[#This Row],[order_status]]="completed",1,0)</f>
        <v>1</v>
      </c>
    </row>
    <row r="2689" spans="1:18" x14ac:dyDescent="0.35">
      <c r="A2689">
        <v>2688</v>
      </c>
      <c r="B2689" s="1">
        <v>46027</v>
      </c>
      <c r="C2689">
        <v>1163</v>
      </c>
      <c r="D2689" t="s">
        <v>41</v>
      </c>
      <c r="E2689" t="s">
        <v>16</v>
      </c>
      <c r="F2689" t="s">
        <v>24</v>
      </c>
      <c r="G2689">
        <v>3</v>
      </c>
      <c r="H2689">
        <v>0</v>
      </c>
      <c r="I2689" t="s">
        <v>39</v>
      </c>
      <c r="J2689" t="s">
        <v>31</v>
      </c>
      <c r="K2689" t="s">
        <v>38</v>
      </c>
      <c r="L2689">
        <v>3</v>
      </c>
      <c r="M2689">
        <v>1</v>
      </c>
      <c r="N2689">
        <v>1</v>
      </c>
      <c r="O2689" t="s">
        <v>27</v>
      </c>
      <c r="P2689" t="str">
        <f>TEXT(Table1[[#This Row],[order_date]],"yyyy-mm")</f>
        <v>2026-01</v>
      </c>
      <c r="Q2689">
        <f>WEEKNUM(Table1[[#This Row],[order_date]])</f>
        <v>2</v>
      </c>
      <c r="R2689">
        <f>IF(Table1[[#This Row],[order_status]]="completed",1,0)</f>
        <v>0</v>
      </c>
    </row>
    <row r="2690" spans="1:18" x14ac:dyDescent="0.35">
      <c r="A2690">
        <v>2689</v>
      </c>
      <c r="B2690" s="1">
        <v>45951</v>
      </c>
      <c r="C2690">
        <v>1367</v>
      </c>
      <c r="D2690" t="s">
        <v>28</v>
      </c>
      <c r="E2690" t="s">
        <v>29</v>
      </c>
      <c r="F2690" t="s">
        <v>34</v>
      </c>
      <c r="G2690">
        <v>3</v>
      </c>
      <c r="H2690">
        <v>0</v>
      </c>
      <c r="I2690" t="s">
        <v>18</v>
      </c>
      <c r="J2690" t="s">
        <v>37</v>
      </c>
      <c r="K2690" t="s">
        <v>38</v>
      </c>
      <c r="L2690">
        <v>1</v>
      </c>
      <c r="M2690">
        <v>1</v>
      </c>
      <c r="N2690">
        <v>0</v>
      </c>
      <c r="O2690" t="s">
        <v>27</v>
      </c>
      <c r="P2690" t="str">
        <f>TEXT(Table1[[#This Row],[order_date]],"yyyy-mm")</f>
        <v>2025-10</v>
      </c>
      <c r="Q2690">
        <f>WEEKNUM(Table1[[#This Row],[order_date]])</f>
        <v>43</v>
      </c>
      <c r="R2690">
        <f>IF(Table1[[#This Row],[order_status]]="completed",1,0)</f>
        <v>0</v>
      </c>
    </row>
    <row r="2691" spans="1:18" x14ac:dyDescent="0.35">
      <c r="A2691">
        <v>2690</v>
      </c>
      <c r="B2691" s="1">
        <v>45926</v>
      </c>
      <c r="C2691">
        <v>1859</v>
      </c>
      <c r="D2691" t="s">
        <v>32</v>
      </c>
      <c r="E2691" t="s">
        <v>29</v>
      </c>
      <c r="F2691" t="s">
        <v>34</v>
      </c>
      <c r="G2691">
        <v>3</v>
      </c>
      <c r="H2691">
        <v>0</v>
      </c>
      <c r="I2691" t="s">
        <v>35</v>
      </c>
      <c r="J2691" t="s">
        <v>37</v>
      </c>
      <c r="K2691" t="s">
        <v>26</v>
      </c>
      <c r="L2691">
        <v>4</v>
      </c>
      <c r="M2691">
        <v>1</v>
      </c>
      <c r="N2691">
        <v>1</v>
      </c>
      <c r="O2691" t="s">
        <v>27</v>
      </c>
      <c r="P2691" t="str">
        <f>TEXT(Table1[[#This Row],[order_date]],"yyyy-mm")</f>
        <v>2025-09</v>
      </c>
      <c r="Q2691">
        <f>WEEKNUM(Table1[[#This Row],[order_date]])</f>
        <v>39</v>
      </c>
      <c r="R2691">
        <f>IF(Table1[[#This Row],[order_status]]="completed",1,0)</f>
        <v>0</v>
      </c>
    </row>
    <row r="2692" spans="1:18" x14ac:dyDescent="0.35">
      <c r="A2692">
        <v>2691</v>
      </c>
      <c r="B2692" s="1">
        <v>45872</v>
      </c>
      <c r="C2692">
        <v>1230</v>
      </c>
      <c r="D2692" t="s">
        <v>32</v>
      </c>
      <c r="E2692" t="s">
        <v>33</v>
      </c>
      <c r="F2692" t="s">
        <v>30</v>
      </c>
      <c r="G2692">
        <v>5</v>
      </c>
      <c r="H2692">
        <v>0</v>
      </c>
      <c r="I2692" t="s">
        <v>39</v>
      </c>
      <c r="J2692" t="s">
        <v>37</v>
      </c>
      <c r="K2692" t="s">
        <v>40</v>
      </c>
      <c r="L2692">
        <v>2</v>
      </c>
      <c r="M2692">
        <v>1</v>
      </c>
      <c r="N2692">
        <v>1</v>
      </c>
      <c r="O2692" t="s">
        <v>27</v>
      </c>
      <c r="P2692" t="str">
        <f>TEXT(Table1[[#This Row],[order_date]],"yyyy-mm")</f>
        <v>2025-08</v>
      </c>
      <c r="Q2692">
        <f>WEEKNUM(Table1[[#This Row],[order_date]])</f>
        <v>32</v>
      </c>
      <c r="R2692">
        <f>IF(Table1[[#This Row],[order_status]]="completed",1,0)</f>
        <v>0</v>
      </c>
    </row>
    <row r="2693" spans="1:18" x14ac:dyDescent="0.35">
      <c r="A2693">
        <v>2692</v>
      </c>
      <c r="B2693" s="1">
        <v>45908</v>
      </c>
      <c r="C2693">
        <v>1455</v>
      </c>
      <c r="D2693" t="s">
        <v>15</v>
      </c>
      <c r="E2693" t="s">
        <v>29</v>
      </c>
      <c r="F2693" t="s">
        <v>30</v>
      </c>
      <c r="G2693">
        <v>4</v>
      </c>
      <c r="H2693">
        <v>0</v>
      </c>
      <c r="I2693" t="s">
        <v>25</v>
      </c>
      <c r="J2693" t="s">
        <v>37</v>
      </c>
      <c r="K2693" t="s">
        <v>26</v>
      </c>
      <c r="L2693">
        <v>6</v>
      </c>
      <c r="M2693">
        <v>1</v>
      </c>
      <c r="N2693">
        <v>0</v>
      </c>
      <c r="O2693" t="s">
        <v>27</v>
      </c>
      <c r="P2693" t="str">
        <f>TEXT(Table1[[#This Row],[order_date]],"yyyy-mm")</f>
        <v>2025-09</v>
      </c>
      <c r="Q2693">
        <f>WEEKNUM(Table1[[#This Row],[order_date]])</f>
        <v>37</v>
      </c>
      <c r="R2693">
        <f>IF(Table1[[#This Row],[order_status]]="completed",1,0)</f>
        <v>0</v>
      </c>
    </row>
    <row r="2694" spans="1:18" x14ac:dyDescent="0.35">
      <c r="A2694">
        <v>2693</v>
      </c>
      <c r="B2694" s="1">
        <v>45866</v>
      </c>
      <c r="C2694">
        <v>1736</v>
      </c>
      <c r="D2694" t="s">
        <v>41</v>
      </c>
      <c r="E2694" t="s">
        <v>29</v>
      </c>
      <c r="F2694" t="s">
        <v>24</v>
      </c>
      <c r="G2694">
        <v>4</v>
      </c>
      <c r="H2694">
        <v>4120</v>
      </c>
      <c r="I2694" t="s">
        <v>35</v>
      </c>
      <c r="J2694" t="s">
        <v>19</v>
      </c>
      <c r="K2694" t="s">
        <v>20</v>
      </c>
      <c r="L2694">
        <v>5</v>
      </c>
      <c r="M2694">
        <v>1</v>
      </c>
      <c r="N2694">
        <v>0</v>
      </c>
      <c r="O2694" t="s">
        <v>27</v>
      </c>
      <c r="P2694" t="str">
        <f>TEXT(Table1[[#This Row],[order_date]],"yyyy-mm")</f>
        <v>2025-07</v>
      </c>
      <c r="Q2694">
        <f>WEEKNUM(Table1[[#This Row],[order_date]])</f>
        <v>31</v>
      </c>
      <c r="R2694">
        <f>IF(Table1[[#This Row],[order_status]]="completed",1,0)</f>
        <v>1</v>
      </c>
    </row>
    <row r="2695" spans="1:18" x14ac:dyDescent="0.35">
      <c r="A2695">
        <v>2694</v>
      </c>
      <c r="B2695" s="1">
        <v>45880</v>
      </c>
      <c r="C2695">
        <v>1683</v>
      </c>
      <c r="D2695" t="s">
        <v>22</v>
      </c>
      <c r="E2695" t="s">
        <v>33</v>
      </c>
      <c r="F2695" t="s">
        <v>17</v>
      </c>
      <c r="G2695">
        <v>3</v>
      </c>
      <c r="H2695">
        <v>2835</v>
      </c>
      <c r="I2695" t="s">
        <v>25</v>
      </c>
      <c r="J2695" t="s">
        <v>19</v>
      </c>
      <c r="K2695" t="s">
        <v>40</v>
      </c>
      <c r="L2695">
        <v>5</v>
      </c>
      <c r="M2695">
        <v>1</v>
      </c>
      <c r="N2695">
        <v>1</v>
      </c>
      <c r="O2695" t="s">
        <v>21</v>
      </c>
      <c r="P2695" t="str">
        <f>TEXT(Table1[[#This Row],[order_date]],"yyyy-mm")</f>
        <v>2025-08</v>
      </c>
      <c r="Q2695">
        <f>WEEKNUM(Table1[[#This Row],[order_date]])</f>
        <v>33</v>
      </c>
      <c r="R2695">
        <f>IF(Table1[[#This Row],[order_status]]="completed",1,0)</f>
        <v>1</v>
      </c>
    </row>
    <row r="2696" spans="1:18" x14ac:dyDescent="0.35">
      <c r="A2696">
        <v>2695</v>
      </c>
      <c r="B2696" s="1">
        <v>45954</v>
      </c>
      <c r="C2696">
        <v>1096</v>
      </c>
      <c r="D2696" t="s">
        <v>28</v>
      </c>
      <c r="E2696" t="s">
        <v>33</v>
      </c>
      <c r="F2696" t="s">
        <v>17</v>
      </c>
      <c r="G2696">
        <v>4</v>
      </c>
      <c r="H2696">
        <v>13304</v>
      </c>
      <c r="I2696" t="s">
        <v>25</v>
      </c>
      <c r="J2696" t="s">
        <v>19</v>
      </c>
      <c r="K2696" t="s">
        <v>38</v>
      </c>
      <c r="L2696">
        <v>1</v>
      </c>
      <c r="M2696">
        <v>1</v>
      </c>
      <c r="N2696">
        <v>1</v>
      </c>
      <c r="O2696" t="s">
        <v>21</v>
      </c>
      <c r="P2696" t="str">
        <f>TEXT(Table1[[#This Row],[order_date]],"yyyy-mm")</f>
        <v>2025-10</v>
      </c>
      <c r="Q2696">
        <f>WEEKNUM(Table1[[#This Row],[order_date]])</f>
        <v>43</v>
      </c>
      <c r="R2696">
        <f>IF(Table1[[#This Row],[order_status]]="completed",1,0)</f>
        <v>1</v>
      </c>
    </row>
    <row r="2697" spans="1:18" x14ac:dyDescent="0.35">
      <c r="A2697">
        <v>2696</v>
      </c>
      <c r="B2697" s="1">
        <v>46002</v>
      </c>
      <c r="C2697">
        <v>1595</v>
      </c>
      <c r="D2697" t="s">
        <v>41</v>
      </c>
      <c r="E2697" t="s">
        <v>23</v>
      </c>
      <c r="F2697" t="s">
        <v>24</v>
      </c>
      <c r="G2697">
        <v>4</v>
      </c>
      <c r="H2697">
        <v>1372</v>
      </c>
      <c r="I2697" t="s">
        <v>35</v>
      </c>
      <c r="J2697" t="s">
        <v>19</v>
      </c>
      <c r="K2697" t="s">
        <v>40</v>
      </c>
      <c r="L2697">
        <v>7</v>
      </c>
      <c r="M2697">
        <v>1</v>
      </c>
      <c r="N2697">
        <v>1</v>
      </c>
      <c r="O2697" t="s">
        <v>27</v>
      </c>
      <c r="P2697" t="str">
        <f>TEXT(Table1[[#This Row],[order_date]],"yyyy-mm")</f>
        <v>2025-12</v>
      </c>
      <c r="Q2697">
        <f>WEEKNUM(Table1[[#This Row],[order_date]])</f>
        <v>50</v>
      </c>
      <c r="R2697">
        <f>IF(Table1[[#This Row],[order_status]]="completed",1,0)</f>
        <v>1</v>
      </c>
    </row>
    <row r="2698" spans="1:18" x14ac:dyDescent="0.35">
      <c r="A2698">
        <v>2697</v>
      </c>
      <c r="B2698" s="1">
        <v>46001</v>
      </c>
      <c r="C2698">
        <v>1672</v>
      </c>
      <c r="D2698" t="s">
        <v>28</v>
      </c>
      <c r="E2698" t="s">
        <v>29</v>
      </c>
      <c r="F2698" t="s">
        <v>30</v>
      </c>
      <c r="G2698">
        <v>3</v>
      </c>
      <c r="H2698">
        <v>4380</v>
      </c>
      <c r="I2698" t="s">
        <v>25</v>
      </c>
      <c r="J2698" t="s">
        <v>19</v>
      </c>
      <c r="K2698" t="s">
        <v>20</v>
      </c>
      <c r="L2698">
        <v>4</v>
      </c>
      <c r="M2698">
        <v>0</v>
      </c>
      <c r="N2698">
        <v>1</v>
      </c>
      <c r="O2698" t="s">
        <v>21</v>
      </c>
      <c r="P2698" t="str">
        <f>TEXT(Table1[[#This Row],[order_date]],"yyyy-mm")</f>
        <v>2025-12</v>
      </c>
      <c r="Q2698">
        <f>WEEKNUM(Table1[[#This Row],[order_date]])</f>
        <v>50</v>
      </c>
      <c r="R2698">
        <f>IF(Table1[[#This Row],[order_status]]="completed",1,0)</f>
        <v>1</v>
      </c>
    </row>
    <row r="2699" spans="1:18" x14ac:dyDescent="0.35">
      <c r="A2699">
        <v>2698</v>
      </c>
      <c r="B2699" s="1">
        <v>45921</v>
      </c>
      <c r="C2699">
        <v>1090</v>
      </c>
      <c r="D2699" t="s">
        <v>28</v>
      </c>
      <c r="E2699" t="s">
        <v>33</v>
      </c>
      <c r="F2699" t="s">
        <v>24</v>
      </c>
      <c r="G2699">
        <v>1</v>
      </c>
      <c r="H2699">
        <v>0</v>
      </c>
      <c r="I2699" t="s">
        <v>18</v>
      </c>
      <c r="J2699" t="s">
        <v>31</v>
      </c>
      <c r="K2699" t="s">
        <v>26</v>
      </c>
      <c r="L2699">
        <v>10</v>
      </c>
      <c r="M2699">
        <v>0</v>
      </c>
      <c r="N2699">
        <v>1</v>
      </c>
      <c r="O2699" t="s">
        <v>21</v>
      </c>
      <c r="P2699" t="str">
        <f>TEXT(Table1[[#This Row],[order_date]],"yyyy-mm")</f>
        <v>2025-09</v>
      </c>
      <c r="Q2699">
        <f>WEEKNUM(Table1[[#This Row],[order_date]])</f>
        <v>39</v>
      </c>
      <c r="R2699">
        <f>IF(Table1[[#This Row],[order_status]]="completed",1,0)</f>
        <v>0</v>
      </c>
    </row>
    <row r="2700" spans="1:18" x14ac:dyDescent="0.35">
      <c r="A2700">
        <v>2699</v>
      </c>
      <c r="B2700" s="1">
        <v>45919</v>
      </c>
      <c r="C2700">
        <v>1567</v>
      </c>
      <c r="D2700" t="s">
        <v>41</v>
      </c>
      <c r="E2700" t="s">
        <v>36</v>
      </c>
      <c r="F2700" t="s">
        <v>24</v>
      </c>
      <c r="G2700">
        <v>5</v>
      </c>
      <c r="H2700">
        <v>0</v>
      </c>
      <c r="I2700" t="s">
        <v>25</v>
      </c>
      <c r="J2700" t="s">
        <v>31</v>
      </c>
      <c r="K2700" t="s">
        <v>20</v>
      </c>
      <c r="L2700">
        <v>1</v>
      </c>
      <c r="M2700">
        <v>1</v>
      </c>
      <c r="N2700">
        <v>0</v>
      </c>
      <c r="O2700" t="s">
        <v>21</v>
      </c>
      <c r="P2700" t="str">
        <f>TEXT(Table1[[#This Row],[order_date]],"yyyy-mm")</f>
        <v>2025-09</v>
      </c>
      <c r="Q2700">
        <f>WEEKNUM(Table1[[#This Row],[order_date]])</f>
        <v>38</v>
      </c>
      <c r="R2700">
        <f>IF(Table1[[#This Row],[order_status]]="completed",1,0)</f>
        <v>0</v>
      </c>
    </row>
    <row r="2701" spans="1:18" x14ac:dyDescent="0.35">
      <c r="A2701">
        <v>2700</v>
      </c>
      <c r="B2701" s="1">
        <v>45989</v>
      </c>
      <c r="C2701">
        <v>1245</v>
      </c>
      <c r="D2701" t="s">
        <v>32</v>
      </c>
      <c r="E2701" t="s">
        <v>16</v>
      </c>
      <c r="F2701" t="s">
        <v>34</v>
      </c>
      <c r="G2701">
        <v>5</v>
      </c>
      <c r="H2701">
        <v>0</v>
      </c>
      <c r="I2701" t="s">
        <v>18</v>
      </c>
      <c r="J2701" t="s">
        <v>37</v>
      </c>
      <c r="K2701" t="s">
        <v>40</v>
      </c>
      <c r="L2701">
        <v>10</v>
      </c>
      <c r="M2701">
        <v>1</v>
      </c>
      <c r="N2701">
        <v>1</v>
      </c>
      <c r="O2701" t="s">
        <v>21</v>
      </c>
      <c r="P2701" t="str">
        <f>TEXT(Table1[[#This Row],[order_date]],"yyyy-mm")</f>
        <v>2025-11</v>
      </c>
      <c r="Q2701">
        <f>WEEKNUM(Table1[[#This Row],[order_date]])</f>
        <v>48</v>
      </c>
      <c r="R2701">
        <f>IF(Table1[[#This Row],[order_status]]="completed",1,0)</f>
        <v>0</v>
      </c>
    </row>
    <row r="2702" spans="1:18" x14ac:dyDescent="0.35">
      <c r="A2702">
        <v>2701</v>
      </c>
      <c r="B2702" s="1">
        <v>45969</v>
      </c>
      <c r="C2702">
        <v>1340</v>
      </c>
      <c r="D2702" t="s">
        <v>41</v>
      </c>
      <c r="E2702" t="s">
        <v>33</v>
      </c>
      <c r="F2702" t="s">
        <v>34</v>
      </c>
      <c r="G2702">
        <v>5</v>
      </c>
      <c r="H2702">
        <v>0</v>
      </c>
      <c r="I2702" t="s">
        <v>39</v>
      </c>
      <c r="J2702" t="s">
        <v>31</v>
      </c>
      <c r="K2702" t="s">
        <v>20</v>
      </c>
      <c r="L2702">
        <v>7</v>
      </c>
      <c r="M2702">
        <v>1</v>
      </c>
      <c r="N2702">
        <v>1</v>
      </c>
      <c r="O2702" t="s">
        <v>27</v>
      </c>
      <c r="P2702" t="str">
        <f>TEXT(Table1[[#This Row],[order_date]],"yyyy-mm")</f>
        <v>2025-11</v>
      </c>
      <c r="Q2702">
        <f>WEEKNUM(Table1[[#This Row],[order_date]])</f>
        <v>45</v>
      </c>
      <c r="R2702">
        <f>IF(Table1[[#This Row],[order_status]]="completed",1,0)</f>
        <v>0</v>
      </c>
    </row>
    <row r="2703" spans="1:18" x14ac:dyDescent="0.35">
      <c r="A2703">
        <v>2702</v>
      </c>
      <c r="B2703" s="1">
        <v>46010</v>
      </c>
      <c r="C2703">
        <v>1749</v>
      </c>
      <c r="D2703" t="s">
        <v>28</v>
      </c>
      <c r="E2703" t="s">
        <v>29</v>
      </c>
      <c r="F2703" t="s">
        <v>17</v>
      </c>
      <c r="G2703">
        <v>1</v>
      </c>
      <c r="H2703">
        <v>728</v>
      </c>
      <c r="I2703" t="s">
        <v>18</v>
      </c>
      <c r="J2703" t="s">
        <v>19</v>
      </c>
      <c r="K2703" t="s">
        <v>20</v>
      </c>
      <c r="L2703">
        <v>3</v>
      </c>
      <c r="M2703">
        <v>0</v>
      </c>
      <c r="N2703">
        <v>0</v>
      </c>
      <c r="O2703" t="s">
        <v>21</v>
      </c>
      <c r="P2703" t="str">
        <f>TEXT(Table1[[#This Row],[order_date]],"yyyy-mm")</f>
        <v>2025-12</v>
      </c>
      <c r="Q2703">
        <f>WEEKNUM(Table1[[#This Row],[order_date]])</f>
        <v>51</v>
      </c>
      <c r="R2703">
        <f>IF(Table1[[#This Row],[order_status]]="completed",1,0)</f>
        <v>1</v>
      </c>
    </row>
    <row r="2704" spans="1:18" x14ac:dyDescent="0.35">
      <c r="A2704">
        <v>2703</v>
      </c>
      <c r="B2704" s="1">
        <v>45880</v>
      </c>
      <c r="C2704">
        <v>1437</v>
      </c>
      <c r="D2704" t="s">
        <v>28</v>
      </c>
      <c r="E2704" t="s">
        <v>16</v>
      </c>
      <c r="F2704" t="s">
        <v>30</v>
      </c>
      <c r="G2704">
        <v>4</v>
      </c>
      <c r="H2704">
        <v>0</v>
      </c>
      <c r="I2704" t="s">
        <v>39</v>
      </c>
      <c r="J2704" t="s">
        <v>37</v>
      </c>
      <c r="K2704" t="s">
        <v>38</v>
      </c>
      <c r="L2704">
        <v>10</v>
      </c>
      <c r="M2704">
        <v>0</v>
      </c>
      <c r="N2704">
        <v>1</v>
      </c>
      <c r="O2704" t="s">
        <v>27</v>
      </c>
      <c r="P2704" t="str">
        <f>TEXT(Table1[[#This Row],[order_date]],"yyyy-mm")</f>
        <v>2025-08</v>
      </c>
      <c r="Q2704">
        <f>WEEKNUM(Table1[[#This Row],[order_date]])</f>
        <v>33</v>
      </c>
      <c r="R2704">
        <f>IF(Table1[[#This Row],[order_status]]="completed",1,0)</f>
        <v>0</v>
      </c>
    </row>
    <row r="2705" spans="1:18" x14ac:dyDescent="0.35">
      <c r="A2705">
        <v>2704</v>
      </c>
      <c r="B2705" s="1">
        <v>45968</v>
      </c>
      <c r="C2705">
        <v>1869</v>
      </c>
      <c r="D2705" t="s">
        <v>28</v>
      </c>
      <c r="E2705" t="s">
        <v>16</v>
      </c>
      <c r="F2705" t="s">
        <v>24</v>
      </c>
      <c r="G2705">
        <v>5</v>
      </c>
      <c r="H2705">
        <v>0</v>
      </c>
      <c r="I2705" t="s">
        <v>25</v>
      </c>
      <c r="J2705" t="s">
        <v>31</v>
      </c>
      <c r="K2705" t="s">
        <v>26</v>
      </c>
      <c r="L2705">
        <v>8</v>
      </c>
      <c r="M2705">
        <v>0</v>
      </c>
      <c r="N2705">
        <v>1</v>
      </c>
      <c r="O2705" t="s">
        <v>21</v>
      </c>
      <c r="P2705" t="str">
        <f>TEXT(Table1[[#This Row],[order_date]],"yyyy-mm")</f>
        <v>2025-11</v>
      </c>
      <c r="Q2705">
        <f>WEEKNUM(Table1[[#This Row],[order_date]])</f>
        <v>45</v>
      </c>
      <c r="R2705">
        <f>IF(Table1[[#This Row],[order_status]]="completed",1,0)</f>
        <v>0</v>
      </c>
    </row>
    <row r="2706" spans="1:18" x14ac:dyDescent="0.35">
      <c r="A2706">
        <v>2705</v>
      </c>
      <c r="B2706" s="1">
        <v>45891</v>
      </c>
      <c r="C2706">
        <v>1239</v>
      </c>
      <c r="D2706" t="s">
        <v>15</v>
      </c>
      <c r="E2706" t="s">
        <v>33</v>
      </c>
      <c r="F2706" t="s">
        <v>30</v>
      </c>
      <c r="G2706">
        <v>4</v>
      </c>
      <c r="H2706">
        <v>8272</v>
      </c>
      <c r="I2706" t="s">
        <v>18</v>
      </c>
      <c r="J2706" t="s">
        <v>19</v>
      </c>
      <c r="K2706" t="s">
        <v>40</v>
      </c>
      <c r="L2706">
        <v>3</v>
      </c>
      <c r="M2706">
        <v>0</v>
      </c>
      <c r="N2706">
        <v>0</v>
      </c>
      <c r="O2706" t="s">
        <v>27</v>
      </c>
      <c r="P2706" t="str">
        <f>TEXT(Table1[[#This Row],[order_date]],"yyyy-mm")</f>
        <v>2025-08</v>
      </c>
      <c r="Q2706">
        <f>WEEKNUM(Table1[[#This Row],[order_date]])</f>
        <v>34</v>
      </c>
      <c r="R2706">
        <f>IF(Table1[[#This Row],[order_status]]="completed",1,0)</f>
        <v>1</v>
      </c>
    </row>
    <row r="2707" spans="1:18" x14ac:dyDescent="0.35">
      <c r="A2707">
        <v>2706</v>
      </c>
      <c r="B2707" s="1">
        <v>45957</v>
      </c>
      <c r="C2707">
        <v>1059</v>
      </c>
      <c r="D2707" t="s">
        <v>32</v>
      </c>
      <c r="E2707" t="s">
        <v>33</v>
      </c>
      <c r="F2707" t="s">
        <v>17</v>
      </c>
      <c r="G2707">
        <v>1</v>
      </c>
      <c r="H2707">
        <v>0</v>
      </c>
      <c r="I2707" t="s">
        <v>18</v>
      </c>
      <c r="J2707" t="s">
        <v>31</v>
      </c>
      <c r="K2707" t="s">
        <v>20</v>
      </c>
      <c r="L2707">
        <v>8</v>
      </c>
      <c r="M2707">
        <v>0</v>
      </c>
      <c r="N2707">
        <v>0</v>
      </c>
      <c r="O2707" t="s">
        <v>27</v>
      </c>
      <c r="P2707" t="str">
        <f>TEXT(Table1[[#This Row],[order_date]],"yyyy-mm")</f>
        <v>2025-10</v>
      </c>
      <c r="Q2707">
        <f>WEEKNUM(Table1[[#This Row],[order_date]])</f>
        <v>44</v>
      </c>
      <c r="R2707">
        <f>IF(Table1[[#This Row],[order_status]]="completed",1,0)</f>
        <v>0</v>
      </c>
    </row>
    <row r="2708" spans="1:18" x14ac:dyDescent="0.35">
      <c r="A2708">
        <v>2707</v>
      </c>
      <c r="B2708" s="1">
        <v>45929</v>
      </c>
      <c r="C2708">
        <v>1737</v>
      </c>
      <c r="D2708" t="s">
        <v>32</v>
      </c>
      <c r="E2708" t="s">
        <v>36</v>
      </c>
      <c r="F2708" t="s">
        <v>17</v>
      </c>
      <c r="G2708">
        <v>5</v>
      </c>
      <c r="H2708">
        <v>0</v>
      </c>
      <c r="I2708" t="s">
        <v>39</v>
      </c>
      <c r="J2708" t="s">
        <v>31</v>
      </c>
      <c r="K2708" t="s">
        <v>20</v>
      </c>
      <c r="L2708">
        <v>6</v>
      </c>
      <c r="M2708">
        <v>1</v>
      </c>
      <c r="N2708">
        <v>0</v>
      </c>
      <c r="O2708" t="s">
        <v>21</v>
      </c>
      <c r="P2708" t="str">
        <f>TEXT(Table1[[#This Row],[order_date]],"yyyy-mm")</f>
        <v>2025-09</v>
      </c>
      <c r="Q2708">
        <f>WEEKNUM(Table1[[#This Row],[order_date]])</f>
        <v>40</v>
      </c>
      <c r="R2708">
        <f>IF(Table1[[#This Row],[order_status]]="completed",1,0)</f>
        <v>0</v>
      </c>
    </row>
    <row r="2709" spans="1:18" x14ac:dyDescent="0.35">
      <c r="A2709">
        <v>2708</v>
      </c>
      <c r="B2709" s="1">
        <v>45988</v>
      </c>
      <c r="C2709">
        <v>1407</v>
      </c>
      <c r="D2709" t="s">
        <v>32</v>
      </c>
      <c r="E2709" t="s">
        <v>29</v>
      </c>
      <c r="F2709" t="s">
        <v>24</v>
      </c>
      <c r="G2709">
        <v>5</v>
      </c>
      <c r="H2709">
        <v>0</v>
      </c>
      <c r="I2709" t="s">
        <v>25</v>
      </c>
      <c r="J2709" t="s">
        <v>37</v>
      </c>
      <c r="K2709" t="s">
        <v>26</v>
      </c>
      <c r="L2709">
        <v>8</v>
      </c>
      <c r="M2709">
        <v>0</v>
      </c>
      <c r="N2709">
        <v>0</v>
      </c>
      <c r="O2709" t="s">
        <v>21</v>
      </c>
      <c r="P2709" t="str">
        <f>TEXT(Table1[[#This Row],[order_date]],"yyyy-mm")</f>
        <v>2025-11</v>
      </c>
      <c r="Q2709">
        <f>WEEKNUM(Table1[[#This Row],[order_date]])</f>
        <v>48</v>
      </c>
      <c r="R2709">
        <f>IF(Table1[[#This Row],[order_status]]="completed",1,0)</f>
        <v>0</v>
      </c>
    </row>
    <row r="2710" spans="1:18" x14ac:dyDescent="0.35">
      <c r="A2710">
        <v>2709</v>
      </c>
      <c r="B2710" s="1">
        <v>45927</v>
      </c>
      <c r="C2710">
        <v>1062</v>
      </c>
      <c r="D2710" t="s">
        <v>32</v>
      </c>
      <c r="E2710" t="s">
        <v>29</v>
      </c>
      <c r="F2710" t="s">
        <v>34</v>
      </c>
      <c r="G2710">
        <v>1</v>
      </c>
      <c r="H2710">
        <v>0</v>
      </c>
      <c r="I2710" t="s">
        <v>35</v>
      </c>
      <c r="J2710" t="s">
        <v>31</v>
      </c>
      <c r="K2710" t="s">
        <v>20</v>
      </c>
      <c r="L2710">
        <v>7</v>
      </c>
      <c r="M2710">
        <v>0</v>
      </c>
      <c r="N2710">
        <v>1</v>
      </c>
      <c r="O2710" t="s">
        <v>27</v>
      </c>
      <c r="P2710" t="str">
        <f>TEXT(Table1[[#This Row],[order_date]],"yyyy-mm")</f>
        <v>2025-09</v>
      </c>
      <c r="Q2710">
        <f>WEEKNUM(Table1[[#This Row],[order_date]])</f>
        <v>39</v>
      </c>
      <c r="R2710">
        <f>IF(Table1[[#This Row],[order_status]]="completed",1,0)</f>
        <v>0</v>
      </c>
    </row>
    <row r="2711" spans="1:18" x14ac:dyDescent="0.35">
      <c r="A2711">
        <v>2710</v>
      </c>
      <c r="B2711" s="1">
        <v>45959</v>
      </c>
      <c r="C2711">
        <v>1521</v>
      </c>
      <c r="D2711" t="s">
        <v>15</v>
      </c>
      <c r="E2711" t="s">
        <v>23</v>
      </c>
      <c r="F2711" t="s">
        <v>24</v>
      </c>
      <c r="G2711">
        <v>3</v>
      </c>
      <c r="H2711">
        <v>0</v>
      </c>
      <c r="I2711" t="s">
        <v>25</v>
      </c>
      <c r="J2711" t="s">
        <v>31</v>
      </c>
      <c r="K2711" t="s">
        <v>38</v>
      </c>
      <c r="L2711">
        <v>4</v>
      </c>
      <c r="M2711">
        <v>1</v>
      </c>
      <c r="N2711">
        <v>1</v>
      </c>
      <c r="O2711" t="s">
        <v>27</v>
      </c>
      <c r="P2711" t="str">
        <f>TEXT(Table1[[#This Row],[order_date]],"yyyy-mm")</f>
        <v>2025-10</v>
      </c>
      <c r="Q2711">
        <f>WEEKNUM(Table1[[#This Row],[order_date]])</f>
        <v>44</v>
      </c>
      <c r="R2711">
        <f>IF(Table1[[#This Row],[order_status]]="completed",1,0)</f>
        <v>0</v>
      </c>
    </row>
    <row r="2712" spans="1:18" x14ac:dyDescent="0.35">
      <c r="A2712">
        <v>2711</v>
      </c>
      <c r="B2712" s="1">
        <v>45940</v>
      </c>
      <c r="C2712">
        <v>1700</v>
      </c>
      <c r="D2712" t="s">
        <v>22</v>
      </c>
      <c r="E2712" t="s">
        <v>36</v>
      </c>
      <c r="F2712" t="s">
        <v>34</v>
      </c>
      <c r="G2712">
        <v>2</v>
      </c>
      <c r="H2712">
        <v>3190</v>
      </c>
      <c r="I2712" t="s">
        <v>18</v>
      </c>
      <c r="J2712" t="s">
        <v>19</v>
      </c>
      <c r="K2712" t="s">
        <v>26</v>
      </c>
      <c r="L2712">
        <v>9</v>
      </c>
      <c r="M2712">
        <v>0</v>
      </c>
      <c r="N2712">
        <v>1</v>
      </c>
      <c r="O2712" t="s">
        <v>27</v>
      </c>
      <c r="P2712" t="str">
        <f>TEXT(Table1[[#This Row],[order_date]],"yyyy-mm")</f>
        <v>2025-10</v>
      </c>
      <c r="Q2712">
        <f>WEEKNUM(Table1[[#This Row],[order_date]])</f>
        <v>41</v>
      </c>
      <c r="R2712">
        <f>IF(Table1[[#This Row],[order_status]]="completed",1,0)</f>
        <v>1</v>
      </c>
    </row>
    <row r="2713" spans="1:18" x14ac:dyDescent="0.35">
      <c r="A2713">
        <v>2712</v>
      </c>
      <c r="B2713" s="1">
        <v>46015</v>
      </c>
      <c r="C2713">
        <v>1277</v>
      </c>
      <c r="D2713" t="s">
        <v>28</v>
      </c>
      <c r="E2713" t="s">
        <v>36</v>
      </c>
      <c r="F2713" t="s">
        <v>17</v>
      </c>
      <c r="G2713">
        <v>1</v>
      </c>
      <c r="H2713">
        <v>0</v>
      </c>
      <c r="I2713" t="s">
        <v>35</v>
      </c>
      <c r="J2713" t="s">
        <v>31</v>
      </c>
      <c r="K2713" t="s">
        <v>40</v>
      </c>
      <c r="L2713">
        <v>9</v>
      </c>
      <c r="M2713">
        <v>1</v>
      </c>
      <c r="N2713">
        <v>0</v>
      </c>
      <c r="O2713" t="s">
        <v>21</v>
      </c>
      <c r="P2713" t="str">
        <f>TEXT(Table1[[#This Row],[order_date]],"yyyy-mm")</f>
        <v>2025-12</v>
      </c>
      <c r="Q2713">
        <f>WEEKNUM(Table1[[#This Row],[order_date]])</f>
        <v>52</v>
      </c>
      <c r="R2713">
        <f>IF(Table1[[#This Row],[order_status]]="completed",1,0)</f>
        <v>0</v>
      </c>
    </row>
    <row r="2714" spans="1:18" x14ac:dyDescent="0.35">
      <c r="A2714">
        <v>2713</v>
      </c>
      <c r="B2714" s="1">
        <v>45901</v>
      </c>
      <c r="C2714">
        <v>1691</v>
      </c>
      <c r="D2714" t="s">
        <v>28</v>
      </c>
      <c r="E2714" t="s">
        <v>29</v>
      </c>
      <c r="F2714" t="s">
        <v>30</v>
      </c>
      <c r="G2714">
        <v>1</v>
      </c>
      <c r="H2714">
        <v>0</v>
      </c>
      <c r="I2714" t="s">
        <v>39</v>
      </c>
      <c r="J2714" t="s">
        <v>37</v>
      </c>
      <c r="K2714" t="s">
        <v>40</v>
      </c>
      <c r="L2714">
        <v>8</v>
      </c>
      <c r="M2714">
        <v>0</v>
      </c>
      <c r="N2714">
        <v>1</v>
      </c>
      <c r="O2714" t="s">
        <v>27</v>
      </c>
      <c r="P2714" t="str">
        <f>TEXT(Table1[[#This Row],[order_date]],"yyyy-mm")</f>
        <v>2025-09</v>
      </c>
      <c r="Q2714">
        <f>WEEKNUM(Table1[[#This Row],[order_date]])</f>
        <v>36</v>
      </c>
      <c r="R2714">
        <f>IF(Table1[[#This Row],[order_status]]="completed",1,0)</f>
        <v>0</v>
      </c>
    </row>
    <row r="2715" spans="1:18" x14ac:dyDescent="0.35">
      <c r="A2715">
        <v>2714</v>
      </c>
      <c r="B2715" s="1">
        <v>46028</v>
      </c>
      <c r="C2715">
        <v>1369</v>
      </c>
      <c r="D2715" t="s">
        <v>15</v>
      </c>
      <c r="E2715" t="s">
        <v>23</v>
      </c>
      <c r="F2715" t="s">
        <v>24</v>
      </c>
      <c r="G2715">
        <v>3</v>
      </c>
      <c r="H2715">
        <v>0</v>
      </c>
      <c r="I2715" t="s">
        <v>39</v>
      </c>
      <c r="J2715" t="s">
        <v>31</v>
      </c>
      <c r="K2715" t="s">
        <v>40</v>
      </c>
      <c r="L2715">
        <v>7</v>
      </c>
      <c r="M2715">
        <v>0</v>
      </c>
      <c r="N2715">
        <v>0</v>
      </c>
      <c r="O2715" t="s">
        <v>21</v>
      </c>
      <c r="P2715" t="str">
        <f>TEXT(Table1[[#This Row],[order_date]],"yyyy-mm")</f>
        <v>2026-01</v>
      </c>
      <c r="Q2715">
        <f>WEEKNUM(Table1[[#This Row],[order_date]])</f>
        <v>2</v>
      </c>
      <c r="R2715">
        <f>IF(Table1[[#This Row],[order_status]]="completed",1,0)</f>
        <v>0</v>
      </c>
    </row>
    <row r="2716" spans="1:18" x14ac:dyDescent="0.35">
      <c r="A2716">
        <v>2715</v>
      </c>
      <c r="B2716" s="1">
        <v>45881</v>
      </c>
      <c r="C2716">
        <v>1085</v>
      </c>
      <c r="D2716" t="s">
        <v>22</v>
      </c>
      <c r="E2716" t="s">
        <v>16</v>
      </c>
      <c r="F2716" t="s">
        <v>17</v>
      </c>
      <c r="G2716">
        <v>1</v>
      </c>
      <c r="H2716">
        <v>0</v>
      </c>
      <c r="I2716" t="s">
        <v>39</v>
      </c>
      <c r="J2716" t="s">
        <v>37</v>
      </c>
      <c r="K2716" t="s">
        <v>20</v>
      </c>
      <c r="L2716">
        <v>7</v>
      </c>
      <c r="M2716">
        <v>1</v>
      </c>
      <c r="N2716">
        <v>1</v>
      </c>
      <c r="O2716" t="s">
        <v>21</v>
      </c>
      <c r="P2716" t="str">
        <f>TEXT(Table1[[#This Row],[order_date]],"yyyy-mm")</f>
        <v>2025-08</v>
      </c>
      <c r="Q2716">
        <f>WEEKNUM(Table1[[#This Row],[order_date]])</f>
        <v>33</v>
      </c>
      <c r="R2716">
        <f>IF(Table1[[#This Row],[order_status]]="completed",1,0)</f>
        <v>0</v>
      </c>
    </row>
    <row r="2717" spans="1:18" x14ac:dyDescent="0.35">
      <c r="A2717">
        <v>2716</v>
      </c>
      <c r="B2717" s="1">
        <v>45886</v>
      </c>
      <c r="C2717">
        <v>1684</v>
      </c>
      <c r="D2717" t="s">
        <v>22</v>
      </c>
      <c r="E2717" t="s">
        <v>33</v>
      </c>
      <c r="F2717" t="s">
        <v>24</v>
      </c>
      <c r="G2717">
        <v>5</v>
      </c>
      <c r="H2717">
        <v>9565</v>
      </c>
      <c r="I2717" t="s">
        <v>35</v>
      </c>
      <c r="J2717" t="s">
        <v>19</v>
      </c>
      <c r="K2717" t="s">
        <v>40</v>
      </c>
      <c r="L2717">
        <v>4</v>
      </c>
      <c r="M2717">
        <v>0</v>
      </c>
      <c r="N2717">
        <v>0</v>
      </c>
      <c r="O2717" t="s">
        <v>27</v>
      </c>
      <c r="P2717" t="str">
        <f>TEXT(Table1[[#This Row],[order_date]],"yyyy-mm")</f>
        <v>2025-08</v>
      </c>
      <c r="Q2717">
        <f>WEEKNUM(Table1[[#This Row],[order_date]])</f>
        <v>34</v>
      </c>
      <c r="R2717">
        <f>IF(Table1[[#This Row],[order_status]]="completed",1,0)</f>
        <v>1</v>
      </c>
    </row>
    <row r="2718" spans="1:18" x14ac:dyDescent="0.35">
      <c r="A2718">
        <v>2717</v>
      </c>
      <c r="B2718" s="1">
        <v>45959</v>
      </c>
      <c r="C2718">
        <v>1144</v>
      </c>
      <c r="D2718" t="s">
        <v>32</v>
      </c>
      <c r="E2718" t="s">
        <v>33</v>
      </c>
      <c r="F2718" t="s">
        <v>30</v>
      </c>
      <c r="G2718">
        <v>2</v>
      </c>
      <c r="H2718">
        <v>690</v>
      </c>
      <c r="I2718" t="s">
        <v>18</v>
      </c>
      <c r="J2718" t="s">
        <v>19</v>
      </c>
      <c r="K2718" t="s">
        <v>40</v>
      </c>
      <c r="L2718">
        <v>5</v>
      </c>
      <c r="M2718">
        <v>0</v>
      </c>
      <c r="N2718">
        <v>0</v>
      </c>
      <c r="O2718" t="s">
        <v>27</v>
      </c>
      <c r="P2718" t="str">
        <f>TEXT(Table1[[#This Row],[order_date]],"yyyy-mm")</f>
        <v>2025-10</v>
      </c>
      <c r="Q2718">
        <f>WEEKNUM(Table1[[#This Row],[order_date]])</f>
        <v>44</v>
      </c>
      <c r="R2718">
        <f>IF(Table1[[#This Row],[order_status]]="completed",1,0)</f>
        <v>1</v>
      </c>
    </row>
    <row r="2719" spans="1:18" x14ac:dyDescent="0.35">
      <c r="A2719">
        <v>2718</v>
      </c>
      <c r="B2719" s="1">
        <v>46009</v>
      </c>
      <c r="C2719">
        <v>1178</v>
      </c>
      <c r="D2719" t="s">
        <v>28</v>
      </c>
      <c r="E2719" t="s">
        <v>29</v>
      </c>
      <c r="F2719" t="s">
        <v>30</v>
      </c>
      <c r="G2719">
        <v>3</v>
      </c>
      <c r="H2719">
        <v>0</v>
      </c>
      <c r="I2719" t="s">
        <v>35</v>
      </c>
      <c r="J2719" t="s">
        <v>31</v>
      </c>
      <c r="K2719" t="s">
        <v>20</v>
      </c>
      <c r="L2719">
        <v>9</v>
      </c>
      <c r="M2719">
        <v>1</v>
      </c>
      <c r="N2719">
        <v>0</v>
      </c>
      <c r="O2719" t="s">
        <v>27</v>
      </c>
      <c r="P2719" t="str">
        <f>TEXT(Table1[[#This Row],[order_date]],"yyyy-mm")</f>
        <v>2025-12</v>
      </c>
      <c r="Q2719">
        <f>WEEKNUM(Table1[[#This Row],[order_date]])</f>
        <v>51</v>
      </c>
      <c r="R2719">
        <f>IF(Table1[[#This Row],[order_status]]="completed",1,0)</f>
        <v>0</v>
      </c>
    </row>
    <row r="2720" spans="1:18" x14ac:dyDescent="0.35">
      <c r="A2720">
        <v>2719</v>
      </c>
      <c r="B2720" s="1">
        <v>45952</v>
      </c>
      <c r="C2720">
        <v>1857</v>
      </c>
      <c r="D2720" t="s">
        <v>32</v>
      </c>
      <c r="E2720" t="s">
        <v>36</v>
      </c>
      <c r="F2720" t="s">
        <v>30</v>
      </c>
      <c r="G2720">
        <v>4</v>
      </c>
      <c r="H2720">
        <v>0</v>
      </c>
      <c r="I2720" t="s">
        <v>39</v>
      </c>
      <c r="J2720" t="s">
        <v>31</v>
      </c>
      <c r="K2720" t="s">
        <v>26</v>
      </c>
      <c r="L2720">
        <v>4</v>
      </c>
      <c r="M2720">
        <v>1</v>
      </c>
      <c r="N2720">
        <v>0</v>
      </c>
      <c r="O2720" t="s">
        <v>21</v>
      </c>
      <c r="P2720" t="str">
        <f>TEXT(Table1[[#This Row],[order_date]],"yyyy-mm")</f>
        <v>2025-10</v>
      </c>
      <c r="Q2720">
        <f>WEEKNUM(Table1[[#This Row],[order_date]])</f>
        <v>43</v>
      </c>
      <c r="R2720">
        <f>IF(Table1[[#This Row],[order_status]]="completed",1,0)</f>
        <v>0</v>
      </c>
    </row>
    <row r="2721" spans="1:18" x14ac:dyDescent="0.35">
      <c r="A2721">
        <v>2720</v>
      </c>
      <c r="B2721" s="1">
        <v>45918</v>
      </c>
      <c r="C2721">
        <v>1946</v>
      </c>
      <c r="D2721" t="s">
        <v>22</v>
      </c>
      <c r="E2721" t="s">
        <v>36</v>
      </c>
      <c r="F2721" t="s">
        <v>17</v>
      </c>
      <c r="G2721">
        <v>5</v>
      </c>
      <c r="H2721">
        <v>0</v>
      </c>
      <c r="I2721" t="s">
        <v>18</v>
      </c>
      <c r="J2721" t="s">
        <v>37</v>
      </c>
      <c r="K2721" t="s">
        <v>20</v>
      </c>
      <c r="L2721">
        <v>6</v>
      </c>
      <c r="M2721">
        <v>0</v>
      </c>
      <c r="N2721">
        <v>1</v>
      </c>
      <c r="O2721" t="s">
        <v>21</v>
      </c>
      <c r="P2721" t="str">
        <f>TEXT(Table1[[#This Row],[order_date]],"yyyy-mm")</f>
        <v>2025-09</v>
      </c>
      <c r="Q2721">
        <f>WEEKNUM(Table1[[#This Row],[order_date]])</f>
        <v>38</v>
      </c>
      <c r="R2721">
        <f>IF(Table1[[#This Row],[order_status]]="completed",1,0)</f>
        <v>0</v>
      </c>
    </row>
    <row r="2722" spans="1:18" x14ac:dyDescent="0.35">
      <c r="A2722">
        <v>2721</v>
      </c>
      <c r="B2722" s="1">
        <v>45940</v>
      </c>
      <c r="C2722">
        <v>1824</v>
      </c>
      <c r="D2722" t="s">
        <v>41</v>
      </c>
      <c r="E2722" t="s">
        <v>33</v>
      </c>
      <c r="F2722" t="s">
        <v>30</v>
      </c>
      <c r="G2722">
        <v>3</v>
      </c>
      <c r="H2722">
        <v>12768</v>
      </c>
      <c r="I2722" t="s">
        <v>18</v>
      </c>
      <c r="J2722" t="s">
        <v>19</v>
      </c>
      <c r="K2722" t="s">
        <v>40</v>
      </c>
      <c r="L2722">
        <v>3</v>
      </c>
      <c r="M2722">
        <v>1</v>
      </c>
      <c r="N2722">
        <v>1</v>
      </c>
      <c r="O2722" t="s">
        <v>21</v>
      </c>
      <c r="P2722" t="str">
        <f>TEXT(Table1[[#This Row],[order_date]],"yyyy-mm")</f>
        <v>2025-10</v>
      </c>
      <c r="Q2722">
        <f>WEEKNUM(Table1[[#This Row],[order_date]])</f>
        <v>41</v>
      </c>
      <c r="R2722">
        <f>IF(Table1[[#This Row],[order_status]]="completed",1,0)</f>
        <v>1</v>
      </c>
    </row>
    <row r="2723" spans="1:18" x14ac:dyDescent="0.35">
      <c r="A2723">
        <v>2722</v>
      </c>
      <c r="B2723" s="1">
        <v>45895</v>
      </c>
      <c r="C2723">
        <v>1943</v>
      </c>
      <c r="D2723" t="s">
        <v>41</v>
      </c>
      <c r="E2723" t="s">
        <v>16</v>
      </c>
      <c r="F2723" t="s">
        <v>34</v>
      </c>
      <c r="G2723">
        <v>1</v>
      </c>
      <c r="H2723">
        <v>0</v>
      </c>
      <c r="I2723" t="s">
        <v>39</v>
      </c>
      <c r="J2723" t="s">
        <v>37</v>
      </c>
      <c r="K2723" t="s">
        <v>26</v>
      </c>
      <c r="L2723">
        <v>10</v>
      </c>
      <c r="M2723">
        <v>0</v>
      </c>
      <c r="N2723">
        <v>1</v>
      </c>
      <c r="O2723" t="s">
        <v>21</v>
      </c>
      <c r="P2723" t="str">
        <f>TEXT(Table1[[#This Row],[order_date]],"yyyy-mm")</f>
        <v>2025-08</v>
      </c>
      <c r="Q2723">
        <f>WEEKNUM(Table1[[#This Row],[order_date]])</f>
        <v>35</v>
      </c>
      <c r="R2723">
        <f>IF(Table1[[#This Row],[order_status]]="completed",1,0)</f>
        <v>0</v>
      </c>
    </row>
    <row r="2724" spans="1:18" x14ac:dyDescent="0.35">
      <c r="A2724">
        <v>2723</v>
      </c>
      <c r="B2724" s="1">
        <v>45922</v>
      </c>
      <c r="C2724">
        <v>1583</v>
      </c>
      <c r="D2724" t="s">
        <v>32</v>
      </c>
      <c r="E2724" t="s">
        <v>33</v>
      </c>
      <c r="F2724" t="s">
        <v>30</v>
      </c>
      <c r="G2724">
        <v>3</v>
      </c>
      <c r="H2724">
        <v>0</v>
      </c>
      <c r="I2724" t="s">
        <v>25</v>
      </c>
      <c r="J2724" t="s">
        <v>31</v>
      </c>
      <c r="K2724" t="s">
        <v>26</v>
      </c>
      <c r="L2724">
        <v>4</v>
      </c>
      <c r="M2724">
        <v>0</v>
      </c>
      <c r="N2724">
        <v>0</v>
      </c>
      <c r="O2724" t="s">
        <v>21</v>
      </c>
      <c r="P2724" t="str">
        <f>TEXT(Table1[[#This Row],[order_date]],"yyyy-mm")</f>
        <v>2025-09</v>
      </c>
      <c r="Q2724">
        <f>WEEKNUM(Table1[[#This Row],[order_date]])</f>
        <v>39</v>
      </c>
      <c r="R2724">
        <f>IF(Table1[[#This Row],[order_status]]="completed",1,0)</f>
        <v>0</v>
      </c>
    </row>
    <row r="2725" spans="1:18" x14ac:dyDescent="0.35">
      <c r="A2725">
        <v>2724</v>
      </c>
      <c r="B2725" s="1">
        <v>46020</v>
      </c>
      <c r="C2725">
        <v>1437</v>
      </c>
      <c r="D2725" t="s">
        <v>32</v>
      </c>
      <c r="E2725" t="s">
        <v>29</v>
      </c>
      <c r="F2725" t="s">
        <v>24</v>
      </c>
      <c r="G2725">
        <v>2</v>
      </c>
      <c r="H2725">
        <v>0</v>
      </c>
      <c r="I2725" t="s">
        <v>18</v>
      </c>
      <c r="J2725" t="s">
        <v>31</v>
      </c>
      <c r="K2725" t="s">
        <v>38</v>
      </c>
      <c r="L2725">
        <v>4</v>
      </c>
      <c r="M2725">
        <v>1</v>
      </c>
      <c r="N2725">
        <v>0</v>
      </c>
      <c r="O2725" t="s">
        <v>27</v>
      </c>
      <c r="P2725" t="str">
        <f>TEXT(Table1[[#This Row],[order_date]],"yyyy-mm")</f>
        <v>2025-12</v>
      </c>
      <c r="Q2725">
        <f>WEEKNUM(Table1[[#This Row],[order_date]])</f>
        <v>53</v>
      </c>
      <c r="R2725">
        <f>IF(Table1[[#This Row],[order_status]]="completed",1,0)</f>
        <v>0</v>
      </c>
    </row>
    <row r="2726" spans="1:18" x14ac:dyDescent="0.35">
      <c r="A2726">
        <v>2725</v>
      </c>
      <c r="B2726" s="1">
        <v>45864</v>
      </c>
      <c r="C2726">
        <v>1715</v>
      </c>
      <c r="D2726" t="s">
        <v>41</v>
      </c>
      <c r="E2726" t="s">
        <v>36</v>
      </c>
      <c r="F2726" t="s">
        <v>24</v>
      </c>
      <c r="G2726">
        <v>1</v>
      </c>
      <c r="H2726">
        <v>0</v>
      </c>
      <c r="I2726" t="s">
        <v>18</v>
      </c>
      <c r="J2726" t="s">
        <v>31</v>
      </c>
      <c r="K2726" t="s">
        <v>20</v>
      </c>
      <c r="L2726">
        <v>8</v>
      </c>
      <c r="M2726">
        <v>0</v>
      </c>
      <c r="N2726">
        <v>0</v>
      </c>
      <c r="O2726" t="s">
        <v>21</v>
      </c>
      <c r="P2726" t="str">
        <f>TEXT(Table1[[#This Row],[order_date]],"yyyy-mm")</f>
        <v>2025-07</v>
      </c>
      <c r="Q2726">
        <f>WEEKNUM(Table1[[#This Row],[order_date]])</f>
        <v>30</v>
      </c>
      <c r="R2726">
        <f>IF(Table1[[#This Row],[order_status]]="completed",1,0)</f>
        <v>0</v>
      </c>
    </row>
    <row r="2727" spans="1:18" x14ac:dyDescent="0.35">
      <c r="A2727">
        <v>2726</v>
      </c>
      <c r="B2727" s="1">
        <v>45983</v>
      </c>
      <c r="C2727">
        <v>1624</v>
      </c>
      <c r="D2727" t="s">
        <v>32</v>
      </c>
      <c r="E2727" t="s">
        <v>16</v>
      </c>
      <c r="F2727" t="s">
        <v>34</v>
      </c>
      <c r="G2727">
        <v>2</v>
      </c>
      <c r="H2727">
        <v>502</v>
      </c>
      <c r="I2727" t="s">
        <v>18</v>
      </c>
      <c r="J2727" t="s">
        <v>19</v>
      </c>
      <c r="K2727" t="s">
        <v>40</v>
      </c>
      <c r="L2727">
        <v>4</v>
      </c>
      <c r="M2727">
        <v>1</v>
      </c>
      <c r="N2727">
        <v>1</v>
      </c>
      <c r="O2727" t="s">
        <v>21</v>
      </c>
      <c r="P2727" t="str">
        <f>TEXT(Table1[[#This Row],[order_date]],"yyyy-mm")</f>
        <v>2025-11</v>
      </c>
      <c r="Q2727">
        <f>WEEKNUM(Table1[[#This Row],[order_date]])</f>
        <v>47</v>
      </c>
      <c r="R2727">
        <f>IF(Table1[[#This Row],[order_status]]="completed",1,0)</f>
        <v>1</v>
      </c>
    </row>
    <row r="2728" spans="1:18" x14ac:dyDescent="0.35">
      <c r="A2728">
        <v>2727</v>
      </c>
      <c r="B2728" s="1">
        <v>45987</v>
      </c>
      <c r="C2728">
        <v>1407</v>
      </c>
      <c r="D2728" t="s">
        <v>22</v>
      </c>
      <c r="E2728" t="s">
        <v>33</v>
      </c>
      <c r="F2728" t="s">
        <v>17</v>
      </c>
      <c r="G2728">
        <v>1</v>
      </c>
      <c r="H2728">
        <v>4236</v>
      </c>
      <c r="I2728" t="s">
        <v>18</v>
      </c>
      <c r="J2728" t="s">
        <v>19</v>
      </c>
      <c r="K2728" t="s">
        <v>40</v>
      </c>
      <c r="L2728">
        <v>6</v>
      </c>
      <c r="M2728">
        <v>0</v>
      </c>
      <c r="N2728">
        <v>0</v>
      </c>
      <c r="O2728" t="s">
        <v>27</v>
      </c>
      <c r="P2728" t="str">
        <f>TEXT(Table1[[#This Row],[order_date]],"yyyy-mm")</f>
        <v>2025-11</v>
      </c>
      <c r="Q2728">
        <f>WEEKNUM(Table1[[#This Row],[order_date]])</f>
        <v>48</v>
      </c>
      <c r="R2728">
        <f>IF(Table1[[#This Row],[order_status]]="completed",1,0)</f>
        <v>1</v>
      </c>
    </row>
    <row r="2729" spans="1:18" x14ac:dyDescent="0.35">
      <c r="A2729">
        <v>2728</v>
      </c>
      <c r="B2729" s="1">
        <v>45943</v>
      </c>
      <c r="C2729">
        <v>1788</v>
      </c>
      <c r="D2729" t="s">
        <v>41</v>
      </c>
      <c r="E2729" t="s">
        <v>33</v>
      </c>
      <c r="F2729" t="s">
        <v>30</v>
      </c>
      <c r="G2729">
        <v>5</v>
      </c>
      <c r="H2729">
        <v>15880</v>
      </c>
      <c r="I2729" t="s">
        <v>35</v>
      </c>
      <c r="J2729" t="s">
        <v>19</v>
      </c>
      <c r="K2729" t="s">
        <v>26</v>
      </c>
      <c r="L2729">
        <v>5</v>
      </c>
      <c r="M2729">
        <v>0</v>
      </c>
      <c r="N2729">
        <v>1</v>
      </c>
      <c r="O2729" t="s">
        <v>21</v>
      </c>
      <c r="P2729" t="str">
        <f>TEXT(Table1[[#This Row],[order_date]],"yyyy-mm")</f>
        <v>2025-10</v>
      </c>
      <c r="Q2729">
        <f>WEEKNUM(Table1[[#This Row],[order_date]])</f>
        <v>42</v>
      </c>
      <c r="R2729">
        <f>IF(Table1[[#This Row],[order_status]]="completed",1,0)</f>
        <v>1</v>
      </c>
    </row>
    <row r="2730" spans="1:18" x14ac:dyDescent="0.35">
      <c r="A2730">
        <v>2729</v>
      </c>
      <c r="B2730" s="1">
        <v>45931</v>
      </c>
      <c r="C2730">
        <v>1030</v>
      </c>
      <c r="D2730" t="s">
        <v>32</v>
      </c>
      <c r="E2730" t="s">
        <v>23</v>
      </c>
      <c r="F2730" t="s">
        <v>30</v>
      </c>
      <c r="G2730">
        <v>2</v>
      </c>
      <c r="H2730">
        <v>0</v>
      </c>
      <c r="I2730" t="s">
        <v>25</v>
      </c>
      <c r="J2730" t="s">
        <v>31</v>
      </c>
      <c r="K2730" t="s">
        <v>38</v>
      </c>
      <c r="L2730">
        <v>5</v>
      </c>
      <c r="M2730">
        <v>1</v>
      </c>
      <c r="N2730">
        <v>0</v>
      </c>
      <c r="O2730" t="s">
        <v>27</v>
      </c>
      <c r="P2730" t="str">
        <f>TEXT(Table1[[#This Row],[order_date]],"yyyy-mm")</f>
        <v>2025-10</v>
      </c>
      <c r="Q2730">
        <f>WEEKNUM(Table1[[#This Row],[order_date]])</f>
        <v>40</v>
      </c>
      <c r="R2730">
        <f>IF(Table1[[#This Row],[order_status]]="completed",1,0)</f>
        <v>0</v>
      </c>
    </row>
    <row r="2731" spans="1:18" x14ac:dyDescent="0.35">
      <c r="A2731">
        <v>2730</v>
      </c>
      <c r="B2731" s="1">
        <v>45942</v>
      </c>
      <c r="C2731">
        <v>1987</v>
      </c>
      <c r="D2731" t="s">
        <v>32</v>
      </c>
      <c r="E2731" t="s">
        <v>16</v>
      </c>
      <c r="F2731" t="s">
        <v>30</v>
      </c>
      <c r="G2731">
        <v>1</v>
      </c>
      <c r="H2731">
        <v>4578</v>
      </c>
      <c r="I2731" t="s">
        <v>18</v>
      </c>
      <c r="J2731" t="s">
        <v>19</v>
      </c>
      <c r="K2731" t="s">
        <v>38</v>
      </c>
      <c r="L2731">
        <v>5</v>
      </c>
      <c r="M2731">
        <v>1</v>
      </c>
      <c r="N2731">
        <v>0</v>
      </c>
      <c r="O2731" t="s">
        <v>27</v>
      </c>
      <c r="P2731" t="str">
        <f>TEXT(Table1[[#This Row],[order_date]],"yyyy-mm")</f>
        <v>2025-10</v>
      </c>
      <c r="Q2731">
        <f>WEEKNUM(Table1[[#This Row],[order_date]])</f>
        <v>42</v>
      </c>
      <c r="R2731">
        <f>IF(Table1[[#This Row],[order_status]]="completed",1,0)</f>
        <v>1</v>
      </c>
    </row>
    <row r="2732" spans="1:18" x14ac:dyDescent="0.35">
      <c r="A2732">
        <v>2731</v>
      </c>
      <c r="B2732" s="1">
        <v>46001</v>
      </c>
      <c r="C2732">
        <v>1411</v>
      </c>
      <c r="D2732" t="s">
        <v>15</v>
      </c>
      <c r="E2732" t="s">
        <v>33</v>
      </c>
      <c r="F2732" t="s">
        <v>34</v>
      </c>
      <c r="G2732">
        <v>5</v>
      </c>
      <c r="H2732">
        <v>0</v>
      </c>
      <c r="I2732" t="s">
        <v>18</v>
      </c>
      <c r="J2732" t="s">
        <v>31</v>
      </c>
      <c r="K2732" t="s">
        <v>40</v>
      </c>
      <c r="L2732">
        <v>3</v>
      </c>
      <c r="M2732">
        <v>0</v>
      </c>
      <c r="N2732">
        <v>0</v>
      </c>
      <c r="O2732" t="s">
        <v>21</v>
      </c>
      <c r="P2732" t="str">
        <f>TEXT(Table1[[#This Row],[order_date]],"yyyy-mm")</f>
        <v>2025-12</v>
      </c>
      <c r="Q2732">
        <f>WEEKNUM(Table1[[#This Row],[order_date]])</f>
        <v>50</v>
      </c>
      <c r="R2732">
        <f>IF(Table1[[#This Row],[order_status]]="completed",1,0)</f>
        <v>0</v>
      </c>
    </row>
    <row r="2733" spans="1:18" x14ac:dyDescent="0.35">
      <c r="A2733">
        <v>2732</v>
      </c>
      <c r="B2733" s="1">
        <v>45909</v>
      </c>
      <c r="C2733">
        <v>1055</v>
      </c>
      <c r="D2733" t="s">
        <v>15</v>
      </c>
      <c r="E2733" t="s">
        <v>36</v>
      </c>
      <c r="F2733" t="s">
        <v>30</v>
      </c>
      <c r="G2733">
        <v>2</v>
      </c>
      <c r="H2733">
        <v>0</v>
      </c>
      <c r="I2733" t="s">
        <v>39</v>
      </c>
      <c r="J2733" t="s">
        <v>31</v>
      </c>
      <c r="K2733" t="s">
        <v>38</v>
      </c>
      <c r="L2733">
        <v>5</v>
      </c>
      <c r="M2733">
        <v>0</v>
      </c>
      <c r="N2733">
        <v>0</v>
      </c>
      <c r="O2733" t="s">
        <v>21</v>
      </c>
      <c r="P2733" t="str">
        <f>TEXT(Table1[[#This Row],[order_date]],"yyyy-mm")</f>
        <v>2025-09</v>
      </c>
      <c r="Q2733">
        <f>WEEKNUM(Table1[[#This Row],[order_date]])</f>
        <v>37</v>
      </c>
      <c r="R2733">
        <f>IF(Table1[[#This Row],[order_status]]="completed",1,0)</f>
        <v>0</v>
      </c>
    </row>
    <row r="2734" spans="1:18" x14ac:dyDescent="0.35">
      <c r="A2734">
        <v>2733</v>
      </c>
      <c r="B2734" s="1">
        <v>45963</v>
      </c>
      <c r="C2734">
        <v>1061</v>
      </c>
      <c r="D2734" t="s">
        <v>32</v>
      </c>
      <c r="E2734" t="s">
        <v>29</v>
      </c>
      <c r="F2734" t="s">
        <v>30</v>
      </c>
      <c r="G2734">
        <v>1</v>
      </c>
      <c r="H2734">
        <v>0</v>
      </c>
      <c r="I2734" t="s">
        <v>25</v>
      </c>
      <c r="J2734" t="s">
        <v>37</v>
      </c>
      <c r="K2734" t="s">
        <v>40</v>
      </c>
      <c r="L2734">
        <v>5</v>
      </c>
      <c r="M2734">
        <v>0</v>
      </c>
      <c r="N2734">
        <v>1</v>
      </c>
      <c r="O2734" t="s">
        <v>21</v>
      </c>
      <c r="P2734" t="str">
        <f>TEXT(Table1[[#This Row],[order_date]],"yyyy-mm")</f>
        <v>2025-11</v>
      </c>
      <c r="Q2734">
        <f>WEEKNUM(Table1[[#This Row],[order_date]])</f>
        <v>45</v>
      </c>
      <c r="R2734">
        <f>IF(Table1[[#This Row],[order_status]]="completed",1,0)</f>
        <v>0</v>
      </c>
    </row>
    <row r="2735" spans="1:18" x14ac:dyDescent="0.35">
      <c r="A2735">
        <v>2734</v>
      </c>
      <c r="B2735" s="1">
        <v>45951</v>
      </c>
      <c r="C2735">
        <v>1376</v>
      </c>
      <c r="D2735" t="s">
        <v>41</v>
      </c>
      <c r="E2735" t="s">
        <v>29</v>
      </c>
      <c r="F2735" t="s">
        <v>34</v>
      </c>
      <c r="G2735">
        <v>2</v>
      </c>
      <c r="H2735">
        <v>0</v>
      </c>
      <c r="I2735" t="s">
        <v>18</v>
      </c>
      <c r="J2735" t="s">
        <v>31</v>
      </c>
      <c r="K2735" t="s">
        <v>20</v>
      </c>
      <c r="L2735">
        <v>5</v>
      </c>
      <c r="M2735">
        <v>0</v>
      </c>
      <c r="N2735">
        <v>1</v>
      </c>
      <c r="O2735" t="s">
        <v>21</v>
      </c>
      <c r="P2735" t="str">
        <f>TEXT(Table1[[#This Row],[order_date]],"yyyy-mm")</f>
        <v>2025-10</v>
      </c>
      <c r="Q2735">
        <f>WEEKNUM(Table1[[#This Row],[order_date]])</f>
        <v>43</v>
      </c>
      <c r="R2735">
        <f>IF(Table1[[#This Row],[order_status]]="completed",1,0)</f>
        <v>0</v>
      </c>
    </row>
    <row r="2736" spans="1:18" x14ac:dyDescent="0.35">
      <c r="A2736">
        <v>2735</v>
      </c>
      <c r="B2736" s="1">
        <v>46017</v>
      </c>
      <c r="C2736">
        <v>1762</v>
      </c>
      <c r="D2736" t="s">
        <v>32</v>
      </c>
      <c r="E2736" t="s">
        <v>36</v>
      </c>
      <c r="F2736" t="s">
        <v>34</v>
      </c>
      <c r="G2736">
        <v>5</v>
      </c>
      <c r="H2736">
        <v>0</v>
      </c>
      <c r="I2736" t="s">
        <v>18</v>
      </c>
      <c r="J2736" t="s">
        <v>31</v>
      </c>
      <c r="K2736" t="s">
        <v>26</v>
      </c>
      <c r="L2736">
        <v>8</v>
      </c>
      <c r="M2736">
        <v>1</v>
      </c>
      <c r="N2736">
        <v>0</v>
      </c>
      <c r="O2736" t="s">
        <v>21</v>
      </c>
      <c r="P2736" t="str">
        <f>TEXT(Table1[[#This Row],[order_date]],"yyyy-mm")</f>
        <v>2025-12</v>
      </c>
      <c r="Q2736">
        <f>WEEKNUM(Table1[[#This Row],[order_date]])</f>
        <v>52</v>
      </c>
      <c r="R2736">
        <f>IF(Table1[[#This Row],[order_status]]="completed",1,0)</f>
        <v>0</v>
      </c>
    </row>
    <row r="2737" spans="1:18" x14ac:dyDescent="0.35">
      <c r="A2737">
        <v>2736</v>
      </c>
      <c r="B2737" s="1">
        <v>45976</v>
      </c>
      <c r="C2737">
        <v>1738</v>
      </c>
      <c r="D2737" t="s">
        <v>32</v>
      </c>
      <c r="E2737" t="s">
        <v>36</v>
      </c>
      <c r="F2737" t="s">
        <v>34</v>
      </c>
      <c r="G2737">
        <v>5</v>
      </c>
      <c r="H2737">
        <v>0</v>
      </c>
      <c r="I2737" t="s">
        <v>25</v>
      </c>
      <c r="J2737" t="s">
        <v>31</v>
      </c>
      <c r="K2737" t="s">
        <v>26</v>
      </c>
      <c r="L2737">
        <v>8</v>
      </c>
      <c r="M2737">
        <v>1</v>
      </c>
      <c r="N2737">
        <v>1</v>
      </c>
      <c r="O2737" t="s">
        <v>27</v>
      </c>
      <c r="P2737" t="str">
        <f>TEXT(Table1[[#This Row],[order_date]],"yyyy-mm")</f>
        <v>2025-11</v>
      </c>
      <c r="Q2737">
        <f>WEEKNUM(Table1[[#This Row],[order_date]])</f>
        <v>46</v>
      </c>
      <c r="R2737">
        <f>IF(Table1[[#This Row],[order_status]]="completed",1,0)</f>
        <v>0</v>
      </c>
    </row>
    <row r="2738" spans="1:18" x14ac:dyDescent="0.35">
      <c r="A2738">
        <v>2737</v>
      </c>
      <c r="B2738" s="1">
        <v>45974</v>
      </c>
      <c r="C2738">
        <v>1994</v>
      </c>
      <c r="D2738" t="s">
        <v>41</v>
      </c>
      <c r="E2738" t="s">
        <v>33</v>
      </c>
      <c r="F2738" t="s">
        <v>17</v>
      </c>
      <c r="G2738">
        <v>3</v>
      </c>
      <c r="H2738">
        <v>0</v>
      </c>
      <c r="I2738" t="s">
        <v>18</v>
      </c>
      <c r="J2738" t="s">
        <v>31</v>
      </c>
      <c r="K2738" t="s">
        <v>26</v>
      </c>
      <c r="L2738">
        <v>8</v>
      </c>
      <c r="M2738">
        <v>1</v>
      </c>
      <c r="N2738">
        <v>1</v>
      </c>
      <c r="O2738" t="s">
        <v>27</v>
      </c>
      <c r="P2738" t="str">
        <f>TEXT(Table1[[#This Row],[order_date]],"yyyy-mm")</f>
        <v>2025-11</v>
      </c>
      <c r="Q2738">
        <f>WEEKNUM(Table1[[#This Row],[order_date]])</f>
        <v>46</v>
      </c>
      <c r="R2738">
        <f>IF(Table1[[#This Row],[order_status]]="completed",1,0)</f>
        <v>0</v>
      </c>
    </row>
    <row r="2739" spans="1:18" x14ac:dyDescent="0.35">
      <c r="A2739">
        <v>2738</v>
      </c>
      <c r="B2739" s="1">
        <v>45921</v>
      </c>
      <c r="C2739">
        <v>1690</v>
      </c>
      <c r="D2739" t="s">
        <v>28</v>
      </c>
      <c r="E2739" t="s">
        <v>33</v>
      </c>
      <c r="F2739" t="s">
        <v>24</v>
      </c>
      <c r="G2739">
        <v>2</v>
      </c>
      <c r="H2739">
        <v>0</v>
      </c>
      <c r="I2739" t="s">
        <v>18</v>
      </c>
      <c r="J2739" t="s">
        <v>31</v>
      </c>
      <c r="K2739" t="s">
        <v>26</v>
      </c>
      <c r="L2739">
        <v>7</v>
      </c>
      <c r="M2739">
        <v>1</v>
      </c>
      <c r="N2739">
        <v>1</v>
      </c>
      <c r="O2739" t="s">
        <v>27</v>
      </c>
      <c r="P2739" t="str">
        <f>TEXT(Table1[[#This Row],[order_date]],"yyyy-mm")</f>
        <v>2025-09</v>
      </c>
      <c r="Q2739">
        <f>WEEKNUM(Table1[[#This Row],[order_date]])</f>
        <v>39</v>
      </c>
      <c r="R2739">
        <f>IF(Table1[[#This Row],[order_status]]="completed",1,0)</f>
        <v>0</v>
      </c>
    </row>
    <row r="2740" spans="1:18" x14ac:dyDescent="0.35">
      <c r="A2740">
        <v>2739</v>
      </c>
      <c r="B2740" s="1">
        <v>46029</v>
      </c>
      <c r="C2740">
        <v>1009</v>
      </c>
      <c r="D2740" t="s">
        <v>15</v>
      </c>
      <c r="E2740" t="s">
        <v>29</v>
      </c>
      <c r="F2740" t="s">
        <v>17</v>
      </c>
      <c r="G2740">
        <v>3</v>
      </c>
      <c r="H2740">
        <v>0</v>
      </c>
      <c r="I2740" t="s">
        <v>18</v>
      </c>
      <c r="J2740" t="s">
        <v>37</v>
      </c>
      <c r="K2740" t="s">
        <v>38</v>
      </c>
      <c r="L2740">
        <v>8</v>
      </c>
      <c r="M2740">
        <v>1</v>
      </c>
      <c r="N2740">
        <v>1</v>
      </c>
      <c r="O2740" t="s">
        <v>27</v>
      </c>
      <c r="P2740" t="str">
        <f>TEXT(Table1[[#This Row],[order_date]],"yyyy-mm")</f>
        <v>2026-01</v>
      </c>
      <c r="Q2740">
        <f>WEEKNUM(Table1[[#This Row],[order_date]])</f>
        <v>2</v>
      </c>
      <c r="R2740">
        <f>IF(Table1[[#This Row],[order_status]]="completed",1,0)</f>
        <v>0</v>
      </c>
    </row>
    <row r="2741" spans="1:18" x14ac:dyDescent="0.35">
      <c r="A2741">
        <v>2740</v>
      </c>
      <c r="B2741" s="1">
        <v>45884</v>
      </c>
      <c r="C2741">
        <v>1771</v>
      </c>
      <c r="D2741" t="s">
        <v>15</v>
      </c>
      <c r="E2741" t="s">
        <v>16</v>
      </c>
      <c r="F2741" t="s">
        <v>24</v>
      </c>
      <c r="G2741">
        <v>3</v>
      </c>
      <c r="H2741">
        <v>0</v>
      </c>
      <c r="I2741" t="s">
        <v>35</v>
      </c>
      <c r="J2741" t="s">
        <v>37</v>
      </c>
      <c r="K2741" t="s">
        <v>26</v>
      </c>
      <c r="L2741">
        <v>9</v>
      </c>
      <c r="M2741">
        <v>1</v>
      </c>
      <c r="N2741">
        <v>0</v>
      </c>
      <c r="O2741" t="s">
        <v>21</v>
      </c>
      <c r="P2741" t="str">
        <f>TEXT(Table1[[#This Row],[order_date]],"yyyy-mm")</f>
        <v>2025-08</v>
      </c>
      <c r="Q2741">
        <f>WEEKNUM(Table1[[#This Row],[order_date]])</f>
        <v>33</v>
      </c>
      <c r="R2741">
        <f>IF(Table1[[#This Row],[order_status]]="completed",1,0)</f>
        <v>0</v>
      </c>
    </row>
    <row r="2742" spans="1:18" x14ac:dyDescent="0.35">
      <c r="A2742">
        <v>2741</v>
      </c>
      <c r="B2742" s="1">
        <v>46023</v>
      </c>
      <c r="C2742">
        <v>1043</v>
      </c>
      <c r="D2742" t="s">
        <v>32</v>
      </c>
      <c r="E2742" t="s">
        <v>33</v>
      </c>
      <c r="F2742" t="s">
        <v>34</v>
      </c>
      <c r="G2742">
        <v>1</v>
      </c>
      <c r="H2742">
        <v>0</v>
      </c>
      <c r="I2742" t="s">
        <v>18</v>
      </c>
      <c r="J2742" t="s">
        <v>31</v>
      </c>
      <c r="K2742" t="s">
        <v>20</v>
      </c>
      <c r="L2742">
        <v>5</v>
      </c>
      <c r="M2742">
        <v>0</v>
      </c>
      <c r="N2742">
        <v>0</v>
      </c>
      <c r="O2742" t="s">
        <v>21</v>
      </c>
      <c r="P2742" t="str">
        <f>TEXT(Table1[[#This Row],[order_date]],"yyyy-mm")</f>
        <v>2026-01</v>
      </c>
      <c r="Q2742">
        <f>WEEKNUM(Table1[[#This Row],[order_date]])</f>
        <v>1</v>
      </c>
      <c r="R2742">
        <f>IF(Table1[[#This Row],[order_status]]="completed",1,0)</f>
        <v>0</v>
      </c>
    </row>
    <row r="2743" spans="1:18" x14ac:dyDescent="0.35">
      <c r="A2743">
        <v>2742</v>
      </c>
      <c r="B2743" s="1">
        <v>45897</v>
      </c>
      <c r="C2743">
        <v>1803</v>
      </c>
      <c r="D2743" t="s">
        <v>22</v>
      </c>
      <c r="E2743" t="s">
        <v>36</v>
      </c>
      <c r="F2743" t="s">
        <v>34</v>
      </c>
      <c r="G2743">
        <v>4</v>
      </c>
      <c r="H2743">
        <v>16236</v>
      </c>
      <c r="I2743" t="s">
        <v>18</v>
      </c>
      <c r="J2743" t="s">
        <v>19</v>
      </c>
      <c r="K2743" t="s">
        <v>20</v>
      </c>
      <c r="L2743">
        <v>9</v>
      </c>
      <c r="M2743">
        <v>0</v>
      </c>
      <c r="N2743">
        <v>1</v>
      </c>
      <c r="O2743" t="s">
        <v>27</v>
      </c>
      <c r="P2743" t="str">
        <f>TEXT(Table1[[#This Row],[order_date]],"yyyy-mm")</f>
        <v>2025-08</v>
      </c>
      <c r="Q2743">
        <f>WEEKNUM(Table1[[#This Row],[order_date]])</f>
        <v>35</v>
      </c>
      <c r="R2743">
        <f>IF(Table1[[#This Row],[order_status]]="completed",1,0)</f>
        <v>1</v>
      </c>
    </row>
    <row r="2744" spans="1:18" x14ac:dyDescent="0.35">
      <c r="A2744">
        <v>2743</v>
      </c>
      <c r="B2744" s="1">
        <v>45940</v>
      </c>
      <c r="C2744">
        <v>1739</v>
      </c>
      <c r="D2744" t="s">
        <v>41</v>
      </c>
      <c r="E2744" t="s">
        <v>29</v>
      </c>
      <c r="F2744" t="s">
        <v>34</v>
      </c>
      <c r="G2744">
        <v>4</v>
      </c>
      <c r="H2744">
        <v>0</v>
      </c>
      <c r="I2744" t="s">
        <v>39</v>
      </c>
      <c r="J2744" t="s">
        <v>37</v>
      </c>
      <c r="K2744" t="s">
        <v>20</v>
      </c>
      <c r="L2744">
        <v>3</v>
      </c>
      <c r="M2744">
        <v>0</v>
      </c>
      <c r="N2744">
        <v>0</v>
      </c>
      <c r="O2744" t="s">
        <v>27</v>
      </c>
      <c r="P2744" t="str">
        <f>TEXT(Table1[[#This Row],[order_date]],"yyyy-mm")</f>
        <v>2025-10</v>
      </c>
      <c r="Q2744">
        <f>WEEKNUM(Table1[[#This Row],[order_date]])</f>
        <v>41</v>
      </c>
      <c r="R2744">
        <f>IF(Table1[[#This Row],[order_status]]="completed",1,0)</f>
        <v>0</v>
      </c>
    </row>
    <row r="2745" spans="1:18" x14ac:dyDescent="0.35">
      <c r="A2745">
        <v>2744</v>
      </c>
      <c r="B2745" s="1">
        <v>46027</v>
      </c>
      <c r="C2745">
        <v>1292</v>
      </c>
      <c r="D2745" t="s">
        <v>15</v>
      </c>
      <c r="E2745" t="s">
        <v>23</v>
      </c>
      <c r="F2745" t="s">
        <v>17</v>
      </c>
      <c r="G2745">
        <v>3</v>
      </c>
      <c r="H2745">
        <v>0</v>
      </c>
      <c r="I2745" t="s">
        <v>25</v>
      </c>
      <c r="J2745" t="s">
        <v>37</v>
      </c>
      <c r="K2745" t="s">
        <v>20</v>
      </c>
      <c r="L2745">
        <v>4</v>
      </c>
      <c r="M2745">
        <v>1</v>
      </c>
      <c r="N2745">
        <v>1</v>
      </c>
      <c r="O2745" t="s">
        <v>21</v>
      </c>
      <c r="P2745" t="str">
        <f>TEXT(Table1[[#This Row],[order_date]],"yyyy-mm")</f>
        <v>2026-01</v>
      </c>
      <c r="Q2745">
        <f>WEEKNUM(Table1[[#This Row],[order_date]])</f>
        <v>2</v>
      </c>
      <c r="R2745">
        <f>IF(Table1[[#This Row],[order_status]]="completed",1,0)</f>
        <v>0</v>
      </c>
    </row>
    <row r="2746" spans="1:18" x14ac:dyDescent="0.35">
      <c r="A2746">
        <v>2745</v>
      </c>
      <c r="B2746" s="1">
        <v>45927</v>
      </c>
      <c r="C2746">
        <v>1138</v>
      </c>
      <c r="D2746" t="s">
        <v>22</v>
      </c>
      <c r="E2746" t="s">
        <v>36</v>
      </c>
      <c r="F2746" t="s">
        <v>17</v>
      </c>
      <c r="G2746">
        <v>4</v>
      </c>
      <c r="H2746">
        <v>15764</v>
      </c>
      <c r="I2746" t="s">
        <v>39</v>
      </c>
      <c r="J2746" t="s">
        <v>19</v>
      </c>
      <c r="K2746" t="s">
        <v>38</v>
      </c>
      <c r="L2746">
        <v>7</v>
      </c>
      <c r="M2746">
        <v>0</v>
      </c>
      <c r="N2746">
        <v>1</v>
      </c>
      <c r="O2746" t="s">
        <v>21</v>
      </c>
      <c r="P2746" t="str">
        <f>TEXT(Table1[[#This Row],[order_date]],"yyyy-mm")</f>
        <v>2025-09</v>
      </c>
      <c r="Q2746">
        <f>WEEKNUM(Table1[[#This Row],[order_date]])</f>
        <v>39</v>
      </c>
      <c r="R2746">
        <f>IF(Table1[[#This Row],[order_status]]="completed",1,0)</f>
        <v>1</v>
      </c>
    </row>
    <row r="2747" spans="1:18" x14ac:dyDescent="0.35">
      <c r="A2747">
        <v>2746</v>
      </c>
      <c r="B2747" s="1">
        <v>45970</v>
      </c>
      <c r="C2747">
        <v>1102</v>
      </c>
      <c r="D2747" t="s">
        <v>22</v>
      </c>
      <c r="E2747" t="s">
        <v>33</v>
      </c>
      <c r="F2747" t="s">
        <v>24</v>
      </c>
      <c r="G2747">
        <v>1</v>
      </c>
      <c r="H2747">
        <v>0</v>
      </c>
      <c r="I2747" t="s">
        <v>35</v>
      </c>
      <c r="J2747" t="s">
        <v>37</v>
      </c>
      <c r="K2747" t="s">
        <v>38</v>
      </c>
      <c r="L2747">
        <v>7</v>
      </c>
      <c r="M2747">
        <v>1</v>
      </c>
      <c r="N2747">
        <v>0</v>
      </c>
      <c r="O2747" t="s">
        <v>21</v>
      </c>
      <c r="P2747" t="str">
        <f>TEXT(Table1[[#This Row],[order_date]],"yyyy-mm")</f>
        <v>2025-11</v>
      </c>
      <c r="Q2747">
        <f>WEEKNUM(Table1[[#This Row],[order_date]])</f>
        <v>46</v>
      </c>
      <c r="R2747">
        <f>IF(Table1[[#This Row],[order_status]]="completed",1,0)</f>
        <v>0</v>
      </c>
    </row>
    <row r="2748" spans="1:18" x14ac:dyDescent="0.35">
      <c r="A2748">
        <v>2747</v>
      </c>
      <c r="B2748" s="1">
        <v>45875</v>
      </c>
      <c r="C2748">
        <v>1379</v>
      </c>
      <c r="D2748" t="s">
        <v>32</v>
      </c>
      <c r="E2748" t="s">
        <v>23</v>
      </c>
      <c r="F2748" t="s">
        <v>34</v>
      </c>
      <c r="G2748">
        <v>1</v>
      </c>
      <c r="H2748">
        <v>4566</v>
      </c>
      <c r="I2748" t="s">
        <v>39</v>
      </c>
      <c r="J2748" t="s">
        <v>19</v>
      </c>
      <c r="K2748" t="s">
        <v>20</v>
      </c>
      <c r="L2748">
        <v>1</v>
      </c>
      <c r="M2748">
        <v>0</v>
      </c>
      <c r="N2748">
        <v>0</v>
      </c>
      <c r="O2748" t="s">
        <v>21</v>
      </c>
      <c r="P2748" t="str">
        <f>TEXT(Table1[[#This Row],[order_date]],"yyyy-mm")</f>
        <v>2025-08</v>
      </c>
      <c r="Q2748">
        <f>WEEKNUM(Table1[[#This Row],[order_date]])</f>
        <v>32</v>
      </c>
      <c r="R2748">
        <f>IF(Table1[[#This Row],[order_status]]="completed",1,0)</f>
        <v>1</v>
      </c>
    </row>
    <row r="2749" spans="1:18" x14ac:dyDescent="0.35">
      <c r="A2749">
        <v>2748</v>
      </c>
      <c r="B2749" s="1">
        <v>45934</v>
      </c>
      <c r="C2749">
        <v>1490</v>
      </c>
      <c r="D2749" t="s">
        <v>32</v>
      </c>
      <c r="E2749" t="s">
        <v>23</v>
      </c>
      <c r="F2749" t="s">
        <v>17</v>
      </c>
      <c r="G2749">
        <v>4</v>
      </c>
      <c r="H2749">
        <v>0</v>
      </c>
      <c r="I2749" t="s">
        <v>35</v>
      </c>
      <c r="J2749" t="s">
        <v>31</v>
      </c>
      <c r="K2749" t="s">
        <v>38</v>
      </c>
      <c r="L2749">
        <v>8</v>
      </c>
      <c r="M2749">
        <v>1</v>
      </c>
      <c r="N2749">
        <v>0</v>
      </c>
      <c r="O2749" t="s">
        <v>27</v>
      </c>
      <c r="P2749" t="str">
        <f>TEXT(Table1[[#This Row],[order_date]],"yyyy-mm")</f>
        <v>2025-10</v>
      </c>
      <c r="Q2749">
        <f>WEEKNUM(Table1[[#This Row],[order_date]])</f>
        <v>40</v>
      </c>
      <c r="R2749">
        <f>IF(Table1[[#This Row],[order_status]]="completed",1,0)</f>
        <v>0</v>
      </c>
    </row>
    <row r="2750" spans="1:18" x14ac:dyDescent="0.35">
      <c r="A2750">
        <v>2749</v>
      </c>
      <c r="B2750" s="1">
        <v>46021</v>
      </c>
      <c r="C2750">
        <v>1195</v>
      </c>
      <c r="D2750" t="s">
        <v>32</v>
      </c>
      <c r="E2750" t="s">
        <v>29</v>
      </c>
      <c r="F2750" t="s">
        <v>24</v>
      </c>
      <c r="G2750">
        <v>2</v>
      </c>
      <c r="H2750">
        <v>0</v>
      </c>
      <c r="I2750" t="s">
        <v>39</v>
      </c>
      <c r="J2750" t="s">
        <v>31</v>
      </c>
      <c r="K2750" t="s">
        <v>38</v>
      </c>
      <c r="L2750">
        <v>5</v>
      </c>
      <c r="M2750">
        <v>0</v>
      </c>
      <c r="N2750">
        <v>1</v>
      </c>
      <c r="O2750" t="s">
        <v>21</v>
      </c>
      <c r="P2750" t="str">
        <f>TEXT(Table1[[#This Row],[order_date]],"yyyy-mm")</f>
        <v>2025-12</v>
      </c>
      <c r="Q2750">
        <f>WEEKNUM(Table1[[#This Row],[order_date]])</f>
        <v>53</v>
      </c>
      <c r="R2750">
        <f>IF(Table1[[#This Row],[order_status]]="completed",1,0)</f>
        <v>0</v>
      </c>
    </row>
    <row r="2751" spans="1:18" x14ac:dyDescent="0.35">
      <c r="A2751">
        <v>2750</v>
      </c>
      <c r="B2751" s="1">
        <v>46026</v>
      </c>
      <c r="C2751">
        <v>1095</v>
      </c>
      <c r="D2751" t="s">
        <v>22</v>
      </c>
      <c r="E2751" t="s">
        <v>16</v>
      </c>
      <c r="F2751" t="s">
        <v>24</v>
      </c>
      <c r="G2751">
        <v>1</v>
      </c>
      <c r="H2751">
        <v>0</v>
      </c>
      <c r="I2751" t="s">
        <v>25</v>
      </c>
      <c r="J2751" t="s">
        <v>31</v>
      </c>
      <c r="K2751" t="s">
        <v>20</v>
      </c>
      <c r="L2751">
        <v>1</v>
      </c>
      <c r="M2751">
        <v>1</v>
      </c>
      <c r="N2751">
        <v>1</v>
      </c>
      <c r="O2751" t="s">
        <v>27</v>
      </c>
      <c r="P2751" t="str">
        <f>TEXT(Table1[[#This Row],[order_date]],"yyyy-mm")</f>
        <v>2026-01</v>
      </c>
      <c r="Q2751">
        <f>WEEKNUM(Table1[[#This Row],[order_date]])</f>
        <v>2</v>
      </c>
      <c r="R2751">
        <f>IF(Table1[[#This Row],[order_status]]="completed",1,0)</f>
        <v>0</v>
      </c>
    </row>
    <row r="2752" spans="1:18" x14ac:dyDescent="0.35">
      <c r="A2752">
        <v>2751</v>
      </c>
      <c r="B2752" s="1">
        <v>45955</v>
      </c>
      <c r="C2752">
        <v>1548</v>
      </c>
      <c r="D2752" t="s">
        <v>32</v>
      </c>
      <c r="E2752" t="s">
        <v>29</v>
      </c>
      <c r="F2752" t="s">
        <v>17</v>
      </c>
      <c r="G2752">
        <v>5</v>
      </c>
      <c r="H2752">
        <v>6455</v>
      </c>
      <c r="I2752" t="s">
        <v>25</v>
      </c>
      <c r="J2752" t="s">
        <v>19</v>
      </c>
      <c r="K2752" t="s">
        <v>26</v>
      </c>
      <c r="L2752">
        <v>7</v>
      </c>
      <c r="M2752">
        <v>0</v>
      </c>
      <c r="N2752">
        <v>0</v>
      </c>
      <c r="O2752" t="s">
        <v>21</v>
      </c>
      <c r="P2752" t="str">
        <f>TEXT(Table1[[#This Row],[order_date]],"yyyy-mm")</f>
        <v>2025-10</v>
      </c>
      <c r="Q2752">
        <f>WEEKNUM(Table1[[#This Row],[order_date]])</f>
        <v>43</v>
      </c>
      <c r="R2752">
        <f>IF(Table1[[#This Row],[order_status]]="completed",1,0)</f>
        <v>1</v>
      </c>
    </row>
    <row r="2753" spans="1:18" x14ac:dyDescent="0.35">
      <c r="A2753">
        <v>2752</v>
      </c>
      <c r="B2753" s="1">
        <v>45981</v>
      </c>
      <c r="C2753">
        <v>1826</v>
      </c>
      <c r="D2753" t="s">
        <v>32</v>
      </c>
      <c r="E2753" t="s">
        <v>29</v>
      </c>
      <c r="F2753" t="s">
        <v>17</v>
      </c>
      <c r="G2753">
        <v>2</v>
      </c>
      <c r="H2753">
        <v>3146</v>
      </c>
      <c r="I2753" t="s">
        <v>25</v>
      </c>
      <c r="J2753" t="s">
        <v>19</v>
      </c>
      <c r="K2753" t="s">
        <v>20</v>
      </c>
      <c r="L2753">
        <v>5</v>
      </c>
      <c r="M2753">
        <v>1</v>
      </c>
      <c r="N2753">
        <v>0</v>
      </c>
      <c r="O2753" t="s">
        <v>21</v>
      </c>
      <c r="P2753" t="str">
        <f>TEXT(Table1[[#This Row],[order_date]],"yyyy-mm")</f>
        <v>2025-11</v>
      </c>
      <c r="Q2753">
        <f>WEEKNUM(Table1[[#This Row],[order_date]])</f>
        <v>47</v>
      </c>
      <c r="R2753">
        <f>IF(Table1[[#This Row],[order_status]]="completed",1,0)</f>
        <v>1</v>
      </c>
    </row>
    <row r="2754" spans="1:18" x14ac:dyDescent="0.35">
      <c r="A2754">
        <v>2753</v>
      </c>
      <c r="B2754" s="1">
        <v>45911</v>
      </c>
      <c r="C2754">
        <v>1708</v>
      </c>
      <c r="D2754" t="s">
        <v>15</v>
      </c>
      <c r="E2754" t="s">
        <v>36</v>
      </c>
      <c r="F2754" t="s">
        <v>17</v>
      </c>
      <c r="G2754">
        <v>3</v>
      </c>
      <c r="H2754">
        <v>0</v>
      </c>
      <c r="I2754" t="s">
        <v>25</v>
      </c>
      <c r="J2754" t="s">
        <v>31</v>
      </c>
      <c r="K2754" t="s">
        <v>38</v>
      </c>
      <c r="L2754">
        <v>2</v>
      </c>
      <c r="M2754">
        <v>0</v>
      </c>
      <c r="N2754">
        <v>0</v>
      </c>
      <c r="O2754" t="s">
        <v>21</v>
      </c>
      <c r="P2754" t="str">
        <f>TEXT(Table1[[#This Row],[order_date]],"yyyy-mm")</f>
        <v>2025-09</v>
      </c>
      <c r="Q2754">
        <f>WEEKNUM(Table1[[#This Row],[order_date]])</f>
        <v>37</v>
      </c>
      <c r="R2754">
        <f>IF(Table1[[#This Row],[order_status]]="completed",1,0)</f>
        <v>0</v>
      </c>
    </row>
    <row r="2755" spans="1:18" x14ac:dyDescent="0.35">
      <c r="A2755">
        <v>2754</v>
      </c>
      <c r="B2755" s="1">
        <v>46013</v>
      </c>
      <c r="C2755">
        <v>1698</v>
      </c>
      <c r="D2755" t="s">
        <v>15</v>
      </c>
      <c r="E2755" t="s">
        <v>23</v>
      </c>
      <c r="F2755" t="s">
        <v>34</v>
      </c>
      <c r="G2755">
        <v>4</v>
      </c>
      <c r="H2755">
        <v>0</v>
      </c>
      <c r="I2755" t="s">
        <v>39</v>
      </c>
      <c r="J2755" t="s">
        <v>37</v>
      </c>
      <c r="K2755" t="s">
        <v>20</v>
      </c>
      <c r="L2755">
        <v>4</v>
      </c>
      <c r="M2755">
        <v>0</v>
      </c>
      <c r="N2755">
        <v>0</v>
      </c>
      <c r="O2755" t="s">
        <v>27</v>
      </c>
      <c r="P2755" t="str">
        <f>TEXT(Table1[[#This Row],[order_date]],"yyyy-mm")</f>
        <v>2025-12</v>
      </c>
      <c r="Q2755">
        <f>WEEKNUM(Table1[[#This Row],[order_date]])</f>
        <v>52</v>
      </c>
      <c r="R2755">
        <f>IF(Table1[[#This Row],[order_status]]="completed",1,0)</f>
        <v>0</v>
      </c>
    </row>
    <row r="2756" spans="1:18" x14ac:dyDescent="0.35">
      <c r="A2756">
        <v>2755</v>
      </c>
      <c r="B2756" s="1">
        <v>45995</v>
      </c>
      <c r="C2756">
        <v>1293</v>
      </c>
      <c r="D2756" t="s">
        <v>28</v>
      </c>
      <c r="E2756" t="s">
        <v>16</v>
      </c>
      <c r="F2756" t="s">
        <v>30</v>
      </c>
      <c r="G2756">
        <v>3</v>
      </c>
      <c r="H2756">
        <v>0</v>
      </c>
      <c r="I2756" t="s">
        <v>25</v>
      </c>
      <c r="J2756" t="s">
        <v>37</v>
      </c>
      <c r="K2756" t="s">
        <v>20</v>
      </c>
      <c r="L2756">
        <v>3</v>
      </c>
      <c r="M2756">
        <v>1</v>
      </c>
      <c r="N2756">
        <v>1</v>
      </c>
      <c r="O2756" t="s">
        <v>21</v>
      </c>
      <c r="P2756" t="str">
        <f>TEXT(Table1[[#This Row],[order_date]],"yyyy-mm")</f>
        <v>2025-12</v>
      </c>
      <c r="Q2756">
        <f>WEEKNUM(Table1[[#This Row],[order_date]])</f>
        <v>49</v>
      </c>
      <c r="R2756">
        <f>IF(Table1[[#This Row],[order_status]]="completed",1,0)</f>
        <v>0</v>
      </c>
    </row>
    <row r="2757" spans="1:18" x14ac:dyDescent="0.35">
      <c r="A2757">
        <v>2756</v>
      </c>
      <c r="B2757" s="1">
        <v>45990</v>
      </c>
      <c r="C2757">
        <v>1263</v>
      </c>
      <c r="D2757" t="s">
        <v>28</v>
      </c>
      <c r="E2757" t="s">
        <v>29</v>
      </c>
      <c r="F2757" t="s">
        <v>34</v>
      </c>
      <c r="G2757">
        <v>3</v>
      </c>
      <c r="H2757">
        <v>0</v>
      </c>
      <c r="I2757" t="s">
        <v>35</v>
      </c>
      <c r="J2757" t="s">
        <v>37</v>
      </c>
      <c r="K2757" t="s">
        <v>38</v>
      </c>
      <c r="L2757">
        <v>3</v>
      </c>
      <c r="M2757">
        <v>1</v>
      </c>
      <c r="N2757">
        <v>1</v>
      </c>
      <c r="O2757" t="s">
        <v>27</v>
      </c>
      <c r="P2757" t="str">
        <f>TEXT(Table1[[#This Row],[order_date]],"yyyy-mm")</f>
        <v>2025-11</v>
      </c>
      <c r="Q2757">
        <f>WEEKNUM(Table1[[#This Row],[order_date]])</f>
        <v>48</v>
      </c>
      <c r="R2757">
        <f>IF(Table1[[#This Row],[order_status]]="completed",1,0)</f>
        <v>0</v>
      </c>
    </row>
    <row r="2758" spans="1:18" x14ac:dyDescent="0.35">
      <c r="A2758">
        <v>2757</v>
      </c>
      <c r="B2758" s="1">
        <v>45936</v>
      </c>
      <c r="C2758">
        <v>1959</v>
      </c>
      <c r="D2758" t="s">
        <v>22</v>
      </c>
      <c r="E2758" t="s">
        <v>23</v>
      </c>
      <c r="F2758" t="s">
        <v>30</v>
      </c>
      <c r="G2758">
        <v>2</v>
      </c>
      <c r="H2758">
        <v>0</v>
      </c>
      <c r="I2758" t="s">
        <v>35</v>
      </c>
      <c r="J2758" t="s">
        <v>31</v>
      </c>
      <c r="K2758" t="s">
        <v>20</v>
      </c>
      <c r="L2758">
        <v>4</v>
      </c>
      <c r="M2758">
        <v>0</v>
      </c>
      <c r="N2758">
        <v>0</v>
      </c>
      <c r="O2758" t="s">
        <v>27</v>
      </c>
      <c r="P2758" t="str">
        <f>TEXT(Table1[[#This Row],[order_date]],"yyyy-mm")</f>
        <v>2025-10</v>
      </c>
      <c r="Q2758">
        <f>WEEKNUM(Table1[[#This Row],[order_date]])</f>
        <v>41</v>
      </c>
      <c r="R2758">
        <f>IF(Table1[[#This Row],[order_status]]="completed",1,0)</f>
        <v>0</v>
      </c>
    </row>
    <row r="2759" spans="1:18" x14ac:dyDescent="0.35">
      <c r="A2759">
        <v>2758</v>
      </c>
      <c r="B2759" s="1">
        <v>45929</v>
      </c>
      <c r="C2759">
        <v>1514</v>
      </c>
      <c r="D2759" t="s">
        <v>32</v>
      </c>
      <c r="E2759" t="s">
        <v>23</v>
      </c>
      <c r="F2759" t="s">
        <v>24</v>
      </c>
      <c r="G2759">
        <v>5</v>
      </c>
      <c r="H2759">
        <v>7155</v>
      </c>
      <c r="I2759" t="s">
        <v>39</v>
      </c>
      <c r="J2759" t="s">
        <v>19</v>
      </c>
      <c r="K2759" t="s">
        <v>26</v>
      </c>
      <c r="L2759">
        <v>9</v>
      </c>
      <c r="M2759">
        <v>1</v>
      </c>
      <c r="N2759">
        <v>1</v>
      </c>
      <c r="O2759" t="s">
        <v>27</v>
      </c>
      <c r="P2759" t="str">
        <f>TEXT(Table1[[#This Row],[order_date]],"yyyy-mm")</f>
        <v>2025-09</v>
      </c>
      <c r="Q2759">
        <f>WEEKNUM(Table1[[#This Row],[order_date]])</f>
        <v>40</v>
      </c>
      <c r="R2759">
        <f>IF(Table1[[#This Row],[order_status]]="completed",1,0)</f>
        <v>1</v>
      </c>
    </row>
    <row r="2760" spans="1:18" x14ac:dyDescent="0.35">
      <c r="A2760">
        <v>2759</v>
      </c>
      <c r="B2760" s="1">
        <v>45881</v>
      </c>
      <c r="C2760">
        <v>1924</v>
      </c>
      <c r="D2760" t="s">
        <v>32</v>
      </c>
      <c r="E2760" t="s">
        <v>29</v>
      </c>
      <c r="F2760" t="s">
        <v>17</v>
      </c>
      <c r="G2760">
        <v>4</v>
      </c>
      <c r="H2760">
        <v>0</v>
      </c>
      <c r="I2760" t="s">
        <v>35</v>
      </c>
      <c r="J2760" t="s">
        <v>37</v>
      </c>
      <c r="K2760" t="s">
        <v>40</v>
      </c>
      <c r="L2760">
        <v>6</v>
      </c>
      <c r="M2760">
        <v>0</v>
      </c>
      <c r="N2760">
        <v>0</v>
      </c>
      <c r="O2760" t="s">
        <v>27</v>
      </c>
      <c r="P2760" t="str">
        <f>TEXT(Table1[[#This Row],[order_date]],"yyyy-mm")</f>
        <v>2025-08</v>
      </c>
      <c r="Q2760">
        <f>WEEKNUM(Table1[[#This Row],[order_date]])</f>
        <v>33</v>
      </c>
      <c r="R2760">
        <f>IF(Table1[[#This Row],[order_status]]="completed",1,0)</f>
        <v>0</v>
      </c>
    </row>
    <row r="2761" spans="1:18" x14ac:dyDescent="0.35">
      <c r="A2761">
        <v>2760</v>
      </c>
      <c r="B2761" s="1">
        <v>45985</v>
      </c>
      <c r="C2761">
        <v>1839</v>
      </c>
      <c r="D2761" t="s">
        <v>41</v>
      </c>
      <c r="E2761" t="s">
        <v>16</v>
      </c>
      <c r="F2761" t="s">
        <v>30</v>
      </c>
      <c r="G2761">
        <v>2</v>
      </c>
      <c r="H2761">
        <v>0</v>
      </c>
      <c r="I2761" t="s">
        <v>39</v>
      </c>
      <c r="J2761" t="s">
        <v>37</v>
      </c>
      <c r="K2761" t="s">
        <v>26</v>
      </c>
      <c r="L2761">
        <v>3</v>
      </c>
      <c r="M2761">
        <v>0</v>
      </c>
      <c r="N2761">
        <v>0</v>
      </c>
      <c r="O2761" t="s">
        <v>27</v>
      </c>
      <c r="P2761" t="str">
        <f>TEXT(Table1[[#This Row],[order_date]],"yyyy-mm")</f>
        <v>2025-11</v>
      </c>
      <c r="Q2761">
        <f>WEEKNUM(Table1[[#This Row],[order_date]])</f>
        <v>48</v>
      </c>
      <c r="R2761">
        <f>IF(Table1[[#This Row],[order_status]]="completed",1,0)</f>
        <v>0</v>
      </c>
    </row>
    <row r="2762" spans="1:18" x14ac:dyDescent="0.35">
      <c r="A2762">
        <v>2761</v>
      </c>
      <c r="B2762" s="1">
        <v>45862</v>
      </c>
      <c r="C2762">
        <v>1686</v>
      </c>
      <c r="D2762" t="s">
        <v>22</v>
      </c>
      <c r="E2762" t="s">
        <v>23</v>
      </c>
      <c r="F2762" t="s">
        <v>24</v>
      </c>
      <c r="G2762">
        <v>4</v>
      </c>
      <c r="H2762">
        <v>0</v>
      </c>
      <c r="I2762" t="s">
        <v>18</v>
      </c>
      <c r="J2762" t="s">
        <v>37</v>
      </c>
      <c r="K2762" t="s">
        <v>38</v>
      </c>
      <c r="L2762">
        <v>7</v>
      </c>
      <c r="M2762">
        <v>0</v>
      </c>
      <c r="N2762">
        <v>1</v>
      </c>
      <c r="O2762" t="s">
        <v>27</v>
      </c>
      <c r="P2762" t="str">
        <f>TEXT(Table1[[#This Row],[order_date]],"yyyy-mm")</f>
        <v>2025-07</v>
      </c>
      <c r="Q2762">
        <f>WEEKNUM(Table1[[#This Row],[order_date]])</f>
        <v>30</v>
      </c>
      <c r="R2762">
        <f>IF(Table1[[#This Row],[order_status]]="completed",1,0)</f>
        <v>0</v>
      </c>
    </row>
    <row r="2763" spans="1:18" x14ac:dyDescent="0.35">
      <c r="A2763">
        <v>2762</v>
      </c>
      <c r="B2763" s="1">
        <v>46030</v>
      </c>
      <c r="C2763">
        <v>1681</v>
      </c>
      <c r="D2763" t="s">
        <v>28</v>
      </c>
      <c r="E2763" t="s">
        <v>33</v>
      </c>
      <c r="F2763" t="s">
        <v>17</v>
      </c>
      <c r="G2763">
        <v>1</v>
      </c>
      <c r="H2763">
        <v>0</v>
      </c>
      <c r="I2763" t="s">
        <v>25</v>
      </c>
      <c r="J2763" t="s">
        <v>31</v>
      </c>
      <c r="K2763" t="s">
        <v>26</v>
      </c>
      <c r="L2763">
        <v>8</v>
      </c>
      <c r="M2763">
        <v>0</v>
      </c>
      <c r="N2763">
        <v>1</v>
      </c>
      <c r="O2763" t="s">
        <v>27</v>
      </c>
      <c r="P2763" t="str">
        <f>TEXT(Table1[[#This Row],[order_date]],"yyyy-mm")</f>
        <v>2026-01</v>
      </c>
      <c r="Q2763">
        <f>WEEKNUM(Table1[[#This Row],[order_date]])</f>
        <v>2</v>
      </c>
      <c r="R2763">
        <f>IF(Table1[[#This Row],[order_status]]="completed",1,0)</f>
        <v>0</v>
      </c>
    </row>
    <row r="2764" spans="1:18" x14ac:dyDescent="0.35">
      <c r="A2764">
        <v>2763</v>
      </c>
      <c r="B2764" s="1">
        <v>46006</v>
      </c>
      <c r="C2764">
        <v>1093</v>
      </c>
      <c r="D2764" t="s">
        <v>32</v>
      </c>
      <c r="E2764" t="s">
        <v>23</v>
      </c>
      <c r="F2764" t="s">
        <v>30</v>
      </c>
      <c r="G2764">
        <v>2</v>
      </c>
      <c r="H2764">
        <v>1080</v>
      </c>
      <c r="I2764" t="s">
        <v>35</v>
      </c>
      <c r="J2764" t="s">
        <v>19</v>
      </c>
      <c r="K2764" t="s">
        <v>20</v>
      </c>
      <c r="L2764">
        <v>1</v>
      </c>
      <c r="M2764">
        <v>0</v>
      </c>
      <c r="N2764">
        <v>1</v>
      </c>
      <c r="O2764" t="s">
        <v>27</v>
      </c>
      <c r="P2764" t="str">
        <f>TEXT(Table1[[#This Row],[order_date]],"yyyy-mm")</f>
        <v>2025-12</v>
      </c>
      <c r="Q2764">
        <f>WEEKNUM(Table1[[#This Row],[order_date]])</f>
        <v>51</v>
      </c>
      <c r="R2764">
        <f>IF(Table1[[#This Row],[order_status]]="completed",1,0)</f>
        <v>1</v>
      </c>
    </row>
    <row r="2765" spans="1:18" x14ac:dyDescent="0.35">
      <c r="A2765">
        <v>2764</v>
      </c>
      <c r="B2765" s="1">
        <v>45867</v>
      </c>
      <c r="C2765">
        <v>1945</v>
      </c>
      <c r="D2765" t="s">
        <v>32</v>
      </c>
      <c r="E2765" t="s">
        <v>16</v>
      </c>
      <c r="F2765" t="s">
        <v>17</v>
      </c>
      <c r="G2765">
        <v>4</v>
      </c>
      <c r="H2765">
        <v>0</v>
      </c>
      <c r="I2765" t="s">
        <v>18</v>
      </c>
      <c r="J2765" t="s">
        <v>37</v>
      </c>
      <c r="K2765" t="s">
        <v>20</v>
      </c>
      <c r="L2765">
        <v>6</v>
      </c>
      <c r="M2765">
        <v>0</v>
      </c>
      <c r="N2765">
        <v>1</v>
      </c>
      <c r="O2765" t="s">
        <v>21</v>
      </c>
      <c r="P2765" t="str">
        <f>TEXT(Table1[[#This Row],[order_date]],"yyyy-mm")</f>
        <v>2025-07</v>
      </c>
      <c r="Q2765">
        <f>WEEKNUM(Table1[[#This Row],[order_date]])</f>
        <v>31</v>
      </c>
      <c r="R2765">
        <f>IF(Table1[[#This Row],[order_status]]="completed",1,0)</f>
        <v>0</v>
      </c>
    </row>
    <row r="2766" spans="1:18" x14ac:dyDescent="0.35">
      <c r="A2766">
        <v>2765</v>
      </c>
      <c r="B2766" s="1">
        <v>45959</v>
      </c>
      <c r="C2766">
        <v>1666</v>
      </c>
      <c r="D2766" t="s">
        <v>28</v>
      </c>
      <c r="E2766" t="s">
        <v>29</v>
      </c>
      <c r="F2766" t="s">
        <v>34</v>
      </c>
      <c r="G2766">
        <v>1</v>
      </c>
      <c r="H2766">
        <v>0</v>
      </c>
      <c r="I2766" t="s">
        <v>35</v>
      </c>
      <c r="J2766" t="s">
        <v>31</v>
      </c>
      <c r="K2766" t="s">
        <v>40</v>
      </c>
      <c r="L2766">
        <v>2</v>
      </c>
      <c r="M2766">
        <v>1</v>
      </c>
      <c r="N2766">
        <v>1</v>
      </c>
      <c r="O2766" t="s">
        <v>27</v>
      </c>
      <c r="P2766" t="str">
        <f>TEXT(Table1[[#This Row],[order_date]],"yyyy-mm")</f>
        <v>2025-10</v>
      </c>
      <c r="Q2766">
        <f>WEEKNUM(Table1[[#This Row],[order_date]])</f>
        <v>44</v>
      </c>
      <c r="R2766">
        <f>IF(Table1[[#This Row],[order_status]]="completed",1,0)</f>
        <v>0</v>
      </c>
    </row>
    <row r="2767" spans="1:18" x14ac:dyDescent="0.35">
      <c r="A2767">
        <v>2766</v>
      </c>
      <c r="B2767" s="1">
        <v>45992</v>
      </c>
      <c r="C2767">
        <v>1021</v>
      </c>
      <c r="D2767" t="s">
        <v>15</v>
      </c>
      <c r="E2767" t="s">
        <v>16</v>
      </c>
      <c r="F2767" t="s">
        <v>34</v>
      </c>
      <c r="G2767">
        <v>5</v>
      </c>
      <c r="H2767">
        <v>0</v>
      </c>
      <c r="I2767" t="s">
        <v>18</v>
      </c>
      <c r="J2767" t="s">
        <v>37</v>
      </c>
      <c r="K2767" t="s">
        <v>40</v>
      </c>
      <c r="L2767">
        <v>10</v>
      </c>
      <c r="M2767">
        <v>0</v>
      </c>
      <c r="N2767">
        <v>0</v>
      </c>
      <c r="O2767" t="s">
        <v>27</v>
      </c>
      <c r="P2767" t="str">
        <f>TEXT(Table1[[#This Row],[order_date]],"yyyy-mm")</f>
        <v>2025-12</v>
      </c>
      <c r="Q2767">
        <f>WEEKNUM(Table1[[#This Row],[order_date]])</f>
        <v>49</v>
      </c>
      <c r="R2767">
        <f>IF(Table1[[#This Row],[order_status]]="completed",1,0)</f>
        <v>0</v>
      </c>
    </row>
    <row r="2768" spans="1:18" x14ac:dyDescent="0.35">
      <c r="A2768">
        <v>2767</v>
      </c>
      <c r="B2768" s="1">
        <v>45866</v>
      </c>
      <c r="C2768">
        <v>1314</v>
      </c>
      <c r="D2768" t="s">
        <v>22</v>
      </c>
      <c r="E2768" t="s">
        <v>36</v>
      </c>
      <c r="F2768" t="s">
        <v>17</v>
      </c>
      <c r="G2768">
        <v>5</v>
      </c>
      <c r="H2768">
        <v>0</v>
      </c>
      <c r="I2768" t="s">
        <v>18</v>
      </c>
      <c r="J2768" t="s">
        <v>31</v>
      </c>
      <c r="K2768" t="s">
        <v>38</v>
      </c>
      <c r="L2768">
        <v>9</v>
      </c>
      <c r="M2768">
        <v>0</v>
      </c>
      <c r="N2768">
        <v>0</v>
      </c>
      <c r="O2768" t="s">
        <v>27</v>
      </c>
      <c r="P2768" t="str">
        <f>TEXT(Table1[[#This Row],[order_date]],"yyyy-mm")</f>
        <v>2025-07</v>
      </c>
      <c r="Q2768">
        <f>WEEKNUM(Table1[[#This Row],[order_date]])</f>
        <v>31</v>
      </c>
      <c r="R2768">
        <f>IF(Table1[[#This Row],[order_status]]="completed",1,0)</f>
        <v>0</v>
      </c>
    </row>
    <row r="2769" spans="1:18" x14ac:dyDescent="0.35">
      <c r="A2769">
        <v>2768</v>
      </c>
      <c r="B2769" s="1">
        <v>45938</v>
      </c>
      <c r="C2769">
        <v>1715</v>
      </c>
      <c r="D2769" t="s">
        <v>41</v>
      </c>
      <c r="E2769" t="s">
        <v>36</v>
      </c>
      <c r="F2769" t="s">
        <v>30</v>
      </c>
      <c r="G2769">
        <v>2</v>
      </c>
      <c r="H2769">
        <v>0</v>
      </c>
      <c r="I2769" t="s">
        <v>35</v>
      </c>
      <c r="J2769" t="s">
        <v>37</v>
      </c>
      <c r="K2769" t="s">
        <v>20</v>
      </c>
      <c r="L2769">
        <v>8</v>
      </c>
      <c r="M2769">
        <v>0</v>
      </c>
      <c r="N2769">
        <v>0</v>
      </c>
      <c r="O2769" t="s">
        <v>27</v>
      </c>
      <c r="P2769" t="str">
        <f>TEXT(Table1[[#This Row],[order_date]],"yyyy-mm")</f>
        <v>2025-10</v>
      </c>
      <c r="Q2769">
        <f>WEEKNUM(Table1[[#This Row],[order_date]])</f>
        <v>41</v>
      </c>
      <c r="R2769">
        <f>IF(Table1[[#This Row],[order_status]]="completed",1,0)</f>
        <v>0</v>
      </c>
    </row>
    <row r="2770" spans="1:18" x14ac:dyDescent="0.35">
      <c r="A2770">
        <v>2769</v>
      </c>
      <c r="B2770" s="1">
        <v>45875</v>
      </c>
      <c r="C2770">
        <v>1653</v>
      </c>
      <c r="D2770" t="s">
        <v>22</v>
      </c>
      <c r="E2770" t="s">
        <v>16</v>
      </c>
      <c r="F2770" t="s">
        <v>34</v>
      </c>
      <c r="G2770">
        <v>3</v>
      </c>
      <c r="H2770">
        <v>6033</v>
      </c>
      <c r="I2770" t="s">
        <v>18</v>
      </c>
      <c r="J2770" t="s">
        <v>19</v>
      </c>
      <c r="K2770" t="s">
        <v>26</v>
      </c>
      <c r="L2770">
        <v>8</v>
      </c>
      <c r="M2770">
        <v>1</v>
      </c>
      <c r="N2770">
        <v>0</v>
      </c>
      <c r="O2770" t="s">
        <v>21</v>
      </c>
      <c r="P2770" t="str">
        <f>TEXT(Table1[[#This Row],[order_date]],"yyyy-mm")</f>
        <v>2025-08</v>
      </c>
      <c r="Q2770">
        <f>WEEKNUM(Table1[[#This Row],[order_date]])</f>
        <v>32</v>
      </c>
      <c r="R2770">
        <f>IF(Table1[[#This Row],[order_status]]="completed",1,0)</f>
        <v>1</v>
      </c>
    </row>
    <row r="2771" spans="1:18" x14ac:dyDescent="0.35">
      <c r="A2771">
        <v>2770</v>
      </c>
      <c r="B2771" s="1">
        <v>45937</v>
      </c>
      <c r="C2771">
        <v>1187</v>
      </c>
      <c r="D2771" t="s">
        <v>41</v>
      </c>
      <c r="E2771" t="s">
        <v>29</v>
      </c>
      <c r="F2771" t="s">
        <v>17</v>
      </c>
      <c r="G2771">
        <v>5</v>
      </c>
      <c r="H2771">
        <v>3915</v>
      </c>
      <c r="I2771" t="s">
        <v>39</v>
      </c>
      <c r="J2771" t="s">
        <v>19</v>
      </c>
      <c r="K2771" t="s">
        <v>26</v>
      </c>
      <c r="L2771">
        <v>9</v>
      </c>
      <c r="M2771">
        <v>0</v>
      </c>
      <c r="N2771">
        <v>1</v>
      </c>
      <c r="O2771" t="s">
        <v>27</v>
      </c>
      <c r="P2771" t="str">
        <f>TEXT(Table1[[#This Row],[order_date]],"yyyy-mm")</f>
        <v>2025-10</v>
      </c>
      <c r="Q2771">
        <f>WEEKNUM(Table1[[#This Row],[order_date]])</f>
        <v>41</v>
      </c>
      <c r="R2771">
        <f>IF(Table1[[#This Row],[order_status]]="completed",1,0)</f>
        <v>1</v>
      </c>
    </row>
    <row r="2772" spans="1:18" x14ac:dyDescent="0.35">
      <c r="A2772">
        <v>2771</v>
      </c>
      <c r="B2772" s="1">
        <v>46013</v>
      </c>
      <c r="C2772">
        <v>1639</v>
      </c>
      <c r="D2772" t="s">
        <v>32</v>
      </c>
      <c r="E2772" t="s">
        <v>16</v>
      </c>
      <c r="F2772" t="s">
        <v>24</v>
      </c>
      <c r="G2772">
        <v>4</v>
      </c>
      <c r="H2772">
        <v>0</v>
      </c>
      <c r="I2772" t="s">
        <v>35</v>
      </c>
      <c r="J2772" t="s">
        <v>31</v>
      </c>
      <c r="K2772" t="s">
        <v>40</v>
      </c>
      <c r="L2772">
        <v>4</v>
      </c>
      <c r="M2772">
        <v>1</v>
      </c>
      <c r="N2772">
        <v>1</v>
      </c>
      <c r="O2772" t="s">
        <v>21</v>
      </c>
      <c r="P2772" t="str">
        <f>TEXT(Table1[[#This Row],[order_date]],"yyyy-mm")</f>
        <v>2025-12</v>
      </c>
      <c r="Q2772">
        <f>WEEKNUM(Table1[[#This Row],[order_date]])</f>
        <v>52</v>
      </c>
      <c r="R2772">
        <f>IF(Table1[[#This Row],[order_status]]="completed",1,0)</f>
        <v>0</v>
      </c>
    </row>
    <row r="2773" spans="1:18" x14ac:dyDescent="0.35">
      <c r="A2773">
        <v>2772</v>
      </c>
      <c r="B2773" s="1">
        <v>46012</v>
      </c>
      <c r="C2773">
        <v>1379</v>
      </c>
      <c r="D2773" t="s">
        <v>22</v>
      </c>
      <c r="E2773" t="s">
        <v>36</v>
      </c>
      <c r="F2773" t="s">
        <v>34</v>
      </c>
      <c r="G2773">
        <v>4</v>
      </c>
      <c r="H2773">
        <v>17812</v>
      </c>
      <c r="I2773" t="s">
        <v>25</v>
      </c>
      <c r="J2773" t="s">
        <v>19</v>
      </c>
      <c r="K2773" t="s">
        <v>26</v>
      </c>
      <c r="L2773">
        <v>8</v>
      </c>
      <c r="M2773">
        <v>1</v>
      </c>
      <c r="N2773">
        <v>0</v>
      </c>
      <c r="O2773" t="s">
        <v>21</v>
      </c>
      <c r="P2773" t="str">
        <f>TEXT(Table1[[#This Row],[order_date]],"yyyy-mm")</f>
        <v>2025-12</v>
      </c>
      <c r="Q2773">
        <f>WEEKNUM(Table1[[#This Row],[order_date]])</f>
        <v>52</v>
      </c>
      <c r="R2773">
        <f>IF(Table1[[#This Row],[order_status]]="completed",1,0)</f>
        <v>1</v>
      </c>
    </row>
    <row r="2774" spans="1:18" x14ac:dyDescent="0.35">
      <c r="A2774">
        <v>2773</v>
      </c>
      <c r="B2774" s="1">
        <v>45911</v>
      </c>
      <c r="C2774">
        <v>1320</v>
      </c>
      <c r="D2774" t="s">
        <v>32</v>
      </c>
      <c r="E2774" t="s">
        <v>16</v>
      </c>
      <c r="F2774" t="s">
        <v>17</v>
      </c>
      <c r="G2774">
        <v>4</v>
      </c>
      <c r="H2774">
        <v>0</v>
      </c>
      <c r="I2774" t="s">
        <v>35</v>
      </c>
      <c r="J2774" t="s">
        <v>37</v>
      </c>
      <c r="K2774" t="s">
        <v>40</v>
      </c>
      <c r="L2774">
        <v>6</v>
      </c>
      <c r="M2774">
        <v>1</v>
      </c>
      <c r="N2774">
        <v>1</v>
      </c>
      <c r="O2774" t="s">
        <v>21</v>
      </c>
      <c r="P2774" t="str">
        <f>TEXT(Table1[[#This Row],[order_date]],"yyyy-mm")</f>
        <v>2025-09</v>
      </c>
      <c r="Q2774">
        <f>WEEKNUM(Table1[[#This Row],[order_date]])</f>
        <v>37</v>
      </c>
      <c r="R2774">
        <f>IF(Table1[[#This Row],[order_status]]="completed",1,0)</f>
        <v>0</v>
      </c>
    </row>
    <row r="2775" spans="1:18" x14ac:dyDescent="0.35">
      <c r="A2775">
        <v>2774</v>
      </c>
      <c r="B2775" s="1">
        <v>45991</v>
      </c>
      <c r="C2775">
        <v>1663</v>
      </c>
      <c r="D2775" t="s">
        <v>41</v>
      </c>
      <c r="E2775" t="s">
        <v>33</v>
      </c>
      <c r="F2775" t="s">
        <v>24</v>
      </c>
      <c r="G2775">
        <v>4</v>
      </c>
      <c r="H2775">
        <v>10964</v>
      </c>
      <c r="I2775" t="s">
        <v>25</v>
      </c>
      <c r="J2775" t="s">
        <v>19</v>
      </c>
      <c r="K2775" t="s">
        <v>20</v>
      </c>
      <c r="L2775">
        <v>6</v>
      </c>
      <c r="M2775">
        <v>0</v>
      </c>
      <c r="N2775">
        <v>0</v>
      </c>
      <c r="O2775" t="s">
        <v>27</v>
      </c>
      <c r="P2775" t="str">
        <f>TEXT(Table1[[#This Row],[order_date]],"yyyy-mm")</f>
        <v>2025-11</v>
      </c>
      <c r="Q2775">
        <f>WEEKNUM(Table1[[#This Row],[order_date]])</f>
        <v>49</v>
      </c>
      <c r="R2775">
        <f>IF(Table1[[#This Row],[order_status]]="completed",1,0)</f>
        <v>1</v>
      </c>
    </row>
    <row r="2776" spans="1:18" x14ac:dyDescent="0.35">
      <c r="A2776">
        <v>2775</v>
      </c>
      <c r="B2776" s="1">
        <v>45915</v>
      </c>
      <c r="C2776">
        <v>1153</v>
      </c>
      <c r="D2776" t="s">
        <v>15</v>
      </c>
      <c r="E2776" t="s">
        <v>23</v>
      </c>
      <c r="F2776" t="s">
        <v>24</v>
      </c>
      <c r="G2776">
        <v>3</v>
      </c>
      <c r="H2776">
        <v>0</v>
      </c>
      <c r="I2776" t="s">
        <v>35</v>
      </c>
      <c r="J2776" t="s">
        <v>37</v>
      </c>
      <c r="K2776" t="s">
        <v>26</v>
      </c>
      <c r="L2776">
        <v>6</v>
      </c>
      <c r="M2776">
        <v>0</v>
      </c>
      <c r="N2776">
        <v>1</v>
      </c>
      <c r="O2776" t="s">
        <v>27</v>
      </c>
      <c r="P2776" t="str">
        <f>TEXT(Table1[[#This Row],[order_date]],"yyyy-mm")</f>
        <v>2025-09</v>
      </c>
      <c r="Q2776">
        <f>WEEKNUM(Table1[[#This Row],[order_date]])</f>
        <v>38</v>
      </c>
      <c r="R2776">
        <f>IF(Table1[[#This Row],[order_status]]="completed",1,0)</f>
        <v>0</v>
      </c>
    </row>
    <row r="2777" spans="1:18" x14ac:dyDescent="0.35">
      <c r="A2777">
        <v>2776</v>
      </c>
      <c r="B2777" s="1">
        <v>45958</v>
      </c>
      <c r="C2777">
        <v>1464</v>
      </c>
      <c r="D2777" t="s">
        <v>41</v>
      </c>
      <c r="E2777" t="s">
        <v>29</v>
      </c>
      <c r="F2777" t="s">
        <v>34</v>
      </c>
      <c r="G2777">
        <v>4</v>
      </c>
      <c r="H2777">
        <v>0</v>
      </c>
      <c r="I2777" t="s">
        <v>18</v>
      </c>
      <c r="J2777" t="s">
        <v>37</v>
      </c>
      <c r="K2777" t="s">
        <v>40</v>
      </c>
      <c r="L2777">
        <v>9</v>
      </c>
      <c r="M2777">
        <v>0</v>
      </c>
      <c r="N2777">
        <v>1</v>
      </c>
      <c r="O2777" t="s">
        <v>27</v>
      </c>
      <c r="P2777" t="str">
        <f>TEXT(Table1[[#This Row],[order_date]],"yyyy-mm")</f>
        <v>2025-10</v>
      </c>
      <c r="Q2777">
        <f>WEEKNUM(Table1[[#This Row],[order_date]])</f>
        <v>44</v>
      </c>
      <c r="R2777">
        <f>IF(Table1[[#This Row],[order_status]]="completed",1,0)</f>
        <v>0</v>
      </c>
    </row>
    <row r="2778" spans="1:18" x14ac:dyDescent="0.35">
      <c r="A2778">
        <v>2777</v>
      </c>
      <c r="B2778" s="1">
        <v>45943</v>
      </c>
      <c r="C2778">
        <v>1117</v>
      </c>
      <c r="D2778" t="s">
        <v>32</v>
      </c>
      <c r="E2778" t="s">
        <v>29</v>
      </c>
      <c r="F2778" t="s">
        <v>17</v>
      </c>
      <c r="G2778">
        <v>4</v>
      </c>
      <c r="H2778">
        <v>0</v>
      </c>
      <c r="I2778" t="s">
        <v>35</v>
      </c>
      <c r="J2778" t="s">
        <v>31</v>
      </c>
      <c r="K2778" t="s">
        <v>20</v>
      </c>
      <c r="L2778">
        <v>3</v>
      </c>
      <c r="M2778">
        <v>0</v>
      </c>
      <c r="N2778">
        <v>0</v>
      </c>
      <c r="O2778" t="s">
        <v>27</v>
      </c>
      <c r="P2778" t="str">
        <f>TEXT(Table1[[#This Row],[order_date]],"yyyy-mm")</f>
        <v>2025-10</v>
      </c>
      <c r="Q2778">
        <f>WEEKNUM(Table1[[#This Row],[order_date]])</f>
        <v>42</v>
      </c>
      <c r="R2778">
        <f>IF(Table1[[#This Row],[order_status]]="completed",1,0)</f>
        <v>0</v>
      </c>
    </row>
    <row r="2779" spans="1:18" x14ac:dyDescent="0.35">
      <c r="A2779">
        <v>2778</v>
      </c>
      <c r="B2779" s="1">
        <v>45911</v>
      </c>
      <c r="C2779">
        <v>1401</v>
      </c>
      <c r="D2779" t="s">
        <v>22</v>
      </c>
      <c r="E2779" t="s">
        <v>36</v>
      </c>
      <c r="F2779" t="s">
        <v>30</v>
      </c>
      <c r="G2779">
        <v>2</v>
      </c>
      <c r="H2779">
        <v>9836</v>
      </c>
      <c r="I2779" t="s">
        <v>39</v>
      </c>
      <c r="J2779" t="s">
        <v>19</v>
      </c>
      <c r="K2779" t="s">
        <v>38</v>
      </c>
      <c r="L2779">
        <v>7</v>
      </c>
      <c r="M2779">
        <v>1</v>
      </c>
      <c r="N2779">
        <v>1</v>
      </c>
      <c r="O2779" t="s">
        <v>27</v>
      </c>
      <c r="P2779" t="str">
        <f>TEXT(Table1[[#This Row],[order_date]],"yyyy-mm")</f>
        <v>2025-09</v>
      </c>
      <c r="Q2779">
        <f>WEEKNUM(Table1[[#This Row],[order_date]])</f>
        <v>37</v>
      </c>
      <c r="R2779">
        <f>IF(Table1[[#This Row],[order_status]]="completed",1,0)</f>
        <v>1</v>
      </c>
    </row>
    <row r="2780" spans="1:18" x14ac:dyDescent="0.35">
      <c r="A2780">
        <v>2779</v>
      </c>
      <c r="B2780" s="1">
        <v>45908</v>
      </c>
      <c r="C2780">
        <v>1445</v>
      </c>
      <c r="D2780" t="s">
        <v>15</v>
      </c>
      <c r="E2780" t="s">
        <v>16</v>
      </c>
      <c r="F2780" t="s">
        <v>24</v>
      </c>
      <c r="G2780">
        <v>1</v>
      </c>
      <c r="H2780">
        <v>0</v>
      </c>
      <c r="I2780" t="s">
        <v>39</v>
      </c>
      <c r="J2780" t="s">
        <v>31</v>
      </c>
      <c r="K2780" t="s">
        <v>40</v>
      </c>
      <c r="L2780">
        <v>7</v>
      </c>
      <c r="M2780">
        <v>1</v>
      </c>
      <c r="N2780">
        <v>1</v>
      </c>
      <c r="O2780" t="s">
        <v>21</v>
      </c>
      <c r="P2780" t="str">
        <f>TEXT(Table1[[#This Row],[order_date]],"yyyy-mm")</f>
        <v>2025-09</v>
      </c>
      <c r="Q2780">
        <f>WEEKNUM(Table1[[#This Row],[order_date]])</f>
        <v>37</v>
      </c>
      <c r="R2780">
        <f>IF(Table1[[#This Row],[order_status]]="completed",1,0)</f>
        <v>0</v>
      </c>
    </row>
    <row r="2781" spans="1:18" x14ac:dyDescent="0.35">
      <c r="A2781">
        <v>2780</v>
      </c>
      <c r="B2781" s="1">
        <v>45883</v>
      </c>
      <c r="C2781">
        <v>1793</v>
      </c>
      <c r="D2781" t="s">
        <v>22</v>
      </c>
      <c r="E2781" t="s">
        <v>29</v>
      </c>
      <c r="F2781" t="s">
        <v>30</v>
      </c>
      <c r="G2781">
        <v>1</v>
      </c>
      <c r="H2781">
        <v>0</v>
      </c>
      <c r="I2781" t="s">
        <v>35</v>
      </c>
      <c r="J2781" t="s">
        <v>37</v>
      </c>
      <c r="K2781" t="s">
        <v>38</v>
      </c>
      <c r="L2781">
        <v>8</v>
      </c>
      <c r="M2781">
        <v>1</v>
      </c>
      <c r="N2781">
        <v>0</v>
      </c>
      <c r="O2781" t="s">
        <v>21</v>
      </c>
      <c r="P2781" t="str">
        <f>TEXT(Table1[[#This Row],[order_date]],"yyyy-mm")</f>
        <v>2025-08</v>
      </c>
      <c r="Q2781">
        <f>WEEKNUM(Table1[[#This Row],[order_date]])</f>
        <v>33</v>
      </c>
      <c r="R2781">
        <f>IF(Table1[[#This Row],[order_status]]="completed",1,0)</f>
        <v>0</v>
      </c>
    </row>
    <row r="2782" spans="1:18" x14ac:dyDescent="0.35">
      <c r="A2782">
        <v>2781</v>
      </c>
      <c r="B2782" s="1">
        <v>45926</v>
      </c>
      <c r="C2782">
        <v>1470</v>
      </c>
      <c r="D2782" t="s">
        <v>22</v>
      </c>
      <c r="E2782" t="s">
        <v>29</v>
      </c>
      <c r="F2782" t="s">
        <v>17</v>
      </c>
      <c r="G2782">
        <v>4</v>
      </c>
      <c r="H2782">
        <v>2332</v>
      </c>
      <c r="I2782" t="s">
        <v>25</v>
      </c>
      <c r="J2782" t="s">
        <v>19</v>
      </c>
      <c r="K2782" t="s">
        <v>40</v>
      </c>
      <c r="L2782">
        <v>5</v>
      </c>
      <c r="M2782">
        <v>1</v>
      </c>
      <c r="N2782">
        <v>1</v>
      </c>
      <c r="O2782" t="s">
        <v>27</v>
      </c>
      <c r="P2782" t="str">
        <f>TEXT(Table1[[#This Row],[order_date]],"yyyy-mm")</f>
        <v>2025-09</v>
      </c>
      <c r="Q2782">
        <f>WEEKNUM(Table1[[#This Row],[order_date]])</f>
        <v>39</v>
      </c>
      <c r="R2782">
        <f>IF(Table1[[#This Row],[order_status]]="completed",1,0)</f>
        <v>1</v>
      </c>
    </row>
    <row r="2783" spans="1:18" x14ac:dyDescent="0.35">
      <c r="A2783">
        <v>2782</v>
      </c>
      <c r="B2783" s="1">
        <v>45951</v>
      </c>
      <c r="C2783">
        <v>1156</v>
      </c>
      <c r="D2783" t="s">
        <v>28</v>
      </c>
      <c r="E2783" t="s">
        <v>29</v>
      </c>
      <c r="F2783" t="s">
        <v>30</v>
      </c>
      <c r="G2783">
        <v>4</v>
      </c>
      <c r="H2783">
        <v>0</v>
      </c>
      <c r="I2783" t="s">
        <v>39</v>
      </c>
      <c r="J2783" t="s">
        <v>37</v>
      </c>
      <c r="K2783" t="s">
        <v>20</v>
      </c>
      <c r="L2783">
        <v>1</v>
      </c>
      <c r="M2783">
        <v>0</v>
      </c>
      <c r="N2783">
        <v>0</v>
      </c>
      <c r="O2783" t="s">
        <v>21</v>
      </c>
      <c r="P2783" t="str">
        <f>TEXT(Table1[[#This Row],[order_date]],"yyyy-mm")</f>
        <v>2025-10</v>
      </c>
      <c r="Q2783">
        <f>WEEKNUM(Table1[[#This Row],[order_date]])</f>
        <v>43</v>
      </c>
      <c r="R2783">
        <f>IF(Table1[[#This Row],[order_status]]="completed",1,0)</f>
        <v>0</v>
      </c>
    </row>
    <row r="2784" spans="1:18" x14ac:dyDescent="0.35">
      <c r="A2784">
        <v>2783</v>
      </c>
      <c r="B2784" s="1">
        <v>45883</v>
      </c>
      <c r="C2784">
        <v>1145</v>
      </c>
      <c r="D2784" t="s">
        <v>32</v>
      </c>
      <c r="E2784" t="s">
        <v>29</v>
      </c>
      <c r="F2784" t="s">
        <v>24</v>
      </c>
      <c r="G2784">
        <v>2</v>
      </c>
      <c r="H2784">
        <v>0</v>
      </c>
      <c r="I2784" t="s">
        <v>25</v>
      </c>
      <c r="J2784" t="s">
        <v>31</v>
      </c>
      <c r="K2784" t="s">
        <v>40</v>
      </c>
      <c r="L2784">
        <v>8</v>
      </c>
      <c r="M2784">
        <v>0</v>
      </c>
      <c r="N2784">
        <v>1</v>
      </c>
      <c r="O2784" t="s">
        <v>21</v>
      </c>
      <c r="P2784" t="str">
        <f>TEXT(Table1[[#This Row],[order_date]],"yyyy-mm")</f>
        <v>2025-08</v>
      </c>
      <c r="Q2784">
        <f>WEEKNUM(Table1[[#This Row],[order_date]])</f>
        <v>33</v>
      </c>
      <c r="R2784">
        <f>IF(Table1[[#This Row],[order_status]]="completed",1,0)</f>
        <v>0</v>
      </c>
    </row>
    <row r="2785" spans="1:18" x14ac:dyDescent="0.35">
      <c r="A2785">
        <v>2784</v>
      </c>
      <c r="B2785" s="1">
        <v>46015</v>
      </c>
      <c r="C2785">
        <v>1573</v>
      </c>
      <c r="D2785" t="s">
        <v>32</v>
      </c>
      <c r="E2785" t="s">
        <v>36</v>
      </c>
      <c r="F2785" t="s">
        <v>34</v>
      </c>
      <c r="G2785">
        <v>4</v>
      </c>
      <c r="H2785">
        <v>0</v>
      </c>
      <c r="I2785" t="s">
        <v>18</v>
      </c>
      <c r="J2785" t="s">
        <v>31</v>
      </c>
      <c r="K2785" t="s">
        <v>38</v>
      </c>
      <c r="L2785">
        <v>2</v>
      </c>
      <c r="M2785">
        <v>0</v>
      </c>
      <c r="N2785">
        <v>1</v>
      </c>
      <c r="O2785" t="s">
        <v>21</v>
      </c>
      <c r="P2785" t="str">
        <f>TEXT(Table1[[#This Row],[order_date]],"yyyy-mm")</f>
        <v>2025-12</v>
      </c>
      <c r="Q2785">
        <f>WEEKNUM(Table1[[#This Row],[order_date]])</f>
        <v>52</v>
      </c>
      <c r="R2785">
        <f>IF(Table1[[#This Row],[order_status]]="completed",1,0)</f>
        <v>0</v>
      </c>
    </row>
    <row r="2786" spans="1:18" x14ac:dyDescent="0.35">
      <c r="A2786">
        <v>2785</v>
      </c>
      <c r="B2786" s="1">
        <v>46019</v>
      </c>
      <c r="C2786">
        <v>1004</v>
      </c>
      <c r="D2786" t="s">
        <v>41</v>
      </c>
      <c r="E2786" t="s">
        <v>36</v>
      </c>
      <c r="F2786" t="s">
        <v>34</v>
      </c>
      <c r="G2786">
        <v>4</v>
      </c>
      <c r="H2786">
        <v>3268</v>
      </c>
      <c r="I2786" t="s">
        <v>25</v>
      </c>
      <c r="J2786" t="s">
        <v>19</v>
      </c>
      <c r="K2786" t="s">
        <v>38</v>
      </c>
      <c r="L2786">
        <v>5</v>
      </c>
      <c r="M2786">
        <v>0</v>
      </c>
      <c r="N2786">
        <v>1</v>
      </c>
      <c r="O2786" t="s">
        <v>21</v>
      </c>
      <c r="P2786" t="str">
        <f>TEXT(Table1[[#This Row],[order_date]],"yyyy-mm")</f>
        <v>2025-12</v>
      </c>
      <c r="Q2786">
        <f>WEEKNUM(Table1[[#This Row],[order_date]])</f>
        <v>53</v>
      </c>
      <c r="R2786">
        <f>IF(Table1[[#This Row],[order_status]]="completed",1,0)</f>
        <v>1</v>
      </c>
    </row>
    <row r="2787" spans="1:18" x14ac:dyDescent="0.35">
      <c r="A2787">
        <v>2786</v>
      </c>
      <c r="B2787" s="1">
        <v>46031</v>
      </c>
      <c r="C2787">
        <v>1004</v>
      </c>
      <c r="D2787" t="s">
        <v>28</v>
      </c>
      <c r="E2787" t="s">
        <v>29</v>
      </c>
      <c r="F2787" t="s">
        <v>34</v>
      </c>
      <c r="G2787">
        <v>4</v>
      </c>
      <c r="H2787">
        <v>14568</v>
      </c>
      <c r="I2787" t="s">
        <v>25</v>
      </c>
      <c r="J2787" t="s">
        <v>19</v>
      </c>
      <c r="K2787" t="s">
        <v>38</v>
      </c>
      <c r="L2787">
        <v>10</v>
      </c>
      <c r="M2787">
        <v>0</v>
      </c>
      <c r="N2787">
        <v>1</v>
      </c>
      <c r="O2787" t="s">
        <v>21</v>
      </c>
      <c r="P2787" t="str">
        <f>TEXT(Table1[[#This Row],[order_date]],"yyyy-mm")</f>
        <v>2026-01</v>
      </c>
      <c r="Q2787">
        <f>WEEKNUM(Table1[[#This Row],[order_date]])</f>
        <v>2</v>
      </c>
      <c r="R2787">
        <f>IF(Table1[[#This Row],[order_status]]="completed",1,0)</f>
        <v>1</v>
      </c>
    </row>
    <row r="2788" spans="1:18" x14ac:dyDescent="0.35">
      <c r="A2788">
        <v>2787</v>
      </c>
      <c r="B2788" s="1">
        <v>46007</v>
      </c>
      <c r="C2788">
        <v>1473</v>
      </c>
      <c r="D2788" t="s">
        <v>28</v>
      </c>
      <c r="E2788" t="s">
        <v>29</v>
      </c>
      <c r="F2788" t="s">
        <v>34</v>
      </c>
      <c r="G2788">
        <v>4</v>
      </c>
      <c r="H2788">
        <v>0</v>
      </c>
      <c r="I2788" t="s">
        <v>18</v>
      </c>
      <c r="J2788" t="s">
        <v>31</v>
      </c>
      <c r="K2788" t="s">
        <v>26</v>
      </c>
      <c r="L2788">
        <v>9</v>
      </c>
      <c r="M2788">
        <v>0</v>
      </c>
      <c r="N2788">
        <v>0</v>
      </c>
      <c r="O2788" t="s">
        <v>21</v>
      </c>
      <c r="P2788" t="str">
        <f>TEXT(Table1[[#This Row],[order_date]],"yyyy-mm")</f>
        <v>2025-12</v>
      </c>
      <c r="Q2788">
        <f>WEEKNUM(Table1[[#This Row],[order_date]])</f>
        <v>51</v>
      </c>
      <c r="R2788">
        <f>IF(Table1[[#This Row],[order_status]]="completed",1,0)</f>
        <v>0</v>
      </c>
    </row>
    <row r="2789" spans="1:18" x14ac:dyDescent="0.35">
      <c r="A2789">
        <v>2788</v>
      </c>
      <c r="B2789" s="1">
        <v>46000</v>
      </c>
      <c r="C2789">
        <v>1626</v>
      </c>
      <c r="D2789" t="s">
        <v>28</v>
      </c>
      <c r="E2789" t="s">
        <v>23</v>
      </c>
      <c r="F2789" t="s">
        <v>17</v>
      </c>
      <c r="G2789">
        <v>1</v>
      </c>
      <c r="H2789">
        <v>2822</v>
      </c>
      <c r="I2789" t="s">
        <v>39</v>
      </c>
      <c r="J2789" t="s">
        <v>19</v>
      </c>
      <c r="K2789" t="s">
        <v>40</v>
      </c>
      <c r="L2789">
        <v>10</v>
      </c>
      <c r="M2789">
        <v>0</v>
      </c>
      <c r="N2789">
        <v>1</v>
      </c>
      <c r="O2789" t="s">
        <v>21</v>
      </c>
      <c r="P2789" t="str">
        <f>TEXT(Table1[[#This Row],[order_date]],"yyyy-mm")</f>
        <v>2025-12</v>
      </c>
      <c r="Q2789">
        <f>WEEKNUM(Table1[[#This Row],[order_date]])</f>
        <v>50</v>
      </c>
      <c r="R2789">
        <f>IF(Table1[[#This Row],[order_status]]="completed",1,0)</f>
        <v>1</v>
      </c>
    </row>
    <row r="2790" spans="1:18" x14ac:dyDescent="0.35">
      <c r="A2790">
        <v>2789</v>
      </c>
      <c r="B2790" s="1">
        <v>45911</v>
      </c>
      <c r="C2790">
        <v>1027</v>
      </c>
      <c r="D2790" t="s">
        <v>28</v>
      </c>
      <c r="E2790" t="s">
        <v>29</v>
      </c>
      <c r="F2790" t="s">
        <v>34</v>
      </c>
      <c r="G2790">
        <v>2</v>
      </c>
      <c r="H2790">
        <v>0</v>
      </c>
      <c r="I2790" t="s">
        <v>39</v>
      </c>
      <c r="J2790" t="s">
        <v>37</v>
      </c>
      <c r="K2790" t="s">
        <v>26</v>
      </c>
      <c r="L2790">
        <v>4</v>
      </c>
      <c r="M2790">
        <v>0</v>
      </c>
      <c r="N2790">
        <v>0</v>
      </c>
      <c r="O2790" t="s">
        <v>21</v>
      </c>
      <c r="P2790" t="str">
        <f>TEXT(Table1[[#This Row],[order_date]],"yyyy-mm")</f>
        <v>2025-09</v>
      </c>
      <c r="Q2790">
        <f>WEEKNUM(Table1[[#This Row],[order_date]])</f>
        <v>37</v>
      </c>
      <c r="R2790">
        <f>IF(Table1[[#This Row],[order_status]]="completed",1,0)</f>
        <v>0</v>
      </c>
    </row>
    <row r="2791" spans="1:18" x14ac:dyDescent="0.35">
      <c r="A2791">
        <v>2790</v>
      </c>
      <c r="B2791" s="1">
        <v>45969</v>
      </c>
      <c r="C2791">
        <v>1194</v>
      </c>
      <c r="D2791" t="s">
        <v>41</v>
      </c>
      <c r="E2791" t="s">
        <v>16</v>
      </c>
      <c r="F2791" t="s">
        <v>17</v>
      </c>
      <c r="G2791">
        <v>1</v>
      </c>
      <c r="H2791">
        <v>0</v>
      </c>
      <c r="I2791" t="s">
        <v>18</v>
      </c>
      <c r="J2791" t="s">
        <v>37</v>
      </c>
      <c r="K2791" t="s">
        <v>38</v>
      </c>
      <c r="L2791">
        <v>10</v>
      </c>
      <c r="M2791">
        <v>0</v>
      </c>
      <c r="N2791">
        <v>1</v>
      </c>
      <c r="O2791" t="s">
        <v>21</v>
      </c>
      <c r="P2791" t="str">
        <f>TEXT(Table1[[#This Row],[order_date]],"yyyy-mm")</f>
        <v>2025-11</v>
      </c>
      <c r="Q2791">
        <f>WEEKNUM(Table1[[#This Row],[order_date]])</f>
        <v>45</v>
      </c>
      <c r="R2791">
        <f>IF(Table1[[#This Row],[order_status]]="completed",1,0)</f>
        <v>0</v>
      </c>
    </row>
    <row r="2792" spans="1:18" x14ac:dyDescent="0.35">
      <c r="A2792">
        <v>2791</v>
      </c>
      <c r="B2792" s="1">
        <v>45919</v>
      </c>
      <c r="C2792">
        <v>1130</v>
      </c>
      <c r="D2792" t="s">
        <v>15</v>
      </c>
      <c r="E2792" t="s">
        <v>16</v>
      </c>
      <c r="F2792" t="s">
        <v>30</v>
      </c>
      <c r="G2792">
        <v>4</v>
      </c>
      <c r="H2792">
        <v>0</v>
      </c>
      <c r="I2792" t="s">
        <v>25</v>
      </c>
      <c r="J2792" t="s">
        <v>37</v>
      </c>
      <c r="K2792" t="s">
        <v>20</v>
      </c>
      <c r="L2792">
        <v>4</v>
      </c>
      <c r="M2792">
        <v>0</v>
      </c>
      <c r="N2792">
        <v>0</v>
      </c>
      <c r="O2792" t="s">
        <v>27</v>
      </c>
      <c r="P2792" t="str">
        <f>TEXT(Table1[[#This Row],[order_date]],"yyyy-mm")</f>
        <v>2025-09</v>
      </c>
      <c r="Q2792">
        <f>WEEKNUM(Table1[[#This Row],[order_date]])</f>
        <v>38</v>
      </c>
      <c r="R2792">
        <f>IF(Table1[[#This Row],[order_status]]="completed",1,0)</f>
        <v>0</v>
      </c>
    </row>
    <row r="2793" spans="1:18" x14ac:dyDescent="0.35">
      <c r="A2793">
        <v>2792</v>
      </c>
      <c r="B2793" s="1">
        <v>45964</v>
      </c>
      <c r="C2793">
        <v>1957</v>
      </c>
      <c r="D2793" t="s">
        <v>22</v>
      </c>
      <c r="E2793" t="s">
        <v>29</v>
      </c>
      <c r="F2793" t="s">
        <v>24</v>
      </c>
      <c r="G2793">
        <v>3</v>
      </c>
      <c r="H2793">
        <v>14916</v>
      </c>
      <c r="I2793" t="s">
        <v>39</v>
      </c>
      <c r="J2793" t="s">
        <v>19</v>
      </c>
      <c r="K2793" t="s">
        <v>26</v>
      </c>
      <c r="L2793">
        <v>4</v>
      </c>
      <c r="M2793">
        <v>0</v>
      </c>
      <c r="N2793">
        <v>0</v>
      </c>
      <c r="O2793" t="s">
        <v>27</v>
      </c>
      <c r="P2793" t="str">
        <f>TEXT(Table1[[#This Row],[order_date]],"yyyy-mm")</f>
        <v>2025-11</v>
      </c>
      <c r="Q2793">
        <f>WEEKNUM(Table1[[#This Row],[order_date]])</f>
        <v>45</v>
      </c>
      <c r="R2793">
        <f>IF(Table1[[#This Row],[order_status]]="completed",1,0)</f>
        <v>1</v>
      </c>
    </row>
    <row r="2794" spans="1:18" x14ac:dyDescent="0.35">
      <c r="A2794">
        <v>2793</v>
      </c>
      <c r="B2794" s="1">
        <v>45872</v>
      </c>
      <c r="C2794">
        <v>1942</v>
      </c>
      <c r="D2794" t="s">
        <v>15</v>
      </c>
      <c r="E2794" t="s">
        <v>36</v>
      </c>
      <c r="F2794" t="s">
        <v>24</v>
      </c>
      <c r="G2794">
        <v>5</v>
      </c>
      <c r="H2794">
        <v>0</v>
      </c>
      <c r="I2794" t="s">
        <v>18</v>
      </c>
      <c r="J2794" t="s">
        <v>37</v>
      </c>
      <c r="K2794" t="s">
        <v>40</v>
      </c>
      <c r="L2794">
        <v>5</v>
      </c>
      <c r="M2794">
        <v>0</v>
      </c>
      <c r="N2794">
        <v>0</v>
      </c>
      <c r="O2794" t="s">
        <v>27</v>
      </c>
      <c r="P2794" t="str">
        <f>TEXT(Table1[[#This Row],[order_date]],"yyyy-mm")</f>
        <v>2025-08</v>
      </c>
      <c r="Q2794">
        <f>WEEKNUM(Table1[[#This Row],[order_date]])</f>
        <v>32</v>
      </c>
      <c r="R2794">
        <f>IF(Table1[[#This Row],[order_status]]="completed",1,0)</f>
        <v>0</v>
      </c>
    </row>
    <row r="2795" spans="1:18" x14ac:dyDescent="0.35">
      <c r="A2795">
        <v>2794</v>
      </c>
      <c r="B2795" s="1">
        <v>45978</v>
      </c>
      <c r="C2795">
        <v>1178</v>
      </c>
      <c r="D2795" t="s">
        <v>41</v>
      </c>
      <c r="E2795" t="s">
        <v>16</v>
      </c>
      <c r="F2795" t="s">
        <v>30</v>
      </c>
      <c r="G2795">
        <v>1</v>
      </c>
      <c r="H2795">
        <v>0</v>
      </c>
      <c r="I2795" t="s">
        <v>35</v>
      </c>
      <c r="J2795" t="s">
        <v>31</v>
      </c>
      <c r="K2795" t="s">
        <v>26</v>
      </c>
      <c r="L2795">
        <v>3</v>
      </c>
      <c r="M2795">
        <v>1</v>
      </c>
      <c r="N2795">
        <v>0</v>
      </c>
      <c r="O2795" t="s">
        <v>21</v>
      </c>
      <c r="P2795" t="str">
        <f>TEXT(Table1[[#This Row],[order_date]],"yyyy-mm")</f>
        <v>2025-11</v>
      </c>
      <c r="Q2795">
        <f>WEEKNUM(Table1[[#This Row],[order_date]])</f>
        <v>47</v>
      </c>
      <c r="R2795">
        <f>IF(Table1[[#This Row],[order_status]]="completed",1,0)</f>
        <v>0</v>
      </c>
    </row>
    <row r="2796" spans="1:18" x14ac:dyDescent="0.35">
      <c r="A2796">
        <v>2795</v>
      </c>
      <c r="B2796" s="1">
        <v>45961</v>
      </c>
      <c r="C2796">
        <v>1568</v>
      </c>
      <c r="D2796" t="s">
        <v>41</v>
      </c>
      <c r="E2796" t="s">
        <v>16</v>
      </c>
      <c r="F2796" t="s">
        <v>24</v>
      </c>
      <c r="G2796">
        <v>3</v>
      </c>
      <c r="H2796">
        <v>8004</v>
      </c>
      <c r="I2796" t="s">
        <v>35</v>
      </c>
      <c r="J2796" t="s">
        <v>19</v>
      </c>
      <c r="K2796" t="s">
        <v>20</v>
      </c>
      <c r="L2796">
        <v>9</v>
      </c>
      <c r="M2796">
        <v>1</v>
      </c>
      <c r="N2796">
        <v>1</v>
      </c>
      <c r="O2796" t="s">
        <v>27</v>
      </c>
      <c r="P2796" t="str">
        <f>TEXT(Table1[[#This Row],[order_date]],"yyyy-mm")</f>
        <v>2025-10</v>
      </c>
      <c r="Q2796">
        <f>WEEKNUM(Table1[[#This Row],[order_date]])</f>
        <v>44</v>
      </c>
      <c r="R2796">
        <f>IF(Table1[[#This Row],[order_status]]="completed",1,0)</f>
        <v>1</v>
      </c>
    </row>
    <row r="2797" spans="1:18" x14ac:dyDescent="0.35">
      <c r="A2797">
        <v>2796</v>
      </c>
      <c r="B2797" s="1">
        <v>45914</v>
      </c>
      <c r="C2797">
        <v>1862</v>
      </c>
      <c r="D2797" t="s">
        <v>22</v>
      </c>
      <c r="E2797" t="s">
        <v>29</v>
      </c>
      <c r="F2797" t="s">
        <v>24</v>
      </c>
      <c r="G2797">
        <v>5</v>
      </c>
      <c r="H2797">
        <v>8455</v>
      </c>
      <c r="I2797" t="s">
        <v>39</v>
      </c>
      <c r="J2797" t="s">
        <v>19</v>
      </c>
      <c r="K2797" t="s">
        <v>20</v>
      </c>
      <c r="L2797">
        <v>2</v>
      </c>
      <c r="M2797">
        <v>1</v>
      </c>
      <c r="N2797">
        <v>0</v>
      </c>
      <c r="O2797" t="s">
        <v>27</v>
      </c>
      <c r="P2797" t="str">
        <f>TEXT(Table1[[#This Row],[order_date]],"yyyy-mm")</f>
        <v>2025-09</v>
      </c>
      <c r="Q2797">
        <f>WEEKNUM(Table1[[#This Row],[order_date]])</f>
        <v>38</v>
      </c>
      <c r="R2797">
        <f>IF(Table1[[#This Row],[order_status]]="completed",1,0)</f>
        <v>1</v>
      </c>
    </row>
    <row r="2798" spans="1:18" x14ac:dyDescent="0.35">
      <c r="A2798">
        <v>2797</v>
      </c>
      <c r="B2798" s="1">
        <v>45919</v>
      </c>
      <c r="C2798">
        <v>1205</v>
      </c>
      <c r="D2798" t="s">
        <v>32</v>
      </c>
      <c r="E2798" t="s">
        <v>33</v>
      </c>
      <c r="F2798" t="s">
        <v>34</v>
      </c>
      <c r="G2798">
        <v>2</v>
      </c>
      <c r="H2798">
        <v>0</v>
      </c>
      <c r="I2798" t="s">
        <v>39</v>
      </c>
      <c r="J2798" t="s">
        <v>31</v>
      </c>
      <c r="K2798" t="s">
        <v>26</v>
      </c>
      <c r="L2798">
        <v>2</v>
      </c>
      <c r="M2798">
        <v>0</v>
      </c>
      <c r="N2798">
        <v>0</v>
      </c>
      <c r="O2798" t="s">
        <v>27</v>
      </c>
      <c r="P2798" t="str">
        <f>TEXT(Table1[[#This Row],[order_date]],"yyyy-mm")</f>
        <v>2025-09</v>
      </c>
      <c r="Q2798">
        <f>WEEKNUM(Table1[[#This Row],[order_date]])</f>
        <v>38</v>
      </c>
      <c r="R2798">
        <f>IF(Table1[[#This Row],[order_status]]="completed",1,0)</f>
        <v>0</v>
      </c>
    </row>
    <row r="2799" spans="1:18" x14ac:dyDescent="0.35">
      <c r="A2799">
        <v>2798</v>
      </c>
      <c r="B2799" s="1">
        <v>45970</v>
      </c>
      <c r="C2799">
        <v>1538</v>
      </c>
      <c r="D2799" t="s">
        <v>22</v>
      </c>
      <c r="E2799" t="s">
        <v>16</v>
      </c>
      <c r="F2799" t="s">
        <v>34</v>
      </c>
      <c r="G2799">
        <v>3</v>
      </c>
      <c r="H2799">
        <v>0</v>
      </c>
      <c r="I2799" t="s">
        <v>18</v>
      </c>
      <c r="J2799" t="s">
        <v>31</v>
      </c>
      <c r="K2799" t="s">
        <v>40</v>
      </c>
      <c r="L2799">
        <v>8</v>
      </c>
      <c r="M2799">
        <v>1</v>
      </c>
      <c r="N2799">
        <v>1</v>
      </c>
      <c r="O2799" t="s">
        <v>27</v>
      </c>
      <c r="P2799" t="str">
        <f>TEXT(Table1[[#This Row],[order_date]],"yyyy-mm")</f>
        <v>2025-11</v>
      </c>
      <c r="Q2799">
        <f>WEEKNUM(Table1[[#This Row],[order_date]])</f>
        <v>46</v>
      </c>
      <c r="R2799">
        <f>IF(Table1[[#This Row],[order_status]]="completed",1,0)</f>
        <v>0</v>
      </c>
    </row>
    <row r="2800" spans="1:18" x14ac:dyDescent="0.35">
      <c r="A2800">
        <v>2799</v>
      </c>
      <c r="B2800" s="1">
        <v>45998</v>
      </c>
      <c r="C2800">
        <v>1777</v>
      </c>
      <c r="D2800" t="s">
        <v>22</v>
      </c>
      <c r="E2800" t="s">
        <v>23</v>
      </c>
      <c r="F2800" t="s">
        <v>17</v>
      </c>
      <c r="G2800">
        <v>3</v>
      </c>
      <c r="H2800">
        <v>0</v>
      </c>
      <c r="I2800" t="s">
        <v>25</v>
      </c>
      <c r="J2800" t="s">
        <v>37</v>
      </c>
      <c r="K2800" t="s">
        <v>20</v>
      </c>
      <c r="L2800">
        <v>8</v>
      </c>
      <c r="M2800">
        <v>0</v>
      </c>
      <c r="N2800">
        <v>1</v>
      </c>
      <c r="O2800" t="s">
        <v>27</v>
      </c>
      <c r="P2800" t="str">
        <f>TEXT(Table1[[#This Row],[order_date]],"yyyy-mm")</f>
        <v>2025-12</v>
      </c>
      <c r="Q2800">
        <f>WEEKNUM(Table1[[#This Row],[order_date]])</f>
        <v>50</v>
      </c>
      <c r="R2800">
        <f>IF(Table1[[#This Row],[order_status]]="completed",1,0)</f>
        <v>0</v>
      </c>
    </row>
    <row r="2801" spans="1:18" x14ac:dyDescent="0.35">
      <c r="A2801">
        <v>2800</v>
      </c>
      <c r="B2801" s="1">
        <v>46016</v>
      </c>
      <c r="C2801">
        <v>1715</v>
      </c>
      <c r="D2801" t="s">
        <v>22</v>
      </c>
      <c r="E2801" t="s">
        <v>23</v>
      </c>
      <c r="F2801" t="s">
        <v>17</v>
      </c>
      <c r="G2801">
        <v>4</v>
      </c>
      <c r="H2801">
        <v>0</v>
      </c>
      <c r="I2801" t="s">
        <v>18</v>
      </c>
      <c r="J2801" t="s">
        <v>37</v>
      </c>
      <c r="K2801" t="s">
        <v>26</v>
      </c>
      <c r="L2801">
        <v>1</v>
      </c>
      <c r="M2801">
        <v>0</v>
      </c>
      <c r="N2801">
        <v>1</v>
      </c>
      <c r="O2801" t="s">
        <v>27</v>
      </c>
      <c r="P2801" t="str">
        <f>TEXT(Table1[[#This Row],[order_date]],"yyyy-mm")</f>
        <v>2025-12</v>
      </c>
      <c r="Q2801">
        <f>WEEKNUM(Table1[[#This Row],[order_date]])</f>
        <v>52</v>
      </c>
      <c r="R2801">
        <f>IF(Table1[[#This Row],[order_status]]="completed",1,0)</f>
        <v>0</v>
      </c>
    </row>
    <row r="2802" spans="1:18" x14ac:dyDescent="0.35">
      <c r="A2802">
        <v>2801</v>
      </c>
      <c r="B2802" s="1">
        <v>45865</v>
      </c>
      <c r="C2802">
        <v>1494</v>
      </c>
      <c r="D2802" t="s">
        <v>28</v>
      </c>
      <c r="E2802" t="s">
        <v>23</v>
      </c>
      <c r="F2802" t="s">
        <v>34</v>
      </c>
      <c r="G2802">
        <v>5</v>
      </c>
      <c r="H2802">
        <v>0</v>
      </c>
      <c r="I2802" t="s">
        <v>18</v>
      </c>
      <c r="J2802" t="s">
        <v>31</v>
      </c>
      <c r="K2802" t="s">
        <v>40</v>
      </c>
      <c r="L2802">
        <v>2</v>
      </c>
      <c r="M2802">
        <v>0</v>
      </c>
      <c r="N2802">
        <v>1</v>
      </c>
      <c r="O2802" t="s">
        <v>27</v>
      </c>
      <c r="P2802" t="str">
        <f>TEXT(Table1[[#This Row],[order_date]],"yyyy-mm")</f>
        <v>2025-07</v>
      </c>
      <c r="Q2802">
        <f>WEEKNUM(Table1[[#This Row],[order_date]])</f>
        <v>31</v>
      </c>
      <c r="R2802">
        <f>IF(Table1[[#This Row],[order_status]]="completed",1,0)</f>
        <v>0</v>
      </c>
    </row>
    <row r="2803" spans="1:18" x14ac:dyDescent="0.35">
      <c r="A2803">
        <v>2802</v>
      </c>
      <c r="B2803" s="1">
        <v>45990</v>
      </c>
      <c r="C2803">
        <v>1337</v>
      </c>
      <c r="D2803" t="s">
        <v>41</v>
      </c>
      <c r="E2803" t="s">
        <v>36</v>
      </c>
      <c r="F2803" t="s">
        <v>30</v>
      </c>
      <c r="G2803">
        <v>1</v>
      </c>
      <c r="H2803">
        <v>3663</v>
      </c>
      <c r="I2803" t="s">
        <v>39</v>
      </c>
      <c r="J2803" t="s">
        <v>19</v>
      </c>
      <c r="K2803" t="s">
        <v>40</v>
      </c>
      <c r="L2803">
        <v>7</v>
      </c>
      <c r="M2803">
        <v>0</v>
      </c>
      <c r="N2803">
        <v>1</v>
      </c>
      <c r="O2803" t="s">
        <v>27</v>
      </c>
      <c r="P2803" t="str">
        <f>TEXT(Table1[[#This Row],[order_date]],"yyyy-mm")</f>
        <v>2025-11</v>
      </c>
      <c r="Q2803">
        <f>WEEKNUM(Table1[[#This Row],[order_date]])</f>
        <v>48</v>
      </c>
      <c r="R2803">
        <f>IF(Table1[[#This Row],[order_status]]="completed",1,0)</f>
        <v>1</v>
      </c>
    </row>
    <row r="2804" spans="1:18" x14ac:dyDescent="0.35">
      <c r="A2804">
        <v>2803</v>
      </c>
      <c r="B2804" s="1">
        <v>45972</v>
      </c>
      <c r="C2804">
        <v>1041</v>
      </c>
      <c r="D2804" t="s">
        <v>22</v>
      </c>
      <c r="E2804" t="s">
        <v>33</v>
      </c>
      <c r="F2804" t="s">
        <v>24</v>
      </c>
      <c r="G2804">
        <v>5</v>
      </c>
      <c r="H2804">
        <v>0</v>
      </c>
      <c r="I2804" t="s">
        <v>39</v>
      </c>
      <c r="J2804" t="s">
        <v>31</v>
      </c>
      <c r="K2804" t="s">
        <v>38</v>
      </c>
      <c r="L2804">
        <v>10</v>
      </c>
      <c r="M2804">
        <v>0</v>
      </c>
      <c r="N2804">
        <v>1</v>
      </c>
      <c r="O2804" t="s">
        <v>21</v>
      </c>
      <c r="P2804" t="str">
        <f>TEXT(Table1[[#This Row],[order_date]],"yyyy-mm")</f>
        <v>2025-11</v>
      </c>
      <c r="Q2804">
        <f>WEEKNUM(Table1[[#This Row],[order_date]])</f>
        <v>46</v>
      </c>
      <c r="R2804">
        <f>IF(Table1[[#This Row],[order_status]]="completed",1,0)</f>
        <v>0</v>
      </c>
    </row>
    <row r="2805" spans="1:18" x14ac:dyDescent="0.35">
      <c r="A2805">
        <v>2804</v>
      </c>
      <c r="B2805" s="1">
        <v>45870</v>
      </c>
      <c r="C2805">
        <v>1460</v>
      </c>
      <c r="D2805" t="s">
        <v>15</v>
      </c>
      <c r="E2805" t="s">
        <v>36</v>
      </c>
      <c r="F2805" t="s">
        <v>30</v>
      </c>
      <c r="G2805">
        <v>4</v>
      </c>
      <c r="H2805">
        <v>0</v>
      </c>
      <c r="I2805" t="s">
        <v>39</v>
      </c>
      <c r="J2805" t="s">
        <v>37</v>
      </c>
      <c r="K2805" t="s">
        <v>40</v>
      </c>
      <c r="L2805">
        <v>8</v>
      </c>
      <c r="M2805">
        <v>0</v>
      </c>
      <c r="N2805">
        <v>1</v>
      </c>
      <c r="O2805" t="s">
        <v>21</v>
      </c>
      <c r="P2805" t="str">
        <f>TEXT(Table1[[#This Row],[order_date]],"yyyy-mm")</f>
        <v>2025-08</v>
      </c>
      <c r="Q2805">
        <f>WEEKNUM(Table1[[#This Row],[order_date]])</f>
        <v>31</v>
      </c>
      <c r="R2805">
        <f>IF(Table1[[#This Row],[order_status]]="completed",1,0)</f>
        <v>0</v>
      </c>
    </row>
    <row r="2806" spans="1:18" x14ac:dyDescent="0.35">
      <c r="A2806">
        <v>2805</v>
      </c>
      <c r="B2806" s="1">
        <v>45936</v>
      </c>
      <c r="C2806">
        <v>1523</v>
      </c>
      <c r="D2806" t="s">
        <v>41</v>
      </c>
      <c r="E2806" t="s">
        <v>36</v>
      </c>
      <c r="F2806" t="s">
        <v>34</v>
      </c>
      <c r="G2806">
        <v>2</v>
      </c>
      <c r="H2806">
        <v>0</v>
      </c>
      <c r="I2806" t="s">
        <v>35</v>
      </c>
      <c r="J2806" t="s">
        <v>37</v>
      </c>
      <c r="K2806" t="s">
        <v>20</v>
      </c>
      <c r="L2806">
        <v>4</v>
      </c>
      <c r="M2806">
        <v>0</v>
      </c>
      <c r="N2806">
        <v>0</v>
      </c>
      <c r="O2806" t="s">
        <v>27</v>
      </c>
      <c r="P2806" t="str">
        <f>TEXT(Table1[[#This Row],[order_date]],"yyyy-mm")</f>
        <v>2025-10</v>
      </c>
      <c r="Q2806">
        <f>WEEKNUM(Table1[[#This Row],[order_date]])</f>
        <v>41</v>
      </c>
      <c r="R2806">
        <f>IF(Table1[[#This Row],[order_status]]="completed",1,0)</f>
        <v>0</v>
      </c>
    </row>
    <row r="2807" spans="1:18" x14ac:dyDescent="0.35">
      <c r="A2807">
        <v>2806</v>
      </c>
      <c r="B2807" s="1">
        <v>45882</v>
      </c>
      <c r="C2807">
        <v>1293</v>
      </c>
      <c r="D2807" t="s">
        <v>22</v>
      </c>
      <c r="E2807" t="s">
        <v>29</v>
      </c>
      <c r="F2807" t="s">
        <v>34</v>
      </c>
      <c r="G2807">
        <v>4</v>
      </c>
      <c r="H2807">
        <v>0</v>
      </c>
      <c r="I2807" t="s">
        <v>18</v>
      </c>
      <c r="J2807" t="s">
        <v>31</v>
      </c>
      <c r="K2807" t="s">
        <v>38</v>
      </c>
      <c r="L2807">
        <v>10</v>
      </c>
      <c r="M2807">
        <v>0</v>
      </c>
      <c r="N2807">
        <v>0</v>
      </c>
      <c r="O2807" t="s">
        <v>27</v>
      </c>
      <c r="P2807" t="str">
        <f>TEXT(Table1[[#This Row],[order_date]],"yyyy-mm")</f>
        <v>2025-08</v>
      </c>
      <c r="Q2807">
        <f>WEEKNUM(Table1[[#This Row],[order_date]])</f>
        <v>33</v>
      </c>
      <c r="R2807">
        <f>IF(Table1[[#This Row],[order_status]]="completed",1,0)</f>
        <v>0</v>
      </c>
    </row>
    <row r="2808" spans="1:18" x14ac:dyDescent="0.35">
      <c r="A2808">
        <v>2807</v>
      </c>
      <c r="B2808" s="1">
        <v>45930</v>
      </c>
      <c r="C2808">
        <v>1888</v>
      </c>
      <c r="D2808" t="s">
        <v>28</v>
      </c>
      <c r="E2808" t="s">
        <v>33</v>
      </c>
      <c r="F2808" t="s">
        <v>17</v>
      </c>
      <c r="G2808">
        <v>2</v>
      </c>
      <c r="H2808">
        <v>0</v>
      </c>
      <c r="I2808" t="s">
        <v>35</v>
      </c>
      <c r="J2808" t="s">
        <v>37</v>
      </c>
      <c r="K2808" t="s">
        <v>20</v>
      </c>
      <c r="L2808">
        <v>9</v>
      </c>
      <c r="M2808">
        <v>0</v>
      </c>
      <c r="N2808">
        <v>0</v>
      </c>
      <c r="O2808" t="s">
        <v>21</v>
      </c>
      <c r="P2808" t="str">
        <f>TEXT(Table1[[#This Row],[order_date]],"yyyy-mm")</f>
        <v>2025-09</v>
      </c>
      <c r="Q2808">
        <f>WEEKNUM(Table1[[#This Row],[order_date]])</f>
        <v>40</v>
      </c>
      <c r="R2808">
        <f>IF(Table1[[#This Row],[order_status]]="completed",1,0)</f>
        <v>0</v>
      </c>
    </row>
    <row r="2809" spans="1:18" x14ac:dyDescent="0.35">
      <c r="A2809">
        <v>2808</v>
      </c>
      <c r="B2809" s="1">
        <v>45901</v>
      </c>
      <c r="C2809">
        <v>1300</v>
      </c>
      <c r="D2809" t="s">
        <v>22</v>
      </c>
      <c r="E2809" t="s">
        <v>29</v>
      </c>
      <c r="F2809" t="s">
        <v>34</v>
      </c>
      <c r="G2809">
        <v>5</v>
      </c>
      <c r="H2809">
        <v>0</v>
      </c>
      <c r="I2809" t="s">
        <v>35</v>
      </c>
      <c r="J2809" t="s">
        <v>31</v>
      </c>
      <c r="K2809" t="s">
        <v>38</v>
      </c>
      <c r="L2809">
        <v>4</v>
      </c>
      <c r="M2809">
        <v>1</v>
      </c>
      <c r="N2809">
        <v>0</v>
      </c>
      <c r="O2809" t="s">
        <v>27</v>
      </c>
      <c r="P2809" t="str">
        <f>TEXT(Table1[[#This Row],[order_date]],"yyyy-mm")</f>
        <v>2025-09</v>
      </c>
      <c r="Q2809">
        <f>WEEKNUM(Table1[[#This Row],[order_date]])</f>
        <v>36</v>
      </c>
      <c r="R2809">
        <f>IF(Table1[[#This Row],[order_status]]="completed",1,0)</f>
        <v>0</v>
      </c>
    </row>
    <row r="2810" spans="1:18" x14ac:dyDescent="0.35">
      <c r="A2810">
        <v>2809</v>
      </c>
      <c r="B2810" s="1">
        <v>45997</v>
      </c>
      <c r="C2810">
        <v>1820</v>
      </c>
      <c r="D2810" t="s">
        <v>15</v>
      </c>
      <c r="E2810" t="s">
        <v>33</v>
      </c>
      <c r="F2810" t="s">
        <v>30</v>
      </c>
      <c r="G2810">
        <v>3</v>
      </c>
      <c r="H2810">
        <v>0</v>
      </c>
      <c r="I2810" t="s">
        <v>25</v>
      </c>
      <c r="J2810" t="s">
        <v>31</v>
      </c>
      <c r="K2810" t="s">
        <v>40</v>
      </c>
      <c r="L2810">
        <v>3</v>
      </c>
      <c r="M2810">
        <v>1</v>
      </c>
      <c r="N2810">
        <v>0</v>
      </c>
      <c r="O2810" t="s">
        <v>21</v>
      </c>
      <c r="P2810" t="str">
        <f>TEXT(Table1[[#This Row],[order_date]],"yyyy-mm")</f>
        <v>2025-12</v>
      </c>
      <c r="Q2810">
        <f>WEEKNUM(Table1[[#This Row],[order_date]])</f>
        <v>49</v>
      </c>
      <c r="R2810">
        <f>IF(Table1[[#This Row],[order_status]]="completed",1,0)</f>
        <v>0</v>
      </c>
    </row>
    <row r="2811" spans="1:18" x14ac:dyDescent="0.35">
      <c r="A2811">
        <v>2810</v>
      </c>
      <c r="B2811" s="1">
        <v>46020</v>
      </c>
      <c r="C2811">
        <v>1517</v>
      </c>
      <c r="D2811" t="s">
        <v>15</v>
      </c>
      <c r="E2811" t="s">
        <v>36</v>
      </c>
      <c r="F2811" t="s">
        <v>34</v>
      </c>
      <c r="G2811">
        <v>2</v>
      </c>
      <c r="H2811">
        <v>0</v>
      </c>
      <c r="I2811" t="s">
        <v>25</v>
      </c>
      <c r="J2811" t="s">
        <v>37</v>
      </c>
      <c r="K2811" t="s">
        <v>38</v>
      </c>
      <c r="L2811">
        <v>8</v>
      </c>
      <c r="M2811">
        <v>1</v>
      </c>
      <c r="N2811">
        <v>1</v>
      </c>
      <c r="O2811" t="s">
        <v>21</v>
      </c>
      <c r="P2811" t="str">
        <f>TEXT(Table1[[#This Row],[order_date]],"yyyy-mm")</f>
        <v>2025-12</v>
      </c>
      <c r="Q2811">
        <f>WEEKNUM(Table1[[#This Row],[order_date]])</f>
        <v>53</v>
      </c>
      <c r="R2811">
        <f>IF(Table1[[#This Row],[order_status]]="completed",1,0)</f>
        <v>0</v>
      </c>
    </row>
    <row r="2812" spans="1:18" x14ac:dyDescent="0.35">
      <c r="A2812">
        <v>2811</v>
      </c>
      <c r="B2812" s="1">
        <v>45888</v>
      </c>
      <c r="C2812">
        <v>1316</v>
      </c>
      <c r="D2812" t="s">
        <v>22</v>
      </c>
      <c r="E2812" t="s">
        <v>33</v>
      </c>
      <c r="F2812" t="s">
        <v>34</v>
      </c>
      <c r="G2812">
        <v>2</v>
      </c>
      <c r="H2812">
        <v>9636</v>
      </c>
      <c r="I2812" t="s">
        <v>18</v>
      </c>
      <c r="J2812" t="s">
        <v>19</v>
      </c>
      <c r="K2812" t="s">
        <v>40</v>
      </c>
      <c r="L2812">
        <v>3</v>
      </c>
      <c r="M2812">
        <v>1</v>
      </c>
      <c r="N2812">
        <v>1</v>
      </c>
      <c r="O2812" t="s">
        <v>21</v>
      </c>
      <c r="P2812" t="str">
        <f>TEXT(Table1[[#This Row],[order_date]],"yyyy-mm")</f>
        <v>2025-08</v>
      </c>
      <c r="Q2812">
        <f>WEEKNUM(Table1[[#This Row],[order_date]])</f>
        <v>34</v>
      </c>
      <c r="R2812">
        <f>IF(Table1[[#This Row],[order_status]]="completed",1,0)</f>
        <v>1</v>
      </c>
    </row>
    <row r="2813" spans="1:18" x14ac:dyDescent="0.35">
      <c r="A2813">
        <v>2812</v>
      </c>
      <c r="B2813" s="1">
        <v>46001</v>
      </c>
      <c r="C2813">
        <v>1512</v>
      </c>
      <c r="D2813" t="s">
        <v>28</v>
      </c>
      <c r="E2813" t="s">
        <v>33</v>
      </c>
      <c r="F2813" t="s">
        <v>17</v>
      </c>
      <c r="G2813">
        <v>2</v>
      </c>
      <c r="H2813">
        <v>0</v>
      </c>
      <c r="I2813" t="s">
        <v>25</v>
      </c>
      <c r="J2813" t="s">
        <v>37</v>
      </c>
      <c r="K2813" t="s">
        <v>26</v>
      </c>
      <c r="L2813">
        <v>4</v>
      </c>
      <c r="M2813">
        <v>0</v>
      </c>
      <c r="N2813">
        <v>1</v>
      </c>
      <c r="O2813" t="s">
        <v>27</v>
      </c>
      <c r="P2813" t="str">
        <f>TEXT(Table1[[#This Row],[order_date]],"yyyy-mm")</f>
        <v>2025-12</v>
      </c>
      <c r="Q2813">
        <f>WEEKNUM(Table1[[#This Row],[order_date]])</f>
        <v>50</v>
      </c>
      <c r="R2813">
        <f>IF(Table1[[#This Row],[order_status]]="completed",1,0)</f>
        <v>0</v>
      </c>
    </row>
    <row r="2814" spans="1:18" x14ac:dyDescent="0.35">
      <c r="A2814">
        <v>2813</v>
      </c>
      <c r="B2814" s="1">
        <v>45913</v>
      </c>
      <c r="C2814">
        <v>1333</v>
      </c>
      <c r="D2814" t="s">
        <v>28</v>
      </c>
      <c r="E2814" t="s">
        <v>29</v>
      </c>
      <c r="F2814" t="s">
        <v>17</v>
      </c>
      <c r="G2814">
        <v>4</v>
      </c>
      <c r="H2814">
        <v>0</v>
      </c>
      <c r="I2814" t="s">
        <v>35</v>
      </c>
      <c r="J2814" t="s">
        <v>31</v>
      </c>
      <c r="K2814" t="s">
        <v>38</v>
      </c>
      <c r="L2814">
        <v>8</v>
      </c>
      <c r="M2814">
        <v>0</v>
      </c>
      <c r="N2814">
        <v>0</v>
      </c>
      <c r="O2814" t="s">
        <v>21</v>
      </c>
      <c r="P2814" t="str">
        <f>TEXT(Table1[[#This Row],[order_date]],"yyyy-mm")</f>
        <v>2025-09</v>
      </c>
      <c r="Q2814">
        <f>WEEKNUM(Table1[[#This Row],[order_date]])</f>
        <v>37</v>
      </c>
      <c r="R2814">
        <f>IF(Table1[[#This Row],[order_status]]="completed",1,0)</f>
        <v>0</v>
      </c>
    </row>
    <row r="2815" spans="1:18" x14ac:dyDescent="0.35">
      <c r="A2815">
        <v>2814</v>
      </c>
      <c r="B2815" s="1">
        <v>45908</v>
      </c>
      <c r="C2815">
        <v>1583</v>
      </c>
      <c r="D2815" t="s">
        <v>28</v>
      </c>
      <c r="E2815" t="s">
        <v>29</v>
      </c>
      <c r="F2815" t="s">
        <v>30</v>
      </c>
      <c r="G2815">
        <v>2</v>
      </c>
      <c r="H2815">
        <v>6108</v>
      </c>
      <c r="I2815" t="s">
        <v>25</v>
      </c>
      <c r="J2815" t="s">
        <v>19</v>
      </c>
      <c r="K2815" t="s">
        <v>20</v>
      </c>
      <c r="L2815">
        <v>2</v>
      </c>
      <c r="M2815">
        <v>1</v>
      </c>
      <c r="N2815">
        <v>1</v>
      </c>
      <c r="O2815" t="s">
        <v>27</v>
      </c>
      <c r="P2815" t="str">
        <f>TEXT(Table1[[#This Row],[order_date]],"yyyy-mm")</f>
        <v>2025-09</v>
      </c>
      <c r="Q2815">
        <f>WEEKNUM(Table1[[#This Row],[order_date]])</f>
        <v>37</v>
      </c>
      <c r="R2815">
        <f>IF(Table1[[#This Row],[order_status]]="completed",1,0)</f>
        <v>1</v>
      </c>
    </row>
    <row r="2816" spans="1:18" x14ac:dyDescent="0.35">
      <c r="A2816">
        <v>2815</v>
      </c>
      <c r="B2816" s="1">
        <v>45854</v>
      </c>
      <c r="C2816">
        <v>1182</v>
      </c>
      <c r="D2816" t="s">
        <v>28</v>
      </c>
      <c r="E2816" t="s">
        <v>23</v>
      </c>
      <c r="F2816" t="s">
        <v>30</v>
      </c>
      <c r="G2816">
        <v>1</v>
      </c>
      <c r="H2816">
        <v>4118</v>
      </c>
      <c r="I2816" t="s">
        <v>18</v>
      </c>
      <c r="J2816" t="s">
        <v>19</v>
      </c>
      <c r="K2816" t="s">
        <v>20</v>
      </c>
      <c r="L2816">
        <v>6</v>
      </c>
      <c r="M2816">
        <v>1</v>
      </c>
      <c r="N2816">
        <v>1</v>
      </c>
      <c r="O2816" t="s">
        <v>27</v>
      </c>
      <c r="P2816" t="str">
        <f>TEXT(Table1[[#This Row],[order_date]],"yyyy-mm")</f>
        <v>2025-07</v>
      </c>
      <c r="Q2816">
        <f>WEEKNUM(Table1[[#This Row],[order_date]])</f>
        <v>29</v>
      </c>
      <c r="R2816">
        <f>IF(Table1[[#This Row],[order_status]]="completed",1,0)</f>
        <v>1</v>
      </c>
    </row>
    <row r="2817" spans="1:18" x14ac:dyDescent="0.35">
      <c r="A2817">
        <v>2816</v>
      </c>
      <c r="B2817" s="1">
        <v>45883</v>
      </c>
      <c r="C2817">
        <v>1213</v>
      </c>
      <c r="D2817" t="s">
        <v>41</v>
      </c>
      <c r="E2817" t="s">
        <v>33</v>
      </c>
      <c r="F2817" t="s">
        <v>34</v>
      </c>
      <c r="G2817">
        <v>2</v>
      </c>
      <c r="H2817">
        <v>6302</v>
      </c>
      <c r="I2817" t="s">
        <v>18</v>
      </c>
      <c r="J2817" t="s">
        <v>19</v>
      </c>
      <c r="K2817" t="s">
        <v>20</v>
      </c>
      <c r="L2817">
        <v>6</v>
      </c>
      <c r="M2817">
        <v>1</v>
      </c>
      <c r="N2817">
        <v>0</v>
      </c>
      <c r="O2817" t="s">
        <v>27</v>
      </c>
      <c r="P2817" t="str">
        <f>TEXT(Table1[[#This Row],[order_date]],"yyyy-mm")</f>
        <v>2025-08</v>
      </c>
      <c r="Q2817">
        <f>WEEKNUM(Table1[[#This Row],[order_date]])</f>
        <v>33</v>
      </c>
      <c r="R2817">
        <f>IF(Table1[[#This Row],[order_status]]="completed",1,0)</f>
        <v>1</v>
      </c>
    </row>
    <row r="2818" spans="1:18" x14ac:dyDescent="0.35">
      <c r="A2818">
        <v>2817</v>
      </c>
      <c r="B2818" s="1">
        <v>45854</v>
      </c>
      <c r="C2818">
        <v>1730</v>
      </c>
      <c r="D2818" t="s">
        <v>41</v>
      </c>
      <c r="E2818" t="s">
        <v>16</v>
      </c>
      <c r="F2818" t="s">
        <v>17</v>
      </c>
      <c r="G2818">
        <v>3</v>
      </c>
      <c r="H2818">
        <v>0</v>
      </c>
      <c r="I2818" t="s">
        <v>39</v>
      </c>
      <c r="J2818" t="s">
        <v>37</v>
      </c>
      <c r="K2818" t="s">
        <v>38</v>
      </c>
      <c r="L2818">
        <v>3</v>
      </c>
      <c r="M2818">
        <v>1</v>
      </c>
      <c r="N2818">
        <v>1</v>
      </c>
      <c r="O2818" t="s">
        <v>27</v>
      </c>
      <c r="P2818" t="str">
        <f>TEXT(Table1[[#This Row],[order_date]],"yyyy-mm")</f>
        <v>2025-07</v>
      </c>
      <c r="Q2818">
        <f>WEEKNUM(Table1[[#This Row],[order_date]])</f>
        <v>29</v>
      </c>
      <c r="R2818">
        <f>IF(Table1[[#This Row],[order_status]]="completed",1,0)</f>
        <v>0</v>
      </c>
    </row>
    <row r="2819" spans="1:18" x14ac:dyDescent="0.35">
      <c r="A2819">
        <v>2818</v>
      </c>
      <c r="B2819" s="1">
        <v>46021</v>
      </c>
      <c r="C2819">
        <v>1391</v>
      </c>
      <c r="D2819" t="s">
        <v>28</v>
      </c>
      <c r="E2819" t="s">
        <v>23</v>
      </c>
      <c r="F2819" t="s">
        <v>30</v>
      </c>
      <c r="G2819">
        <v>4</v>
      </c>
      <c r="H2819">
        <v>13424</v>
      </c>
      <c r="I2819" t="s">
        <v>25</v>
      </c>
      <c r="J2819" t="s">
        <v>19</v>
      </c>
      <c r="K2819" t="s">
        <v>26</v>
      </c>
      <c r="L2819">
        <v>8</v>
      </c>
      <c r="M2819">
        <v>1</v>
      </c>
      <c r="N2819">
        <v>0</v>
      </c>
      <c r="O2819" t="s">
        <v>27</v>
      </c>
      <c r="P2819" t="str">
        <f>TEXT(Table1[[#This Row],[order_date]],"yyyy-mm")</f>
        <v>2025-12</v>
      </c>
      <c r="Q2819">
        <f>WEEKNUM(Table1[[#This Row],[order_date]])</f>
        <v>53</v>
      </c>
      <c r="R2819">
        <f>IF(Table1[[#This Row],[order_status]]="completed",1,0)</f>
        <v>1</v>
      </c>
    </row>
    <row r="2820" spans="1:18" x14ac:dyDescent="0.35">
      <c r="A2820">
        <v>2819</v>
      </c>
      <c r="B2820" s="1">
        <v>45946</v>
      </c>
      <c r="C2820">
        <v>1615</v>
      </c>
      <c r="D2820" t="s">
        <v>32</v>
      </c>
      <c r="E2820" t="s">
        <v>16</v>
      </c>
      <c r="F2820" t="s">
        <v>34</v>
      </c>
      <c r="G2820">
        <v>1</v>
      </c>
      <c r="H2820">
        <v>0</v>
      </c>
      <c r="I2820" t="s">
        <v>25</v>
      </c>
      <c r="J2820" t="s">
        <v>31</v>
      </c>
      <c r="K2820" t="s">
        <v>20</v>
      </c>
      <c r="L2820">
        <v>7</v>
      </c>
      <c r="M2820">
        <v>0</v>
      </c>
      <c r="N2820">
        <v>1</v>
      </c>
      <c r="O2820" t="s">
        <v>21</v>
      </c>
      <c r="P2820" t="str">
        <f>TEXT(Table1[[#This Row],[order_date]],"yyyy-mm")</f>
        <v>2025-10</v>
      </c>
      <c r="Q2820">
        <f>WEEKNUM(Table1[[#This Row],[order_date]])</f>
        <v>42</v>
      </c>
      <c r="R2820">
        <f>IF(Table1[[#This Row],[order_status]]="completed",1,0)</f>
        <v>0</v>
      </c>
    </row>
    <row r="2821" spans="1:18" x14ac:dyDescent="0.35">
      <c r="A2821">
        <v>2820</v>
      </c>
      <c r="B2821" s="1">
        <v>46011</v>
      </c>
      <c r="C2821">
        <v>1319</v>
      </c>
      <c r="D2821" t="s">
        <v>41</v>
      </c>
      <c r="E2821" t="s">
        <v>36</v>
      </c>
      <c r="F2821" t="s">
        <v>17</v>
      </c>
      <c r="G2821">
        <v>3</v>
      </c>
      <c r="H2821">
        <v>0</v>
      </c>
      <c r="I2821" t="s">
        <v>35</v>
      </c>
      <c r="J2821" t="s">
        <v>37</v>
      </c>
      <c r="K2821" t="s">
        <v>26</v>
      </c>
      <c r="L2821">
        <v>9</v>
      </c>
      <c r="M2821">
        <v>0</v>
      </c>
      <c r="N2821">
        <v>0</v>
      </c>
      <c r="O2821" t="s">
        <v>21</v>
      </c>
      <c r="P2821" t="str">
        <f>TEXT(Table1[[#This Row],[order_date]],"yyyy-mm")</f>
        <v>2025-12</v>
      </c>
      <c r="Q2821">
        <f>WEEKNUM(Table1[[#This Row],[order_date]])</f>
        <v>51</v>
      </c>
      <c r="R2821">
        <f>IF(Table1[[#This Row],[order_status]]="completed",1,0)</f>
        <v>0</v>
      </c>
    </row>
    <row r="2822" spans="1:18" x14ac:dyDescent="0.35">
      <c r="A2822">
        <v>2821</v>
      </c>
      <c r="B2822" s="1">
        <v>46030</v>
      </c>
      <c r="C2822">
        <v>1525</v>
      </c>
      <c r="D2822" t="s">
        <v>32</v>
      </c>
      <c r="E2822" t="s">
        <v>33</v>
      </c>
      <c r="F2822" t="s">
        <v>30</v>
      </c>
      <c r="G2822">
        <v>5</v>
      </c>
      <c r="H2822">
        <v>0</v>
      </c>
      <c r="I2822" t="s">
        <v>25</v>
      </c>
      <c r="J2822" t="s">
        <v>37</v>
      </c>
      <c r="K2822" t="s">
        <v>40</v>
      </c>
      <c r="L2822">
        <v>6</v>
      </c>
      <c r="M2822">
        <v>0</v>
      </c>
      <c r="N2822">
        <v>1</v>
      </c>
      <c r="O2822" t="s">
        <v>27</v>
      </c>
      <c r="P2822" t="str">
        <f>TEXT(Table1[[#This Row],[order_date]],"yyyy-mm")</f>
        <v>2026-01</v>
      </c>
      <c r="Q2822">
        <f>WEEKNUM(Table1[[#This Row],[order_date]])</f>
        <v>2</v>
      </c>
      <c r="R2822">
        <f>IF(Table1[[#This Row],[order_status]]="completed",1,0)</f>
        <v>0</v>
      </c>
    </row>
    <row r="2823" spans="1:18" x14ac:dyDescent="0.35">
      <c r="A2823">
        <v>2822</v>
      </c>
      <c r="B2823" s="1">
        <v>46016</v>
      </c>
      <c r="C2823">
        <v>1294</v>
      </c>
      <c r="D2823" t="s">
        <v>28</v>
      </c>
      <c r="E2823" t="s">
        <v>29</v>
      </c>
      <c r="F2823" t="s">
        <v>24</v>
      </c>
      <c r="G2823">
        <v>3</v>
      </c>
      <c r="H2823">
        <v>0</v>
      </c>
      <c r="I2823" t="s">
        <v>35</v>
      </c>
      <c r="J2823" t="s">
        <v>31</v>
      </c>
      <c r="K2823" t="s">
        <v>20</v>
      </c>
      <c r="L2823">
        <v>4</v>
      </c>
      <c r="M2823">
        <v>0</v>
      </c>
      <c r="N2823">
        <v>1</v>
      </c>
      <c r="O2823" t="s">
        <v>27</v>
      </c>
      <c r="P2823" t="str">
        <f>TEXT(Table1[[#This Row],[order_date]],"yyyy-mm")</f>
        <v>2025-12</v>
      </c>
      <c r="Q2823">
        <f>WEEKNUM(Table1[[#This Row],[order_date]])</f>
        <v>52</v>
      </c>
      <c r="R2823">
        <f>IF(Table1[[#This Row],[order_status]]="completed",1,0)</f>
        <v>0</v>
      </c>
    </row>
    <row r="2824" spans="1:18" x14ac:dyDescent="0.35">
      <c r="A2824">
        <v>2823</v>
      </c>
      <c r="B2824" s="1">
        <v>45881</v>
      </c>
      <c r="C2824">
        <v>1334</v>
      </c>
      <c r="D2824" t="s">
        <v>41</v>
      </c>
      <c r="E2824" t="s">
        <v>16</v>
      </c>
      <c r="F2824" t="s">
        <v>24</v>
      </c>
      <c r="G2824">
        <v>5</v>
      </c>
      <c r="H2824">
        <v>0</v>
      </c>
      <c r="I2824" t="s">
        <v>39</v>
      </c>
      <c r="J2824" t="s">
        <v>37</v>
      </c>
      <c r="K2824" t="s">
        <v>38</v>
      </c>
      <c r="L2824">
        <v>6</v>
      </c>
      <c r="M2824">
        <v>0</v>
      </c>
      <c r="N2824">
        <v>1</v>
      </c>
      <c r="O2824" t="s">
        <v>27</v>
      </c>
      <c r="P2824" t="str">
        <f>TEXT(Table1[[#This Row],[order_date]],"yyyy-mm")</f>
        <v>2025-08</v>
      </c>
      <c r="Q2824">
        <f>WEEKNUM(Table1[[#This Row],[order_date]])</f>
        <v>33</v>
      </c>
      <c r="R2824">
        <f>IF(Table1[[#This Row],[order_status]]="completed",1,0)</f>
        <v>0</v>
      </c>
    </row>
    <row r="2825" spans="1:18" x14ac:dyDescent="0.35">
      <c r="A2825">
        <v>2824</v>
      </c>
      <c r="B2825" s="1">
        <v>45902</v>
      </c>
      <c r="C2825">
        <v>1038</v>
      </c>
      <c r="D2825" t="s">
        <v>41</v>
      </c>
      <c r="E2825" t="s">
        <v>33</v>
      </c>
      <c r="F2825" t="s">
        <v>30</v>
      </c>
      <c r="G2825">
        <v>2</v>
      </c>
      <c r="H2825">
        <v>0</v>
      </c>
      <c r="I2825" t="s">
        <v>18</v>
      </c>
      <c r="J2825" t="s">
        <v>31</v>
      </c>
      <c r="K2825" t="s">
        <v>38</v>
      </c>
      <c r="L2825">
        <v>8</v>
      </c>
      <c r="M2825">
        <v>0</v>
      </c>
      <c r="N2825">
        <v>1</v>
      </c>
      <c r="O2825" t="s">
        <v>27</v>
      </c>
      <c r="P2825" t="str">
        <f>TEXT(Table1[[#This Row],[order_date]],"yyyy-mm")</f>
        <v>2025-09</v>
      </c>
      <c r="Q2825">
        <f>WEEKNUM(Table1[[#This Row],[order_date]])</f>
        <v>36</v>
      </c>
      <c r="R2825">
        <f>IF(Table1[[#This Row],[order_status]]="completed",1,0)</f>
        <v>0</v>
      </c>
    </row>
    <row r="2826" spans="1:18" x14ac:dyDescent="0.35">
      <c r="A2826">
        <v>2825</v>
      </c>
      <c r="B2826" s="1">
        <v>46006</v>
      </c>
      <c r="C2826">
        <v>1886</v>
      </c>
      <c r="D2826" t="s">
        <v>15</v>
      </c>
      <c r="E2826" t="s">
        <v>16</v>
      </c>
      <c r="F2826" t="s">
        <v>17</v>
      </c>
      <c r="G2826">
        <v>3</v>
      </c>
      <c r="H2826">
        <v>0</v>
      </c>
      <c r="I2826" t="s">
        <v>18</v>
      </c>
      <c r="J2826" t="s">
        <v>31</v>
      </c>
      <c r="K2826" t="s">
        <v>38</v>
      </c>
      <c r="L2826">
        <v>10</v>
      </c>
      <c r="M2826">
        <v>0</v>
      </c>
      <c r="N2826">
        <v>1</v>
      </c>
      <c r="O2826" t="s">
        <v>27</v>
      </c>
      <c r="P2826" t="str">
        <f>TEXT(Table1[[#This Row],[order_date]],"yyyy-mm")</f>
        <v>2025-12</v>
      </c>
      <c r="Q2826">
        <f>WEEKNUM(Table1[[#This Row],[order_date]])</f>
        <v>51</v>
      </c>
      <c r="R2826">
        <f>IF(Table1[[#This Row],[order_status]]="completed",1,0)</f>
        <v>0</v>
      </c>
    </row>
    <row r="2827" spans="1:18" x14ac:dyDescent="0.35">
      <c r="A2827">
        <v>2826</v>
      </c>
      <c r="B2827" s="1">
        <v>45987</v>
      </c>
      <c r="C2827">
        <v>1629</v>
      </c>
      <c r="D2827" t="s">
        <v>41</v>
      </c>
      <c r="E2827" t="s">
        <v>23</v>
      </c>
      <c r="F2827" t="s">
        <v>30</v>
      </c>
      <c r="G2827">
        <v>5</v>
      </c>
      <c r="H2827">
        <v>0</v>
      </c>
      <c r="I2827" t="s">
        <v>35</v>
      </c>
      <c r="J2827" t="s">
        <v>37</v>
      </c>
      <c r="K2827" t="s">
        <v>40</v>
      </c>
      <c r="L2827">
        <v>2</v>
      </c>
      <c r="M2827">
        <v>0</v>
      </c>
      <c r="N2827">
        <v>0</v>
      </c>
      <c r="O2827" t="s">
        <v>27</v>
      </c>
      <c r="P2827" t="str">
        <f>TEXT(Table1[[#This Row],[order_date]],"yyyy-mm")</f>
        <v>2025-11</v>
      </c>
      <c r="Q2827">
        <f>WEEKNUM(Table1[[#This Row],[order_date]])</f>
        <v>48</v>
      </c>
      <c r="R2827">
        <f>IF(Table1[[#This Row],[order_status]]="completed",1,0)</f>
        <v>0</v>
      </c>
    </row>
    <row r="2828" spans="1:18" x14ac:dyDescent="0.35">
      <c r="A2828">
        <v>2827</v>
      </c>
      <c r="B2828" s="1">
        <v>46002</v>
      </c>
      <c r="C2828">
        <v>1843</v>
      </c>
      <c r="D2828" t="s">
        <v>32</v>
      </c>
      <c r="E2828" t="s">
        <v>16</v>
      </c>
      <c r="F2828" t="s">
        <v>24</v>
      </c>
      <c r="G2828">
        <v>2</v>
      </c>
      <c r="H2828">
        <v>0</v>
      </c>
      <c r="I2828" t="s">
        <v>18</v>
      </c>
      <c r="J2828" t="s">
        <v>31</v>
      </c>
      <c r="K2828" t="s">
        <v>20</v>
      </c>
      <c r="L2828">
        <v>8</v>
      </c>
      <c r="M2828">
        <v>0</v>
      </c>
      <c r="N2828">
        <v>0</v>
      </c>
      <c r="O2828" t="s">
        <v>21</v>
      </c>
      <c r="P2828" t="str">
        <f>TEXT(Table1[[#This Row],[order_date]],"yyyy-mm")</f>
        <v>2025-12</v>
      </c>
      <c r="Q2828">
        <f>WEEKNUM(Table1[[#This Row],[order_date]])</f>
        <v>50</v>
      </c>
      <c r="R2828">
        <f>IF(Table1[[#This Row],[order_status]]="completed",1,0)</f>
        <v>0</v>
      </c>
    </row>
    <row r="2829" spans="1:18" x14ac:dyDescent="0.35">
      <c r="A2829">
        <v>2828</v>
      </c>
      <c r="B2829" s="1">
        <v>45950</v>
      </c>
      <c r="C2829">
        <v>1399</v>
      </c>
      <c r="D2829" t="s">
        <v>41</v>
      </c>
      <c r="E2829" t="s">
        <v>23</v>
      </c>
      <c r="F2829" t="s">
        <v>30</v>
      </c>
      <c r="G2829">
        <v>2</v>
      </c>
      <c r="H2829">
        <v>0</v>
      </c>
      <c r="I2829" t="s">
        <v>25</v>
      </c>
      <c r="J2829" t="s">
        <v>37</v>
      </c>
      <c r="K2829" t="s">
        <v>38</v>
      </c>
      <c r="L2829">
        <v>1</v>
      </c>
      <c r="M2829">
        <v>0</v>
      </c>
      <c r="N2829">
        <v>1</v>
      </c>
      <c r="O2829" t="s">
        <v>21</v>
      </c>
      <c r="P2829" t="str">
        <f>TEXT(Table1[[#This Row],[order_date]],"yyyy-mm")</f>
        <v>2025-10</v>
      </c>
      <c r="Q2829">
        <f>WEEKNUM(Table1[[#This Row],[order_date]])</f>
        <v>43</v>
      </c>
      <c r="R2829">
        <f>IF(Table1[[#This Row],[order_status]]="completed",1,0)</f>
        <v>0</v>
      </c>
    </row>
    <row r="2830" spans="1:18" x14ac:dyDescent="0.35">
      <c r="A2830">
        <v>2829</v>
      </c>
      <c r="B2830" s="1">
        <v>45921</v>
      </c>
      <c r="C2830">
        <v>1442</v>
      </c>
      <c r="D2830" t="s">
        <v>41</v>
      </c>
      <c r="E2830" t="s">
        <v>23</v>
      </c>
      <c r="F2830" t="s">
        <v>17</v>
      </c>
      <c r="G2830">
        <v>3</v>
      </c>
      <c r="H2830">
        <v>0</v>
      </c>
      <c r="I2830" t="s">
        <v>39</v>
      </c>
      <c r="J2830" t="s">
        <v>31</v>
      </c>
      <c r="K2830" t="s">
        <v>26</v>
      </c>
      <c r="L2830">
        <v>6</v>
      </c>
      <c r="M2830">
        <v>1</v>
      </c>
      <c r="N2830">
        <v>1</v>
      </c>
      <c r="O2830" t="s">
        <v>21</v>
      </c>
      <c r="P2830" t="str">
        <f>TEXT(Table1[[#This Row],[order_date]],"yyyy-mm")</f>
        <v>2025-09</v>
      </c>
      <c r="Q2830">
        <f>WEEKNUM(Table1[[#This Row],[order_date]])</f>
        <v>39</v>
      </c>
      <c r="R2830">
        <f>IF(Table1[[#This Row],[order_status]]="completed",1,0)</f>
        <v>0</v>
      </c>
    </row>
    <row r="2831" spans="1:18" x14ac:dyDescent="0.35">
      <c r="A2831">
        <v>2830</v>
      </c>
      <c r="B2831" s="1">
        <v>45934</v>
      </c>
      <c r="C2831">
        <v>1169</v>
      </c>
      <c r="D2831" t="s">
        <v>32</v>
      </c>
      <c r="E2831" t="s">
        <v>16</v>
      </c>
      <c r="F2831" t="s">
        <v>34</v>
      </c>
      <c r="G2831">
        <v>1</v>
      </c>
      <c r="H2831">
        <v>0</v>
      </c>
      <c r="I2831" t="s">
        <v>18</v>
      </c>
      <c r="J2831" t="s">
        <v>37</v>
      </c>
      <c r="K2831" t="s">
        <v>38</v>
      </c>
      <c r="L2831">
        <v>10</v>
      </c>
      <c r="M2831">
        <v>0</v>
      </c>
      <c r="N2831">
        <v>0</v>
      </c>
      <c r="O2831" t="s">
        <v>21</v>
      </c>
      <c r="P2831" t="str">
        <f>TEXT(Table1[[#This Row],[order_date]],"yyyy-mm")</f>
        <v>2025-10</v>
      </c>
      <c r="Q2831">
        <f>WEEKNUM(Table1[[#This Row],[order_date]])</f>
        <v>40</v>
      </c>
      <c r="R2831">
        <f>IF(Table1[[#This Row],[order_status]]="completed",1,0)</f>
        <v>0</v>
      </c>
    </row>
    <row r="2832" spans="1:18" x14ac:dyDescent="0.35">
      <c r="A2832">
        <v>2831</v>
      </c>
      <c r="B2832" s="1">
        <v>45967</v>
      </c>
      <c r="C2832">
        <v>1800</v>
      </c>
      <c r="D2832" t="s">
        <v>15</v>
      </c>
      <c r="E2832" t="s">
        <v>33</v>
      </c>
      <c r="F2832" t="s">
        <v>24</v>
      </c>
      <c r="G2832">
        <v>5</v>
      </c>
      <c r="H2832">
        <v>0</v>
      </c>
      <c r="I2832" t="s">
        <v>25</v>
      </c>
      <c r="J2832" t="s">
        <v>31</v>
      </c>
      <c r="K2832" t="s">
        <v>20</v>
      </c>
      <c r="L2832">
        <v>5</v>
      </c>
      <c r="M2832">
        <v>0</v>
      </c>
      <c r="N2832">
        <v>0</v>
      </c>
      <c r="O2832" t="s">
        <v>27</v>
      </c>
      <c r="P2832" t="str">
        <f>TEXT(Table1[[#This Row],[order_date]],"yyyy-mm")</f>
        <v>2025-11</v>
      </c>
      <c r="Q2832">
        <f>WEEKNUM(Table1[[#This Row],[order_date]])</f>
        <v>45</v>
      </c>
      <c r="R2832">
        <f>IF(Table1[[#This Row],[order_status]]="completed",1,0)</f>
        <v>0</v>
      </c>
    </row>
    <row r="2833" spans="1:18" x14ac:dyDescent="0.35">
      <c r="A2833">
        <v>2832</v>
      </c>
      <c r="B2833" s="1">
        <v>45941</v>
      </c>
      <c r="C2833">
        <v>1024</v>
      </c>
      <c r="D2833" t="s">
        <v>32</v>
      </c>
      <c r="E2833" t="s">
        <v>23</v>
      </c>
      <c r="F2833" t="s">
        <v>17</v>
      </c>
      <c r="G2833">
        <v>4</v>
      </c>
      <c r="H2833">
        <v>8092</v>
      </c>
      <c r="I2833" t="s">
        <v>25</v>
      </c>
      <c r="J2833" t="s">
        <v>19</v>
      </c>
      <c r="K2833" t="s">
        <v>40</v>
      </c>
      <c r="L2833">
        <v>1</v>
      </c>
      <c r="M2833">
        <v>0</v>
      </c>
      <c r="N2833">
        <v>1</v>
      </c>
      <c r="O2833" t="s">
        <v>21</v>
      </c>
      <c r="P2833" t="str">
        <f>TEXT(Table1[[#This Row],[order_date]],"yyyy-mm")</f>
        <v>2025-10</v>
      </c>
      <c r="Q2833">
        <f>WEEKNUM(Table1[[#This Row],[order_date]])</f>
        <v>41</v>
      </c>
      <c r="R2833">
        <f>IF(Table1[[#This Row],[order_status]]="completed",1,0)</f>
        <v>1</v>
      </c>
    </row>
    <row r="2834" spans="1:18" x14ac:dyDescent="0.35">
      <c r="A2834">
        <v>2833</v>
      </c>
      <c r="B2834" s="1">
        <v>45905</v>
      </c>
      <c r="C2834">
        <v>1829</v>
      </c>
      <c r="D2834" t="s">
        <v>32</v>
      </c>
      <c r="E2834" t="s">
        <v>29</v>
      </c>
      <c r="F2834" t="s">
        <v>24</v>
      </c>
      <c r="G2834">
        <v>5</v>
      </c>
      <c r="H2834">
        <v>12295</v>
      </c>
      <c r="I2834" t="s">
        <v>35</v>
      </c>
      <c r="J2834" t="s">
        <v>19</v>
      </c>
      <c r="K2834" t="s">
        <v>40</v>
      </c>
      <c r="L2834">
        <v>6</v>
      </c>
      <c r="M2834">
        <v>0</v>
      </c>
      <c r="N2834">
        <v>1</v>
      </c>
      <c r="O2834" t="s">
        <v>27</v>
      </c>
      <c r="P2834" t="str">
        <f>TEXT(Table1[[#This Row],[order_date]],"yyyy-mm")</f>
        <v>2025-09</v>
      </c>
      <c r="Q2834">
        <f>WEEKNUM(Table1[[#This Row],[order_date]])</f>
        <v>36</v>
      </c>
      <c r="R2834">
        <f>IF(Table1[[#This Row],[order_status]]="completed",1,0)</f>
        <v>1</v>
      </c>
    </row>
    <row r="2835" spans="1:18" x14ac:dyDescent="0.35">
      <c r="A2835">
        <v>2834</v>
      </c>
      <c r="B2835" s="1">
        <v>45866</v>
      </c>
      <c r="C2835">
        <v>1458</v>
      </c>
      <c r="D2835" t="s">
        <v>22</v>
      </c>
      <c r="E2835" t="s">
        <v>29</v>
      </c>
      <c r="F2835" t="s">
        <v>17</v>
      </c>
      <c r="G2835">
        <v>5</v>
      </c>
      <c r="H2835">
        <v>16050</v>
      </c>
      <c r="I2835" t="s">
        <v>18</v>
      </c>
      <c r="J2835" t="s">
        <v>19</v>
      </c>
      <c r="K2835" t="s">
        <v>38</v>
      </c>
      <c r="L2835">
        <v>5</v>
      </c>
      <c r="M2835">
        <v>0</v>
      </c>
      <c r="N2835">
        <v>1</v>
      </c>
      <c r="O2835" t="s">
        <v>21</v>
      </c>
      <c r="P2835" t="str">
        <f>TEXT(Table1[[#This Row],[order_date]],"yyyy-mm")</f>
        <v>2025-07</v>
      </c>
      <c r="Q2835">
        <f>WEEKNUM(Table1[[#This Row],[order_date]])</f>
        <v>31</v>
      </c>
      <c r="R2835">
        <f>IF(Table1[[#This Row],[order_status]]="completed",1,0)</f>
        <v>1</v>
      </c>
    </row>
    <row r="2836" spans="1:18" x14ac:dyDescent="0.35">
      <c r="A2836">
        <v>2835</v>
      </c>
      <c r="B2836" s="1">
        <v>45910</v>
      </c>
      <c r="C2836">
        <v>1208</v>
      </c>
      <c r="D2836" t="s">
        <v>32</v>
      </c>
      <c r="E2836" t="s">
        <v>36</v>
      </c>
      <c r="F2836" t="s">
        <v>30</v>
      </c>
      <c r="G2836">
        <v>3</v>
      </c>
      <c r="H2836">
        <v>12576</v>
      </c>
      <c r="I2836" t="s">
        <v>39</v>
      </c>
      <c r="J2836" t="s">
        <v>19</v>
      </c>
      <c r="K2836" t="s">
        <v>40</v>
      </c>
      <c r="L2836">
        <v>3</v>
      </c>
      <c r="M2836">
        <v>1</v>
      </c>
      <c r="N2836">
        <v>0</v>
      </c>
      <c r="O2836" t="s">
        <v>21</v>
      </c>
      <c r="P2836" t="str">
        <f>TEXT(Table1[[#This Row],[order_date]],"yyyy-mm")</f>
        <v>2025-09</v>
      </c>
      <c r="Q2836">
        <f>WEEKNUM(Table1[[#This Row],[order_date]])</f>
        <v>37</v>
      </c>
      <c r="R2836">
        <f>IF(Table1[[#This Row],[order_status]]="completed",1,0)</f>
        <v>1</v>
      </c>
    </row>
    <row r="2837" spans="1:18" x14ac:dyDescent="0.35">
      <c r="A2837">
        <v>2836</v>
      </c>
      <c r="B2837" s="1">
        <v>45887</v>
      </c>
      <c r="C2837">
        <v>1297</v>
      </c>
      <c r="D2837" t="s">
        <v>32</v>
      </c>
      <c r="E2837" t="s">
        <v>23</v>
      </c>
      <c r="F2837" t="s">
        <v>34</v>
      </c>
      <c r="G2837">
        <v>4</v>
      </c>
      <c r="H2837">
        <v>18692</v>
      </c>
      <c r="I2837" t="s">
        <v>35</v>
      </c>
      <c r="J2837" t="s">
        <v>19</v>
      </c>
      <c r="K2837" t="s">
        <v>26</v>
      </c>
      <c r="L2837">
        <v>8</v>
      </c>
      <c r="M2837">
        <v>1</v>
      </c>
      <c r="N2837">
        <v>0</v>
      </c>
      <c r="O2837" t="s">
        <v>27</v>
      </c>
      <c r="P2837" t="str">
        <f>TEXT(Table1[[#This Row],[order_date]],"yyyy-mm")</f>
        <v>2025-08</v>
      </c>
      <c r="Q2837">
        <f>WEEKNUM(Table1[[#This Row],[order_date]])</f>
        <v>34</v>
      </c>
      <c r="R2837">
        <f>IF(Table1[[#This Row],[order_status]]="completed",1,0)</f>
        <v>1</v>
      </c>
    </row>
    <row r="2838" spans="1:18" x14ac:dyDescent="0.35">
      <c r="A2838">
        <v>2837</v>
      </c>
      <c r="B2838" s="1">
        <v>45987</v>
      </c>
      <c r="C2838">
        <v>1460</v>
      </c>
      <c r="D2838" t="s">
        <v>41</v>
      </c>
      <c r="E2838" t="s">
        <v>33</v>
      </c>
      <c r="F2838" t="s">
        <v>34</v>
      </c>
      <c r="G2838">
        <v>1</v>
      </c>
      <c r="H2838">
        <v>0</v>
      </c>
      <c r="I2838" t="s">
        <v>18</v>
      </c>
      <c r="J2838" t="s">
        <v>37</v>
      </c>
      <c r="K2838" t="s">
        <v>20</v>
      </c>
      <c r="L2838">
        <v>7</v>
      </c>
      <c r="M2838">
        <v>1</v>
      </c>
      <c r="N2838">
        <v>1</v>
      </c>
      <c r="O2838" t="s">
        <v>27</v>
      </c>
      <c r="P2838" t="str">
        <f>TEXT(Table1[[#This Row],[order_date]],"yyyy-mm")</f>
        <v>2025-11</v>
      </c>
      <c r="Q2838">
        <f>WEEKNUM(Table1[[#This Row],[order_date]])</f>
        <v>48</v>
      </c>
      <c r="R2838">
        <f>IF(Table1[[#This Row],[order_status]]="completed",1,0)</f>
        <v>0</v>
      </c>
    </row>
    <row r="2839" spans="1:18" x14ac:dyDescent="0.35">
      <c r="A2839">
        <v>2838</v>
      </c>
      <c r="B2839" s="1">
        <v>46024</v>
      </c>
      <c r="C2839">
        <v>1763</v>
      </c>
      <c r="D2839" t="s">
        <v>22</v>
      </c>
      <c r="E2839" t="s">
        <v>23</v>
      </c>
      <c r="F2839" t="s">
        <v>17</v>
      </c>
      <c r="G2839">
        <v>3</v>
      </c>
      <c r="H2839">
        <v>0</v>
      </c>
      <c r="I2839" t="s">
        <v>39</v>
      </c>
      <c r="J2839" t="s">
        <v>31</v>
      </c>
      <c r="K2839" t="s">
        <v>20</v>
      </c>
      <c r="L2839">
        <v>2</v>
      </c>
      <c r="M2839">
        <v>0</v>
      </c>
      <c r="N2839">
        <v>0</v>
      </c>
      <c r="O2839" t="s">
        <v>27</v>
      </c>
      <c r="P2839" t="str">
        <f>TEXT(Table1[[#This Row],[order_date]],"yyyy-mm")</f>
        <v>2026-01</v>
      </c>
      <c r="Q2839">
        <f>WEEKNUM(Table1[[#This Row],[order_date]])</f>
        <v>1</v>
      </c>
      <c r="R2839">
        <f>IF(Table1[[#This Row],[order_status]]="completed",1,0)</f>
        <v>0</v>
      </c>
    </row>
    <row r="2840" spans="1:18" x14ac:dyDescent="0.35">
      <c r="A2840">
        <v>2839</v>
      </c>
      <c r="B2840" s="1">
        <v>45988</v>
      </c>
      <c r="C2840">
        <v>1651</v>
      </c>
      <c r="D2840" t="s">
        <v>41</v>
      </c>
      <c r="E2840" t="s">
        <v>29</v>
      </c>
      <c r="F2840" t="s">
        <v>24</v>
      </c>
      <c r="G2840">
        <v>4</v>
      </c>
      <c r="H2840">
        <v>0</v>
      </c>
      <c r="I2840" t="s">
        <v>18</v>
      </c>
      <c r="J2840" t="s">
        <v>31</v>
      </c>
      <c r="K2840" t="s">
        <v>38</v>
      </c>
      <c r="L2840">
        <v>3</v>
      </c>
      <c r="M2840">
        <v>0</v>
      </c>
      <c r="N2840">
        <v>1</v>
      </c>
      <c r="O2840" t="s">
        <v>27</v>
      </c>
      <c r="P2840" t="str">
        <f>TEXT(Table1[[#This Row],[order_date]],"yyyy-mm")</f>
        <v>2025-11</v>
      </c>
      <c r="Q2840">
        <f>WEEKNUM(Table1[[#This Row],[order_date]])</f>
        <v>48</v>
      </c>
      <c r="R2840">
        <f>IF(Table1[[#This Row],[order_status]]="completed",1,0)</f>
        <v>0</v>
      </c>
    </row>
    <row r="2841" spans="1:18" x14ac:dyDescent="0.35">
      <c r="A2841">
        <v>2840</v>
      </c>
      <c r="B2841" s="1">
        <v>45954</v>
      </c>
      <c r="C2841">
        <v>1605</v>
      </c>
      <c r="D2841" t="s">
        <v>22</v>
      </c>
      <c r="E2841" t="s">
        <v>33</v>
      </c>
      <c r="F2841" t="s">
        <v>34</v>
      </c>
      <c r="G2841">
        <v>2</v>
      </c>
      <c r="H2841">
        <v>0</v>
      </c>
      <c r="I2841" t="s">
        <v>18</v>
      </c>
      <c r="J2841" t="s">
        <v>31</v>
      </c>
      <c r="K2841" t="s">
        <v>38</v>
      </c>
      <c r="L2841">
        <v>3</v>
      </c>
      <c r="M2841">
        <v>1</v>
      </c>
      <c r="N2841">
        <v>0</v>
      </c>
      <c r="O2841" t="s">
        <v>27</v>
      </c>
      <c r="P2841" t="str">
        <f>TEXT(Table1[[#This Row],[order_date]],"yyyy-mm")</f>
        <v>2025-10</v>
      </c>
      <c r="Q2841">
        <f>WEEKNUM(Table1[[#This Row],[order_date]])</f>
        <v>43</v>
      </c>
      <c r="R2841">
        <f>IF(Table1[[#This Row],[order_status]]="completed",1,0)</f>
        <v>0</v>
      </c>
    </row>
    <row r="2842" spans="1:18" x14ac:dyDescent="0.35">
      <c r="A2842">
        <v>2841</v>
      </c>
      <c r="B2842" s="1">
        <v>45970</v>
      </c>
      <c r="C2842">
        <v>1343</v>
      </c>
      <c r="D2842" t="s">
        <v>15</v>
      </c>
      <c r="E2842" t="s">
        <v>23</v>
      </c>
      <c r="F2842" t="s">
        <v>30</v>
      </c>
      <c r="G2842">
        <v>3</v>
      </c>
      <c r="H2842">
        <v>0</v>
      </c>
      <c r="I2842" t="s">
        <v>25</v>
      </c>
      <c r="J2842" t="s">
        <v>37</v>
      </c>
      <c r="K2842" t="s">
        <v>20</v>
      </c>
      <c r="L2842">
        <v>7</v>
      </c>
      <c r="M2842">
        <v>0</v>
      </c>
      <c r="N2842">
        <v>1</v>
      </c>
      <c r="O2842" t="s">
        <v>27</v>
      </c>
      <c r="P2842" t="str">
        <f>TEXT(Table1[[#This Row],[order_date]],"yyyy-mm")</f>
        <v>2025-11</v>
      </c>
      <c r="Q2842">
        <f>WEEKNUM(Table1[[#This Row],[order_date]])</f>
        <v>46</v>
      </c>
      <c r="R2842">
        <f>IF(Table1[[#This Row],[order_status]]="completed",1,0)</f>
        <v>0</v>
      </c>
    </row>
    <row r="2843" spans="1:18" x14ac:dyDescent="0.35">
      <c r="A2843">
        <v>2842</v>
      </c>
      <c r="B2843" s="1">
        <v>45925</v>
      </c>
      <c r="C2843">
        <v>1267</v>
      </c>
      <c r="D2843" t="s">
        <v>28</v>
      </c>
      <c r="E2843" t="s">
        <v>16</v>
      </c>
      <c r="F2843" t="s">
        <v>34</v>
      </c>
      <c r="G2843">
        <v>1</v>
      </c>
      <c r="H2843">
        <v>0</v>
      </c>
      <c r="I2843" t="s">
        <v>25</v>
      </c>
      <c r="J2843" t="s">
        <v>31</v>
      </c>
      <c r="K2843" t="s">
        <v>26</v>
      </c>
      <c r="L2843">
        <v>9</v>
      </c>
      <c r="M2843">
        <v>1</v>
      </c>
      <c r="N2843">
        <v>1</v>
      </c>
      <c r="O2843" t="s">
        <v>27</v>
      </c>
      <c r="P2843" t="str">
        <f>TEXT(Table1[[#This Row],[order_date]],"yyyy-mm")</f>
        <v>2025-09</v>
      </c>
      <c r="Q2843">
        <f>WEEKNUM(Table1[[#This Row],[order_date]])</f>
        <v>39</v>
      </c>
      <c r="R2843">
        <f>IF(Table1[[#This Row],[order_status]]="completed",1,0)</f>
        <v>0</v>
      </c>
    </row>
    <row r="2844" spans="1:18" x14ac:dyDescent="0.35">
      <c r="A2844">
        <v>2843</v>
      </c>
      <c r="B2844" s="1">
        <v>45886</v>
      </c>
      <c r="C2844">
        <v>1944</v>
      </c>
      <c r="D2844" t="s">
        <v>28</v>
      </c>
      <c r="E2844" t="s">
        <v>36</v>
      </c>
      <c r="F2844" t="s">
        <v>17</v>
      </c>
      <c r="G2844">
        <v>1</v>
      </c>
      <c r="H2844">
        <v>0</v>
      </c>
      <c r="I2844" t="s">
        <v>35</v>
      </c>
      <c r="J2844" t="s">
        <v>31</v>
      </c>
      <c r="K2844" t="s">
        <v>40</v>
      </c>
      <c r="L2844">
        <v>8</v>
      </c>
      <c r="M2844">
        <v>0</v>
      </c>
      <c r="N2844">
        <v>1</v>
      </c>
      <c r="O2844" t="s">
        <v>27</v>
      </c>
      <c r="P2844" t="str">
        <f>TEXT(Table1[[#This Row],[order_date]],"yyyy-mm")</f>
        <v>2025-08</v>
      </c>
      <c r="Q2844">
        <f>WEEKNUM(Table1[[#This Row],[order_date]])</f>
        <v>34</v>
      </c>
      <c r="R2844">
        <f>IF(Table1[[#This Row],[order_status]]="completed",1,0)</f>
        <v>0</v>
      </c>
    </row>
    <row r="2845" spans="1:18" x14ac:dyDescent="0.35">
      <c r="A2845">
        <v>2844</v>
      </c>
      <c r="B2845" s="1">
        <v>45874</v>
      </c>
      <c r="C2845">
        <v>1968</v>
      </c>
      <c r="D2845" t="s">
        <v>22</v>
      </c>
      <c r="E2845" t="s">
        <v>36</v>
      </c>
      <c r="F2845" t="s">
        <v>24</v>
      </c>
      <c r="G2845">
        <v>4</v>
      </c>
      <c r="H2845">
        <v>0</v>
      </c>
      <c r="I2845" t="s">
        <v>39</v>
      </c>
      <c r="J2845" t="s">
        <v>37</v>
      </c>
      <c r="K2845" t="s">
        <v>26</v>
      </c>
      <c r="L2845">
        <v>9</v>
      </c>
      <c r="M2845">
        <v>1</v>
      </c>
      <c r="N2845">
        <v>0</v>
      </c>
      <c r="O2845" t="s">
        <v>27</v>
      </c>
      <c r="P2845" t="str">
        <f>TEXT(Table1[[#This Row],[order_date]],"yyyy-mm")</f>
        <v>2025-08</v>
      </c>
      <c r="Q2845">
        <f>WEEKNUM(Table1[[#This Row],[order_date]])</f>
        <v>32</v>
      </c>
      <c r="R2845">
        <f>IF(Table1[[#This Row],[order_status]]="completed",1,0)</f>
        <v>0</v>
      </c>
    </row>
    <row r="2846" spans="1:18" x14ac:dyDescent="0.35">
      <c r="A2846">
        <v>2845</v>
      </c>
      <c r="B2846" s="1">
        <v>45950</v>
      </c>
      <c r="C2846">
        <v>1823</v>
      </c>
      <c r="D2846" t="s">
        <v>32</v>
      </c>
      <c r="E2846" t="s">
        <v>16</v>
      </c>
      <c r="F2846" t="s">
        <v>34</v>
      </c>
      <c r="G2846">
        <v>2</v>
      </c>
      <c r="H2846">
        <v>0</v>
      </c>
      <c r="I2846" t="s">
        <v>39</v>
      </c>
      <c r="J2846" t="s">
        <v>37</v>
      </c>
      <c r="K2846" t="s">
        <v>20</v>
      </c>
      <c r="L2846">
        <v>7</v>
      </c>
      <c r="M2846">
        <v>0</v>
      </c>
      <c r="N2846">
        <v>0</v>
      </c>
      <c r="O2846" t="s">
        <v>27</v>
      </c>
      <c r="P2846" t="str">
        <f>TEXT(Table1[[#This Row],[order_date]],"yyyy-mm")</f>
        <v>2025-10</v>
      </c>
      <c r="Q2846">
        <f>WEEKNUM(Table1[[#This Row],[order_date]])</f>
        <v>43</v>
      </c>
      <c r="R2846">
        <f>IF(Table1[[#This Row],[order_status]]="completed",1,0)</f>
        <v>0</v>
      </c>
    </row>
    <row r="2847" spans="1:18" x14ac:dyDescent="0.35">
      <c r="A2847">
        <v>2846</v>
      </c>
      <c r="B2847" s="1">
        <v>45938</v>
      </c>
      <c r="C2847">
        <v>1391</v>
      </c>
      <c r="D2847" t="s">
        <v>32</v>
      </c>
      <c r="E2847" t="s">
        <v>33</v>
      </c>
      <c r="F2847" t="s">
        <v>24</v>
      </c>
      <c r="G2847">
        <v>2</v>
      </c>
      <c r="H2847">
        <v>0</v>
      </c>
      <c r="I2847" t="s">
        <v>39</v>
      </c>
      <c r="J2847" t="s">
        <v>37</v>
      </c>
      <c r="K2847" t="s">
        <v>38</v>
      </c>
      <c r="L2847">
        <v>8</v>
      </c>
      <c r="M2847">
        <v>0</v>
      </c>
      <c r="N2847">
        <v>0</v>
      </c>
      <c r="O2847" t="s">
        <v>27</v>
      </c>
      <c r="P2847" t="str">
        <f>TEXT(Table1[[#This Row],[order_date]],"yyyy-mm")</f>
        <v>2025-10</v>
      </c>
      <c r="Q2847">
        <f>WEEKNUM(Table1[[#This Row],[order_date]])</f>
        <v>41</v>
      </c>
      <c r="R2847">
        <f>IF(Table1[[#This Row],[order_status]]="completed",1,0)</f>
        <v>0</v>
      </c>
    </row>
    <row r="2848" spans="1:18" x14ac:dyDescent="0.35">
      <c r="A2848">
        <v>2847</v>
      </c>
      <c r="B2848" s="1">
        <v>45900</v>
      </c>
      <c r="C2848">
        <v>1302</v>
      </c>
      <c r="D2848" t="s">
        <v>22</v>
      </c>
      <c r="E2848" t="s">
        <v>29</v>
      </c>
      <c r="F2848" t="s">
        <v>30</v>
      </c>
      <c r="G2848">
        <v>3</v>
      </c>
      <c r="H2848">
        <v>0</v>
      </c>
      <c r="I2848" t="s">
        <v>39</v>
      </c>
      <c r="J2848" t="s">
        <v>31</v>
      </c>
      <c r="K2848" t="s">
        <v>20</v>
      </c>
      <c r="L2848">
        <v>10</v>
      </c>
      <c r="M2848">
        <v>0</v>
      </c>
      <c r="N2848">
        <v>0</v>
      </c>
      <c r="O2848" t="s">
        <v>27</v>
      </c>
      <c r="P2848" t="str">
        <f>TEXT(Table1[[#This Row],[order_date]],"yyyy-mm")</f>
        <v>2025-08</v>
      </c>
      <c r="Q2848">
        <f>WEEKNUM(Table1[[#This Row],[order_date]])</f>
        <v>36</v>
      </c>
      <c r="R2848">
        <f>IF(Table1[[#This Row],[order_status]]="completed",1,0)</f>
        <v>0</v>
      </c>
    </row>
    <row r="2849" spans="1:18" x14ac:dyDescent="0.35">
      <c r="A2849">
        <v>2848</v>
      </c>
      <c r="B2849" s="1">
        <v>46016</v>
      </c>
      <c r="C2849">
        <v>1029</v>
      </c>
      <c r="D2849" t="s">
        <v>28</v>
      </c>
      <c r="E2849" t="s">
        <v>33</v>
      </c>
      <c r="F2849" t="s">
        <v>24</v>
      </c>
      <c r="G2849">
        <v>2</v>
      </c>
      <c r="H2849">
        <v>0</v>
      </c>
      <c r="I2849" t="s">
        <v>39</v>
      </c>
      <c r="J2849" t="s">
        <v>37</v>
      </c>
      <c r="K2849" t="s">
        <v>40</v>
      </c>
      <c r="L2849">
        <v>3</v>
      </c>
      <c r="M2849">
        <v>0</v>
      </c>
      <c r="N2849">
        <v>1</v>
      </c>
      <c r="O2849" t="s">
        <v>27</v>
      </c>
      <c r="P2849" t="str">
        <f>TEXT(Table1[[#This Row],[order_date]],"yyyy-mm")</f>
        <v>2025-12</v>
      </c>
      <c r="Q2849">
        <f>WEEKNUM(Table1[[#This Row],[order_date]])</f>
        <v>52</v>
      </c>
      <c r="R2849">
        <f>IF(Table1[[#This Row],[order_status]]="completed",1,0)</f>
        <v>0</v>
      </c>
    </row>
    <row r="2850" spans="1:18" x14ac:dyDescent="0.35">
      <c r="A2850">
        <v>2849</v>
      </c>
      <c r="B2850" s="1">
        <v>45939</v>
      </c>
      <c r="C2850">
        <v>1559</v>
      </c>
      <c r="D2850" t="s">
        <v>41</v>
      </c>
      <c r="E2850" t="s">
        <v>29</v>
      </c>
      <c r="F2850" t="s">
        <v>34</v>
      </c>
      <c r="G2850">
        <v>4</v>
      </c>
      <c r="H2850">
        <v>0</v>
      </c>
      <c r="I2850" t="s">
        <v>25</v>
      </c>
      <c r="J2850" t="s">
        <v>37</v>
      </c>
      <c r="K2850" t="s">
        <v>26</v>
      </c>
      <c r="L2850">
        <v>8</v>
      </c>
      <c r="M2850">
        <v>1</v>
      </c>
      <c r="N2850">
        <v>0</v>
      </c>
      <c r="O2850" t="s">
        <v>21</v>
      </c>
      <c r="P2850" t="str">
        <f>TEXT(Table1[[#This Row],[order_date]],"yyyy-mm")</f>
        <v>2025-10</v>
      </c>
      <c r="Q2850">
        <f>WEEKNUM(Table1[[#This Row],[order_date]])</f>
        <v>41</v>
      </c>
      <c r="R2850">
        <f>IF(Table1[[#This Row],[order_status]]="completed",1,0)</f>
        <v>0</v>
      </c>
    </row>
    <row r="2851" spans="1:18" x14ac:dyDescent="0.35">
      <c r="A2851">
        <v>2850</v>
      </c>
      <c r="B2851" s="1">
        <v>45969</v>
      </c>
      <c r="C2851">
        <v>1003</v>
      </c>
      <c r="D2851" t="s">
        <v>15</v>
      </c>
      <c r="E2851" t="s">
        <v>16</v>
      </c>
      <c r="F2851" t="s">
        <v>30</v>
      </c>
      <c r="G2851">
        <v>1</v>
      </c>
      <c r="H2851">
        <v>0</v>
      </c>
      <c r="I2851" t="s">
        <v>25</v>
      </c>
      <c r="J2851" t="s">
        <v>37</v>
      </c>
      <c r="K2851" t="s">
        <v>38</v>
      </c>
      <c r="L2851">
        <v>2</v>
      </c>
      <c r="M2851">
        <v>0</v>
      </c>
      <c r="N2851">
        <v>0</v>
      </c>
      <c r="O2851" t="s">
        <v>27</v>
      </c>
      <c r="P2851" t="str">
        <f>TEXT(Table1[[#This Row],[order_date]],"yyyy-mm")</f>
        <v>2025-11</v>
      </c>
      <c r="Q2851">
        <f>WEEKNUM(Table1[[#This Row],[order_date]])</f>
        <v>45</v>
      </c>
      <c r="R2851">
        <f>IF(Table1[[#This Row],[order_status]]="completed",1,0)</f>
        <v>0</v>
      </c>
    </row>
    <row r="2852" spans="1:18" x14ac:dyDescent="0.35">
      <c r="A2852">
        <v>2851</v>
      </c>
      <c r="B2852" s="1">
        <v>45978</v>
      </c>
      <c r="C2852">
        <v>1420</v>
      </c>
      <c r="D2852" t="s">
        <v>41</v>
      </c>
      <c r="E2852" t="s">
        <v>29</v>
      </c>
      <c r="F2852" t="s">
        <v>24</v>
      </c>
      <c r="G2852">
        <v>3</v>
      </c>
      <c r="H2852">
        <v>0</v>
      </c>
      <c r="I2852" t="s">
        <v>25</v>
      </c>
      <c r="J2852" t="s">
        <v>31</v>
      </c>
      <c r="K2852" t="s">
        <v>20</v>
      </c>
      <c r="L2852">
        <v>7</v>
      </c>
      <c r="M2852">
        <v>1</v>
      </c>
      <c r="N2852">
        <v>0</v>
      </c>
      <c r="O2852" t="s">
        <v>21</v>
      </c>
      <c r="P2852" t="str">
        <f>TEXT(Table1[[#This Row],[order_date]],"yyyy-mm")</f>
        <v>2025-11</v>
      </c>
      <c r="Q2852">
        <f>WEEKNUM(Table1[[#This Row],[order_date]])</f>
        <v>47</v>
      </c>
      <c r="R2852">
        <f>IF(Table1[[#This Row],[order_status]]="completed",1,0)</f>
        <v>0</v>
      </c>
    </row>
    <row r="2853" spans="1:18" x14ac:dyDescent="0.35">
      <c r="A2853">
        <v>2852</v>
      </c>
      <c r="B2853" s="1">
        <v>45853</v>
      </c>
      <c r="C2853">
        <v>1512</v>
      </c>
      <c r="D2853" t="s">
        <v>22</v>
      </c>
      <c r="E2853" t="s">
        <v>33</v>
      </c>
      <c r="F2853" t="s">
        <v>17</v>
      </c>
      <c r="G2853">
        <v>4</v>
      </c>
      <c r="H2853">
        <v>0</v>
      </c>
      <c r="I2853" t="s">
        <v>35</v>
      </c>
      <c r="J2853" t="s">
        <v>31</v>
      </c>
      <c r="K2853" t="s">
        <v>20</v>
      </c>
      <c r="L2853">
        <v>8</v>
      </c>
      <c r="M2853">
        <v>1</v>
      </c>
      <c r="N2853">
        <v>1</v>
      </c>
      <c r="O2853" t="s">
        <v>21</v>
      </c>
      <c r="P2853" t="str">
        <f>TEXT(Table1[[#This Row],[order_date]],"yyyy-mm")</f>
        <v>2025-07</v>
      </c>
      <c r="Q2853">
        <f>WEEKNUM(Table1[[#This Row],[order_date]])</f>
        <v>29</v>
      </c>
      <c r="R2853">
        <f>IF(Table1[[#This Row],[order_status]]="completed",1,0)</f>
        <v>0</v>
      </c>
    </row>
    <row r="2854" spans="1:18" x14ac:dyDescent="0.35">
      <c r="A2854">
        <v>2853</v>
      </c>
      <c r="B2854" s="1">
        <v>45995</v>
      </c>
      <c r="C2854">
        <v>1010</v>
      </c>
      <c r="D2854" t="s">
        <v>41</v>
      </c>
      <c r="E2854" t="s">
        <v>16</v>
      </c>
      <c r="F2854" t="s">
        <v>24</v>
      </c>
      <c r="G2854">
        <v>3</v>
      </c>
      <c r="H2854">
        <v>0</v>
      </c>
      <c r="I2854" t="s">
        <v>25</v>
      </c>
      <c r="J2854" t="s">
        <v>37</v>
      </c>
      <c r="K2854" t="s">
        <v>38</v>
      </c>
      <c r="L2854">
        <v>5</v>
      </c>
      <c r="M2854">
        <v>0</v>
      </c>
      <c r="N2854">
        <v>1</v>
      </c>
      <c r="O2854" t="s">
        <v>21</v>
      </c>
      <c r="P2854" t="str">
        <f>TEXT(Table1[[#This Row],[order_date]],"yyyy-mm")</f>
        <v>2025-12</v>
      </c>
      <c r="Q2854">
        <f>WEEKNUM(Table1[[#This Row],[order_date]])</f>
        <v>49</v>
      </c>
      <c r="R2854">
        <f>IF(Table1[[#This Row],[order_status]]="completed",1,0)</f>
        <v>0</v>
      </c>
    </row>
    <row r="2855" spans="1:18" x14ac:dyDescent="0.35">
      <c r="A2855">
        <v>2854</v>
      </c>
      <c r="B2855" s="1">
        <v>45924</v>
      </c>
      <c r="C2855">
        <v>1472</v>
      </c>
      <c r="D2855" t="s">
        <v>41</v>
      </c>
      <c r="E2855" t="s">
        <v>23</v>
      </c>
      <c r="F2855" t="s">
        <v>24</v>
      </c>
      <c r="G2855">
        <v>4</v>
      </c>
      <c r="H2855">
        <v>8616</v>
      </c>
      <c r="I2855" t="s">
        <v>25</v>
      </c>
      <c r="J2855" t="s">
        <v>19</v>
      </c>
      <c r="K2855" t="s">
        <v>20</v>
      </c>
      <c r="L2855">
        <v>9</v>
      </c>
      <c r="M2855">
        <v>0</v>
      </c>
      <c r="N2855">
        <v>0</v>
      </c>
      <c r="O2855" t="s">
        <v>21</v>
      </c>
      <c r="P2855" t="str">
        <f>TEXT(Table1[[#This Row],[order_date]],"yyyy-mm")</f>
        <v>2025-09</v>
      </c>
      <c r="Q2855">
        <f>WEEKNUM(Table1[[#This Row],[order_date]])</f>
        <v>39</v>
      </c>
      <c r="R2855">
        <f>IF(Table1[[#This Row],[order_status]]="completed",1,0)</f>
        <v>1</v>
      </c>
    </row>
    <row r="2856" spans="1:18" x14ac:dyDescent="0.35">
      <c r="A2856">
        <v>2855</v>
      </c>
      <c r="B2856" s="1">
        <v>45982</v>
      </c>
      <c r="C2856">
        <v>1105</v>
      </c>
      <c r="D2856" t="s">
        <v>15</v>
      </c>
      <c r="E2856" t="s">
        <v>33</v>
      </c>
      <c r="F2856" t="s">
        <v>24</v>
      </c>
      <c r="G2856">
        <v>2</v>
      </c>
      <c r="H2856">
        <v>7240</v>
      </c>
      <c r="I2856" t="s">
        <v>39</v>
      </c>
      <c r="J2856" t="s">
        <v>19</v>
      </c>
      <c r="K2856" t="s">
        <v>40</v>
      </c>
      <c r="L2856">
        <v>2</v>
      </c>
      <c r="M2856">
        <v>0</v>
      </c>
      <c r="N2856">
        <v>1</v>
      </c>
      <c r="O2856" t="s">
        <v>21</v>
      </c>
      <c r="P2856" t="str">
        <f>TEXT(Table1[[#This Row],[order_date]],"yyyy-mm")</f>
        <v>2025-11</v>
      </c>
      <c r="Q2856">
        <f>WEEKNUM(Table1[[#This Row],[order_date]])</f>
        <v>47</v>
      </c>
      <c r="R2856">
        <f>IF(Table1[[#This Row],[order_status]]="completed",1,0)</f>
        <v>1</v>
      </c>
    </row>
    <row r="2857" spans="1:18" x14ac:dyDescent="0.35">
      <c r="A2857">
        <v>2856</v>
      </c>
      <c r="B2857" s="1">
        <v>45988</v>
      </c>
      <c r="C2857">
        <v>1509</v>
      </c>
      <c r="D2857" t="s">
        <v>15</v>
      </c>
      <c r="E2857" t="s">
        <v>33</v>
      </c>
      <c r="F2857" t="s">
        <v>30</v>
      </c>
      <c r="G2857">
        <v>1</v>
      </c>
      <c r="H2857">
        <v>567</v>
      </c>
      <c r="I2857" t="s">
        <v>25</v>
      </c>
      <c r="J2857" t="s">
        <v>19</v>
      </c>
      <c r="K2857" t="s">
        <v>26</v>
      </c>
      <c r="L2857">
        <v>8</v>
      </c>
      <c r="M2857">
        <v>0</v>
      </c>
      <c r="N2857">
        <v>0</v>
      </c>
      <c r="O2857" t="s">
        <v>21</v>
      </c>
      <c r="P2857" t="str">
        <f>TEXT(Table1[[#This Row],[order_date]],"yyyy-mm")</f>
        <v>2025-11</v>
      </c>
      <c r="Q2857">
        <f>WEEKNUM(Table1[[#This Row],[order_date]])</f>
        <v>48</v>
      </c>
      <c r="R2857">
        <f>IF(Table1[[#This Row],[order_status]]="completed",1,0)</f>
        <v>1</v>
      </c>
    </row>
    <row r="2858" spans="1:18" x14ac:dyDescent="0.35">
      <c r="A2858">
        <v>2857</v>
      </c>
      <c r="B2858" s="1">
        <v>45867</v>
      </c>
      <c r="C2858">
        <v>1832</v>
      </c>
      <c r="D2858" t="s">
        <v>41</v>
      </c>
      <c r="E2858" t="s">
        <v>16</v>
      </c>
      <c r="F2858" t="s">
        <v>17</v>
      </c>
      <c r="G2858">
        <v>5</v>
      </c>
      <c r="H2858">
        <v>0</v>
      </c>
      <c r="I2858" t="s">
        <v>35</v>
      </c>
      <c r="J2858" t="s">
        <v>31</v>
      </c>
      <c r="K2858" t="s">
        <v>40</v>
      </c>
      <c r="L2858">
        <v>8</v>
      </c>
      <c r="M2858">
        <v>0</v>
      </c>
      <c r="N2858">
        <v>1</v>
      </c>
      <c r="O2858" t="s">
        <v>27</v>
      </c>
      <c r="P2858" t="str">
        <f>TEXT(Table1[[#This Row],[order_date]],"yyyy-mm")</f>
        <v>2025-07</v>
      </c>
      <c r="Q2858">
        <f>WEEKNUM(Table1[[#This Row],[order_date]])</f>
        <v>31</v>
      </c>
      <c r="R2858">
        <f>IF(Table1[[#This Row],[order_status]]="completed",1,0)</f>
        <v>0</v>
      </c>
    </row>
    <row r="2859" spans="1:18" x14ac:dyDescent="0.35">
      <c r="A2859">
        <v>2858</v>
      </c>
      <c r="B2859" s="1">
        <v>46023</v>
      </c>
      <c r="C2859">
        <v>1991</v>
      </c>
      <c r="D2859" t="s">
        <v>32</v>
      </c>
      <c r="E2859" t="s">
        <v>23</v>
      </c>
      <c r="F2859" t="s">
        <v>34</v>
      </c>
      <c r="G2859">
        <v>2</v>
      </c>
      <c r="H2859">
        <v>7292</v>
      </c>
      <c r="I2859" t="s">
        <v>25</v>
      </c>
      <c r="J2859" t="s">
        <v>19</v>
      </c>
      <c r="K2859" t="s">
        <v>38</v>
      </c>
      <c r="L2859">
        <v>4</v>
      </c>
      <c r="M2859">
        <v>0</v>
      </c>
      <c r="N2859">
        <v>0</v>
      </c>
      <c r="O2859" t="s">
        <v>21</v>
      </c>
      <c r="P2859" t="str">
        <f>TEXT(Table1[[#This Row],[order_date]],"yyyy-mm")</f>
        <v>2026-01</v>
      </c>
      <c r="Q2859">
        <f>WEEKNUM(Table1[[#This Row],[order_date]])</f>
        <v>1</v>
      </c>
      <c r="R2859">
        <f>IF(Table1[[#This Row],[order_status]]="completed",1,0)</f>
        <v>1</v>
      </c>
    </row>
    <row r="2860" spans="1:18" x14ac:dyDescent="0.35">
      <c r="A2860">
        <v>2859</v>
      </c>
      <c r="B2860" s="1">
        <v>45859</v>
      </c>
      <c r="C2860">
        <v>1349</v>
      </c>
      <c r="D2860" t="s">
        <v>32</v>
      </c>
      <c r="E2860" t="s">
        <v>36</v>
      </c>
      <c r="F2860" t="s">
        <v>24</v>
      </c>
      <c r="G2860">
        <v>4</v>
      </c>
      <c r="H2860">
        <v>0</v>
      </c>
      <c r="I2860" t="s">
        <v>25</v>
      </c>
      <c r="J2860" t="s">
        <v>31</v>
      </c>
      <c r="K2860" t="s">
        <v>40</v>
      </c>
      <c r="L2860">
        <v>2</v>
      </c>
      <c r="M2860">
        <v>1</v>
      </c>
      <c r="N2860">
        <v>1</v>
      </c>
      <c r="O2860" t="s">
        <v>21</v>
      </c>
      <c r="P2860" t="str">
        <f>TEXT(Table1[[#This Row],[order_date]],"yyyy-mm")</f>
        <v>2025-07</v>
      </c>
      <c r="Q2860">
        <f>WEEKNUM(Table1[[#This Row],[order_date]])</f>
        <v>30</v>
      </c>
      <c r="R2860">
        <f>IF(Table1[[#This Row],[order_status]]="completed",1,0)</f>
        <v>0</v>
      </c>
    </row>
    <row r="2861" spans="1:18" x14ac:dyDescent="0.35">
      <c r="A2861">
        <v>2860</v>
      </c>
      <c r="B2861" s="1">
        <v>45891</v>
      </c>
      <c r="C2861">
        <v>1336</v>
      </c>
      <c r="D2861" t="s">
        <v>15</v>
      </c>
      <c r="E2861" t="s">
        <v>16</v>
      </c>
      <c r="F2861" t="s">
        <v>30</v>
      </c>
      <c r="G2861">
        <v>5</v>
      </c>
      <c r="H2861">
        <v>14840</v>
      </c>
      <c r="I2861" t="s">
        <v>35</v>
      </c>
      <c r="J2861" t="s">
        <v>19</v>
      </c>
      <c r="K2861" t="s">
        <v>40</v>
      </c>
      <c r="L2861">
        <v>6</v>
      </c>
      <c r="M2861">
        <v>0</v>
      </c>
      <c r="N2861">
        <v>1</v>
      </c>
      <c r="O2861" t="s">
        <v>27</v>
      </c>
      <c r="P2861" t="str">
        <f>TEXT(Table1[[#This Row],[order_date]],"yyyy-mm")</f>
        <v>2025-08</v>
      </c>
      <c r="Q2861">
        <f>WEEKNUM(Table1[[#This Row],[order_date]])</f>
        <v>34</v>
      </c>
      <c r="R2861">
        <f>IF(Table1[[#This Row],[order_status]]="completed",1,0)</f>
        <v>1</v>
      </c>
    </row>
    <row r="2862" spans="1:18" x14ac:dyDescent="0.35">
      <c r="A2862">
        <v>2861</v>
      </c>
      <c r="B2862" s="1">
        <v>46015</v>
      </c>
      <c r="C2862">
        <v>1505</v>
      </c>
      <c r="D2862" t="s">
        <v>41</v>
      </c>
      <c r="E2862" t="s">
        <v>16</v>
      </c>
      <c r="F2862" t="s">
        <v>24</v>
      </c>
      <c r="G2862">
        <v>3</v>
      </c>
      <c r="H2862">
        <v>13437</v>
      </c>
      <c r="I2862" t="s">
        <v>39</v>
      </c>
      <c r="J2862" t="s">
        <v>19</v>
      </c>
      <c r="K2862" t="s">
        <v>38</v>
      </c>
      <c r="L2862">
        <v>4</v>
      </c>
      <c r="M2862">
        <v>0</v>
      </c>
      <c r="N2862">
        <v>0</v>
      </c>
      <c r="O2862" t="s">
        <v>21</v>
      </c>
      <c r="P2862" t="str">
        <f>TEXT(Table1[[#This Row],[order_date]],"yyyy-mm")</f>
        <v>2025-12</v>
      </c>
      <c r="Q2862">
        <f>WEEKNUM(Table1[[#This Row],[order_date]])</f>
        <v>52</v>
      </c>
      <c r="R2862">
        <f>IF(Table1[[#This Row],[order_status]]="completed",1,0)</f>
        <v>1</v>
      </c>
    </row>
    <row r="2863" spans="1:18" x14ac:dyDescent="0.35">
      <c r="A2863">
        <v>2862</v>
      </c>
      <c r="B2863" s="1">
        <v>45895</v>
      </c>
      <c r="C2863">
        <v>1255</v>
      </c>
      <c r="D2863" t="s">
        <v>28</v>
      </c>
      <c r="E2863" t="s">
        <v>16</v>
      </c>
      <c r="F2863" t="s">
        <v>30</v>
      </c>
      <c r="G2863">
        <v>4</v>
      </c>
      <c r="H2863">
        <v>0</v>
      </c>
      <c r="I2863" t="s">
        <v>39</v>
      </c>
      <c r="J2863" t="s">
        <v>37</v>
      </c>
      <c r="K2863" t="s">
        <v>20</v>
      </c>
      <c r="L2863">
        <v>1</v>
      </c>
      <c r="M2863">
        <v>0</v>
      </c>
      <c r="N2863">
        <v>1</v>
      </c>
      <c r="O2863" t="s">
        <v>21</v>
      </c>
      <c r="P2863" t="str">
        <f>TEXT(Table1[[#This Row],[order_date]],"yyyy-mm")</f>
        <v>2025-08</v>
      </c>
      <c r="Q2863">
        <f>WEEKNUM(Table1[[#This Row],[order_date]])</f>
        <v>35</v>
      </c>
      <c r="R2863">
        <f>IF(Table1[[#This Row],[order_status]]="completed",1,0)</f>
        <v>0</v>
      </c>
    </row>
    <row r="2864" spans="1:18" x14ac:dyDescent="0.35">
      <c r="A2864">
        <v>2863</v>
      </c>
      <c r="B2864" s="1">
        <v>45907</v>
      </c>
      <c r="C2864">
        <v>1847</v>
      </c>
      <c r="D2864" t="s">
        <v>41</v>
      </c>
      <c r="E2864" t="s">
        <v>33</v>
      </c>
      <c r="F2864" t="s">
        <v>17</v>
      </c>
      <c r="G2864">
        <v>5</v>
      </c>
      <c r="H2864">
        <v>0</v>
      </c>
      <c r="I2864" t="s">
        <v>25</v>
      </c>
      <c r="J2864" t="s">
        <v>31</v>
      </c>
      <c r="K2864" t="s">
        <v>26</v>
      </c>
      <c r="L2864">
        <v>8</v>
      </c>
      <c r="M2864">
        <v>0</v>
      </c>
      <c r="N2864">
        <v>1</v>
      </c>
      <c r="O2864" t="s">
        <v>27</v>
      </c>
      <c r="P2864" t="str">
        <f>TEXT(Table1[[#This Row],[order_date]],"yyyy-mm")</f>
        <v>2025-09</v>
      </c>
      <c r="Q2864">
        <f>WEEKNUM(Table1[[#This Row],[order_date]])</f>
        <v>37</v>
      </c>
      <c r="R2864">
        <f>IF(Table1[[#This Row],[order_status]]="completed",1,0)</f>
        <v>0</v>
      </c>
    </row>
    <row r="2865" spans="1:18" x14ac:dyDescent="0.35">
      <c r="A2865">
        <v>2864</v>
      </c>
      <c r="B2865" s="1">
        <v>45911</v>
      </c>
      <c r="C2865">
        <v>1216</v>
      </c>
      <c r="D2865" t="s">
        <v>32</v>
      </c>
      <c r="E2865" t="s">
        <v>33</v>
      </c>
      <c r="F2865" t="s">
        <v>34</v>
      </c>
      <c r="G2865">
        <v>3</v>
      </c>
      <c r="H2865">
        <v>0</v>
      </c>
      <c r="I2865" t="s">
        <v>39</v>
      </c>
      <c r="J2865" t="s">
        <v>37</v>
      </c>
      <c r="K2865" t="s">
        <v>40</v>
      </c>
      <c r="L2865">
        <v>10</v>
      </c>
      <c r="M2865">
        <v>1</v>
      </c>
      <c r="N2865">
        <v>0</v>
      </c>
      <c r="O2865" t="s">
        <v>27</v>
      </c>
      <c r="P2865" t="str">
        <f>TEXT(Table1[[#This Row],[order_date]],"yyyy-mm")</f>
        <v>2025-09</v>
      </c>
      <c r="Q2865">
        <f>WEEKNUM(Table1[[#This Row],[order_date]])</f>
        <v>37</v>
      </c>
      <c r="R2865">
        <f>IF(Table1[[#This Row],[order_status]]="completed",1,0)</f>
        <v>0</v>
      </c>
    </row>
    <row r="2866" spans="1:18" x14ac:dyDescent="0.35">
      <c r="A2866">
        <v>2865</v>
      </c>
      <c r="B2866" s="1">
        <v>45852</v>
      </c>
      <c r="C2866">
        <v>1994</v>
      </c>
      <c r="D2866" t="s">
        <v>22</v>
      </c>
      <c r="E2866" t="s">
        <v>16</v>
      </c>
      <c r="F2866" t="s">
        <v>17</v>
      </c>
      <c r="G2866">
        <v>3</v>
      </c>
      <c r="H2866">
        <v>0</v>
      </c>
      <c r="I2866" t="s">
        <v>39</v>
      </c>
      <c r="J2866" t="s">
        <v>31</v>
      </c>
      <c r="K2866" t="s">
        <v>38</v>
      </c>
      <c r="L2866">
        <v>5</v>
      </c>
      <c r="M2866">
        <v>1</v>
      </c>
      <c r="N2866">
        <v>1</v>
      </c>
      <c r="O2866" t="s">
        <v>27</v>
      </c>
      <c r="P2866" t="str">
        <f>TEXT(Table1[[#This Row],[order_date]],"yyyy-mm")</f>
        <v>2025-07</v>
      </c>
      <c r="Q2866">
        <f>WEEKNUM(Table1[[#This Row],[order_date]])</f>
        <v>29</v>
      </c>
      <c r="R2866">
        <f>IF(Table1[[#This Row],[order_status]]="completed",1,0)</f>
        <v>0</v>
      </c>
    </row>
    <row r="2867" spans="1:18" x14ac:dyDescent="0.35">
      <c r="A2867">
        <v>2866</v>
      </c>
      <c r="B2867" s="1">
        <v>45955</v>
      </c>
      <c r="C2867">
        <v>1732</v>
      </c>
      <c r="D2867" t="s">
        <v>32</v>
      </c>
      <c r="E2867" t="s">
        <v>16</v>
      </c>
      <c r="F2867" t="s">
        <v>24</v>
      </c>
      <c r="G2867">
        <v>2</v>
      </c>
      <c r="H2867">
        <v>0</v>
      </c>
      <c r="I2867" t="s">
        <v>25</v>
      </c>
      <c r="J2867" t="s">
        <v>37</v>
      </c>
      <c r="K2867" t="s">
        <v>38</v>
      </c>
      <c r="L2867">
        <v>3</v>
      </c>
      <c r="M2867">
        <v>1</v>
      </c>
      <c r="N2867">
        <v>0</v>
      </c>
      <c r="O2867" t="s">
        <v>27</v>
      </c>
      <c r="P2867" t="str">
        <f>TEXT(Table1[[#This Row],[order_date]],"yyyy-mm")</f>
        <v>2025-10</v>
      </c>
      <c r="Q2867">
        <f>WEEKNUM(Table1[[#This Row],[order_date]])</f>
        <v>43</v>
      </c>
      <c r="R2867">
        <f>IF(Table1[[#This Row],[order_status]]="completed",1,0)</f>
        <v>0</v>
      </c>
    </row>
    <row r="2868" spans="1:18" x14ac:dyDescent="0.35">
      <c r="A2868">
        <v>2867</v>
      </c>
      <c r="B2868" s="1">
        <v>45970</v>
      </c>
      <c r="C2868">
        <v>1770</v>
      </c>
      <c r="D2868" t="s">
        <v>41</v>
      </c>
      <c r="E2868" t="s">
        <v>36</v>
      </c>
      <c r="F2868" t="s">
        <v>30</v>
      </c>
      <c r="G2868">
        <v>5</v>
      </c>
      <c r="H2868">
        <v>17720</v>
      </c>
      <c r="I2868" t="s">
        <v>18</v>
      </c>
      <c r="J2868" t="s">
        <v>19</v>
      </c>
      <c r="K2868" t="s">
        <v>40</v>
      </c>
      <c r="L2868">
        <v>1</v>
      </c>
      <c r="M2868">
        <v>0</v>
      </c>
      <c r="N2868">
        <v>0</v>
      </c>
      <c r="O2868" t="s">
        <v>21</v>
      </c>
      <c r="P2868" t="str">
        <f>TEXT(Table1[[#This Row],[order_date]],"yyyy-mm")</f>
        <v>2025-11</v>
      </c>
      <c r="Q2868">
        <f>WEEKNUM(Table1[[#This Row],[order_date]])</f>
        <v>46</v>
      </c>
      <c r="R2868">
        <f>IF(Table1[[#This Row],[order_status]]="completed",1,0)</f>
        <v>1</v>
      </c>
    </row>
    <row r="2869" spans="1:18" x14ac:dyDescent="0.35">
      <c r="A2869">
        <v>2868</v>
      </c>
      <c r="B2869" s="1">
        <v>45907</v>
      </c>
      <c r="C2869">
        <v>1585</v>
      </c>
      <c r="D2869" t="s">
        <v>41</v>
      </c>
      <c r="E2869" t="s">
        <v>29</v>
      </c>
      <c r="F2869" t="s">
        <v>24</v>
      </c>
      <c r="G2869">
        <v>1</v>
      </c>
      <c r="H2869">
        <v>4647</v>
      </c>
      <c r="I2869" t="s">
        <v>39</v>
      </c>
      <c r="J2869" t="s">
        <v>19</v>
      </c>
      <c r="K2869" t="s">
        <v>40</v>
      </c>
      <c r="L2869">
        <v>5</v>
      </c>
      <c r="M2869">
        <v>1</v>
      </c>
      <c r="N2869">
        <v>0</v>
      </c>
      <c r="O2869" t="s">
        <v>27</v>
      </c>
      <c r="P2869" t="str">
        <f>TEXT(Table1[[#This Row],[order_date]],"yyyy-mm")</f>
        <v>2025-09</v>
      </c>
      <c r="Q2869">
        <f>WEEKNUM(Table1[[#This Row],[order_date]])</f>
        <v>37</v>
      </c>
      <c r="R2869">
        <f>IF(Table1[[#This Row],[order_status]]="completed",1,0)</f>
        <v>1</v>
      </c>
    </row>
    <row r="2870" spans="1:18" x14ac:dyDescent="0.35">
      <c r="A2870">
        <v>2869</v>
      </c>
      <c r="B2870" s="1">
        <v>45934</v>
      </c>
      <c r="C2870">
        <v>1017</v>
      </c>
      <c r="D2870" t="s">
        <v>32</v>
      </c>
      <c r="E2870" t="s">
        <v>33</v>
      </c>
      <c r="F2870" t="s">
        <v>17</v>
      </c>
      <c r="G2870">
        <v>4</v>
      </c>
      <c r="H2870">
        <v>0</v>
      </c>
      <c r="I2870" t="s">
        <v>18</v>
      </c>
      <c r="J2870" t="s">
        <v>31</v>
      </c>
      <c r="K2870" t="s">
        <v>26</v>
      </c>
      <c r="L2870">
        <v>7</v>
      </c>
      <c r="M2870">
        <v>0</v>
      </c>
      <c r="N2870">
        <v>0</v>
      </c>
      <c r="O2870" t="s">
        <v>27</v>
      </c>
      <c r="P2870" t="str">
        <f>TEXT(Table1[[#This Row],[order_date]],"yyyy-mm")</f>
        <v>2025-10</v>
      </c>
      <c r="Q2870">
        <f>WEEKNUM(Table1[[#This Row],[order_date]])</f>
        <v>40</v>
      </c>
      <c r="R2870">
        <f>IF(Table1[[#This Row],[order_status]]="completed",1,0)</f>
        <v>0</v>
      </c>
    </row>
    <row r="2871" spans="1:18" x14ac:dyDescent="0.35">
      <c r="A2871">
        <v>2870</v>
      </c>
      <c r="B2871" s="1">
        <v>46028</v>
      </c>
      <c r="C2871">
        <v>1849</v>
      </c>
      <c r="D2871" t="s">
        <v>15</v>
      </c>
      <c r="E2871" t="s">
        <v>33</v>
      </c>
      <c r="F2871" t="s">
        <v>17</v>
      </c>
      <c r="G2871">
        <v>1</v>
      </c>
      <c r="H2871">
        <v>3927</v>
      </c>
      <c r="I2871" t="s">
        <v>35</v>
      </c>
      <c r="J2871" t="s">
        <v>19</v>
      </c>
      <c r="K2871" t="s">
        <v>26</v>
      </c>
      <c r="L2871">
        <v>8</v>
      </c>
      <c r="M2871">
        <v>0</v>
      </c>
      <c r="N2871">
        <v>0</v>
      </c>
      <c r="O2871" t="s">
        <v>21</v>
      </c>
      <c r="P2871" t="str">
        <f>TEXT(Table1[[#This Row],[order_date]],"yyyy-mm")</f>
        <v>2026-01</v>
      </c>
      <c r="Q2871">
        <f>WEEKNUM(Table1[[#This Row],[order_date]])</f>
        <v>2</v>
      </c>
      <c r="R2871">
        <f>IF(Table1[[#This Row],[order_status]]="completed",1,0)</f>
        <v>1</v>
      </c>
    </row>
    <row r="2872" spans="1:18" x14ac:dyDescent="0.35">
      <c r="A2872">
        <v>2871</v>
      </c>
      <c r="B2872" s="1">
        <v>46020</v>
      </c>
      <c r="C2872">
        <v>1543</v>
      </c>
      <c r="D2872" t="s">
        <v>41</v>
      </c>
      <c r="E2872" t="s">
        <v>33</v>
      </c>
      <c r="F2872" t="s">
        <v>30</v>
      </c>
      <c r="G2872">
        <v>5</v>
      </c>
      <c r="H2872">
        <v>0</v>
      </c>
      <c r="I2872" t="s">
        <v>39</v>
      </c>
      <c r="J2872" t="s">
        <v>31</v>
      </c>
      <c r="K2872" t="s">
        <v>26</v>
      </c>
      <c r="L2872">
        <v>8</v>
      </c>
      <c r="M2872">
        <v>1</v>
      </c>
      <c r="N2872">
        <v>1</v>
      </c>
      <c r="O2872" t="s">
        <v>27</v>
      </c>
      <c r="P2872" t="str">
        <f>TEXT(Table1[[#This Row],[order_date]],"yyyy-mm")</f>
        <v>2025-12</v>
      </c>
      <c r="Q2872">
        <f>WEEKNUM(Table1[[#This Row],[order_date]])</f>
        <v>53</v>
      </c>
      <c r="R2872">
        <f>IF(Table1[[#This Row],[order_status]]="completed",1,0)</f>
        <v>0</v>
      </c>
    </row>
    <row r="2873" spans="1:18" x14ac:dyDescent="0.35">
      <c r="A2873">
        <v>2872</v>
      </c>
      <c r="B2873" s="1">
        <v>46005</v>
      </c>
      <c r="C2873">
        <v>1940</v>
      </c>
      <c r="D2873" t="s">
        <v>15</v>
      </c>
      <c r="E2873" t="s">
        <v>33</v>
      </c>
      <c r="F2873" t="s">
        <v>30</v>
      </c>
      <c r="G2873">
        <v>5</v>
      </c>
      <c r="H2873">
        <v>9140</v>
      </c>
      <c r="I2873" t="s">
        <v>25</v>
      </c>
      <c r="J2873" t="s">
        <v>19</v>
      </c>
      <c r="K2873" t="s">
        <v>26</v>
      </c>
      <c r="L2873">
        <v>8</v>
      </c>
      <c r="M2873">
        <v>1</v>
      </c>
      <c r="N2873">
        <v>0</v>
      </c>
      <c r="O2873" t="s">
        <v>27</v>
      </c>
      <c r="P2873" t="str">
        <f>TEXT(Table1[[#This Row],[order_date]],"yyyy-mm")</f>
        <v>2025-12</v>
      </c>
      <c r="Q2873">
        <f>WEEKNUM(Table1[[#This Row],[order_date]])</f>
        <v>51</v>
      </c>
      <c r="R2873">
        <f>IF(Table1[[#This Row],[order_status]]="completed",1,0)</f>
        <v>1</v>
      </c>
    </row>
    <row r="2874" spans="1:18" x14ac:dyDescent="0.35">
      <c r="A2874">
        <v>2873</v>
      </c>
      <c r="B2874" s="1">
        <v>45946</v>
      </c>
      <c r="C2874">
        <v>1205</v>
      </c>
      <c r="D2874" t="s">
        <v>32</v>
      </c>
      <c r="E2874" t="s">
        <v>23</v>
      </c>
      <c r="F2874" t="s">
        <v>17</v>
      </c>
      <c r="G2874">
        <v>1</v>
      </c>
      <c r="H2874">
        <v>0</v>
      </c>
      <c r="I2874" t="s">
        <v>39</v>
      </c>
      <c r="J2874" t="s">
        <v>31</v>
      </c>
      <c r="K2874" t="s">
        <v>40</v>
      </c>
      <c r="L2874">
        <v>7</v>
      </c>
      <c r="M2874">
        <v>0</v>
      </c>
      <c r="N2874">
        <v>0</v>
      </c>
      <c r="O2874" t="s">
        <v>27</v>
      </c>
      <c r="P2874" t="str">
        <f>TEXT(Table1[[#This Row],[order_date]],"yyyy-mm")</f>
        <v>2025-10</v>
      </c>
      <c r="Q2874">
        <f>WEEKNUM(Table1[[#This Row],[order_date]])</f>
        <v>42</v>
      </c>
      <c r="R2874">
        <f>IF(Table1[[#This Row],[order_status]]="completed",1,0)</f>
        <v>0</v>
      </c>
    </row>
    <row r="2875" spans="1:18" x14ac:dyDescent="0.35">
      <c r="A2875">
        <v>2874</v>
      </c>
      <c r="B2875" s="1">
        <v>45894</v>
      </c>
      <c r="C2875">
        <v>1635</v>
      </c>
      <c r="D2875" t="s">
        <v>28</v>
      </c>
      <c r="E2875" t="s">
        <v>33</v>
      </c>
      <c r="F2875" t="s">
        <v>30</v>
      </c>
      <c r="G2875">
        <v>3</v>
      </c>
      <c r="H2875">
        <v>0</v>
      </c>
      <c r="I2875" t="s">
        <v>35</v>
      </c>
      <c r="J2875" t="s">
        <v>37</v>
      </c>
      <c r="K2875" t="s">
        <v>40</v>
      </c>
      <c r="L2875">
        <v>3</v>
      </c>
      <c r="M2875">
        <v>0</v>
      </c>
      <c r="N2875">
        <v>1</v>
      </c>
      <c r="O2875" t="s">
        <v>21</v>
      </c>
      <c r="P2875" t="str">
        <f>TEXT(Table1[[#This Row],[order_date]],"yyyy-mm")</f>
        <v>2025-08</v>
      </c>
      <c r="Q2875">
        <f>WEEKNUM(Table1[[#This Row],[order_date]])</f>
        <v>35</v>
      </c>
      <c r="R2875">
        <f>IF(Table1[[#This Row],[order_status]]="completed",1,0)</f>
        <v>0</v>
      </c>
    </row>
    <row r="2876" spans="1:18" x14ac:dyDescent="0.35">
      <c r="A2876">
        <v>2875</v>
      </c>
      <c r="B2876" s="1">
        <v>45930</v>
      </c>
      <c r="C2876">
        <v>1744</v>
      </c>
      <c r="D2876" t="s">
        <v>15</v>
      </c>
      <c r="E2876" t="s">
        <v>23</v>
      </c>
      <c r="F2876" t="s">
        <v>30</v>
      </c>
      <c r="G2876">
        <v>1</v>
      </c>
      <c r="H2876">
        <v>1413</v>
      </c>
      <c r="I2876" t="s">
        <v>39</v>
      </c>
      <c r="J2876" t="s">
        <v>19</v>
      </c>
      <c r="K2876" t="s">
        <v>40</v>
      </c>
      <c r="L2876">
        <v>1</v>
      </c>
      <c r="M2876">
        <v>1</v>
      </c>
      <c r="N2876">
        <v>0</v>
      </c>
      <c r="O2876" t="s">
        <v>21</v>
      </c>
      <c r="P2876" t="str">
        <f>TEXT(Table1[[#This Row],[order_date]],"yyyy-mm")</f>
        <v>2025-09</v>
      </c>
      <c r="Q2876">
        <f>WEEKNUM(Table1[[#This Row],[order_date]])</f>
        <v>40</v>
      </c>
      <c r="R2876">
        <f>IF(Table1[[#This Row],[order_status]]="completed",1,0)</f>
        <v>1</v>
      </c>
    </row>
    <row r="2877" spans="1:18" x14ac:dyDescent="0.35">
      <c r="A2877">
        <v>2876</v>
      </c>
      <c r="B2877" s="1">
        <v>45982</v>
      </c>
      <c r="C2877">
        <v>1010</v>
      </c>
      <c r="D2877" t="s">
        <v>22</v>
      </c>
      <c r="E2877" t="s">
        <v>33</v>
      </c>
      <c r="F2877" t="s">
        <v>34</v>
      </c>
      <c r="G2877">
        <v>2</v>
      </c>
      <c r="H2877">
        <v>6198</v>
      </c>
      <c r="I2877" t="s">
        <v>25</v>
      </c>
      <c r="J2877" t="s">
        <v>19</v>
      </c>
      <c r="K2877" t="s">
        <v>26</v>
      </c>
      <c r="L2877">
        <v>4</v>
      </c>
      <c r="M2877">
        <v>0</v>
      </c>
      <c r="N2877">
        <v>0</v>
      </c>
      <c r="O2877" t="s">
        <v>27</v>
      </c>
      <c r="P2877" t="str">
        <f>TEXT(Table1[[#This Row],[order_date]],"yyyy-mm")</f>
        <v>2025-11</v>
      </c>
      <c r="Q2877">
        <f>WEEKNUM(Table1[[#This Row],[order_date]])</f>
        <v>47</v>
      </c>
      <c r="R2877">
        <f>IF(Table1[[#This Row],[order_status]]="completed",1,0)</f>
        <v>1</v>
      </c>
    </row>
    <row r="2878" spans="1:18" x14ac:dyDescent="0.35">
      <c r="A2878">
        <v>2877</v>
      </c>
      <c r="B2878" s="1">
        <v>46030</v>
      </c>
      <c r="C2878">
        <v>1047</v>
      </c>
      <c r="D2878" t="s">
        <v>28</v>
      </c>
      <c r="E2878" t="s">
        <v>36</v>
      </c>
      <c r="F2878" t="s">
        <v>17</v>
      </c>
      <c r="G2878">
        <v>4</v>
      </c>
      <c r="H2878">
        <v>1048</v>
      </c>
      <c r="I2878" t="s">
        <v>35</v>
      </c>
      <c r="J2878" t="s">
        <v>19</v>
      </c>
      <c r="K2878" t="s">
        <v>38</v>
      </c>
      <c r="L2878">
        <v>1</v>
      </c>
      <c r="M2878">
        <v>1</v>
      </c>
      <c r="N2878">
        <v>0</v>
      </c>
      <c r="O2878" t="s">
        <v>27</v>
      </c>
      <c r="P2878" t="str">
        <f>TEXT(Table1[[#This Row],[order_date]],"yyyy-mm")</f>
        <v>2026-01</v>
      </c>
      <c r="Q2878">
        <f>WEEKNUM(Table1[[#This Row],[order_date]])</f>
        <v>2</v>
      </c>
      <c r="R2878">
        <f>IF(Table1[[#This Row],[order_status]]="completed",1,0)</f>
        <v>1</v>
      </c>
    </row>
    <row r="2879" spans="1:18" x14ac:dyDescent="0.35">
      <c r="A2879">
        <v>2878</v>
      </c>
      <c r="B2879" s="1">
        <v>45908</v>
      </c>
      <c r="C2879">
        <v>1469</v>
      </c>
      <c r="D2879" t="s">
        <v>28</v>
      </c>
      <c r="E2879" t="s">
        <v>33</v>
      </c>
      <c r="F2879" t="s">
        <v>34</v>
      </c>
      <c r="G2879">
        <v>2</v>
      </c>
      <c r="H2879">
        <v>0</v>
      </c>
      <c r="I2879" t="s">
        <v>39</v>
      </c>
      <c r="J2879" t="s">
        <v>37</v>
      </c>
      <c r="K2879" t="s">
        <v>26</v>
      </c>
      <c r="L2879">
        <v>3</v>
      </c>
      <c r="M2879">
        <v>0</v>
      </c>
      <c r="N2879">
        <v>0</v>
      </c>
      <c r="O2879" t="s">
        <v>27</v>
      </c>
      <c r="P2879" t="str">
        <f>TEXT(Table1[[#This Row],[order_date]],"yyyy-mm")</f>
        <v>2025-09</v>
      </c>
      <c r="Q2879">
        <f>WEEKNUM(Table1[[#This Row],[order_date]])</f>
        <v>37</v>
      </c>
      <c r="R2879">
        <f>IF(Table1[[#This Row],[order_status]]="completed",1,0)</f>
        <v>0</v>
      </c>
    </row>
    <row r="2880" spans="1:18" x14ac:dyDescent="0.35">
      <c r="A2880">
        <v>2879</v>
      </c>
      <c r="B2880" s="1">
        <v>46001</v>
      </c>
      <c r="C2880">
        <v>1690</v>
      </c>
      <c r="D2880" t="s">
        <v>41</v>
      </c>
      <c r="E2880" t="s">
        <v>16</v>
      </c>
      <c r="F2880" t="s">
        <v>34</v>
      </c>
      <c r="G2880">
        <v>3</v>
      </c>
      <c r="H2880">
        <v>0</v>
      </c>
      <c r="I2880" t="s">
        <v>35</v>
      </c>
      <c r="J2880" t="s">
        <v>31</v>
      </c>
      <c r="K2880" t="s">
        <v>20</v>
      </c>
      <c r="L2880">
        <v>7</v>
      </c>
      <c r="M2880">
        <v>1</v>
      </c>
      <c r="N2880">
        <v>1</v>
      </c>
      <c r="O2880" t="s">
        <v>21</v>
      </c>
      <c r="P2880" t="str">
        <f>TEXT(Table1[[#This Row],[order_date]],"yyyy-mm")</f>
        <v>2025-12</v>
      </c>
      <c r="Q2880">
        <f>WEEKNUM(Table1[[#This Row],[order_date]])</f>
        <v>50</v>
      </c>
      <c r="R2880">
        <f>IF(Table1[[#This Row],[order_status]]="completed",1,0)</f>
        <v>0</v>
      </c>
    </row>
    <row r="2881" spans="1:18" x14ac:dyDescent="0.35">
      <c r="A2881">
        <v>2880</v>
      </c>
      <c r="B2881" s="1">
        <v>45896</v>
      </c>
      <c r="C2881">
        <v>1152</v>
      </c>
      <c r="D2881" t="s">
        <v>22</v>
      </c>
      <c r="E2881" t="s">
        <v>33</v>
      </c>
      <c r="F2881" t="s">
        <v>24</v>
      </c>
      <c r="G2881">
        <v>4</v>
      </c>
      <c r="H2881">
        <v>19604</v>
      </c>
      <c r="I2881" t="s">
        <v>18</v>
      </c>
      <c r="J2881" t="s">
        <v>19</v>
      </c>
      <c r="K2881" t="s">
        <v>26</v>
      </c>
      <c r="L2881">
        <v>9</v>
      </c>
      <c r="M2881">
        <v>0</v>
      </c>
      <c r="N2881">
        <v>0</v>
      </c>
      <c r="O2881" t="s">
        <v>21</v>
      </c>
      <c r="P2881" t="str">
        <f>TEXT(Table1[[#This Row],[order_date]],"yyyy-mm")</f>
        <v>2025-08</v>
      </c>
      <c r="Q2881">
        <f>WEEKNUM(Table1[[#This Row],[order_date]])</f>
        <v>35</v>
      </c>
      <c r="R2881">
        <f>IF(Table1[[#This Row],[order_status]]="completed",1,0)</f>
        <v>1</v>
      </c>
    </row>
    <row r="2882" spans="1:18" x14ac:dyDescent="0.35">
      <c r="A2882">
        <v>2881</v>
      </c>
      <c r="B2882" s="1">
        <v>45974</v>
      </c>
      <c r="C2882">
        <v>1190</v>
      </c>
      <c r="D2882" t="s">
        <v>28</v>
      </c>
      <c r="E2882" t="s">
        <v>23</v>
      </c>
      <c r="F2882" t="s">
        <v>30</v>
      </c>
      <c r="G2882">
        <v>5</v>
      </c>
      <c r="H2882">
        <v>0</v>
      </c>
      <c r="I2882" t="s">
        <v>18</v>
      </c>
      <c r="J2882" t="s">
        <v>31</v>
      </c>
      <c r="K2882" t="s">
        <v>40</v>
      </c>
      <c r="L2882">
        <v>8</v>
      </c>
      <c r="M2882">
        <v>0</v>
      </c>
      <c r="N2882">
        <v>0</v>
      </c>
      <c r="O2882" t="s">
        <v>27</v>
      </c>
      <c r="P2882" t="str">
        <f>TEXT(Table1[[#This Row],[order_date]],"yyyy-mm")</f>
        <v>2025-11</v>
      </c>
      <c r="Q2882">
        <f>WEEKNUM(Table1[[#This Row],[order_date]])</f>
        <v>46</v>
      </c>
      <c r="R2882">
        <f>IF(Table1[[#This Row],[order_status]]="completed",1,0)</f>
        <v>0</v>
      </c>
    </row>
    <row r="2883" spans="1:18" x14ac:dyDescent="0.35">
      <c r="A2883">
        <v>2882</v>
      </c>
      <c r="B2883" s="1">
        <v>45879</v>
      </c>
      <c r="C2883">
        <v>1093</v>
      </c>
      <c r="D2883" t="s">
        <v>28</v>
      </c>
      <c r="E2883" t="s">
        <v>23</v>
      </c>
      <c r="F2883" t="s">
        <v>17</v>
      </c>
      <c r="G2883">
        <v>2</v>
      </c>
      <c r="H2883">
        <v>3166</v>
      </c>
      <c r="I2883" t="s">
        <v>39</v>
      </c>
      <c r="J2883" t="s">
        <v>19</v>
      </c>
      <c r="K2883" t="s">
        <v>20</v>
      </c>
      <c r="L2883">
        <v>10</v>
      </c>
      <c r="M2883">
        <v>1</v>
      </c>
      <c r="N2883">
        <v>1</v>
      </c>
      <c r="O2883" t="s">
        <v>27</v>
      </c>
      <c r="P2883" t="str">
        <f>TEXT(Table1[[#This Row],[order_date]],"yyyy-mm")</f>
        <v>2025-08</v>
      </c>
      <c r="Q2883">
        <f>WEEKNUM(Table1[[#This Row],[order_date]])</f>
        <v>33</v>
      </c>
      <c r="R2883">
        <f>IF(Table1[[#This Row],[order_status]]="completed",1,0)</f>
        <v>1</v>
      </c>
    </row>
    <row r="2884" spans="1:18" x14ac:dyDescent="0.35">
      <c r="A2884">
        <v>2883</v>
      </c>
      <c r="B2884" s="1">
        <v>45963</v>
      </c>
      <c r="C2884">
        <v>1149</v>
      </c>
      <c r="D2884" t="s">
        <v>28</v>
      </c>
      <c r="E2884" t="s">
        <v>16</v>
      </c>
      <c r="F2884" t="s">
        <v>30</v>
      </c>
      <c r="G2884">
        <v>5</v>
      </c>
      <c r="H2884">
        <v>0</v>
      </c>
      <c r="I2884" t="s">
        <v>18</v>
      </c>
      <c r="J2884" t="s">
        <v>37</v>
      </c>
      <c r="K2884" t="s">
        <v>20</v>
      </c>
      <c r="L2884">
        <v>9</v>
      </c>
      <c r="M2884">
        <v>1</v>
      </c>
      <c r="N2884">
        <v>0</v>
      </c>
      <c r="O2884" t="s">
        <v>21</v>
      </c>
      <c r="P2884" t="str">
        <f>TEXT(Table1[[#This Row],[order_date]],"yyyy-mm")</f>
        <v>2025-11</v>
      </c>
      <c r="Q2884">
        <f>WEEKNUM(Table1[[#This Row],[order_date]])</f>
        <v>45</v>
      </c>
      <c r="R2884">
        <f>IF(Table1[[#This Row],[order_status]]="completed",1,0)</f>
        <v>0</v>
      </c>
    </row>
    <row r="2885" spans="1:18" x14ac:dyDescent="0.35">
      <c r="A2885">
        <v>2884</v>
      </c>
      <c r="B2885" s="1">
        <v>45870</v>
      </c>
      <c r="C2885">
        <v>1859</v>
      </c>
      <c r="D2885" t="s">
        <v>32</v>
      </c>
      <c r="E2885" t="s">
        <v>36</v>
      </c>
      <c r="F2885" t="s">
        <v>30</v>
      </c>
      <c r="G2885">
        <v>4</v>
      </c>
      <c r="H2885">
        <v>5976</v>
      </c>
      <c r="I2885" t="s">
        <v>25</v>
      </c>
      <c r="J2885" t="s">
        <v>19</v>
      </c>
      <c r="K2885" t="s">
        <v>20</v>
      </c>
      <c r="L2885">
        <v>5</v>
      </c>
      <c r="M2885">
        <v>0</v>
      </c>
      <c r="N2885">
        <v>0</v>
      </c>
      <c r="O2885" t="s">
        <v>27</v>
      </c>
      <c r="P2885" t="str">
        <f>TEXT(Table1[[#This Row],[order_date]],"yyyy-mm")</f>
        <v>2025-08</v>
      </c>
      <c r="Q2885">
        <f>WEEKNUM(Table1[[#This Row],[order_date]])</f>
        <v>31</v>
      </c>
      <c r="R2885">
        <f>IF(Table1[[#This Row],[order_status]]="completed",1,0)</f>
        <v>1</v>
      </c>
    </row>
    <row r="2886" spans="1:18" x14ac:dyDescent="0.35">
      <c r="A2886">
        <v>2885</v>
      </c>
      <c r="B2886" s="1">
        <v>45966</v>
      </c>
      <c r="C2886">
        <v>1711</v>
      </c>
      <c r="D2886" t="s">
        <v>22</v>
      </c>
      <c r="E2886" t="s">
        <v>29</v>
      </c>
      <c r="F2886" t="s">
        <v>17</v>
      </c>
      <c r="G2886">
        <v>1</v>
      </c>
      <c r="H2886">
        <v>0</v>
      </c>
      <c r="I2886" t="s">
        <v>39</v>
      </c>
      <c r="J2886" t="s">
        <v>37</v>
      </c>
      <c r="K2886" t="s">
        <v>20</v>
      </c>
      <c r="L2886">
        <v>3</v>
      </c>
      <c r="M2886">
        <v>0</v>
      </c>
      <c r="N2886">
        <v>1</v>
      </c>
      <c r="O2886" t="s">
        <v>27</v>
      </c>
      <c r="P2886" t="str">
        <f>TEXT(Table1[[#This Row],[order_date]],"yyyy-mm")</f>
        <v>2025-11</v>
      </c>
      <c r="Q2886">
        <f>WEEKNUM(Table1[[#This Row],[order_date]])</f>
        <v>45</v>
      </c>
      <c r="R2886">
        <f>IF(Table1[[#This Row],[order_status]]="completed",1,0)</f>
        <v>0</v>
      </c>
    </row>
    <row r="2887" spans="1:18" x14ac:dyDescent="0.35">
      <c r="A2887">
        <v>2886</v>
      </c>
      <c r="B2887" s="1">
        <v>45963</v>
      </c>
      <c r="C2887">
        <v>1913</v>
      </c>
      <c r="D2887" t="s">
        <v>15</v>
      </c>
      <c r="E2887" t="s">
        <v>23</v>
      </c>
      <c r="F2887" t="s">
        <v>17</v>
      </c>
      <c r="G2887">
        <v>3</v>
      </c>
      <c r="H2887">
        <v>0</v>
      </c>
      <c r="I2887" t="s">
        <v>35</v>
      </c>
      <c r="J2887" t="s">
        <v>31</v>
      </c>
      <c r="K2887" t="s">
        <v>40</v>
      </c>
      <c r="L2887">
        <v>9</v>
      </c>
      <c r="M2887">
        <v>1</v>
      </c>
      <c r="N2887">
        <v>0</v>
      </c>
      <c r="O2887" t="s">
        <v>21</v>
      </c>
      <c r="P2887" t="str">
        <f>TEXT(Table1[[#This Row],[order_date]],"yyyy-mm")</f>
        <v>2025-11</v>
      </c>
      <c r="Q2887">
        <f>WEEKNUM(Table1[[#This Row],[order_date]])</f>
        <v>45</v>
      </c>
      <c r="R2887">
        <f>IF(Table1[[#This Row],[order_status]]="completed",1,0)</f>
        <v>0</v>
      </c>
    </row>
    <row r="2888" spans="1:18" x14ac:dyDescent="0.35">
      <c r="A2888">
        <v>2887</v>
      </c>
      <c r="B2888" s="1">
        <v>46011</v>
      </c>
      <c r="C2888">
        <v>1957</v>
      </c>
      <c r="D2888" t="s">
        <v>32</v>
      </c>
      <c r="E2888" t="s">
        <v>16</v>
      </c>
      <c r="F2888" t="s">
        <v>34</v>
      </c>
      <c r="G2888">
        <v>3</v>
      </c>
      <c r="H2888">
        <v>0</v>
      </c>
      <c r="I2888" t="s">
        <v>25</v>
      </c>
      <c r="J2888" t="s">
        <v>37</v>
      </c>
      <c r="K2888" t="s">
        <v>20</v>
      </c>
      <c r="L2888">
        <v>5</v>
      </c>
      <c r="M2888">
        <v>0</v>
      </c>
      <c r="N2888">
        <v>0</v>
      </c>
      <c r="O2888" t="s">
        <v>27</v>
      </c>
      <c r="P2888" t="str">
        <f>TEXT(Table1[[#This Row],[order_date]],"yyyy-mm")</f>
        <v>2025-12</v>
      </c>
      <c r="Q2888">
        <f>WEEKNUM(Table1[[#This Row],[order_date]])</f>
        <v>51</v>
      </c>
      <c r="R2888">
        <f>IF(Table1[[#This Row],[order_status]]="completed",1,0)</f>
        <v>0</v>
      </c>
    </row>
    <row r="2889" spans="1:18" x14ac:dyDescent="0.35">
      <c r="A2889">
        <v>2888</v>
      </c>
      <c r="B2889" s="1">
        <v>45907</v>
      </c>
      <c r="C2889">
        <v>1277</v>
      </c>
      <c r="D2889" t="s">
        <v>32</v>
      </c>
      <c r="E2889" t="s">
        <v>36</v>
      </c>
      <c r="F2889" t="s">
        <v>30</v>
      </c>
      <c r="G2889">
        <v>4</v>
      </c>
      <c r="H2889">
        <v>6144</v>
      </c>
      <c r="I2889" t="s">
        <v>35</v>
      </c>
      <c r="J2889" t="s">
        <v>19</v>
      </c>
      <c r="K2889" t="s">
        <v>38</v>
      </c>
      <c r="L2889">
        <v>1</v>
      </c>
      <c r="M2889">
        <v>1</v>
      </c>
      <c r="N2889">
        <v>1</v>
      </c>
      <c r="O2889" t="s">
        <v>27</v>
      </c>
      <c r="P2889" t="str">
        <f>TEXT(Table1[[#This Row],[order_date]],"yyyy-mm")</f>
        <v>2025-09</v>
      </c>
      <c r="Q2889">
        <f>WEEKNUM(Table1[[#This Row],[order_date]])</f>
        <v>37</v>
      </c>
      <c r="R2889">
        <f>IF(Table1[[#This Row],[order_status]]="completed",1,0)</f>
        <v>1</v>
      </c>
    </row>
    <row r="2890" spans="1:18" x14ac:dyDescent="0.35">
      <c r="A2890">
        <v>2889</v>
      </c>
      <c r="B2890" s="1">
        <v>46004</v>
      </c>
      <c r="C2890">
        <v>1224</v>
      </c>
      <c r="D2890" t="s">
        <v>15</v>
      </c>
      <c r="E2890" t="s">
        <v>36</v>
      </c>
      <c r="F2890" t="s">
        <v>17</v>
      </c>
      <c r="G2890">
        <v>2</v>
      </c>
      <c r="H2890">
        <v>9936</v>
      </c>
      <c r="I2890" t="s">
        <v>39</v>
      </c>
      <c r="J2890" t="s">
        <v>19</v>
      </c>
      <c r="K2890" t="s">
        <v>38</v>
      </c>
      <c r="L2890">
        <v>4</v>
      </c>
      <c r="M2890">
        <v>0</v>
      </c>
      <c r="N2890">
        <v>1</v>
      </c>
      <c r="O2890" t="s">
        <v>27</v>
      </c>
      <c r="P2890" t="str">
        <f>TEXT(Table1[[#This Row],[order_date]],"yyyy-mm")</f>
        <v>2025-12</v>
      </c>
      <c r="Q2890">
        <f>WEEKNUM(Table1[[#This Row],[order_date]])</f>
        <v>50</v>
      </c>
      <c r="R2890">
        <f>IF(Table1[[#This Row],[order_status]]="completed",1,0)</f>
        <v>1</v>
      </c>
    </row>
    <row r="2891" spans="1:18" x14ac:dyDescent="0.35">
      <c r="A2891">
        <v>2890</v>
      </c>
      <c r="B2891" s="1">
        <v>45926</v>
      </c>
      <c r="C2891">
        <v>1945</v>
      </c>
      <c r="D2891" t="s">
        <v>32</v>
      </c>
      <c r="E2891" t="s">
        <v>33</v>
      </c>
      <c r="F2891" t="s">
        <v>24</v>
      </c>
      <c r="G2891">
        <v>2</v>
      </c>
      <c r="H2891">
        <v>462</v>
      </c>
      <c r="I2891" t="s">
        <v>18</v>
      </c>
      <c r="J2891" t="s">
        <v>19</v>
      </c>
      <c r="K2891" t="s">
        <v>20</v>
      </c>
      <c r="L2891">
        <v>8</v>
      </c>
      <c r="M2891">
        <v>0</v>
      </c>
      <c r="N2891">
        <v>0</v>
      </c>
      <c r="O2891" t="s">
        <v>27</v>
      </c>
      <c r="P2891" t="str">
        <f>TEXT(Table1[[#This Row],[order_date]],"yyyy-mm")</f>
        <v>2025-09</v>
      </c>
      <c r="Q2891">
        <f>WEEKNUM(Table1[[#This Row],[order_date]])</f>
        <v>39</v>
      </c>
      <c r="R2891">
        <f>IF(Table1[[#This Row],[order_status]]="completed",1,0)</f>
        <v>1</v>
      </c>
    </row>
    <row r="2892" spans="1:18" x14ac:dyDescent="0.35">
      <c r="A2892">
        <v>2891</v>
      </c>
      <c r="B2892" s="1">
        <v>45874</v>
      </c>
      <c r="C2892">
        <v>1363</v>
      </c>
      <c r="D2892" t="s">
        <v>41</v>
      </c>
      <c r="E2892" t="s">
        <v>23</v>
      </c>
      <c r="F2892" t="s">
        <v>24</v>
      </c>
      <c r="G2892">
        <v>5</v>
      </c>
      <c r="H2892">
        <v>0</v>
      </c>
      <c r="I2892" t="s">
        <v>35</v>
      </c>
      <c r="J2892" t="s">
        <v>31</v>
      </c>
      <c r="K2892" t="s">
        <v>26</v>
      </c>
      <c r="L2892">
        <v>10</v>
      </c>
      <c r="M2892">
        <v>0</v>
      </c>
      <c r="N2892">
        <v>0</v>
      </c>
      <c r="O2892" t="s">
        <v>27</v>
      </c>
      <c r="P2892" t="str">
        <f>TEXT(Table1[[#This Row],[order_date]],"yyyy-mm")</f>
        <v>2025-08</v>
      </c>
      <c r="Q2892">
        <f>WEEKNUM(Table1[[#This Row],[order_date]])</f>
        <v>32</v>
      </c>
      <c r="R2892">
        <f>IF(Table1[[#This Row],[order_status]]="completed",1,0)</f>
        <v>0</v>
      </c>
    </row>
    <row r="2893" spans="1:18" x14ac:dyDescent="0.35">
      <c r="A2893">
        <v>2892</v>
      </c>
      <c r="B2893" s="1">
        <v>45875</v>
      </c>
      <c r="C2893">
        <v>1807</v>
      </c>
      <c r="D2893" t="s">
        <v>15</v>
      </c>
      <c r="E2893" t="s">
        <v>36</v>
      </c>
      <c r="F2893" t="s">
        <v>30</v>
      </c>
      <c r="G2893">
        <v>1</v>
      </c>
      <c r="H2893">
        <v>4433</v>
      </c>
      <c r="I2893" t="s">
        <v>18</v>
      </c>
      <c r="J2893" t="s">
        <v>19</v>
      </c>
      <c r="K2893" t="s">
        <v>26</v>
      </c>
      <c r="L2893">
        <v>7</v>
      </c>
      <c r="M2893">
        <v>0</v>
      </c>
      <c r="N2893">
        <v>0</v>
      </c>
      <c r="O2893" t="s">
        <v>21</v>
      </c>
      <c r="P2893" t="str">
        <f>TEXT(Table1[[#This Row],[order_date]],"yyyy-mm")</f>
        <v>2025-08</v>
      </c>
      <c r="Q2893">
        <f>WEEKNUM(Table1[[#This Row],[order_date]])</f>
        <v>32</v>
      </c>
      <c r="R2893">
        <f>IF(Table1[[#This Row],[order_status]]="completed",1,0)</f>
        <v>1</v>
      </c>
    </row>
    <row r="2894" spans="1:18" x14ac:dyDescent="0.35">
      <c r="A2894">
        <v>2893</v>
      </c>
      <c r="B2894" s="1">
        <v>45885</v>
      </c>
      <c r="C2894">
        <v>1529</v>
      </c>
      <c r="D2894" t="s">
        <v>22</v>
      </c>
      <c r="E2894" t="s">
        <v>29</v>
      </c>
      <c r="F2894" t="s">
        <v>24</v>
      </c>
      <c r="G2894">
        <v>3</v>
      </c>
      <c r="H2894">
        <v>0</v>
      </c>
      <c r="I2894" t="s">
        <v>18</v>
      </c>
      <c r="J2894" t="s">
        <v>31</v>
      </c>
      <c r="K2894" t="s">
        <v>38</v>
      </c>
      <c r="L2894">
        <v>3</v>
      </c>
      <c r="M2894">
        <v>0</v>
      </c>
      <c r="N2894">
        <v>0</v>
      </c>
      <c r="O2894" t="s">
        <v>27</v>
      </c>
      <c r="P2894" t="str">
        <f>TEXT(Table1[[#This Row],[order_date]],"yyyy-mm")</f>
        <v>2025-08</v>
      </c>
      <c r="Q2894">
        <f>WEEKNUM(Table1[[#This Row],[order_date]])</f>
        <v>33</v>
      </c>
      <c r="R2894">
        <f>IF(Table1[[#This Row],[order_status]]="completed",1,0)</f>
        <v>0</v>
      </c>
    </row>
    <row r="2895" spans="1:18" x14ac:dyDescent="0.35">
      <c r="A2895">
        <v>2894</v>
      </c>
      <c r="B2895" s="1">
        <v>45879</v>
      </c>
      <c r="C2895">
        <v>1910</v>
      </c>
      <c r="D2895" t="s">
        <v>41</v>
      </c>
      <c r="E2895" t="s">
        <v>23</v>
      </c>
      <c r="F2895" t="s">
        <v>34</v>
      </c>
      <c r="G2895">
        <v>5</v>
      </c>
      <c r="H2895">
        <v>20240</v>
      </c>
      <c r="I2895" t="s">
        <v>25</v>
      </c>
      <c r="J2895" t="s">
        <v>19</v>
      </c>
      <c r="K2895" t="s">
        <v>20</v>
      </c>
      <c r="L2895">
        <v>1</v>
      </c>
      <c r="M2895">
        <v>1</v>
      </c>
      <c r="N2895">
        <v>1</v>
      </c>
      <c r="O2895" t="s">
        <v>21</v>
      </c>
      <c r="P2895" t="str">
        <f>TEXT(Table1[[#This Row],[order_date]],"yyyy-mm")</f>
        <v>2025-08</v>
      </c>
      <c r="Q2895">
        <f>WEEKNUM(Table1[[#This Row],[order_date]])</f>
        <v>33</v>
      </c>
      <c r="R2895">
        <f>IF(Table1[[#This Row],[order_status]]="completed",1,0)</f>
        <v>1</v>
      </c>
    </row>
    <row r="2896" spans="1:18" x14ac:dyDescent="0.35">
      <c r="A2896">
        <v>2895</v>
      </c>
      <c r="B2896" s="1">
        <v>45969</v>
      </c>
      <c r="C2896">
        <v>1879</v>
      </c>
      <c r="D2896" t="s">
        <v>32</v>
      </c>
      <c r="E2896" t="s">
        <v>33</v>
      </c>
      <c r="F2896" t="s">
        <v>24</v>
      </c>
      <c r="G2896">
        <v>3</v>
      </c>
      <c r="H2896">
        <v>0</v>
      </c>
      <c r="I2896" t="s">
        <v>18</v>
      </c>
      <c r="J2896" t="s">
        <v>31</v>
      </c>
      <c r="K2896" t="s">
        <v>20</v>
      </c>
      <c r="L2896">
        <v>7</v>
      </c>
      <c r="M2896">
        <v>1</v>
      </c>
      <c r="N2896">
        <v>0</v>
      </c>
      <c r="O2896" t="s">
        <v>21</v>
      </c>
      <c r="P2896" t="str">
        <f>TEXT(Table1[[#This Row],[order_date]],"yyyy-mm")</f>
        <v>2025-11</v>
      </c>
      <c r="Q2896">
        <f>WEEKNUM(Table1[[#This Row],[order_date]])</f>
        <v>45</v>
      </c>
      <c r="R2896">
        <f>IF(Table1[[#This Row],[order_status]]="completed",1,0)</f>
        <v>0</v>
      </c>
    </row>
    <row r="2897" spans="1:18" x14ac:dyDescent="0.35">
      <c r="A2897">
        <v>2896</v>
      </c>
      <c r="B2897" s="1">
        <v>45890</v>
      </c>
      <c r="C2897">
        <v>1354</v>
      </c>
      <c r="D2897" t="s">
        <v>28</v>
      </c>
      <c r="E2897" t="s">
        <v>33</v>
      </c>
      <c r="F2897" t="s">
        <v>34</v>
      </c>
      <c r="G2897">
        <v>4</v>
      </c>
      <c r="H2897">
        <v>0</v>
      </c>
      <c r="I2897" t="s">
        <v>35</v>
      </c>
      <c r="J2897" t="s">
        <v>37</v>
      </c>
      <c r="K2897" t="s">
        <v>26</v>
      </c>
      <c r="L2897">
        <v>5</v>
      </c>
      <c r="M2897">
        <v>0</v>
      </c>
      <c r="N2897">
        <v>1</v>
      </c>
      <c r="O2897" t="s">
        <v>27</v>
      </c>
      <c r="P2897" t="str">
        <f>TEXT(Table1[[#This Row],[order_date]],"yyyy-mm")</f>
        <v>2025-08</v>
      </c>
      <c r="Q2897">
        <f>WEEKNUM(Table1[[#This Row],[order_date]])</f>
        <v>34</v>
      </c>
      <c r="R2897">
        <f>IF(Table1[[#This Row],[order_status]]="completed",1,0)</f>
        <v>0</v>
      </c>
    </row>
    <row r="2898" spans="1:18" x14ac:dyDescent="0.35">
      <c r="A2898">
        <v>2897</v>
      </c>
      <c r="B2898" s="1">
        <v>45865</v>
      </c>
      <c r="C2898">
        <v>1992</v>
      </c>
      <c r="D2898" t="s">
        <v>41</v>
      </c>
      <c r="E2898" t="s">
        <v>29</v>
      </c>
      <c r="F2898" t="s">
        <v>24</v>
      </c>
      <c r="G2898">
        <v>2</v>
      </c>
      <c r="H2898">
        <v>0</v>
      </c>
      <c r="I2898" t="s">
        <v>39</v>
      </c>
      <c r="J2898" t="s">
        <v>37</v>
      </c>
      <c r="K2898" t="s">
        <v>40</v>
      </c>
      <c r="L2898">
        <v>7</v>
      </c>
      <c r="M2898">
        <v>1</v>
      </c>
      <c r="N2898">
        <v>1</v>
      </c>
      <c r="O2898" t="s">
        <v>27</v>
      </c>
      <c r="P2898" t="str">
        <f>TEXT(Table1[[#This Row],[order_date]],"yyyy-mm")</f>
        <v>2025-07</v>
      </c>
      <c r="Q2898">
        <f>WEEKNUM(Table1[[#This Row],[order_date]])</f>
        <v>31</v>
      </c>
      <c r="R2898">
        <f>IF(Table1[[#This Row],[order_status]]="completed",1,0)</f>
        <v>0</v>
      </c>
    </row>
    <row r="2899" spans="1:18" x14ac:dyDescent="0.35">
      <c r="A2899">
        <v>2898</v>
      </c>
      <c r="B2899" s="1">
        <v>45985</v>
      </c>
      <c r="C2899">
        <v>1058</v>
      </c>
      <c r="D2899" t="s">
        <v>22</v>
      </c>
      <c r="E2899" t="s">
        <v>33</v>
      </c>
      <c r="F2899" t="s">
        <v>30</v>
      </c>
      <c r="G2899">
        <v>3</v>
      </c>
      <c r="H2899">
        <v>0</v>
      </c>
      <c r="I2899" t="s">
        <v>35</v>
      </c>
      <c r="J2899" t="s">
        <v>37</v>
      </c>
      <c r="K2899" t="s">
        <v>38</v>
      </c>
      <c r="L2899">
        <v>2</v>
      </c>
      <c r="M2899">
        <v>1</v>
      </c>
      <c r="N2899">
        <v>0</v>
      </c>
      <c r="O2899" t="s">
        <v>21</v>
      </c>
      <c r="P2899" t="str">
        <f>TEXT(Table1[[#This Row],[order_date]],"yyyy-mm")</f>
        <v>2025-11</v>
      </c>
      <c r="Q2899">
        <f>WEEKNUM(Table1[[#This Row],[order_date]])</f>
        <v>48</v>
      </c>
      <c r="R2899">
        <f>IF(Table1[[#This Row],[order_status]]="completed",1,0)</f>
        <v>0</v>
      </c>
    </row>
    <row r="2900" spans="1:18" x14ac:dyDescent="0.35">
      <c r="A2900">
        <v>2899</v>
      </c>
      <c r="B2900" s="1">
        <v>45971</v>
      </c>
      <c r="C2900">
        <v>1580</v>
      </c>
      <c r="D2900" t="s">
        <v>41</v>
      </c>
      <c r="E2900" t="s">
        <v>29</v>
      </c>
      <c r="F2900" t="s">
        <v>24</v>
      </c>
      <c r="G2900">
        <v>5</v>
      </c>
      <c r="H2900">
        <v>0</v>
      </c>
      <c r="I2900" t="s">
        <v>25</v>
      </c>
      <c r="J2900" t="s">
        <v>37</v>
      </c>
      <c r="K2900" t="s">
        <v>26</v>
      </c>
      <c r="L2900">
        <v>6</v>
      </c>
      <c r="M2900">
        <v>0</v>
      </c>
      <c r="N2900">
        <v>0</v>
      </c>
      <c r="O2900" t="s">
        <v>27</v>
      </c>
      <c r="P2900" t="str">
        <f>TEXT(Table1[[#This Row],[order_date]],"yyyy-mm")</f>
        <v>2025-11</v>
      </c>
      <c r="Q2900">
        <f>WEEKNUM(Table1[[#This Row],[order_date]])</f>
        <v>46</v>
      </c>
      <c r="R2900">
        <f>IF(Table1[[#This Row],[order_status]]="completed",1,0)</f>
        <v>0</v>
      </c>
    </row>
    <row r="2901" spans="1:18" x14ac:dyDescent="0.35">
      <c r="A2901">
        <v>2900</v>
      </c>
      <c r="B2901" s="1">
        <v>45933</v>
      </c>
      <c r="C2901">
        <v>1110</v>
      </c>
      <c r="D2901" t="s">
        <v>32</v>
      </c>
      <c r="E2901" t="s">
        <v>16</v>
      </c>
      <c r="F2901" t="s">
        <v>24</v>
      </c>
      <c r="G2901">
        <v>3</v>
      </c>
      <c r="H2901">
        <v>0</v>
      </c>
      <c r="I2901" t="s">
        <v>35</v>
      </c>
      <c r="J2901" t="s">
        <v>31</v>
      </c>
      <c r="K2901" t="s">
        <v>20</v>
      </c>
      <c r="L2901">
        <v>2</v>
      </c>
      <c r="M2901">
        <v>1</v>
      </c>
      <c r="N2901">
        <v>1</v>
      </c>
      <c r="O2901" t="s">
        <v>27</v>
      </c>
      <c r="P2901" t="str">
        <f>TEXT(Table1[[#This Row],[order_date]],"yyyy-mm")</f>
        <v>2025-10</v>
      </c>
      <c r="Q2901">
        <f>WEEKNUM(Table1[[#This Row],[order_date]])</f>
        <v>40</v>
      </c>
      <c r="R2901">
        <f>IF(Table1[[#This Row],[order_status]]="completed",1,0)</f>
        <v>0</v>
      </c>
    </row>
    <row r="2902" spans="1:18" x14ac:dyDescent="0.35">
      <c r="A2902">
        <v>2901</v>
      </c>
      <c r="B2902" s="1">
        <v>46008</v>
      </c>
      <c r="C2902">
        <v>1653</v>
      </c>
      <c r="D2902" t="s">
        <v>32</v>
      </c>
      <c r="E2902" t="s">
        <v>33</v>
      </c>
      <c r="F2902" t="s">
        <v>34</v>
      </c>
      <c r="G2902">
        <v>4</v>
      </c>
      <c r="H2902">
        <v>0</v>
      </c>
      <c r="I2902" t="s">
        <v>18</v>
      </c>
      <c r="J2902" t="s">
        <v>37</v>
      </c>
      <c r="K2902" t="s">
        <v>38</v>
      </c>
      <c r="L2902">
        <v>10</v>
      </c>
      <c r="M2902">
        <v>1</v>
      </c>
      <c r="N2902">
        <v>0</v>
      </c>
      <c r="O2902" t="s">
        <v>27</v>
      </c>
      <c r="P2902" t="str">
        <f>TEXT(Table1[[#This Row],[order_date]],"yyyy-mm")</f>
        <v>2025-12</v>
      </c>
      <c r="Q2902">
        <f>WEEKNUM(Table1[[#This Row],[order_date]])</f>
        <v>51</v>
      </c>
      <c r="R2902">
        <f>IF(Table1[[#This Row],[order_status]]="completed",1,0)</f>
        <v>0</v>
      </c>
    </row>
    <row r="2903" spans="1:18" x14ac:dyDescent="0.35">
      <c r="A2903">
        <v>2902</v>
      </c>
      <c r="B2903" s="1">
        <v>45999</v>
      </c>
      <c r="C2903">
        <v>1575</v>
      </c>
      <c r="D2903" t="s">
        <v>22</v>
      </c>
      <c r="E2903" t="s">
        <v>33</v>
      </c>
      <c r="F2903" t="s">
        <v>30</v>
      </c>
      <c r="G2903">
        <v>3</v>
      </c>
      <c r="H2903">
        <v>13803</v>
      </c>
      <c r="I2903" t="s">
        <v>18</v>
      </c>
      <c r="J2903" t="s">
        <v>19</v>
      </c>
      <c r="K2903" t="s">
        <v>40</v>
      </c>
      <c r="L2903">
        <v>8</v>
      </c>
      <c r="M2903">
        <v>0</v>
      </c>
      <c r="N2903">
        <v>1</v>
      </c>
      <c r="O2903" t="s">
        <v>27</v>
      </c>
      <c r="P2903" t="str">
        <f>TEXT(Table1[[#This Row],[order_date]],"yyyy-mm")</f>
        <v>2025-12</v>
      </c>
      <c r="Q2903">
        <f>WEEKNUM(Table1[[#This Row],[order_date]])</f>
        <v>50</v>
      </c>
      <c r="R2903">
        <f>IF(Table1[[#This Row],[order_status]]="completed",1,0)</f>
        <v>1</v>
      </c>
    </row>
    <row r="2904" spans="1:18" x14ac:dyDescent="0.35">
      <c r="A2904">
        <v>2903</v>
      </c>
      <c r="B2904" s="1">
        <v>46025</v>
      </c>
      <c r="C2904">
        <v>1466</v>
      </c>
      <c r="D2904" t="s">
        <v>41</v>
      </c>
      <c r="E2904" t="s">
        <v>36</v>
      </c>
      <c r="F2904" t="s">
        <v>17</v>
      </c>
      <c r="G2904">
        <v>5</v>
      </c>
      <c r="H2904">
        <v>21975</v>
      </c>
      <c r="I2904" t="s">
        <v>39</v>
      </c>
      <c r="J2904" t="s">
        <v>19</v>
      </c>
      <c r="K2904" t="s">
        <v>40</v>
      </c>
      <c r="L2904">
        <v>8</v>
      </c>
      <c r="M2904">
        <v>1</v>
      </c>
      <c r="N2904">
        <v>1</v>
      </c>
      <c r="O2904" t="s">
        <v>27</v>
      </c>
      <c r="P2904" t="str">
        <f>TEXT(Table1[[#This Row],[order_date]],"yyyy-mm")</f>
        <v>2026-01</v>
      </c>
      <c r="Q2904">
        <f>WEEKNUM(Table1[[#This Row],[order_date]])</f>
        <v>1</v>
      </c>
      <c r="R2904">
        <f>IF(Table1[[#This Row],[order_status]]="completed",1,0)</f>
        <v>1</v>
      </c>
    </row>
    <row r="2905" spans="1:18" x14ac:dyDescent="0.35">
      <c r="A2905">
        <v>2904</v>
      </c>
      <c r="B2905" s="1">
        <v>45903</v>
      </c>
      <c r="C2905">
        <v>1900</v>
      </c>
      <c r="D2905" t="s">
        <v>15</v>
      </c>
      <c r="E2905" t="s">
        <v>33</v>
      </c>
      <c r="F2905" t="s">
        <v>30</v>
      </c>
      <c r="G2905">
        <v>3</v>
      </c>
      <c r="H2905">
        <v>0</v>
      </c>
      <c r="I2905" t="s">
        <v>18</v>
      </c>
      <c r="J2905" t="s">
        <v>37</v>
      </c>
      <c r="K2905" t="s">
        <v>26</v>
      </c>
      <c r="L2905">
        <v>7</v>
      </c>
      <c r="M2905">
        <v>0</v>
      </c>
      <c r="N2905">
        <v>0</v>
      </c>
      <c r="O2905" t="s">
        <v>27</v>
      </c>
      <c r="P2905" t="str">
        <f>TEXT(Table1[[#This Row],[order_date]],"yyyy-mm")</f>
        <v>2025-09</v>
      </c>
      <c r="Q2905">
        <f>WEEKNUM(Table1[[#This Row],[order_date]])</f>
        <v>36</v>
      </c>
      <c r="R2905">
        <f>IF(Table1[[#This Row],[order_status]]="completed",1,0)</f>
        <v>0</v>
      </c>
    </row>
    <row r="2906" spans="1:18" x14ac:dyDescent="0.35">
      <c r="A2906">
        <v>2905</v>
      </c>
      <c r="B2906" s="1">
        <v>45865</v>
      </c>
      <c r="C2906">
        <v>1233</v>
      </c>
      <c r="D2906" t="s">
        <v>22</v>
      </c>
      <c r="E2906" t="s">
        <v>23</v>
      </c>
      <c r="F2906" t="s">
        <v>17</v>
      </c>
      <c r="G2906">
        <v>1</v>
      </c>
      <c r="H2906">
        <v>3717</v>
      </c>
      <c r="I2906" t="s">
        <v>35</v>
      </c>
      <c r="J2906" t="s">
        <v>19</v>
      </c>
      <c r="K2906" t="s">
        <v>20</v>
      </c>
      <c r="L2906">
        <v>9</v>
      </c>
      <c r="M2906">
        <v>0</v>
      </c>
      <c r="N2906">
        <v>0</v>
      </c>
      <c r="O2906" t="s">
        <v>27</v>
      </c>
      <c r="P2906" t="str">
        <f>TEXT(Table1[[#This Row],[order_date]],"yyyy-mm")</f>
        <v>2025-07</v>
      </c>
      <c r="Q2906">
        <f>WEEKNUM(Table1[[#This Row],[order_date]])</f>
        <v>31</v>
      </c>
      <c r="R2906">
        <f>IF(Table1[[#This Row],[order_status]]="completed",1,0)</f>
        <v>1</v>
      </c>
    </row>
    <row r="2907" spans="1:18" x14ac:dyDescent="0.35">
      <c r="A2907">
        <v>2906</v>
      </c>
      <c r="B2907" s="1">
        <v>46001</v>
      </c>
      <c r="C2907">
        <v>1365</v>
      </c>
      <c r="D2907" t="s">
        <v>22</v>
      </c>
      <c r="E2907" t="s">
        <v>29</v>
      </c>
      <c r="F2907" t="s">
        <v>17</v>
      </c>
      <c r="G2907">
        <v>3</v>
      </c>
      <c r="H2907">
        <v>0</v>
      </c>
      <c r="I2907" t="s">
        <v>18</v>
      </c>
      <c r="J2907" t="s">
        <v>37</v>
      </c>
      <c r="K2907" t="s">
        <v>20</v>
      </c>
      <c r="L2907">
        <v>10</v>
      </c>
      <c r="M2907">
        <v>0</v>
      </c>
      <c r="N2907">
        <v>0</v>
      </c>
      <c r="O2907" t="s">
        <v>27</v>
      </c>
      <c r="P2907" t="str">
        <f>TEXT(Table1[[#This Row],[order_date]],"yyyy-mm")</f>
        <v>2025-12</v>
      </c>
      <c r="Q2907">
        <f>WEEKNUM(Table1[[#This Row],[order_date]])</f>
        <v>50</v>
      </c>
      <c r="R2907">
        <f>IF(Table1[[#This Row],[order_status]]="completed",1,0)</f>
        <v>0</v>
      </c>
    </row>
    <row r="2908" spans="1:18" x14ac:dyDescent="0.35">
      <c r="A2908">
        <v>2907</v>
      </c>
      <c r="B2908" s="1">
        <v>46023</v>
      </c>
      <c r="C2908">
        <v>1473</v>
      </c>
      <c r="D2908" t="s">
        <v>15</v>
      </c>
      <c r="E2908" t="s">
        <v>16</v>
      </c>
      <c r="F2908" t="s">
        <v>17</v>
      </c>
      <c r="G2908">
        <v>4</v>
      </c>
      <c r="H2908">
        <v>10828</v>
      </c>
      <c r="I2908" t="s">
        <v>35</v>
      </c>
      <c r="J2908" t="s">
        <v>19</v>
      </c>
      <c r="K2908" t="s">
        <v>20</v>
      </c>
      <c r="L2908">
        <v>2</v>
      </c>
      <c r="M2908">
        <v>0</v>
      </c>
      <c r="N2908">
        <v>0</v>
      </c>
      <c r="O2908" t="s">
        <v>27</v>
      </c>
      <c r="P2908" t="str">
        <f>TEXT(Table1[[#This Row],[order_date]],"yyyy-mm")</f>
        <v>2026-01</v>
      </c>
      <c r="Q2908">
        <f>WEEKNUM(Table1[[#This Row],[order_date]])</f>
        <v>1</v>
      </c>
      <c r="R2908">
        <f>IF(Table1[[#This Row],[order_status]]="completed",1,0)</f>
        <v>1</v>
      </c>
    </row>
    <row r="2909" spans="1:18" x14ac:dyDescent="0.35">
      <c r="A2909">
        <v>2908</v>
      </c>
      <c r="B2909" s="1">
        <v>45917</v>
      </c>
      <c r="C2909">
        <v>1803</v>
      </c>
      <c r="D2909" t="s">
        <v>32</v>
      </c>
      <c r="E2909" t="s">
        <v>33</v>
      </c>
      <c r="F2909" t="s">
        <v>30</v>
      </c>
      <c r="G2909">
        <v>3</v>
      </c>
      <c r="H2909">
        <v>0</v>
      </c>
      <c r="I2909" t="s">
        <v>18</v>
      </c>
      <c r="J2909" t="s">
        <v>37</v>
      </c>
      <c r="K2909" t="s">
        <v>26</v>
      </c>
      <c r="L2909">
        <v>2</v>
      </c>
      <c r="M2909">
        <v>0</v>
      </c>
      <c r="N2909">
        <v>0</v>
      </c>
      <c r="O2909" t="s">
        <v>21</v>
      </c>
      <c r="P2909" t="str">
        <f>TEXT(Table1[[#This Row],[order_date]],"yyyy-mm")</f>
        <v>2025-09</v>
      </c>
      <c r="Q2909">
        <f>WEEKNUM(Table1[[#This Row],[order_date]])</f>
        <v>38</v>
      </c>
      <c r="R2909">
        <f>IF(Table1[[#This Row],[order_status]]="completed",1,0)</f>
        <v>0</v>
      </c>
    </row>
    <row r="2910" spans="1:18" x14ac:dyDescent="0.35">
      <c r="A2910">
        <v>2909</v>
      </c>
      <c r="B2910" s="1">
        <v>46028</v>
      </c>
      <c r="C2910">
        <v>1637</v>
      </c>
      <c r="D2910" t="s">
        <v>41</v>
      </c>
      <c r="E2910" t="s">
        <v>33</v>
      </c>
      <c r="F2910" t="s">
        <v>24</v>
      </c>
      <c r="G2910">
        <v>1</v>
      </c>
      <c r="H2910">
        <v>1130</v>
      </c>
      <c r="I2910" t="s">
        <v>39</v>
      </c>
      <c r="J2910" t="s">
        <v>19</v>
      </c>
      <c r="K2910" t="s">
        <v>20</v>
      </c>
      <c r="L2910">
        <v>3</v>
      </c>
      <c r="M2910">
        <v>1</v>
      </c>
      <c r="N2910">
        <v>0</v>
      </c>
      <c r="O2910" t="s">
        <v>21</v>
      </c>
      <c r="P2910" t="str">
        <f>TEXT(Table1[[#This Row],[order_date]],"yyyy-mm")</f>
        <v>2026-01</v>
      </c>
      <c r="Q2910">
        <f>WEEKNUM(Table1[[#This Row],[order_date]])</f>
        <v>2</v>
      </c>
      <c r="R2910">
        <f>IF(Table1[[#This Row],[order_status]]="completed",1,0)</f>
        <v>1</v>
      </c>
    </row>
    <row r="2911" spans="1:18" x14ac:dyDescent="0.35">
      <c r="A2911">
        <v>2910</v>
      </c>
      <c r="B2911" s="1">
        <v>46015</v>
      </c>
      <c r="C2911">
        <v>1158</v>
      </c>
      <c r="D2911" t="s">
        <v>15</v>
      </c>
      <c r="E2911" t="s">
        <v>16</v>
      </c>
      <c r="F2911" t="s">
        <v>34</v>
      </c>
      <c r="G2911">
        <v>3</v>
      </c>
      <c r="H2911">
        <v>0</v>
      </c>
      <c r="I2911" t="s">
        <v>35</v>
      </c>
      <c r="J2911" t="s">
        <v>37</v>
      </c>
      <c r="K2911" t="s">
        <v>40</v>
      </c>
      <c r="L2911">
        <v>5</v>
      </c>
      <c r="M2911">
        <v>0</v>
      </c>
      <c r="N2911">
        <v>1</v>
      </c>
      <c r="O2911" t="s">
        <v>27</v>
      </c>
      <c r="P2911" t="str">
        <f>TEXT(Table1[[#This Row],[order_date]],"yyyy-mm")</f>
        <v>2025-12</v>
      </c>
      <c r="Q2911">
        <f>WEEKNUM(Table1[[#This Row],[order_date]])</f>
        <v>52</v>
      </c>
      <c r="R2911">
        <f>IF(Table1[[#This Row],[order_status]]="completed",1,0)</f>
        <v>0</v>
      </c>
    </row>
    <row r="2912" spans="1:18" x14ac:dyDescent="0.35">
      <c r="A2912">
        <v>2911</v>
      </c>
      <c r="B2912" s="1">
        <v>45956</v>
      </c>
      <c r="C2912">
        <v>1971</v>
      </c>
      <c r="D2912" t="s">
        <v>28</v>
      </c>
      <c r="E2912" t="s">
        <v>16</v>
      </c>
      <c r="F2912" t="s">
        <v>30</v>
      </c>
      <c r="G2912">
        <v>4</v>
      </c>
      <c r="H2912">
        <v>0</v>
      </c>
      <c r="I2912" t="s">
        <v>39</v>
      </c>
      <c r="J2912" t="s">
        <v>31</v>
      </c>
      <c r="K2912" t="s">
        <v>20</v>
      </c>
      <c r="L2912">
        <v>3</v>
      </c>
      <c r="M2912">
        <v>0</v>
      </c>
      <c r="N2912">
        <v>0</v>
      </c>
      <c r="O2912" t="s">
        <v>21</v>
      </c>
      <c r="P2912" t="str">
        <f>TEXT(Table1[[#This Row],[order_date]],"yyyy-mm")</f>
        <v>2025-10</v>
      </c>
      <c r="Q2912">
        <f>WEEKNUM(Table1[[#This Row],[order_date]])</f>
        <v>44</v>
      </c>
      <c r="R2912">
        <f>IF(Table1[[#This Row],[order_status]]="completed",1,0)</f>
        <v>0</v>
      </c>
    </row>
    <row r="2913" spans="1:18" x14ac:dyDescent="0.35">
      <c r="A2913">
        <v>2912</v>
      </c>
      <c r="B2913" s="1">
        <v>45886</v>
      </c>
      <c r="C2913">
        <v>1285</v>
      </c>
      <c r="D2913" t="s">
        <v>28</v>
      </c>
      <c r="E2913" t="s">
        <v>36</v>
      </c>
      <c r="F2913" t="s">
        <v>24</v>
      </c>
      <c r="G2913">
        <v>2</v>
      </c>
      <c r="H2913">
        <v>0</v>
      </c>
      <c r="I2913" t="s">
        <v>25</v>
      </c>
      <c r="J2913" t="s">
        <v>31</v>
      </c>
      <c r="K2913" t="s">
        <v>26</v>
      </c>
      <c r="L2913">
        <v>6</v>
      </c>
      <c r="M2913">
        <v>1</v>
      </c>
      <c r="N2913">
        <v>1</v>
      </c>
      <c r="O2913" t="s">
        <v>27</v>
      </c>
      <c r="P2913" t="str">
        <f>TEXT(Table1[[#This Row],[order_date]],"yyyy-mm")</f>
        <v>2025-08</v>
      </c>
      <c r="Q2913">
        <f>WEEKNUM(Table1[[#This Row],[order_date]])</f>
        <v>34</v>
      </c>
      <c r="R2913">
        <f>IF(Table1[[#This Row],[order_status]]="completed",1,0)</f>
        <v>0</v>
      </c>
    </row>
    <row r="2914" spans="1:18" x14ac:dyDescent="0.35">
      <c r="A2914">
        <v>2913</v>
      </c>
      <c r="B2914" s="1">
        <v>45932</v>
      </c>
      <c r="C2914">
        <v>1587</v>
      </c>
      <c r="D2914" t="s">
        <v>15</v>
      </c>
      <c r="E2914" t="s">
        <v>33</v>
      </c>
      <c r="F2914" t="s">
        <v>34</v>
      </c>
      <c r="G2914">
        <v>4</v>
      </c>
      <c r="H2914">
        <v>19044</v>
      </c>
      <c r="I2914" t="s">
        <v>18</v>
      </c>
      <c r="J2914" t="s">
        <v>19</v>
      </c>
      <c r="K2914" t="s">
        <v>20</v>
      </c>
      <c r="L2914">
        <v>6</v>
      </c>
      <c r="M2914">
        <v>1</v>
      </c>
      <c r="N2914">
        <v>1</v>
      </c>
      <c r="O2914" t="s">
        <v>21</v>
      </c>
      <c r="P2914" t="str">
        <f>TEXT(Table1[[#This Row],[order_date]],"yyyy-mm")</f>
        <v>2025-10</v>
      </c>
      <c r="Q2914">
        <f>WEEKNUM(Table1[[#This Row],[order_date]])</f>
        <v>40</v>
      </c>
      <c r="R2914">
        <f>IF(Table1[[#This Row],[order_status]]="completed",1,0)</f>
        <v>1</v>
      </c>
    </row>
    <row r="2915" spans="1:18" x14ac:dyDescent="0.35">
      <c r="A2915">
        <v>2914</v>
      </c>
      <c r="B2915" s="1">
        <v>45906</v>
      </c>
      <c r="C2915">
        <v>1299</v>
      </c>
      <c r="D2915" t="s">
        <v>15</v>
      </c>
      <c r="E2915" t="s">
        <v>16</v>
      </c>
      <c r="F2915" t="s">
        <v>17</v>
      </c>
      <c r="G2915">
        <v>2</v>
      </c>
      <c r="H2915">
        <v>0</v>
      </c>
      <c r="I2915" t="s">
        <v>25</v>
      </c>
      <c r="J2915" t="s">
        <v>37</v>
      </c>
      <c r="K2915" t="s">
        <v>40</v>
      </c>
      <c r="L2915">
        <v>3</v>
      </c>
      <c r="M2915">
        <v>1</v>
      </c>
      <c r="N2915">
        <v>0</v>
      </c>
      <c r="O2915" t="s">
        <v>27</v>
      </c>
      <c r="P2915" t="str">
        <f>TEXT(Table1[[#This Row],[order_date]],"yyyy-mm")</f>
        <v>2025-09</v>
      </c>
      <c r="Q2915">
        <f>WEEKNUM(Table1[[#This Row],[order_date]])</f>
        <v>36</v>
      </c>
      <c r="R2915">
        <f>IF(Table1[[#This Row],[order_status]]="completed",1,0)</f>
        <v>0</v>
      </c>
    </row>
    <row r="2916" spans="1:18" x14ac:dyDescent="0.35">
      <c r="A2916">
        <v>2915</v>
      </c>
      <c r="B2916" s="1">
        <v>45949</v>
      </c>
      <c r="C2916">
        <v>1890</v>
      </c>
      <c r="D2916" t="s">
        <v>28</v>
      </c>
      <c r="E2916" t="s">
        <v>36</v>
      </c>
      <c r="F2916" t="s">
        <v>24</v>
      </c>
      <c r="G2916">
        <v>1</v>
      </c>
      <c r="H2916">
        <v>0</v>
      </c>
      <c r="I2916" t="s">
        <v>18</v>
      </c>
      <c r="J2916" t="s">
        <v>37</v>
      </c>
      <c r="K2916" t="s">
        <v>38</v>
      </c>
      <c r="L2916">
        <v>6</v>
      </c>
      <c r="M2916">
        <v>0</v>
      </c>
      <c r="N2916">
        <v>0</v>
      </c>
      <c r="O2916" t="s">
        <v>21</v>
      </c>
      <c r="P2916" t="str">
        <f>TEXT(Table1[[#This Row],[order_date]],"yyyy-mm")</f>
        <v>2025-10</v>
      </c>
      <c r="Q2916">
        <f>WEEKNUM(Table1[[#This Row],[order_date]])</f>
        <v>43</v>
      </c>
      <c r="R2916">
        <f>IF(Table1[[#This Row],[order_status]]="completed",1,0)</f>
        <v>0</v>
      </c>
    </row>
    <row r="2917" spans="1:18" x14ac:dyDescent="0.35">
      <c r="A2917">
        <v>2916</v>
      </c>
      <c r="B2917" s="1">
        <v>45950</v>
      </c>
      <c r="C2917">
        <v>1666</v>
      </c>
      <c r="D2917" t="s">
        <v>15</v>
      </c>
      <c r="E2917" t="s">
        <v>16</v>
      </c>
      <c r="F2917" t="s">
        <v>30</v>
      </c>
      <c r="G2917">
        <v>5</v>
      </c>
      <c r="H2917">
        <v>0</v>
      </c>
      <c r="I2917" t="s">
        <v>39</v>
      </c>
      <c r="J2917" t="s">
        <v>37</v>
      </c>
      <c r="K2917" t="s">
        <v>26</v>
      </c>
      <c r="L2917">
        <v>2</v>
      </c>
      <c r="M2917">
        <v>0</v>
      </c>
      <c r="N2917">
        <v>1</v>
      </c>
      <c r="O2917" t="s">
        <v>21</v>
      </c>
      <c r="P2917" t="str">
        <f>TEXT(Table1[[#This Row],[order_date]],"yyyy-mm")</f>
        <v>2025-10</v>
      </c>
      <c r="Q2917">
        <f>WEEKNUM(Table1[[#This Row],[order_date]])</f>
        <v>43</v>
      </c>
      <c r="R2917">
        <f>IF(Table1[[#This Row],[order_status]]="completed",1,0)</f>
        <v>0</v>
      </c>
    </row>
    <row r="2918" spans="1:18" x14ac:dyDescent="0.35">
      <c r="A2918">
        <v>2917</v>
      </c>
      <c r="B2918" s="1">
        <v>45893</v>
      </c>
      <c r="C2918">
        <v>1160</v>
      </c>
      <c r="D2918" t="s">
        <v>32</v>
      </c>
      <c r="E2918" t="s">
        <v>33</v>
      </c>
      <c r="F2918" t="s">
        <v>34</v>
      </c>
      <c r="G2918">
        <v>1</v>
      </c>
      <c r="H2918">
        <v>0</v>
      </c>
      <c r="I2918" t="s">
        <v>35</v>
      </c>
      <c r="J2918" t="s">
        <v>31</v>
      </c>
      <c r="K2918" t="s">
        <v>26</v>
      </c>
      <c r="L2918">
        <v>6</v>
      </c>
      <c r="M2918">
        <v>0</v>
      </c>
      <c r="N2918">
        <v>0</v>
      </c>
      <c r="O2918" t="s">
        <v>27</v>
      </c>
      <c r="P2918" t="str">
        <f>TEXT(Table1[[#This Row],[order_date]],"yyyy-mm")</f>
        <v>2025-08</v>
      </c>
      <c r="Q2918">
        <f>WEEKNUM(Table1[[#This Row],[order_date]])</f>
        <v>35</v>
      </c>
      <c r="R2918">
        <f>IF(Table1[[#This Row],[order_status]]="completed",1,0)</f>
        <v>0</v>
      </c>
    </row>
    <row r="2919" spans="1:18" x14ac:dyDescent="0.35">
      <c r="A2919">
        <v>2918</v>
      </c>
      <c r="B2919" s="1">
        <v>45967</v>
      </c>
      <c r="C2919">
        <v>1545</v>
      </c>
      <c r="D2919" t="s">
        <v>41</v>
      </c>
      <c r="E2919" t="s">
        <v>29</v>
      </c>
      <c r="F2919" t="s">
        <v>17</v>
      </c>
      <c r="G2919">
        <v>2</v>
      </c>
      <c r="H2919">
        <v>0</v>
      </c>
      <c r="I2919" t="s">
        <v>18</v>
      </c>
      <c r="J2919" t="s">
        <v>31</v>
      </c>
      <c r="K2919" t="s">
        <v>26</v>
      </c>
      <c r="L2919">
        <v>6</v>
      </c>
      <c r="M2919">
        <v>0</v>
      </c>
      <c r="N2919">
        <v>0</v>
      </c>
      <c r="O2919" t="s">
        <v>21</v>
      </c>
      <c r="P2919" t="str">
        <f>TEXT(Table1[[#This Row],[order_date]],"yyyy-mm")</f>
        <v>2025-11</v>
      </c>
      <c r="Q2919">
        <f>WEEKNUM(Table1[[#This Row],[order_date]])</f>
        <v>45</v>
      </c>
      <c r="R2919">
        <f>IF(Table1[[#This Row],[order_status]]="completed",1,0)</f>
        <v>0</v>
      </c>
    </row>
    <row r="2920" spans="1:18" x14ac:dyDescent="0.35">
      <c r="A2920">
        <v>2919</v>
      </c>
      <c r="B2920" s="1">
        <v>45887</v>
      </c>
      <c r="C2920">
        <v>1531</v>
      </c>
      <c r="D2920" t="s">
        <v>28</v>
      </c>
      <c r="E2920" t="s">
        <v>33</v>
      </c>
      <c r="F2920" t="s">
        <v>17</v>
      </c>
      <c r="G2920">
        <v>4</v>
      </c>
      <c r="H2920">
        <v>0</v>
      </c>
      <c r="I2920" t="s">
        <v>25</v>
      </c>
      <c r="J2920" t="s">
        <v>37</v>
      </c>
      <c r="K2920" t="s">
        <v>26</v>
      </c>
      <c r="L2920">
        <v>1</v>
      </c>
      <c r="M2920">
        <v>0</v>
      </c>
      <c r="N2920">
        <v>0</v>
      </c>
      <c r="O2920" t="s">
        <v>27</v>
      </c>
      <c r="P2920" t="str">
        <f>TEXT(Table1[[#This Row],[order_date]],"yyyy-mm")</f>
        <v>2025-08</v>
      </c>
      <c r="Q2920">
        <f>WEEKNUM(Table1[[#This Row],[order_date]])</f>
        <v>34</v>
      </c>
      <c r="R2920">
        <f>IF(Table1[[#This Row],[order_status]]="completed",1,0)</f>
        <v>0</v>
      </c>
    </row>
    <row r="2921" spans="1:18" x14ac:dyDescent="0.35">
      <c r="A2921">
        <v>2920</v>
      </c>
      <c r="B2921" s="1">
        <v>45899</v>
      </c>
      <c r="C2921">
        <v>1628</v>
      </c>
      <c r="D2921" t="s">
        <v>15</v>
      </c>
      <c r="E2921" t="s">
        <v>36</v>
      </c>
      <c r="F2921" t="s">
        <v>30</v>
      </c>
      <c r="G2921">
        <v>1</v>
      </c>
      <c r="H2921">
        <v>0</v>
      </c>
      <c r="I2921" t="s">
        <v>35</v>
      </c>
      <c r="J2921" t="s">
        <v>31</v>
      </c>
      <c r="K2921" t="s">
        <v>38</v>
      </c>
      <c r="L2921">
        <v>4</v>
      </c>
      <c r="M2921">
        <v>0</v>
      </c>
      <c r="N2921">
        <v>0</v>
      </c>
      <c r="O2921" t="s">
        <v>21</v>
      </c>
      <c r="P2921" t="str">
        <f>TEXT(Table1[[#This Row],[order_date]],"yyyy-mm")</f>
        <v>2025-08</v>
      </c>
      <c r="Q2921">
        <f>WEEKNUM(Table1[[#This Row],[order_date]])</f>
        <v>35</v>
      </c>
      <c r="R2921">
        <f>IF(Table1[[#This Row],[order_status]]="completed",1,0)</f>
        <v>0</v>
      </c>
    </row>
    <row r="2922" spans="1:18" x14ac:dyDescent="0.35">
      <c r="A2922">
        <v>2921</v>
      </c>
      <c r="B2922" s="1">
        <v>45984</v>
      </c>
      <c r="C2922">
        <v>1870</v>
      </c>
      <c r="D2922" t="s">
        <v>41</v>
      </c>
      <c r="E2922" t="s">
        <v>36</v>
      </c>
      <c r="F2922" t="s">
        <v>34</v>
      </c>
      <c r="G2922">
        <v>1</v>
      </c>
      <c r="H2922">
        <v>1960</v>
      </c>
      <c r="I2922" t="s">
        <v>25</v>
      </c>
      <c r="J2922" t="s">
        <v>19</v>
      </c>
      <c r="K2922" t="s">
        <v>40</v>
      </c>
      <c r="L2922">
        <v>8</v>
      </c>
      <c r="M2922">
        <v>1</v>
      </c>
      <c r="N2922">
        <v>1</v>
      </c>
      <c r="O2922" t="s">
        <v>21</v>
      </c>
      <c r="P2922" t="str">
        <f>TEXT(Table1[[#This Row],[order_date]],"yyyy-mm")</f>
        <v>2025-11</v>
      </c>
      <c r="Q2922">
        <f>WEEKNUM(Table1[[#This Row],[order_date]])</f>
        <v>48</v>
      </c>
      <c r="R2922">
        <f>IF(Table1[[#This Row],[order_status]]="completed",1,0)</f>
        <v>1</v>
      </c>
    </row>
    <row r="2923" spans="1:18" x14ac:dyDescent="0.35">
      <c r="A2923">
        <v>2922</v>
      </c>
      <c r="B2923" s="1">
        <v>45961</v>
      </c>
      <c r="C2923">
        <v>1685</v>
      </c>
      <c r="D2923" t="s">
        <v>32</v>
      </c>
      <c r="E2923" t="s">
        <v>29</v>
      </c>
      <c r="F2923" t="s">
        <v>34</v>
      </c>
      <c r="G2923">
        <v>3</v>
      </c>
      <c r="H2923">
        <v>0</v>
      </c>
      <c r="I2923" t="s">
        <v>18</v>
      </c>
      <c r="J2923" t="s">
        <v>31</v>
      </c>
      <c r="K2923" t="s">
        <v>40</v>
      </c>
      <c r="L2923">
        <v>2</v>
      </c>
      <c r="M2923">
        <v>1</v>
      </c>
      <c r="N2923">
        <v>1</v>
      </c>
      <c r="O2923" t="s">
        <v>21</v>
      </c>
      <c r="P2923" t="str">
        <f>TEXT(Table1[[#This Row],[order_date]],"yyyy-mm")</f>
        <v>2025-10</v>
      </c>
      <c r="Q2923">
        <f>WEEKNUM(Table1[[#This Row],[order_date]])</f>
        <v>44</v>
      </c>
      <c r="R2923">
        <f>IF(Table1[[#This Row],[order_status]]="completed",1,0)</f>
        <v>0</v>
      </c>
    </row>
    <row r="2924" spans="1:18" x14ac:dyDescent="0.35">
      <c r="A2924">
        <v>2923</v>
      </c>
      <c r="B2924" s="1">
        <v>45987</v>
      </c>
      <c r="C2924">
        <v>1998</v>
      </c>
      <c r="D2924" t="s">
        <v>41</v>
      </c>
      <c r="E2924" t="s">
        <v>16</v>
      </c>
      <c r="F2924" t="s">
        <v>17</v>
      </c>
      <c r="G2924">
        <v>5</v>
      </c>
      <c r="H2924">
        <v>11575</v>
      </c>
      <c r="I2924" t="s">
        <v>39</v>
      </c>
      <c r="J2924" t="s">
        <v>19</v>
      </c>
      <c r="K2924" t="s">
        <v>40</v>
      </c>
      <c r="L2924">
        <v>10</v>
      </c>
      <c r="M2924">
        <v>0</v>
      </c>
      <c r="N2924">
        <v>1</v>
      </c>
      <c r="O2924" t="s">
        <v>27</v>
      </c>
      <c r="P2924" t="str">
        <f>TEXT(Table1[[#This Row],[order_date]],"yyyy-mm")</f>
        <v>2025-11</v>
      </c>
      <c r="Q2924">
        <f>WEEKNUM(Table1[[#This Row],[order_date]])</f>
        <v>48</v>
      </c>
      <c r="R2924">
        <f>IF(Table1[[#This Row],[order_status]]="completed",1,0)</f>
        <v>1</v>
      </c>
    </row>
    <row r="2925" spans="1:18" x14ac:dyDescent="0.35">
      <c r="A2925">
        <v>2924</v>
      </c>
      <c r="B2925" s="1">
        <v>45926</v>
      </c>
      <c r="C2925">
        <v>1116</v>
      </c>
      <c r="D2925" t="s">
        <v>28</v>
      </c>
      <c r="E2925" t="s">
        <v>23</v>
      </c>
      <c r="F2925" t="s">
        <v>30</v>
      </c>
      <c r="G2925">
        <v>4</v>
      </c>
      <c r="H2925">
        <v>0</v>
      </c>
      <c r="I2925" t="s">
        <v>39</v>
      </c>
      <c r="J2925" t="s">
        <v>31</v>
      </c>
      <c r="K2925" t="s">
        <v>26</v>
      </c>
      <c r="L2925">
        <v>9</v>
      </c>
      <c r="M2925">
        <v>1</v>
      </c>
      <c r="N2925">
        <v>0</v>
      </c>
      <c r="O2925" t="s">
        <v>21</v>
      </c>
      <c r="P2925" t="str">
        <f>TEXT(Table1[[#This Row],[order_date]],"yyyy-mm")</f>
        <v>2025-09</v>
      </c>
      <c r="Q2925">
        <f>WEEKNUM(Table1[[#This Row],[order_date]])</f>
        <v>39</v>
      </c>
      <c r="R2925">
        <f>IF(Table1[[#This Row],[order_status]]="completed",1,0)</f>
        <v>0</v>
      </c>
    </row>
    <row r="2926" spans="1:18" x14ac:dyDescent="0.35">
      <c r="A2926">
        <v>2925</v>
      </c>
      <c r="B2926" s="1">
        <v>45856</v>
      </c>
      <c r="C2926">
        <v>1491</v>
      </c>
      <c r="D2926" t="s">
        <v>28</v>
      </c>
      <c r="E2926" t="s">
        <v>33</v>
      </c>
      <c r="F2926" t="s">
        <v>24</v>
      </c>
      <c r="G2926">
        <v>4</v>
      </c>
      <c r="H2926">
        <v>14916</v>
      </c>
      <c r="I2926" t="s">
        <v>39</v>
      </c>
      <c r="J2926" t="s">
        <v>19</v>
      </c>
      <c r="K2926" t="s">
        <v>20</v>
      </c>
      <c r="L2926">
        <v>5</v>
      </c>
      <c r="M2926">
        <v>1</v>
      </c>
      <c r="N2926">
        <v>0</v>
      </c>
      <c r="O2926" t="s">
        <v>21</v>
      </c>
      <c r="P2926" t="str">
        <f>TEXT(Table1[[#This Row],[order_date]],"yyyy-mm")</f>
        <v>2025-07</v>
      </c>
      <c r="Q2926">
        <f>WEEKNUM(Table1[[#This Row],[order_date]])</f>
        <v>29</v>
      </c>
      <c r="R2926">
        <f>IF(Table1[[#This Row],[order_status]]="completed",1,0)</f>
        <v>1</v>
      </c>
    </row>
    <row r="2927" spans="1:18" x14ac:dyDescent="0.35">
      <c r="A2927">
        <v>2926</v>
      </c>
      <c r="B2927" s="1">
        <v>45864</v>
      </c>
      <c r="C2927">
        <v>1109</v>
      </c>
      <c r="D2927" t="s">
        <v>32</v>
      </c>
      <c r="E2927" t="s">
        <v>16</v>
      </c>
      <c r="F2927" t="s">
        <v>30</v>
      </c>
      <c r="G2927">
        <v>1</v>
      </c>
      <c r="H2927">
        <v>0</v>
      </c>
      <c r="I2927" t="s">
        <v>18</v>
      </c>
      <c r="J2927" t="s">
        <v>37</v>
      </c>
      <c r="K2927" t="s">
        <v>26</v>
      </c>
      <c r="L2927">
        <v>1</v>
      </c>
      <c r="M2927">
        <v>0</v>
      </c>
      <c r="N2927">
        <v>0</v>
      </c>
      <c r="O2927" t="s">
        <v>21</v>
      </c>
      <c r="P2927" t="str">
        <f>TEXT(Table1[[#This Row],[order_date]],"yyyy-mm")</f>
        <v>2025-07</v>
      </c>
      <c r="Q2927">
        <f>WEEKNUM(Table1[[#This Row],[order_date]])</f>
        <v>30</v>
      </c>
      <c r="R2927">
        <f>IF(Table1[[#This Row],[order_status]]="completed",1,0)</f>
        <v>0</v>
      </c>
    </row>
    <row r="2928" spans="1:18" x14ac:dyDescent="0.35">
      <c r="A2928">
        <v>2927</v>
      </c>
      <c r="B2928" s="1">
        <v>45922</v>
      </c>
      <c r="C2928">
        <v>1237</v>
      </c>
      <c r="D2928" t="s">
        <v>32</v>
      </c>
      <c r="E2928" t="s">
        <v>23</v>
      </c>
      <c r="F2928" t="s">
        <v>30</v>
      </c>
      <c r="G2928">
        <v>1</v>
      </c>
      <c r="H2928">
        <v>0</v>
      </c>
      <c r="I2928" t="s">
        <v>25</v>
      </c>
      <c r="J2928" t="s">
        <v>31</v>
      </c>
      <c r="K2928" t="s">
        <v>26</v>
      </c>
      <c r="L2928">
        <v>7</v>
      </c>
      <c r="M2928">
        <v>0</v>
      </c>
      <c r="N2928">
        <v>0</v>
      </c>
      <c r="O2928" t="s">
        <v>27</v>
      </c>
      <c r="P2928" t="str">
        <f>TEXT(Table1[[#This Row],[order_date]],"yyyy-mm")</f>
        <v>2025-09</v>
      </c>
      <c r="Q2928">
        <f>WEEKNUM(Table1[[#This Row],[order_date]])</f>
        <v>39</v>
      </c>
      <c r="R2928">
        <f>IF(Table1[[#This Row],[order_status]]="completed",1,0)</f>
        <v>0</v>
      </c>
    </row>
    <row r="2929" spans="1:18" x14ac:dyDescent="0.35">
      <c r="A2929">
        <v>2928</v>
      </c>
      <c r="B2929" s="1">
        <v>45979</v>
      </c>
      <c r="C2929">
        <v>1709</v>
      </c>
      <c r="D2929" t="s">
        <v>22</v>
      </c>
      <c r="E2929" t="s">
        <v>36</v>
      </c>
      <c r="F2929" t="s">
        <v>34</v>
      </c>
      <c r="G2929">
        <v>5</v>
      </c>
      <c r="H2929">
        <v>0</v>
      </c>
      <c r="I2929" t="s">
        <v>39</v>
      </c>
      <c r="J2929" t="s">
        <v>31</v>
      </c>
      <c r="K2929" t="s">
        <v>38</v>
      </c>
      <c r="L2929">
        <v>2</v>
      </c>
      <c r="M2929">
        <v>0</v>
      </c>
      <c r="N2929">
        <v>1</v>
      </c>
      <c r="O2929" t="s">
        <v>27</v>
      </c>
      <c r="P2929" t="str">
        <f>TEXT(Table1[[#This Row],[order_date]],"yyyy-mm")</f>
        <v>2025-11</v>
      </c>
      <c r="Q2929">
        <f>WEEKNUM(Table1[[#This Row],[order_date]])</f>
        <v>47</v>
      </c>
      <c r="R2929">
        <f>IF(Table1[[#This Row],[order_status]]="completed",1,0)</f>
        <v>0</v>
      </c>
    </row>
    <row r="2930" spans="1:18" x14ac:dyDescent="0.35">
      <c r="A2930">
        <v>2929</v>
      </c>
      <c r="B2930" s="1">
        <v>45926</v>
      </c>
      <c r="C2930">
        <v>1447</v>
      </c>
      <c r="D2930" t="s">
        <v>41</v>
      </c>
      <c r="E2930" t="s">
        <v>16</v>
      </c>
      <c r="F2930" t="s">
        <v>24</v>
      </c>
      <c r="G2930">
        <v>1</v>
      </c>
      <c r="H2930">
        <v>0</v>
      </c>
      <c r="I2930" t="s">
        <v>25</v>
      </c>
      <c r="J2930" t="s">
        <v>37</v>
      </c>
      <c r="K2930" t="s">
        <v>38</v>
      </c>
      <c r="L2930">
        <v>4</v>
      </c>
      <c r="M2930">
        <v>0</v>
      </c>
      <c r="N2930">
        <v>0</v>
      </c>
      <c r="O2930" t="s">
        <v>27</v>
      </c>
      <c r="P2930" t="str">
        <f>TEXT(Table1[[#This Row],[order_date]],"yyyy-mm")</f>
        <v>2025-09</v>
      </c>
      <c r="Q2930">
        <f>WEEKNUM(Table1[[#This Row],[order_date]])</f>
        <v>39</v>
      </c>
      <c r="R2930">
        <f>IF(Table1[[#This Row],[order_status]]="completed",1,0)</f>
        <v>0</v>
      </c>
    </row>
    <row r="2931" spans="1:18" x14ac:dyDescent="0.35">
      <c r="A2931">
        <v>2930</v>
      </c>
      <c r="B2931" s="1">
        <v>45856</v>
      </c>
      <c r="C2931">
        <v>1176</v>
      </c>
      <c r="D2931" t="s">
        <v>22</v>
      </c>
      <c r="E2931" t="s">
        <v>23</v>
      </c>
      <c r="F2931" t="s">
        <v>34</v>
      </c>
      <c r="G2931">
        <v>2</v>
      </c>
      <c r="H2931">
        <v>1834</v>
      </c>
      <c r="I2931" t="s">
        <v>18</v>
      </c>
      <c r="J2931" t="s">
        <v>19</v>
      </c>
      <c r="K2931" t="s">
        <v>40</v>
      </c>
      <c r="L2931">
        <v>1</v>
      </c>
      <c r="M2931">
        <v>0</v>
      </c>
      <c r="N2931">
        <v>1</v>
      </c>
      <c r="O2931" t="s">
        <v>21</v>
      </c>
      <c r="P2931" t="str">
        <f>TEXT(Table1[[#This Row],[order_date]],"yyyy-mm")</f>
        <v>2025-07</v>
      </c>
      <c r="Q2931">
        <f>WEEKNUM(Table1[[#This Row],[order_date]])</f>
        <v>29</v>
      </c>
      <c r="R2931">
        <f>IF(Table1[[#This Row],[order_status]]="completed",1,0)</f>
        <v>1</v>
      </c>
    </row>
    <row r="2932" spans="1:18" x14ac:dyDescent="0.35">
      <c r="A2932">
        <v>2931</v>
      </c>
      <c r="B2932" s="1">
        <v>45999</v>
      </c>
      <c r="C2932">
        <v>1393</v>
      </c>
      <c r="D2932" t="s">
        <v>22</v>
      </c>
      <c r="E2932" t="s">
        <v>36</v>
      </c>
      <c r="F2932" t="s">
        <v>24</v>
      </c>
      <c r="G2932">
        <v>4</v>
      </c>
      <c r="H2932">
        <v>0</v>
      </c>
      <c r="I2932" t="s">
        <v>25</v>
      </c>
      <c r="J2932" t="s">
        <v>31</v>
      </c>
      <c r="K2932" t="s">
        <v>38</v>
      </c>
      <c r="L2932">
        <v>10</v>
      </c>
      <c r="M2932">
        <v>1</v>
      </c>
      <c r="N2932">
        <v>1</v>
      </c>
      <c r="O2932" t="s">
        <v>27</v>
      </c>
      <c r="P2932" t="str">
        <f>TEXT(Table1[[#This Row],[order_date]],"yyyy-mm")</f>
        <v>2025-12</v>
      </c>
      <c r="Q2932">
        <f>WEEKNUM(Table1[[#This Row],[order_date]])</f>
        <v>50</v>
      </c>
      <c r="R2932">
        <f>IF(Table1[[#This Row],[order_status]]="completed",1,0)</f>
        <v>0</v>
      </c>
    </row>
    <row r="2933" spans="1:18" x14ac:dyDescent="0.35">
      <c r="A2933">
        <v>2932</v>
      </c>
      <c r="B2933" s="1">
        <v>45888</v>
      </c>
      <c r="C2933">
        <v>1533</v>
      </c>
      <c r="D2933" t="s">
        <v>32</v>
      </c>
      <c r="E2933" t="s">
        <v>16</v>
      </c>
      <c r="F2933" t="s">
        <v>30</v>
      </c>
      <c r="G2933">
        <v>1</v>
      </c>
      <c r="H2933">
        <v>2467</v>
      </c>
      <c r="I2933" t="s">
        <v>18</v>
      </c>
      <c r="J2933" t="s">
        <v>19</v>
      </c>
      <c r="K2933" t="s">
        <v>38</v>
      </c>
      <c r="L2933">
        <v>3</v>
      </c>
      <c r="M2933">
        <v>0</v>
      </c>
      <c r="N2933">
        <v>0</v>
      </c>
      <c r="O2933" t="s">
        <v>27</v>
      </c>
      <c r="P2933" t="str">
        <f>TEXT(Table1[[#This Row],[order_date]],"yyyy-mm")</f>
        <v>2025-08</v>
      </c>
      <c r="Q2933">
        <f>WEEKNUM(Table1[[#This Row],[order_date]])</f>
        <v>34</v>
      </c>
      <c r="R2933">
        <f>IF(Table1[[#This Row],[order_status]]="completed",1,0)</f>
        <v>1</v>
      </c>
    </row>
    <row r="2934" spans="1:18" x14ac:dyDescent="0.35">
      <c r="A2934">
        <v>2933</v>
      </c>
      <c r="B2934" s="1">
        <v>45992</v>
      </c>
      <c r="C2934">
        <v>1249</v>
      </c>
      <c r="D2934" t="s">
        <v>28</v>
      </c>
      <c r="E2934" t="s">
        <v>36</v>
      </c>
      <c r="F2934" t="s">
        <v>24</v>
      </c>
      <c r="G2934">
        <v>5</v>
      </c>
      <c r="H2934">
        <v>0</v>
      </c>
      <c r="I2934" t="s">
        <v>39</v>
      </c>
      <c r="J2934" t="s">
        <v>37</v>
      </c>
      <c r="K2934" t="s">
        <v>38</v>
      </c>
      <c r="L2934">
        <v>2</v>
      </c>
      <c r="M2934">
        <v>1</v>
      </c>
      <c r="N2934">
        <v>0</v>
      </c>
      <c r="O2934" t="s">
        <v>27</v>
      </c>
      <c r="P2934" t="str">
        <f>TEXT(Table1[[#This Row],[order_date]],"yyyy-mm")</f>
        <v>2025-12</v>
      </c>
      <c r="Q2934">
        <f>WEEKNUM(Table1[[#This Row],[order_date]])</f>
        <v>49</v>
      </c>
      <c r="R2934">
        <f>IF(Table1[[#This Row],[order_status]]="completed",1,0)</f>
        <v>0</v>
      </c>
    </row>
    <row r="2935" spans="1:18" x14ac:dyDescent="0.35">
      <c r="A2935">
        <v>2934</v>
      </c>
      <c r="B2935" s="1">
        <v>45955</v>
      </c>
      <c r="C2935">
        <v>1753</v>
      </c>
      <c r="D2935" t="s">
        <v>28</v>
      </c>
      <c r="E2935" t="s">
        <v>16</v>
      </c>
      <c r="F2935" t="s">
        <v>24</v>
      </c>
      <c r="G2935">
        <v>4</v>
      </c>
      <c r="H2935">
        <v>8604</v>
      </c>
      <c r="I2935" t="s">
        <v>39</v>
      </c>
      <c r="J2935" t="s">
        <v>19</v>
      </c>
      <c r="K2935" t="s">
        <v>40</v>
      </c>
      <c r="L2935">
        <v>1</v>
      </c>
      <c r="M2935">
        <v>1</v>
      </c>
      <c r="N2935">
        <v>1</v>
      </c>
      <c r="O2935" t="s">
        <v>21</v>
      </c>
      <c r="P2935" t="str">
        <f>TEXT(Table1[[#This Row],[order_date]],"yyyy-mm")</f>
        <v>2025-10</v>
      </c>
      <c r="Q2935">
        <f>WEEKNUM(Table1[[#This Row],[order_date]])</f>
        <v>43</v>
      </c>
      <c r="R2935">
        <f>IF(Table1[[#This Row],[order_status]]="completed",1,0)</f>
        <v>1</v>
      </c>
    </row>
    <row r="2936" spans="1:18" x14ac:dyDescent="0.35">
      <c r="A2936">
        <v>2935</v>
      </c>
      <c r="B2936" s="1">
        <v>46007</v>
      </c>
      <c r="C2936">
        <v>1857</v>
      </c>
      <c r="D2936" t="s">
        <v>28</v>
      </c>
      <c r="E2936" t="s">
        <v>36</v>
      </c>
      <c r="F2936" t="s">
        <v>34</v>
      </c>
      <c r="G2936">
        <v>4</v>
      </c>
      <c r="H2936">
        <v>0</v>
      </c>
      <c r="I2936" t="s">
        <v>25</v>
      </c>
      <c r="J2936" t="s">
        <v>37</v>
      </c>
      <c r="K2936" t="s">
        <v>20</v>
      </c>
      <c r="L2936">
        <v>3</v>
      </c>
      <c r="M2936">
        <v>1</v>
      </c>
      <c r="N2936">
        <v>0</v>
      </c>
      <c r="O2936" t="s">
        <v>21</v>
      </c>
      <c r="P2936" t="str">
        <f>TEXT(Table1[[#This Row],[order_date]],"yyyy-mm")</f>
        <v>2025-12</v>
      </c>
      <c r="Q2936">
        <f>WEEKNUM(Table1[[#This Row],[order_date]])</f>
        <v>51</v>
      </c>
      <c r="R2936">
        <f>IF(Table1[[#This Row],[order_status]]="completed",1,0)</f>
        <v>0</v>
      </c>
    </row>
    <row r="2937" spans="1:18" x14ac:dyDescent="0.35">
      <c r="A2937">
        <v>2936</v>
      </c>
      <c r="B2937" s="1">
        <v>45974</v>
      </c>
      <c r="C2937">
        <v>1769</v>
      </c>
      <c r="D2937" t="s">
        <v>41</v>
      </c>
      <c r="E2937" t="s">
        <v>16</v>
      </c>
      <c r="F2937" t="s">
        <v>34</v>
      </c>
      <c r="G2937">
        <v>1</v>
      </c>
      <c r="H2937">
        <v>761</v>
      </c>
      <c r="I2937" t="s">
        <v>39</v>
      </c>
      <c r="J2937" t="s">
        <v>19</v>
      </c>
      <c r="K2937" t="s">
        <v>38</v>
      </c>
      <c r="L2937">
        <v>4</v>
      </c>
      <c r="M2937">
        <v>1</v>
      </c>
      <c r="N2937">
        <v>1</v>
      </c>
      <c r="O2937" t="s">
        <v>21</v>
      </c>
      <c r="P2937" t="str">
        <f>TEXT(Table1[[#This Row],[order_date]],"yyyy-mm")</f>
        <v>2025-11</v>
      </c>
      <c r="Q2937">
        <f>WEEKNUM(Table1[[#This Row],[order_date]])</f>
        <v>46</v>
      </c>
      <c r="R2937">
        <f>IF(Table1[[#This Row],[order_status]]="completed",1,0)</f>
        <v>1</v>
      </c>
    </row>
    <row r="2938" spans="1:18" x14ac:dyDescent="0.35">
      <c r="A2938">
        <v>2937</v>
      </c>
      <c r="B2938" s="1">
        <v>45962</v>
      </c>
      <c r="C2938">
        <v>1939</v>
      </c>
      <c r="D2938" t="s">
        <v>32</v>
      </c>
      <c r="E2938" t="s">
        <v>36</v>
      </c>
      <c r="F2938" t="s">
        <v>24</v>
      </c>
      <c r="G2938">
        <v>5</v>
      </c>
      <c r="H2938">
        <v>0</v>
      </c>
      <c r="I2938" t="s">
        <v>39</v>
      </c>
      <c r="J2938" t="s">
        <v>31</v>
      </c>
      <c r="K2938" t="s">
        <v>38</v>
      </c>
      <c r="L2938">
        <v>3</v>
      </c>
      <c r="M2938">
        <v>0</v>
      </c>
      <c r="N2938">
        <v>1</v>
      </c>
      <c r="O2938" t="s">
        <v>21</v>
      </c>
      <c r="P2938" t="str">
        <f>TEXT(Table1[[#This Row],[order_date]],"yyyy-mm")</f>
        <v>2025-11</v>
      </c>
      <c r="Q2938">
        <f>WEEKNUM(Table1[[#This Row],[order_date]])</f>
        <v>44</v>
      </c>
      <c r="R2938">
        <f>IF(Table1[[#This Row],[order_status]]="completed",1,0)</f>
        <v>0</v>
      </c>
    </row>
    <row r="2939" spans="1:18" x14ac:dyDescent="0.35">
      <c r="A2939">
        <v>2938</v>
      </c>
      <c r="B2939" s="1">
        <v>46004</v>
      </c>
      <c r="C2939">
        <v>1221</v>
      </c>
      <c r="D2939" t="s">
        <v>22</v>
      </c>
      <c r="E2939" t="s">
        <v>16</v>
      </c>
      <c r="F2939" t="s">
        <v>34</v>
      </c>
      <c r="G2939">
        <v>5</v>
      </c>
      <c r="H2939">
        <v>22375</v>
      </c>
      <c r="I2939" t="s">
        <v>18</v>
      </c>
      <c r="J2939" t="s">
        <v>19</v>
      </c>
      <c r="K2939" t="s">
        <v>40</v>
      </c>
      <c r="L2939">
        <v>10</v>
      </c>
      <c r="M2939">
        <v>1</v>
      </c>
      <c r="N2939">
        <v>1</v>
      </c>
      <c r="O2939" t="s">
        <v>21</v>
      </c>
      <c r="P2939" t="str">
        <f>TEXT(Table1[[#This Row],[order_date]],"yyyy-mm")</f>
        <v>2025-12</v>
      </c>
      <c r="Q2939">
        <f>WEEKNUM(Table1[[#This Row],[order_date]])</f>
        <v>50</v>
      </c>
      <c r="R2939">
        <f>IF(Table1[[#This Row],[order_status]]="completed",1,0)</f>
        <v>1</v>
      </c>
    </row>
    <row r="2940" spans="1:18" x14ac:dyDescent="0.35">
      <c r="A2940">
        <v>2939</v>
      </c>
      <c r="B2940" s="1">
        <v>45875</v>
      </c>
      <c r="C2940">
        <v>1717</v>
      </c>
      <c r="D2940" t="s">
        <v>15</v>
      </c>
      <c r="E2940" t="s">
        <v>36</v>
      </c>
      <c r="F2940" t="s">
        <v>30</v>
      </c>
      <c r="G2940">
        <v>3</v>
      </c>
      <c r="H2940">
        <v>4515</v>
      </c>
      <c r="I2940" t="s">
        <v>18</v>
      </c>
      <c r="J2940" t="s">
        <v>19</v>
      </c>
      <c r="K2940" t="s">
        <v>38</v>
      </c>
      <c r="L2940">
        <v>3</v>
      </c>
      <c r="M2940">
        <v>1</v>
      </c>
      <c r="N2940">
        <v>1</v>
      </c>
      <c r="O2940" t="s">
        <v>21</v>
      </c>
      <c r="P2940" t="str">
        <f>TEXT(Table1[[#This Row],[order_date]],"yyyy-mm")</f>
        <v>2025-08</v>
      </c>
      <c r="Q2940">
        <f>WEEKNUM(Table1[[#This Row],[order_date]])</f>
        <v>32</v>
      </c>
      <c r="R2940">
        <f>IF(Table1[[#This Row],[order_status]]="completed",1,0)</f>
        <v>1</v>
      </c>
    </row>
    <row r="2941" spans="1:18" x14ac:dyDescent="0.35">
      <c r="A2941">
        <v>2940</v>
      </c>
      <c r="B2941" s="1">
        <v>46008</v>
      </c>
      <c r="C2941">
        <v>1276</v>
      </c>
      <c r="D2941" t="s">
        <v>22</v>
      </c>
      <c r="E2941" t="s">
        <v>29</v>
      </c>
      <c r="F2941" t="s">
        <v>17</v>
      </c>
      <c r="G2941">
        <v>4</v>
      </c>
      <c r="H2941">
        <v>0</v>
      </c>
      <c r="I2941" t="s">
        <v>39</v>
      </c>
      <c r="J2941" t="s">
        <v>31</v>
      </c>
      <c r="K2941" t="s">
        <v>38</v>
      </c>
      <c r="L2941">
        <v>2</v>
      </c>
      <c r="M2941">
        <v>0</v>
      </c>
      <c r="N2941">
        <v>1</v>
      </c>
      <c r="O2941" t="s">
        <v>27</v>
      </c>
      <c r="P2941" t="str">
        <f>TEXT(Table1[[#This Row],[order_date]],"yyyy-mm")</f>
        <v>2025-12</v>
      </c>
      <c r="Q2941">
        <f>WEEKNUM(Table1[[#This Row],[order_date]])</f>
        <v>51</v>
      </c>
      <c r="R2941">
        <f>IF(Table1[[#This Row],[order_status]]="completed",1,0)</f>
        <v>0</v>
      </c>
    </row>
    <row r="2942" spans="1:18" x14ac:dyDescent="0.35">
      <c r="A2942">
        <v>2941</v>
      </c>
      <c r="B2942" s="1">
        <v>45872</v>
      </c>
      <c r="C2942">
        <v>1449</v>
      </c>
      <c r="D2942" t="s">
        <v>41</v>
      </c>
      <c r="E2942" t="s">
        <v>36</v>
      </c>
      <c r="F2942" t="s">
        <v>17</v>
      </c>
      <c r="G2942">
        <v>4</v>
      </c>
      <c r="H2942">
        <v>4420</v>
      </c>
      <c r="I2942" t="s">
        <v>39</v>
      </c>
      <c r="J2942" t="s">
        <v>19</v>
      </c>
      <c r="K2942" t="s">
        <v>38</v>
      </c>
      <c r="L2942">
        <v>2</v>
      </c>
      <c r="M2942">
        <v>0</v>
      </c>
      <c r="N2942">
        <v>0</v>
      </c>
      <c r="O2942" t="s">
        <v>21</v>
      </c>
      <c r="P2942" t="str">
        <f>TEXT(Table1[[#This Row],[order_date]],"yyyy-mm")</f>
        <v>2025-08</v>
      </c>
      <c r="Q2942">
        <f>WEEKNUM(Table1[[#This Row],[order_date]])</f>
        <v>32</v>
      </c>
      <c r="R2942">
        <f>IF(Table1[[#This Row],[order_status]]="completed",1,0)</f>
        <v>1</v>
      </c>
    </row>
    <row r="2943" spans="1:18" x14ac:dyDescent="0.35">
      <c r="A2943">
        <v>2942</v>
      </c>
      <c r="B2943" s="1">
        <v>45959</v>
      </c>
      <c r="C2943">
        <v>1535</v>
      </c>
      <c r="D2943" t="s">
        <v>28</v>
      </c>
      <c r="E2943" t="s">
        <v>16</v>
      </c>
      <c r="F2943" t="s">
        <v>34</v>
      </c>
      <c r="G2943">
        <v>3</v>
      </c>
      <c r="H2943">
        <v>0</v>
      </c>
      <c r="I2943" t="s">
        <v>35</v>
      </c>
      <c r="J2943" t="s">
        <v>31</v>
      </c>
      <c r="K2943" t="s">
        <v>40</v>
      </c>
      <c r="L2943">
        <v>3</v>
      </c>
      <c r="M2943">
        <v>0</v>
      </c>
      <c r="N2943">
        <v>0</v>
      </c>
      <c r="O2943" t="s">
        <v>21</v>
      </c>
      <c r="P2943" t="str">
        <f>TEXT(Table1[[#This Row],[order_date]],"yyyy-mm")</f>
        <v>2025-10</v>
      </c>
      <c r="Q2943">
        <f>WEEKNUM(Table1[[#This Row],[order_date]])</f>
        <v>44</v>
      </c>
      <c r="R2943">
        <f>IF(Table1[[#This Row],[order_status]]="completed",1,0)</f>
        <v>0</v>
      </c>
    </row>
    <row r="2944" spans="1:18" x14ac:dyDescent="0.35">
      <c r="A2944">
        <v>2943</v>
      </c>
      <c r="B2944" s="1">
        <v>45957</v>
      </c>
      <c r="C2944">
        <v>1947</v>
      </c>
      <c r="D2944" t="s">
        <v>32</v>
      </c>
      <c r="E2944" t="s">
        <v>16</v>
      </c>
      <c r="F2944" t="s">
        <v>24</v>
      </c>
      <c r="G2944">
        <v>5</v>
      </c>
      <c r="H2944">
        <v>0</v>
      </c>
      <c r="I2944" t="s">
        <v>35</v>
      </c>
      <c r="J2944" t="s">
        <v>37</v>
      </c>
      <c r="K2944" t="s">
        <v>40</v>
      </c>
      <c r="L2944">
        <v>9</v>
      </c>
      <c r="M2944">
        <v>1</v>
      </c>
      <c r="N2944">
        <v>1</v>
      </c>
      <c r="O2944" t="s">
        <v>21</v>
      </c>
      <c r="P2944" t="str">
        <f>TEXT(Table1[[#This Row],[order_date]],"yyyy-mm")</f>
        <v>2025-10</v>
      </c>
      <c r="Q2944">
        <f>WEEKNUM(Table1[[#This Row],[order_date]])</f>
        <v>44</v>
      </c>
      <c r="R2944">
        <f>IF(Table1[[#This Row],[order_status]]="completed",1,0)</f>
        <v>0</v>
      </c>
    </row>
    <row r="2945" spans="1:18" x14ac:dyDescent="0.35">
      <c r="A2945">
        <v>2944</v>
      </c>
      <c r="B2945" s="1">
        <v>45990</v>
      </c>
      <c r="C2945">
        <v>1044</v>
      </c>
      <c r="D2945" t="s">
        <v>32</v>
      </c>
      <c r="E2945" t="s">
        <v>36</v>
      </c>
      <c r="F2945" t="s">
        <v>34</v>
      </c>
      <c r="G2945">
        <v>3</v>
      </c>
      <c r="H2945">
        <v>0</v>
      </c>
      <c r="I2945" t="s">
        <v>18</v>
      </c>
      <c r="J2945" t="s">
        <v>37</v>
      </c>
      <c r="K2945" t="s">
        <v>26</v>
      </c>
      <c r="L2945">
        <v>6</v>
      </c>
      <c r="M2945">
        <v>0</v>
      </c>
      <c r="N2945">
        <v>0</v>
      </c>
      <c r="O2945" t="s">
        <v>21</v>
      </c>
      <c r="P2945" t="str">
        <f>TEXT(Table1[[#This Row],[order_date]],"yyyy-mm")</f>
        <v>2025-11</v>
      </c>
      <c r="Q2945">
        <f>WEEKNUM(Table1[[#This Row],[order_date]])</f>
        <v>48</v>
      </c>
      <c r="R2945">
        <f>IF(Table1[[#This Row],[order_status]]="completed",1,0)</f>
        <v>0</v>
      </c>
    </row>
    <row r="2946" spans="1:18" x14ac:dyDescent="0.35">
      <c r="A2946">
        <v>2945</v>
      </c>
      <c r="B2946" s="1">
        <v>46030</v>
      </c>
      <c r="C2946">
        <v>1516</v>
      </c>
      <c r="D2946" t="s">
        <v>28</v>
      </c>
      <c r="E2946" t="s">
        <v>29</v>
      </c>
      <c r="F2946" t="s">
        <v>34</v>
      </c>
      <c r="G2946">
        <v>5</v>
      </c>
      <c r="H2946">
        <v>0</v>
      </c>
      <c r="I2946" t="s">
        <v>25</v>
      </c>
      <c r="J2946" t="s">
        <v>37</v>
      </c>
      <c r="K2946" t="s">
        <v>26</v>
      </c>
      <c r="L2946">
        <v>2</v>
      </c>
      <c r="M2946">
        <v>1</v>
      </c>
      <c r="N2946">
        <v>0</v>
      </c>
      <c r="O2946" t="s">
        <v>21</v>
      </c>
      <c r="P2946" t="str">
        <f>TEXT(Table1[[#This Row],[order_date]],"yyyy-mm")</f>
        <v>2026-01</v>
      </c>
      <c r="Q2946">
        <f>WEEKNUM(Table1[[#This Row],[order_date]])</f>
        <v>2</v>
      </c>
      <c r="R2946">
        <f>IF(Table1[[#This Row],[order_status]]="completed",1,0)</f>
        <v>0</v>
      </c>
    </row>
    <row r="2947" spans="1:18" x14ac:dyDescent="0.35">
      <c r="A2947">
        <v>2946</v>
      </c>
      <c r="B2947" s="1">
        <v>46010</v>
      </c>
      <c r="C2947">
        <v>1731</v>
      </c>
      <c r="D2947" t="s">
        <v>41</v>
      </c>
      <c r="E2947" t="s">
        <v>29</v>
      </c>
      <c r="F2947" t="s">
        <v>17</v>
      </c>
      <c r="G2947">
        <v>1</v>
      </c>
      <c r="H2947">
        <v>0</v>
      </c>
      <c r="I2947" t="s">
        <v>35</v>
      </c>
      <c r="J2947" t="s">
        <v>37</v>
      </c>
      <c r="K2947" t="s">
        <v>26</v>
      </c>
      <c r="L2947">
        <v>1</v>
      </c>
      <c r="M2947">
        <v>0</v>
      </c>
      <c r="N2947">
        <v>1</v>
      </c>
      <c r="O2947" t="s">
        <v>27</v>
      </c>
      <c r="P2947" t="str">
        <f>TEXT(Table1[[#This Row],[order_date]],"yyyy-mm")</f>
        <v>2025-12</v>
      </c>
      <c r="Q2947">
        <f>WEEKNUM(Table1[[#This Row],[order_date]])</f>
        <v>51</v>
      </c>
      <c r="R2947">
        <f>IF(Table1[[#This Row],[order_status]]="completed",1,0)</f>
        <v>0</v>
      </c>
    </row>
    <row r="2948" spans="1:18" x14ac:dyDescent="0.35">
      <c r="A2948">
        <v>2947</v>
      </c>
      <c r="B2948" s="1">
        <v>46000</v>
      </c>
      <c r="C2948">
        <v>1739</v>
      </c>
      <c r="D2948" t="s">
        <v>41</v>
      </c>
      <c r="E2948" t="s">
        <v>36</v>
      </c>
      <c r="F2948" t="s">
        <v>30</v>
      </c>
      <c r="G2948">
        <v>2</v>
      </c>
      <c r="H2948">
        <v>628</v>
      </c>
      <c r="I2948" t="s">
        <v>35</v>
      </c>
      <c r="J2948" t="s">
        <v>19</v>
      </c>
      <c r="K2948" t="s">
        <v>20</v>
      </c>
      <c r="L2948">
        <v>2</v>
      </c>
      <c r="M2948">
        <v>1</v>
      </c>
      <c r="N2948">
        <v>0</v>
      </c>
      <c r="O2948" t="s">
        <v>21</v>
      </c>
      <c r="P2948" t="str">
        <f>TEXT(Table1[[#This Row],[order_date]],"yyyy-mm")</f>
        <v>2025-12</v>
      </c>
      <c r="Q2948">
        <f>WEEKNUM(Table1[[#This Row],[order_date]])</f>
        <v>50</v>
      </c>
      <c r="R2948">
        <f>IF(Table1[[#This Row],[order_status]]="completed",1,0)</f>
        <v>1</v>
      </c>
    </row>
    <row r="2949" spans="1:18" x14ac:dyDescent="0.35">
      <c r="A2949">
        <v>2948</v>
      </c>
      <c r="B2949" s="1">
        <v>45912</v>
      </c>
      <c r="C2949">
        <v>1469</v>
      </c>
      <c r="D2949" t="s">
        <v>15</v>
      </c>
      <c r="E2949" t="s">
        <v>29</v>
      </c>
      <c r="F2949" t="s">
        <v>24</v>
      </c>
      <c r="G2949">
        <v>4</v>
      </c>
      <c r="H2949">
        <v>0</v>
      </c>
      <c r="I2949" t="s">
        <v>39</v>
      </c>
      <c r="J2949" t="s">
        <v>37</v>
      </c>
      <c r="K2949" t="s">
        <v>40</v>
      </c>
      <c r="L2949">
        <v>8</v>
      </c>
      <c r="M2949">
        <v>0</v>
      </c>
      <c r="N2949">
        <v>0</v>
      </c>
      <c r="O2949" t="s">
        <v>27</v>
      </c>
      <c r="P2949" t="str">
        <f>TEXT(Table1[[#This Row],[order_date]],"yyyy-mm")</f>
        <v>2025-09</v>
      </c>
      <c r="Q2949">
        <f>WEEKNUM(Table1[[#This Row],[order_date]])</f>
        <v>37</v>
      </c>
      <c r="R2949">
        <f>IF(Table1[[#This Row],[order_status]]="completed",1,0)</f>
        <v>0</v>
      </c>
    </row>
    <row r="2950" spans="1:18" x14ac:dyDescent="0.35">
      <c r="A2950">
        <v>2949</v>
      </c>
      <c r="B2950" s="1">
        <v>45925</v>
      </c>
      <c r="C2950">
        <v>1558</v>
      </c>
      <c r="D2950" t="s">
        <v>41</v>
      </c>
      <c r="E2950" t="s">
        <v>33</v>
      </c>
      <c r="F2950" t="s">
        <v>34</v>
      </c>
      <c r="G2950">
        <v>1</v>
      </c>
      <c r="H2950">
        <v>4759</v>
      </c>
      <c r="I2950" t="s">
        <v>35</v>
      </c>
      <c r="J2950" t="s">
        <v>19</v>
      </c>
      <c r="K2950" t="s">
        <v>38</v>
      </c>
      <c r="L2950">
        <v>7</v>
      </c>
      <c r="M2950">
        <v>1</v>
      </c>
      <c r="N2950">
        <v>1</v>
      </c>
      <c r="O2950" t="s">
        <v>27</v>
      </c>
      <c r="P2950" t="str">
        <f>TEXT(Table1[[#This Row],[order_date]],"yyyy-mm")</f>
        <v>2025-09</v>
      </c>
      <c r="Q2950">
        <f>WEEKNUM(Table1[[#This Row],[order_date]])</f>
        <v>39</v>
      </c>
      <c r="R2950">
        <f>IF(Table1[[#This Row],[order_status]]="completed",1,0)</f>
        <v>1</v>
      </c>
    </row>
    <row r="2951" spans="1:18" x14ac:dyDescent="0.35">
      <c r="A2951">
        <v>2950</v>
      </c>
      <c r="B2951" s="1">
        <v>45903</v>
      </c>
      <c r="C2951">
        <v>1897</v>
      </c>
      <c r="D2951" t="s">
        <v>41</v>
      </c>
      <c r="E2951" t="s">
        <v>16</v>
      </c>
      <c r="F2951" t="s">
        <v>30</v>
      </c>
      <c r="G2951">
        <v>2</v>
      </c>
      <c r="H2951">
        <v>9356</v>
      </c>
      <c r="I2951" t="s">
        <v>25</v>
      </c>
      <c r="J2951" t="s">
        <v>19</v>
      </c>
      <c r="K2951" t="s">
        <v>40</v>
      </c>
      <c r="L2951">
        <v>2</v>
      </c>
      <c r="M2951">
        <v>0</v>
      </c>
      <c r="N2951">
        <v>1</v>
      </c>
      <c r="O2951" t="s">
        <v>27</v>
      </c>
      <c r="P2951" t="str">
        <f>TEXT(Table1[[#This Row],[order_date]],"yyyy-mm")</f>
        <v>2025-09</v>
      </c>
      <c r="Q2951">
        <f>WEEKNUM(Table1[[#This Row],[order_date]])</f>
        <v>36</v>
      </c>
      <c r="R2951">
        <f>IF(Table1[[#This Row],[order_status]]="completed",1,0)</f>
        <v>1</v>
      </c>
    </row>
    <row r="2952" spans="1:18" x14ac:dyDescent="0.35">
      <c r="A2952">
        <v>2951</v>
      </c>
      <c r="B2952" s="1">
        <v>45956</v>
      </c>
      <c r="C2952">
        <v>1051</v>
      </c>
      <c r="D2952" t="s">
        <v>15</v>
      </c>
      <c r="E2952" t="s">
        <v>29</v>
      </c>
      <c r="F2952" t="s">
        <v>30</v>
      </c>
      <c r="G2952">
        <v>1</v>
      </c>
      <c r="H2952">
        <v>0</v>
      </c>
      <c r="I2952" t="s">
        <v>35</v>
      </c>
      <c r="J2952" t="s">
        <v>31</v>
      </c>
      <c r="K2952" t="s">
        <v>40</v>
      </c>
      <c r="L2952">
        <v>7</v>
      </c>
      <c r="M2952">
        <v>1</v>
      </c>
      <c r="N2952">
        <v>0</v>
      </c>
      <c r="O2952" t="s">
        <v>21</v>
      </c>
      <c r="P2952" t="str">
        <f>TEXT(Table1[[#This Row],[order_date]],"yyyy-mm")</f>
        <v>2025-10</v>
      </c>
      <c r="Q2952">
        <f>WEEKNUM(Table1[[#This Row],[order_date]])</f>
        <v>44</v>
      </c>
      <c r="R2952">
        <f>IF(Table1[[#This Row],[order_status]]="completed",1,0)</f>
        <v>0</v>
      </c>
    </row>
    <row r="2953" spans="1:18" x14ac:dyDescent="0.35">
      <c r="A2953">
        <v>2952</v>
      </c>
      <c r="B2953" s="1">
        <v>45861</v>
      </c>
      <c r="C2953">
        <v>1051</v>
      </c>
      <c r="D2953" t="s">
        <v>15</v>
      </c>
      <c r="E2953" t="s">
        <v>33</v>
      </c>
      <c r="F2953" t="s">
        <v>34</v>
      </c>
      <c r="G2953">
        <v>1</v>
      </c>
      <c r="H2953">
        <v>0</v>
      </c>
      <c r="I2953" t="s">
        <v>39</v>
      </c>
      <c r="J2953" t="s">
        <v>31</v>
      </c>
      <c r="K2953" t="s">
        <v>38</v>
      </c>
      <c r="L2953">
        <v>3</v>
      </c>
      <c r="M2953">
        <v>1</v>
      </c>
      <c r="N2953">
        <v>0</v>
      </c>
      <c r="O2953" t="s">
        <v>21</v>
      </c>
      <c r="P2953" t="str">
        <f>TEXT(Table1[[#This Row],[order_date]],"yyyy-mm")</f>
        <v>2025-07</v>
      </c>
      <c r="Q2953">
        <f>WEEKNUM(Table1[[#This Row],[order_date]])</f>
        <v>30</v>
      </c>
      <c r="R2953">
        <f>IF(Table1[[#This Row],[order_status]]="completed",1,0)</f>
        <v>0</v>
      </c>
    </row>
    <row r="2954" spans="1:18" x14ac:dyDescent="0.35">
      <c r="A2954">
        <v>2953</v>
      </c>
      <c r="B2954" s="1">
        <v>46031</v>
      </c>
      <c r="C2954">
        <v>1861</v>
      </c>
      <c r="D2954" t="s">
        <v>22</v>
      </c>
      <c r="E2954" t="s">
        <v>23</v>
      </c>
      <c r="F2954" t="s">
        <v>24</v>
      </c>
      <c r="G2954">
        <v>4</v>
      </c>
      <c r="H2954">
        <v>7436</v>
      </c>
      <c r="I2954" t="s">
        <v>25</v>
      </c>
      <c r="J2954" t="s">
        <v>19</v>
      </c>
      <c r="K2954" t="s">
        <v>20</v>
      </c>
      <c r="L2954">
        <v>2</v>
      </c>
      <c r="M2954">
        <v>1</v>
      </c>
      <c r="N2954">
        <v>1</v>
      </c>
      <c r="O2954" t="s">
        <v>21</v>
      </c>
      <c r="P2954" t="str">
        <f>TEXT(Table1[[#This Row],[order_date]],"yyyy-mm")</f>
        <v>2026-01</v>
      </c>
      <c r="Q2954">
        <f>WEEKNUM(Table1[[#This Row],[order_date]])</f>
        <v>2</v>
      </c>
      <c r="R2954">
        <f>IF(Table1[[#This Row],[order_status]]="completed",1,0)</f>
        <v>1</v>
      </c>
    </row>
    <row r="2955" spans="1:18" x14ac:dyDescent="0.35">
      <c r="A2955">
        <v>2954</v>
      </c>
      <c r="B2955" s="1">
        <v>45938</v>
      </c>
      <c r="C2955">
        <v>1093</v>
      </c>
      <c r="D2955" t="s">
        <v>32</v>
      </c>
      <c r="E2955" t="s">
        <v>36</v>
      </c>
      <c r="F2955" t="s">
        <v>34</v>
      </c>
      <c r="G2955">
        <v>3</v>
      </c>
      <c r="H2955">
        <v>2562</v>
      </c>
      <c r="I2955" t="s">
        <v>39</v>
      </c>
      <c r="J2955" t="s">
        <v>19</v>
      </c>
      <c r="K2955" t="s">
        <v>38</v>
      </c>
      <c r="L2955">
        <v>5</v>
      </c>
      <c r="M2955">
        <v>1</v>
      </c>
      <c r="N2955">
        <v>0</v>
      </c>
      <c r="O2955" t="s">
        <v>21</v>
      </c>
      <c r="P2955" t="str">
        <f>TEXT(Table1[[#This Row],[order_date]],"yyyy-mm")</f>
        <v>2025-10</v>
      </c>
      <c r="Q2955">
        <f>WEEKNUM(Table1[[#This Row],[order_date]])</f>
        <v>41</v>
      </c>
      <c r="R2955">
        <f>IF(Table1[[#This Row],[order_status]]="completed",1,0)</f>
        <v>1</v>
      </c>
    </row>
    <row r="2956" spans="1:18" x14ac:dyDescent="0.35">
      <c r="A2956">
        <v>2955</v>
      </c>
      <c r="B2956" s="1">
        <v>45941</v>
      </c>
      <c r="C2956">
        <v>1452</v>
      </c>
      <c r="D2956" t="s">
        <v>15</v>
      </c>
      <c r="E2956" t="s">
        <v>23</v>
      </c>
      <c r="F2956" t="s">
        <v>34</v>
      </c>
      <c r="G2956">
        <v>1</v>
      </c>
      <c r="H2956">
        <v>0</v>
      </c>
      <c r="I2956" t="s">
        <v>18</v>
      </c>
      <c r="J2956" t="s">
        <v>31</v>
      </c>
      <c r="K2956" t="s">
        <v>40</v>
      </c>
      <c r="L2956">
        <v>3</v>
      </c>
      <c r="M2956">
        <v>1</v>
      </c>
      <c r="N2956">
        <v>1</v>
      </c>
      <c r="O2956" t="s">
        <v>27</v>
      </c>
      <c r="P2956" t="str">
        <f>TEXT(Table1[[#This Row],[order_date]],"yyyy-mm")</f>
        <v>2025-10</v>
      </c>
      <c r="Q2956">
        <f>WEEKNUM(Table1[[#This Row],[order_date]])</f>
        <v>41</v>
      </c>
      <c r="R2956">
        <f>IF(Table1[[#This Row],[order_status]]="completed",1,0)</f>
        <v>0</v>
      </c>
    </row>
    <row r="2957" spans="1:18" x14ac:dyDescent="0.35">
      <c r="A2957">
        <v>2956</v>
      </c>
      <c r="B2957" s="1">
        <v>45898</v>
      </c>
      <c r="C2957">
        <v>1454</v>
      </c>
      <c r="D2957" t="s">
        <v>15</v>
      </c>
      <c r="E2957" t="s">
        <v>33</v>
      </c>
      <c r="F2957" t="s">
        <v>24</v>
      </c>
      <c r="G2957">
        <v>3</v>
      </c>
      <c r="H2957">
        <v>0</v>
      </c>
      <c r="I2957" t="s">
        <v>25</v>
      </c>
      <c r="J2957" t="s">
        <v>37</v>
      </c>
      <c r="K2957" t="s">
        <v>26</v>
      </c>
      <c r="L2957">
        <v>1</v>
      </c>
      <c r="M2957">
        <v>1</v>
      </c>
      <c r="N2957">
        <v>1</v>
      </c>
      <c r="O2957" t="s">
        <v>21</v>
      </c>
      <c r="P2957" t="str">
        <f>TEXT(Table1[[#This Row],[order_date]],"yyyy-mm")</f>
        <v>2025-08</v>
      </c>
      <c r="Q2957">
        <f>WEEKNUM(Table1[[#This Row],[order_date]])</f>
        <v>35</v>
      </c>
      <c r="R2957">
        <f>IF(Table1[[#This Row],[order_status]]="completed",1,0)</f>
        <v>0</v>
      </c>
    </row>
    <row r="2958" spans="1:18" x14ac:dyDescent="0.35">
      <c r="A2958">
        <v>2957</v>
      </c>
      <c r="B2958" s="1">
        <v>45947</v>
      </c>
      <c r="C2958">
        <v>1860</v>
      </c>
      <c r="D2958" t="s">
        <v>32</v>
      </c>
      <c r="E2958" t="s">
        <v>33</v>
      </c>
      <c r="F2958" t="s">
        <v>30</v>
      </c>
      <c r="G2958">
        <v>1</v>
      </c>
      <c r="H2958">
        <v>687</v>
      </c>
      <c r="I2958" t="s">
        <v>18</v>
      </c>
      <c r="J2958" t="s">
        <v>19</v>
      </c>
      <c r="K2958" t="s">
        <v>26</v>
      </c>
      <c r="L2958">
        <v>1</v>
      </c>
      <c r="M2958">
        <v>1</v>
      </c>
      <c r="N2958">
        <v>1</v>
      </c>
      <c r="O2958" t="s">
        <v>27</v>
      </c>
      <c r="P2958" t="str">
        <f>TEXT(Table1[[#This Row],[order_date]],"yyyy-mm")</f>
        <v>2025-10</v>
      </c>
      <c r="Q2958">
        <f>WEEKNUM(Table1[[#This Row],[order_date]])</f>
        <v>42</v>
      </c>
      <c r="R2958">
        <f>IF(Table1[[#This Row],[order_status]]="completed",1,0)</f>
        <v>1</v>
      </c>
    </row>
    <row r="2959" spans="1:18" x14ac:dyDescent="0.35">
      <c r="A2959">
        <v>2958</v>
      </c>
      <c r="B2959" s="1">
        <v>46001</v>
      </c>
      <c r="C2959">
        <v>1645</v>
      </c>
      <c r="D2959" t="s">
        <v>22</v>
      </c>
      <c r="E2959" t="s">
        <v>33</v>
      </c>
      <c r="F2959" t="s">
        <v>17</v>
      </c>
      <c r="G2959">
        <v>2</v>
      </c>
      <c r="H2959">
        <v>0</v>
      </c>
      <c r="I2959" t="s">
        <v>25</v>
      </c>
      <c r="J2959" t="s">
        <v>37</v>
      </c>
      <c r="K2959" t="s">
        <v>26</v>
      </c>
      <c r="L2959">
        <v>3</v>
      </c>
      <c r="M2959">
        <v>0</v>
      </c>
      <c r="N2959">
        <v>0</v>
      </c>
      <c r="O2959" t="s">
        <v>21</v>
      </c>
      <c r="P2959" t="str">
        <f>TEXT(Table1[[#This Row],[order_date]],"yyyy-mm")</f>
        <v>2025-12</v>
      </c>
      <c r="Q2959">
        <f>WEEKNUM(Table1[[#This Row],[order_date]])</f>
        <v>50</v>
      </c>
      <c r="R2959">
        <f>IF(Table1[[#This Row],[order_status]]="completed",1,0)</f>
        <v>0</v>
      </c>
    </row>
    <row r="2960" spans="1:18" x14ac:dyDescent="0.35">
      <c r="A2960">
        <v>2959</v>
      </c>
      <c r="B2960" s="1">
        <v>45884</v>
      </c>
      <c r="C2960">
        <v>1729</v>
      </c>
      <c r="D2960" t="s">
        <v>28</v>
      </c>
      <c r="E2960" t="s">
        <v>33</v>
      </c>
      <c r="F2960" t="s">
        <v>34</v>
      </c>
      <c r="G2960">
        <v>4</v>
      </c>
      <c r="H2960">
        <v>0</v>
      </c>
      <c r="I2960" t="s">
        <v>35</v>
      </c>
      <c r="J2960" t="s">
        <v>37</v>
      </c>
      <c r="K2960" t="s">
        <v>26</v>
      </c>
      <c r="L2960">
        <v>4</v>
      </c>
      <c r="M2960">
        <v>0</v>
      </c>
      <c r="N2960">
        <v>0</v>
      </c>
      <c r="O2960" t="s">
        <v>21</v>
      </c>
      <c r="P2960" t="str">
        <f>TEXT(Table1[[#This Row],[order_date]],"yyyy-mm")</f>
        <v>2025-08</v>
      </c>
      <c r="Q2960">
        <f>WEEKNUM(Table1[[#This Row],[order_date]])</f>
        <v>33</v>
      </c>
      <c r="R2960">
        <f>IF(Table1[[#This Row],[order_status]]="completed",1,0)</f>
        <v>0</v>
      </c>
    </row>
    <row r="2961" spans="1:18" x14ac:dyDescent="0.35">
      <c r="A2961">
        <v>2960</v>
      </c>
      <c r="B2961" s="1">
        <v>45906</v>
      </c>
      <c r="C2961">
        <v>1407</v>
      </c>
      <c r="D2961" t="s">
        <v>22</v>
      </c>
      <c r="E2961" t="s">
        <v>16</v>
      </c>
      <c r="F2961" t="s">
        <v>30</v>
      </c>
      <c r="G2961">
        <v>5</v>
      </c>
      <c r="H2961">
        <v>0</v>
      </c>
      <c r="I2961" t="s">
        <v>18</v>
      </c>
      <c r="J2961" t="s">
        <v>37</v>
      </c>
      <c r="K2961" t="s">
        <v>20</v>
      </c>
      <c r="L2961">
        <v>5</v>
      </c>
      <c r="M2961">
        <v>0</v>
      </c>
      <c r="N2961">
        <v>0</v>
      </c>
      <c r="O2961" t="s">
        <v>21</v>
      </c>
      <c r="P2961" t="str">
        <f>TEXT(Table1[[#This Row],[order_date]],"yyyy-mm")</f>
        <v>2025-09</v>
      </c>
      <c r="Q2961">
        <f>WEEKNUM(Table1[[#This Row],[order_date]])</f>
        <v>36</v>
      </c>
      <c r="R2961">
        <f>IF(Table1[[#This Row],[order_status]]="completed",1,0)</f>
        <v>0</v>
      </c>
    </row>
    <row r="2962" spans="1:18" x14ac:dyDescent="0.35">
      <c r="A2962">
        <v>2961</v>
      </c>
      <c r="B2962" s="1">
        <v>45867</v>
      </c>
      <c r="C2962">
        <v>1570</v>
      </c>
      <c r="D2962" t="s">
        <v>22</v>
      </c>
      <c r="E2962" t="s">
        <v>16</v>
      </c>
      <c r="F2962" t="s">
        <v>17</v>
      </c>
      <c r="G2962">
        <v>4</v>
      </c>
      <c r="H2962">
        <v>0</v>
      </c>
      <c r="I2962" t="s">
        <v>39</v>
      </c>
      <c r="J2962" t="s">
        <v>31</v>
      </c>
      <c r="K2962" t="s">
        <v>38</v>
      </c>
      <c r="L2962">
        <v>3</v>
      </c>
      <c r="M2962">
        <v>0</v>
      </c>
      <c r="N2962">
        <v>0</v>
      </c>
      <c r="O2962" t="s">
        <v>27</v>
      </c>
      <c r="P2962" t="str">
        <f>TEXT(Table1[[#This Row],[order_date]],"yyyy-mm")</f>
        <v>2025-07</v>
      </c>
      <c r="Q2962">
        <f>WEEKNUM(Table1[[#This Row],[order_date]])</f>
        <v>31</v>
      </c>
      <c r="R2962">
        <f>IF(Table1[[#This Row],[order_status]]="completed",1,0)</f>
        <v>0</v>
      </c>
    </row>
    <row r="2963" spans="1:18" x14ac:dyDescent="0.35">
      <c r="A2963">
        <v>2962</v>
      </c>
      <c r="B2963" s="1">
        <v>45867</v>
      </c>
      <c r="C2963">
        <v>1617</v>
      </c>
      <c r="D2963" t="s">
        <v>32</v>
      </c>
      <c r="E2963" t="s">
        <v>33</v>
      </c>
      <c r="F2963" t="s">
        <v>17</v>
      </c>
      <c r="G2963">
        <v>4</v>
      </c>
      <c r="H2963">
        <v>0</v>
      </c>
      <c r="I2963" t="s">
        <v>25</v>
      </c>
      <c r="J2963" t="s">
        <v>37</v>
      </c>
      <c r="K2963" t="s">
        <v>40</v>
      </c>
      <c r="L2963">
        <v>7</v>
      </c>
      <c r="M2963">
        <v>0</v>
      </c>
      <c r="N2963">
        <v>1</v>
      </c>
      <c r="O2963" t="s">
        <v>21</v>
      </c>
      <c r="P2963" t="str">
        <f>TEXT(Table1[[#This Row],[order_date]],"yyyy-mm")</f>
        <v>2025-07</v>
      </c>
      <c r="Q2963">
        <f>WEEKNUM(Table1[[#This Row],[order_date]])</f>
        <v>31</v>
      </c>
      <c r="R2963">
        <f>IF(Table1[[#This Row],[order_status]]="completed",1,0)</f>
        <v>0</v>
      </c>
    </row>
    <row r="2964" spans="1:18" x14ac:dyDescent="0.35">
      <c r="A2964">
        <v>2963</v>
      </c>
      <c r="B2964" s="1">
        <v>45905</v>
      </c>
      <c r="C2964">
        <v>1255</v>
      </c>
      <c r="D2964" t="s">
        <v>41</v>
      </c>
      <c r="E2964" t="s">
        <v>33</v>
      </c>
      <c r="F2964" t="s">
        <v>17</v>
      </c>
      <c r="G2964">
        <v>1</v>
      </c>
      <c r="H2964">
        <v>0</v>
      </c>
      <c r="I2964" t="s">
        <v>18</v>
      </c>
      <c r="J2964" t="s">
        <v>37</v>
      </c>
      <c r="K2964" t="s">
        <v>40</v>
      </c>
      <c r="L2964">
        <v>9</v>
      </c>
      <c r="M2964">
        <v>0</v>
      </c>
      <c r="N2964">
        <v>1</v>
      </c>
      <c r="O2964" t="s">
        <v>27</v>
      </c>
      <c r="P2964" t="str">
        <f>TEXT(Table1[[#This Row],[order_date]],"yyyy-mm")</f>
        <v>2025-09</v>
      </c>
      <c r="Q2964">
        <f>WEEKNUM(Table1[[#This Row],[order_date]])</f>
        <v>36</v>
      </c>
      <c r="R2964">
        <f>IF(Table1[[#This Row],[order_status]]="completed",1,0)</f>
        <v>0</v>
      </c>
    </row>
    <row r="2965" spans="1:18" x14ac:dyDescent="0.35">
      <c r="A2965">
        <v>2964</v>
      </c>
      <c r="B2965" s="1">
        <v>45918</v>
      </c>
      <c r="C2965">
        <v>1276</v>
      </c>
      <c r="D2965" t="s">
        <v>22</v>
      </c>
      <c r="E2965" t="s">
        <v>16</v>
      </c>
      <c r="F2965" t="s">
        <v>30</v>
      </c>
      <c r="G2965">
        <v>3</v>
      </c>
      <c r="H2965">
        <v>0</v>
      </c>
      <c r="I2965" t="s">
        <v>39</v>
      </c>
      <c r="J2965" t="s">
        <v>37</v>
      </c>
      <c r="K2965" t="s">
        <v>26</v>
      </c>
      <c r="L2965">
        <v>8</v>
      </c>
      <c r="M2965">
        <v>0</v>
      </c>
      <c r="N2965">
        <v>1</v>
      </c>
      <c r="O2965" t="s">
        <v>21</v>
      </c>
      <c r="P2965" t="str">
        <f>TEXT(Table1[[#This Row],[order_date]],"yyyy-mm")</f>
        <v>2025-09</v>
      </c>
      <c r="Q2965">
        <f>WEEKNUM(Table1[[#This Row],[order_date]])</f>
        <v>38</v>
      </c>
      <c r="R2965">
        <f>IF(Table1[[#This Row],[order_status]]="completed",1,0)</f>
        <v>0</v>
      </c>
    </row>
    <row r="2966" spans="1:18" x14ac:dyDescent="0.35">
      <c r="A2966">
        <v>2965</v>
      </c>
      <c r="B2966" s="1">
        <v>45998</v>
      </c>
      <c r="C2966">
        <v>1868</v>
      </c>
      <c r="D2966" t="s">
        <v>15</v>
      </c>
      <c r="E2966" t="s">
        <v>29</v>
      </c>
      <c r="F2966" t="s">
        <v>30</v>
      </c>
      <c r="G2966">
        <v>3</v>
      </c>
      <c r="H2966">
        <v>0</v>
      </c>
      <c r="I2966" t="s">
        <v>25</v>
      </c>
      <c r="J2966" t="s">
        <v>31</v>
      </c>
      <c r="K2966" t="s">
        <v>40</v>
      </c>
      <c r="L2966">
        <v>8</v>
      </c>
      <c r="M2966">
        <v>1</v>
      </c>
      <c r="N2966">
        <v>1</v>
      </c>
      <c r="O2966" t="s">
        <v>27</v>
      </c>
      <c r="P2966" t="str">
        <f>TEXT(Table1[[#This Row],[order_date]],"yyyy-mm")</f>
        <v>2025-12</v>
      </c>
      <c r="Q2966">
        <f>WEEKNUM(Table1[[#This Row],[order_date]])</f>
        <v>50</v>
      </c>
      <c r="R2966">
        <f>IF(Table1[[#This Row],[order_status]]="completed",1,0)</f>
        <v>0</v>
      </c>
    </row>
    <row r="2967" spans="1:18" x14ac:dyDescent="0.35">
      <c r="A2967">
        <v>2966</v>
      </c>
      <c r="B2967" s="1">
        <v>46006</v>
      </c>
      <c r="C2967">
        <v>1245</v>
      </c>
      <c r="D2967" t="s">
        <v>32</v>
      </c>
      <c r="E2967" t="s">
        <v>33</v>
      </c>
      <c r="F2967" t="s">
        <v>34</v>
      </c>
      <c r="G2967">
        <v>2</v>
      </c>
      <c r="H2967">
        <v>0</v>
      </c>
      <c r="I2967" t="s">
        <v>35</v>
      </c>
      <c r="J2967" t="s">
        <v>37</v>
      </c>
      <c r="K2967" t="s">
        <v>20</v>
      </c>
      <c r="L2967">
        <v>1</v>
      </c>
      <c r="M2967">
        <v>1</v>
      </c>
      <c r="N2967">
        <v>1</v>
      </c>
      <c r="O2967" t="s">
        <v>21</v>
      </c>
      <c r="P2967" t="str">
        <f>TEXT(Table1[[#This Row],[order_date]],"yyyy-mm")</f>
        <v>2025-12</v>
      </c>
      <c r="Q2967">
        <f>WEEKNUM(Table1[[#This Row],[order_date]])</f>
        <v>51</v>
      </c>
      <c r="R2967">
        <f>IF(Table1[[#This Row],[order_status]]="completed",1,0)</f>
        <v>0</v>
      </c>
    </row>
    <row r="2968" spans="1:18" x14ac:dyDescent="0.35">
      <c r="A2968">
        <v>2967</v>
      </c>
      <c r="B2968" s="1">
        <v>45900</v>
      </c>
      <c r="C2968">
        <v>1297</v>
      </c>
      <c r="D2968" t="s">
        <v>28</v>
      </c>
      <c r="E2968" t="s">
        <v>16</v>
      </c>
      <c r="F2968" t="s">
        <v>34</v>
      </c>
      <c r="G2968">
        <v>5</v>
      </c>
      <c r="H2968">
        <v>24940</v>
      </c>
      <c r="I2968" t="s">
        <v>39</v>
      </c>
      <c r="J2968" t="s">
        <v>19</v>
      </c>
      <c r="K2968" t="s">
        <v>20</v>
      </c>
      <c r="L2968">
        <v>6</v>
      </c>
      <c r="M2968">
        <v>1</v>
      </c>
      <c r="N2968">
        <v>0</v>
      </c>
      <c r="O2968" t="s">
        <v>21</v>
      </c>
      <c r="P2968" t="str">
        <f>TEXT(Table1[[#This Row],[order_date]],"yyyy-mm")</f>
        <v>2025-08</v>
      </c>
      <c r="Q2968">
        <f>WEEKNUM(Table1[[#This Row],[order_date]])</f>
        <v>36</v>
      </c>
      <c r="R2968">
        <f>IF(Table1[[#This Row],[order_status]]="completed",1,0)</f>
        <v>1</v>
      </c>
    </row>
    <row r="2969" spans="1:18" x14ac:dyDescent="0.35">
      <c r="A2969">
        <v>2968</v>
      </c>
      <c r="B2969" s="1">
        <v>45880</v>
      </c>
      <c r="C2969">
        <v>1460</v>
      </c>
      <c r="D2969" t="s">
        <v>41</v>
      </c>
      <c r="E2969" t="s">
        <v>33</v>
      </c>
      <c r="F2969" t="s">
        <v>24</v>
      </c>
      <c r="G2969">
        <v>5</v>
      </c>
      <c r="H2969">
        <v>0</v>
      </c>
      <c r="I2969" t="s">
        <v>39</v>
      </c>
      <c r="J2969" t="s">
        <v>31</v>
      </c>
      <c r="K2969" t="s">
        <v>40</v>
      </c>
      <c r="L2969">
        <v>3</v>
      </c>
      <c r="M2969">
        <v>0</v>
      </c>
      <c r="N2969">
        <v>1</v>
      </c>
      <c r="O2969" t="s">
        <v>27</v>
      </c>
      <c r="P2969" t="str">
        <f>TEXT(Table1[[#This Row],[order_date]],"yyyy-mm")</f>
        <v>2025-08</v>
      </c>
      <c r="Q2969">
        <f>WEEKNUM(Table1[[#This Row],[order_date]])</f>
        <v>33</v>
      </c>
      <c r="R2969">
        <f>IF(Table1[[#This Row],[order_status]]="completed",1,0)</f>
        <v>0</v>
      </c>
    </row>
    <row r="2970" spans="1:18" x14ac:dyDescent="0.35">
      <c r="A2970">
        <v>2969</v>
      </c>
      <c r="B2970" s="1">
        <v>45964</v>
      </c>
      <c r="C2970">
        <v>1772</v>
      </c>
      <c r="D2970" t="s">
        <v>22</v>
      </c>
      <c r="E2970" t="s">
        <v>16</v>
      </c>
      <c r="F2970" t="s">
        <v>30</v>
      </c>
      <c r="G2970">
        <v>4</v>
      </c>
      <c r="H2970">
        <v>5376</v>
      </c>
      <c r="I2970" t="s">
        <v>18</v>
      </c>
      <c r="J2970" t="s">
        <v>19</v>
      </c>
      <c r="K2970" t="s">
        <v>40</v>
      </c>
      <c r="L2970">
        <v>8</v>
      </c>
      <c r="M2970">
        <v>1</v>
      </c>
      <c r="N2970">
        <v>1</v>
      </c>
      <c r="O2970" t="s">
        <v>27</v>
      </c>
      <c r="P2970" t="str">
        <f>TEXT(Table1[[#This Row],[order_date]],"yyyy-mm")</f>
        <v>2025-11</v>
      </c>
      <c r="Q2970">
        <f>WEEKNUM(Table1[[#This Row],[order_date]])</f>
        <v>45</v>
      </c>
      <c r="R2970">
        <f>IF(Table1[[#This Row],[order_status]]="completed",1,0)</f>
        <v>1</v>
      </c>
    </row>
    <row r="2971" spans="1:18" x14ac:dyDescent="0.35">
      <c r="A2971">
        <v>2970</v>
      </c>
      <c r="B2971" s="1">
        <v>45855</v>
      </c>
      <c r="C2971">
        <v>1288</v>
      </c>
      <c r="D2971" t="s">
        <v>22</v>
      </c>
      <c r="E2971" t="s">
        <v>33</v>
      </c>
      <c r="F2971" t="s">
        <v>34</v>
      </c>
      <c r="G2971">
        <v>3</v>
      </c>
      <c r="H2971">
        <v>0</v>
      </c>
      <c r="I2971" t="s">
        <v>18</v>
      </c>
      <c r="J2971" t="s">
        <v>31</v>
      </c>
      <c r="K2971" t="s">
        <v>38</v>
      </c>
      <c r="L2971">
        <v>4</v>
      </c>
      <c r="M2971">
        <v>0</v>
      </c>
      <c r="N2971">
        <v>0</v>
      </c>
      <c r="O2971" t="s">
        <v>27</v>
      </c>
      <c r="P2971" t="str">
        <f>TEXT(Table1[[#This Row],[order_date]],"yyyy-mm")</f>
        <v>2025-07</v>
      </c>
      <c r="Q2971">
        <f>WEEKNUM(Table1[[#This Row],[order_date]])</f>
        <v>29</v>
      </c>
      <c r="R2971">
        <f>IF(Table1[[#This Row],[order_status]]="completed",1,0)</f>
        <v>0</v>
      </c>
    </row>
    <row r="2972" spans="1:18" x14ac:dyDescent="0.35">
      <c r="A2972">
        <v>2971</v>
      </c>
      <c r="B2972" s="1">
        <v>45866</v>
      </c>
      <c r="C2972">
        <v>1902</v>
      </c>
      <c r="D2972" t="s">
        <v>41</v>
      </c>
      <c r="E2972" t="s">
        <v>16</v>
      </c>
      <c r="F2972" t="s">
        <v>24</v>
      </c>
      <c r="G2972">
        <v>5</v>
      </c>
      <c r="H2972">
        <v>0</v>
      </c>
      <c r="I2972" t="s">
        <v>35</v>
      </c>
      <c r="J2972" t="s">
        <v>31</v>
      </c>
      <c r="K2972" t="s">
        <v>26</v>
      </c>
      <c r="L2972">
        <v>4</v>
      </c>
      <c r="M2972">
        <v>0</v>
      </c>
      <c r="N2972">
        <v>1</v>
      </c>
      <c r="O2972" t="s">
        <v>27</v>
      </c>
      <c r="P2972" t="str">
        <f>TEXT(Table1[[#This Row],[order_date]],"yyyy-mm")</f>
        <v>2025-07</v>
      </c>
      <c r="Q2972">
        <f>WEEKNUM(Table1[[#This Row],[order_date]])</f>
        <v>31</v>
      </c>
      <c r="R2972">
        <f>IF(Table1[[#This Row],[order_status]]="completed",1,0)</f>
        <v>0</v>
      </c>
    </row>
    <row r="2973" spans="1:18" x14ac:dyDescent="0.35">
      <c r="A2973">
        <v>2972</v>
      </c>
      <c r="B2973" s="1">
        <v>46004</v>
      </c>
      <c r="C2973">
        <v>1846</v>
      </c>
      <c r="D2973" t="s">
        <v>41</v>
      </c>
      <c r="E2973" t="s">
        <v>23</v>
      </c>
      <c r="F2973" t="s">
        <v>24</v>
      </c>
      <c r="G2973">
        <v>5</v>
      </c>
      <c r="H2973">
        <v>8795</v>
      </c>
      <c r="I2973" t="s">
        <v>35</v>
      </c>
      <c r="J2973" t="s">
        <v>19</v>
      </c>
      <c r="K2973" t="s">
        <v>40</v>
      </c>
      <c r="L2973">
        <v>7</v>
      </c>
      <c r="M2973">
        <v>0</v>
      </c>
      <c r="N2973">
        <v>0</v>
      </c>
      <c r="O2973" t="s">
        <v>27</v>
      </c>
      <c r="P2973" t="str">
        <f>TEXT(Table1[[#This Row],[order_date]],"yyyy-mm")</f>
        <v>2025-12</v>
      </c>
      <c r="Q2973">
        <f>WEEKNUM(Table1[[#This Row],[order_date]])</f>
        <v>50</v>
      </c>
      <c r="R2973">
        <f>IF(Table1[[#This Row],[order_status]]="completed",1,0)</f>
        <v>1</v>
      </c>
    </row>
    <row r="2974" spans="1:18" x14ac:dyDescent="0.35">
      <c r="A2974">
        <v>2973</v>
      </c>
      <c r="B2974" s="1">
        <v>45925</v>
      </c>
      <c r="C2974">
        <v>1942</v>
      </c>
      <c r="D2974" t="s">
        <v>22</v>
      </c>
      <c r="E2974" t="s">
        <v>36</v>
      </c>
      <c r="F2974" t="s">
        <v>17</v>
      </c>
      <c r="G2974">
        <v>5</v>
      </c>
      <c r="H2974">
        <v>0</v>
      </c>
      <c r="I2974" t="s">
        <v>39</v>
      </c>
      <c r="J2974" t="s">
        <v>37</v>
      </c>
      <c r="K2974" t="s">
        <v>20</v>
      </c>
      <c r="L2974">
        <v>4</v>
      </c>
      <c r="M2974">
        <v>1</v>
      </c>
      <c r="N2974">
        <v>0</v>
      </c>
      <c r="O2974" t="s">
        <v>21</v>
      </c>
      <c r="P2974" t="str">
        <f>TEXT(Table1[[#This Row],[order_date]],"yyyy-mm")</f>
        <v>2025-09</v>
      </c>
      <c r="Q2974">
        <f>WEEKNUM(Table1[[#This Row],[order_date]])</f>
        <v>39</v>
      </c>
      <c r="R2974">
        <f>IF(Table1[[#This Row],[order_status]]="completed",1,0)</f>
        <v>0</v>
      </c>
    </row>
    <row r="2975" spans="1:18" x14ac:dyDescent="0.35">
      <c r="A2975">
        <v>2974</v>
      </c>
      <c r="B2975" s="1">
        <v>45940</v>
      </c>
      <c r="C2975">
        <v>1763</v>
      </c>
      <c r="D2975" t="s">
        <v>15</v>
      </c>
      <c r="E2975" t="s">
        <v>33</v>
      </c>
      <c r="F2975" t="s">
        <v>30</v>
      </c>
      <c r="G2975">
        <v>4</v>
      </c>
      <c r="H2975">
        <v>0</v>
      </c>
      <c r="I2975" t="s">
        <v>18</v>
      </c>
      <c r="J2975" t="s">
        <v>37</v>
      </c>
      <c r="K2975" t="s">
        <v>40</v>
      </c>
      <c r="L2975">
        <v>9</v>
      </c>
      <c r="M2975">
        <v>0</v>
      </c>
      <c r="N2975">
        <v>1</v>
      </c>
      <c r="O2975" t="s">
        <v>27</v>
      </c>
      <c r="P2975" t="str">
        <f>TEXT(Table1[[#This Row],[order_date]],"yyyy-mm")</f>
        <v>2025-10</v>
      </c>
      <c r="Q2975">
        <f>WEEKNUM(Table1[[#This Row],[order_date]])</f>
        <v>41</v>
      </c>
      <c r="R2975">
        <f>IF(Table1[[#This Row],[order_status]]="completed",1,0)</f>
        <v>0</v>
      </c>
    </row>
    <row r="2976" spans="1:18" x14ac:dyDescent="0.35">
      <c r="A2976">
        <v>2975</v>
      </c>
      <c r="B2976" s="1">
        <v>46021</v>
      </c>
      <c r="C2976">
        <v>1083</v>
      </c>
      <c r="D2976" t="s">
        <v>41</v>
      </c>
      <c r="E2976" t="s">
        <v>16</v>
      </c>
      <c r="F2976" t="s">
        <v>24</v>
      </c>
      <c r="G2976">
        <v>2</v>
      </c>
      <c r="H2976">
        <v>3204</v>
      </c>
      <c r="I2976" t="s">
        <v>25</v>
      </c>
      <c r="J2976" t="s">
        <v>19</v>
      </c>
      <c r="K2976" t="s">
        <v>38</v>
      </c>
      <c r="L2976">
        <v>8</v>
      </c>
      <c r="M2976">
        <v>1</v>
      </c>
      <c r="N2976">
        <v>1</v>
      </c>
      <c r="O2976" t="s">
        <v>21</v>
      </c>
      <c r="P2976" t="str">
        <f>TEXT(Table1[[#This Row],[order_date]],"yyyy-mm")</f>
        <v>2025-12</v>
      </c>
      <c r="Q2976">
        <f>WEEKNUM(Table1[[#This Row],[order_date]])</f>
        <v>53</v>
      </c>
      <c r="R2976">
        <f>IF(Table1[[#This Row],[order_status]]="completed",1,0)</f>
        <v>1</v>
      </c>
    </row>
    <row r="2977" spans="1:18" x14ac:dyDescent="0.35">
      <c r="A2977">
        <v>2976</v>
      </c>
      <c r="B2977" s="1">
        <v>46010</v>
      </c>
      <c r="C2977">
        <v>1395</v>
      </c>
      <c r="D2977" t="s">
        <v>41</v>
      </c>
      <c r="E2977" t="s">
        <v>33</v>
      </c>
      <c r="F2977" t="s">
        <v>24</v>
      </c>
      <c r="G2977">
        <v>2</v>
      </c>
      <c r="H2977">
        <v>0</v>
      </c>
      <c r="I2977" t="s">
        <v>35</v>
      </c>
      <c r="J2977" t="s">
        <v>37</v>
      </c>
      <c r="K2977" t="s">
        <v>40</v>
      </c>
      <c r="L2977">
        <v>2</v>
      </c>
      <c r="M2977">
        <v>1</v>
      </c>
      <c r="N2977">
        <v>1</v>
      </c>
      <c r="O2977" t="s">
        <v>21</v>
      </c>
      <c r="P2977" t="str">
        <f>TEXT(Table1[[#This Row],[order_date]],"yyyy-mm")</f>
        <v>2025-12</v>
      </c>
      <c r="Q2977">
        <f>WEEKNUM(Table1[[#This Row],[order_date]])</f>
        <v>51</v>
      </c>
      <c r="R2977">
        <f>IF(Table1[[#This Row],[order_status]]="completed",1,0)</f>
        <v>0</v>
      </c>
    </row>
    <row r="2978" spans="1:18" x14ac:dyDescent="0.35">
      <c r="A2978">
        <v>2977</v>
      </c>
      <c r="B2978" s="1">
        <v>45986</v>
      </c>
      <c r="C2978">
        <v>1578</v>
      </c>
      <c r="D2978" t="s">
        <v>41</v>
      </c>
      <c r="E2978" t="s">
        <v>16</v>
      </c>
      <c r="F2978" t="s">
        <v>24</v>
      </c>
      <c r="G2978">
        <v>5</v>
      </c>
      <c r="H2978">
        <v>16990</v>
      </c>
      <c r="I2978" t="s">
        <v>25</v>
      </c>
      <c r="J2978" t="s">
        <v>19</v>
      </c>
      <c r="K2978" t="s">
        <v>26</v>
      </c>
      <c r="L2978">
        <v>4</v>
      </c>
      <c r="M2978">
        <v>1</v>
      </c>
      <c r="N2978">
        <v>1</v>
      </c>
      <c r="O2978" t="s">
        <v>27</v>
      </c>
      <c r="P2978" t="str">
        <f>TEXT(Table1[[#This Row],[order_date]],"yyyy-mm")</f>
        <v>2025-11</v>
      </c>
      <c r="Q2978">
        <f>WEEKNUM(Table1[[#This Row],[order_date]])</f>
        <v>48</v>
      </c>
      <c r="R2978">
        <f>IF(Table1[[#This Row],[order_status]]="completed",1,0)</f>
        <v>1</v>
      </c>
    </row>
    <row r="2979" spans="1:18" x14ac:dyDescent="0.35">
      <c r="A2979">
        <v>2978</v>
      </c>
      <c r="B2979" s="1">
        <v>45944</v>
      </c>
      <c r="C2979">
        <v>1341</v>
      </c>
      <c r="D2979" t="s">
        <v>32</v>
      </c>
      <c r="E2979" t="s">
        <v>23</v>
      </c>
      <c r="F2979" t="s">
        <v>34</v>
      </c>
      <c r="G2979">
        <v>3</v>
      </c>
      <c r="H2979">
        <v>663</v>
      </c>
      <c r="I2979" t="s">
        <v>39</v>
      </c>
      <c r="J2979" t="s">
        <v>19</v>
      </c>
      <c r="K2979" t="s">
        <v>26</v>
      </c>
      <c r="L2979">
        <v>9</v>
      </c>
      <c r="M2979">
        <v>0</v>
      </c>
      <c r="N2979">
        <v>0</v>
      </c>
      <c r="O2979" t="s">
        <v>21</v>
      </c>
      <c r="P2979" t="str">
        <f>TEXT(Table1[[#This Row],[order_date]],"yyyy-mm")</f>
        <v>2025-10</v>
      </c>
      <c r="Q2979">
        <f>WEEKNUM(Table1[[#This Row],[order_date]])</f>
        <v>42</v>
      </c>
      <c r="R2979">
        <f>IF(Table1[[#This Row],[order_status]]="completed",1,0)</f>
        <v>1</v>
      </c>
    </row>
    <row r="2980" spans="1:18" x14ac:dyDescent="0.35">
      <c r="A2980">
        <v>2979</v>
      </c>
      <c r="B2980" s="1">
        <v>45907</v>
      </c>
      <c r="C2980">
        <v>1654</v>
      </c>
      <c r="D2980" t="s">
        <v>15</v>
      </c>
      <c r="E2980" t="s">
        <v>33</v>
      </c>
      <c r="F2980" t="s">
        <v>34</v>
      </c>
      <c r="G2980">
        <v>3</v>
      </c>
      <c r="H2980">
        <v>6672</v>
      </c>
      <c r="I2980" t="s">
        <v>35</v>
      </c>
      <c r="J2980" t="s">
        <v>19</v>
      </c>
      <c r="K2980" t="s">
        <v>26</v>
      </c>
      <c r="L2980">
        <v>1</v>
      </c>
      <c r="M2980">
        <v>0</v>
      </c>
      <c r="N2980">
        <v>1</v>
      </c>
      <c r="O2980" t="s">
        <v>21</v>
      </c>
      <c r="P2980" t="str">
        <f>TEXT(Table1[[#This Row],[order_date]],"yyyy-mm")</f>
        <v>2025-09</v>
      </c>
      <c r="Q2980">
        <f>WEEKNUM(Table1[[#This Row],[order_date]])</f>
        <v>37</v>
      </c>
      <c r="R2980">
        <f>IF(Table1[[#This Row],[order_status]]="completed",1,0)</f>
        <v>1</v>
      </c>
    </row>
    <row r="2981" spans="1:18" x14ac:dyDescent="0.35">
      <c r="A2981">
        <v>2980</v>
      </c>
      <c r="B2981" s="1">
        <v>46006</v>
      </c>
      <c r="C2981">
        <v>1209</v>
      </c>
      <c r="D2981" t="s">
        <v>28</v>
      </c>
      <c r="E2981" t="s">
        <v>16</v>
      </c>
      <c r="F2981" t="s">
        <v>24</v>
      </c>
      <c r="G2981">
        <v>5</v>
      </c>
      <c r="H2981">
        <v>2730</v>
      </c>
      <c r="I2981" t="s">
        <v>35</v>
      </c>
      <c r="J2981" t="s">
        <v>19</v>
      </c>
      <c r="K2981" t="s">
        <v>38</v>
      </c>
      <c r="L2981">
        <v>4</v>
      </c>
      <c r="M2981">
        <v>0</v>
      </c>
      <c r="N2981">
        <v>1</v>
      </c>
      <c r="O2981" t="s">
        <v>21</v>
      </c>
      <c r="P2981" t="str">
        <f>TEXT(Table1[[#This Row],[order_date]],"yyyy-mm")</f>
        <v>2025-12</v>
      </c>
      <c r="Q2981">
        <f>WEEKNUM(Table1[[#This Row],[order_date]])</f>
        <v>51</v>
      </c>
      <c r="R2981">
        <f>IF(Table1[[#This Row],[order_status]]="completed",1,0)</f>
        <v>1</v>
      </c>
    </row>
    <row r="2982" spans="1:18" x14ac:dyDescent="0.35">
      <c r="A2982">
        <v>2981</v>
      </c>
      <c r="B2982" s="1">
        <v>45911</v>
      </c>
      <c r="C2982">
        <v>1076</v>
      </c>
      <c r="D2982" t="s">
        <v>22</v>
      </c>
      <c r="E2982" t="s">
        <v>36</v>
      </c>
      <c r="F2982" t="s">
        <v>34</v>
      </c>
      <c r="G2982">
        <v>4</v>
      </c>
      <c r="H2982">
        <v>10500</v>
      </c>
      <c r="I2982" t="s">
        <v>39</v>
      </c>
      <c r="J2982" t="s">
        <v>19</v>
      </c>
      <c r="K2982" t="s">
        <v>38</v>
      </c>
      <c r="L2982">
        <v>1</v>
      </c>
      <c r="M2982">
        <v>1</v>
      </c>
      <c r="N2982">
        <v>1</v>
      </c>
      <c r="O2982" t="s">
        <v>21</v>
      </c>
      <c r="P2982" t="str">
        <f>TEXT(Table1[[#This Row],[order_date]],"yyyy-mm")</f>
        <v>2025-09</v>
      </c>
      <c r="Q2982">
        <f>WEEKNUM(Table1[[#This Row],[order_date]])</f>
        <v>37</v>
      </c>
      <c r="R2982">
        <f>IF(Table1[[#This Row],[order_status]]="completed",1,0)</f>
        <v>1</v>
      </c>
    </row>
    <row r="2983" spans="1:18" x14ac:dyDescent="0.35">
      <c r="A2983">
        <v>2982</v>
      </c>
      <c r="B2983" s="1">
        <v>45944</v>
      </c>
      <c r="C2983">
        <v>1158</v>
      </c>
      <c r="D2983" t="s">
        <v>15</v>
      </c>
      <c r="E2983" t="s">
        <v>16</v>
      </c>
      <c r="F2983" t="s">
        <v>24</v>
      </c>
      <c r="G2983">
        <v>3</v>
      </c>
      <c r="H2983">
        <v>0</v>
      </c>
      <c r="I2983" t="s">
        <v>18</v>
      </c>
      <c r="J2983" t="s">
        <v>31</v>
      </c>
      <c r="K2983" t="s">
        <v>20</v>
      </c>
      <c r="L2983">
        <v>3</v>
      </c>
      <c r="M2983">
        <v>0</v>
      </c>
      <c r="N2983">
        <v>1</v>
      </c>
      <c r="O2983" t="s">
        <v>21</v>
      </c>
      <c r="P2983" t="str">
        <f>TEXT(Table1[[#This Row],[order_date]],"yyyy-mm")</f>
        <v>2025-10</v>
      </c>
      <c r="Q2983">
        <f>WEEKNUM(Table1[[#This Row],[order_date]])</f>
        <v>42</v>
      </c>
      <c r="R2983">
        <f>IF(Table1[[#This Row],[order_status]]="completed",1,0)</f>
        <v>0</v>
      </c>
    </row>
    <row r="2984" spans="1:18" x14ac:dyDescent="0.35">
      <c r="A2984">
        <v>2983</v>
      </c>
      <c r="B2984" s="1">
        <v>45993</v>
      </c>
      <c r="C2984">
        <v>1220</v>
      </c>
      <c r="D2984" t="s">
        <v>22</v>
      </c>
      <c r="E2984" t="s">
        <v>29</v>
      </c>
      <c r="F2984" t="s">
        <v>24</v>
      </c>
      <c r="G2984">
        <v>4</v>
      </c>
      <c r="H2984">
        <v>0</v>
      </c>
      <c r="I2984" t="s">
        <v>18</v>
      </c>
      <c r="J2984" t="s">
        <v>31</v>
      </c>
      <c r="K2984" t="s">
        <v>20</v>
      </c>
      <c r="L2984">
        <v>1</v>
      </c>
      <c r="M2984">
        <v>0</v>
      </c>
      <c r="N2984">
        <v>0</v>
      </c>
      <c r="O2984" t="s">
        <v>27</v>
      </c>
      <c r="P2984" t="str">
        <f>TEXT(Table1[[#This Row],[order_date]],"yyyy-mm")</f>
        <v>2025-12</v>
      </c>
      <c r="Q2984">
        <f>WEEKNUM(Table1[[#This Row],[order_date]])</f>
        <v>49</v>
      </c>
      <c r="R2984">
        <f>IF(Table1[[#This Row],[order_status]]="completed",1,0)</f>
        <v>0</v>
      </c>
    </row>
    <row r="2985" spans="1:18" x14ac:dyDescent="0.35">
      <c r="A2985">
        <v>2984</v>
      </c>
      <c r="B2985" s="1">
        <v>46027</v>
      </c>
      <c r="C2985">
        <v>1820</v>
      </c>
      <c r="D2985" t="s">
        <v>32</v>
      </c>
      <c r="E2985" t="s">
        <v>36</v>
      </c>
      <c r="F2985" t="s">
        <v>30</v>
      </c>
      <c r="G2985">
        <v>3</v>
      </c>
      <c r="H2985">
        <v>0</v>
      </c>
      <c r="I2985" t="s">
        <v>39</v>
      </c>
      <c r="J2985" t="s">
        <v>31</v>
      </c>
      <c r="K2985" t="s">
        <v>20</v>
      </c>
      <c r="L2985">
        <v>9</v>
      </c>
      <c r="M2985">
        <v>0</v>
      </c>
      <c r="N2985">
        <v>1</v>
      </c>
      <c r="O2985" t="s">
        <v>27</v>
      </c>
      <c r="P2985" t="str">
        <f>TEXT(Table1[[#This Row],[order_date]],"yyyy-mm")</f>
        <v>2026-01</v>
      </c>
      <c r="Q2985">
        <f>WEEKNUM(Table1[[#This Row],[order_date]])</f>
        <v>2</v>
      </c>
      <c r="R2985">
        <f>IF(Table1[[#This Row],[order_status]]="completed",1,0)</f>
        <v>0</v>
      </c>
    </row>
    <row r="2986" spans="1:18" x14ac:dyDescent="0.35">
      <c r="A2986">
        <v>2985</v>
      </c>
      <c r="B2986" s="1">
        <v>46015</v>
      </c>
      <c r="C2986">
        <v>1988</v>
      </c>
      <c r="D2986" t="s">
        <v>41</v>
      </c>
      <c r="E2986" t="s">
        <v>36</v>
      </c>
      <c r="F2986" t="s">
        <v>24</v>
      </c>
      <c r="G2986">
        <v>2</v>
      </c>
      <c r="H2986">
        <v>0</v>
      </c>
      <c r="I2986" t="s">
        <v>18</v>
      </c>
      <c r="J2986" t="s">
        <v>37</v>
      </c>
      <c r="K2986" t="s">
        <v>20</v>
      </c>
      <c r="L2986">
        <v>7</v>
      </c>
      <c r="M2986">
        <v>1</v>
      </c>
      <c r="N2986">
        <v>0</v>
      </c>
      <c r="O2986" t="s">
        <v>27</v>
      </c>
      <c r="P2986" t="str">
        <f>TEXT(Table1[[#This Row],[order_date]],"yyyy-mm")</f>
        <v>2025-12</v>
      </c>
      <c r="Q2986">
        <f>WEEKNUM(Table1[[#This Row],[order_date]])</f>
        <v>52</v>
      </c>
      <c r="R2986">
        <f>IF(Table1[[#This Row],[order_status]]="completed",1,0)</f>
        <v>0</v>
      </c>
    </row>
    <row r="2987" spans="1:18" x14ac:dyDescent="0.35">
      <c r="A2987">
        <v>2986</v>
      </c>
      <c r="B2987" s="1">
        <v>45934</v>
      </c>
      <c r="C2987">
        <v>1097</v>
      </c>
      <c r="D2987" t="s">
        <v>22</v>
      </c>
      <c r="E2987" t="s">
        <v>23</v>
      </c>
      <c r="F2987" t="s">
        <v>30</v>
      </c>
      <c r="G2987">
        <v>5</v>
      </c>
      <c r="H2987">
        <v>8220</v>
      </c>
      <c r="I2987" t="s">
        <v>39</v>
      </c>
      <c r="J2987" t="s">
        <v>19</v>
      </c>
      <c r="K2987" t="s">
        <v>26</v>
      </c>
      <c r="L2987">
        <v>7</v>
      </c>
      <c r="M2987">
        <v>0</v>
      </c>
      <c r="N2987">
        <v>0</v>
      </c>
      <c r="O2987" t="s">
        <v>27</v>
      </c>
      <c r="P2987" t="str">
        <f>TEXT(Table1[[#This Row],[order_date]],"yyyy-mm")</f>
        <v>2025-10</v>
      </c>
      <c r="Q2987">
        <f>WEEKNUM(Table1[[#This Row],[order_date]])</f>
        <v>40</v>
      </c>
      <c r="R2987">
        <f>IF(Table1[[#This Row],[order_status]]="completed",1,0)</f>
        <v>1</v>
      </c>
    </row>
    <row r="2988" spans="1:18" x14ac:dyDescent="0.35">
      <c r="A2988">
        <v>2987</v>
      </c>
      <c r="B2988" s="1">
        <v>45923</v>
      </c>
      <c r="C2988">
        <v>1372</v>
      </c>
      <c r="D2988" t="s">
        <v>41</v>
      </c>
      <c r="E2988" t="s">
        <v>33</v>
      </c>
      <c r="F2988" t="s">
        <v>34</v>
      </c>
      <c r="G2988">
        <v>5</v>
      </c>
      <c r="H2988">
        <v>11230</v>
      </c>
      <c r="I2988" t="s">
        <v>25</v>
      </c>
      <c r="J2988" t="s">
        <v>19</v>
      </c>
      <c r="K2988" t="s">
        <v>20</v>
      </c>
      <c r="L2988">
        <v>5</v>
      </c>
      <c r="M2988">
        <v>1</v>
      </c>
      <c r="N2988">
        <v>1</v>
      </c>
      <c r="O2988" t="s">
        <v>27</v>
      </c>
      <c r="P2988" t="str">
        <f>TEXT(Table1[[#This Row],[order_date]],"yyyy-mm")</f>
        <v>2025-09</v>
      </c>
      <c r="Q2988">
        <f>WEEKNUM(Table1[[#This Row],[order_date]])</f>
        <v>39</v>
      </c>
      <c r="R2988">
        <f>IF(Table1[[#This Row],[order_status]]="completed",1,0)</f>
        <v>1</v>
      </c>
    </row>
    <row r="2989" spans="1:18" x14ac:dyDescent="0.35">
      <c r="A2989">
        <v>2988</v>
      </c>
      <c r="B2989" s="1">
        <v>45926</v>
      </c>
      <c r="C2989">
        <v>1834</v>
      </c>
      <c r="D2989" t="s">
        <v>41</v>
      </c>
      <c r="E2989" t="s">
        <v>33</v>
      </c>
      <c r="F2989" t="s">
        <v>17</v>
      </c>
      <c r="G2989">
        <v>5</v>
      </c>
      <c r="H2989">
        <v>0</v>
      </c>
      <c r="I2989" t="s">
        <v>39</v>
      </c>
      <c r="J2989" t="s">
        <v>31</v>
      </c>
      <c r="K2989" t="s">
        <v>38</v>
      </c>
      <c r="L2989">
        <v>9</v>
      </c>
      <c r="M2989">
        <v>1</v>
      </c>
      <c r="N2989">
        <v>0</v>
      </c>
      <c r="O2989" t="s">
        <v>21</v>
      </c>
      <c r="P2989" t="str">
        <f>TEXT(Table1[[#This Row],[order_date]],"yyyy-mm")</f>
        <v>2025-09</v>
      </c>
      <c r="Q2989">
        <f>WEEKNUM(Table1[[#This Row],[order_date]])</f>
        <v>39</v>
      </c>
      <c r="R2989">
        <f>IF(Table1[[#This Row],[order_status]]="completed",1,0)</f>
        <v>0</v>
      </c>
    </row>
    <row r="2990" spans="1:18" x14ac:dyDescent="0.35">
      <c r="A2990">
        <v>2989</v>
      </c>
      <c r="B2990" s="1">
        <v>45885</v>
      </c>
      <c r="C2990">
        <v>1595</v>
      </c>
      <c r="D2990" t="s">
        <v>32</v>
      </c>
      <c r="E2990" t="s">
        <v>36</v>
      </c>
      <c r="F2990" t="s">
        <v>34</v>
      </c>
      <c r="G2990">
        <v>4</v>
      </c>
      <c r="H2990">
        <v>9364</v>
      </c>
      <c r="I2990" t="s">
        <v>25</v>
      </c>
      <c r="J2990" t="s">
        <v>19</v>
      </c>
      <c r="K2990" t="s">
        <v>26</v>
      </c>
      <c r="L2990">
        <v>6</v>
      </c>
      <c r="M2990">
        <v>1</v>
      </c>
      <c r="N2990">
        <v>1</v>
      </c>
      <c r="O2990" t="s">
        <v>27</v>
      </c>
      <c r="P2990" t="str">
        <f>TEXT(Table1[[#This Row],[order_date]],"yyyy-mm")</f>
        <v>2025-08</v>
      </c>
      <c r="Q2990">
        <f>WEEKNUM(Table1[[#This Row],[order_date]])</f>
        <v>33</v>
      </c>
      <c r="R2990">
        <f>IF(Table1[[#This Row],[order_status]]="completed",1,0)</f>
        <v>1</v>
      </c>
    </row>
    <row r="2991" spans="1:18" x14ac:dyDescent="0.35">
      <c r="A2991">
        <v>2990</v>
      </c>
      <c r="B2991" s="1">
        <v>45948</v>
      </c>
      <c r="C2991">
        <v>1064</v>
      </c>
      <c r="D2991" t="s">
        <v>32</v>
      </c>
      <c r="E2991" t="s">
        <v>23</v>
      </c>
      <c r="F2991" t="s">
        <v>34</v>
      </c>
      <c r="G2991">
        <v>4</v>
      </c>
      <c r="H2991">
        <v>0</v>
      </c>
      <c r="I2991" t="s">
        <v>18</v>
      </c>
      <c r="J2991" t="s">
        <v>37</v>
      </c>
      <c r="K2991" t="s">
        <v>38</v>
      </c>
      <c r="L2991">
        <v>3</v>
      </c>
      <c r="M2991">
        <v>1</v>
      </c>
      <c r="N2991">
        <v>0</v>
      </c>
      <c r="O2991" t="s">
        <v>21</v>
      </c>
      <c r="P2991" t="str">
        <f>TEXT(Table1[[#This Row],[order_date]],"yyyy-mm")</f>
        <v>2025-10</v>
      </c>
      <c r="Q2991">
        <f>WEEKNUM(Table1[[#This Row],[order_date]])</f>
        <v>42</v>
      </c>
      <c r="R2991">
        <f>IF(Table1[[#This Row],[order_status]]="completed",1,0)</f>
        <v>0</v>
      </c>
    </row>
    <row r="2992" spans="1:18" x14ac:dyDescent="0.35">
      <c r="A2992">
        <v>2991</v>
      </c>
      <c r="B2992" s="1">
        <v>45923</v>
      </c>
      <c r="C2992">
        <v>1812</v>
      </c>
      <c r="D2992" t="s">
        <v>22</v>
      </c>
      <c r="E2992" t="s">
        <v>36</v>
      </c>
      <c r="F2992" t="s">
        <v>30</v>
      </c>
      <c r="G2992">
        <v>2</v>
      </c>
      <c r="H2992">
        <v>0</v>
      </c>
      <c r="I2992" t="s">
        <v>25</v>
      </c>
      <c r="J2992" t="s">
        <v>37</v>
      </c>
      <c r="K2992" t="s">
        <v>38</v>
      </c>
      <c r="L2992">
        <v>6</v>
      </c>
      <c r="M2992">
        <v>1</v>
      </c>
      <c r="N2992">
        <v>1</v>
      </c>
      <c r="O2992" t="s">
        <v>27</v>
      </c>
      <c r="P2992" t="str">
        <f>TEXT(Table1[[#This Row],[order_date]],"yyyy-mm")</f>
        <v>2025-09</v>
      </c>
      <c r="Q2992">
        <f>WEEKNUM(Table1[[#This Row],[order_date]])</f>
        <v>39</v>
      </c>
      <c r="R2992">
        <f>IF(Table1[[#This Row],[order_status]]="completed",1,0)</f>
        <v>0</v>
      </c>
    </row>
    <row r="2993" spans="1:18" x14ac:dyDescent="0.35">
      <c r="A2993">
        <v>2992</v>
      </c>
      <c r="B2993" s="1">
        <v>45963</v>
      </c>
      <c r="C2993">
        <v>1122</v>
      </c>
      <c r="D2993" t="s">
        <v>22</v>
      </c>
      <c r="E2993" t="s">
        <v>23</v>
      </c>
      <c r="F2993" t="s">
        <v>30</v>
      </c>
      <c r="G2993">
        <v>5</v>
      </c>
      <c r="H2993">
        <v>0</v>
      </c>
      <c r="I2993" t="s">
        <v>25</v>
      </c>
      <c r="J2993" t="s">
        <v>31</v>
      </c>
      <c r="K2993" t="s">
        <v>26</v>
      </c>
      <c r="L2993">
        <v>4</v>
      </c>
      <c r="M2993">
        <v>0</v>
      </c>
      <c r="N2993">
        <v>0</v>
      </c>
      <c r="O2993" t="s">
        <v>27</v>
      </c>
      <c r="P2993" t="str">
        <f>TEXT(Table1[[#This Row],[order_date]],"yyyy-mm")</f>
        <v>2025-11</v>
      </c>
      <c r="Q2993">
        <f>WEEKNUM(Table1[[#This Row],[order_date]])</f>
        <v>45</v>
      </c>
      <c r="R2993">
        <f>IF(Table1[[#This Row],[order_status]]="completed",1,0)</f>
        <v>0</v>
      </c>
    </row>
    <row r="2994" spans="1:18" x14ac:dyDescent="0.35">
      <c r="A2994">
        <v>2993</v>
      </c>
      <c r="B2994" s="1">
        <v>45987</v>
      </c>
      <c r="C2994">
        <v>1185</v>
      </c>
      <c r="D2994" t="s">
        <v>22</v>
      </c>
      <c r="E2994" t="s">
        <v>23</v>
      </c>
      <c r="F2994" t="s">
        <v>30</v>
      </c>
      <c r="G2994">
        <v>3</v>
      </c>
      <c r="H2994">
        <v>2925</v>
      </c>
      <c r="I2994" t="s">
        <v>25</v>
      </c>
      <c r="J2994" t="s">
        <v>19</v>
      </c>
      <c r="K2994" t="s">
        <v>40</v>
      </c>
      <c r="L2994">
        <v>9</v>
      </c>
      <c r="M2994">
        <v>1</v>
      </c>
      <c r="N2994">
        <v>0</v>
      </c>
      <c r="O2994" t="s">
        <v>27</v>
      </c>
      <c r="P2994" t="str">
        <f>TEXT(Table1[[#This Row],[order_date]],"yyyy-mm")</f>
        <v>2025-11</v>
      </c>
      <c r="Q2994">
        <f>WEEKNUM(Table1[[#This Row],[order_date]])</f>
        <v>48</v>
      </c>
      <c r="R2994">
        <f>IF(Table1[[#This Row],[order_status]]="completed",1,0)</f>
        <v>1</v>
      </c>
    </row>
    <row r="2995" spans="1:18" x14ac:dyDescent="0.35">
      <c r="A2995">
        <v>2994</v>
      </c>
      <c r="B2995" s="1">
        <v>45881</v>
      </c>
      <c r="C2995">
        <v>1556</v>
      </c>
      <c r="D2995" t="s">
        <v>41</v>
      </c>
      <c r="E2995" t="s">
        <v>33</v>
      </c>
      <c r="F2995" t="s">
        <v>17</v>
      </c>
      <c r="G2995">
        <v>1</v>
      </c>
      <c r="H2995">
        <v>0</v>
      </c>
      <c r="I2995" t="s">
        <v>35</v>
      </c>
      <c r="J2995" t="s">
        <v>37</v>
      </c>
      <c r="K2995" t="s">
        <v>26</v>
      </c>
      <c r="L2995">
        <v>10</v>
      </c>
      <c r="M2995">
        <v>0</v>
      </c>
      <c r="N2995">
        <v>1</v>
      </c>
      <c r="O2995" t="s">
        <v>27</v>
      </c>
      <c r="P2995" t="str">
        <f>TEXT(Table1[[#This Row],[order_date]],"yyyy-mm")</f>
        <v>2025-08</v>
      </c>
      <c r="Q2995">
        <f>WEEKNUM(Table1[[#This Row],[order_date]])</f>
        <v>33</v>
      </c>
      <c r="R2995">
        <f>IF(Table1[[#This Row],[order_status]]="completed",1,0)</f>
        <v>0</v>
      </c>
    </row>
    <row r="2996" spans="1:18" x14ac:dyDescent="0.35">
      <c r="A2996">
        <v>2995</v>
      </c>
      <c r="B2996" s="1">
        <v>45881</v>
      </c>
      <c r="C2996">
        <v>1231</v>
      </c>
      <c r="D2996" t="s">
        <v>22</v>
      </c>
      <c r="E2996" t="s">
        <v>29</v>
      </c>
      <c r="F2996" t="s">
        <v>30</v>
      </c>
      <c r="G2996">
        <v>3</v>
      </c>
      <c r="H2996">
        <v>5145</v>
      </c>
      <c r="I2996" t="s">
        <v>18</v>
      </c>
      <c r="J2996" t="s">
        <v>19</v>
      </c>
      <c r="K2996" t="s">
        <v>26</v>
      </c>
      <c r="L2996">
        <v>3</v>
      </c>
      <c r="M2996">
        <v>1</v>
      </c>
      <c r="N2996">
        <v>1</v>
      </c>
      <c r="O2996" t="s">
        <v>21</v>
      </c>
      <c r="P2996" t="str">
        <f>TEXT(Table1[[#This Row],[order_date]],"yyyy-mm")</f>
        <v>2025-08</v>
      </c>
      <c r="Q2996">
        <f>WEEKNUM(Table1[[#This Row],[order_date]])</f>
        <v>33</v>
      </c>
      <c r="R2996">
        <f>IF(Table1[[#This Row],[order_status]]="completed",1,0)</f>
        <v>1</v>
      </c>
    </row>
    <row r="2997" spans="1:18" x14ac:dyDescent="0.35">
      <c r="A2997">
        <v>2996</v>
      </c>
      <c r="B2997" s="1">
        <v>45992</v>
      </c>
      <c r="C2997">
        <v>1244</v>
      </c>
      <c r="D2997" t="s">
        <v>32</v>
      </c>
      <c r="E2997" t="s">
        <v>16</v>
      </c>
      <c r="F2997" t="s">
        <v>17</v>
      </c>
      <c r="G2997">
        <v>2</v>
      </c>
      <c r="H2997">
        <v>0</v>
      </c>
      <c r="I2997" t="s">
        <v>35</v>
      </c>
      <c r="J2997" t="s">
        <v>31</v>
      </c>
      <c r="K2997" t="s">
        <v>38</v>
      </c>
      <c r="L2997">
        <v>9</v>
      </c>
      <c r="M2997">
        <v>1</v>
      </c>
      <c r="N2997">
        <v>0</v>
      </c>
      <c r="O2997" t="s">
        <v>27</v>
      </c>
      <c r="P2997" t="str">
        <f>TEXT(Table1[[#This Row],[order_date]],"yyyy-mm")</f>
        <v>2025-12</v>
      </c>
      <c r="Q2997">
        <f>WEEKNUM(Table1[[#This Row],[order_date]])</f>
        <v>49</v>
      </c>
      <c r="R2997">
        <f>IF(Table1[[#This Row],[order_status]]="completed",1,0)</f>
        <v>0</v>
      </c>
    </row>
    <row r="2998" spans="1:18" x14ac:dyDescent="0.35">
      <c r="A2998">
        <v>2997</v>
      </c>
      <c r="B2998" s="1">
        <v>45902</v>
      </c>
      <c r="C2998">
        <v>1290</v>
      </c>
      <c r="D2998" t="s">
        <v>22</v>
      </c>
      <c r="E2998" t="s">
        <v>33</v>
      </c>
      <c r="F2998" t="s">
        <v>30</v>
      </c>
      <c r="G2998">
        <v>2</v>
      </c>
      <c r="H2998">
        <v>0</v>
      </c>
      <c r="I2998" t="s">
        <v>35</v>
      </c>
      <c r="J2998" t="s">
        <v>37</v>
      </c>
      <c r="K2998" t="s">
        <v>26</v>
      </c>
      <c r="L2998">
        <v>1</v>
      </c>
      <c r="M2998">
        <v>0</v>
      </c>
      <c r="N2998">
        <v>0</v>
      </c>
      <c r="O2998" t="s">
        <v>21</v>
      </c>
      <c r="P2998" t="str">
        <f>TEXT(Table1[[#This Row],[order_date]],"yyyy-mm")</f>
        <v>2025-09</v>
      </c>
      <c r="Q2998">
        <f>WEEKNUM(Table1[[#This Row],[order_date]])</f>
        <v>36</v>
      </c>
      <c r="R2998">
        <f>IF(Table1[[#This Row],[order_status]]="completed",1,0)</f>
        <v>0</v>
      </c>
    </row>
    <row r="2999" spans="1:18" x14ac:dyDescent="0.35">
      <c r="A2999">
        <v>2998</v>
      </c>
      <c r="B2999" s="1">
        <v>45895</v>
      </c>
      <c r="C2999">
        <v>1437</v>
      </c>
      <c r="D2999" t="s">
        <v>32</v>
      </c>
      <c r="E2999" t="s">
        <v>23</v>
      </c>
      <c r="F2999" t="s">
        <v>24</v>
      </c>
      <c r="G2999">
        <v>4</v>
      </c>
      <c r="H2999">
        <v>0</v>
      </c>
      <c r="I2999" t="s">
        <v>39</v>
      </c>
      <c r="J2999" t="s">
        <v>37</v>
      </c>
      <c r="K2999" t="s">
        <v>40</v>
      </c>
      <c r="L2999">
        <v>7</v>
      </c>
      <c r="M2999">
        <v>1</v>
      </c>
      <c r="N2999">
        <v>0</v>
      </c>
      <c r="O2999" t="s">
        <v>21</v>
      </c>
      <c r="P2999" t="str">
        <f>TEXT(Table1[[#This Row],[order_date]],"yyyy-mm")</f>
        <v>2025-08</v>
      </c>
      <c r="Q2999">
        <f>WEEKNUM(Table1[[#This Row],[order_date]])</f>
        <v>35</v>
      </c>
      <c r="R2999">
        <f>IF(Table1[[#This Row],[order_status]]="completed",1,0)</f>
        <v>0</v>
      </c>
    </row>
    <row r="3000" spans="1:18" x14ac:dyDescent="0.35">
      <c r="A3000">
        <v>2999</v>
      </c>
      <c r="B3000" s="1">
        <v>45957</v>
      </c>
      <c r="C3000">
        <v>1202</v>
      </c>
      <c r="D3000" t="s">
        <v>41</v>
      </c>
      <c r="E3000" t="s">
        <v>16</v>
      </c>
      <c r="F3000" t="s">
        <v>17</v>
      </c>
      <c r="G3000">
        <v>1</v>
      </c>
      <c r="H3000">
        <v>0</v>
      </c>
      <c r="I3000" t="s">
        <v>25</v>
      </c>
      <c r="J3000" t="s">
        <v>31</v>
      </c>
      <c r="K3000" t="s">
        <v>20</v>
      </c>
      <c r="L3000">
        <v>4</v>
      </c>
      <c r="M3000">
        <v>0</v>
      </c>
      <c r="N3000">
        <v>1</v>
      </c>
      <c r="O3000" t="s">
        <v>27</v>
      </c>
      <c r="P3000" t="str">
        <f>TEXT(Table1[[#This Row],[order_date]],"yyyy-mm")</f>
        <v>2025-10</v>
      </c>
      <c r="Q3000">
        <f>WEEKNUM(Table1[[#This Row],[order_date]])</f>
        <v>44</v>
      </c>
      <c r="R3000">
        <f>IF(Table1[[#This Row],[order_status]]="completed",1,0)</f>
        <v>0</v>
      </c>
    </row>
    <row r="3001" spans="1:18" x14ac:dyDescent="0.35">
      <c r="A3001">
        <v>3000</v>
      </c>
      <c r="B3001" s="1">
        <v>45924</v>
      </c>
      <c r="C3001">
        <v>1322</v>
      </c>
      <c r="D3001" t="s">
        <v>22</v>
      </c>
      <c r="E3001" t="s">
        <v>16</v>
      </c>
      <c r="F3001" t="s">
        <v>34</v>
      </c>
      <c r="G3001">
        <v>1</v>
      </c>
      <c r="H3001">
        <v>0</v>
      </c>
      <c r="I3001" t="s">
        <v>35</v>
      </c>
      <c r="J3001" t="s">
        <v>37</v>
      </c>
      <c r="K3001" t="s">
        <v>26</v>
      </c>
      <c r="L3001">
        <v>3</v>
      </c>
      <c r="M3001">
        <v>0</v>
      </c>
      <c r="N3001">
        <v>1</v>
      </c>
      <c r="O3001" t="s">
        <v>27</v>
      </c>
      <c r="P3001" t="str">
        <f>TEXT(Table1[[#This Row],[order_date]],"yyyy-mm")</f>
        <v>2025-09</v>
      </c>
      <c r="Q3001">
        <f>WEEKNUM(Table1[[#This Row],[order_date]])</f>
        <v>39</v>
      </c>
      <c r="R3001">
        <f>IF(Table1[[#This Row],[order_status]]="completed",1,0)</f>
        <v>0</v>
      </c>
    </row>
    <row r="3002" spans="1:18" x14ac:dyDescent="0.35">
      <c r="A3002">
        <v>3001</v>
      </c>
      <c r="B3002" s="1">
        <v>45944</v>
      </c>
      <c r="C3002">
        <v>1465</v>
      </c>
      <c r="D3002" t="s">
        <v>15</v>
      </c>
      <c r="E3002" t="s">
        <v>29</v>
      </c>
      <c r="F3002" t="s">
        <v>24</v>
      </c>
      <c r="G3002">
        <v>1</v>
      </c>
      <c r="H3002">
        <v>0</v>
      </c>
      <c r="I3002" t="s">
        <v>18</v>
      </c>
      <c r="J3002" t="s">
        <v>31</v>
      </c>
      <c r="K3002" t="s">
        <v>40</v>
      </c>
      <c r="L3002">
        <v>8</v>
      </c>
      <c r="M3002">
        <v>0</v>
      </c>
      <c r="N3002">
        <v>1</v>
      </c>
      <c r="O3002" t="s">
        <v>27</v>
      </c>
      <c r="P3002" t="str">
        <f>TEXT(Table1[[#This Row],[order_date]],"yyyy-mm")</f>
        <v>2025-10</v>
      </c>
      <c r="Q3002">
        <f>WEEKNUM(Table1[[#This Row],[order_date]])</f>
        <v>42</v>
      </c>
      <c r="R3002">
        <f>IF(Table1[[#This Row],[order_status]]="completed",1,0)</f>
        <v>0</v>
      </c>
    </row>
    <row r="3003" spans="1:18" x14ac:dyDescent="0.35">
      <c r="A3003">
        <v>3002</v>
      </c>
      <c r="B3003" s="1">
        <v>46024</v>
      </c>
      <c r="C3003">
        <v>1938</v>
      </c>
      <c r="D3003" t="s">
        <v>41</v>
      </c>
      <c r="E3003" t="s">
        <v>29</v>
      </c>
      <c r="F3003" t="s">
        <v>24</v>
      </c>
      <c r="G3003">
        <v>5</v>
      </c>
      <c r="H3003">
        <v>0</v>
      </c>
      <c r="I3003" t="s">
        <v>35</v>
      </c>
      <c r="J3003" t="s">
        <v>37</v>
      </c>
      <c r="K3003" t="s">
        <v>40</v>
      </c>
      <c r="L3003">
        <v>2</v>
      </c>
      <c r="M3003">
        <v>0</v>
      </c>
      <c r="N3003">
        <v>1</v>
      </c>
      <c r="O3003" t="s">
        <v>21</v>
      </c>
      <c r="P3003" t="str">
        <f>TEXT(Table1[[#This Row],[order_date]],"yyyy-mm")</f>
        <v>2026-01</v>
      </c>
      <c r="Q3003">
        <f>WEEKNUM(Table1[[#This Row],[order_date]])</f>
        <v>1</v>
      </c>
      <c r="R3003">
        <f>IF(Table1[[#This Row],[order_status]]="completed",1,0)</f>
        <v>0</v>
      </c>
    </row>
    <row r="3004" spans="1:18" x14ac:dyDescent="0.35">
      <c r="A3004">
        <v>3003</v>
      </c>
      <c r="B3004" s="1">
        <v>46006</v>
      </c>
      <c r="C3004">
        <v>1883</v>
      </c>
      <c r="D3004" t="s">
        <v>41</v>
      </c>
      <c r="E3004" t="s">
        <v>16</v>
      </c>
      <c r="F3004" t="s">
        <v>24</v>
      </c>
      <c r="G3004">
        <v>2</v>
      </c>
      <c r="H3004">
        <v>4600</v>
      </c>
      <c r="I3004" t="s">
        <v>25</v>
      </c>
      <c r="J3004" t="s">
        <v>19</v>
      </c>
      <c r="K3004" t="s">
        <v>38</v>
      </c>
      <c r="L3004">
        <v>10</v>
      </c>
      <c r="M3004">
        <v>1</v>
      </c>
      <c r="N3004">
        <v>0</v>
      </c>
      <c r="O3004" t="s">
        <v>21</v>
      </c>
      <c r="P3004" t="str">
        <f>TEXT(Table1[[#This Row],[order_date]],"yyyy-mm")</f>
        <v>2025-12</v>
      </c>
      <c r="Q3004">
        <f>WEEKNUM(Table1[[#This Row],[order_date]])</f>
        <v>51</v>
      </c>
      <c r="R3004">
        <f>IF(Table1[[#This Row],[order_status]]="completed",1,0)</f>
        <v>1</v>
      </c>
    </row>
    <row r="3005" spans="1:18" x14ac:dyDescent="0.35">
      <c r="A3005">
        <v>3004</v>
      </c>
      <c r="B3005" s="1">
        <v>45985</v>
      </c>
      <c r="C3005">
        <v>1059</v>
      </c>
      <c r="D3005" t="s">
        <v>22</v>
      </c>
      <c r="E3005" t="s">
        <v>16</v>
      </c>
      <c r="F3005" t="s">
        <v>34</v>
      </c>
      <c r="G3005">
        <v>1</v>
      </c>
      <c r="H3005">
        <v>2026</v>
      </c>
      <c r="I3005" t="s">
        <v>39</v>
      </c>
      <c r="J3005" t="s">
        <v>19</v>
      </c>
      <c r="K3005" t="s">
        <v>26</v>
      </c>
      <c r="L3005">
        <v>5</v>
      </c>
      <c r="M3005">
        <v>1</v>
      </c>
      <c r="N3005">
        <v>1</v>
      </c>
      <c r="O3005" t="s">
        <v>21</v>
      </c>
      <c r="P3005" t="str">
        <f>TEXT(Table1[[#This Row],[order_date]],"yyyy-mm")</f>
        <v>2025-11</v>
      </c>
      <c r="Q3005">
        <f>WEEKNUM(Table1[[#This Row],[order_date]])</f>
        <v>48</v>
      </c>
      <c r="R3005">
        <f>IF(Table1[[#This Row],[order_status]]="completed",1,0)</f>
        <v>1</v>
      </c>
    </row>
    <row r="3006" spans="1:18" x14ac:dyDescent="0.35">
      <c r="A3006">
        <v>3005</v>
      </c>
      <c r="B3006" s="1">
        <v>45962</v>
      </c>
      <c r="C3006">
        <v>1585</v>
      </c>
      <c r="D3006" t="s">
        <v>32</v>
      </c>
      <c r="E3006" t="s">
        <v>33</v>
      </c>
      <c r="F3006" t="s">
        <v>30</v>
      </c>
      <c r="G3006">
        <v>5</v>
      </c>
      <c r="H3006">
        <v>0</v>
      </c>
      <c r="I3006" t="s">
        <v>39</v>
      </c>
      <c r="J3006" t="s">
        <v>31</v>
      </c>
      <c r="K3006" t="s">
        <v>20</v>
      </c>
      <c r="L3006">
        <v>5</v>
      </c>
      <c r="M3006">
        <v>1</v>
      </c>
      <c r="N3006">
        <v>0</v>
      </c>
      <c r="O3006" t="s">
        <v>27</v>
      </c>
      <c r="P3006" t="str">
        <f>TEXT(Table1[[#This Row],[order_date]],"yyyy-mm")</f>
        <v>2025-11</v>
      </c>
      <c r="Q3006">
        <f>WEEKNUM(Table1[[#This Row],[order_date]])</f>
        <v>44</v>
      </c>
      <c r="R3006">
        <f>IF(Table1[[#This Row],[order_status]]="completed",1,0)</f>
        <v>0</v>
      </c>
    </row>
    <row r="3007" spans="1:18" x14ac:dyDescent="0.35">
      <c r="A3007">
        <v>3006</v>
      </c>
      <c r="B3007" s="1">
        <v>46029</v>
      </c>
      <c r="C3007">
        <v>1946</v>
      </c>
      <c r="D3007" t="s">
        <v>41</v>
      </c>
      <c r="E3007" t="s">
        <v>33</v>
      </c>
      <c r="F3007" t="s">
        <v>30</v>
      </c>
      <c r="G3007">
        <v>3</v>
      </c>
      <c r="H3007">
        <v>0</v>
      </c>
      <c r="I3007" t="s">
        <v>39</v>
      </c>
      <c r="J3007" t="s">
        <v>37</v>
      </c>
      <c r="K3007" t="s">
        <v>40</v>
      </c>
      <c r="L3007">
        <v>6</v>
      </c>
      <c r="M3007">
        <v>0</v>
      </c>
      <c r="N3007">
        <v>1</v>
      </c>
      <c r="O3007" t="s">
        <v>27</v>
      </c>
      <c r="P3007" t="str">
        <f>TEXT(Table1[[#This Row],[order_date]],"yyyy-mm")</f>
        <v>2026-01</v>
      </c>
      <c r="Q3007">
        <f>WEEKNUM(Table1[[#This Row],[order_date]])</f>
        <v>2</v>
      </c>
      <c r="R3007">
        <f>IF(Table1[[#This Row],[order_status]]="completed",1,0)</f>
        <v>0</v>
      </c>
    </row>
    <row r="3008" spans="1:18" x14ac:dyDescent="0.35">
      <c r="A3008">
        <v>3007</v>
      </c>
      <c r="B3008" s="1">
        <v>45998</v>
      </c>
      <c r="C3008">
        <v>1729</v>
      </c>
      <c r="D3008" t="s">
        <v>41</v>
      </c>
      <c r="E3008" t="s">
        <v>36</v>
      </c>
      <c r="F3008" t="s">
        <v>17</v>
      </c>
      <c r="G3008">
        <v>2</v>
      </c>
      <c r="H3008">
        <v>0</v>
      </c>
      <c r="I3008" t="s">
        <v>25</v>
      </c>
      <c r="J3008" t="s">
        <v>31</v>
      </c>
      <c r="K3008" t="s">
        <v>40</v>
      </c>
      <c r="L3008">
        <v>8</v>
      </c>
      <c r="M3008">
        <v>0</v>
      </c>
      <c r="N3008">
        <v>1</v>
      </c>
      <c r="O3008" t="s">
        <v>27</v>
      </c>
      <c r="P3008" t="str">
        <f>TEXT(Table1[[#This Row],[order_date]],"yyyy-mm")</f>
        <v>2025-12</v>
      </c>
      <c r="Q3008">
        <f>WEEKNUM(Table1[[#This Row],[order_date]])</f>
        <v>50</v>
      </c>
      <c r="R3008">
        <f>IF(Table1[[#This Row],[order_status]]="completed",1,0)</f>
        <v>0</v>
      </c>
    </row>
    <row r="3009" spans="1:18" x14ac:dyDescent="0.35">
      <c r="A3009">
        <v>3008</v>
      </c>
      <c r="B3009" s="1">
        <v>45967</v>
      </c>
      <c r="C3009">
        <v>1519</v>
      </c>
      <c r="D3009" t="s">
        <v>41</v>
      </c>
      <c r="E3009" t="s">
        <v>33</v>
      </c>
      <c r="F3009" t="s">
        <v>17</v>
      </c>
      <c r="G3009">
        <v>3</v>
      </c>
      <c r="H3009">
        <v>0</v>
      </c>
      <c r="I3009" t="s">
        <v>18</v>
      </c>
      <c r="J3009" t="s">
        <v>37</v>
      </c>
      <c r="K3009" t="s">
        <v>40</v>
      </c>
      <c r="L3009">
        <v>10</v>
      </c>
      <c r="M3009">
        <v>1</v>
      </c>
      <c r="N3009">
        <v>1</v>
      </c>
      <c r="O3009" t="s">
        <v>21</v>
      </c>
      <c r="P3009" t="str">
        <f>TEXT(Table1[[#This Row],[order_date]],"yyyy-mm")</f>
        <v>2025-11</v>
      </c>
      <c r="Q3009">
        <f>WEEKNUM(Table1[[#This Row],[order_date]])</f>
        <v>45</v>
      </c>
      <c r="R3009">
        <f>IF(Table1[[#This Row],[order_status]]="completed",1,0)</f>
        <v>0</v>
      </c>
    </row>
    <row r="3010" spans="1:18" x14ac:dyDescent="0.35">
      <c r="A3010">
        <v>3009</v>
      </c>
      <c r="B3010" s="1">
        <v>45919</v>
      </c>
      <c r="C3010">
        <v>1602</v>
      </c>
      <c r="D3010" t="s">
        <v>41</v>
      </c>
      <c r="E3010" t="s">
        <v>33</v>
      </c>
      <c r="F3010" t="s">
        <v>34</v>
      </c>
      <c r="G3010">
        <v>1</v>
      </c>
      <c r="H3010">
        <v>0</v>
      </c>
      <c r="I3010" t="s">
        <v>18</v>
      </c>
      <c r="J3010" t="s">
        <v>31</v>
      </c>
      <c r="K3010" t="s">
        <v>38</v>
      </c>
      <c r="L3010">
        <v>5</v>
      </c>
      <c r="M3010">
        <v>0</v>
      </c>
      <c r="N3010">
        <v>1</v>
      </c>
      <c r="O3010" t="s">
        <v>21</v>
      </c>
      <c r="P3010" t="str">
        <f>TEXT(Table1[[#This Row],[order_date]],"yyyy-mm")</f>
        <v>2025-09</v>
      </c>
      <c r="Q3010">
        <f>WEEKNUM(Table1[[#This Row],[order_date]])</f>
        <v>38</v>
      </c>
      <c r="R3010">
        <f>IF(Table1[[#This Row],[order_status]]="completed",1,0)</f>
        <v>0</v>
      </c>
    </row>
    <row r="3011" spans="1:18" x14ac:dyDescent="0.35">
      <c r="A3011">
        <v>3010</v>
      </c>
      <c r="B3011" s="1">
        <v>45883</v>
      </c>
      <c r="C3011">
        <v>1399</v>
      </c>
      <c r="D3011" t="s">
        <v>15</v>
      </c>
      <c r="E3011" t="s">
        <v>29</v>
      </c>
      <c r="F3011" t="s">
        <v>24</v>
      </c>
      <c r="G3011">
        <v>3</v>
      </c>
      <c r="H3011">
        <v>7485</v>
      </c>
      <c r="I3011" t="s">
        <v>18</v>
      </c>
      <c r="J3011" t="s">
        <v>19</v>
      </c>
      <c r="K3011" t="s">
        <v>20</v>
      </c>
      <c r="L3011">
        <v>4</v>
      </c>
      <c r="M3011">
        <v>0</v>
      </c>
      <c r="N3011">
        <v>1</v>
      </c>
      <c r="O3011" t="s">
        <v>27</v>
      </c>
      <c r="P3011" t="str">
        <f>TEXT(Table1[[#This Row],[order_date]],"yyyy-mm")</f>
        <v>2025-08</v>
      </c>
      <c r="Q3011">
        <f>WEEKNUM(Table1[[#This Row],[order_date]])</f>
        <v>33</v>
      </c>
      <c r="R3011">
        <f>IF(Table1[[#This Row],[order_status]]="completed",1,0)</f>
        <v>1</v>
      </c>
    </row>
    <row r="3012" spans="1:18" x14ac:dyDescent="0.35">
      <c r="A3012">
        <v>3011</v>
      </c>
      <c r="B3012" s="1">
        <v>46000</v>
      </c>
      <c r="C3012">
        <v>1768</v>
      </c>
      <c r="D3012" t="s">
        <v>22</v>
      </c>
      <c r="E3012" t="s">
        <v>36</v>
      </c>
      <c r="F3012" t="s">
        <v>17</v>
      </c>
      <c r="G3012">
        <v>2</v>
      </c>
      <c r="H3012">
        <v>0</v>
      </c>
      <c r="I3012" t="s">
        <v>35</v>
      </c>
      <c r="J3012" t="s">
        <v>31</v>
      </c>
      <c r="K3012" t="s">
        <v>38</v>
      </c>
      <c r="L3012">
        <v>2</v>
      </c>
      <c r="M3012">
        <v>0</v>
      </c>
      <c r="N3012">
        <v>0</v>
      </c>
      <c r="O3012" t="s">
        <v>21</v>
      </c>
      <c r="P3012" t="str">
        <f>TEXT(Table1[[#This Row],[order_date]],"yyyy-mm")</f>
        <v>2025-12</v>
      </c>
      <c r="Q3012">
        <f>WEEKNUM(Table1[[#This Row],[order_date]])</f>
        <v>50</v>
      </c>
      <c r="R3012">
        <f>IF(Table1[[#This Row],[order_status]]="completed",1,0)</f>
        <v>0</v>
      </c>
    </row>
    <row r="3013" spans="1:18" x14ac:dyDescent="0.35">
      <c r="A3013">
        <v>3012</v>
      </c>
      <c r="B3013" s="1">
        <v>45910</v>
      </c>
      <c r="C3013">
        <v>1170</v>
      </c>
      <c r="D3013" t="s">
        <v>28</v>
      </c>
      <c r="E3013" t="s">
        <v>36</v>
      </c>
      <c r="F3013" t="s">
        <v>17</v>
      </c>
      <c r="G3013">
        <v>4</v>
      </c>
      <c r="H3013">
        <v>3116</v>
      </c>
      <c r="I3013" t="s">
        <v>39</v>
      </c>
      <c r="J3013" t="s">
        <v>19</v>
      </c>
      <c r="K3013" t="s">
        <v>40</v>
      </c>
      <c r="L3013">
        <v>4</v>
      </c>
      <c r="M3013">
        <v>0</v>
      </c>
      <c r="N3013">
        <v>0</v>
      </c>
      <c r="O3013" t="s">
        <v>21</v>
      </c>
      <c r="P3013" t="str">
        <f>TEXT(Table1[[#This Row],[order_date]],"yyyy-mm")</f>
        <v>2025-09</v>
      </c>
      <c r="Q3013">
        <f>WEEKNUM(Table1[[#This Row],[order_date]])</f>
        <v>37</v>
      </c>
      <c r="R3013">
        <f>IF(Table1[[#This Row],[order_status]]="completed",1,0)</f>
        <v>1</v>
      </c>
    </row>
    <row r="3014" spans="1:18" x14ac:dyDescent="0.35">
      <c r="A3014">
        <v>3013</v>
      </c>
      <c r="B3014" s="1">
        <v>46011</v>
      </c>
      <c r="C3014">
        <v>1918</v>
      </c>
      <c r="D3014" t="s">
        <v>32</v>
      </c>
      <c r="E3014" t="s">
        <v>29</v>
      </c>
      <c r="F3014" t="s">
        <v>34</v>
      </c>
      <c r="G3014">
        <v>3</v>
      </c>
      <c r="H3014">
        <v>0</v>
      </c>
      <c r="I3014" t="s">
        <v>35</v>
      </c>
      <c r="J3014" t="s">
        <v>37</v>
      </c>
      <c r="K3014" t="s">
        <v>40</v>
      </c>
      <c r="L3014">
        <v>1</v>
      </c>
      <c r="M3014">
        <v>1</v>
      </c>
      <c r="N3014">
        <v>1</v>
      </c>
      <c r="O3014" t="s">
        <v>21</v>
      </c>
      <c r="P3014" t="str">
        <f>TEXT(Table1[[#This Row],[order_date]],"yyyy-mm")</f>
        <v>2025-12</v>
      </c>
      <c r="Q3014">
        <f>WEEKNUM(Table1[[#This Row],[order_date]])</f>
        <v>51</v>
      </c>
      <c r="R3014">
        <f>IF(Table1[[#This Row],[order_status]]="completed",1,0)</f>
        <v>0</v>
      </c>
    </row>
    <row r="3015" spans="1:18" x14ac:dyDescent="0.35">
      <c r="A3015">
        <v>3014</v>
      </c>
      <c r="B3015" s="1">
        <v>45883</v>
      </c>
      <c r="C3015">
        <v>1960</v>
      </c>
      <c r="D3015" t="s">
        <v>15</v>
      </c>
      <c r="E3015" t="s">
        <v>29</v>
      </c>
      <c r="F3015" t="s">
        <v>30</v>
      </c>
      <c r="G3015">
        <v>2</v>
      </c>
      <c r="H3015">
        <v>1154</v>
      </c>
      <c r="I3015" t="s">
        <v>39</v>
      </c>
      <c r="J3015" t="s">
        <v>19</v>
      </c>
      <c r="K3015" t="s">
        <v>38</v>
      </c>
      <c r="L3015">
        <v>4</v>
      </c>
      <c r="M3015">
        <v>1</v>
      </c>
      <c r="N3015">
        <v>1</v>
      </c>
      <c r="O3015" t="s">
        <v>27</v>
      </c>
      <c r="P3015" t="str">
        <f>TEXT(Table1[[#This Row],[order_date]],"yyyy-mm")</f>
        <v>2025-08</v>
      </c>
      <c r="Q3015">
        <f>WEEKNUM(Table1[[#This Row],[order_date]])</f>
        <v>33</v>
      </c>
      <c r="R3015">
        <f>IF(Table1[[#This Row],[order_status]]="completed",1,0)</f>
        <v>1</v>
      </c>
    </row>
    <row r="3016" spans="1:18" x14ac:dyDescent="0.35">
      <c r="A3016">
        <v>3015</v>
      </c>
      <c r="B3016" s="1">
        <v>46030</v>
      </c>
      <c r="C3016">
        <v>1726</v>
      </c>
      <c r="D3016" t="s">
        <v>15</v>
      </c>
      <c r="E3016" t="s">
        <v>29</v>
      </c>
      <c r="F3016" t="s">
        <v>17</v>
      </c>
      <c r="G3016">
        <v>1</v>
      </c>
      <c r="H3016">
        <v>0</v>
      </c>
      <c r="I3016" t="s">
        <v>39</v>
      </c>
      <c r="J3016" t="s">
        <v>31</v>
      </c>
      <c r="K3016" t="s">
        <v>20</v>
      </c>
      <c r="L3016">
        <v>2</v>
      </c>
      <c r="M3016">
        <v>1</v>
      </c>
      <c r="N3016">
        <v>0</v>
      </c>
      <c r="O3016" t="s">
        <v>27</v>
      </c>
      <c r="P3016" t="str">
        <f>TEXT(Table1[[#This Row],[order_date]],"yyyy-mm")</f>
        <v>2026-01</v>
      </c>
      <c r="Q3016">
        <f>WEEKNUM(Table1[[#This Row],[order_date]])</f>
        <v>2</v>
      </c>
      <c r="R3016">
        <f>IF(Table1[[#This Row],[order_status]]="completed",1,0)</f>
        <v>0</v>
      </c>
    </row>
    <row r="3017" spans="1:18" x14ac:dyDescent="0.35">
      <c r="A3017">
        <v>3016</v>
      </c>
      <c r="B3017" s="1">
        <v>46014</v>
      </c>
      <c r="C3017">
        <v>1836</v>
      </c>
      <c r="D3017" t="s">
        <v>22</v>
      </c>
      <c r="E3017" t="s">
        <v>29</v>
      </c>
      <c r="F3017" t="s">
        <v>24</v>
      </c>
      <c r="G3017">
        <v>3</v>
      </c>
      <c r="H3017">
        <v>0</v>
      </c>
      <c r="I3017" t="s">
        <v>35</v>
      </c>
      <c r="J3017" t="s">
        <v>31</v>
      </c>
      <c r="K3017" t="s">
        <v>20</v>
      </c>
      <c r="L3017">
        <v>2</v>
      </c>
      <c r="M3017">
        <v>0</v>
      </c>
      <c r="N3017">
        <v>0</v>
      </c>
      <c r="O3017" t="s">
        <v>27</v>
      </c>
      <c r="P3017" t="str">
        <f>TEXT(Table1[[#This Row],[order_date]],"yyyy-mm")</f>
        <v>2025-12</v>
      </c>
      <c r="Q3017">
        <f>WEEKNUM(Table1[[#This Row],[order_date]])</f>
        <v>52</v>
      </c>
      <c r="R3017">
        <f>IF(Table1[[#This Row],[order_status]]="completed",1,0)</f>
        <v>0</v>
      </c>
    </row>
    <row r="3018" spans="1:18" x14ac:dyDescent="0.35">
      <c r="A3018">
        <v>3017</v>
      </c>
      <c r="B3018" s="1">
        <v>45874</v>
      </c>
      <c r="C3018">
        <v>1859</v>
      </c>
      <c r="D3018" t="s">
        <v>22</v>
      </c>
      <c r="E3018" t="s">
        <v>23</v>
      </c>
      <c r="F3018" t="s">
        <v>30</v>
      </c>
      <c r="G3018">
        <v>5</v>
      </c>
      <c r="H3018">
        <v>4590</v>
      </c>
      <c r="I3018" t="s">
        <v>18</v>
      </c>
      <c r="J3018" t="s">
        <v>19</v>
      </c>
      <c r="K3018" t="s">
        <v>40</v>
      </c>
      <c r="L3018">
        <v>2</v>
      </c>
      <c r="M3018">
        <v>0</v>
      </c>
      <c r="N3018">
        <v>1</v>
      </c>
      <c r="O3018" t="s">
        <v>21</v>
      </c>
      <c r="P3018" t="str">
        <f>TEXT(Table1[[#This Row],[order_date]],"yyyy-mm")</f>
        <v>2025-08</v>
      </c>
      <c r="Q3018">
        <f>WEEKNUM(Table1[[#This Row],[order_date]])</f>
        <v>32</v>
      </c>
      <c r="R3018">
        <f>IF(Table1[[#This Row],[order_status]]="completed",1,0)</f>
        <v>1</v>
      </c>
    </row>
    <row r="3019" spans="1:18" x14ac:dyDescent="0.35">
      <c r="A3019">
        <v>3018</v>
      </c>
      <c r="B3019" s="1">
        <v>45973</v>
      </c>
      <c r="C3019">
        <v>1110</v>
      </c>
      <c r="D3019" t="s">
        <v>32</v>
      </c>
      <c r="E3019" t="s">
        <v>23</v>
      </c>
      <c r="F3019" t="s">
        <v>17</v>
      </c>
      <c r="G3019">
        <v>5</v>
      </c>
      <c r="H3019">
        <v>17095</v>
      </c>
      <c r="I3019" t="s">
        <v>25</v>
      </c>
      <c r="J3019" t="s">
        <v>19</v>
      </c>
      <c r="K3019" t="s">
        <v>40</v>
      </c>
      <c r="L3019">
        <v>10</v>
      </c>
      <c r="M3019">
        <v>0</v>
      </c>
      <c r="N3019">
        <v>1</v>
      </c>
      <c r="O3019" t="s">
        <v>21</v>
      </c>
      <c r="P3019" t="str">
        <f>TEXT(Table1[[#This Row],[order_date]],"yyyy-mm")</f>
        <v>2025-11</v>
      </c>
      <c r="Q3019">
        <f>WEEKNUM(Table1[[#This Row],[order_date]])</f>
        <v>46</v>
      </c>
      <c r="R3019">
        <f>IF(Table1[[#This Row],[order_status]]="completed",1,0)</f>
        <v>1</v>
      </c>
    </row>
    <row r="3020" spans="1:18" x14ac:dyDescent="0.35">
      <c r="A3020">
        <v>3019</v>
      </c>
      <c r="B3020" s="1">
        <v>45907</v>
      </c>
      <c r="C3020">
        <v>1021</v>
      </c>
      <c r="D3020" t="s">
        <v>28</v>
      </c>
      <c r="E3020" t="s">
        <v>29</v>
      </c>
      <c r="F3020" t="s">
        <v>17</v>
      </c>
      <c r="G3020">
        <v>2</v>
      </c>
      <c r="H3020">
        <v>0</v>
      </c>
      <c r="I3020" t="s">
        <v>35</v>
      </c>
      <c r="J3020" t="s">
        <v>31</v>
      </c>
      <c r="K3020" t="s">
        <v>26</v>
      </c>
      <c r="L3020">
        <v>9</v>
      </c>
      <c r="M3020">
        <v>1</v>
      </c>
      <c r="N3020">
        <v>0</v>
      </c>
      <c r="O3020" t="s">
        <v>27</v>
      </c>
      <c r="P3020" t="str">
        <f>TEXT(Table1[[#This Row],[order_date]],"yyyy-mm")</f>
        <v>2025-09</v>
      </c>
      <c r="Q3020">
        <f>WEEKNUM(Table1[[#This Row],[order_date]])</f>
        <v>37</v>
      </c>
      <c r="R3020">
        <f>IF(Table1[[#This Row],[order_status]]="completed",1,0)</f>
        <v>0</v>
      </c>
    </row>
    <row r="3021" spans="1:18" x14ac:dyDescent="0.35">
      <c r="A3021">
        <v>3020</v>
      </c>
      <c r="B3021" s="1">
        <v>45889</v>
      </c>
      <c r="C3021">
        <v>1912</v>
      </c>
      <c r="D3021" t="s">
        <v>15</v>
      </c>
      <c r="E3021" t="s">
        <v>33</v>
      </c>
      <c r="F3021" t="s">
        <v>17</v>
      </c>
      <c r="G3021">
        <v>2</v>
      </c>
      <c r="H3021">
        <v>1524</v>
      </c>
      <c r="I3021" t="s">
        <v>39</v>
      </c>
      <c r="J3021" t="s">
        <v>19</v>
      </c>
      <c r="K3021" t="s">
        <v>20</v>
      </c>
      <c r="L3021">
        <v>10</v>
      </c>
      <c r="M3021">
        <v>1</v>
      </c>
      <c r="N3021">
        <v>0</v>
      </c>
      <c r="O3021" t="s">
        <v>21</v>
      </c>
      <c r="P3021" t="str">
        <f>TEXT(Table1[[#This Row],[order_date]],"yyyy-mm")</f>
        <v>2025-08</v>
      </c>
      <c r="Q3021">
        <f>WEEKNUM(Table1[[#This Row],[order_date]])</f>
        <v>34</v>
      </c>
      <c r="R3021">
        <f>IF(Table1[[#This Row],[order_status]]="completed",1,0)</f>
        <v>1</v>
      </c>
    </row>
    <row r="3022" spans="1:18" x14ac:dyDescent="0.35">
      <c r="A3022">
        <v>3021</v>
      </c>
      <c r="B3022" s="1">
        <v>45939</v>
      </c>
      <c r="C3022">
        <v>1296</v>
      </c>
      <c r="D3022" t="s">
        <v>41</v>
      </c>
      <c r="E3022" t="s">
        <v>36</v>
      </c>
      <c r="F3022" t="s">
        <v>24</v>
      </c>
      <c r="G3022">
        <v>5</v>
      </c>
      <c r="H3022">
        <v>0</v>
      </c>
      <c r="I3022" t="s">
        <v>18</v>
      </c>
      <c r="J3022" t="s">
        <v>31</v>
      </c>
      <c r="K3022" t="s">
        <v>20</v>
      </c>
      <c r="L3022">
        <v>9</v>
      </c>
      <c r="M3022">
        <v>1</v>
      </c>
      <c r="N3022">
        <v>0</v>
      </c>
      <c r="O3022" t="s">
        <v>27</v>
      </c>
      <c r="P3022" t="str">
        <f>TEXT(Table1[[#This Row],[order_date]],"yyyy-mm")</f>
        <v>2025-10</v>
      </c>
      <c r="Q3022">
        <f>WEEKNUM(Table1[[#This Row],[order_date]])</f>
        <v>41</v>
      </c>
      <c r="R3022">
        <f>IF(Table1[[#This Row],[order_status]]="completed",1,0)</f>
        <v>0</v>
      </c>
    </row>
    <row r="3023" spans="1:18" x14ac:dyDescent="0.35">
      <c r="A3023">
        <v>3022</v>
      </c>
      <c r="B3023" s="1">
        <v>46017</v>
      </c>
      <c r="C3023">
        <v>1765</v>
      </c>
      <c r="D3023" t="s">
        <v>28</v>
      </c>
      <c r="E3023" t="s">
        <v>23</v>
      </c>
      <c r="F3023" t="s">
        <v>30</v>
      </c>
      <c r="G3023">
        <v>3</v>
      </c>
      <c r="H3023">
        <v>0</v>
      </c>
      <c r="I3023" t="s">
        <v>35</v>
      </c>
      <c r="J3023" t="s">
        <v>37</v>
      </c>
      <c r="K3023" t="s">
        <v>38</v>
      </c>
      <c r="L3023">
        <v>9</v>
      </c>
      <c r="M3023">
        <v>1</v>
      </c>
      <c r="N3023">
        <v>0</v>
      </c>
      <c r="O3023" t="s">
        <v>21</v>
      </c>
      <c r="P3023" t="str">
        <f>TEXT(Table1[[#This Row],[order_date]],"yyyy-mm")</f>
        <v>2025-12</v>
      </c>
      <c r="Q3023">
        <f>WEEKNUM(Table1[[#This Row],[order_date]])</f>
        <v>52</v>
      </c>
      <c r="R3023">
        <f>IF(Table1[[#This Row],[order_status]]="completed",1,0)</f>
        <v>0</v>
      </c>
    </row>
    <row r="3024" spans="1:18" x14ac:dyDescent="0.35">
      <c r="A3024">
        <v>3023</v>
      </c>
      <c r="B3024" s="1">
        <v>45897</v>
      </c>
      <c r="C3024">
        <v>1195</v>
      </c>
      <c r="D3024" t="s">
        <v>32</v>
      </c>
      <c r="E3024" t="s">
        <v>16</v>
      </c>
      <c r="F3024" t="s">
        <v>17</v>
      </c>
      <c r="G3024">
        <v>4</v>
      </c>
      <c r="H3024">
        <v>0</v>
      </c>
      <c r="I3024" t="s">
        <v>39</v>
      </c>
      <c r="J3024" t="s">
        <v>37</v>
      </c>
      <c r="K3024" t="s">
        <v>40</v>
      </c>
      <c r="L3024">
        <v>5</v>
      </c>
      <c r="M3024">
        <v>1</v>
      </c>
      <c r="N3024">
        <v>0</v>
      </c>
      <c r="O3024" t="s">
        <v>21</v>
      </c>
      <c r="P3024" t="str">
        <f>TEXT(Table1[[#This Row],[order_date]],"yyyy-mm")</f>
        <v>2025-08</v>
      </c>
      <c r="Q3024">
        <f>WEEKNUM(Table1[[#This Row],[order_date]])</f>
        <v>35</v>
      </c>
      <c r="R3024">
        <f>IF(Table1[[#This Row],[order_status]]="completed",1,0)</f>
        <v>0</v>
      </c>
    </row>
    <row r="3025" spans="1:18" x14ac:dyDescent="0.35">
      <c r="A3025">
        <v>3024</v>
      </c>
      <c r="B3025" s="1">
        <v>45862</v>
      </c>
      <c r="C3025">
        <v>1177</v>
      </c>
      <c r="D3025" t="s">
        <v>22</v>
      </c>
      <c r="E3025" t="s">
        <v>23</v>
      </c>
      <c r="F3025" t="s">
        <v>24</v>
      </c>
      <c r="G3025">
        <v>2</v>
      </c>
      <c r="H3025">
        <v>0</v>
      </c>
      <c r="I3025" t="s">
        <v>39</v>
      </c>
      <c r="J3025" t="s">
        <v>31</v>
      </c>
      <c r="K3025" t="s">
        <v>40</v>
      </c>
      <c r="L3025">
        <v>7</v>
      </c>
      <c r="M3025">
        <v>1</v>
      </c>
      <c r="N3025">
        <v>0</v>
      </c>
      <c r="O3025" t="s">
        <v>21</v>
      </c>
      <c r="P3025" t="str">
        <f>TEXT(Table1[[#This Row],[order_date]],"yyyy-mm")</f>
        <v>2025-07</v>
      </c>
      <c r="Q3025">
        <f>WEEKNUM(Table1[[#This Row],[order_date]])</f>
        <v>30</v>
      </c>
      <c r="R3025">
        <f>IF(Table1[[#This Row],[order_status]]="completed",1,0)</f>
        <v>0</v>
      </c>
    </row>
    <row r="3026" spans="1:18" x14ac:dyDescent="0.35">
      <c r="A3026">
        <v>3025</v>
      </c>
      <c r="B3026" s="1">
        <v>45985</v>
      </c>
      <c r="C3026">
        <v>1295</v>
      </c>
      <c r="D3026" t="s">
        <v>22</v>
      </c>
      <c r="E3026" t="s">
        <v>33</v>
      </c>
      <c r="F3026" t="s">
        <v>17</v>
      </c>
      <c r="G3026">
        <v>3</v>
      </c>
      <c r="H3026">
        <v>0</v>
      </c>
      <c r="I3026" t="s">
        <v>39</v>
      </c>
      <c r="J3026" t="s">
        <v>37</v>
      </c>
      <c r="K3026" t="s">
        <v>26</v>
      </c>
      <c r="L3026">
        <v>3</v>
      </c>
      <c r="M3026">
        <v>0</v>
      </c>
      <c r="N3026">
        <v>0</v>
      </c>
      <c r="O3026" t="s">
        <v>27</v>
      </c>
      <c r="P3026" t="str">
        <f>TEXT(Table1[[#This Row],[order_date]],"yyyy-mm")</f>
        <v>2025-11</v>
      </c>
      <c r="Q3026">
        <f>WEEKNUM(Table1[[#This Row],[order_date]])</f>
        <v>48</v>
      </c>
      <c r="R3026">
        <f>IF(Table1[[#This Row],[order_status]]="completed",1,0)</f>
        <v>0</v>
      </c>
    </row>
    <row r="3027" spans="1:18" x14ac:dyDescent="0.35">
      <c r="A3027">
        <v>3026</v>
      </c>
      <c r="B3027" s="1">
        <v>45868</v>
      </c>
      <c r="C3027">
        <v>1267</v>
      </c>
      <c r="D3027" t="s">
        <v>41</v>
      </c>
      <c r="E3027" t="s">
        <v>29</v>
      </c>
      <c r="F3027" t="s">
        <v>34</v>
      </c>
      <c r="G3027">
        <v>3</v>
      </c>
      <c r="H3027">
        <v>10989</v>
      </c>
      <c r="I3027" t="s">
        <v>39</v>
      </c>
      <c r="J3027" t="s">
        <v>19</v>
      </c>
      <c r="K3027" t="s">
        <v>20</v>
      </c>
      <c r="L3027">
        <v>1</v>
      </c>
      <c r="M3027">
        <v>0</v>
      </c>
      <c r="N3027">
        <v>1</v>
      </c>
      <c r="O3027" t="s">
        <v>27</v>
      </c>
      <c r="P3027" t="str">
        <f>TEXT(Table1[[#This Row],[order_date]],"yyyy-mm")</f>
        <v>2025-07</v>
      </c>
      <c r="Q3027">
        <f>WEEKNUM(Table1[[#This Row],[order_date]])</f>
        <v>31</v>
      </c>
      <c r="R3027">
        <f>IF(Table1[[#This Row],[order_status]]="completed",1,0)</f>
        <v>1</v>
      </c>
    </row>
    <row r="3028" spans="1:18" x14ac:dyDescent="0.35">
      <c r="A3028">
        <v>3027</v>
      </c>
      <c r="B3028" s="1">
        <v>45958</v>
      </c>
      <c r="C3028">
        <v>1740</v>
      </c>
      <c r="D3028" t="s">
        <v>28</v>
      </c>
      <c r="E3028" t="s">
        <v>29</v>
      </c>
      <c r="F3028" t="s">
        <v>34</v>
      </c>
      <c r="G3028">
        <v>2</v>
      </c>
      <c r="H3028">
        <v>4760</v>
      </c>
      <c r="I3028" t="s">
        <v>35</v>
      </c>
      <c r="J3028" t="s">
        <v>19</v>
      </c>
      <c r="K3028" t="s">
        <v>38</v>
      </c>
      <c r="L3028">
        <v>4</v>
      </c>
      <c r="M3028">
        <v>0</v>
      </c>
      <c r="N3028">
        <v>1</v>
      </c>
      <c r="O3028" t="s">
        <v>27</v>
      </c>
      <c r="P3028" t="str">
        <f>TEXT(Table1[[#This Row],[order_date]],"yyyy-mm")</f>
        <v>2025-10</v>
      </c>
      <c r="Q3028">
        <f>WEEKNUM(Table1[[#This Row],[order_date]])</f>
        <v>44</v>
      </c>
      <c r="R3028">
        <f>IF(Table1[[#This Row],[order_status]]="completed",1,0)</f>
        <v>1</v>
      </c>
    </row>
    <row r="3029" spans="1:18" x14ac:dyDescent="0.35">
      <c r="A3029">
        <v>3028</v>
      </c>
      <c r="B3029" s="1">
        <v>45989</v>
      </c>
      <c r="C3029">
        <v>1624</v>
      </c>
      <c r="D3029" t="s">
        <v>22</v>
      </c>
      <c r="E3029" t="s">
        <v>29</v>
      </c>
      <c r="F3029" t="s">
        <v>17</v>
      </c>
      <c r="G3029">
        <v>1</v>
      </c>
      <c r="H3029">
        <v>2499</v>
      </c>
      <c r="I3029" t="s">
        <v>35</v>
      </c>
      <c r="J3029" t="s">
        <v>19</v>
      </c>
      <c r="K3029" t="s">
        <v>20</v>
      </c>
      <c r="L3029">
        <v>3</v>
      </c>
      <c r="M3029">
        <v>1</v>
      </c>
      <c r="N3029">
        <v>1</v>
      </c>
      <c r="O3029" t="s">
        <v>27</v>
      </c>
      <c r="P3029" t="str">
        <f>TEXT(Table1[[#This Row],[order_date]],"yyyy-mm")</f>
        <v>2025-11</v>
      </c>
      <c r="Q3029">
        <f>WEEKNUM(Table1[[#This Row],[order_date]])</f>
        <v>48</v>
      </c>
      <c r="R3029">
        <f>IF(Table1[[#This Row],[order_status]]="completed",1,0)</f>
        <v>1</v>
      </c>
    </row>
    <row r="3030" spans="1:18" x14ac:dyDescent="0.35">
      <c r="A3030">
        <v>3029</v>
      </c>
      <c r="B3030" s="1">
        <v>45972</v>
      </c>
      <c r="C3030">
        <v>1286</v>
      </c>
      <c r="D3030" t="s">
        <v>41</v>
      </c>
      <c r="E3030" t="s">
        <v>33</v>
      </c>
      <c r="F3030" t="s">
        <v>34</v>
      </c>
      <c r="G3030">
        <v>1</v>
      </c>
      <c r="H3030">
        <v>0</v>
      </c>
      <c r="I3030" t="s">
        <v>35</v>
      </c>
      <c r="J3030" t="s">
        <v>37</v>
      </c>
      <c r="K3030" t="s">
        <v>20</v>
      </c>
      <c r="L3030">
        <v>10</v>
      </c>
      <c r="M3030">
        <v>0</v>
      </c>
      <c r="N3030">
        <v>0</v>
      </c>
      <c r="O3030" t="s">
        <v>21</v>
      </c>
      <c r="P3030" t="str">
        <f>TEXT(Table1[[#This Row],[order_date]],"yyyy-mm")</f>
        <v>2025-11</v>
      </c>
      <c r="Q3030">
        <f>WEEKNUM(Table1[[#This Row],[order_date]])</f>
        <v>46</v>
      </c>
      <c r="R3030">
        <f>IF(Table1[[#This Row],[order_status]]="completed",1,0)</f>
        <v>0</v>
      </c>
    </row>
    <row r="3031" spans="1:18" x14ac:dyDescent="0.35">
      <c r="A3031">
        <v>3030</v>
      </c>
      <c r="B3031" s="1">
        <v>45943</v>
      </c>
      <c r="C3031">
        <v>1825</v>
      </c>
      <c r="D3031" t="s">
        <v>22</v>
      </c>
      <c r="E3031" t="s">
        <v>36</v>
      </c>
      <c r="F3031" t="s">
        <v>34</v>
      </c>
      <c r="G3031">
        <v>1</v>
      </c>
      <c r="H3031">
        <v>0</v>
      </c>
      <c r="I3031" t="s">
        <v>35</v>
      </c>
      <c r="J3031" t="s">
        <v>37</v>
      </c>
      <c r="K3031" t="s">
        <v>20</v>
      </c>
      <c r="L3031">
        <v>9</v>
      </c>
      <c r="M3031">
        <v>0</v>
      </c>
      <c r="N3031">
        <v>1</v>
      </c>
      <c r="O3031" t="s">
        <v>21</v>
      </c>
      <c r="P3031" t="str">
        <f>TEXT(Table1[[#This Row],[order_date]],"yyyy-mm")</f>
        <v>2025-10</v>
      </c>
      <c r="Q3031">
        <f>WEEKNUM(Table1[[#This Row],[order_date]])</f>
        <v>42</v>
      </c>
      <c r="R3031">
        <f>IF(Table1[[#This Row],[order_status]]="completed",1,0)</f>
        <v>0</v>
      </c>
    </row>
    <row r="3032" spans="1:18" x14ac:dyDescent="0.35">
      <c r="A3032">
        <v>3031</v>
      </c>
      <c r="B3032" s="1">
        <v>45884</v>
      </c>
      <c r="C3032">
        <v>1474</v>
      </c>
      <c r="D3032" t="s">
        <v>41</v>
      </c>
      <c r="E3032" t="s">
        <v>23</v>
      </c>
      <c r="F3032" t="s">
        <v>30</v>
      </c>
      <c r="G3032">
        <v>3</v>
      </c>
      <c r="H3032">
        <v>11340</v>
      </c>
      <c r="I3032" t="s">
        <v>35</v>
      </c>
      <c r="J3032" t="s">
        <v>19</v>
      </c>
      <c r="K3032" t="s">
        <v>20</v>
      </c>
      <c r="L3032">
        <v>6</v>
      </c>
      <c r="M3032">
        <v>1</v>
      </c>
      <c r="N3032">
        <v>0</v>
      </c>
      <c r="O3032" t="s">
        <v>21</v>
      </c>
      <c r="P3032" t="str">
        <f>TEXT(Table1[[#This Row],[order_date]],"yyyy-mm")</f>
        <v>2025-08</v>
      </c>
      <c r="Q3032">
        <f>WEEKNUM(Table1[[#This Row],[order_date]])</f>
        <v>33</v>
      </c>
      <c r="R3032">
        <f>IF(Table1[[#This Row],[order_status]]="completed",1,0)</f>
        <v>1</v>
      </c>
    </row>
    <row r="3033" spans="1:18" x14ac:dyDescent="0.35">
      <c r="A3033">
        <v>3032</v>
      </c>
      <c r="B3033" s="1">
        <v>45956</v>
      </c>
      <c r="C3033">
        <v>1531</v>
      </c>
      <c r="D3033" t="s">
        <v>32</v>
      </c>
      <c r="E3033" t="s">
        <v>16</v>
      </c>
      <c r="F3033" t="s">
        <v>24</v>
      </c>
      <c r="G3033">
        <v>2</v>
      </c>
      <c r="H3033">
        <v>0</v>
      </c>
      <c r="I3033" t="s">
        <v>39</v>
      </c>
      <c r="J3033" t="s">
        <v>37</v>
      </c>
      <c r="K3033" t="s">
        <v>20</v>
      </c>
      <c r="L3033">
        <v>6</v>
      </c>
      <c r="M3033">
        <v>0</v>
      </c>
      <c r="N3033">
        <v>0</v>
      </c>
      <c r="O3033" t="s">
        <v>27</v>
      </c>
      <c r="P3033" t="str">
        <f>TEXT(Table1[[#This Row],[order_date]],"yyyy-mm")</f>
        <v>2025-10</v>
      </c>
      <c r="Q3033">
        <f>WEEKNUM(Table1[[#This Row],[order_date]])</f>
        <v>44</v>
      </c>
      <c r="R3033">
        <f>IF(Table1[[#This Row],[order_status]]="completed",1,0)</f>
        <v>0</v>
      </c>
    </row>
    <row r="3034" spans="1:18" x14ac:dyDescent="0.35">
      <c r="A3034">
        <v>3033</v>
      </c>
      <c r="B3034" s="1">
        <v>45858</v>
      </c>
      <c r="C3034">
        <v>1535</v>
      </c>
      <c r="D3034" t="s">
        <v>15</v>
      </c>
      <c r="E3034" t="s">
        <v>36</v>
      </c>
      <c r="F3034" t="s">
        <v>30</v>
      </c>
      <c r="G3034">
        <v>5</v>
      </c>
      <c r="H3034">
        <v>18015</v>
      </c>
      <c r="I3034" t="s">
        <v>35</v>
      </c>
      <c r="J3034" t="s">
        <v>19</v>
      </c>
      <c r="K3034" t="s">
        <v>26</v>
      </c>
      <c r="L3034">
        <v>6</v>
      </c>
      <c r="M3034">
        <v>1</v>
      </c>
      <c r="N3034">
        <v>0</v>
      </c>
      <c r="O3034" t="s">
        <v>27</v>
      </c>
      <c r="P3034" t="str">
        <f>TEXT(Table1[[#This Row],[order_date]],"yyyy-mm")</f>
        <v>2025-07</v>
      </c>
      <c r="Q3034">
        <f>WEEKNUM(Table1[[#This Row],[order_date]])</f>
        <v>30</v>
      </c>
      <c r="R3034">
        <f>IF(Table1[[#This Row],[order_status]]="completed",1,0)</f>
        <v>1</v>
      </c>
    </row>
    <row r="3035" spans="1:18" x14ac:dyDescent="0.35">
      <c r="A3035">
        <v>3034</v>
      </c>
      <c r="B3035" s="1">
        <v>45910</v>
      </c>
      <c r="C3035">
        <v>1503</v>
      </c>
      <c r="D3035" t="s">
        <v>41</v>
      </c>
      <c r="E3035" t="s">
        <v>16</v>
      </c>
      <c r="F3035" t="s">
        <v>17</v>
      </c>
      <c r="G3035">
        <v>1</v>
      </c>
      <c r="H3035">
        <v>0</v>
      </c>
      <c r="I3035" t="s">
        <v>25</v>
      </c>
      <c r="J3035" t="s">
        <v>37</v>
      </c>
      <c r="K3035" t="s">
        <v>26</v>
      </c>
      <c r="L3035">
        <v>4</v>
      </c>
      <c r="M3035">
        <v>0</v>
      </c>
      <c r="N3035">
        <v>1</v>
      </c>
      <c r="O3035" t="s">
        <v>27</v>
      </c>
      <c r="P3035" t="str">
        <f>TEXT(Table1[[#This Row],[order_date]],"yyyy-mm")</f>
        <v>2025-09</v>
      </c>
      <c r="Q3035">
        <f>WEEKNUM(Table1[[#This Row],[order_date]])</f>
        <v>37</v>
      </c>
      <c r="R3035">
        <f>IF(Table1[[#This Row],[order_status]]="completed",1,0)</f>
        <v>0</v>
      </c>
    </row>
    <row r="3036" spans="1:18" x14ac:dyDescent="0.35">
      <c r="A3036">
        <v>3035</v>
      </c>
      <c r="B3036" s="1">
        <v>45952</v>
      </c>
      <c r="C3036">
        <v>1127</v>
      </c>
      <c r="D3036" t="s">
        <v>15</v>
      </c>
      <c r="E3036" t="s">
        <v>29</v>
      </c>
      <c r="F3036" t="s">
        <v>17</v>
      </c>
      <c r="G3036">
        <v>2</v>
      </c>
      <c r="H3036">
        <v>3082</v>
      </c>
      <c r="I3036" t="s">
        <v>39</v>
      </c>
      <c r="J3036" t="s">
        <v>19</v>
      </c>
      <c r="K3036" t="s">
        <v>20</v>
      </c>
      <c r="L3036">
        <v>3</v>
      </c>
      <c r="M3036">
        <v>1</v>
      </c>
      <c r="N3036">
        <v>0</v>
      </c>
      <c r="O3036" t="s">
        <v>27</v>
      </c>
      <c r="P3036" t="str">
        <f>TEXT(Table1[[#This Row],[order_date]],"yyyy-mm")</f>
        <v>2025-10</v>
      </c>
      <c r="Q3036">
        <f>WEEKNUM(Table1[[#This Row],[order_date]])</f>
        <v>43</v>
      </c>
      <c r="R3036">
        <f>IF(Table1[[#This Row],[order_status]]="completed",1,0)</f>
        <v>1</v>
      </c>
    </row>
    <row r="3037" spans="1:18" x14ac:dyDescent="0.35">
      <c r="A3037">
        <v>3036</v>
      </c>
      <c r="B3037" s="1">
        <v>45963</v>
      </c>
      <c r="C3037">
        <v>1161</v>
      </c>
      <c r="D3037" t="s">
        <v>41</v>
      </c>
      <c r="E3037" t="s">
        <v>29</v>
      </c>
      <c r="F3037" t="s">
        <v>17</v>
      </c>
      <c r="G3037">
        <v>4</v>
      </c>
      <c r="H3037">
        <v>0</v>
      </c>
      <c r="I3037" t="s">
        <v>18</v>
      </c>
      <c r="J3037" t="s">
        <v>31</v>
      </c>
      <c r="K3037" t="s">
        <v>40</v>
      </c>
      <c r="L3037">
        <v>1</v>
      </c>
      <c r="M3037">
        <v>0</v>
      </c>
      <c r="N3037">
        <v>1</v>
      </c>
      <c r="O3037" t="s">
        <v>21</v>
      </c>
      <c r="P3037" t="str">
        <f>TEXT(Table1[[#This Row],[order_date]],"yyyy-mm")</f>
        <v>2025-11</v>
      </c>
      <c r="Q3037">
        <f>WEEKNUM(Table1[[#This Row],[order_date]])</f>
        <v>45</v>
      </c>
      <c r="R3037">
        <f>IF(Table1[[#This Row],[order_status]]="completed",1,0)</f>
        <v>0</v>
      </c>
    </row>
    <row r="3038" spans="1:18" x14ac:dyDescent="0.35">
      <c r="A3038">
        <v>3037</v>
      </c>
      <c r="B3038" s="1">
        <v>46000</v>
      </c>
      <c r="C3038">
        <v>1203</v>
      </c>
      <c r="D3038" t="s">
        <v>15</v>
      </c>
      <c r="E3038" t="s">
        <v>23</v>
      </c>
      <c r="F3038" t="s">
        <v>34</v>
      </c>
      <c r="G3038">
        <v>4</v>
      </c>
      <c r="H3038">
        <v>0</v>
      </c>
      <c r="I3038" t="s">
        <v>25</v>
      </c>
      <c r="J3038" t="s">
        <v>37</v>
      </c>
      <c r="K3038" t="s">
        <v>40</v>
      </c>
      <c r="L3038">
        <v>6</v>
      </c>
      <c r="M3038">
        <v>1</v>
      </c>
      <c r="N3038">
        <v>1</v>
      </c>
      <c r="O3038" t="s">
        <v>21</v>
      </c>
      <c r="P3038" t="str">
        <f>TEXT(Table1[[#This Row],[order_date]],"yyyy-mm")</f>
        <v>2025-12</v>
      </c>
      <c r="Q3038">
        <f>WEEKNUM(Table1[[#This Row],[order_date]])</f>
        <v>50</v>
      </c>
      <c r="R3038">
        <f>IF(Table1[[#This Row],[order_status]]="completed",1,0)</f>
        <v>0</v>
      </c>
    </row>
    <row r="3039" spans="1:18" x14ac:dyDescent="0.35">
      <c r="A3039">
        <v>3038</v>
      </c>
      <c r="B3039" s="1">
        <v>45958</v>
      </c>
      <c r="C3039">
        <v>1863</v>
      </c>
      <c r="D3039" t="s">
        <v>15</v>
      </c>
      <c r="E3039" t="s">
        <v>23</v>
      </c>
      <c r="F3039" t="s">
        <v>17</v>
      </c>
      <c r="G3039">
        <v>5</v>
      </c>
      <c r="H3039">
        <v>0</v>
      </c>
      <c r="I3039" t="s">
        <v>18</v>
      </c>
      <c r="J3039" t="s">
        <v>31</v>
      </c>
      <c r="K3039" t="s">
        <v>26</v>
      </c>
      <c r="L3039">
        <v>4</v>
      </c>
      <c r="M3039">
        <v>1</v>
      </c>
      <c r="N3039">
        <v>1</v>
      </c>
      <c r="O3039" t="s">
        <v>27</v>
      </c>
      <c r="P3039" t="str">
        <f>TEXT(Table1[[#This Row],[order_date]],"yyyy-mm")</f>
        <v>2025-10</v>
      </c>
      <c r="Q3039">
        <f>WEEKNUM(Table1[[#This Row],[order_date]])</f>
        <v>44</v>
      </c>
      <c r="R3039">
        <f>IF(Table1[[#This Row],[order_status]]="completed",1,0)</f>
        <v>0</v>
      </c>
    </row>
    <row r="3040" spans="1:18" x14ac:dyDescent="0.35">
      <c r="A3040">
        <v>3039</v>
      </c>
      <c r="B3040" s="1">
        <v>45871</v>
      </c>
      <c r="C3040">
        <v>1146</v>
      </c>
      <c r="D3040" t="s">
        <v>15</v>
      </c>
      <c r="E3040" t="s">
        <v>36</v>
      </c>
      <c r="F3040" t="s">
        <v>30</v>
      </c>
      <c r="G3040">
        <v>4</v>
      </c>
      <c r="H3040">
        <v>0</v>
      </c>
      <c r="I3040" t="s">
        <v>18</v>
      </c>
      <c r="J3040" t="s">
        <v>31</v>
      </c>
      <c r="K3040" t="s">
        <v>20</v>
      </c>
      <c r="L3040">
        <v>4</v>
      </c>
      <c r="M3040">
        <v>1</v>
      </c>
      <c r="N3040">
        <v>1</v>
      </c>
      <c r="O3040" t="s">
        <v>27</v>
      </c>
      <c r="P3040" t="str">
        <f>TEXT(Table1[[#This Row],[order_date]],"yyyy-mm")</f>
        <v>2025-08</v>
      </c>
      <c r="Q3040">
        <f>WEEKNUM(Table1[[#This Row],[order_date]])</f>
        <v>31</v>
      </c>
      <c r="R3040">
        <f>IF(Table1[[#This Row],[order_status]]="completed",1,0)</f>
        <v>0</v>
      </c>
    </row>
    <row r="3041" spans="1:18" x14ac:dyDescent="0.35">
      <c r="A3041">
        <v>3040</v>
      </c>
      <c r="B3041" s="1">
        <v>45995</v>
      </c>
      <c r="C3041">
        <v>1596</v>
      </c>
      <c r="D3041" t="s">
        <v>15</v>
      </c>
      <c r="E3041" t="s">
        <v>33</v>
      </c>
      <c r="F3041" t="s">
        <v>17</v>
      </c>
      <c r="G3041">
        <v>3</v>
      </c>
      <c r="H3041">
        <v>0</v>
      </c>
      <c r="I3041" t="s">
        <v>25</v>
      </c>
      <c r="J3041" t="s">
        <v>31</v>
      </c>
      <c r="K3041" t="s">
        <v>26</v>
      </c>
      <c r="L3041">
        <v>1</v>
      </c>
      <c r="M3041">
        <v>0</v>
      </c>
      <c r="N3041">
        <v>1</v>
      </c>
      <c r="O3041" t="s">
        <v>27</v>
      </c>
      <c r="P3041" t="str">
        <f>TEXT(Table1[[#This Row],[order_date]],"yyyy-mm")</f>
        <v>2025-12</v>
      </c>
      <c r="Q3041">
        <f>WEEKNUM(Table1[[#This Row],[order_date]])</f>
        <v>49</v>
      </c>
      <c r="R3041">
        <f>IF(Table1[[#This Row],[order_status]]="completed",1,0)</f>
        <v>0</v>
      </c>
    </row>
    <row r="3042" spans="1:18" x14ac:dyDescent="0.35">
      <c r="A3042">
        <v>3041</v>
      </c>
      <c r="B3042" s="1">
        <v>45854</v>
      </c>
      <c r="C3042">
        <v>1273</v>
      </c>
      <c r="D3042" t="s">
        <v>41</v>
      </c>
      <c r="E3042" t="s">
        <v>36</v>
      </c>
      <c r="F3042" t="s">
        <v>17</v>
      </c>
      <c r="G3042">
        <v>1</v>
      </c>
      <c r="H3042">
        <v>0</v>
      </c>
      <c r="I3042" t="s">
        <v>39</v>
      </c>
      <c r="J3042" t="s">
        <v>31</v>
      </c>
      <c r="K3042" t="s">
        <v>40</v>
      </c>
      <c r="L3042">
        <v>10</v>
      </c>
      <c r="M3042">
        <v>1</v>
      </c>
      <c r="N3042">
        <v>0</v>
      </c>
      <c r="O3042" t="s">
        <v>27</v>
      </c>
      <c r="P3042" t="str">
        <f>TEXT(Table1[[#This Row],[order_date]],"yyyy-mm")</f>
        <v>2025-07</v>
      </c>
      <c r="Q3042">
        <f>WEEKNUM(Table1[[#This Row],[order_date]])</f>
        <v>29</v>
      </c>
      <c r="R3042">
        <f>IF(Table1[[#This Row],[order_status]]="completed",1,0)</f>
        <v>0</v>
      </c>
    </row>
    <row r="3043" spans="1:18" x14ac:dyDescent="0.35">
      <c r="A3043">
        <v>3042</v>
      </c>
      <c r="B3043" s="1">
        <v>45875</v>
      </c>
      <c r="C3043">
        <v>1892</v>
      </c>
      <c r="D3043" t="s">
        <v>32</v>
      </c>
      <c r="E3043" t="s">
        <v>16</v>
      </c>
      <c r="F3043" t="s">
        <v>34</v>
      </c>
      <c r="G3043">
        <v>4</v>
      </c>
      <c r="H3043">
        <v>3568</v>
      </c>
      <c r="I3043" t="s">
        <v>18</v>
      </c>
      <c r="J3043" t="s">
        <v>19</v>
      </c>
      <c r="K3043" t="s">
        <v>26</v>
      </c>
      <c r="L3043">
        <v>2</v>
      </c>
      <c r="M3043">
        <v>1</v>
      </c>
      <c r="N3043">
        <v>1</v>
      </c>
      <c r="O3043" t="s">
        <v>21</v>
      </c>
      <c r="P3043" t="str">
        <f>TEXT(Table1[[#This Row],[order_date]],"yyyy-mm")</f>
        <v>2025-08</v>
      </c>
      <c r="Q3043">
        <f>WEEKNUM(Table1[[#This Row],[order_date]])</f>
        <v>32</v>
      </c>
      <c r="R3043">
        <f>IF(Table1[[#This Row],[order_status]]="completed",1,0)</f>
        <v>1</v>
      </c>
    </row>
    <row r="3044" spans="1:18" x14ac:dyDescent="0.35">
      <c r="A3044">
        <v>3043</v>
      </c>
      <c r="B3044" s="1">
        <v>45910</v>
      </c>
      <c r="C3044">
        <v>1298</v>
      </c>
      <c r="D3044" t="s">
        <v>15</v>
      </c>
      <c r="E3044" t="s">
        <v>36</v>
      </c>
      <c r="F3044" t="s">
        <v>30</v>
      </c>
      <c r="G3044">
        <v>5</v>
      </c>
      <c r="H3044">
        <v>13350</v>
      </c>
      <c r="I3044" t="s">
        <v>35</v>
      </c>
      <c r="J3044" t="s">
        <v>19</v>
      </c>
      <c r="K3044" t="s">
        <v>20</v>
      </c>
      <c r="L3044">
        <v>6</v>
      </c>
      <c r="M3044">
        <v>1</v>
      </c>
      <c r="N3044">
        <v>1</v>
      </c>
      <c r="O3044" t="s">
        <v>27</v>
      </c>
      <c r="P3044" t="str">
        <f>TEXT(Table1[[#This Row],[order_date]],"yyyy-mm")</f>
        <v>2025-09</v>
      </c>
      <c r="Q3044">
        <f>WEEKNUM(Table1[[#This Row],[order_date]])</f>
        <v>37</v>
      </c>
      <c r="R3044">
        <f>IF(Table1[[#This Row],[order_status]]="completed",1,0)</f>
        <v>1</v>
      </c>
    </row>
    <row r="3045" spans="1:18" x14ac:dyDescent="0.35">
      <c r="A3045">
        <v>3044</v>
      </c>
      <c r="B3045" s="1">
        <v>45969</v>
      </c>
      <c r="C3045">
        <v>1811</v>
      </c>
      <c r="D3045" t="s">
        <v>15</v>
      </c>
      <c r="E3045" t="s">
        <v>33</v>
      </c>
      <c r="F3045" t="s">
        <v>30</v>
      </c>
      <c r="G3045">
        <v>4</v>
      </c>
      <c r="H3045">
        <v>0</v>
      </c>
      <c r="I3045" t="s">
        <v>39</v>
      </c>
      <c r="J3045" t="s">
        <v>31</v>
      </c>
      <c r="K3045" t="s">
        <v>20</v>
      </c>
      <c r="L3045">
        <v>3</v>
      </c>
      <c r="M3045">
        <v>0</v>
      </c>
      <c r="N3045">
        <v>1</v>
      </c>
      <c r="O3045" t="s">
        <v>27</v>
      </c>
      <c r="P3045" t="str">
        <f>TEXT(Table1[[#This Row],[order_date]],"yyyy-mm")</f>
        <v>2025-11</v>
      </c>
      <c r="Q3045">
        <f>WEEKNUM(Table1[[#This Row],[order_date]])</f>
        <v>45</v>
      </c>
      <c r="R3045">
        <f>IF(Table1[[#This Row],[order_status]]="completed",1,0)</f>
        <v>0</v>
      </c>
    </row>
    <row r="3046" spans="1:18" x14ac:dyDescent="0.35">
      <c r="A3046">
        <v>3045</v>
      </c>
      <c r="B3046" s="1">
        <v>45860</v>
      </c>
      <c r="C3046">
        <v>1470</v>
      </c>
      <c r="D3046" t="s">
        <v>22</v>
      </c>
      <c r="E3046" t="s">
        <v>23</v>
      </c>
      <c r="F3046" t="s">
        <v>30</v>
      </c>
      <c r="G3046">
        <v>2</v>
      </c>
      <c r="H3046">
        <v>0</v>
      </c>
      <c r="I3046" t="s">
        <v>25</v>
      </c>
      <c r="J3046" t="s">
        <v>31</v>
      </c>
      <c r="K3046" t="s">
        <v>26</v>
      </c>
      <c r="L3046">
        <v>4</v>
      </c>
      <c r="M3046">
        <v>1</v>
      </c>
      <c r="N3046">
        <v>1</v>
      </c>
      <c r="O3046" t="s">
        <v>27</v>
      </c>
      <c r="P3046" t="str">
        <f>TEXT(Table1[[#This Row],[order_date]],"yyyy-mm")</f>
        <v>2025-07</v>
      </c>
      <c r="Q3046">
        <f>WEEKNUM(Table1[[#This Row],[order_date]])</f>
        <v>30</v>
      </c>
      <c r="R3046">
        <f>IF(Table1[[#This Row],[order_status]]="completed",1,0)</f>
        <v>0</v>
      </c>
    </row>
    <row r="3047" spans="1:18" x14ac:dyDescent="0.35">
      <c r="A3047">
        <v>3046</v>
      </c>
      <c r="B3047" s="1">
        <v>45962</v>
      </c>
      <c r="C3047">
        <v>1722</v>
      </c>
      <c r="D3047" t="s">
        <v>22</v>
      </c>
      <c r="E3047" t="s">
        <v>29</v>
      </c>
      <c r="F3047" t="s">
        <v>24</v>
      </c>
      <c r="G3047">
        <v>5</v>
      </c>
      <c r="H3047">
        <v>11575</v>
      </c>
      <c r="I3047" t="s">
        <v>39</v>
      </c>
      <c r="J3047" t="s">
        <v>19</v>
      </c>
      <c r="K3047" t="s">
        <v>26</v>
      </c>
      <c r="L3047">
        <v>10</v>
      </c>
      <c r="M3047">
        <v>1</v>
      </c>
      <c r="N3047">
        <v>1</v>
      </c>
      <c r="O3047" t="s">
        <v>27</v>
      </c>
      <c r="P3047" t="str">
        <f>TEXT(Table1[[#This Row],[order_date]],"yyyy-mm")</f>
        <v>2025-11</v>
      </c>
      <c r="Q3047">
        <f>WEEKNUM(Table1[[#This Row],[order_date]])</f>
        <v>44</v>
      </c>
      <c r="R3047">
        <f>IF(Table1[[#This Row],[order_status]]="completed",1,0)</f>
        <v>1</v>
      </c>
    </row>
    <row r="3048" spans="1:18" x14ac:dyDescent="0.35">
      <c r="A3048">
        <v>3047</v>
      </c>
      <c r="B3048" s="1">
        <v>45905</v>
      </c>
      <c r="C3048">
        <v>1612</v>
      </c>
      <c r="D3048" t="s">
        <v>28</v>
      </c>
      <c r="E3048" t="s">
        <v>36</v>
      </c>
      <c r="F3048" t="s">
        <v>17</v>
      </c>
      <c r="G3048">
        <v>2</v>
      </c>
      <c r="H3048">
        <v>412</v>
      </c>
      <c r="I3048" t="s">
        <v>39</v>
      </c>
      <c r="J3048" t="s">
        <v>19</v>
      </c>
      <c r="K3048" t="s">
        <v>38</v>
      </c>
      <c r="L3048">
        <v>6</v>
      </c>
      <c r="M3048">
        <v>0</v>
      </c>
      <c r="N3048">
        <v>1</v>
      </c>
      <c r="O3048" t="s">
        <v>27</v>
      </c>
      <c r="P3048" t="str">
        <f>TEXT(Table1[[#This Row],[order_date]],"yyyy-mm")</f>
        <v>2025-09</v>
      </c>
      <c r="Q3048">
        <f>WEEKNUM(Table1[[#This Row],[order_date]])</f>
        <v>36</v>
      </c>
      <c r="R3048">
        <f>IF(Table1[[#This Row],[order_status]]="completed",1,0)</f>
        <v>1</v>
      </c>
    </row>
    <row r="3049" spans="1:18" x14ac:dyDescent="0.35">
      <c r="A3049">
        <v>3048</v>
      </c>
      <c r="B3049" s="1">
        <v>45992</v>
      </c>
      <c r="C3049">
        <v>1552</v>
      </c>
      <c r="D3049" t="s">
        <v>15</v>
      </c>
      <c r="E3049" t="s">
        <v>23</v>
      </c>
      <c r="F3049" t="s">
        <v>17</v>
      </c>
      <c r="G3049">
        <v>3</v>
      </c>
      <c r="H3049">
        <v>0</v>
      </c>
      <c r="I3049" t="s">
        <v>39</v>
      </c>
      <c r="J3049" t="s">
        <v>37</v>
      </c>
      <c r="K3049" t="s">
        <v>40</v>
      </c>
      <c r="L3049">
        <v>3</v>
      </c>
      <c r="M3049">
        <v>0</v>
      </c>
      <c r="N3049">
        <v>1</v>
      </c>
      <c r="O3049" t="s">
        <v>27</v>
      </c>
      <c r="P3049" t="str">
        <f>TEXT(Table1[[#This Row],[order_date]],"yyyy-mm")</f>
        <v>2025-12</v>
      </c>
      <c r="Q3049">
        <f>WEEKNUM(Table1[[#This Row],[order_date]])</f>
        <v>49</v>
      </c>
      <c r="R3049">
        <f>IF(Table1[[#This Row],[order_status]]="completed",1,0)</f>
        <v>0</v>
      </c>
    </row>
    <row r="3050" spans="1:18" x14ac:dyDescent="0.35">
      <c r="A3050">
        <v>3049</v>
      </c>
      <c r="B3050" s="1">
        <v>45914</v>
      </c>
      <c r="C3050">
        <v>1357</v>
      </c>
      <c r="D3050" t="s">
        <v>28</v>
      </c>
      <c r="E3050" t="s">
        <v>36</v>
      </c>
      <c r="F3050" t="s">
        <v>24</v>
      </c>
      <c r="G3050">
        <v>1</v>
      </c>
      <c r="H3050">
        <v>0</v>
      </c>
      <c r="I3050" t="s">
        <v>39</v>
      </c>
      <c r="J3050" t="s">
        <v>31</v>
      </c>
      <c r="K3050" t="s">
        <v>38</v>
      </c>
      <c r="L3050">
        <v>7</v>
      </c>
      <c r="M3050">
        <v>1</v>
      </c>
      <c r="N3050">
        <v>1</v>
      </c>
      <c r="O3050" t="s">
        <v>27</v>
      </c>
      <c r="P3050" t="str">
        <f>TEXT(Table1[[#This Row],[order_date]],"yyyy-mm")</f>
        <v>2025-09</v>
      </c>
      <c r="Q3050">
        <f>WEEKNUM(Table1[[#This Row],[order_date]])</f>
        <v>38</v>
      </c>
      <c r="R3050">
        <f>IF(Table1[[#This Row],[order_status]]="completed",1,0)</f>
        <v>0</v>
      </c>
    </row>
    <row r="3051" spans="1:18" x14ac:dyDescent="0.35">
      <c r="A3051">
        <v>3050</v>
      </c>
      <c r="B3051" s="1">
        <v>45934</v>
      </c>
      <c r="C3051">
        <v>1368</v>
      </c>
      <c r="D3051" t="s">
        <v>28</v>
      </c>
      <c r="E3051" t="s">
        <v>33</v>
      </c>
      <c r="F3051" t="s">
        <v>30</v>
      </c>
      <c r="G3051">
        <v>4</v>
      </c>
      <c r="H3051">
        <v>15348</v>
      </c>
      <c r="I3051" t="s">
        <v>18</v>
      </c>
      <c r="J3051" t="s">
        <v>19</v>
      </c>
      <c r="K3051" t="s">
        <v>26</v>
      </c>
      <c r="L3051">
        <v>6</v>
      </c>
      <c r="M3051">
        <v>1</v>
      </c>
      <c r="N3051">
        <v>0</v>
      </c>
      <c r="O3051" t="s">
        <v>27</v>
      </c>
      <c r="P3051" t="str">
        <f>TEXT(Table1[[#This Row],[order_date]],"yyyy-mm")</f>
        <v>2025-10</v>
      </c>
      <c r="Q3051">
        <f>WEEKNUM(Table1[[#This Row],[order_date]])</f>
        <v>40</v>
      </c>
      <c r="R3051">
        <f>IF(Table1[[#This Row],[order_status]]="completed",1,0)</f>
        <v>1</v>
      </c>
    </row>
    <row r="3052" spans="1:18" x14ac:dyDescent="0.35">
      <c r="A3052">
        <v>3051</v>
      </c>
      <c r="B3052" s="1">
        <v>45976</v>
      </c>
      <c r="C3052">
        <v>1582</v>
      </c>
      <c r="D3052" t="s">
        <v>41</v>
      </c>
      <c r="E3052" t="s">
        <v>36</v>
      </c>
      <c r="F3052" t="s">
        <v>24</v>
      </c>
      <c r="G3052">
        <v>5</v>
      </c>
      <c r="H3052">
        <v>13020</v>
      </c>
      <c r="I3052" t="s">
        <v>18</v>
      </c>
      <c r="J3052" t="s">
        <v>19</v>
      </c>
      <c r="K3052" t="s">
        <v>38</v>
      </c>
      <c r="L3052">
        <v>7</v>
      </c>
      <c r="M3052">
        <v>0</v>
      </c>
      <c r="N3052">
        <v>1</v>
      </c>
      <c r="O3052" t="s">
        <v>21</v>
      </c>
      <c r="P3052" t="str">
        <f>TEXT(Table1[[#This Row],[order_date]],"yyyy-mm")</f>
        <v>2025-11</v>
      </c>
      <c r="Q3052">
        <f>WEEKNUM(Table1[[#This Row],[order_date]])</f>
        <v>46</v>
      </c>
      <c r="R3052">
        <f>IF(Table1[[#This Row],[order_status]]="completed",1,0)</f>
        <v>1</v>
      </c>
    </row>
    <row r="3053" spans="1:18" x14ac:dyDescent="0.35">
      <c r="A3053">
        <v>3052</v>
      </c>
      <c r="B3053" s="1">
        <v>46030</v>
      </c>
      <c r="C3053">
        <v>1870</v>
      </c>
      <c r="D3053" t="s">
        <v>28</v>
      </c>
      <c r="E3053" t="s">
        <v>23</v>
      </c>
      <c r="F3053" t="s">
        <v>34</v>
      </c>
      <c r="G3053">
        <v>3</v>
      </c>
      <c r="H3053">
        <v>0</v>
      </c>
      <c r="I3053" t="s">
        <v>25</v>
      </c>
      <c r="J3053" t="s">
        <v>37</v>
      </c>
      <c r="K3053" t="s">
        <v>38</v>
      </c>
      <c r="L3053">
        <v>9</v>
      </c>
      <c r="M3053">
        <v>1</v>
      </c>
      <c r="N3053">
        <v>0</v>
      </c>
      <c r="O3053" t="s">
        <v>27</v>
      </c>
      <c r="P3053" t="str">
        <f>TEXT(Table1[[#This Row],[order_date]],"yyyy-mm")</f>
        <v>2026-01</v>
      </c>
      <c r="Q3053">
        <f>WEEKNUM(Table1[[#This Row],[order_date]])</f>
        <v>2</v>
      </c>
      <c r="R3053">
        <f>IF(Table1[[#This Row],[order_status]]="completed",1,0)</f>
        <v>0</v>
      </c>
    </row>
    <row r="3054" spans="1:18" x14ac:dyDescent="0.35">
      <c r="A3054">
        <v>3053</v>
      </c>
      <c r="B3054" s="1">
        <v>45993</v>
      </c>
      <c r="C3054">
        <v>1085</v>
      </c>
      <c r="D3054" t="s">
        <v>15</v>
      </c>
      <c r="E3054" t="s">
        <v>29</v>
      </c>
      <c r="F3054" t="s">
        <v>34</v>
      </c>
      <c r="G3054">
        <v>4</v>
      </c>
      <c r="H3054">
        <v>10028</v>
      </c>
      <c r="I3054" t="s">
        <v>18</v>
      </c>
      <c r="J3054" t="s">
        <v>19</v>
      </c>
      <c r="K3054" t="s">
        <v>38</v>
      </c>
      <c r="L3054">
        <v>5</v>
      </c>
      <c r="M3054">
        <v>0</v>
      </c>
      <c r="N3054">
        <v>1</v>
      </c>
      <c r="O3054" t="s">
        <v>27</v>
      </c>
      <c r="P3054" t="str">
        <f>TEXT(Table1[[#This Row],[order_date]],"yyyy-mm")</f>
        <v>2025-12</v>
      </c>
      <c r="Q3054">
        <f>WEEKNUM(Table1[[#This Row],[order_date]])</f>
        <v>49</v>
      </c>
      <c r="R3054">
        <f>IF(Table1[[#This Row],[order_status]]="completed",1,0)</f>
        <v>1</v>
      </c>
    </row>
    <row r="3055" spans="1:18" x14ac:dyDescent="0.35">
      <c r="A3055">
        <v>3054</v>
      </c>
      <c r="B3055" s="1">
        <v>46028</v>
      </c>
      <c r="C3055">
        <v>1192</v>
      </c>
      <c r="D3055" t="s">
        <v>15</v>
      </c>
      <c r="E3055" t="s">
        <v>33</v>
      </c>
      <c r="F3055" t="s">
        <v>24</v>
      </c>
      <c r="G3055">
        <v>3</v>
      </c>
      <c r="H3055">
        <v>0</v>
      </c>
      <c r="I3055" t="s">
        <v>35</v>
      </c>
      <c r="J3055" t="s">
        <v>31</v>
      </c>
      <c r="K3055" t="s">
        <v>38</v>
      </c>
      <c r="L3055">
        <v>2</v>
      </c>
      <c r="M3055">
        <v>1</v>
      </c>
      <c r="N3055">
        <v>0</v>
      </c>
      <c r="O3055" t="s">
        <v>21</v>
      </c>
      <c r="P3055" t="str">
        <f>TEXT(Table1[[#This Row],[order_date]],"yyyy-mm")</f>
        <v>2026-01</v>
      </c>
      <c r="Q3055">
        <f>WEEKNUM(Table1[[#This Row],[order_date]])</f>
        <v>2</v>
      </c>
      <c r="R3055">
        <f>IF(Table1[[#This Row],[order_status]]="completed",1,0)</f>
        <v>0</v>
      </c>
    </row>
    <row r="3056" spans="1:18" x14ac:dyDescent="0.35">
      <c r="A3056">
        <v>3055</v>
      </c>
      <c r="B3056" s="1">
        <v>45987</v>
      </c>
      <c r="C3056">
        <v>1903</v>
      </c>
      <c r="D3056" t="s">
        <v>32</v>
      </c>
      <c r="E3056" t="s">
        <v>29</v>
      </c>
      <c r="F3056" t="s">
        <v>17</v>
      </c>
      <c r="G3056">
        <v>1</v>
      </c>
      <c r="H3056">
        <v>0</v>
      </c>
      <c r="I3056" t="s">
        <v>18</v>
      </c>
      <c r="J3056" t="s">
        <v>31</v>
      </c>
      <c r="K3056" t="s">
        <v>26</v>
      </c>
      <c r="L3056">
        <v>5</v>
      </c>
      <c r="M3056">
        <v>0</v>
      </c>
      <c r="N3056">
        <v>0</v>
      </c>
      <c r="O3056" t="s">
        <v>21</v>
      </c>
      <c r="P3056" t="str">
        <f>TEXT(Table1[[#This Row],[order_date]],"yyyy-mm")</f>
        <v>2025-11</v>
      </c>
      <c r="Q3056">
        <f>WEEKNUM(Table1[[#This Row],[order_date]])</f>
        <v>48</v>
      </c>
      <c r="R3056">
        <f>IF(Table1[[#This Row],[order_status]]="completed",1,0)</f>
        <v>0</v>
      </c>
    </row>
    <row r="3057" spans="1:18" x14ac:dyDescent="0.35">
      <c r="A3057">
        <v>3056</v>
      </c>
      <c r="B3057" s="1">
        <v>45888</v>
      </c>
      <c r="C3057">
        <v>1412</v>
      </c>
      <c r="D3057" t="s">
        <v>15</v>
      </c>
      <c r="E3057" t="s">
        <v>23</v>
      </c>
      <c r="F3057" t="s">
        <v>17</v>
      </c>
      <c r="G3057">
        <v>3</v>
      </c>
      <c r="H3057">
        <v>0</v>
      </c>
      <c r="I3057" t="s">
        <v>35</v>
      </c>
      <c r="J3057" t="s">
        <v>31</v>
      </c>
      <c r="K3057" t="s">
        <v>40</v>
      </c>
      <c r="L3057">
        <v>8</v>
      </c>
      <c r="M3057">
        <v>1</v>
      </c>
      <c r="N3057">
        <v>0</v>
      </c>
      <c r="O3057" t="s">
        <v>21</v>
      </c>
      <c r="P3057" t="str">
        <f>TEXT(Table1[[#This Row],[order_date]],"yyyy-mm")</f>
        <v>2025-08</v>
      </c>
      <c r="Q3057">
        <f>WEEKNUM(Table1[[#This Row],[order_date]])</f>
        <v>34</v>
      </c>
      <c r="R3057">
        <f>IF(Table1[[#This Row],[order_status]]="completed",1,0)</f>
        <v>0</v>
      </c>
    </row>
    <row r="3058" spans="1:18" x14ac:dyDescent="0.35">
      <c r="A3058">
        <v>3057</v>
      </c>
      <c r="B3058" s="1">
        <v>46008</v>
      </c>
      <c r="C3058">
        <v>1995</v>
      </c>
      <c r="D3058" t="s">
        <v>28</v>
      </c>
      <c r="E3058" t="s">
        <v>29</v>
      </c>
      <c r="F3058" t="s">
        <v>24</v>
      </c>
      <c r="G3058">
        <v>1</v>
      </c>
      <c r="H3058">
        <v>0</v>
      </c>
      <c r="I3058" t="s">
        <v>25</v>
      </c>
      <c r="J3058" t="s">
        <v>31</v>
      </c>
      <c r="K3058" t="s">
        <v>26</v>
      </c>
      <c r="L3058">
        <v>6</v>
      </c>
      <c r="M3058">
        <v>0</v>
      </c>
      <c r="N3058">
        <v>1</v>
      </c>
      <c r="O3058" t="s">
        <v>21</v>
      </c>
      <c r="P3058" t="str">
        <f>TEXT(Table1[[#This Row],[order_date]],"yyyy-mm")</f>
        <v>2025-12</v>
      </c>
      <c r="Q3058">
        <f>WEEKNUM(Table1[[#This Row],[order_date]])</f>
        <v>51</v>
      </c>
      <c r="R3058">
        <f>IF(Table1[[#This Row],[order_status]]="completed",1,0)</f>
        <v>0</v>
      </c>
    </row>
    <row r="3059" spans="1:18" x14ac:dyDescent="0.35">
      <c r="A3059">
        <v>3058</v>
      </c>
      <c r="B3059" s="1">
        <v>46029</v>
      </c>
      <c r="C3059">
        <v>1752</v>
      </c>
      <c r="D3059" t="s">
        <v>41</v>
      </c>
      <c r="E3059" t="s">
        <v>16</v>
      </c>
      <c r="F3059" t="s">
        <v>17</v>
      </c>
      <c r="G3059">
        <v>5</v>
      </c>
      <c r="H3059">
        <v>0</v>
      </c>
      <c r="I3059" t="s">
        <v>25</v>
      </c>
      <c r="J3059" t="s">
        <v>37</v>
      </c>
      <c r="K3059" t="s">
        <v>38</v>
      </c>
      <c r="L3059">
        <v>1</v>
      </c>
      <c r="M3059">
        <v>0</v>
      </c>
      <c r="N3059">
        <v>0</v>
      </c>
      <c r="O3059" t="s">
        <v>21</v>
      </c>
      <c r="P3059" t="str">
        <f>TEXT(Table1[[#This Row],[order_date]],"yyyy-mm")</f>
        <v>2026-01</v>
      </c>
      <c r="Q3059">
        <f>WEEKNUM(Table1[[#This Row],[order_date]])</f>
        <v>2</v>
      </c>
      <c r="R3059">
        <f>IF(Table1[[#This Row],[order_status]]="completed",1,0)</f>
        <v>0</v>
      </c>
    </row>
    <row r="3060" spans="1:18" x14ac:dyDescent="0.35">
      <c r="A3060">
        <v>3059</v>
      </c>
      <c r="B3060" s="1">
        <v>45887</v>
      </c>
      <c r="C3060">
        <v>1670</v>
      </c>
      <c r="D3060" t="s">
        <v>41</v>
      </c>
      <c r="E3060" t="s">
        <v>33</v>
      </c>
      <c r="F3060" t="s">
        <v>34</v>
      </c>
      <c r="G3060">
        <v>1</v>
      </c>
      <c r="H3060">
        <v>0</v>
      </c>
      <c r="I3060" t="s">
        <v>39</v>
      </c>
      <c r="J3060" t="s">
        <v>31</v>
      </c>
      <c r="K3060" t="s">
        <v>26</v>
      </c>
      <c r="L3060">
        <v>7</v>
      </c>
      <c r="M3060">
        <v>1</v>
      </c>
      <c r="N3060">
        <v>1</v>
      </c>
      <c r="O3060" t="s">
        <v>21</v>
      </c>
      <c r="P3060" t="str">
        <f>TEXT(Table1[[#This Row],[order_date]],"yyyy-mm")</f>
        <v>2025-08</v>
      </c>
      <c r="Q3060">
        <f>WEEKNUM(Table1[[#This Row],[order_date]])</f>
        <v>34</v>
      </c>
      <c r="R3060">
        <f>IF(Table1[[#This Row],[order_status]]="completed",1,0)</f>
        <v>0</v>
      </c>
    </row>
    <row r="3061" spans="1:18" x14ac:dyDescent="0.35">
      <c r="A3061">
        <v>3060</v>
      </c>
      <c r="B3061" s="1">
        <v>45902</v>
      </c>
      <c r="C3061">
        <v>1608</v>
      </c>
      <c r="D3061" t="s">
        <v>22</v>
      </c>
      <c r="E3061" t="s">
        <v>36</v>
      </c>
      <c r="F3061" t="s">
        <v>17</v>
      </c>
      <c r="G3061">
        <v>5</v>
      </c>
      <c r="H3061">
        <v>1460</v>
      </c>
      <c r="I3061" t="s">
        <v>35</v>
      </c>
      <c r="J3061" t="s">
        <v>19</v>
      </c>
      <c r="K3061" t="s">
        <v>38</v>
      </c>
      <c r="L3061">
        <v>1</v>
      </c>
      <c r="M3061">
        <v>0</v>
      </c>
      <c r="N3061">
        <v>1</v>
      </c>
      <c r="O3061" t="s">
        <v>21</v>
      </c>
      <c r="P3061" t="str">
        <f>TEXT(Table1[[#This Row],[order_date]],"yyyy-mm")</f>
        <v>2025-09</v>
      </c>
      <c r="Q3061">
        <f>WEEKNUM(Table1[[#This Row],[order_date]])</f>
        <v>36</v>
      </c>
      <c r="R3061">
        <f>IF(Table1[[#This Row],[order_status]]="completed",1,0)</f>
        <v>1</v>
      </c>
    </row>
    <row r="3062" spans="1:18" x14ac:dyDescent="0.35">
      <c r="A3062">
        <v>3061</v>
      </c>
      <c r="B3062" s="1">
        <v>45886</v>
      </c>
      <c r="C3062">
        <v>1904</v>
      </c>
      <c r="D3062" t="s">
        <v>28</v>
      </c>
      <c r="E3062" t="s">
        <v>29</v>
      </c>
      <c r="F3062" t="s">
        <v>34</v>
      </c>
      <c r="G3062">
        <v>2</v>
      </c>
      <c r="H3062">
        <v>0</v>
      </c>
      <c r="I3062" t="s">
        <v>35</v>
      </c>
      <c r="J3062" t="s">
        <v>37</v>
      </c>
      <c r="K3062" t="s">
        <v>20</v>
      </c>
      <c r="L3062">
        <v>9</v>
      </c>
      <c r="M3062">
        <v>1</v>
      </c>
      <c r="N3062">
        <v>0</v>
      </c>
      <c r="O3062" t="s">
        <v>21</v>
      </c>
      <c r="P3062" t="str">
        <f>TEXT(Table1[[#This Row],[order_date]],"yyyy-mm")</f>
        <v>2025-08</v>
      </c>
      <c r="Q3062">
        <f>WEEKNUM(Table1[[#This Row],[order_date]])</f>
        <v>34</v>
      </c>
      <c r="R3062">
        <f>IF(Table1[[#This Row],[order_status]]="completed",1,0)</f>
        <v>0</v>
      </c>
    </row>
    <row r="3063" spans="1:18" x14ac:dyDescent="0.35">
      <c r="A3063">
        <v>3062</v>
      </c>
      <c r="B3063" s="1">
        <v>45906</v>
      </c>
      <c r="C3063">
        <v>1928</v>
      </c>
      <c r="D3063" t="s">
        <v>41</v>
      </c>
      <c r="E3063" t="s">
        <v>33</v>
      </c>
      <c r="F3063" t="s">
        <v>24</v>
      </c>
      <c r="G3063">
        <v>4</v>
      </c>
      <c r="H3063">
        <v>1088</v>
      </c>
      <c r="I3063" t="s">
        <v>18</v>
      </c>
      <c r="J3063" t="s">
        <v>19</v>
      </c>
      <c r="K3063" t="s">
        <v>26</v>
      </c>
      <c r="L3063">
        <v>8</v>
      </c>
      <c r="M3063">
        <v>0</v>
      </c>
      <c r="N3063">
        <v>1</v>
      </c>
      <c r="O3063" t="s">
        <v>27</v>
      </c>
      <c r="P3063" t="str">
        <f>TEXT(Table1[[#This Row],[order_date]],"yyyy-mm")</f>
        <v>2025-09</v>
      </c>
      <c r="Q3063">
        <f>WEEKNUM(Table1[[#This Row],[order_date]])</f>
        <v>36</v>
      </c>
      <c r="R3063">
        <f>IF(Table1[[#This Row],[order_status]]="completed",1,0)</f>
        <v>1</v>
      </c>
    </row>
    <row r="3064" spans="1:18" x14ac:dyDescent="0.35">
      <c r="A3064">
        <v>3063</v>
      </c>
      <c r="B3064" s="1">
        <v>45922</v>
      </c>
      <c r="C3064">
        <v>1370</v>
      </c>
      <c r="D3064" t="s">
        <v>22</v>
      </c>
      <c r="E3064" t="s">
        <v>16</v>
      </c>
      <c r="F3064" t="s">
        <v>24</v>
      </c>
      <c r="G3064">
        <v>5</v>
      </c>
      <c r="H3064">
        <v>0</v>
      </c>
      <c r="I3064" t="s">
        <v>35</v>
      </c>
      <c r="J3064" t="s">
        <v>37</v>
      </c>
      <c r="K3064" t="s">
        <v>26</v>
      </c>
      <c r="L3064">
        <v>8</v>
      </c>
      <c r="M3064">
        <v>1</v>
      </c>
      <c r="N3064">
        <v>0</v>
      </c>
      <c r="O3064" t="s">
        <v>21</v>
      </c>
      <c r="P3064" t="str">
        <f>TEXT(Table1[[#This Row],[order_date]],"yyyy-mm")</f>
        <v>2025-09</v>
      </c>
      <c r="Q3064">
        <f>WEEKNUM(Table1[[#This Row],[order_date]])</f>
        <v>39</v>
      </c>
      <c r="R3064">
        <f>IF(Table1[[#This Row],[order_status]]="completed",1,0)</f>
        <v>0</v>
      </c>
    </row>
    <row r="3065" spans="1:18" x14ac:dyDescent="0.35">
      <c r="A3065">
        <v>3064</v>
      </c>
      <c r="B3065" s="1">
        <v>45917</v>
      </c>
      <c r="C3065">
        <v>1869</v>
      </c>
      <c r="D3065" t="s">
        <v>32</v>
      </c>
      <c r="E3065" t="s">
        <v>36</v>
      </c>
      <c r="F3065" t="s">
        <v>17</v>
      </c>
      <c r="G3065">
        <v>1</v>
      </c>
      <c r="H3065">
        <v>3210</v>
      </c>
      <c r="I3065" t="s">
        <v>35</v>
      </c>
      <c r="J3065" t="s">
        <v>19</v>
      </c>
      <c r="K3065" t="s">
        <v>20</v>
      </c>
      <c r="L3065">
        <v>4</v>
      </c>
      <c r="M3065">
        <v>1</v>
      </c>
      <c r="N3065">
        <v>1</v>
      </c>
      <c r="O3065" t="s">
        <v>21</v>
      </c>
      <c r="P3065" t="str">
        <f>TEXT(Table1[[#This Row],[order_date]],"yyyy-mm")</f>
        <v>2025-09</v>
      </c>
      <c r="Q3065">
        <f>WEEKNUM(Table1[[#This Row],[order_date]])</f>
        <v>38</v>
      </c>
      <c r="R3065">
        <f>IF(Table1[[#This Row],[order_status]]="completed",1,0)</f>
        <v>1</v>
      </c>
    </row>
    <row r="3066" spans="1:18" x14ac:dyDescent="0.35">
      <c r="A3066">
        <v>3065</v>
      </c>
      <c r="B3066" s="1">
        <v>46006</v>
      </c>
      <c r="C3066">
        <v>1431</v>
      </c>
      <c r="D3066" t="s">
        <v>32</v>
      </c>
      <c r="E3066" t="s">
        <v>23</v>
      </c>
      <c r="F3066" t="s">
        <v>24</v>
      </c>
      <c r="G3066">
        <v>1</v>
      </c>
      <c r="H3066">
        <v>3301</v>
      </c>
      <c r="I3066" t="s">
        <v>25</v>
      </c>
      <c r="J3066" t="s">
        <v>19</v>
      </c>
      <c r="K3066" t="s">
        <v>40</v>
      </c>
      <c r="L3066">
        <v>1</v>
      </c>
      <c r="M3066">
        <v>1</v>
      </c>
      <c r="N3066">
        <v>0</v>
      </c>
      <c r="O3066" t="s">
        <v>21</v>
      </c>
      <c r="P3066" t="str">
        <f>TEXT(Table1[[#This Row],[order_date]],"yyyy-mm")</f>
        <v>2025-12</v>
      </c>
      <c r="Q3066">
        <f>WEEKNUM(Table1[[#This Row],[order_date]])</f>
        <v>51</v>
      </c>
      <c r="R3066">
        <f>IF(Table1[[#This Row],[order_status]]="completed",1,0)</f>
        <v>1</v>
      </c>
    </row>
    <row r="3067" spans="1:18" x14ac:dyDescent="0.35">
      <c r="A3067">
        <v>3066</v>
      </c>
      <c r="B3067" s="1">
        <v>45930</v>
      </c>
      <c r="C3067">
        <v>1293</v>
      </c>
      <c r="D3067" t="s">
        <v>41</v>
      </c>
      <c r="E3067" t="s">
        <v>29</v>
      </c>
      <c r="F3067" t="s">
        <v>30</v>
      </c>
      <c r="G3067">
        <v>5</v>
      </c>
      <c r="H3067">
        <v>0</v>
      </c>
      <c r="I3067" t="s">
        <v>35</v>
      </c>
      <c r="J3067" t="s">
        <v>37</v>
      </c>
      <c r="K3067" t="s">
        <v>40</v>
      </c>
      <c r="L3067">
        <v>1</v>
      </c>
      <c r="M3067">
        <v>1</v>
      </c>
      <c r="N3067">
        <v>1</v>
      </c>
      <c r="O3067" t="s">
        <v>21</v>
      </c>
      <c r="P3067" t="str">
        <f>TEXT(Table1[[#This Row],[order_date]],"yyyy-mm")</f>
        <v>2025-09</v>
      </c>
      <c r="Q3067">
        <f>WEEKNUM(Table1[[#This Row],[order_date]])</f>
        <v>40</v>
      </c>
      <c r="R3067">
        <f>IF(Table1[[#This Row],[order_status]]="completed",1,0)</f>
        <v>0</v>
      </c>
    </row>
    <row r="3068" spans="1:18" x14ac:dyDescent="0.35">
      <c r="A3068">
        <v>3067</v>
      </c>
      <c r="B3068" s="1">
        <v>45943</v>
      </c>
      <c r="C3068">
        <v>1810</v>
      </c>
      <c r="D3068" t="s">
        <v>22</v>
      </c>
      <c r="E3068" t="s">
        <v>29</v>
      </c>
      <c r="F3068" t="s">
        <v>17</v>
      </c>
      <c r="G3068">
        <v>4</v>
      </c>
      <c r="H3068">
        <v>17960</v>
      </c>
      <c r="I3068" t="s">
        <v>39</v>
      </c>
      <c r="J3068" t="s">
        <v>19</v>
      </c>
      <c r="K3068" t="s">
        <v>26</v>
      </c>
      <c r="L3068">
        <v>1</v>
      </c>
      <c r="M3068">
        <v>1</v>
      </c>
      <c r="N3068">
        <v>1</v>
      </c>
      <c r="O3068" t="s">
        <v>21</v>
      </c>
      <c r="P3068" t="str">
        <f>TEXT(Table1[[#This Row],[order_date]],"yyyy-mm")</f>
        <v>2025-10</v>
      </c>
      <c r="Q3068">
        <f>WEEKNUM(Table1[[#This Row],[order_date]])</f>
        <v>42</v>
      </c>
      <c r="R3068">
        <f>IF(Table1[[#This Row],[order_status]]="completed",1,0)</f>
        <v>1</v>
      </c>
    </row>
    <row r="3069" spans="1:18" x14ac:dyDescent="0.35">
      <c r="A3069">
        <v>3068</v>
      </c>
      <c r="B3069" s="1">
        <v>45865</v>
      </c>
      <c r="C3069">
        <v>1301</v>
      </c>
      <c r="D3069" t="s">
        <v>32</v>
      </c>
      <c r="E3069" t="s">
        <v>33</v>
      </c>
      <c r="F3069" t="s">
        <v>34</v>
      </c>
      <c r="G3069">
        <v>2</v>
      </c>
      <c r="H3069">
        <v>0</v>
      </c>
      <c r="I3069" t="s">
        <v>18</v>
      </c>
      <c r="J3069" t="s">
        <v>37</v>
      </c>
      <c r="K3069" t="s">
        <v>40</v>
      </c>
      <c r="L3069">
        <v>10</v>
      </c>
      <c r="M3069">
        <v>1</v>
      </c>
      <c r="N3069">
        <v>1</v>
      </c>
      <c r="O3069" t="s">
        <v>27</v>
      </c>
      <c r="P3069" t="str">
        <f>TEXT(Table1[[#This Row],[order_date]],"yyyy-mm")</f>
        <v>2025-07</v>
      </c>
      <c r="Q3069">
        <f>WEEKNUM(Table1[[#This Row],[order_date]])</f>
        <v>31</v>
      </c>
      <c r="R3069">
        <f>IF(Table1[[#This Row],[order_status]]="completed",1,0)</f>
        <v>0</v>
      </c>
    </row>
    <row r="3070" spans="1:18" x14ac:dyDescent="0.35">
      <c r="A3070">
        <v>3069</v>
      </c>
      <c r="B3070" s="1">
        <v>45931</v>
      </c>
      <c r="C3070">
        <v>1600</v>
      </c>
      <c r="D3070" t="s">
        <v>41</v>
      </c>
      <c r="E3070" t="s">
        <v>23</v>
      </c>
      <c r="F3070" t="s">
        <v>24</v>
      </c>
      <c r="G3070">
        <v>5</v>
      </c>
      <c r="H3070">
        <v>4775</v>
      </c>
      <c r="I3070" t="s">
        <v>35</v>
      </c>
      <c r="J3070" t="s">
        <v>19</v>
      </c>
      <c r="K3070" t="s">
        <v>20</v>
      </c>
      <c r="L3070">
        <v>5</v>
      </c>
      <c r="M3070">
        <v>0</v>
      </c>
      <c r="N3070">
        <v>1</v>
      </c>
      <c r="O3070" t="s">
        <v>27</v>
      </c>
      <c r="P3070" t="str">
        <f>TEXT(Table1[[#This Row],[order_date]],"yyyy-mm")</f>
        <v>2025-10</v>
      </c>
      <c r="Q3070">
        <f>WEEKNUM(Table1[[#This Row],[order_date]])</f>
        <v>40</v>
      </c>
      <c r="R3070">
        <f>IF(Table1[[#This Row],[order_status]]="completed",1,0)</f>
        <v>1</v>
      </c>
    </row>
    <row r="3071" spans="1:18" x14ac:dyDescent="0.35">
      <c r="A3071">
        <v>3070</v>
      </c>
      <c r="B3071" s="1">
        <v>45997</v>
      </c>
      <c r="C3071">
        <v>1992</v>
      </c>
      <c r="D3071" t="s">
        <v>28</v>
      </c>
      <c r="E3071" t="s">
        <v>23</v>
      </c>
      <c r="F3071" t="s">
        <v>34</v>
      </c>
      <c r="G3071">
        <v>4</v>
      </c>
      <c r="H3071">
        <v>11244</v>
      </c>
      <c r="I3071" t="s">
        <v>25</v>
      </c>
      <c r="J3071" t="s">
        <v>19</v>
      </c>
      <c r="K3071" t="s">
        <v>20</v>
      </c>
      <c r="L3071">
        <v>6</v>
      </c>
      <c r="M3071">
        <v>1</v>
      </c>
      <c r="N3071">
        <v>1</v>
      </c>
      <c r="O3071" t="s">
        <v>21</v>
      </c>
      <c r="P3071" t="str">
        <f>TEXT(Table1[[#This Row],[order_date]],"yyyy-mm")</f>
        <v>2025-12</v>
      </c>
      <c r="Q3071">
        <f>WEEKNUM(Table1[[#This Row],[order_date]])</f>
        <v>49</v>
      </c>
      <c r="R3071">
        <f>IF(Table1[[#This Row],[order_status]]="completed",1,0)</f>
        <v>1</v>
      </c>
    </row>
    <row r="3072" spans="1:18" x14ac:dyDescent="0.35">
      <c r="A3072">
        <v>3071</v>
      </c>
      <c r="B3072" s="1">
        <v>45962</v>
      </c>
      <c r="C3072">
        <v>1037</v>
      </c>
      <c r="D3072" t="s">
        <v>15</v>
      </c>
      <c r="E3072" t="s">
        <v>36</v>
      </c>
      <c r="F3072" t="s">
        <v>34</v>
      </c>
      <c r="G3072">
        <v>4</v>
      </c>
      <c r="H3072">
        <v>0</v>
      </c>
      <c r="I3072" t="s">
        <v>35</v>
      </c>
      <c r="J3072" t="s">
        <v>31</v>
      </c>
      <c r="K3072" t="s">
        <v>26</v>
      </c>
      <c r="L3072">
        <v>7</v>
      </c>
      <c r="M3072">
        <v>0</v>
      </c>
      <c r="N3072">
        <v>0</v>
      </c>
      <c r="O3072" t="s">
        <v>27</v>
      </c>
      <c r="P3072" t="str">
        <f>TEXT(Table1[[#This Row],[order_date]],"yyyy-mm")</f>
        <v>2025-11</v>
      </c>
      <c r="Q3072">
        <f>WEEKNUM(Table1[[#This Row],[order_date]])</f>
        <v>44</v>
      </c>
      <c r="R3072">
        <f>IF(Table1[[#This Row],[order_status]]="completed",1,0)</f>
        <v>0</v>
      </c>
    </row>
    <row r="3073" spans="1:18" x14ac:dyDescent="0.35">
      <c r="A3073">
        <v>3072</v>
      </c>
      <c r="B3073" s="1">
        <v>45973</v>
      </c>
      <c r="C3073">
        <v>1292</v>
      </c>
      <c r="D3073" t="s">
        <v>41</v>
      </c>
      <c r="E3073" t="s">
        <v>33</v>
      </c>
      <c r="F3073" t="s">
        <v>30</v>
      </c>
      <c r="G3073">
        <v>3</v>
      </c>
      <c r="H3073">
        <v>0</v>
      </c>
      <c r="I3073" t="s">
        <v>35</v>
      </c>
      <c r="J3073" t="s">
        <v>37</v>
      </c>
      <c r="K3073" t="s">
        <v>38</v>
      </c>
      <c r="L3073">
        <v>10</v>
      </c>
      <c r="M3073">
        <v>1</v>
      </c>
      <c r="N3073">
        <v>0</v>
      </c>
      <c r="O3073" t="s">
        <v>27</v>
      </c>
      <c r="P3073" t="str">
        <f>TEXT(Table1[[#This Row],[order_date]],"yyyy-mm")</f>
        <v>2025-11</v>
      </c>
      <c r="Q3073">
        <f>WEEKNUM(Table1[[#This Row],[order_date]])</f>
        <v>46</v>
      </c>
      <c r="R3073">
        <f>IF(Table1[[#This Row],[order_status]]="completed",1,0)</f>
        <v>0</v>
      </c>
    </row>
    <row r="3074" spans="1:18" x14ac:dyDescent="0.35">
      <c r="A3074">
        <v>3073</v>
      </c>
      <c r="B3074" s="1">
        <v>45927</v>
      </c>
      <c r="C3074">
        <v>1181</v>
      </c>
      <c r="D3074" t="s">
        <v>32</v>
      </c>
      <c r="E3074" t="s">
        <v>29</v>
      </c>
      <c r="F3074" t="s">
        <v>17</v>
      </c>
      <c r="G3074">
        <v>2</v>
      </c>
      <c r="H3074">
        <v>0</v>
      </c>
      <c r="I3074" t="s">
        <v>39</v>
      </c>
      <c r="J3074" t="s">
        <v>31</v>
      </c>
      <c r="K3074" t="s">
        <v>38</v>
      </c>
      <c r="L3074">
        <v>9</v>
      </c>
      <c r="M3074">
        <v>0</v>
      </c>
      <c r="N3074">
        <v>1</v>
      </c>
      <c r="O3074" t="s">
        <v>21</v>
      </c>
      <c r="P3074" t="str">
        <f>TEXT(Table1[[#This Row],[order_date]],"yyyy-mm")</f>
        <v>2025-09</v>
      </c>
      <c r="Q3074">
        <f>WEEKNUM(Table1[[#This Row],[order_date]])</f>
        <v>39</v>
      </c>
      <c r="R3074">
        <f>IF(Table1[[#This Row],[order_status]]="completed",1,0)</f>
        <v>0</v>
      </c>
    </row>
    <row r="3075" spans="1:18" x14ac:dyDescent="0.35">
      <c r="A3075">
        <v>3074</v>
      </c>
      <c r="B3075" s="1">
        <v>45884</v>
      </c>
      <c r="C3075">
        <v>1513</v>
      </c>
      <c r="D3075" t="s">
        <v>28</v>
      </c>
      <c r="E3075" t="s">
        <v>29</v>
      </c>
      <c r="F3075" t="s">
        <v>17</v>
      </c>
      <c r="G3075">
        <v>2</v>
      </c>
      <c r="H3075">
        <v>0</v>
      </c>
      <c r="I3075" t="s">
        <v>25</v>
      </c>
      <c r="J3075" t="s">
        <v>31</v>
      </c>
      <c r="K3075" t="s">
        <v>26</v>
      </c>
      <c r="L3075">
        <v>7</v>
      </c>
      <c r="M3075">
        <v>0</v>
      </c>
      <c r="N3075">
        <v>1</v>
      </c>
      <c r="O3075" t="s">
        <v>21</v>
      </c>
      <c r="P3075" t="str">
        <f>TEXT(Table1[[#This Row],[order_date]],"yyyy-mm")</f>
        <v>2025-08</v>
      </c>
      <c r="Q3075">
        <f>WEEKNUM(Table1[[#This Row],[order_date]])</f>
        <v>33</v>
      </c>
      <c r="R3075">
        <f>IF(Table1[[#This Row],[order_status]]="completed",1,0)</f>
        <v>0</v>
      </c>
    </row>
    <row r="3076" spans="1:18" x14ac:dyDescent="0.35">
      <c r="A3076">
        <v>3075</v>
      </c>
      <c r="B3076" s="1">
        <v>45934</v>
      </c>
      <c r="C3076">
        <v>1563</v>
      </c>
      <c r="D3076" t="s">
        <v>28</v>
      </c>
      <c r="E3076" t="s">
        <v>23</v>
      </c>
      <c r="F3076" t="s">
        <v>30</v>
      </c>
      <c r="G3076">
        <v>4</v>
      </c>
      <c r="H3076">
        <v>0</v>
      </c>
      <c r="I3076" t="s">
        <v>35</v>
      </c>
      <c r="J3076" t="s">
        <v>31</v>
      </c>
      <c r="K3076" t="s">
        <v>40</v>
      </c>
      <c r="L3076">
        <v>6</v>
      </c>
      <c r="M3076">
        <v>1</v>
      </c>
      <c r="N3076">
        <v>1</v>
      </c>
      <c r="O3076" t="s">
        <v>27</v>
      </c>
      <c r="P3076" t="str">
        <f>TEXT(Table1[[#This Row],[order_date]],"yyyy-mm")</f>
        <v>2025-10</v>
      </c>
      <c r="Q3076">
        <f>WEEKNUM(Table1[[#This Row],[order_date]])</f>
        <v>40</v>
      </c>
      <c r="R3076">
        <f>IF(Table1[[#This Row],[order_status]]="completed",1,0)</f>
        <v>0</v>
      </c>
    </row>
    <row r="3077" spans="1:18" x14ac:dyDescent="0.35">
      <c r="A3077">
        <v>3076</v>
      </c>
      <c r="B3077" s="1">
        <v>45967</v>
      </c>
      <c r="C3077">
        <v>1240</v>
      </c>
      <c r="D3077" t="s">
        <v>15</v>
      </c>
      <c r="E3077" t="s">
        <v>23</v>
      </c>
      <c r="F3077" t="s">
        <v>17</v>
      </c>
      <c r="G3077">
        <v>4</v>
      </c>
      <c r="H3077">
        <v>0</v>
      </c>
      <c r="I3077" t="s">
        <v>39</v>
      </c>
      <c r="J3077" t="s">
        <v>31</v>
      </c>
      <c r="K3077" t="s">
        <v>20</v>
      </c>
      <c r="L3077">
        <v>1</v>
      </c>
      <c r="M3077">
        <v>1</v>
      </c>
      <c r="N3077">
        <v>0</v>
      </c>
      <c r="O3077" t="s">
        <v>21</v>
      </c>
      <c r="P3077" t="str">
        <f>TEXT(Table1[[#This Row],[order_date]],"yyyy-mm")</f>
        <v>2025-11</v>
      </c>
      <c r="Q3077">
        <f>WEEKNUM(Table1[[#This Row],[order_date]])</f>
        <v>45</v>
      </c>
      <c r="R3077">
        <f>IF(Table1[[#This Row],[order_status]]="completed",1,0)</f>
        <v>0</v>
      </c>
    </row>
    <row r="3078" spans="1:18" x14ac:dyDescent="0.35">
      <c r="A3078">
        <v>3077</v>
      </c>
      <c r="B3078" s="1">
        <v>45859</v>
      </c>
      <c r="C3078">
        <v>1703</v>
      </c>
      <c r="D3078" t="s">
        <v>28</v>
      </c>
      <c r="E3078" t="s">
        <v>16</v>
      </c>
      <c r="F3078" t="s">
        <v>17</v>
      </c>
      <c r="G3078">
        <v>5</v>
      </c>
      <c r="H3078">
        <v>0</v>
      </c>
      <c r="I3078" t="s">
        <v>39</v>
      </c>
      <c r="J3078" t="s">
        <v>31</v>
      </c>
      <c r="K3078" t="s">
        <v>20</v>
      </c>
      <c r="L3078">
        <v>9</v>
      </c>
      <c r="M3078">
        <v>1</v>
      </c>
      <c r="N3078">
        <v>1</v>
      </c>
      <c r="O3078" t="s">
        <v>21</v>
      </c>
      <c r="P3078" t="str">
        <f>TEXT(Table1[[#This Row],[order_date]],"yyyy-mm")</f>
        <v>2025-07</v>
      </c>
      <c r="Q3078">
        <f>WEEKNUM(Table1[[#This Row],[order_date]])</f>
        <v>30</v>
      </c>
      <c r="R3078">
        <f>IF(Table1[[#This Row],[order_status]]="completed",1,0)</f>
        <v>0</v>
      </c>
    </row>
    <row r="3079" spans="1:18" x14ac:dyDescent="0.35">
      <c r="A3079">
        <v>3078</v>
      </c>
      <c r="B3079" s="1">
        <v>45994</v>
      </c>
      <c r="C3079">
        <v>1868</v>
      </c>
      <c r="D3079" t="s">
        <v>32</v>
      </c>
      <c r="E3079" t="s">
        <v>29</v>
      </c>
      <c r="F3079" t="s">
        <v>24</v>
      </c>
      <c r="G3079">
        <v>2</v>
      </c>
      <c r="H3079">
        <v>0</v>
      </c>
      <c r="I3079" t="s">
        <v>39</v>
      </c>
      <c r="J3079" t="s">
        <v>37</v>
      </c>
      <c r="K3079" t="s">
        <v>40</v>
      </c>
      <c r="L3079">
        <v>6</v>
      </c>
      <c r="M3079">
        <v>1</v>
      </c>
      <c r="N3079">
        <v>0</v>
      </c>
      <c r="O3079" t="s">
        <v>27</v>
      </c>
      <c r="P3079" t="str">
        <f>TEXT(Table1[[#This Row],[order_date]],"yyyy-mm")</f>
        <v>2025-12</v>
      </c>
      <c r="Q3079">
        <f>WEEKNUM(Table1[[#This Row],[order_date]])</f>
        <v>49</v>
      </c>
      <c r="R3079">
        <f>IF(Table1[[#This Row],[order_status]]="completed",1,0)</f>
        <v>0</v>
      </c>
    </row>
    <row r="3080" spans="1:18" x14ac:dyDescent="0.35">
      <c r="A3080">
        <v>3079</v>
      </c>
      <c r="B3080" s="1">
        <v>45909</v>
      </c>
      <c r="C3080">
        <v>1518</v>
      </c>
      <c r="D3080" t="s">
        <v>41</v>
      </c>
      <c r="E3080" t="s">
        <v>33</v>
      </c>
      <c r="F3080" t="s">
        <v>17</v>
      </c>
      <c r="G3080">
        <v>5</v>
      </c>
      <c r="H3080">
        <v>0</v>
      </c>
      <c r="I3080" t="s">
        <v>25</v>
      </c>
      <c r="J3080" t="s">
        <v>31</v>
      </c>
      <c r="K3080" t="s">
        <v>20</v>
      </c>
      <c r="L3080">
        <v>9</v>
      </c>
      <c r="M3080">
        <v>0</v>
      </c>
      <c r="N3080">
        <v>0</v>
      </c>
      <c r="O3080" t="s">
        <v>21</v>
      </c>
      <c r="P3080" t="str">
        <f>TEXT(Table1[[#This Row],[order_date]],"yyyy-mm")</f>
        <v>2025-09</v>
      </c>
      <c r="Q3080">
        <f>WEEKNUM(Table1[[#This Row],[order_date]])</f>
        <v>37</v>
      </c>
      <c r="R3080">
        <f>IF(Table1[[#This Row],[order_status]]="completed",1,0)</f>
        <v>0</v>
      </c>
    </row>
    <row r="3081" spans="1:18" x14ac:dyDescent="0.35">
      <c r="A3081">
        <v>3080</v>
      </c>
      <c r="B3081" s="1">
        <v>45858</v>
      </c>
      <c r="C3081">
        <v>1796</v>
      </c>
      <c r="D3081" t="s">
        <v>15</v>
      </c>
      <c r="E3081" t="s">
        <v>29</v>
      </c>
      <c r="F3081" t="s">
        <v>24</v>
      </c>
      <c r="G3081">
        <v>3</v>
      </c>
      <c r="H3081">
        <v>10755</v>
      </c>
      <c r="I3081" t="s">
        <v>25</v>
      </c>
      <c r="J3081" t="s">
        <v>19</v>
      </c>
      <c r="K3081" t="s">
        <v>38</v>
      </c>
      <c r="L3081">
        <v>3</v>
      </c>
      <c r="M3081">
        <v>0</v>
      </c>
      <c r="N3081">
        <v>1</v>
      </c>
      <c r="O3081" t="s">
        <v>21</v>
      </c>
      <c r="P3081" t="str">
        <f>TEXT(Table1[[#This Row],[order_date]],"yyyy-mm")</f>
        <v>2025-07</v>
      </c>
      <c r="Q3081">
        <f>WEEKNUM(Table1[[#This Row],[order_date]])</f>
        <v>30</v>
      </c>
      <c r="R3081">
        <f>IF(Table1[[#This Row],[order_status]]="completed",1,0)</f>
        <v>1</v>
      </c>
    </row>
    <row r="3082" spans="1:18" x14ac:dyDescent="0.35">
      <c r="A3082">
        <v>3081</v>
      </c>
      <c r="B3082" s="1">
        <v>45982</v>
      </c>
      <c r="C3082">
        <v>1841</v>
      </c>
      <c r="D3082" t="s">
        <v>41</v>
      </c>
      <c r="E3082" t="s">
        <v>29</v>
      </c>
      <c r="F3082" t="s">
        <v>17</v>
      </c>
      <c r="G3082">
        <v>1</v>
      </c>
      <c r="H3082">
        <v>0</v>
      </c>
      <c r="I3082" t="s">
        <v>35</v>
      </c>
      <c r="J3082" t="s">
        <v>37</v>
      </c>
      <c r="K3082" t="s">
        <v>26</v>
      </c>
      <c r="L3082">
        <v>7</v>
      </c>
      <c r="M3082">
        <v>1</v>
      </c>
      <c r="N3082">
        <v>0</v>
      </c>
      <c r="O3082" t="s">
        <v>21</v>
      </c>
      <c r="P3082" t="str">
        <f>TEXT(Table1[[#This Row],[order_date]],"yyyy-mm")</f>
        <v>2025-11</v>
      </c>
      <c r="Q3082">
        <f>WEEKNUM(Table1[[#This Row],[order_date]])</f>
        <v>47</v>
      </c>
      <c r="R3082">
        <f>IF(Table1[[#This Row],[order_status]]="completed",1,0)</f>
        <v>0</v>
      </c>
    </row>
    <row r="3083" spans="1:18" x14ac:dyDescent="0.35">
      <c r="A3083">
        <v>3082</v>
      </c>
      <c r="B3083" s="1">
        <v>45975</v>
      </c>
      <c r="C3083">
        <v>1815</v>
      </c>
      <c r="D3083" t="s">
        <v>32</v>
      </c>
      <c r="E3083" t="s">
        <v>29</v>
      </c>
      <c r="F3083" t="s">
        <v>24</v>
      </c>
      <c r="G3083">
        <v>2</v>
      </c>
      <c r="H3083">
        <v>9210</v>
      </c>
      <c r="I3083" t="s">
        <v>18</v>
      </c>
      <c r="J3083" t="s">
        <v>19</v>
      </c>
      <c r="K3083" t="s">
        <v>20</v>
      </c>
      <c r="L3083">
        <v>6</v>
      </c>
      <c r="M3083">
        <v>1</v>
      </c>
      <c r="N3083">
        <v>1</v>
      </c>
      <c r="O3083" t="s">
        <v>27</v>
      </c>
      <c r="P3083" t="str">
        <f>TEXT(Table1[[#This Row],[order_date]],"yyyy-mm")</f>
        <v>2025-11</v>
      </c>
      <c r="Q3083">
        <f>WEEKNUM(Table1[[#This Row],[order_date]])</f>
        <v>46</v>
      </c>
      <c r="R3083">
        <f>IF(Table1[[#This Row],[order_status]]="completed",1,0)</f>
        <v>1</v>
      </c>
    </row>
    <row r="3084" spans="1:18" x14ac:dyDescent="0.35">
      <c r="A3084">
        <v>3083</v>
      </c>
      <c r="B3084" s="1">
        <v>45965</v>
      </c>
      <c r="C3084">
        <v>1430</v>
      </c>
      <c r="D3084" t="s">
        <v>15</v>
      </c>
      <c r="E3084" t="s">
        <v>29</v>
      </c>
      <c r="F3084" t="s">
        <v>24</v>
      </c>
      <c r="G3084">
        <v>2</v>
      </c>
      <c r="H3084">
        <v>4354</v>
      </c>
      <c r="I3084" t="s">
        <v>39</v>
      </c>
      <c r="J3084" t="s">
        <v>19</v>
      </c>
      <c r="K3084" t="s">
        <v>26</v>
      </c>
      <c r="L3084">
        <v>5</v>
      </c>
      <c r="M3084">
        <v>1</v>
      </c>
      <c r="N3084">
        <v>0</v>
      </c>
      <c r="O3084" t="s">
        <v>21</v>
      </c>
      <c r="P3084" t="str">
        <f>TEXT(Table1[[#This Row],[order_date]],"yyyy-mm")</f>
        <v>2025-11</v>
      </c>
      <c r="Q3084">
        <f>WEEKNUM(Table1[[#This Row],[order_date]])</f>
        <v>45</v>
      </c>
      <c r="R3084">
        <f>IF(Table1[[#This Row],[order_status]]="completed",1,0)</f>
        <v>1</v>
      </c>
    </row>
    <row r="3085" spans="1:18" x14ac:dyDescent="0.35">
      <c r="A3085">
        <v>3084</v>
      </c>
      <c r="B3085" s="1">
        <v>45969</v>
      </c>
      <c r="C3085">
        <v>1375</v>
      </c>
      <c r="D3085" t="s">
        <v>28</v>
      </c>
      <c r="E3085" t="s">
        <v>29</v>
      </c>
      <c r="F3085" t="s">
        <v>24</v>
      </c>
      <c r="G3085">
        <v>3</v>
      </c>
      <c r="H3085">
        <v>0</v>
      </c>
      <c r="I3085" t="s">
        <v>35</v>
      </c>
      <c r="J3085" t="s">
        <v>37</v>
      </c>
      <c r="K3085" t="s">
        <v>40</v>
      </c>
      <c r="L3085">
        <v>7</v>
      </c>
      <c r="M3085">
        <v>0</v>
      </c>
      <c r="N3085">
        <v>1</v>
      </c>
      <c r="O3085" t="s">
        <v>27</v>
      </c>
      <c r="P3085" t="str">
        <f>TEXT(Table1[[#This Row],[order_date]],"yyyy-mm")</f>
        <v>2025-11</v>
      </c>
      <c r="Q3085">
        <f>WEEKNUM(Table1[[#This Row],[order_date]])</f>
        <v>45</v>
      </c>
      <c r="R3085">
        <f>IF(Table1[[#This Row],[order_status]]="completed",1,0)</f>
        <v>0</v>
      </c>
    </row>
    <row r="3086" spans="1:18" x14ac:dyDescent="0.35">
      <c r="A3086">
        <v>3085</v>
      </c>
      <c r="B3086" s="1">
        <v>45856</v>
      </c>
      <c r="C3086">
        <v>1864</v>
      </c>
      <c r="D3086" t="s">
        <v>22</v>
      </c>
      <c r="E3086" t="s">
        <v>29</v>
      </c>
      <c r="F3086" t="s">
        <v>17</v>
      </c>
      <c r="G3086">
        <v>3</v>
      </c>
      <c r="H3086">
        <v>9516</v>
      </c>
      <c r="I3086" t="s">
        <v>18</v>
      </c>
      <c r="J3086" t="s">
        <v>19</v>
      </c>
      <c r="K3086" t="s">
        <v>40</v>
      </c>
      <c r="L3086">
        <v>3</v>
      </c>
      <c r="M3086">
        <v>1</v>
      </c>
      <c r="N3086">
        <v>1</v>
      </c>
      <c r="O3086" t="s">
        <v>27</v>
      </c>
      <c r="P3086" t="str">
        <f>TEXT(Table1[[#This Row],[order_date]],"yyyy-mm")</f>
        <v>2025-07</v>
      </c>
      <c r="Q3086">
        <f>WEEKNUM(Table1[[#This Row],[order_date]])</f>
        <v>29</v>
      </c>
      <c r="R3086">
        <f>IF(Table1[[#This Row],[order_status]]="completed",1,0)</f>
        <v>1</v>
      </c>
    </row>
    <row r="3087" spans="1:18" x14ac:dyDescent="0.35">
      <c r="A3087">
        <v>3086</v>
      </c>
      <c r="B3087" s="1">
        <v>46008</v>
      </c>
      <c r="C3087">
        <v>1043</v>
      </c>
      <c r="D3087" t="s">
        <v>41</v>
      </c>
      <c r="E3087" t="s">
        <v>29</v>
      </c>
      <c r="F3087" t="s">
        <v>34</v>
      </c>
      <c r="G3087">
        <v>4</v>
      </c>
      <c r="H3087">
        <v>0</v>
      </c>
      <c r="I3087" t="s">
        <v>35</v>
      </c>
      <c r="J3087" t="s">
        <v>37</v>
      </c>
      <c r="K3087" t="s">
        <v>38</v>
      </c>
      <c r="L3087">
        <v>6</v>
      </c>
      <c r="M3087">
        <v>0</v>
      </c>
      <c r="N3087">
        <v>0</v>
      </c>
      <c r="O3087" t="s">
        <v>27</v>
      </c>
      <c r="P3087" t="str">
        <f>TEXT(Table1[[#This Row],[order_date]],"yyyy-mm")</f>
        <v>2025-12</v>
      </c>
      <c r="Q3087">
        <f>WEEKNUM(Table1[[#This Row],[order_date]])</f>
        <v>51</v>
      </c>
      <c r="R3087">
        <f>IF(Table1[[#This Row],[order_status]]="completed",1,0)</f>
        <v>0</v>
      </c>
    </row>
    <row r="3088" spans="1:18" x14ac:dyDescent="0.35">
      <c r="A3088">
        <v>3087</v>
      </c>
      <c r="B3088" s="1">
        <v>45940</v>
      </c>
      <c r="C3088">
        <v>1607</v>
      </c>
      <c r="D3088" t="s">
        <v>32</v>
      </c>
      <c r="E3088" t="s">
        <v>33</v>
      </c>
      <c r="F3088" t="s">
        <v>34</v>
      </c>
      <c r="G3088">
        <v>4</v>
      </c>
      <c r="H3088">
        <v>0</v>
      </c>
      <c r="I3088" t="s">
        <v>18</v>
      </c>
      <c r="J3088" t="s">
        <v>37</v>
      </c>
      <c r="K3088" t="s">
        <v>38</v>
      </c>
      <c r="L3088">
        <v>2</v>
      </c>
      <c r="M3088">
        <v>0</v>
      </c>
      <c r="N3088">
        <v>1</v>
      </c>
      <c r="O3088" t="s">
        <v>27</v>
      </c>
      <c r="P3088" t="str">
        <f>TEXT(Table1[[#This Row],[order_date]],"yyyy-mm")</f>
        <v>2025-10</v>
      </c>
      <c r="Q3088">
        <f>WEEKNUM(Table1[[#This Row],[order_date]])</f>
        <v>41</v>
      </c>
      <c r="R3088">
        <f>IF(Table1[[#This Row],[order_status]]="completed",1,0)</f>
        <v>0</v>
      </c>
    </row>
    <row r="3089" spans="1:18" x14ac:dyDescent="0.35">
      <c r="A3089">
        <v>3088</v>
      </c>
      <c r="B3089" s="1">
        <v>45890</v>
      </c>
      <c r="C3089">
        <v>1152</v>
      </c>
      <c r="D3089" t="s">
        <v>32</v>
      </c>
      <c r="E3089" t="s">
        <v>16</v>
      </c>
      <c r="F3089" t="s">
        <v>30</v>
      </c>
      <c r="G3089">
        <v>1</v>
      </c>
      <c r="H3089">
        <v>0</v>
      </c>
      <c r="I3089" t="s">
        <v>25</v>
      </c>
      <c r="J3089" t="s">
        <v>31</v>
      </c>
      <c r="K3089" t="s">
        <v>38</v>
      </c>
      <c r="L3089">
        <v>8</v>
      </c>
      <c r="M3089">
        <v>1</v>
      </c>
      <c r="N3089">
        <v>0</v>
      </c>
      <c r="O3089" t="s">
        <v>21</v>
      </c>
      <c r="P3089" t="str">
        <f>TEXT(Table1[[#This Row],[order_date]],"yyyy-mm")</f>
        <v>2025-08</v>
      </c>
      <c r="Q3089">
        <f>WEEKNUM(Table1[[#This Row],[order_date]])</f>
        <v>34</v>
      </c>
      <c r="R3089">
        <f>IF(Table1[[#This Row],[order_status]]="completed",1,0)</f>
        <v>0</v>
      </c>
    </row>
    <row r="3090" spans="1:18" x14ac:dyDescent="0.35">
      <c r="A3090">
        <v>3089</v>
      </c>
      <c r="B3090" s="1">
        <v>45976</v>
      </c>
      <c r="C3090">
        <v>1037</v>
      </c>
      <c r="D3090" t="s">
        <v>15</v>
      </c>
      <c r="E3090" t="s">
        <v>33</v>
      </c>
      <c r="F3090" t="s">
        <v>34</v>
      </c>
      <c r="G3090">
        <v>2</v>
      </c>
      <c r="H3090">
        <v>0</v>
      </c>
      <c r="I3090" t="s">
        <v>25</v>
      </c>
      <c r="J3090" t="s">
        <v>31</v>
      </c>
      <c r="K3090" t="s">
        <v>20</v>
      </c>
      <c r="L3090">
        <v>6</v>
      </c>
      <c r="M3090">
        <v>1</v>
      </c>
      <c r="N3090">
        <v>0</v>
      </c>
      <c r="O3090" t="s">
        <v>21</v>
      </c>
      <c r="P3090" t="str">
        <f>TEXT(Table1[[#This Row],[order_date]],"yyyy-mm")</f>
        <v>2025-11</v>
      </c>
      <c r="Q3090">
        <f>WEEKNUM(Table1[[#This Row],[order_date]])</f>
        <v>46</v>
      </c>
      <c r="R3090">
        <f>IF(Table1[[#This Row],[order_status]]="completed",1,0)</f>
        <v>0</v>
      </c>
    </row>
    <row r="3091" spans="1:18" x14ac:dyDescent="0.35">
      <c r="A3091">
        <v>3090</v>
      </c>
      <c r="B3091" s="1">
        <v>45948</v>
      </c>
      <c r="C3091">
        <v>1308</v>
      </c>
      <c r="D3091" t="s">
        <v>32</v>
      </c>
      <c r="E3091" t="s">
        <v>16</v>
      </c>
      <c r="F3091" t="s">
        <v>24</v>
      </c>
      <c r="G3091">
        <v>2</v>
      </c>
      <c r="H3091">
        <v>0</v>
      </c>
      <c r="I3091" t="s">
        <v>25</v>
      </c>
      <c r="J3091" t="s">
        <v>31</v>
      </c>
      <c r="K3091" t="s">
        <v>20</v>
      </c>
      <c r="L3091">
        <v>4</v>
      </c>
      <c r="M3091">
        <v>1</v>
      </c>
      <c r="N3091">
        <v>0</v>
      </c>
      <c r="O3091" t="s">
        <v>21</v>
      </c>
      <c r="P3091" t="str">
        <f>TEXT(Table1[[#This Row],[order_date]],"yyyy-mm")</f>
        <v>2025-10</v>
      </c>
      <c r="Q3091">
        <f>WEEKNUM(Table1[[#This Row],[order_date]])</f>
        <v>42</v>
      </c>
      <c r="R3091">
        <f>IF(Table1[[#This Row],[order_status]]="completed",1,0)</f>
        <v>0</v>
      </c>
    </row>
    <row r="3092" spans="1:18" x14ac:dyDescent="0.35">
      <c r="A3092">
        <v>3091</v>
      </c>
      <c r="B3092" s="1">
        <v>45947</v>
      </c>
      <c r="C3092">
        <v>1399</v>
      </c>
      <c r="D3092" t="s">
        <v>22</v>
      </c>
      <c r="E3092" t="s">
        <v>33</v>
      </c>
      <c r="F3092" t="s">
        <v>34</v>
      </c>
      <c r="G3092">
        <v>1</v>
      </c>
      <c r="H3092">
        <v>292</v>
      </c>
      <c r="I3092" t="s">
        <v>25</v>
      </c>
      <c r="J3092" t="s">
        <v>19</v>
      </c>
      <c r="K3092" t="s">
        <v>26</v>
      </c>
      <c r="L3092">
        <v>6</v>
      </c>
      <c r="M3092">
        <v>0</v>
      </c>
      <c r="N3092">
        <v>0</v>
      </c>
      <c r="O3092" t="s">
        <v>27</v>
      </c>
      <c r="P3092" t="str">
        <f>TEXT(Table1[[#This Row],[order_date]],"yyyy-mm")</f>
        <v>2025-10</v>
      </c>
      <c r="Q3092">
        <f>WEEKNUM(Table1[[#This Row],[order_date]])</f>
        <v>42</v>
      </c>
      <c r="R3092">
        <f>IF(Table1[[#This Row],[order_status]]="completed",1,0)</f>
        <v>1</v>
      </c>
    </row>
    <row r="3093" spans="1:18" x14ac:dyDescent="0.35">
      <c r="A3093">
        <v>3092</v>
      </c>
      <c r="B3093" s="1">
        <v>45989</v>
      </c>
      <c r="C3093">
        <v>1708</v>
      </c>
      <c r="D3093" t="s">
        <v>28</v>
      </c>
      <c r="E3093" t="s">
        <v>33</v>
      </c>
      <c r="F3093" t="s">
        <v>30</v>
      </c>
      <c r="G3093">
        <v>2</v>
      </c>
      <c r="H3093">
        <v>0</v>
      </c>
      <c r="I3093" t="s">
        <v>39</v>
      </c>
      <c r="J3093" t="s">
        <v>31</v>
      </c>
      <c r="K3093" t="s">
        <v>20</v>
      </c>
      <c r="L3093">
        <v>6</v>
      </c>
      <c r="M3093">
        <v>0</v>
      </c>
      <c r="N3093">
        <v>1</v>
      </c>
      <c r="O3093" t="s">
        <v>21</v>
      </c>
      <c r="P3093" t="str">
        <f>TEXT(Table1[[#This Row],[order_date]],"yyyy-mm")</f>
        <v>2025-11</v>
      </c>
      <c r="Q3093">
        <f>WEEKNUM(Table1[[#This Row],[order_date]])</f>
        <v>48</v>
      </c>
      <c r="R3093">
        <f>IF(Table1[[#This Row],[order_status]]="completed",1,0)</f>
        <v>0</v>
      </c>
    </row>
    <row r="3094" spans="1:18" x14ac:dyDescent="0.35">
      <c r="A3094">
        <v>3093</v>
      </c>
      <c r="B3094" s="1">
        <v>46010</v>
      </c>
      <c r="C3094">
        <v>1811</v>
      </c>
      <c r="D3094" t="s">
        <v>15</v>
      </c>
      <c r="E3094" t="s">
        <v>36</v>
      </c>
      <c r="F3094" t="s">
        <v>30</v>
      </c>
      <c r="G3094">
        <v>3</v>
      </c>
      <c r="H3094">
        <v>0</v>
      </c>
      <c r="I3094" t="s">
        <v>25</v>
      </c>
      <c r="J3094" t="s">
        <v>37</v>
      </c>
      <c r="K3094" t="s">
        <v>38</v>
      </c>
      <c r="L3094">
        <v>5</v>
      </c>
      <c r="M3094">
        <v>0</v>
      </c>
      <c r="N3094">
        <v>1</v>
      </c>
      <c r="O3094" t="s">
        <v>21</v>
      </c>
      <c r="P3094" t="str">
        <f>TEXT(Table1[[#This Row],[order_date]],"yyyy-mm")</f>
        <v>2025-12</v>
      </c>
      <c r="Q3094">
        <f>WEEKNUM(Table1[[#This Row],[order_date]])</f>
        <v>51</v>
      </c>
      <c r="R3094">
        <f>IF(Table1[[#This Row],[order_status]]="completed",1,0)</f>
        <v>0</v>
      </c>
    </row>
    <row r="3095" spans="1:18" x14ac:dyDescent="0.35">
      <c r="A3095">
        <v>3094</v>
      </c>
      <c r="B3095" s="1">
        <v>46015</v>
      </c>
      <c r="C3095">
        <v>1602</v>
      </c>
      <c r="D3095" t="s">
        <v>15</v>
      </c>
      <c r="E3095" t="s">
        <v>23</v>
      </c>
      <c r="F3095" t="s">
        <v>30</v>
      </c>
      <c r="G3095">
        <v>4</v>
      </c>
      <c r="H3095">
        <v>0</v>
      </c>
      <c r="I3095" t="s">
        <v>25</v>
      </c>
      <c r="J3095" t="s">
        <v>31</v>
      </c>
      <c r="K3095" t="s">
        <v>26</v>
      </c>
      <c r="L3095">
        <v>7</v>
      </c>
      <c r="M3095">
        <v>1</v>
      </c>
      <c r="N3095">
        <v>0</v>
      </c>
      <c r="O3095" t="s">
        <v>21</v>
      </c>
      <c r="P3095" t="str">
        <f>TEXT(Table1[[#This Row],[order_date]],"yyyy-mm")</f>
        <v>2025-12</v>
      </c>
      <c r="Q3095">
        <f>WEEKNUM(Table1[[#This Row],[order_date]])</f>
        <v>52</v>
      </c>
      <c r="R3095">
        <f>IF(Table1[[#This Row],[order_status]]="completed",1,0)</f>
        <v>0</v>
      </c>
    </row>
    <row r="3096" spans="1:18" x14ac:dyDescent="0.35">
      <c r="A3096">
        <v>3095</v>
      </c>
      <c r="B3096" s="1">
        <v>45921</v>
      </c>
      <c r="C3096">
        <v>1149</v>
      </c>
      <c r="D3096" t="s">
        <v>22</v>
      </c>
      <c r="E3096" t="s">
        <v>16</v>
      </c>
      <c r="F3096" t="s">
        <v>34</v>
      </c>
      <c r="G3096">
        <v>4</v>
      </c>
      <c r="H3096">
        <v>0</v>
      </c>
      <c r="I3096" t="s">
        <v>35</v>
      </c>
      <c r="J3096" t="s">
        <v>37</v>
      </c>
      <c r="K3096" t="s">
        <v>20</v>
      </c>
      <c r="L3096">
        <v>5</v>
      </c>
      <c r="M3096">
        <v>0</v>
      </c>
      <c r="N3096">
        <v>0</v>
      </c>
      <c r="O3096" t="s">
        <v>21</v>
      </c>
      <c r="P3096" t="str">
        <f>TEXT(Table1[[#This Row],[order_date]],"yyyy-mm")</f>
        <v>2025-09</v>
      </c>
      <c r="Q3096">
        <f>WEEKNUM(Table1[[#This Row],[order_date]])</f>
        <v>39</v>
      </c>
      <c r="R3096">
        <f>IF(Table1[[#This Row],[order_status]]="completed",1,0)</f>
        <v>0</v>
      </c>
    </row>
    <row r="3097" spans="1:18" x14ac:dyDescent="0.35">
      <c r="A3097">
        <v>3096</v>
      </c>
      <c r="B3097" s="1">
        <v>45921</v>
      </c>
      <c r="C3097">
        <v>1303</v>
      </c>
      <c r="D3097" t="s">
        <v>22</v>
      </c>
      <c r="E3097" t="s">
        <v>23</v>
      </c>
      <c r="F3097" t="s">
        <v>24</v>
      </c>
      <c r="G3097">
        <v>4</v>
      </c>
      <c r="H3097">
        <v>8752</v>
      </c>
      <c r="I3097" t="s">
        <v>39</v>
      </c>
      <c r="J3097" t="s">
        <v>19</v>
      </c>
      <c r="K3097" t="s">
        <v>20</v>
      </c>
      <c r="L3097">
        <v>3</v>
      </c>
      <c r="M3097">
        <v>1</v>
      </c>
      <c r="N3097">
        <v>1</v>
      </c>
      <c r="O3097" t="s">
        <v>21</v>
      </c>
      <c r="P3097" t="str">
        <f>TEXT(Table1[[#This Row],[order_date]],"yyyy-mm")</f>
        <v>2025-09</v>
      </c>
      <c r="Q3097">
        <f>WEEKNUM(Table1[[#This Row],[order_date]])</f>
        <v>39</v>
      </c>
      <c r="R3097">
        <f>IF(Table1[[#This Row],[order_status]]="completed",1,0)</f>
        <v>1</v>
      </c>
    </row>
    <row r="3098" spans="1:18" x14ac:dyDescent="0.35">
      <c r="A3098">
        <v>3097</v>
      </c>
      <c r="B3098" s="1">
        <v>45969</v>
      </c>
      <c r="C3098">
        <v>1118</v>
      </c>
      <c r="D3098" t="s">
        <v>22</v>
      </c>
      <c r="E3098" t="s">
        <v>33</v>
      </c>
      <c r="F3098" t="s">
        <v>24</v>
      </c>
      <c r="G3098">
        <v>2</v>
      </c>
      <c r="H3098">
        <v>0</v>
      </c>
      <c r="I3098" t="s">
        <v>25</v>
      </c>
      <c r="J3098" t="s">
        <v>37</v>
      </c>
      <c r="K3098" t="s">
        <v>40</v>
      </c>
      <c r="L3098">
        <v>8</v>
      </c>
      <c r="M3098">
        <v>1</v>
      </c>
      <c r="N3098">
        <v>1</v>
      </c>
      <c r="O3098" t="s">
        <v>27</v>
      </c>
      <c r="P3098" t="str">
        <f>TEXT(Table1[[#This Row],[order_date]],"yyyy-mm")</f>
        <v>2025-11</v>
      </c>
      <c r="Q3098">
        <f>WEEKNUM(Table1[[#This Row],[order_date]])</f>
        <v>45</v>
      </c>
      <c r="R3098">
        <f>IF(Table1[[#This Row],[order_status]]="completed",1,0)</f>
        <v>0</v>
      </c>
    </row>
    <row r="3099" spans="1:18" x14ac:dyDescent="0.35">
      <c r="A3099">
        <v>3098</v>
      </c>
      <c r="B3099" s="1">
        <v>45976</v>
      </c>
      <c r="C3099">
        <v>1979</v>
      </c>
      <c r="D3099" t="s">
        <v>22</v>
      </c>
      <c r="E3099" t="s">
        <v>16</v>
      </c>
      <c r="F3099" t="s">
        <v>30</v>
      </c>
      <c r="G3099">
        <v>2</v>
      </c>
      <c r="H3099">
        <v>0</v>
      </c>
      <c r="I3099" t="s">
        <v>18</v>
      </c>
      <c r="J3099" t="s">
        <v>31</v>
      </c>
      <c r="K3099" t="s">
        <v>40</v>
      </c>
      <c r="L3099">
        <v>8</v>
      </c>
      <c r="M3099">
        <v>0</v>
      </c>
      <c r="N3099">
        <v>1</v>
      </c>
      <c r="O3099" t="s">
        <v>27</v>
      </c>
      <c r="P3099" t="str">
        <f>TEXT(Table1[[#This Row],[order_date]],"yyyy-mm")</f>
        <v>2025-11</v>
      </c>
      <c r="Q3099">
        <f>WEEKNUM(Table1[[#This Row],[order_date]])</f>
        <v>46</v>
      </c>
      <c r="R3099">
        <f>IF(Table1[[#This Row],[order_status]]="completed",1,0)</f>
        <v>0</v>
      </c>
    </row>
    <row r="3100" spans="1:18" x14ac:dyDescent="0.35">
      <c r="A3100">
        <v>3099</v>
      </c>
      <c r="B3100" s="1">
        <v>45986</v>
      </c>
      <c r="C3100">
        <v>1601</v>
      </c>
      <c r="D3100" t="s">
        <v>15</v>
      </c>
      <c r="E3100" t="s">
        <v>16</v>
      </c>
      <c r="F3100" t="s">
        <v>17</v>
      </c>
      <c r="G3100">
        <v>5</v>
      </c>
      <c r="H3100">
        <v>0</v>
      </c>
      <c r="I3100" t="s">
        <v>18</v>
      </c>
      <c r="J3100" t="s">
        <v>31</v>
      </c>
      <c r="K3100" t="s">
        <v>20</v>
      </c>
      <c r="L3100">
        <v>3</v>
      </c>
      <c r="M3100">
        <v>0</v>
      </c>
      <c r="N3100">
        <v>1</v>
      </c>
      <c r="O3100" t="s">
        <v>27</v>
      </c>
      <c r="P3100" t="str">
        <f>TEXT(Table1[[#This Row],[order_date]],"yyyy-mm")</f>
        <v>2025-11</v>
      </c>
      <c r="Q3100">
        <f>WEEKNUM(Table1[[#This Row],[order_date]])</f>
        <v>48</v>
      </c>
      <c r="R3100">
        <f>IF(Table1[[#This Row],[order_status]]="completed",1,0)</f>
        <v>0</v>
      </c>
    </row>
    <row r="3101" spans="1:18" x14ac:dyDescent="0.35">
      <c r="A3101">
        <v>3100</v>
      </c>
      <c r="B3101" s="1">
        <v>45974</v>
      </c>
      <c r="C3101">
        <v>1287</v>
      </c>
      <c r="D3101" t="s">
        <v>15</v>
      </c>
      <c r="E3101" t="s">
        <v>23</v>
      </c>
      <c r="F3101" t="s">
        <v>34</v>
      </c>
      <c r="G3101">
        <v>3</v>
      </c>
      <c r="H3101">
        <v>0</v>
      </c>
      <c r="I3101" t="s">
        <v>25</v>
      </c>
      <c r="J3101" t="s">
        <v>37</v>
      </c>
      <c r="K3101" t="s">
        <v>26</v>
      </c>
      <c r="L3101">
        <v>9</v>
      </c>
      <c r="M3101">
        <v>1</v>
      </c>
      <c r="N3101">
        <v>1</v>
      </c>
      <c r="O3101" t="s">
        <v>27</v>
      </c>
      <c r="P3101" t="str">
        <f>TEXT(Table1[[#This Row],[order_date]],"yyyy-mm")</f>
        <v>2025-11</v>
      </c>
      <c r="Q3101">
        <f>WEEKNUM(Table1[[#This Row],[order_date]])</f>
        <v>46</v>
      </c>
      <c r="R3101">
        <f>IF(Table1[[#This Row],[order_status]]="completed",1,0)</f>
        <v>0</v>
      </c>
    </row>
    <row r="3102" spans="1:18" x14ac:dyDescent="0.35">
      <c r="A3102">
        <v>3101</v>
      </c>
      <c r="B3102" s="1">
        <v>46016</v>
      </c>
      <c r="C3102">
        <v>1714</v>
      </c>
      <c r="D3102" t="s">
        <v>15</v>
      </c>
      <c r="E3102" t="s">
        <v>29</v>
      </c>
      <c r="F3102" t="s">
        <v>34</v>
      </c>
      <c r="G3102">
        <v>4</v>
      </c>
      <c r="H3102">
        <v>0</v>
      </c>
      <c r="I3102" t="s">
        <v>35</v>
      </c>
      <c r="J3102" t="s">
        <v>37</v>
      </c>
      <c r="K3102" t="s">
        <v>26</v>
      </c>
      <c r="L3102">
        <v>9</v>
      </c>
      <c r="M3102">
        <v>1</v>
      </c>
      <c r="N3102">
        <v>1</v>
      </c>
      <c r="O3102" t="s">
        <v>27</v>
      </c>
      <c r="P3102" t="str">
        <f>TEXT(Table1[[#This Row],[order_date]],"yyyy-mm")</f>
        <v>2025-12</v>
      </c>
      <c r="Q3102">
        <f>WEEKNUM(Table1[[#This Row],[order_date]])</f>
        <v>52</v>
      </c>
      <c r="R3102">
        <f>IF(Table1[[#This Row],[order_status]]="completed",1,0)</f>
        <v>0</v>
      </c>
    </row>
    <row r="3103" spans="1:18" x14ac:dyDescent="0.35">
      <c r="A3103">
        <v>3102</v>
      </c>
      <c r="B3103" s="1">
        <v>45956</v>
      </c>
      <c r="C3103">
        <v>1189</v>
      </c>
      <c r="D3103" t="s">
        <v>41</v>
      </c>
      <c r="E3103" t="s">
        <v>29</v>
      </c>
      <c r="F3103" t="s">
        <v>34</v>
      </c>
      <c r="G3103">
        <v>2</v>
      </c>
      <c r="H3103">
        <v>0</v>
      </c>
      <c r="I3103" t="s">
        <v>25</v>
      </c>
      <c r="J3103" t="s">
        <v>31</v>
      </c>
      <c r="K3103" t="s">
        <v>40</v>
      </c>
      <c r="L3103">
        <v>8</v>
      </c>
      <c r="M3103">
        <v>0</v>
      </c>
      <c r="N3103">
        <v>1</v>
      </c>
      <c r="O3103" t="s">
        <v>27</v>
      </c>
      <c r="P3103" t="str">
        <f>TEXT(Table1[[#This Row],[order_date]],"yyyy-mm")</f>
        <v>2025-10</v>
      </c>
      <c r="Q3103">
        <f>WEEKNUM(Table1[[#This Row],[order_date]])</f>
        <v>44</v>
      </c>
      <c r="R3103">
        <f>IF(Table1[[#This Row],[order_status]]="completed",1,0)</f>
        <v>0</v>
      </c>
    </row>
    <row r="3104" spans="1:18" x14ac:dyDescent="0.35">
      <c r="A3104">
        <v>3103</v>
      </c>
      <c r="B3104" s="1">
        <v>45972</v>
      </c>
      <c r="C3104">
        <v>1541</v>
      </c>
      <c r="D3104" t="s">
        <v>22</v>
      </c>
      <c r="E3104" t="s">
        <v>23</v>
      </c>
      <c r="F3104" t="s">
        <v>17</v>
      </c>
      <c r="G3104">
        <v>4</v>
      </c>
      <c r="H3104">
        <v>0</v>
      </c>
      <c r="I3104" t="s">
        <v>25</v>
      </c>
      <c r="J3104" t="s">
        <v>37</v>
      </c>
      <c r="K3104" t="s">
        <v>20</v>
      </c>
      <c r="L3104">
        <v>3</v>
      </c>
      <c r="M3104">
        <v>1</v>
      </c>
      <c r="N3104">
        <v>1</v>
      </c>
      <c r="O3104" t="s">
        <v>27</v>
      </c>
      <c r="P3104" t="str">
        <f>TEXT(Table1[[#This Row],[order_date]],"yyyy-mm")</f>
        <v>2025-11</v>
      </c>
      <c r="Q3104">
        <f>WEEKNUM(Table1[[#This Row],[order_date]])</f>
        <v>46</v>
      </c>
      <c r="R3104">
        <f>IF(Table1[[#This Row],[order_status]]="completed",1,0)</f>
        <v>0</v>
      </c>
    </row>
    <row r="3105" spans="1:18" x14ac:dyDescent="0.35">
      <c r="A3105">
        <v>3104</v>
      </c>
      <c r="B3105" s="1">
        <v>45904</v>
      </c>
      <c r="C3105">
        <v>1853</v>
      </c>
      <c r="D3105" t="s">
        <v>22</v>
      </c>
      <c r="E3105" t="s">
        <v>23</v>
      </c>
      <c r="F3105" t="s">
        <v>17</v>
      </c>
      <c r="G3105">
        <v>5</v>
      </c>
      <c r="H3105">
        <v>16325</v>
      </c>
      <c r="I3105" t="s">
        <v>25</v>
      </c>
      <c r="J3105" t="s">
        <v>19</v>
      </c>
      <c r="K3105" t="s">
        <v>38</v>
      </c>
      <c r="L3105">
        <v>9</v>
      </c>
      <c r="M3105">
        <v>0</v>
      </c>
      <c r="N3105">
        <v>1</v>
      </c>
      <c r="O3105" t="s">
        <v>27</v>
      </c>
      <c r="P3105" t="str">
        <f>TEXT(Table1[[#This Row],[order_date]],"yyyy-mm")</f>
        <v>2025-09</v>
      </c>
      <c r="Q3105">
        <f>WEEKNUM(Table1[[#This Row],[order_date]])</f>
        <v>36</v>
      </c>
      <c r="R3105">
        <f>IF(Table1[[#This Row],[order_status]]="completed",1,0)</f>
        <v>1</v>
      </c>
    </row>
    <row r="3106" spans="1:18" x14ac:dyDescent="0.35">
      <c r="A3106">
        <v>3105</v>
      </c>
      <c r="B3106" s="1">
        <v>45896</v>
      </c>
      <c r="C3106">
        <v>1313</v>
      </c>
      <c r="D3106" t="s">
        <v>32</v>
      </c>
      <c r="E3106" t="s">
        <v>23</v>
      </c>
      <c r="F3106" t="s">
        <v>24</v>
      </c>
      <c r="G3106">
        <v>4</v>
      </c>
      <c r="H3106">
        <v>0</v>
      </c>
      <c r="I3106" t="s">
        <v>18</v>
      </c>
      <c r="J3106" t="s">
        <v>37</v>
      </c>
      <c r="K3106" t="s">
        <v>26</v>
      </c>
      <c r="L3106">
        <v>8</v>
      </c>
      <c r="M3106">
        <v>1</v>
      </c>
      <c r="N3106">
        <v>1</v>
      </c>
      <c r="O3106" t="s">
        <v>27</v>
      </c>
      <c r="P3106" t="str">
        <f>TEXT(Table1[[#This Row],[order_date]],"yyyy-mm")</f>
        <v>2025-08</v>
      </c>
      <c r="Q3106">
        <f>WEEKNUM(Table1[[#This Row],[order_date]])</f>
        <v>35</v>
      </c>
      <c r="R3106">
        <f>IF(Table1[[#This Row],[order_status]]="completed",1,0)</f>
        <v>0</v>
      </c>
    </row>
    <row r="3107" spans="1:18" x14ac:dyDescent="0.35">
      <c r="A3107">
        <v>3106</v>
      </c>
      <c r="B3107" s="1">
        <v>45918</v>
      </c>
      <c r="C3107">
        <v>1055</v>
      </c>
      <c r="D3107" t="s">
        <v>15</v>
      </c>
      <c r="E3107" t="s">
        <v>16</v>
      </c>
      <c r="F3107" t="s">
        <v>30</v>
      </c>
      <c r="G3107">
        <v>3</v>
      </c>
      <c r="H3107">
        <v>14670</v>
      </c>
      <c r="I3107" t="s">
        <v>39</v>
      </c>
      <c r="J3107" t="s">
        <v>19</v>
      </c>
      <c r="K3107" t="s">
        <v>40</v>
      </c>
      <c r="L3107">
        <v>8</v>
      </c>
      <c r="M3107">
        <v>0</v>
      </c>
      <c r="N3107">
        <v>0</v>
      </c>
      <c r="O3107" t="s">
        <v>27</v>
      </c>
      <c r="P3107" t="str">
        <f>TEXT(Table1[[#This Row],[order_date]],"yyyy-mm")</f>
        <v>2025-09</v>
      </c>
      <c r="Q3107">
        <f>WEEKNUM(Table1[[#This Row],[order_date]])</f>
        <v>38</v>
      </c>
      <c r="R3107">
        <f>IF(Table1[[#This Row],[order_status]]="completed",1,0)</f>
        <v>1</v>
      </c>
    </row>
    <row r="3108" spans="1:18" x14ac:dyDescent="0.35">
      <c r="A3108">
        <v>3107</v>
      </c>
      <c r="B3108" s="1">
        <v>45885</v>
      </c>
      <c r="C3108">
        <v>1207</v>
      </c>
      <c r="D3108" t="s">
        <v>22</v>
      </c>
      <c r="E3108" t="s">
        <v>36</v>
      </c>
      <c r="F3108" t="s">
        <v>17</v>
      </c>
      <c r="G3108">
        <v>1</v>
      </c>
      <c r="H3108">
        <v>0</v>
      </c>
      <c r="I3108" t="s">
        <v>25</v>
      </c>
      <c r="J3108" t="s">
        <v>37</v>
      </c>
      <c r="K3108" t="s">
        <v>26</v>
      </c>
      <c r="L3108">
        <v>6</v>
      </c>
      <c r="M3108">
        <v>1</v>
      </c>
      <c r="N3108">
        <v>1</v>
      </c>
      <c r="O3108" t="s">
        <v>27</v>
      </c>
      <c r="P3108" t="str">
        <f>TEXT(Table1[[#This Row],[order_date]],"yyyy-mm")</f>
        <v>2025-08</v>
      </c>
      <c r="Q3108">
        <f>WEEKNUM(Table1[[#This Row],[order_date]])</f>
        <v>33</v>
      </c>
      <c r="R3108">
        <f>IF(Table1[[#This Row],[order_status]]="completed",1,0)</f>
        <v>0</v>
      </c>
    </row>
    <row r="3109" spans="1:18" x14ac:dyDescent="0.35">
      <c r="A3109">
        <v>3108</v>
      </c>
      <c r="B3109" s="1">
        <v>45916</v>
      </c>
      <c r="C3109">
        <v>1627</v>
      </c>
      <c r="D3109" t="s">
        <v>15</v>
      </c>
      <c r="E3109" t="s">
        <v>16</v>
      </c>
      <c r="F3109" t="s">
        <v>30</v>
      </c>
      <c r="G3109">
        <v>4</v>
      </c>
      <c r="H3109">
        <v>0</v>
      </c>
      <c r="I3109" t="s">
        <v>18</v>
      </c>
      <c r="J3109" t="s">
        <v>31</v>
      </c>
      <c r="K3109" t="s">
        <v>26</v>
      </c>
      <c r="L3109">
        <v>3</v>
      </c>
      <c r="M3109">
        <v>0</v>
      </c>
      <c r="N3109">
        <v>0</v>
      </c>
      <c r="O3109" t="s">
        <v>27</v>
      </c>
      <c r="P3109" t="str">
        <f>TEXT(Table1[[#This Row],[order_date]],"yyyy-mm")</f>
        <v>2025-09</v>
      </c>
      <c r="Q3109">
        <f>WEEKNUM(Table1[[#This Row],[order_date]])</f>
        <v>38</v>
      </c>
      <c r="R3109">
        <f>IF(Table1[[#This Row],[order_status]]="completed",1,0)</f>
        <v>0</v>
      </c>
    </row>
    <row r="3110" spans="1:18" x14ac:dyDescent="0.35">
      <c r="A3110">
        <v>3109</v>
      </c>
      <c r="B3110" s="1">
        <v>45886</v>
      </c>
      <c r="C3110">
        <v>1520</v>
      </c>
      <c r="D3110" t="s">
        <v>28</v>
      </c>
      <c r="E3110" t="s">
        <v>29</v>
      </c>
      <c r="F3110" t="s">
        <v>34</v>
      </c>
      <c r="G3110">
        <v>4</v>
      </c>
      <c r="H3110">
        <v>0</v>
      </c>
      <c r="I3110" t="s">
        <v>35</v>
      </c>
      <c r="J3110" t="s">
        <v>31</v>
      </c>
      <c r="K3110" t="s">
        <v>38</v>
      </c>
      <c r="L3110">
        <v>4</v>
      </c>
      <c r="M3110">
        <v>0</v>
      </c>
      <c r="N3110">
        <v>1</v>
      </c>
      <c r="O3110" t="s">
        <v>21</v>
      </c>
      <c r="P3110" t="str">
        <f>TEXT(Table1[[#This Row],[order_date]],"yyyy-mm")</f>
        <v>2025-08</v>
      </c>
      <c r="Q3110">
        <f>WEEKNUM(Table1[[#This Row],[order_date]])</f>
        <v>34</v>
      </c>
      <c r="R3110">
        <f>IF(Table1[[#This Row],[order_status]]="completed",1,0)</f>
        <v>0</v>
      </c>
    </row>
    <row r="3111" spans="1:18" x14ac:dyDescent="0.35">
      <c r="A3111">
        <v>3110</v>
      </c>
      <c r="B3111" s="1">
        <v>45915</v>
      </c>
      <c r="C3111">
        <v>1258</v>
      </c>
      <c r="D3111" t="s">
        <v>41</v>
      </c>
      <c r="E3111" t="s">
        <v>29</v>
      </c>
      <c r="F3111" t="s">
        <v>24</v>
      </c>
      <c r="G3111">
        <v>3</v>
      </c>
      <c r="H3111">
        <v>0</v>
      </c>
      <c r="I3111" t="s">
        <v>35</v>
      </c>
      <c r="J3111" t="s">
        <v>37</v>
      </c>
      <c r="K3111" t="s">
        <v>38</v>
      </c>
      <c r="L3111">
        <v>7</v>
      </c>
      <c r="M3111">
        <v>0</v>
      </c>
      <c r="N3111">
        <v>0</v>
      </c>
      <c r="O3111" t="s">
        <v>21</v>
      </c>
      <c r="P3111" t="str">
        <f>TEXT(Table1[[#This Row],[order_date]],"yyyy-mm")</f>
        <v>2025-09</v>
      </c>
      <c r="Q3111">
        <f>WEEKNUM(Table1[[#This Row],[order_date]])</f>
        <v>38</v>
      </c>
      <c r="R3111">
        <f>IF(Table1[[#This Row],[order_status]]="completed",1,0)</f>
        <v>0</v>
      </c>
    </row>
    <row r="3112" spans="1:18" x14ac:dyDescent="0.35">
      <c r="A3112">
        <v>3111</v>
      </c>
      <c r="B3112" s="1">
        <v>46023</v>
      </c>
      <c r="C3112">
        <v>1628</v>
      </c>
      <c r="D3112" t="s">
        <v>15</v>
      </c>
      <c r="E3112" t="s">
        <v>36</v>
      </c>
      <c r="F3112" t="s">
        <v>30</v>
      </c>
      <c r="G3112">
        <v>1</v>
      </c>
      <c r="H3112">
        <v>258</v>
      </c>
      <c r="I3112" t="s">
        <v>39</v>
      </c>
      <c r="J3112" t="s">
        <v>19</v>
      </c>
      <c r="K3112" t="s">
        <v>20</v>
      </c>
      <c r="L3112">
        <v>1</v>
      </c>
      <c r="M3112">
        <v>0</v>
      </c>
      <c r="N3112">
        <v>0</v>
      </c>
      <c r="O3112" t="s">
        <v>21</v>
      </c>
      <c r="P3112" t="str">
        <f>TEXT(Table1[[#This Row],[order_date]],"yyyy-mm")</f>
        <v>2026-01</v>
      </c>
      <c r="Q3112">
        <f>WEEKNUM(Table1[[#This Row],[order_date]])</f>
        <v>1</v>
      </c>
      <c r="R3112">
        <f>IF(Table1[[#This Row],[order_status]]="completed",1,0)</f>
        <v>1</v>
      </c>
    </row>
    <row r="3113" spans="1:18" x14ac:dyDescent="0.35">
      <c r="A3113">
        <v>3112</v>
      </c>
      <c r="B3113" s="1">
        <v>45874</v>
      </c>
      <c r="C3113">
        <v>1369</v>
      </c>
      <c r="D3113" t="s">
        <v>22</v>
      </c>
      <c r="E3113" t="s">
        <v>33</v>
      </c>
      <c r="F3113" t="s">
        <v>24</v>
      </c>
      <c r="G3113">
        <v>1</v>
      </c>
      <c r="H3113">
        <v>0</v>
      </c>
      <c r="I3113" t="s">
        <v>18</v>
      </c>
      <c r="J3113" t="s">
        <v>37</v>
      </c>
      <c r="K3113" t="s">
        <v>26</v>
      </c>
      <c r="L3113">
        <v>5</v>
      </c>
      <c r="M3113">
        <v>0</v>
      </c>
      <c r="N3113">
        <v>1</v>
      </c>
      <c r="O3113" t="s">
        <v>27</v>
      </c>
      <c r="P3113" t="str">
        <f>TEXT(Table1[[#This Row],[order_date]],"yyyy-mm")</f>
        <v>2025-08</v>
      </c>
      <c r="Q3113">
        <f>WEEKNUM(Table1[[#This Row],[order_date]])</f>
        <v>32</v>
      </c>
      <c r="R3113">
        <f>IF(Table1[[#This Row],[order_status]]="completed",1,0)</f>
        <v>0</v>
      </c>
    </row>
    <row r="3114" spans="1:18" x14ac:dyDescent="0.35">
      <c r="A3114">
        <v>3113</v>
      </c>
      <c r="B3114" s="1">
        <v>45876</v>
      </c>
      <c r="C3114">
        <v>1323</v>
      </c>
      <c r="D3114" t="s">
        <v>22</v>
      </c>
      <c r="E3114" t="s">
        <v>23</v>
      </c>
      <c r="F3114" t="s">
        <v>30</v>
      </c>
      <c r="G3114">
        <v>3</v>
      </c>
      <c r="H3114">
        <v>0</v>
      </c>
      <c r="I3114" t="s">
        <v>25</v>
      </c>
      <c r="J3114" t="s">
        <v>31</v>
      </c>
      <c r="K3114" t="s">
        <v>20</v>
      </c>
      <c r="L3114">
        <v>1</v>
      </c>
      <c r="M3114">
        <v>1</v>
      </c>
      <c r="N3114">
        <v>1</v>
      </c>
      <c r="O3114" t="s">
        <v>27</v>
      </c>
      <c r="P3114" t="str">
        <f>TEXT(Table1[[#This Row],[order_date]],"yyyy-mm")</f>
        <v>2025-08</v>
      </c>
      <c r="Q3114">
        <f>WEEKNUM(Table1[[#This Row],[order_date]])</f>
        <v>32</v>
      </c>
      <c r="R3114">
        <f>IF(Table1[[#This Row],[order_status]]="completed",1,0)</f>
        <v>0</v>
      </c>
    </row>
    <row r="3115" spans="1:18" x14ac:dyDescent="0.35">
      <c r="A3115">
        <v>3114</v>
      </c>
      <c r="B3115" s="1">
        <v>45884</v>
      </c>
      <c r="C3115">
        <v>1612</v>
      </c>
      <c r="D3115" t="s">
        <v>41</v>
      </c>
      <c r="E3115" t="s">
        <v>23</v>
      </c>
      <c r="F3115" t="s">
        <v>30</v>
      </c>
      <c r="G3115">
        <v>3</v>
      </c>
      <c r="H3115">
        <v>0</v>
      </c>
      <c r="I3115" t="s">
        <v>39</v>
      </c>
      <c r="J3115" t="s">
        <v>31</v>
      </c>
      <c r="K3115" t="s">
        <v>38</v>
      </c>
      <c r="L3115">
        <v>7</v>
      </c>
      <c r="M3115">
        <v>1</v>
      </c>
      <c r="N3115">
        <v>0</v>
      </c>
      <c r="O3115" t="s">
        <v>21</v>
      </c>
      <c r="P3115" t="str">
        <f>TEXT(Table1[[#This Row],[order_date]],"yyyy-mm")</f>
        <v>2025-08</v>
      </c>
      <c r="Q3115">
        <f>WEEKNUM(Table1[[#This Row],[order_date]])</f>
        <v>33</v>
      </c>
      <c r="R3115">
        <f>IF(Table1[[#This Row],[order_status]]="completed",1,0)</f>
        <v>0</v>
      </c>
    </row>
    <row r="3116" spans="1:18" x14ac:dyDescent="0.35">
      <c r="A3116">
        <v>3115</v>
      </c>
      <c r="B3116" s="1">
        <v>45857</v>
      </c>
      <c r="C3116">
        <v>1848</v>
      </c>
      <c r="D3116" t="s">
        <v>32</v>
      </c>
      <c r="E3116" t="s">
        <v>29</v>
      </c>
      <c r="F3116" t="s">
        <v>34</v>
      </c>
      <c r="G3116">
        <v>4</v>
      </c>
      <c r="H3116">
        <v>4304</v>
      </c>
      <c r="I3116" t="s">
        <v>18</v>
      </c>
      <c r="J3116" t="s">
        <v>19</v>
      </c>
      <c r="K3116" t="s">
        <v>20</v>
      </c>
      <c r="L3116">
        <v>8</v>
      </c>
      <c r="M3116">
        <v>1</v>
      </c>
      <c r="N3116">
        <v>1</v>
      </c>
      <c r="O3116" t="s">
        <v>27</v>
      </c>
      <c r="P3116" t="str">
        <f>TEXT(Table1[[#This Row],[order_date]],"yyyy-mm")</f>
        <v>2025-07</v>
      </c>
      <c r="Q3116">
        <f>WEEKNUM(Table1[[#This Row],[order_date]])</f>
        <v>29</v>
      </c>
      <c r="R3116">
        <f>IF(Table1[[#This Row],[order_status]]="completed",1,0)</f>
        <v>1</v>
      </c>
    </row>
    <row r="3117" spans="1:18" x14ac:dyDescent="0.35">
      <c r="A3117">
        <v>3116</v>
      </c>
      <c r="B3117" s="1">
        <v>45966</v>
      </c>
      <c r="C3117">
        <v>1823</v>
      </c>
      <c r="D3117" t="s">
        <v>41</v>
      </c>
      <c r="E3117" t="s">
        <v>23</v>
      </c>
      <c r="F3117" t="s">
        <v>17</v>
      </c>
      <c r="G3117">
        <v>5</v>
      </c>
      <c r="H3117">
        <v>0</v>
      </c>
      <c r="I3117" t="s">
        <v>18</v>
      </c>
      <c r="J3117" t="s">
        <v>31</v>
      </c>
      <c r="K3117" t="s">
        <v>20</v>
      </c>
      <c r="L3117">
        <v>6</v>
      </c>
      <c r="M3117">
        <v>0</v>
      </c>
      <c r="N3117">
        <v>0</v>
      </c>
      <c r="O3117" t="s">
        <v>21</v>
      </c>
      <c r="P3117" t="str">
        <f>TEXT(Table1[[#This Row],[order_date]],"yyyy-mm")</f>
        <v>2025-11</v>
      </c>
      <c r="Q3117">
        <f>WEEKNUM(Table1[[#This Row],[order_date]])</f>
        <v>45</v>
      </c>
      <c r="R3117">
        <f>IF(Table1[[#This Row],[order_status]]="completed",1,0)</f>
        <v>0</v>
      </c>
    </row>
    <row r="3118" spans="1:18" x14ac:dyDescent="0.35">
      <c r="A3118">
        <v>3117</v>
      </c>
      <c r="B3118" s="1">
        <v>45917</v>
      </c>
      <c r="C3118">
        <v>1167</v>
      </c>
      <c r="D3118" t="s">
        <v>41</v>
      </c>
      <c r="E3118" t="s">
        <v>29</v>
      </c>
      <c r="F3118" t="s">
        <v>34</v>
      </c>
      <c r="G3118">
        <v>3</v>
      </c>
      <c r="H3118">
        <v>0</v>
      </c>
      <c r="I3118" t="s">
        <v>39</v>
      </c>
      <c r="J3118" t="s">
        <v>37</v>
      </c>
      <c r="K3118" t="s">
        <v>40</v>
      </c>
      <c r="L3118">
        <v>7</v>
      </c>
      <c r="M3118">
        <v>1</v>
      </c>
      <c r="N3118">
        <v>0</v>
      </c>
      <c r="O3118" t="s">
        <v>21</v>
      </c>
      <c r="P3118" t="str">
        <f>TEXT(Table1[[#This Row],[order_date]],"yyyy-mm")</f>
        <v>2025-09</v>
      </c>
      <c r="Q3118">
        <f>WEEKNUM(Table1[[#This Row],[order_date]])</f>
        <v>38</v>
      </c>
      <c r="R3118">
        <f>IF(Table1[[#This Row],[order_status]]="completed",1,0)</f>
        <v>0</v>
      </c>
    </row>
    <row r="3119" spans="1:18" x14ac:dyDescent="0.35">
      <c r="A3119">
        <v>3118</v>
      </c>
      <c r="B3119" s="1">
        <v>46010</v>
      </c>
      <c r="C3119">
        <v>1244</v>
      </c>
      <c r="D3119" t="s">
        <v>28</v>
      </c>
      <c r="E3119" t="s">
        <v>33</v>
      </c>
      <c r="F3119" t="s">
        <v>30</v>
      </c>
      <c r="G3119">
        <v>3</v>
      </c>
      <c r="H3119">
        <v>0</v>
      </c>
      <c r="I3119" t="s">
        <v>18</v>
      </c>
      <c r="J3119" t="s">
        <v>31</v>
      </c>
      <c r="K3119" t="s">
        <v>20</v>
      </c>
      <c r="L3119">
        <v>5</v>
      </c>
      <c r="M3119">
        <v>1</v>
      </c>
      <c r="N3119">
        <v>1</v>
      </c>
      <c r="O3119" t="s">
        <v>27</v>
      </c>
      <c r="P3119" t="str">
        <f>TEXT(Table1[[#This Row],[order_date]],"yyyy-mm")</f>
        <v>2025-12</v>
      </c>
      <c r="Q3119">
        <f>WEEKNUM(Table1[[#This Row],[order_date]])</f>
        <v>51</v>
      </c>
      <c r="R3119">
        <f>IF(Table1[[#This Row],[order_status]]="completed",1,0)</f>
        <v>0</v>
      </c>
    </row>
    <row r="3120" spans="1:18" x14ac:dyDescent="0.35">
      <c r="A3120">
        <v>3119</v>
      </c>
      <c r="B3120" s="1">
        <v>45928</v>
      </c>
      <c r="C3120">
        <v>1826</v>
      </c>
      <c r="D3120" t="s">
        <v>15</v>
      </c>
      <c r="E3120" t="s">
        <v>29</v>
      </c>
      <c r="F3120" t="s">
        <v>30</v>
      </c>
      <c r="G3120">
        <v>2</v>
      </c>
      <c r="H3120">
        <v>0</v>
      </c>
      <c r="I3120" t="s">
        <v>25</v>
      </c>
      <c r="J3120" t="s">
        <v>37</v>
      </c>
      <c r="K3120" t="s">
        <v>40</v>
      </c>
      <c r="L3120">
        <v>8</v>
      </c>
      <c r="M3120">
        <v>0</v>
      </c>
      <c r="N3120">
        <v>0</v>
      </c>
      <c r="O3120" t="s">
        <v>27</v>
      </c>
      <c r="P3120" t="str">
        <f>TEXT(Table1[[#This Row],[order_date]],"yyyy-mm")</f>
        <v>2025-09</v>
      </c>
      <c r="Q3120">
        <f>WEEKNUM(Table1[[#This Row],[order_date]])</f>
        <v>40</v>
      </c>
      <c r="R3120">
        <f>IF(Table1[[#This Row],[order_status]]="completed",1,0)</f>
        <v>0</v>
      </c>
    </row>
    <row r="3121" spans="1:18" x14ac:dyDescent="0.35">
      <c r="A3121">
        <v>3120</v>
      </c>
      <c r="B3121" s="1">
        <v>45985</v>
      </c>
      <c r="C3121">
        <v>1579</v>
      </c>
      <c r="D3121" t="s">
        <v>22</v>
      </c>
      <c r="E3121" t="s">
        <v>23</v>
      </c>
      <c r="F3121" t="s">
        <v>34</v>
      </c>
      <c r="G3121">
        <v>3</v>
      </c>
      <c r="H3121">
        <v>0</v>
      </c>
      <c r="I3121" t="s">
        <v>25</v>
      </c>
      <c r="J3121" t="s">
        <v>37</v>
      </c>
      <c r="K3121" t="s">
        <v>40</v>
      </c>
      <c r="L3121">
        <v>6</v>
      </c>
      <c r="M3121">
        <v>1</v>
      </c>
      <c r="N3121">
        <v>1</v>
      </c>
      <c r="O3121" t="s">
        <v>27</v>
      </c>
      <c r="P3121" t="str">
        <f>TEXT(Table1[[#This Row],[order_date]],"yyyy-mm")</f>
        <v>2025-11</v>
      </c>
      <c r="Q3121">
        <f>WEEKNUM(Table1[[#This Row],[order_date]])</f>
        <v>48</v>
      </c>
      <c r="R3121">
        <f>IF(Table1[[#This Row],[order_status]]="completed",1,0)</f>
        <v>0</v>
      </c>
    </row>
    <row r="3122" spans="1:18" x14ac:dyDescent="0.35">
      <c r="A3122">
        <v>3121</v>
      </c>
      <c r="B3122" s="1">
        <v>45873</v>
      </c>
      <c r="C3122">
        <v>1510</v>
      </c>
      <c r="D3122" t="s">
        <v>22</v>
      </c>
      <c r="E3122" t="s">
        <v>23</v>
      </c>
      <c r="F3122" t="s">
        <v>34</v>
      </c>
      <c r="G3122">
        <v>3</v>
      </c>
      <c r="H3122">
        <v>8979</v>
      </c>
      <c r="I3122" t="s">
        <v>18</v>
      </c>
      <c r="J3122" t="s">
        <v>19</v>
      </c>
      <c r="K3122" t="s">
        <v>40</v>
      </c>
      <c r="L3122">
        <v>1</v>
      </c>
      <c r="M3122">
        <v>1</v>
      </c>
      <c r="N3122">
        <v>0</v>
      </c>
      <c r="O3122" t="s">
        <v>27</v>
      </c>
      <c r="P3122" t="str">
        <f>TEXT(Table1[[#This Row],[order_date]],"yyyy-mm")</f>
        <v>2025-08</v>
      </c>
      <c r="Q3122">
        <f>WEEKNUM(Table1[[#This Row],[order_date]])</f>
        <v>32</v>
      </c>
      <c r="R3122">
        <f>IF(Table1[[#This Row],[order_status]]="completed",1,0)</f>
        <v>1</v>
      </c>
    </row>
    <row r="3123" spans="1:18" x14ac:dyDescent="0.35">
      <c r="A3123">
        <v>3122</v>
      </c>
      <c r="B3123" s="1">
        <v>46000</v>
      </c>
      <c r="C3123">
        <v>1363</v>
      </c>
      <c r="D3123" t="s">
        <v>15</v>
      </c>
      <c r="E3123" t="s">
        <v>33</v>
      </c>
      <c r="F3123" t="s">
        <v>17</v>
      </c>
      <c r="G3123">
        <v>1</v>
      </c>
      <c r="H3123">
        <v>0</v>
      </c>
      <c r="I3123" t="s">
        <v>18</v>
      </c>
      <c r="J3123" t="s">
        <v>31</v>
      </c>
      <c r="K3123" t="s">
        <v>38</v>
      </c>
      <c r="L3123">
        <v>4</v>
      </c>
      <c r="M3123">
        <v>1</v>
      </c>
      <c r="N3123">
        <v>0</v>
      </c>
      <c r="O3123" t="s">
        <v>21</v>
      </c>
      <c r="P3123" t="str">
        <f>TEXT(Table1[[#This Row],[order_date]],"yyyy-mm")</f>
        <v>2025-12</v>
      </c>
      <c r="Q3123">
        <f>WEEKNUM(Table1[[#This Row],[order_date]])</f>
        <v>50</v>
      </c>
      <c r="R3123">
        <f>IF(Table1[[#This Row],[order_status]]="completed",1,0)</f>
        <v>0</v>
      </c>
    </row>
    <row r="3124" spans="1:18" x14ac:dyDescent="0.35">
      <c r="A3124">
        <v>3123</v>
      </c>
      <c r="B3124" s="1">
        <v>45949</v>
      </c>
      <c r="C3124">
        <v>1604</v>
      </c>
      <c r="D3124" t="s">
        <v>32</v>
      </c>
      <c r="E3124" t="s">
        <v>36</v>
      </c>
      <c r="F3124" t="s">
        <v>30</v>
      </c>
      <c r="G3124">
        <v>5</v>
      </c>
      <c r="H3124">
        <v>0</v>
      </c>
      <c r="I3124" t="s">
        <v>35</v>
      </c>
      <c r="J3124" t="s">
        <v>37</v>
      </c>
      <c r="K3124" t="s">
        <v>40</v>
      </c>
      <c r="L3124">
        <v>7</v>
      </c>
      <c r="M3124">
        <v>0</v>
      </c>
      <c r="N3124">
        <v>0</v>
      </c>
      <c r="O3124" t="s">
        <v>27</v>
      </c>
      <c r="P3124" t="str">
        <f>TEXT(Table1[[#This Row],[order_date]],"yyyy-mm")</f>
        <v>2025-10</v>
      </c>
      <c r="Q3124">
        <f>WEEKNUM(Table1[[#This Row],[order_date]])</f>
        <v>43</v>
      </c>
      <c r="R3124">
        <f>IF(Table1[[#This Row],[order_status]]="completed",1,0)</f>
        <v>0</v>
      </c>
    </row>
    <row r="3125" spans="1:18" x14ac:dyDescent="0.35">
      <c r="A3125">
        <v>3124</v>
      </c>
      <c r="B3125" s="1">
        <v>45906</v>
      </c>
      <c r="C3125">
        <v>1736</v>
      </c>
      <c r="D3125" t="s">
        <v>41</v>
      </c>
      <c r="E3125" t="s">
        <v>36</v>
      </c>
      <c r="F3125" t="s">
        <v>30</v>
      </c>
      <c r="G3125">
        <v>5</v>
      </c>
      <c r="H3125">
        <v>1455</v>
      </c>
      <c r="I3125" t="s">
        <v>25</v>
      </c>
      <c r="J3125" t="s">
        <v>19</v>
      </c>
      <c r="K3125" t="s">
        <v>40</v>
      </c>
      <c r="L3125">
        <v>8</v>
      </c>
      <c r="M3125">
        <v>0</v>
      </c>
      <c r="N3125">
        <v>0</v>
      </c>
      <c r="O3125" t="s">
        <v>27</v>
      </c>
      <c r="P3125" t="str">
        <f>TEXT(Table1[[#This Row],[order_date]],"yyyy-mm")</f>
        <v>2025-09</v>
      </c>
      <c r="Q3125">
        <f>WEEKNUM(Table1[[#This Row],[order_date]])</f>
        <v>36</v>
      </c>
      <c r="R3125">
        <f>IF(Table1[[#This Row],[order_status]]="completed",1,0)</f>
        <v>1</v>
      </c>
    </row>
    <row r="3126" spans="1:18" x14ac:dyDescent="0.35">
      <c r="A3126">
        <v>3125</v>
      </c>
      <c r="B3126" s="1">
        <v>45919</v>
      </c>
      <c r="C3126">
        <v>1460</v>
      </c>
      <c r="D3126" t="s">
        <v>32</v>
      </c>
      <c r="E3126" t="s">
        <v>36</v>
      </c>
      <c r="F3126" t="s">
        <v>34</v>
      </c>
      <c r="G3126">
        <v>4</v>
      </c>
      <c r="H3126">
        <v>0</v>
      </c>
      <c r="I3126" t="s">
        <v>25</v>
      </c>
      <c r="J3126" t="s">
        <v>37</v>
      </c>
      <c r="K3126" t="s">
        <v>20</v>
      </c>
      <c r="L3126">
        <v>6</v>
      </c>
      <c r="M3126">
        <v>0</v>
      </c>
      <c r="N3126">
        <v>0</v>
      </c>
      <c r="O3126" t="s">
        <v>21</v>
      </c>
      <c r="P3126" t="str">
        <f>TEXT(Table1[[#This Row],[order_date]],"yyyy-mm")</f>
        <v>2025-09</v>
      </c>
      <c r="Q3126">
        <f>WEEKNUM(Table1[[#This Row],[order_date]])</f>
        <v>38</v>
      </c>
      <c r="R3126">
        <f>IF(Table1[[#This Row],[order_status]]="completed",1,0)</f>
        <v>0</v>
      </c>
    </row>
    <row r="3127" spans="1:18" x14ac:dyDescent="0.35">
      <c r="A3127">
        <v>3126</v>
      </c>
      <c r="B3127" s="1">
        <v>45958</v>
      </c>
      <c r="C3127">
        <v>1136</v>
      </c>
      <c r="D3127" t="s">
        <v>15</v>
      </c>
      <c r="E3127" t="s">
        <v>33</v>
      </c>
      <c r="F3127" t="s">
        <v>24</v>
      </c>
      <c r="G3127">
        <v>2</v>
      </c>
      <c r="H3127">
        <v>5512</v>
      </c>
      <c r="I3127" t="s">
        <v>25</v>
      </c>
      <c r="J3127" t="s">
        <v>19</v>
      </c>
      <c r="K3127" t="s">
        <v>40</v>
      </c>
      <c r="L3127">
        <v>10</v>
      </c>
      <c r="M3127">
        <v>0</v>
      </c>
      <c r="N3127">
        <v>1</v>
      </c>
      <c r="O3127" t="s">
        <v>21</v>
      </c>
      <c r="P3127" t="str">
        <f>TEXT(Table1[[#This Row],[order_date]],"yyyy-mm")</f>
        <v>2025-10</v>
      </c>
      <c r="Q3127">
        <f>WEEKNUM(Table1[[#This Row],[order_date]])</f>
        <v>44</v>
      </c>
      <c r="R3127">
        <f>IF(Table1[[#This Row],[order_status]]="completed",1,0)</f>
        <v>1</v>
      </c>
    </row>
    <row r="3128" spans="1:18" x14ac:dyDescent="0.35">
      <c r="A3128">
        <v>3127</v>
      </c>
      <c r="B3128" s="1">
        <v>45886</v>
      </c>
      <c r="C3128">
        <v>1889</v>
      </c>
      <c r="D3128" t="s">
        <v>41</v>
      </c>
      <c r="E3128" t="s">
        <v>33</v>
      </c>
      <c r="F3128" t="s">
        <v>34</v>
      </c>
      <c r="G3128">
        <v>4</v>
      </c>
      <c r="H3128">
        <v>0</v>
      </c>
      <c r="I3128" t="s">
        <v>25</v>
      </c>
      <c r="J3128" t="s">
        <v>31</v>
      </c>
      <c r="K3128" t="s">
        <v>40</v>
      </c>
      <c r="L3128">
        <v>4</v>
      </c>
      <c r="M3128">
        <v>1</v>
      </c>
      <c r="N3128">
        <v>0</v>
      </c>
      <c r="O3128" t="s">
        <v>27</v>
      </c>
      <c r="P3128" t="str">
        <f>TEXT(Table1[[#This Row],[order_date]],"yyyy-mm")</f>
        <v>2025-08</v>
      </c>
      <c r="Q3128">
        <f>WEEKNUM(Table1[[#This Row],[order_date]])</f>
        <v>34</v>
      </c>
      <c r="R3128">
        <f>IF(Table1[[#This Row],[order_status]]="completed",1,0)</f>
        <v>0</v>
      </c>
    </row>
    <row r="3129" spans="1:18" x14ac:dyDescent="0.35">
      <c r="A3129">
        <v>3128</v>
      </c>
      <c r="B3129" s="1">
        <v>45930</v>
      </c>
      <c r="C3129">
        <v>1831</v>
      </c>
      <c r="D3129" t="s">
        <v>22</v>
      </c>
      <c r="E3129" t="s">
        <v>16</v>
      </c>
      <c r="F3129" t="s">
        <v>34</v>
      </c>
      <c r="G3129">
        <v>5</v>
      </c>
      <c r="H3129">
        <v>12605</v>
      </c>
      <c r="I3129" t="s">
        <v>39</v>
      </c>
      <c r="J3129" t="s">
        <v>19</v>
      </c>
      <c r="K3129" t="s">
        <v>38</v>
      </c>
      <c r="L3129">
        <v>8</v>
      </c>
      <c r="M3129">
        <v>0</v>
      </c>
      <c r="N3129">
        <v>0</v>
      </c>
      <c r="O3129" t="s">
        <v>21</v>
      </c>
      <c r="P3129" t="str">
        <f>TEXT(Table1[[#This Row],[order_date]],"yyyy-mm")</f>
        <v>2025-09</v>
      </c>
      <c r="Q3129">
        <f>WEEKNUM(Table1[[#This Row],[order_date]])</f>
        <v>40</v>
      </c>
      <c r="R3129">
        <f>IF(Table1[[#This Row],[order_status]]="completed",1,0)</f>
        <v>1</v>
      </c>
    </row>
    <row r="3130" spans="1:18" x14ac:dyDescent="0.35">
      <c r="A3130">
        <v>3129</v>
      </c>
      <c r="B3130" s="1">
        <v>45960</v>
      </c>
      <c r="C3130">
        <v>1019</v>
      </c>
      <c r="D3130" t="s">
        <v>28</v>
      </c>
      <c r="E3130" t="s">
        <v>29</v>
      </c>
      <c r="F3130" t="s">
        <v>24</v>
      </c>
      <c r="G3130">
        <v>2</v>
      </c>
      <c r="H3130">
        <v>0</v>
      </c>
      <c r="I3130" t="s">
        <v>35</v>
      </c>
      <c r="J3130" t="s">
        <v>31</v>
      </c>
      <c r="K3130" t="s">
        <v>26</v>
      </c>
      <c r="L3130">
        <v>6</v>
      </c>
      <c r="M3130">
        <v>0</v>
      </c>
      <c r="N3130">
        <v>0</v>
      </c>
      <c r="O3130" t="s">
        <v>27</v>
      </c>
      <c r="P3130" t="str">
        <f>TEXT(Table1[[#This Row],[order_date]],"yyyy-mm")</f>
        <v>2025-10</v>
      </c>
      <c r="Q3130">
        <f>WEEKNUM(Table1[[#This Row],[order_date]])</f>
        <v>44</v>
      </c>
      <c r="R3130">
        <f>IF(Table1[[#This Row],[order_status]]="completed",1,0)</f>
        <v>0</v>
      </c>
    </row>
    <row r="3131" spans="1:18" x14ac:dyDescent="0.35">
      <c r="A3131">
        <v>3130</v>
      </c>
      <c r="B3131" s="1">
        <v>45973</v>
      </c>
      <c r="C3131">
        <v>1558</v>
      </c>
      <c r="D3131" t="s">
        <v>22</v>
      </c>
      <c r="E3131" t="s">
        <v>29</v>
      </c>
      <c r="F3131" t="s">
        <v>24</v>
      </c>
      <c r="G3131">
        <v>5</v>
      </c>
      <c r="H3131">
        <v>5125</v>
      </c>
      <c r="I3131" t="s">
        <v>39</v>
      </c>
      <c r="J3131" t="s">
        <v>19</v>
      </c>
      <c r="K3131" t="s">
        <v>38</v>
      </c>
      <c r="L3131">
        <v>3</v>
      </c>
      <c r="M3131">
        <v>0</v>
      </c>
      <c r="N3131">
        <v>1</v>
      </c>
      <c r="O3131" t="s">
        <v>27</v>
      </c>
      <c r="P3131" t="str">
        <f>TEXT(Table1[[#This Row],[order_date]],"yyyy-mm")</f>
        <v>2025-11</v>
      </c>
      <c r="Q3131">
        <f>WEEKNUM(Table1[[#This Row],[order_date]])</f>
        <v>46</v>
      </c>
      <c r="R3131">
        <f>IF(Table1[[#This Row],[order_status]]="completed",1,0)</f>
        <v>1</v>
      </c>
    </row>
    <row r="3132" spans="1:18" x14ac:dyDescent="0.35">
      <c r="A3132">
        <v>3131</v>
      </c>
      <c r="B3132" s="1">
        <v>45993</v>
      </c>
      <c r="C3132">
        <v>1943</v>
      </c>
      <c r="D3132" t="s">
        <v>41</v>
      </c>
      <c r="E3132" t="s">
        <v>33</v>
      </c>
      <c r="F3132" t="s">
        <v>17</v>
      </c>
      <c r="G3132">
        <v>3</v>
      </c>
      <c r="H3132">
        <v>0</v>
      </c>
      <c r="I3132" t="s">
        <v>25</v>
      </c>
      <c r="J3132" t="s">
        <v>31</v>
      </c>
      <c r="K3132" t="s">
        <v>20</v>
      </c>
      <c r="L3132">
        <v>3</v>
      </c>
      <c r="M3132">
        <v>0</v>
      </c>
      <c r="N3132">
        <v>0</v>
      </c>
      <c r="O3132" t="s">
        <v>21</v>
      </c>
      <c r="P3132" t="str">
        <f>TEXT(Table1[[#This Row],[order_date]],"yyyy-mm")</f>
        <v>2025-12</v>
      </c>
      <c r="Q3132">
        <f>WEEKNUM(Table1[[#This Row],[order_date]])</f>
        <v>49</v>
      </c>
      <c r="R3132">
        <f>IF(Table1[[#This Row],[order_status]]="completed",1,0)</f>
        <v>0</v>
      </c>
    </row>
    <row r="3133" spans="1:18" x14ac:dyDescent="0.35">
      <c r="A3133">
        <v>3132</v>
      </c>
      <c r="B3133" s="1">
        <v>45958</v>
      </c>
      <c r="C3133">
        <v>1117</v>
      </c>
      <c r="D3133" t="s">
        <v>32</v>
      </c>
      <c r="E3133" t="s">
        <v>16</v>
      </c>
      <c r="F3133" t="s">
        <v>30</v>
      </c>
      <c r="G3133">
        <v>3</v>
      </c>
      <c r="H3133">
        <v>0</v>
      </c>
      <c r="I3133" t="s">
        <v>25</v>
      </c>
      <c r="J3133" t="s">
        <v>37</v>
      </c>
      <c r="K3133" t="s">
        <v>26</v>
      </c>
      <c r="L3133">
        <v>7</v>
      </c>
      <c r="M3133">
        <v>0</v>
      </c>
      <c r="N3133">
        <v>0</v>
      </c>
      <c r="O3133" t="s">
        <v>21</v>
      </c>
      <c r="P3133" t="str">
        <f>TEXT(Table1[[#This Row],[order_date]],"yyyy-mm")</f>
        <v>2025-10</v>
      </c>
      <c r="Q3133">
        <f>WEEKNUM(Table1[[#This Row],[order_date]])</f>
        <v>44</v>
      </c>
      <c r="R3133">
        <f>IF(Table1[[#This Row],[order_status]]="completed",1,0)</f>
        <v>0</v>
      </c>
    </row>
    <row r="3134" spans="1:18" x14ac:dyDescent="0.35">
      <c r="A3134">
        <v>3133</v>
      </c>
      <c r="B3134" s="1">
        <v>45881</v>
      </c>
      <c r="C3134">
        <v>1713</v>
      </c>
      <c r="D3134" t="s">
        <v>15</v>
      </c>
      <c r="E3134" t="s">
        <v>33</v>
      </c>
      <c r="F3134" t="s">
        <v>17</v>
      </c>
      <c r="G3134">
        <v>2</v>
      </c>
      <c r="H3134">
        <v>0</v>
      </c>
      <c r="I3134" t="s">
        <v>18</v>
      </c>
      <c r="J3134" t="s">
        <v>37</v>
      </c>
      <c r="K3134" t="s">
        <v>38</v>
      </c>
      <c r="L3134">
        <v>2</v>
      </c>
      <c r="M3134">
        <v>0</v>
      </c>
      <c r="N3134">
        <v>0</v>
      </c>
      <c r="O3134" t="s">
        <v>27</v>
      </c>
      <c r="P3134" t="str">
        <f>TEXT(Table1[[#This Row],[order_date]],"yyyy-mm")</f>
        <v>2025-08</v>
      </c>
      <c r="Q3134">
        <f>WEEKNUM(Table1[[#This Row],[order_date]])</f>
        <v>33</v>
      </c>
      <c r="R3134">
        <f>IF(Table1[[#This Row],[order_status]]="completed",1,0)</f>
        <v>0</v>
      </c>
    </row>
    <row r="3135" spans="1:18" x14ac:dyDescent="0.35">
      <c r="A3135">
        <v>3134</v>
      </c>
      <c r="B3135" s="1">
        <v>45867</v>
      </c>
      <c r="C3135">
        <v>1659</v>
      </c>
      <c r="D3135" t="s">
        <v>41</v>
      </c>
      <c r="E3135" t="s">
        <v>23</v>
      </c>
      <c r="F3135" t="s">
        <v>24</v>
      </c>
      <c r="G3135">
        <v>5</v>
      </c>
      <c r="H3135">
        <v>0</v>
      </c>
      <c r="I3135" t="s">
        <v>35</v>
      </c>
      <c r="J3135" t="s">
        <v>31</v>
      </c>
      <c r="K3135" t="s">
        <v>26</v>
      </c>
      <c r="L3135">
        <v>3</v>
      </c>
      <c r="M3135">
        <v>0</v>
      </c>
      <c r="N3135">
        <v>0</v>
      </c>
      <c r="O3135" t="s">
        <v>21</v>
      </c>
      <c r="P3135" t="str">
        <f>TEXT(Table1[[#This Row],[order_date]],"yyyy-mm")</f>
        <v>2025-07</v>
      </c>
      <c r="Q3135">
        <f>WEEKNUM(Table1[[#This Row],[order_date]])</f>
        <v>31</v>
      </c>
      <c r="R3135">
        <f>IF(Table1[[#This Row],[order_status]]="completed",1,0)</f>
        <v>0</v>
      </c>
    </row>
    <row r="3136" spans="1:18" x14ac:dyDescent="0.35">
      <c r="A3136">
        <v>3135</v>
      </c>
      <c r="B3136" s="1">
        <v>45927</v>
      </c>
      <c r="C3136">
        <v>1702</v>
      </c>
      <c r="D3136" t="s">
        <v>28</v>
      </c>
      <c r="E3136" t="s">
        <v>16</v>
      </c>
      <c r="F3136" t="s">
        <v>17</v>
      </c>
      <c r="G3136">
        <v>5</v>
      </c>
      <c r="H3136">
        <v>0</v>
      </c>
      <c r="I3136" t="s">
        <v>18</v>
      </c>
      <c r="J3136" t="s">
        <v>37</v>
      </c>
      <c r="K3136" t="s">
        <v>38</v>
      </c>
      <c r="L3136">
        <v>1</v>
      </c>
      <c r="M3136">
        <v>0</v>
      </c>
      <c r="N3136">
        <v>1</v>
      </c>
      <c r="O3136" t="s">
        <v>27</v>
      </c>
      <c r="P3136" t="str">
        <f>TEXT(Table1[[#This Row],[order_date]],"yyyy-mm")</f>
        <v>2025-09</v>
      </c>
      <c r="Q3136">
        <f>WEEKNUM(Table1[[#This Row],[order_date]])</f>
        <v>39</v>
      </c>
      <c r="R3136">
        <f>IF(Table1[[#This Row],[order_status]]="completed",1,0)</f>
        <v>0</v>
      </c>
    </row>
    <row r="3137" spans="1:18" x14ac:dyDescent="0.35">
      <c r="A3137">
        <v>3136</v>
      </c>
      <c r="B3137" s="1">
        <v>45976</v>
      </c>
      <c r="C3137">
        <v>1840</v>
      </c>
      <c r="D3137" t="s">
        <v>15</v>
      </c>
      <c r="E3137" t="s">
        <v>23</v>
      </c>
      <c r="F3137" t="s">
        <v>34</v>
      </c>
      <c r="G3137">
        <v>1</v>
      </c>
      <c r="H3137">
        <v>1964</v>
      </c>
      <c r="I3137" t="s">
        <v>39</v>
      </c>
      <c r="J3137" t="s">
        <v>19</v>
      </c>
      <c r="K3137" t="s">
        <v>38</v>
      </c>
      <c r="L3137">
        <v>2</v>
      </c>
      <c r="M3137">
        <v>1</v>
      </c>
      <c r="N3137">
        <v>0</v>
      </c>
      <c r="O3137" t="s">
        <v>27</v>
      </c>
      <c r="P3137" t="str">
        <f>TEXT(Table1[[#This Row],[order_date]],"yyyy-mm")</f>
        <v>2025-11</v>
      </c>
      <c r="Q3137">
        <f>WEEKNUM(Table1[[#This Row],[order_date]])</f>
        <v>46</v>
      </c>
      <c r="R3137">
        <f>IF(Table1[[#This Row],[order_status]]="completed",1,0)</f>
        <v>1</v>
      </c>
    </row>
    <row r="3138" spans="1:18" x14ac:dyDescent="0.35">
      <c r="A3138">
        <v>3137</v>
      </c>
      <c r="B3138" s="1">
        <v>46007</v>
      </c>
      <c r="C3138">
        <v>1529</v>
      </c>
      <c r="D3138" t="s">
        <v>15</v>
      </c>
      <c r="E3138" t="s">
        <v>16</v>
      </c>
      <c r="F3138" t="s">
        <v>24</v>
      </c>
      <c r="G3138">
        <v>4</v>
      </c>
      <c r="H3138">
        <v>0</v>
      </c>
      <c r="I3138" t="s">
        <v>35</v>
      </c>
      <c r="J3138" t="s">
        <v>31</v>
      </c>
      <c r="K3138" t="s">
        <v>26</v>
      </c>
      <c r="L3138">
        <v>1</v>
      </c>
      <c r="M3138">
        <v>0</v>
      </c>
      <c r="N3138">
        <v>1</v>
      </c>
      <c r="O3138" t="s">
        <v>27</v>
      </c>
      <c r="P3138" t="str">
        <f>TEXT(Table1[[#This Row],[order_date]],"yyyy-mm")</f>
        <v>2025-12</v>
      </c>
      <c r="Q3138">
        <f>WEEKNUM(Table1[[#This Row],[order_date]])</f>
        <v>51</v>
      </c>
      <c r="R3138">
        <f>IF(Table1[[#This Row],[order_status]]="completed",1,0)</f>
        <v>0</v>
      </c>
    </row>
    <row r="3139" spans="1:18" x14ac:dyDescent="0.35">
      <c r="A3139">
        <v>3138</v>
      </c>
      <c r="B3139" s="1">
        <v>46021</v>
      </c>
      <c r="C3139">
        <v>1661</v>
      </c>
      <c r="D3139" t="s">
        <v>32</v>
      </c>
      <c r="E3139" t="s">
        <v>29</v>
      </c>
      <c r="F3139" t="s">
        <v>34</v>
      </c>
      <c r="G3139">
        <v>4</v>
      </c>
      <c r="H3139">
        <v>0</v>
      </c>
      <c r="I3139" t="s">
        <v>25</v>
      </c>
      <c r="J3139" t="s">
        <v>31</v>
      </c>
      <c r="K3139" t="s">
        <v>40</v>
      </c>
      <c r="L3139">
        <v>6</v>
      </c>
      <c r="M3139">
        <v>1</v>
      </c>
      <c r="N3139">
        <v>1</v>
      </c>
      <c r="O3139" t="s">
        <v>27</v>
      </c>
      <c r="P3139" t="str">
        <f>TEXT(Table1[[#This Row],[order_date]],"yyyy-mm")</f>
        <v>2025-12</v>
      </c>
      <c r="Q3139">
        <f>WEEKNUM(Table1[[#This Row],[order_date]])</f>
        <v>53</v>
      </c>
      <c r="R3139">
        <f>IF(Table1[[#This Row],[order_status]]="completed",1,0)</f>
        <v>0</v>
      </c>
    </row>
    <row r="3140" spans="1:18" x14ac:dyDescent="0.35">
      <c r="A3140">
        <v>3139</v>
      </c>
      <c r="B3140" s="1">
        <v>45968</v>
      </c>
      <c r="C3140">
        <v>1880</v>
      </c>
      <c r="D3140" t="s">
        <v>28</v>
      </c>
      <c r="E3140" t="s">
        <v>29</v>
      </c>
      <c r="F3140" t="s">
        <v>34</v>
      </c>
      <c r="G3140">
        <v>2</v>
      </c>
      <c r="H3140">
        <v>0</v>
      </c>
      <c r="I3140" t="s">
        <v>25</v>
      </c>
      <c r="J3140" t="s">
        <v>37</v>
      </c>
      <c r="K3140" t="s">
        <v>40</v>
      </c>
      <c r="L3140">
        <v>5</v>
      </c>
      <c r="M3140">
        <v>1</v>
      </c>
      <c r="N3140">
        <v>0</v>
      </c>
      <c r="O3140" t="s">
        <v>21</v>
      </c>
      <c r="P3140" t="str">
        <f>TEXT(Table1[[#This Row],[order_date]],"yyyy-mm")</f>
        <v>2025-11</v>
      </c>
      <c r="Q3140">
        <f>WEEKNUM(Table1[[#This Row],[order_date]])</f>
        <v>45</v>
      </c>
      <c r="R3140">
        <f>IF(Table1[[#This Row],[order_status]]="completed",1,0)</f>
        <v>0</v>
      </c>
    </row>
    <row r="3141" spans="1:18" x14ac:dyDescent="0.35">
      <c r="A3141">
        <v>3140</v>
      </c>
      <c r="B3141" s="1">
        <v>45935</v>
      </c>
      <c r="C3141">
        <v>1060</v>
      </c>
      <c r="D3141" t="s">
        <v>41</v>
      </c>
      <c r="E3141" t="s">
        <v>29</v>
      </c>
      <c r="F3141" t="s">
        <v>34</v>
      </c>
      <c r="G3141">
        <v>1</v>
      </c>
      <c r="H3141">
        <v>4730</v>
      </c>
      <c r="I3141" t="s">
        <v>39</v>
      </c>
      <c r="J3141" t="s">
        <v>19</v>
      </c>
      <c r="K3141" t="s">
        <v>40</v>
      </c>
      <c r="L3141">
        <v>8</v>
      </c>
      <c r="M3141">
        <v>1</v>
      </c>
      <c r="N3141">
        <v>1</v>
      </c>
      <c r="O3141" t="s">
        <v>27</v>
      </c>
      <c r="P3141" t="str">
        <f>TEXT(Table1[[#This Row],[order_date]],"yyyy-mm")</f>
        <v>2025-10</v>
      </c>
      <c r="Q3141">
        <f>WEEKNUM(Table1[[#This Row],[order_date]])</f>
        <v>41</v>
      </c>
      <c r="R3141">
        <f>IF(Table1[[#This Row],[order_status]]="completed",1,0)</f>
        <v>1</v>
      </c>
    </row>
    <row r="3142" spans="1:18" x14ac:dyDescent="0.35">
      <c r="A3142">
        <v>3141</v>
      </c>
      <c r="B3142" s="1">
        <v>45892</v>
      </c>
      <c r="C3142">
        <v>1625</v>
      </c>
      <c r="D3142" t="s">
        <v>32</v>
      </c>
      <c r="E3142" t="s">
        <v>33</v>
      </c>
      <c r="F3142" t="s">
        <v>30</v>
      </c>
      <c r="G3142">
        <v>4</v>
      </c>
      <c r="H3142">
        <v>0</v>
      </c>
      <c r="I3142" t="s">
        <v>39</v>
      </c>
      <c r="J3142" t="s">
        <v>31</v>
      </c>
      <c r="K3142" t="s">
        <v>26</v>
      </c>
      <c r="L3142">
        <v>9</v>
      </c>
      <c r="M3142">
        <v>1</v>
      </c>
      <c r="N3142">
        <v>1</v>
      </c>
      <c r="O3142" t="s">
        <v>21</v>
      </c>
      <c r="P3142" t="str">
        <f>TEXT(Table1[[#This Row],[order_date]],"yyyy-mm")</f>
        <v>2025-08</v>
      </c>
      <c r="Q3142">
        <f>WEEKNUM(Table1[[#This Row],[order_date]])</f>
        <v>34</v>
      </c>
      <c r="R3142">
        <f>IF(Table1[[#This Row],[order_status]]="completed",1,0)</f>
        <v>0</v>
      </c>
    </row>
    <row r="3143" spans="1:18" x14ac:dyDescent="0.35">
      <c r="A3143">
        <v>3142</v>
      </c>
      <c r="B3143" s="1">
        <v>45938</v>
      </c>
      <c r="C3143">
        <v>1598</v>
      </c>
      <c r="D3143" t="s">
        <v>32</v>
      </c>
      <c r="E3143" t="s">
        <v>36</v>
      </c>
      <c r="F3143" t="s">
        <v>30</v>
      </c>
      <c r="G3143">
        <v>2</v>
      </c>
      <c r="H3143">
        <v>9806</v>
      </c>
      <c r="I3143" t="s">
        <v>18</v>
      </c>
      <c r="J3143" t="s">
        <v>19</v>
      </c>
      <c r="K3143" t="s">
        <v>20</v>
      </c>
      <c r="L3143">
        <v>2</v>
      </c>
      <c r="M3143">
        <v>1</v>
      </c>
      <c r="N3143">
        <v>0</v>
      </c>
      <c r="O3143" t="s">
        <v>21</v>
      </c>
      <c r="P3143" t="str">
        <f>TEXT(Table1[[#This Row],[order_date]],"yyyy-mm")</f>
        <v>2025-10</v>
      </c>
      <c r="Q3143">
        <f>WEEKNUM(Table1[[#This Row],[order_date]])</f>
        <v>41</v>
      </c>
      <c r="R3143">
        <f>IF(Table1[[#This Row],[order_status]]="completed",1,0)</f>
        <v>1</v>
      </c>
    </row>
    <row r="3144" spans="1:18" x14ac:dyDescent="0.35">
      <c r="A3144">
        <v>3143</v>
      </c>
      <c r="B3144" s="1">
        <v>45886</v>
      </c>
      <c r="C3144">
        <v>1835</v>
      </c>
      <c r="D3144" t="s">
        <v>15</v>
      </c>
      <c r="E3144" t="s">
        <v>33</v>
      </c>
      <c r="F3144" t="s">
        <v>30</v>
      </c>
      <c r="G3144">
        <v>2</v>
      </c>
      <c r="H3144">
        <v>0</v>
      </c>
      <c r="I3144" t="s">
        <v>39</v>
      </c>
      <c r="J3144" t="s">
        <v>31</v>
      </c>
      <c r="K3144" t="s">
        <v>38</v>
      </c>
      <c r="L3144">
        <v>4</v>
      </c>
      <c r="M3144">
        <v>1</v>
      </c>
      <c r="N3144">
        <v>0</v>
      </c>
      <c r="O3144" t="s">
        <v>27</v>
      </c>
      <c r="P3144" t="str">
        <f>TEXT(Table1[[#This Row],[order_date]],"yyyy-mm")</f>
        <v>2025-08</v>
      </c>
      <c r="Q3144">
        <f>WEEKNUM(Table1[[#This Row],[order_date]])</f>
        <v>34</v>
      </c>
      <c r="R3144">
        <f>IF(Table1[[#This Row],[order_status]]="completed",1,0)</f>
        <v>0</v>
      </c>
    </row>
    <row r="3145" spans="1:18" x14ac:dyDescent="0.35">
      <c r="A3145">
        <v>3144</v>
      </c>
      <c r="B3145" s="1">
        <v>46020</v>
      </c>
      <c r="C3145">
        <v>1979</v>
      </c>
      <c r="D3145" t="s">
        <v>41</v>
      </c>
      <c r="E3145" t="s">
        <v>23</v>
      </c>
      <c r="F3145" t="s">
        <v>30</v>
      </c>
      <c r="G3145">
        <v>2</v>
      </c>
      <c r="H3145">
        <v>0</v>
      </c>
      <c r="I3145" t="s">
        <v>35</v>
      </c>
      <c r="J3145" t="s">
        <v>31</v>
      </c>
      <c r="K3145" t="s">
        <v>40</v>
      </c>
      <c r="L3145">
        <v>9</v>
      </c>
      <c r="M3145">
        <v>1</v>
      </c>
      <c r="N3145">
        <v>0</v>
      </c>
      <c r="O3145" t="s">
        <v>21</v>
      </c>
      <c r="P3145" t="str">
        <f>TEXT(Table1[[#This Row],[order_date]],"yyyy-mm")</f>
        <v>2025-12</v>
      </c>
      <c r="Q3145">
        <f>WEEKNUM(Table1[[#This Row],[order_date]])</f>
        <v>53</v>
      </c>
      <c r="R3145">
        <f>IF(Table1[[#This Row],[order_status]]="completed",1,0)</f>
        <v>0</v>
      </c>
    </row>
    <row r="3146" spans="1:18" x14ac:dyDescent="0.35">
      <c r="A3146">
        <v>3145</v>
      </c>
      <c r="B3146" s="1">
        <v>45982</v>
      </c>
      <c r="C3146">
        <v>1098</v>
      </c>
      <c r="D3146" t="s">
        <v>22</v>
      </c>
      <c r="E3146" t="s">
        <v>36</v>
      </c>
      <c r="F3146" t="s">
        <v>30</v>
      </c>
      <c r="G3146">
        <v>5</v>
      </c>
      <c r="H3146">
        <v>0</v>
      </c>
      <c r="I3146" t="s">
        <v>35</v>
      </c>
      <c r="J3146" t="s">
        <v>37</v>
      </c>
      <c r="K3146" t="s">
        <v>38</v>
      </c>
      <c r="L3146">
        <v>8</v>
      </c>
      <c r="M3146">
        <v>1</v>
      </c>
      <c r="N3146">
        <v>0</v>
      </c>
      <c r="O3146" t="s">
        <v>27</v>
      </c>
      <c r="P3146" t="str">
        <f>TEXT(Table1[[#This Row],[order_date]],"yyyy-mm")</f>
        <v>2025-11</v>
      </c>
      <c r="Q3146">
        <f>WEEKNUM(Table1[[#This Row],[order_date]])</f>
        <v>47</v>
      </c>
      <c r="R3146">
        <f>IF(Table1[[#This Row],[order_status]]="completed",1,0)</f>
        <v>0</v>
      </c>
    </row>
    <row r="3147" spans="1:18" x14ac:dyDescent="0.35">
      <c r="A3147">
        <v>3146</v>
      </c>
      <c r="B3147" s="1">
        <v>45975</v>
      </c>
      <c r="C3147">
        <v>1552</v>
      </c>
      <c r="D3147" t="s">
        <v>32</v>
      </c>
      <c r="E3147" t="s">
        <v>33</v>
      </c>
      <c r="F3147" t="s">
        <v>34</v>
      </c>
      <c r="G3147">
        <v>1</v>
      </c>
      <c r="H3147">
        <v>0</v>
      </c>
      <c r="I3147" t="s">
        <v>35</v>
      </c>
      <c r="J3147" t="s">
        <v>37</v>
      </c>
      <c r="K3147" t="s">
        <v>26</v>
      </c>
      <c r="L3147">
        <v>5</v>
      </c>
      <c r="M3147">
        <v>0</v>
      </c>
      <c r="N3147">
        <v>0</v>
      </c>
      <c r="O3147" t="s">
        <v>27</v>
      </c>
      <c r="P3147" t="str">
        <f>TEXT(Table1[[#This Row],[order_date]],"yyyy-mm")</f>
        <v>2025-11</v>
      </c>
      <c r="Q3147">
        <f>WEEKNUM(Table1[[#This Row],[order_date]])</f>
        <v>46</v>
      </c>
      <c r="R3147">
        <f>IF(Table1[[#This Row],[order_status]]="completed",1,0)</f>
        <v>0</v>
      </c>
    </row>
    <row r="3148" spans="1:18" x14ac:dyDescent="0.35">
      <c r="A3148">
        <v>3147</v>
      </c>
      <c r="B3148" s="1">
        <v>46028</v>
      </c>
      <c r="C3148">
        <v>1422</v>
      </c>
      <c r="D3148" t="s">
        <v>28</v>
      </c>
      <c r="E3148" t="s">
        <v>29</v>
      </c>
      <c r="F3148" t="s">
        <v>30</v>
      </c>
      <c r="G3148">
        <v>1</v>
      </c>
      <c r="H3148">
        <v>0</v>
      </c>
      <c r="I3148" t="s">
        <v>39</v>
      </c>
      <c r="J3148" t="s">
        <v>37</v>
      </c>
      <c r="K3148" t="s">
        <v>40</v>
      </c>
      <c r="L3148">
        <v>1</v>
      </c>
      <c r="M3148">
        <v>1</v>
      </c>
      <c r="N3148">
        <v>1</v>
      </c>
      <c r="O3148" t="s">
        <v>27</v>
      </c>
      <c r="P3148" t="str">
        <f>TEXT(Table1[[#This Row],[order_date]],"yyyy-mm")</f>
        <v>2026-01</v>
      </c>
      <c r="Q3148">
        <f>WEEKNUM(Table1[[#This Row],[order_date]])</f>
        <v>2</v>
      </c>
      <c r="R3148">
        <f>IF(Table1[[#This Row],[order_status]]="completed",1,0)</f>
        <v>0</v>
      </c>
    </row>
    <row r="3149" spans="1:18" x14ac:dyDescent="0.35">
      <c r="A3149">
        <v>3148</v>
      </c>
      <c r="B3149" s="1">
        <v>46014</v>
      </c>
      <c r="C3149">
        <v>1724</v>
      </c>
      <c r="D3149" t="s">
        <v>22</v>
      </c>
      <c r="E3149" t="s">
        <v>36</v>
      </c>
      <c r="F3149" t="s">
        <v>17</v>
      </c>
      <c r="G3149">
        <v>4</v>
      </c>
      <c r="H3149">
        <v>19676</v>
      </c>
      <c r="I3149" t="s">
        <v>25</v>
      </c>
      <c r="J3149" t="s">
        <v>19</v>
      </c>
      <c r="K3149" t="s">
        <v>38</v>
      </c>
      <c r="L3149">
        <v>2</v>
      </c>
      <c r="M3149">
        <v>1</v>
      </c>
      <c r="N3149">
        <v>1</v>
      </c>
      <c r="O3149" t="s">
        <v>27</v>
      </c>
      <c r="P3149" t="str">
        <f>TEXT(Table1[[#This Row],[order_date]],"yyyy-mm")</f>
        <v>2025-12</v>
      </c>
      <c r="Q3149">
        <f>WEEKNUM(Table1[[#This Row],[order_date]])</f>
        <v>52</v>
      </c>
      <c r="R3149">
        <f>IF(Table1[[#This Row],[order_status]]="completed",1,0)</f>
        <v>1</v>
      </c>
    </row>
    <row r="3150" spans="1:18" x14ac:dyDescent="0.35">
      <c r="A3150">
        <v>3149</v>
      </c>
      <c r="B3150" s="1">
        <v>45862</v>
      </c>
      <c r="C3150">
        <v>1148</v>
      </c>
      <c r="D3150" t="s">
        <v>28</v>
      </c>
      <c r="E3150" t="s">
        <v>29</v>
      </c>
      <c r="F3150" t="s">
        <v>30</v>
      </c>
      <c r="G3150">
        <v>4</v>
      </c>
      <c r="H3150">
        <v>0</v>
      </c>
      <c r="I3150" t="s">
        <v>39</v>
      </c>
      <c r="J3150" t="s">
        <v>31</v>
      </c>
      <c r="K3150" t="s">
        <v>26</v>
      </c>
      <c r="L3150">
        <v>5</v>
      </c>
      <c r="M3150">
        <v>0</v>
      </c>
      <c r="N3150">
        <v>0</v>
      </c>
      <c r="O3150" t="s">
        <v>21</v>
      </c>
      <c r="P3150" t="str">
        <f>TEXT(Table1[[#This Row],[order_date]],"yyyy-mm")</f>
        <v>2025-07</v>
      </c>
      <c r="Q3150">
        <f>WEEKNUM(Table1[[#This Row],[order_date]])</f>
        <v>30</v>
      </c>
      <c r="R3150">
        <f>IF(Table1[[#This Row],[order_status]]="completed",1,0)</f>
        <v>0</v>
      </c>
    </row>
    <row r="3151" spans="1:18" x14ac:dyDescent="0.35">
      <c r="A3151">
        <v>3150</v>
      </c>
      <c r="B3151" s="1">
        <v>45966</v>
      </c>
      <c r="C3151">
        <v>1051</v>
      </c>
      <c r="D3151" t="s">
        <v>28</v>
      </c>
      <c r="E3151" t="s">
        <v>29</v>
      </c>
      <c r="F3151" t="s">
        <v>30</v>
      </c>
      <c r="G3151">
        <v>4</v>
      </c>
      <c r="H3151">
        <v>0</v>
      </c>
      <c r="I3151" t="s">
        <v>35</v>
      </c>
      <c r="J3151" t="s">
        <v>31</v>
      </c>
      <c r="K3151" t="s">
        <v>38</v>
      </c>
      <c r="L3151">
        <v>2</v>
      </c>
      <c r="M3151">
        <v>0</v>
      </c>
      <c r="N3151">
        <v>0</v>
      </c>
      <c r="O3151" t="s">
        <v>21</v>
      </c>
      <c r="P3151" t="str">
        <f>TEXT(Table1[[#This Row],[order_date]],"yyyy-mm")</f>
        <v>2025-11</v>
      </c>
      <c r="Q3151">
        <f>WEEKNUM(Table1[[#This Row],[order_date]])</f>
        <v>45</v>
      </c>
      <c r="R3151">
        <f>IF(Table1[[#This Row],[order_status]]="completed",1,0)</f>
        <v>0</v>
      </c>
    </row>
    <row r="3152" spans="1:18" x14ac:dyDescent="0.35">
      <c r="A3152">
        <v>3151</v>
      </c>
      <c r="B3152" s="1">
        <v>45870</v>
      </c>
      <c r="C3152">
        <v>1579</v>
      </c>
      <c r="D3152" t="s">
        <v>32</v>
      </c>
      <c r="E3152" t="s">
        <v>33</v>
      </c>
      <c r="F3152" t="s">
        <v>24</v>
      </c>
      <c r="G3152">
        <v>4</v>
      </c>
      <c r="H3152">
        <v>0</v>
      </c>
      <c r="I3152" t="s">
        <v>18</v>
      </c>
      <c r="J3152" t="s">
        <v>37</v>
      </c>
      <c r="K3152" t="s">
        <v>20</v>
      </c>
      <c r="L3152">
        <v>5</v>
      </c>
      <c r="M3152">
        <v>1</v>
      </c>
      <c r="N3152">
        <v>1</v>
      </c>
      <c r="O3152" t="s">
        <v>21</v>
      </c>
      <c r="P3152" t="str">
        <f>TEXT(Table1[[#This Row],[order_date]],"yyyy-mm")</f>
        <v>2025-08</v>
      </c>
      <c r="Q3152">
        <f>WEEKNUM(Table1[[#This Row],[order_date]])</f>
        <v>31</v>
      </c>
      <c r="R3152">
        <f>IF(Table1[[#This Row],[order_status]]="completed",1,0)</f>
        <v>0</v>
      </c>
    </row>
    <row r="3153" spans="1:18" x14ac:dyDescent="0.35">
      <c r="A3153">
        <v>3152</v>
      </c>
      <c r="B3153" s="1">
        <v>45996</v>
      </c>
      <c r="C3153">
        <v>1232</v>
      </c>
      <c r="D3153" t="s">
        <v>41</v>
      </c>
      <c r="E3153" t="s">
        <v>16</v>
      </c>
      <c r="F3153" t="s">
        <v>30</v>
      </c>
      <c r="G3153">
        <v>5</v>
      </c>
      <c r="H3153">
        <v>1845</v>
      </c>
      <c r="I3153" t="s">
        <v>18</v>
      </c>
      <c r="J3153" t="s">
        <v>19</v>
      </c>
      <c r="K3153" t="s">
        <v>20</v>
      </c>
      <c r="L3153">
        <v>6</v>
      </c>
      <c r="M3153">
        <v>0</v>
      </c>
      <c r="N3153">
        <v>0</v>
      </c>
      <c r="O3153" t="s">
        <v>21</v>
      </c>
      <c r="P3153" t="str">
        <f>TEXT(Table1[[#This Row],[order_date]],"yyyy-mm")</f>
        <v>2025-12</v>
      </c>
      <c r="Q3153">
        <f>WEEKNUM(Table1[[#This Row],[order_date]])</f>
        <v>49</v>
      </c>
      <c r="R3153">
        <f>IF(Table1[[#This Row],[order_status]]="completed",1,0)</f>
        <v>1</v>
      </c>
    </row>
    <row r="3154" spans="1:18" x14ac:dyDescent="0.35">
      <c r="A3154">
        <v>3153</v>
      </c>
      <c r="B3154" s="1">
        <v>45942</v>
      </c>
      <c r="C3154">
        <v>1721</v>
      </c>
      <c r="D3154" t="s">
        <v>28</v>
      </c>
      <c r="E3154" t="s">
        <v>36</v>
      </c>
      <c r="F3154" t="s">
        <v>17</v>
      </c>
      <c r="G3154">
        <v>4</v>
      </c>
      <c r="H3154">
        <v>17828</v>
      </c>
      <c r="I3154" t="s">
        <v>25</v>
      </c>
      <c r="J3154" t="s">
        <v>19</v>
      </c>
      <c r="K3154" t="s">
        <v>20</v>
      </c>
      <c r="L3154">
        <v>7</v>
      </c>
      <c r="M3154">
        <v>1</v>
      </c>
      <c r="N3154">
        <v>1</v>
      </c>
      <c r="O3154" t="s">
        <v>21</v>
      </c>
      <c r="P3154" t="str">
        <f>TEXT(Table1[[#This Row],[order_date]],"yyyy-mm")</f>
        <v>2025-10</v>
      </c>
      <c r="Q3154">
        <f>WEEKNUM(Table1[[#This Row],[order_date]])</f>
        <v>42</v>
      </c>
      <c r="R3154">
        <f>IF(Table1[[#This Row],[order_status]]="completed",1,0)</f>
        <v>1</v>
      </c>
    </row>
    <row r="3155" spans="1:18" x14ac:dyDescent="0.35">
      <c r="A3155">
        <v>3154</v>
      </c>
      <c r="B3155" s="1">
        <v>46023</v>
      </c>
      <c r="C3155">
        <v>1499</v>
      </c>
      <c r="D3155" t="s">
        <v>22</v>
      </c>
      <c r="E3155" t="s">
        <v>36</v>
      </c>
      <c r="F3155" t="s">
        <v>34</v>
      </c>
      <c r="G3155">
        <v>2</v>
      </c>
      <c r="H3155">
        <v>0</v>
      </c>
      <c r="I3155" t="s">
        <v>39</v>
      </c>
      <c r="J3155" t="s">
        <v>37</v>
      </c>
      <c r="K3155" t="s">
        <v>20</v>
      </c>
      <c r="L3155">
        <v>5</v>
      </c>
      <c r="M3155">
        <v>0</v>
      </c>
      <c r="N3155">
        <v>0</v>
      </c>
      <c r="O3155" t="s">
        <v>27</v>
      </c>
      <c r="P3155" t="str">
        <f>TEXT(Table1[[#This Row],[order_date]],"yyyy-mm")</f>
        <v>2026-01</v>
      </c>
      <c r="Q3155">
        <f>WEEKNUM(Table1[[#This Row],[order_date]])</f>
        <v>1</v>
      </c>
      <c r="R3155">
        <f>IF(Table1[[#This Row],[order_status]]="completed",1,0)</f>
        <v>0</v>
      </c>
    </row>
    <row r="3156" spans="1:18" x14ac:dyDescent="0.35">
      <c r="A3156">
        <v>3155</v>
      </c>
      <c r="B3156" s="1">
        <v>45894</v>
      </c>
      <c r="C3156">
        <v>1388</v>
      </c>
      <c r="D3156" t="s">
        <v>28</v>
      </c>
      <c r="E3156" t="s">
        <v>36</v>
      </c>
      <c r="F3156" t="s">
        <v>34</v>
      </c>
      <c r="G3156">
        <v>1</v>
      </c>
      <c r="H3156">
        <v>0</v>
      </c>
      <c r="I3156" t="s">
        <v>39</v>
      </c>
      <c r="J3156" t="s">
        <v>37</v>
      </c>
      <c r="K3156" t="s">
        <v>38</v>
      </c>
      <c r="L3156">
        <v>4</v>
      </c>
      <c r="M3156">
        <v>1</v>
      </c>
      <c r="N3156">
        <v>0</v>
      </c>
      <c r="O3156" t="s">
        <v>27</v>
      </c>
      <c r="P3156" t="str">
        <f>TEXT(Table1[[#This Row],[order_date]],"yyyy-mm")</f>
        <v>2025-08</v>
      </c>
      <c r="Q3156">
        <f>WEEKNUM(Table1[[#This Row],[order_date]])</f>
        <v>35</v>
      </c>
      <c r="R3156">
        <f>IF(Table1[[#This Row],[order_status]]="completed",1,0)</f>
        <v>0</v>
      </c>
    </row>
    <row r="3157" spans="1:18" x14ac:dyDescent="0.35">
      <c r="A3157">
        <v>3156</v>
      </c>
      <c r="B3157" s="1">
        <v>46004</v>
      </c>
      <c r="C3157">
        <v>1164</v>
      </c>
      <c r="D3157" t="s">
        <v>28</v>
      </c>
      <c r="E3157" t="s">
        <v>36</v>
      </c>
      <c r="F3157" t="s">
        <v>17</v>
      </c>
      <c r="G3157">
        <v>5</v>
      </c>
      <c r="H3157">
        <v>5330</v>
      </c>
      <c r="I3157" t="s">
        <v>25</v>
      </c>
      <c r="J3157" t="s">
        <v>19</v>
      </c>
      <c r="K3157" t="s">
        <v>40</v>
      </c>
      <c r="L3157">
        <v>7</v>
      </c>
      <c r="M3157">
        <v>1</v>
      </c>
      <c r="N3157">
        <v>0</v>
      </c>
      <c r="O3157" t="s">
        <v>27</v>
      </c>
      <c r="P3157" t="str">
        <f>TEXT(Table1[[#This Row],[order_date]],"yyyy-mm")</f>
        <v>2025-12</v>
      </c>
      <c r="Q3157">
        <f>WEEKNUM(Table1[[#This Row],[order_date]])</f>
        <v>50</v>
      </c>
      <c r="R3157">
        <f>IF(Table1[[#This Row],[order_status]]="completed",1,0)</f>
        <v>1</v>
      </c>
    </row>
    <row r="3158" spans="1:18" x14ac:dyDescent="0.35">
      <c r="A3158">
        <v>3157</v>
      </c>
      <c r="B3158" s="1">
        <v>45964</v>
      </c>
      <c r="C3158">
        <v>1906</v>
      </c>
      <c r="D3158" t="s">
        <v>28</v>
      </c>
      <c r="E3158" t="s">
        <v>23</v>
      </c>
      <c r="F3158" t="s">
        <v>34</v>
      </c>
      <c r="G3158">
        <v>2</v>
      </c>
      <c r="H3158">
        <v>0</v>
      </c>
      <c r="I3158" t="s">
        <v>39</v>
      </c>
      <c r="J3158" t="s">
        <v>31</v>
      </c>
      <c r="K3158" t="s">
        <v>20</v>
      </c>
      <c r="L3158">
        <v>2</v>
      </c>
      <c r="M3158">
        <v>1</v>
      </c>
      <c r="N3158">
        <v>1</v>
      </c>
      <c r="O3158" t="s">
        <v>21</v>
      </c>
      <c r="P3158" t="str">
        <f>TEXT(Table1[[#This Row],[order_date]],"yyyy-mm")</f>
        <v>2025-11</v>
      </c>
      <c r="Q3158">
        <f>WEEKNUM(Table1[[#This Row],[order_date]])</f>
        <v>45</v>
      </c>
      <c r="R3158">
        <f>IF(Table1[[#This Row],[order_status]]="completed",1,0)</f>
        <v>0</v>
      </c>
    </row>
    <row r="3159" spans="1:18" x14ac:dyDescent="0.35">
      <c r="A3159">
        <v>3158</v>
      </c>
      <c r="B3159" s="1">
        <v>45906</v>
      </c>
      <c r="C3159">
        <v>1950</v>
      </c>
      <c r="D3159" t="s">
        <v>28</v>
      </c>
      <c r="E3159" t="s">
        <v>29</v>
      </c>
      <c r="F3159" t="s">
        <v>30</v>
      </c>
      <c r="G3159">
        <v>5</v>
      </c>
      <c r="H3159">
        <v>0</v>
      </c>
      <c r="I3159" t="s">
        <v>25</v>
      </c>
      <c r="J3159" t="s">
        <v>31</v>
      </c>
      <c r="K3159" t="s">
        <v>20</v>
      </c>
      <c r="L3159">
        <v>2</v>
      </c>
      <c r="M3159">
        <v>1</v>
      </c>
      <c r="N3159">
        <v>1</v>
      </c>
      <c r="O3159" t="s">
        <v>27</v>
      </c>
      <c r="P3159" t="str">
        <f>TEXT(Table1[[#This Row],[order_date]],"yyyy-mm")</f>
        <v>2025-09</v>
      </c>
      <c r="Q3159">
        <f>WEEKNUM(Table1[[#This Row],[order_date]])</f>
        <v>36</v>
      </c>
      <c r="R3159">
        <f>IF(Table1[[#This Row],[order_status]]="completed",1,0)</f>
        <v>0</v>
      </c>
    </row>
    <row r="3160" spans="1:18" x14ac:dyDescent="0.35">
      <c r="A3160">
        <v>3159</v>
      </c>
      <c r="B3160" s="1">
        <v>46021</v>
      </c>
      <c r="C3160">
        <v>1241</v>
      </c>
      <c r="D3160" t="s">
        <v>22</v>
      </c>
      <c r="E3160" t="s">
        <v>23</v>
      </c>
      <c r="F3160" t="s">
        <v>24</v>
      </c>
      <c r="G3160">
        <v>3</v>
      </c>
      <c r="H3160">
        <v>0</v>
      </c>
      <c r="I3160" t="s">
        <v>25</v>
      </c>
      <c r="J3160" t="s">
        <v>31</v>
      </c>
      <c r="K3160" t="s">
        <v>40</v>
      </c>
      <c r="L3160">
        <v>6</v>
      </c>
      <c r="M3160">
        <v>1</v>
      </c>
      <c r="N3160">
        <v>0</v>
      </c>
      <c r="O3160" t="s">
        <v>21</v>
      </c>
      <c r="P3160" t="str">
        <f>TEXT(Table1[[#This Row],[order_date]],"yyyy-mm")</f>
        <v>2025-12</v>
      </c>
      <c r="Q3160">
        <f>WEEKNUM(Table1[[#This Row],[order_date]])</f>
        <v>53</v>
      </c>
      <c r="R3160">
        <f>IF(Table1[[#This Row],[order_status]]="completed",1,0)</f>
        <v>0</v>
      </c>
    </row>
    <row r="3161" spans="1:18" x14ac:dyDescent="0.35">
      <c r="A3161">
        <v>3160</v>
      </c>
      <c r="B3161" s="1">
        <v>45864</v>
      </c>
      <c r="C3161">
        <v>1945</v>
      </c>
      <c r="D3161" t="s">
        <v>22</v>
      </c>
      <c r="E3161" t="s">
        <v>33</v>
      </c>
      <c r="F3161" t="s">
        <v>34</v>
      </c>
      <c r="G3161">
        <v>1</v>
      </c>
      <c r="H3161">
        <v>0</v>
      </c>
      <c r="I3161" t="s">
        <v>18</v>
      </c>
      <c r="J3161" t="s">
        <v>31</v>
      </c>
      <c r="K3161" t="s">
        <v>26</v>
      </c>
      <c r="L3161">
        <v>3</v>
      </c>
      <c r="M3161">
        <v>0</v>
      </c>
      <c r="N3161">
        <v>1</v>
      </c>
      <c r="O3161" t="s">
        <v>27</v>
      </c>
      <c r="P3161" t="str">
        <f>TEXT(Table1[[#This Row],[order_date]],"yyyy-mm")</f>
        <v>2025-07</v>
      </c>
      <c r="Q3161">
        <f>WEEKNUM(Table1[[#This Row],[order_date]])</f>
        <v>30</v>
      </c>
      <c r="R3161">
        <f>IF(Table1[[#This Row],[order_status]]="completed",1,0)</f>
        <v>0</v>
      </c>
    </row>
    <row r="3162" spans="1:18" x14ac:dyDescent="0.35">
      <c r="A3162">
        <v>3161</v>
      </c>
      <c r="B3162" s="1">
        <v>46012</v>
      </c>
      <c r="C3162">
        <v>1197</v>
      </c>
      <c r="D3162" t="s">
        <v>22</v>
      </c>
      <c r="E3162" t="s">
        <v>16</v>
      </c>
      <c r="F3162" t="s">
        <v>24</v>
      </c>
      <c r="G3162">
        <v>1</v>
      </c>
      <c r="H3162">
        <v>0</v>
      </c>
      <c r="I3162" t="s">
        <v>25</v>
      </c>
      <c r="J3162" t="s">
        <v>37</v>
      </c>
      <c r="K3162" t="s">
        <v>38</v>
      </c>
      <c r="L3162">
        <v>8</v>
      </c>
      <c r="M3162">
        <v>1</v>
      </c>
      <c r="N3162">
        <v>0</v>
      </c>
      <c r="O3162" t="s">
        <v>21</v>
      </c>
      <c r="P3162" t="str">
        <f>TEXT(Table1[[#This Row],[order_date]],"yyyy-mm")</f>
        <v>2025-12</v>
      </c>
      <c r="Q3162">
        <f>WEEKNUM(Table1[[#This Row],[order_date]])</f>
        <v>52</v>
      </c>
      <c r="R3162">
        <f>IF(Table1[[#This Row],[order_status]]="completed",1,0)</f>
        <v>0</v>
      </c>
    </row>
    <row r="3163" spans="1:18" x14ac:dyDescent="0.35">
      <c r="A3163">
        <v>3162</v>
      </c>
      <c r="B3163" s="1">
        <v>45928</v>
      </c>
      <c r="C3163">
        <v>1448</v>
      </c>
      <c r="D3163" t="s">
        <v>41</v>
      </c>
      <c r="E3163" t="s">
        <v>36</v>
      </c>
      <c r="F3163" t="s">
        <v>30</v>
      </c>
      <c r="G3163">
        <v>2</v>
      </c>
      <c r="H3163">
        <v>0</v>
      </c>
      <c r="I3163" t="s">
        <v>35</v>
      </c>
      <c r="J3163" t="s">
        <v>31</v>
      </c>
      <c r="K3163" t="s">
        <v>40</v>
      </c>
      <c r="L3163">
        <v>7</v>
      </c>
      <c r="M3163">
        <v>0</v>
      </c>
      <c r="N3163">
        <v>1</v>
      </c>
      <c r="O3163" t="s">
        <v>21</v>
      </c>
      <c r="P3163" t="str">
        <f>TEXT(Table1[[#This Row],[order_date]],"yyyy-mm")</f>
        <v>2025-09</v>
      </c>
      <c r="Q3163">
        <f>WEEKNUM(Table1[[#This Row],[order_date]])</f>
        <v>40</v>
      </c>
      <c r="R3163">
        <f>IF(Table1[[#This Row],[order_status]]="completed",1,0)</f>
        <v>0</v>
      </c>
    </row>
    <row r="3164" spans="1:18" x14ac:dyDescent="0.35">
      <c r="A3164">
        <v>3163</v>
      </c>
      <c r="B3164" s="1">
        <v>45926</v>
      </c>
      <c r="C3164">
        <v>1640</v>
      </c>
      <c r="D3164" t="s">
        <v>15</v>
      </c>
      <c r="E3164" t="s">
        <v>23</v>
      </c>
      <c r="F3164" t="s">
        <v>30</v>
      </c>
      <c r="G3164">
        <v>2</v>
      </c>
      <c r="H3164">
        <v>0</v>
      </c>
      <c r="I3164" t="s">
        <v>35</v>
      </c>
      <c r="J3164" t="s">
        <v>37</v>
      </c>
      <c r="K3164" t="s">
        <v>38</v>
      </c>
      <c r="L3164">
        <v>1</v>
      </c>
      <c r="M3164">
        <v>0</v>
      </c>
      <c r="N3164">
        <v>0</v>
      </c>
      <c r="O3164" t="s">
        <v>21</v>
      </c>
      <c r="P3164" t="str">
        <f>TEXT(Table1[[#This Row],[order_date]],"yyyy-mm")</f>
        <v>2025-09</v>
      </c>
      <c r="Q3164">
        <f>WEEKNUM(Table1[[#This Row],[order_date]])</f>
        <v>39</v>
      </c>
      <c r="R3164">
        <f>IF(Table1[[#This Row],[order_status]]="completed",1,0)</f>
        <v>0</v>
      </c>
    </row>
    <row r="3165" spans="1:18" x14ac:dyDescent="0.35">
      <c r="A3165">
        <v>3164</v>
      </c>
      <c r="B3165" s="1">
        <v>46027</v>
      </c>
      <c r="C3165">
        <v>1995</v>
      </c>
      <c r="D3165" t="s">
        <v>32</v>
      </c>
      <c r="E3165" t="s">
        <v>29</v>
      </c>
      <c r="F3165" t="s">
        <v>24</v>
      </c>
      <c r="G3165">
        <v>3</v>
      </c>
      <c r="H3165">
        <v>0</v>
      </c>
      <c r="I3165" t="s">
        <v>35</v>
      </c>
      <c r="J3165" t="s">
        <v>37</v>
      </c>
      <c r="K3165" t="s">
        <v>26</v>
      </c>
      <c r="L3165">
        <v>2</v>
      </c>
      <c r="M3165">
        <v>0</v>
      </c>
      <c r="N3165">
        <v>1</v>
      </c>
      <c r="O3165" t="s">
        <v>21</v>
      </c>
      <c r="P3165" t="str">
        <f>TEXT(Table1[[#This Row],[order_date]],"yyyy-mm")</f>
        <v>2026-01</v>
      </c>
      <c r="Q3165">
        <f>WEEKNUM(Table1[[#This Row],[order_date]])</f>
        <v>2</v>
      </c>
      <c r="R3165">
        <f>IF(Table1[[#This Row],[order_status]]="completed",1,0)</f>
        <v>0</v>
      </c>
    </row>
    <row r="3166" spans="1:18" x14ac:dyDescent="0.35">
      <c r="A3166">
        <v>3165</v>
      </c>
      <c r="B3166" s="1">
        <v>46002</v>
      </c>
      <c r="C3166">
        <v>1479</v>
      </c>
      <c r="D3166" t="s">
        <v>28</v>
      </c>
      <c r="E3166" t="s">
        <v>29</v>
      </c>
      <c r="F3166" t="s">
        <v>34</v>
      </c>
      <c r="G3166">
        <v>4</v>
      </c>
      <c r="H3166">
        <v>6396</v>
      </c>
      <c r="I3166" t="s">
        <v>18</v>
      </c>
      <c r="J3166" t="s">
        <v>19</v>
      </c>
      <c r="K3166" t="s">
        <v>20</v>
      </c>
      <c r="L3166">
        <v>7</v>
      </c>
      <c r="M3166">
        <v>0</v>
      </c>
      <c r="N3166">
        <v>0</v>
      </c>
      <c r="O3166" t="s">
        <v>21</v>
      </c>
      <c r="P3166" t="str">
        <f>TEXT(Table1[[#This Row],[order_date]],"yyyy-mm")</f>
        <v>2025-12</v>
      </c>
      <c r="Q3166">
        <f>WEEKNUM(Table1[[#This Row],[order_date]])</f>
        <v>50</v>
      </c>
      <c r="R3166">
        <f>IF(Table1[[#This Row],[order_status]]="completed",1,0)</f>
        <v>1</v>
      </c>
    </row>
    <row r="3167" spans="1:18" x14ac:dyDescent="0.35">
      <c r="A3167">
        <v>3166</v>
      </c>
      <c r="B3167" s="1">
        <v>46000</v>
      </c>
      <c r="C3167">
        <v>1537</v>
      </c>
      <c r="D3167" t="s">
        <v>22</v>
      </c>
      <c r="E3167" t="s">
        <v>33</v>
      </c>
      <c r="F3167" t="s">
        <v>17</v>
      </c>
      <c r="G3167">
        <v>2</v>
      </c>
      <c r="H3167">
        <v>7488</v>
      </c>
      <c r="I3167" t="s">
        <v>25</v>
      </c>
      <c r="J3167" t="s">
        <v>19</v>
      </c>
      <c r="K3167" t="s">
        <v>20</v>
      </c>
      <c r="L3167">
        <v>3</v>
      </c>
      <c r="M3167">
        <v>0</v>
      </c>
      <c r="N3167">
        <v>0</v>
      </c>
      <c r="O3167" t="s">
        <v>21</v>
      </c>
      <c r="P3167" t="str">
        <f>TEXT(Table1[[#This Row],[order_date]],"yyyy-mm")</f>
        <v>2025-12</v>
      </c>
      <c r="Q3167">
        <f>WEEKNUM(Table1[[#This Row],[order_date]])</f>
        <v>50</v>
      </c>
      <c r="R3167">
        <f>IF(Table1[[#This Row],[order_status]]="completed",1,0)</f>
        <v>1</v>
      </c>
    </row>
    <row r="3168" spans="1:18" x14ac:dyDescent="0.35">
      <c r="A3168">
        <v>3167</v>
      </c>
      <c r="B3168" s="1">
        <v>45991</v>
      </c>
      <c r="C3168">
        <v>1560</v>
      </c>
      <c r="D3168" t="s">
        <v>15</v>
      </c>
      <c r="E3168" t="s">
        <v>36</v>
      </c>
      <c r="F3168" t="s">
        <v>24</v>
      </c>
      <c r="G3168">
        <v>4</v>
      </c>
      <c r="H3168">
        <v>12284</v>
      </c>
      <c r="I3168" t="s">
        <v>18</v>
      </c>
      <c r="J3168" t="s">
        <v>19</v>
      </c>
      <c r="K3168" t="s">
        <v>26</v>
      </c>
      <c r="L3168">
        <v>4</v>
      </c>
      <c r="M3168">
        <v>1</v>
      </c>
      <c r="N3168">
        <v>0</v>
      </c>
      <c r="O3168" t="s">
        <v>27</v>
      </c>
      <c r="P3168" t="str">
        <f>TEXT(Table1[[#This Row],[order_date]],"yyyy-mm")</f>
        <v>2025-11</v>
      </c>
      <c r="Q3168">
        <f>WEEKNUM(Table1[[#This Row],[order_date]])</f>
        <v>49</v>
      </c>
      <c r="R3168">
        <f>IF(Table1[[#This Row],[order_status]]="completed",1,0)</f>
        <v>1</v>
      </c>
    </row>
    <row r="3169" spans="1:18" x14ac:dyDescent="0.35">
      <c r="A3169">
        <v>3168</v>
      </c>
      <c r="B3169" s="1">
        <v>45862</v>
      </c>
      <c r="C3169">
        <v>1841</v>
      </c>
      <c r="D3169" t="s">
        <v>41</v>
      </c>
      <c r="E3169" t="s">
        <v>29</v>
      </c>
      <c r="F3169" t="s">
        <v>34</v>
      </c>
      <c r="G3169">
        <v>5</v>
      </c>
      <c r="H3169">
        <v>0</v>
      </c>
      <c r="I3169" t="s">
        <v>39</v>
      </c>
      <c r="J3169" t="s">
        <v>31</v>
      </c>
      <c r="K3169" t="s">
        <v>20</v>
      </c>
      <c r="L3169">
        <v>10</v>
      </c>
      <c r="M3169">
        <v>0</v>
      </c>
      <c r="N3169">
        <v>1</v>
      </c>
      <c r="O3169" t="s">
        <v>21</v>
      </c>
      <c r="P3169" t="str">
        <f>TEXT(Table1[[#This Row],[order_date]],"yyyy-mm")</f>
        <v>2025-07</v>
      </c>
      <c r="Q3169">
        <f>WEEKNUM(Table1[[#This Row],[order_date]])</f>
        <v>30</v>
      </c>
      <c r="R3169">
        <f>IF(Table1[[#This Row],[order_status]]="completed",1,0)</f>
        <v>0</v>
      </c>
    </row>
    <row r="3170" spans="1:18" x14ac:dyDescent="0.35">
      <c r="A3170">
        <v>3169</v>
      </c>
      <c r="B3170" s="1">
        <v>46029</v>
      </c>
      <c r="C3170">
        <v>1587</v>
      </c>
      <c r="D3170" t="s">
        <v>28</v>
      </c>
      <c r="E3170" t="s">
        <v>29</v>
      </c>
      <c r="F3170" t="s">
        <v>17</v>
      </c>
      <c r="G3170">
        <v>5</v>
      </c>
      <c r="H3170">
        <v>0</v>
      </c>
      <c r="I3170" t="s">
        <v>18</v>
      </c>
      <c r="J3170" t="s">
        <v>37</v>
      </c>
      <c r="K3170" t="s">
        <v>40</v>
      </c>
      <c r="L3170">
        <v>6</v>
      </c>
      <c r="M3170">
        <v>0</v>
      </c>
      <c r="N3170">
        <v>0</v>
      </c>
      <c r="O3170" t="s">
        <v>21</v>
      </c>
      <c r="P3170" t="str">
        <f>TEXT(Table1[[#This Row],[order_date]],"yyyy-mm")</f>
        <v>2026-01</v>
      </c>
      <c r="Q3170">
        <f>WEEKNUM(Table1[[#This Row],[order_date]])</f>
        <v>2</v>
      </c>
      <c r="R3170">
        <f>IF(Table1[[#This Row],[order_status]]="completed",1,0)</f>
        <v>0</v>
      </c>
    </row>
    <row r="3171" spans="1:18" x14ac:dyDescent="0.35">
      <c r="A3171">
        <v>3170</v>
      </c>
      <c r="B3171" s="1">
        <v>45924</v>
      </c>
      <c r="C3171">
        <v>1233</v>
      </c>
      <c r="D3171" t="s">
        <v>41</v>
      </c>
      <c r="E3171" t="s">
        <v>23</v>
      </c>
      <c r="F3171" t="s">
        <v>34</v>
      </c>
      <c r="G3171">
        <v>4</v>
      </c>
      <c r="H3171">
        <v>0</v>
      </c>
      <c r="I3171" t="s">
        <v>35</v>
      </c>
      <c r="J3171" t="s">
        <v>37</v>
      </c>
      <c r="K3171" t="s">
        <v>38</v>
      </c>
      <c r="L3171">
        <v>6</v>
      </c>
      <c r="M3171">
        <v>0</v>
      </c>
      <c r="N3171">
        <v>0</v>
      </c>
      <c r="O3171" t="s">
        <v>27</v>
      </c>
      <c r="P3171" t="str">
        <f>TEXT(Table1[[#This Row],[order_date]],"yyyy-mm")</f>
        <v>2025-09</v>
      </c>
      <c r="Q3171">
        <f>WEEKNUM(Table1[[#This Row],[order_date]])</f>
        <v>39</v>
      </c>
      <c r="R3171">
        <f>IF(Table1[[#This Row],[order_status]]="completed",1,0)</f>
        <v>0</v>
      </c>
    </row>
    <row r="3172" spans="1:18" x14ac:dyDescent="0.35">
      <c r="A3172">
        <v>3171</v>
      </c>
      <c r="B3172" s="1">
        <v>46001</v>
      </c>
      <c r="C3172">
        <v>1939</v>
      </c>
      <c r="D3172" t="s">
        <v>41</v>
      </c>
      <c r="E3172" t="s">
        <v>29</v>
      </c>
      <c r="F3172" t="s">
        <v>34</v>
      </c>
      <c r="G3172">
        <v>5</v>
      </c>
      <c r="H3172">
        <v>0</v>
      </c>
      <c r="I3172" t="s">
        <v>35</v>
      </c>
      <c r="J3172" t="s">
        <v>31</v>
      </c>
      <c r="K3172" t="s">
        <v>38</v>
      </c>
      <c r="L3172">
        <v>5</v>
      </c>
      <c r="M3172">
        <v>0</v>
      </c>
      <c r="N3172">
        <v>0</v>
      </c>
      <c r="O3172" t="s">
        <v>27</v>
      </c>
      <c r="P3172" t="str">
        <f>TEXT(Table1[[#This Row],[order_date]],"yyyy-mm")</f>
        <v>2025-12</v>
      </c>
      <c r="Q3172">
        <f>WEEKNUM(Table1[[#This Row],[order_date]])</f>
        <v>50</v>
      </c>
      <c r="R3172">
        <f>IF(Table1[[#This Row],[order_status]]="completed",1,0)</f>
        <v>0</v>
      </c>
    </row>
    <row r="3173" spans="1:18" x14ac:dyDescent="0.35">
      <c r="A3173">
        <v>3172</v>
      </c>
      <c r="B3173" s="1">
        <v>45927</v>
      </c>
      <c r="C3173">
        <v>1592</v>
      </c>
      <c r="D3173" t="s">
        <v>32</v>
      </c>
      <c r="E3173" t="s">
        <v>23</v>
      </c>
      <c r="F3173" t="s">
        <v>17</v>
      </c>
      <c r="G3173">
        <v>5</v>
      </c>
      <c r="H3173">
        <v>0</v>
      </c>
      <c r="I3173" t="s">
        <v>39</v>
      </c>
      <c r="J3173" t="s">
        <v>37</v>
      </c>
      <c r="K3173" t="s">
        <v>38</v>
      </c>
      <c r="L3173">
        <v>6</v>
      </c>
      <c r="M3173">
        <v>0</v>
      </c>
      <c r="N3173">
        <v>1</v>
      </c>
      <c r="O3173" t="s">
        <v>27</v>
      </c>
      <c r="P3173" t="str">
        <f>TEXT(Table1[[#This Row],[order_date]],"yyyy-mm")</f>
        <v>2025-09</v>
      </c>
      <c r="Q3173">
        <f>WEEKNUM(Table1[[#This Row],[order_date]])</f>
        <v>39</v>
      </c>
      <c r="R3173">
        <f>IF(Table1[[#This Row],[order_status]]="completed",1,0)</f>
        <v>0</v>
      </c>
    </row>
    <row r="3174" spans="1:18" x14ac:dyDescent="0.35">
      <c r="A3174">
        <v>3173</v>
      </c>
      <c r="B3174" s="1">
        <v>45980</v>
      </c>
      <c r="C3174">
        <v>1334</v>
      </c>
      <c r="D3174" t="s">
        <v>28</v>
      </c>
      <c r="E3174" t="s">
        <v>33</v>
      </c>
      <c r="F3174" t="s">
        <v>30</v>
      </c>
      <c r="G3174">
        <v>1</v>
      </c>
      <c r="H3174">
        <v>0</v>
      </c>
      <c r="I3174" t="s">
        <v>35</v>
      </c>
      <c r="J3174" t="s">
        <v>31</v>
      </c>
      <c r="K3174" t="s">
        <v>20</v>
      </c>
      <c r="L3174">
        <v>5</v>
      </c>
      <c r="M3174">
        <v>0</v>
      </c>
      <c r="N3174">
        <v>1</v>
      </c>
      <c r="O3174" t="s">
        <v>21</v>
      </c>
      <c r="P3174" t="str">
        <f>TEXT(Table1[[#This Row],[order_date]],"yyyy-mm")</f>
        <v>2025-11</v>
      </c>
      <c r="Q3174">
        <f>WEEKNUM(Table1[[#This Row],[order_date]])</f>
        <v>47</v>
      </c>
      <c r="R3174">
        <f>IF(Table1[[#This Row],[order_status]]="completed",1,0)</f>
        <v>0</v>
      </c>
    </row>
    <row r="3175" spans="1:18" x14ac:dyDescent="0.35">
      <c r="A3175">
        <v>3174</v>
      </c>
      <c r="B3175" s="1">
        <v>45882</v>
      </c>
      <c r="C3175">
        <v>1799</v>
      </c>
      <c r="D3175" t="s">
        <v>41</v>
      </c>
      <c r="E3175" t="s">
        <v>36</v>
      </c>
      <c r="F3175" t="s">
        <v>34</v>
      </c>
      <c r="G3175">
        <v>4</v>
      </c>
      <c r="H3175">
        <v>0</v>
      </c>
      <c r="I3175" t="s">
        <v>18</v>
      </c>
      <c r="J3175" t="s">
        <v>37</v>
      </c>
      <c r="K3175" t="s">
        <v>20</v>
      </c>
      <c r="L3175">
        <v>3</v>
      </c>
      <c r="M3175">
        <v>1</v>
      </c>
      <c r="N3175">
        <v>1</v>
      </c>
      <c r="O3175" t="s">
        <v>21</v>
      </c>
      <c r="P3175" t="str">
        <f>TEXT(Table1[[#This Row],[order_date]],"yyyy-mm")</f>
        <v>2025-08</v>
      </c>
      <c r="Q3175">
        <f>WEEKNUM(Table1[[#This Row],[order_date]])</f>
        <v>33</v>
      </c>
      <c r="R3175">
        <f>IF(Table1[[#This Row],[order_status]]="completed",1,0)</f>
        <v>0</v>
      </c>
    </row>
    <row r="3176" spans="1:18" x14ac:dyDescent="0.35">
      <c r="A3176">
        <v>3175</v>
      </c>
      <c r="B3176" s="1">
        <v>45923</v>
      </c>
      <c r="C3176">
        <v>1942</v>
      </c>
      <c r="D3176" t="s">
        <v>41</v>
      </c>
      <c r="E3176" t="s">
        <v>23</v>
      </c>
      <c r="F3176" t="s">
        <v>30</v>
      </c>
      <c r="G3176">
        <v>4</v>
      </c>
      <c r="H3176">
        <v>18756</v>
      </c>
      <c r="I3176" t="s">
        <v>35</v>
      </c>
      <c r="J3176" t="s">
        <v>19</v>
      </c>
      <c r="K3176" t="s">
        <v>20</v>
      </c>
      <c r="L3176">
        <v>10</v>
      </c>
      <c r="M3176">
        <v>0</v>
      </c>
      <c r="N3176">
        <v>1</v>
      </c>
      <c r="O3176" t="s">
        <v>21</v>
      </c>
      <c r="P3176" t="str">
        <f>TEXT(Table1[[#This Row],[order_date]],"yyyy-mm")</f>
        <v>2025-09</v>
      </c>
      <c r="Q3176">
        <f>WEEKNUM(Table1[[#This Row],[order_date]])</f>
        <v>39</v>
      </c>
      <c r="R3176">
        <f>IF(Table1[[#This Row],[order_status]]="completed",1,0)</f>
        <v>1</v>
      </c>
    </row>
    <row r="3177" spans="1:18" x14ac:dyDescent="0.35">
      <c r="A3177">
        <v>3176</v>
      </c>
      <c r="B3177" s="1">
        <v>45982</v>
      </c>
      <c r="C3177">
        <v>1966</v>
      </c>
      <c r="D3177" t="s">
        <v>28</v>
      </c>
      <c r="E3177" t="s">
        <v>29</v>
      </c>
      <c r="F3177" t="s">
        <v>30</v>
      </c>
      <c r="G3177">
        <v>4</v>
      </c>
      <c r="H3177">
        <v>0</v>
      </c>
      <c r="I3177" t="s">
        <v>18</v>
      </c>
      <c r="J3177" t="s">
        <v>31</v>
      </c>
      <c r="K3177" t="s">
        <v>26</v>
      </c>
      <c r="L3177">
        <v>5</v>
      </c>
      <c r="M3177">
        <v>0</v>
      </c>
      <c r="N3177">
        <v>0</v>
      </c>
      <c r="O3177" t="s">
        <v>27</v>
      </c>
      <c r="P3177" t="str">
        <f>TEXT(Table1[[#This Row],[order_date]],"yyyy-mm")</f>
        <v>2025-11</v>
      </c>
      <c r="Q3177">
        <f>WEEKNUM(Table1[[#This Row],[order_date]])</f>
        <v>47</v>
      </c>
      <c r="R3177">
        <f>IF(Table1[[#This Row],[order_status]]="completed",1,0)</f>
        <v>0</v>
      </c>
    </row>
    <row r="3178" spans="1:18" x14ac:dyDescent="0.35">
      <c r="A3178">
        <v>3177</v>
      </c>
      <c r="B3178" s="1">
        <v>45890</v>
      </c>
      <c r="C3178">
        <v>1312</v>
      </c>
      <c r="D3178" t="s">
        <v>15</v>
      </c>
      <c r="E3178" t="s">
        <v>16</v>
      </c>
      <c r="F3178" t="s">
        <v>34</v>
      </c>
      <c r="G3178">
        <v>5</v>
      </c>
      <c r="H3178">
        <v>5050</v>
      </c>
      <c r="I3178" t="s">
        <v>39</v>
      </c>
      <c r="J3178" t="s">
        <v>19</v>
      </c>
      <c r="K3178" t="s">
        <v>40</v>
      </c>
      <c r="L3178">
        <v>9</v>
      </c>
      <c r="M3178">
        <v>0</v>
      </c>
      <c r="N3178">
        <v>1</v>
      </c>
      <c r="O3178" t="s">
        <v>27</v>
      </c>
      <c r="P3178" t="str">
        <f>TEXT(Table1[[#This Row],[order_date]],"yyyy-mm")</f>
        <v>2025-08</v>
      </c>
      <c r="Q3178">
        <f>WEEKNUM(Table1[[#This Row],[order_date]])</f>
        <v>34</v>
      </c>
      <c r="R3178">
        <f>IF(Table1[[#This Row],[order_status]]="completed",1,0)</f>
        <v>1</v>
      </c>
    </row>
    <row r="3179" spans="1:18" x14ac:dyDescent="0.35">
      <c r="A3179">
        <v>3178</v>
      </c>
      <c r="B3179" s="1">
        <v>45916</v>
      </c>
      <c r="C3179">
        <v>1662</v>
      </c>
      <c r="D3179" t="s">
        <v>22</v>
      </c>
      <c r="E3179" t="s">
        <v>36</v>
      </c>
      <c r="F3179" t="s">
        <v>24</v>
      </c>
      <c r="G3179">
        <v>1</v>
      </c>
      <c r="H3179">
        <v>0</v>
      </c>
      <c r="I3179" t="s">
        <v>18</v>
      </c>
      <c r="J3179" t="s">
        <v>37</v>
      </c>
      <c r="K3179" t="s">
        <v>20</v>
      </c>
      <c r="L3179">
        <v>5</v>
      </c>
      <c r="M3179">
        <v>1</v>
      </c>
      <c r="N3179">
        <v>0</v>
      </c>
      <c r="O3179" t="s">
        <v>27</v>
      </c>
      <c r="P3179" t="str">
        <f>TEXT(Table1[[#This Row],[order_date]],"yyyy-mm")</f>
        <v>2025-09</v>
      </c>
      <c r="Q3179">
        <f>WEEKNUM(Table1[[#This Row],[order_date]])</f>
        <v>38</v>
      </c>
      <c r="R3179">
        <f>IF(Table1[[#This Row],[order_status]]="completed",1,0)</f>
        <v>0</v>
      </c>
    </row>
    <row r="3180" spans="1:18" x14ac:dyDescent="0.35">
      <c r="A3180">
        <v>3179</v>
      </c>
      <c r="B3180" s="1">
        <v>45952</v>
      </c>
      <c r="C3180">
        <v>1472</v>
      </c>
      <c r="D3180" t="s">
        <v>41</v>
      </c>
      <c r="E3180" t="s">
        <v>29</v>
      </c>
      <c r="F3180" t="s">
        <v>30</v>
      </c>
      <c r="G3180">
        <v>4</v>
      </c>
      <c r="H3180">
        <v>0</v>
      </c>
      <c r="I3180" t="s">
        <v>18</v>
      </c>
      <c r="J3180" t="s">
        <v>37</v>
      </c>
      <c r="K3180" t="s">
        <v>40</v>
      </c>
      <c r="L3180">
        <v>1</v>
      </c>
      <c r="M3180">
        <v>0</v>
      </c>
      <c r="N3180">
        <v>1</v>
      </c>
      <c r="O3180" t="s">
        <v>27</v>
      </c>
      <c r="P3180" t="str">
        <f>TEXT(Table1[[#This Row],[order_date]],"yyyy-mm")</f>
        <v>2025-10</v>
      </c>
      <c r="Q3180">
        <f>WEEKNUM(Table1[[#This Row],[order_date]])</f>
        <v>43</v>
      </c>
      <c r="R3180">
        <f>IF(Table1[[#This Row],[order_status]]="completed",1,0)</f>
        <v>0</v>
      </c>
    </row>
    <row r="3181" spans="1:18" x14ac:dyDescent="0.35">
      <c r="A3181">
        <v>3180</v>
      </c>
      <c r="B3181" s="1">
        <v>45902</v>
      </c>
      <c r="C3181">
        <v>1143</v>
      </c>
      <c r="D3181" t="s">
        <v>32</v>
      </c>
      <c r="E3181" t="s">
        <v>33</v>
      </c>
      <c r="F3181" t="s">
        <v>24</v>
      </c>
      <c r="G3181">
        <v>3</v>
      </c>
      <c r="H3181">
        <v>0</v>
      </c>
      <c r="I3181" t="s">
        <v>35</v>
      </c>
      <c r="J3181" t="s">
        <v>37</v>
      </c>
      <c r="K3181" t="s">
        <v>38</v>
      </c>
      <c r="L3181">
        <v>2</v>
      </c>
      <c r="M3181">
        <v>0</v>
      </c>
      <c r="N3181">
        <v>1</v>
      </c>
      <c r="O3181" t="s">
        <v>27</v>
      </c>
      <c r="P3181" t="str">
        <f>TEXT(Table1[[#This Row],[order_date]],"yyyy-mm")</f>
        <v>2025-09</v>
      </c>
      <c r="Q3181">
        <f>WEEKNUM(Table1[[#This Row],[order_date]])</f>
        <v>36</v>
      </c>
      <c r="R3181">
        <f>IF(Table1[[#This Row],[order_status]]="completed",1,0)</f>
        <v>0</v>
      </c>
    </row>
    <row r="3182" spans="1:18" x14ac:dyDescent="0.35">
      <c r="A3182">
        <v>3181</v>
      </c>
      <c r="B3182" s="1">
        <v>45852</v>
      </c>
      <c r="C3182">
        <v>1432</v>
      </c>
      <c r="D3182" t="s">
        <v>41</v>
      </c>
      <c r="E3182" t="s">
        <v>36</v>
      </c>
      <c r="F3182" t="s">
        <v>30</v>
      </c>
      <c r="G3182">
        <v>5</v>
      </c>
      <c r="H3182">
        <v>0</v>
      </c>
      <c r="I3182" t="s">
        <v>25</v>
      </c>
      <c r="J3182" t="s">
        <v>31</v>
      </c>
      <c r="K3182" t="s">
        <v>26</v>
      </c>
      <c r="L3182">
        <v>5</v>
      </c>
      <c r="M3182">
        <v>0</v>
      </c>
      <c r="N3182">
        <v>1</v>
      </c>
      <c r="O3182" t="s">
        <v>27</v>
      </c>
      <c r="P3182" t="str">
        <f>TEXT(Table1[[#This Row],[order_date]],"yyyy-mm")</f>
        <v>2025-07</v>
      </c>
      <c r="Q3182">
        <f>WEEKNUM(Table1[[#This Row],[order_date]])</f>
        <v>29</v>
      </c>
      <c r="R3182">
        <f>IF(Table1[[#This Row],[order_status]]="completed",1,0)</f>
        <v>0</v>
      </c>
    </row>
    <row r="3183" spans="1:18" x14ac:dyDescent="0.35">
      <c r="A3183">
        <v>3182</v>
      </c>
      <c r="B3183" s="1">
        <v>45984</v>
      </c>
      <c r="C3183">
        <v>1865</v>
      </c>
      <c r="D3183" t="s">
        <v>41</v>
      </c>
      <c r="E3183" t="s">
        <v>29</v>
      </c>
      <c r="F3183" t="s">
        <v>30</v>
      </c>
      <c r="G3183">
        <v>1</v>
      </c>
      <c r="H3183">
        <v>0</v>
      </c>
      <c r="I3183" t="s">
        <v>18</v>
      </c>
      <c r="J3183" t="s">
        <v>37</v>
      </c>
      <c r="K3183" t="s">
        <v>26</v>
      </c>
      <c r="L3183">
        <v>4</v>
      </c>
      <c r="M3183">
        <v>1</v>
      </c>
      <c r="N3183">
        <v>0</v>
      </c>
      <c r="O3183" t="s">
        <v>27</v>
      </c>
      <c r="P3183" t="str">
        <f>TEXT(Table1[[#This Row],[order_date]],"yyyy-mm")</f>
        <v>2025-11</v>
      </c>
      <c r="Q3183">
        <f>WEEKNUM(Table1[[#This Row],[order_date]])</f>
        <v>48</v>
      </c>
      <c r="R3183">
        <f>IF(Table1[[#This Row],[order_status]]="completed",1,0)</f>
        <v>0</v>
      </c>
    </row>
    <row r="3184" spans="1:18" x14ac:dyDescent="0.35">
      <c r="A3184">
        <v>3183</v>
      </c>
      <c r="B3184" s="1">
        <v>46022</v>
      </c>
      <c r="C3184">
        <v>1668</v>
      </c>
      <c r="D3184" t="s">
        <v>28</v>
      </c>
      <c r="E3184" t="s">
        <v>36</v>
      </c>
      <c r="F3184" t="s">
        <v>34</v>
      </c>
      <c r="G3184">
        <v>4</v>
      </c>
      <c r="H3184">
        <v>0</v>
      </c>
      <c r="I3184" t="s">
        <v>39</v>
      </c>
      <c r="J3184" t="s">
        <v>31</v>
      </c>
      <c r="K3184" t="s">
        <v>20</v>
      </c>
      <c r="L3184">
        <v>1</v>
      </c>
      <c r="M3184">
        <v>0</v>
      </c>
      <c r="N3184">
        <v>1</v>
      </c>
      <c r="O3184" t="s">
        <v>27</v>
      </c>
      <c r="P3184" t="str">
        <f>TEXT(Table1[[#This Row],[order_date]],"yyyy-mm")</f>
        <v>2025-12</v>
      </c>
      <c r="Q3184">
        <f>WEEKNUM(Table1[[#This Row],[order_date]])</f>
        <v>53</v>
      </c>
      <c r="R3184">
        <f>IF(Table1[[#This Row],[order_status]]="completed",1,0)</f>
        <v>0</v>
      </c>
    </row>
    <row r="3185" spans="1:18" x14ac:dyDescent="0.35">
      <c r="A3185">
        <v>3184</v>
      </c>
      <c r="B3185" s="1">
        <v>46020</v>
      </c>
      <c r="C3185">
        <v>1127</v>
      </c>
      <c r="D3185" t="s">
        <v>41</v>
      </c>
      <c r="E3185" t="s">
        <v>29</v>
      </c>
      <c r="F3185" t="s">
        <v>34</v>
      </c>
      <c r="G3185">
        <v>3</v>
      </c>
      <c r="H3185">
        <v>7170</v>
      </c>
      <c r="I3185" t="s">
        <v>39</v>
      </c>
      <c r="J3185" t="s">
        <v>19</v>
      </c>
      <c r="K3185" t="s">
        <v>20</v>
      </c>
      <c r="L3185">
        <v>1</v>
      </c>
      <c r="M3185">
        <v>1</v>
      </c>
      <c r="N3185">
        <v>1</v>
      </c>
      <c r="O3185" t="s">
        <v>27</v>
      </c>
      <c r="P3185" t="str">
        <f>TEXT(Table1[[#This Row],[order_date]],"yyyy-mm")</f>
        <v>2025-12</v>
      </c>
      <c r="Q3185">
        <f>WEEKNUM(Table1[[#This Row],[order_date]])</f>
        <v>53</v>
      </c>
      <c r="R3185">
        <f>IF(Table1[[#This Row],[order_status]]="completed",1,0)</f>
        <v>1</v>
      </c>
    </row>
    <row r="3186" spans="1:18" x14ac:dyDescent="0.35">
      <c r="A3186">
        <v>3185</v>
      </c>
      <c r="B3186" s="1">
        <v>45942</v>
      </c>
      <c r="C3186">
        <v>1727</v>
      </c>
      <c r="D3186" t="s">
        <v>41</v>
      </c>
      <c r="E3186" t="s">
        <v>36</v>
      </c>
      <c r="F3186" t="s">
        <v>17</v>
      </c>
      <c r="G3186">
        <v>5</v>
      </c>
      <c r="H3186">
        <v>0</v>
      </c>
      <c r="I3186" t="s">
        <v>18</v>
      </c>
      <c r="J3186" t="s">
        <v>31</v>
      </c>
      <c r="K3186" t="s">
        <v>38</v>
      </c>
      <c r="L3186">
        <v>9</v>
      </c>
      <c r="M3186">
        <v>0</v>
      </c>
      <c r="N3186">
        <v>0</v>
      </c>
      <c r="O3186" t="s">
        <v>21</v>
      </c>
      <c r="P3186" t="str">
        <f>TEXT(Table1[[#This Row],[order_date]],"yyyy-mm")</f>
        <v>2025-10</v>
      </c>
      <c r="Q3186">
        <f>WEEKNUM(Table1[[#This Row],[order_date]])</f>
        <v>42</v>
      </c>
      <c r="R3186">
        <f>IF(Table1[[#This Row],[order_status]]="completed",1,0)</f>
        <v>0</v>
      </c>
    </row>
    <row r="3187" spans="1:18" x14ac:dyDescent="0.35">
      <c r="A3187">
        <v>3186</v>
      </c>
      <c r="B3187" s="1">
        <v>45945</v>
      </c>
      <c r="C3187">
        <v>1172</v>
      </c>
      <c r="D3187" t="s">
        <v>15</v>
      </c>
      <c r="E3187" t="s">
        <v>16</v>
      </c>
      <c r="F3187" t="s">
        <v>17</v>
      </c>
      <c r="G3187">
        <v>2</v>
      </c>
      <c r="H3187">
        <v>0</v>
      </c>
      <c r="I3187" t="s">
        <v>39</v>
      </c>
      <c r="J3187" t="s">
        <v>37</v>
      </c>
      <c r="K3187" t="s">
        <v>20</v>
      </c>
      <c r="L3187">
        <v>8</v>
      </c>
      <c r="M3187">
        <v>1</v>
      </c>
      <c r="N3187">
        <v>0</v>
      </c>
      <c r="O3187" t="s">
        <v>21</v>
      </c>
      <c r="P3187" t="str">
        <f>TEXT(Table1[[#This Row],[order_date]],"yyyy-mm")</f>
        <v>2025-10</v>
      </c>
      <c r="Q3187">
        <f>WEEKNUM(Table1[[#This Row],[order_date]])</f>
        <v>42</v>
      </c>
      <c r="R3187">
        <f>IF(Table1[[#This Row],[order_status]]="completed",1,0)</f>
        <v>0</v>
      </c>
    </row>
    <row r="3188" spans="1:18" x14ac:dyDescent="0.35">
      <c r="A3188">
        <v>3187</v>
      </c>
      <c r="B3188" s="1">
        <v>45970</v>
      </c>
      <c r="C3188">
        <v>1529</v>
      </c>
      <c r="D3188" t="s">
        <v>28</v>
      </c>
      <c r="E3188" t="s">
        <v>23</v>
      </c>
      <c r="F3188" t="s">
        <v>34</v>
      </c>
      <c r="G3188">
        <v>5</v>
      </c>
      <c r="H3188">
        <v>0</v>
      </c>
      <c r="I3188" t="s">
        <v>35</v>
      </c>
      <c r="J3188" t="s">
        <v>37</v>
      </c>
      <c r="K3188" t="s">
        <v>26</v>
      </c>
      <c r="L3188">
        <v>6</v>
      </c>
      <c r="M3188">
        <v>1</v>
      </c>
      <c r="N3188">
        <v>1</v>
      </c>
      <c r="O3188" t="s">
        <v>27</v>
      </c>
      <c r="P3188" t="str">
        <f>TEXT(Table1[[#This Row],[order_date]],"yyyy-mm")</f>
        <v>2025-11</v>
      </c>
      <c r="Q3188">
        <f>WEEKNUM(Table1[[#This Row],[order_date]])</f>
        <v>46</v>
      </c>
      <c r="R3188">
        <f>IF(Table1[[#This Row],[order_status]]="completed",1,0)</f>
        <v>0</v>
      </c>
    </row>
    <row r="3189" spans="1:18" x14ac:dyDescent="0.35">
      <c r="A3189">
        <v>3188</v>
      </c>
      <c r="B3189" s="1">
        <v>45936</v>
      </c>
      <c r="C3189">
        <v>1685</v>
      </c>
      <c r="D3189" t="s">
        <v>22</v>
      </c>
      <c r="E3189" t="s">
        <v>33</v>
      </c>
      <c r="F3189" t="s">
        <v>34</v>
      </c>
      <c r="G3189">
        <v>4</v>
      </c>
      <c r="H3189">
        <v>0</v>
      </c>
      <c r="I3189" t="s">
        <v>18</v>
      </c>
      <c r="J3189" t="s">
        <v>31</v>
      </c>
      <c r="K3189" t="s">
        <v>20</v>
      </c>
      <c r="L3189">
        <v>4</v>
      </c>
      <c r="M3189">
        <v>0</v>
      </c>
      <c r="N3189">
        <v>1</v>
      </c>
      <c r="O3189" t="s">
        <v>21</v>
      </c>
      <c r="P3189" t="str">
        <f>TEXT(Table1[[#This Row],[order_date]],"yyyy-mm")</f>
        <v>2025-10</v>
      </c>
      <c r="Q3189">
        <f>WEEKNUM(Table1[[#This Row],[order_date]])</f>
        <v>41</v>
      </c>
      <c r="R3189">
        <f>IF(Table1[[#This Row],[order_status]]="completed",1,0)</f>
        <v>0</v>
      </c>
    </row>
    <row r="3190" spans="1:18" x14ac:dyDescent="0.35">
      <c r="A3190">
        <v>3189</v>
      </c>
      <c r="B3190" s="1">
        <v>45911</v>
      </c>
      <c r="C3190">
        <v>1209</v>
      </c>
      <c r="D3190" t="s">
        <v>32</v>
      </c>
      <c r="E3190" t="s">
        <v>23</v>
      </c>
      <c r="F3190" t="s">
        <v>34</v>
      </c>
      <c r="G3190">
        <v>2</v>
      </c>
      <c r="H3190">
        <v>0</v>
      </c>
      <c r="I3190" t="s">
        <v>25</v>
      </c>
      <c r="J3190" t="s">
        <v>37</v>
      </c>
      <c r="K3190" t="s">
        <v>40</v>
      </c>
      <c r="L3190">
        <v>9</v>
      </c>
      <c r="M3190">
        <v>0</v>
      </c>
      <c r="N3190">
        <v>1</v>
      </c>
      <c r="O3190" t="s">
        <v>27</v>
      </c>
      <c r="P3190" t="str">
        <f>TEXT(Table1[[#This Row],[order_date]],"yyyy-mm")</f>
        <v>2025-09</v>
      </c>
      <c r="Q3190">
        <f>WEEKNUM(Table1[[#This Row],[order_date]])</f>
        <v>37</v>
      </c>
      <c r="R3190">
        <f>IF(Table1[[#This Row],[order_status]]="completed",1,0)</f>
        <v>0</v>
      </c>
    </row>
    <row r="3191" spans="1:18" x14ac:dyDescent="0.35">
      <c r="A3191">
        <v>3190</v>
      </c>
      <c r="B3191" s="1">
        <v>46025</v>
      </c>
      <c r="C3191">
        <v>1013</v>
      </c>
      <c r="D3191" t="s">
        <v>22</v>
      </c>
      <c r="E3191" t="s">
        <v>16</v>
      </c>
      <c r="F3191" t="s">
        <v>24</v>
      </c>
      <c r="G3191">
        <v>3</v>
      </c>
      <c r="H3191">
        <v>0</v>
      </c>
      <c r="I3191" t="s">
        <v>35</v>
      </c>
      <c r="J3191" t="s">
        <v>31</v>
      </c>
      <c r="K3191" t="s">
        <v>38</v>
      </c>
      <c r="L3191">
        <v>1</v>
      </c>
      <c r="M3191">
        <v>1</v>
      </c>
      <c r="N3191">
        <v>0</v>
      </c>
      <c r="O3191" t="s">
        <v>27</v>
      </c>
      <c r="P3191" t="str">
        <f>TEXT(Table1[[#This Row],[order_date]],"yyyy-mm")</f>
        <v>2026-01</v>
      </c>
      <c r="Q3191">
        <f>WEEKNUM(Table1[[#This Row],[order_date]])</f>
        <v>1</v>
      </c>
      <c r="R3191">
        <f>IF(Table1[[#This Row],[order_status]]="completed",1,0)</f>
        <v>0</v>
      </c>
    </row>
    <row r="3192" spans="1:18" x14ac:dyDescent="0.35">
      <c r="A3192">
        <v>3191</v>
      </c>
      <c r="B3192" s="1">
        <v>45959</v>
      </c>
      <c r="C3192">
        <v>1952</v>
      </c>
      <c r="D3192" t="s">
        <v>15</v>
      </c>
      <c r="E3192" t="s">
        <v>16</v>
      </c>
      <c r="F3192" t="s">
        <v>17</v>
      </c>
      <c r="G3192">
        <v>3</v>
      </c>
      <c r="H3192">
        <v>0</v>
      </c>
      <c r="I3192" t="s">
        <v>39</v>
      </c>
      <c r="J3192" t="s">
        <v>31</v>
      </c>
      <c r="K3192" t="s">
        <v>26</v>
      </c>
      <c r="L3192">
        <v>7</v>
      </c>
      <c r="M3192">
        <v>0</v>
      </c>
      <c r="N3192">
        <v>1</v>
      </c>
      <c r="O3192" t="s">
        <v>27</v>
      </c>
      <c r="P3192" t="str">
        <f>TEXT(Table1[[#This Row],[order_date]],"yyyy-mm")</f>
        <v>2025-10</v>
      </c>
      <c r="Q3192">
        <f>WEEKNUM(Table1[[#This Row],[order_date]])</f>
        <v>44</v>
      </c>
      <c r="R3192">
        <f>IF(Table1[[#This Row],[order_status]]="completed",1,0)</f>
        <v>0</v>
      </c>
    </row>
    <row r="3193" spans="1:18" x14ac:dyDescent="0.35">
      <c r="A3193">
        <v>3192</v>
      </c>
      <c r="B3193" s="1">
        <v>45966</v>
      </c>
      <c r="C3193">
        <v>1695</v>
      </c>
      <c r="D3193" t="s">
        <v>22</v>
      </c>
      <c r="E3193" t="s">
        <v>36</v>
      </c>
      <c r="F3193" t="s">
        <v>24</v>
      </c>
      <c r="G3193">
        <v>3</v>
      </c>
      <c r="H3193">
        <v>0</v>
      </c>
      <c r="I3193" t="s">
        <v>35</v>
      </c>
      <c r="J3193" t="s">
        <v>37</v>
      </c>
      <c r="K3193" t="s">
        <v>40</v>
      </c>
      <c r="L3193">
        <v>1</v>
      </c>
      <c r="M3193">
        <v>0</v>
      </c>
      <c r="N3193">
        <v>0</v>
      </c>
      <c r="O3193" t="s">
        <v>27</v>
      </c>
      <c r="P3193" t="str">
        <f>TEXT(Table1[[#This Row],[order_date]],"yyyy-mm")</f>
        <v>2025-11</v>
      </c>
      <c r="Q3193">
        <f>WEEKNUM(Table1[[#This Row],[order_date]])</f>
        <v>45</v>
      </c>
      <c r="R3193">
        <f>IF(Table1[[#This Row],[order_status]]="completed",1,0)</f>
        <v>0</v>
      </c>
    </row>
    <row r="3194" spans="1:18" x14ac:dyDescent="0.35">
      <c r="A3194">
        <v>3193</v>
      </c>
      <c r="B3194" s="1">
        <v>45901</v>
      </c>
      <c r="C3194">
        <v>1113</v>
      </c>
      <c r="D3194" t="s">
        <v>28</v>
      </c>
      <c r="E3194" t="s">
        <v>16</v>
      </c>
      <c r="F3194" t="s">
        <v>34</v>
      </c>
      <c r="G3194">
        <v>3</v>
      </c>
      <c r="H3194">
        <v>0</v>
      </c>
      <c r="I3194" t="s">
        <v>18</v>
      </c>
      <c r="J3194" t="s">
        <v>31</v>
      </c>
      <c r="K3194" t="s">
        <v>20</v>
      </c>
      <c r="L3194">
        <v>2</v>
      </c>
      <c r="M3194">
        <v>1</v>
      </c>
      <c r="N3194">
        <v>1</v>
      </c>
      <c r="O3194" t="s">
        <v>27</v>
      </c>
      <c r="P3194" t="str">
        <f>TEXT(Table1[[#This Row],[order_date]],"yyyy-mm")</f>
        <v>2025-09</v>
      </c>
      <c r="Q3194">
        <f>WEEKNUM(Table1[[#This Row],[order_date]])</f>
        <v>36</v>
      </c>
      <c r="R3194">
        <f>IF(Table1[[#This Row],[order_status]]="completed",1,0)</f>
        <v>0</v>
      </c>
    </row>
    <row r="3195" spans="1:18" x14ac:dyDescent="0.35">
      <c r="A3195">
        <v>3194</v>
      </c>
      <c r="B3195" s="1">
        <v>46005</v>
      </c>
      <c r="C3195">
        <v>1222</v>
      </c>
      <c r="D3195" t="s">
        <v>32</v>
      </c>
      <c r="E3195" t="s">
        <v>36</v>
      </c>
      <c r="F3195" t="s">
        <v>24</v>
      </c>
      <c r="G3195">
        <v>5</v>
      </c>
      <c r="H3195">
        <v>6555</v>
      </c>
      <c r="I3195" t="s">
        <v>35</v>
      </c>
      <c r="J3195" t="s">
        <v>19</v>
      </c>
      <c r="K3195" t="s">
        <v>38</v>
      </c>
      <c r="L3195">
        <v>6</v>
      </c>
      <c r="M3195">
        <v>0</v>
      </c>
      <c r="N3195">
        <v>1</v>
      </c>
      <c r="O3195" t="s">
        <v>27</v>
      </c>
      <c r="P3195" t="str">
        <f>TEXT(Table1[[#This Row],[order_date]],"yyyy-mm")</f>
        <v>2025-12</v>
      </c>
      <c r="Q3195">
        <f>WEEKNUM(Table1[[#This Row],[order_date]])</f>
        <v>51</v>
      </c>
      <c r="R3195">
        <f>IF(Table1[[#This Row],[order_status]]="completed",1,0)</f>
        <v>1</v>
      </c>
    </row>
    <row r="3196" spans="1:18" x14ac:dyDescent="0.35">
      <c r="A3196">
        <v>3195</v>
      </c>
      <c r="B3196" s="1">
        <v>46029</v>
      </c>
      <c r="C3196">
        <v>1737</v>
      </c>
      <c r="D3196" t="s">
        <v>28</v>
      </c>
      <c r="E3196" t="s">
        <v>23</v>
      </c>
      <c r="F3196" t="s">
        <v>17</v>
      </c>
      <c r="G3196">
        <v>4</v>
      </c>
      <c r="H3196">
        <v>14384</v>
      </c>
      <c r="I3196" t="s">
        <v>35</v>
      </c>
      <c r="J3196" t="s">
        <v>19</v>
      </c>
      <c r="K3196" t="s">
        <v>20</v>
      </c>
      <c r="L3196">
        <v>10</v>
      </c>
      <c r="M3196">
        <v>0</v>
      </c>
      <c r="N3196">
        <v>1</v>
      </c>
      <c r="O3196" t="s">
        <v>21</v>
      </c>
      <c r="P3196" t="str">
        <f>TEXT(Table1[[#This Row],[order_date]],"yyyy-mm")</f>
        <v>2026-01</v>
      </c>
      <c r="Q3196">
        <f>WEEKNUM(Table1[[#This Row],[order_date]])</f>
        <v>2</v>
      </c>
      <c r="R3196">
        <f>IF(Table1[[#This Row],[order_status]]="completed",1,0)</f>
        <v>1</v>
      </c>
    </row>
    <row r="3197" spans="1:18" x14ac:dyDescent="0.35">
      <c r="A3197">
        <v>3196</v>
      </c>
      <c r="B3197" s="1">
        <v>45956</v>
      </c>
      <c r="C3197">
        <v>1039</v>
      </c>
      <c r="D3197" t="s">
        <v>41</v>
      </c>
      <c r="E3197" t="s">
        <v>16</v>
      </c>
      <c r="F3197" t="s">
        <v>17</v>
      </c>
      <c r="G3197">
        <v>4</v>
      </c>
      <c r="H3197">
        <v>0</v>
      </c>
      <c r="I3197" t="s">
        <v>25</v>
      </c>
      <c r="J3197" t="s">
        <v>37</v>
      </c>
      <c r="K3197" t="s">
        <v>40</v>
      </c>
      <c r="L3197">
        <v>2</v>
      </c>
      <c r="M3197">
        <v>1</v>
      </c>
      <c r="N3197">
        <v>0</v>
      </c>
      <c r="O3197" t="s">
        <v>21</v>
      </c>
      <c r="P3197" t="str">
        <f>TEXT(Table1[[#This Row],[order_date]],"yyyy-mm")</f>
        <v>2025-10</v>
      </c>
      <c r="Q3197">
        <f>WEEKNUM(Table1[[#This Row],[order_date]])</f>
        <v>44</v>
      </c>
      <c r="R3197">
        <f>IF(Table1[[#This Row],[order_status]]="completed",1,0)</f>
        <v>0</v>
      </c>
    </row>
    <row r="3198" spans="1:18" x14ac:dyDescent="0.35">
      <c r="A3198">
        <v>3197</v>
      </c>
      <c r="B3198" s="1">
        <v>45985</v>
      </c>
      <c r="C3198">
        <v>1614</v>
      </c>
      <c r="D3198" t="s">
        <v>15</v>
      </c>
      <c r="E3198" t="s">
        <v>36</v>
      </c>
      <c r="F3198" t="s">
        <v>34</v>
      </c>
      <c r="G3198">
        <v>1</v>
      </c>
      <c r="H3198">
        <v>0</v>
      </c>
      <c r="I3198" t="s">
        <v>18</v>
      </c>
      <c r="J3198" t="s">
        <v>31</v>
      </c>
      <c r="K3198" t="s">
        <v>26</v>
      </c>
      <c r="L3198">
        <v>4</v>
      </c>
      <c r="M3198">
        <v>0</v>
      </c>
      <c r="N3198">
        <v>0</v>
      </c>
      <c r="O3198" t="s">
        <v>21</v>
      </c>
      <c r="P3198" t="str">
        <f>TEXT(Table1[[#This Row],[order_date]],"yyyy-mm")</f>
        <v>2025-11</v>
      </c>
      <c r="Q3198">
        <f>WEEKNUM(Table1[[#This Row],[order_date]])</f>
        <v>48</v>
      </c>
      <c r="R3198">
        <f>IF(Table1[[#This Row],[order_status]]="completed",1,0)</f>
        <v>0</v>
      </c>
    </row>
    <row r="3199" spans="1:18" x14ac:dyDescent="0.35">
      <c r="A3199">
        <v>3198</v>
      </c>
      <c r="B3199" s="1">
        <v>45922</v>
      </c>
      <c r="C3199">
        <v>1413</v>
      </c>
      <c r="D3199" t="s">
        <v>41</v>
      </c>
      <c r="E3199" t="s">
        <v>33</v>
      </c>
      <c r="F3199" t="s">
        <v>34</v>
      </c>
      <c r="G3199">
        <v>5</v>
      </c>
      <c r="H3199">
        <v>8225</v>
      </c>
      <c r="I3199" t="s">
        <v>25</v>
      </c>
      <c r="J3199" t="s">
        <v>19</v>
      </c>
      <c r="K3199" t="s">
        <v>38</v>
      </c>
      <c r="L3199">
        <v>5</v>
      </c>
      <c r="M3199">
        <v>0</v>
      </c>
      <c r="N3199">
        <v>1</v>
      </c>
      <c r="O3199" t="s">
        <v>27</v>
      </c>
      <c r="P3199" t="str">
        <f>TEXT(Table1[[#This Row],[order_date]],"yyyy-mm")</f>
        <v>2025-09</v>
      </c>
      <c r="Q3199">
        <f>WEEKNUM(Table1[[#This Row],[order_date]])</f>
        <v>39</v>
      </c>
      <c r="R3199">
        <f>IF(Table1[[#This Row],[order_status]]="completed",1,0)</f>
        <v>1</v>
      </c>
    </row>
    <row r="3200" spans="1:18" x14ac:dyDescent="0.35">
      <c r="A3200">
        <v>3199</v>
      </c>
      <c r="B3200" s="1">
        <v>45868</v>
      </c>
      <c r="C3200">
        <v>1725</v>
      </c>
      <c r="D3200" t="s">
        <v>41</v>
      </c>
      <c r="E3200" t="s">
        <v>33</v>
      </c>
      <c r="F3200" t="s">
        <v>34</v>
      </c>
      <c r="G3200">
        <v>4</v>
      </c>
      <c r="H3200">
        <v>0</v>
      </c>
      <c r="I3200" t="s">
        <v>25</v>
      </c>
      <c r="J3200" t="s">
        <v>31</v>
      </c>
      <c r="K3200" t="s">
        <v>20</v>
      </c>
      <c r="L3200">
        <v>5</v>
      </c>
      <c r="M3200">
        <v>0</v>
      </c>
      <c r="N3200">
        <v>0</v>
      </c>
      <c r="O3200" t="s">
        <v>21</v>
      </c>
      <c r="P3200" t="str">
        <f>TEXT(Table1[[#This Row],[order_date]],"yyyy-mm")</f>
        <v>2025-07</v>
      </c>
      <c r="Q3200">
        <f>WEEKNUM(Table1[[#This Row],[order_date]])</f>
        <v>31</v>
      </c>
      <c r="R3200">
        <f>IF(Table1[[#This Row],[order_status]]="completed",1,0)</f>
        <v>0</v>
      </c>
    </row>
    <row r="3201" spans="1:18" x14ac:dyDescent="0.35">
      <c r="A3201">
        <v>3200</v>
      </c>
      <c r="B3201" s="1">
        <v>45886</v>
      </c>
      <c r="C3201">
        <v>1485</v>
      </c>
      <c r="D3201" t="s">
        <v>22</v>
      </c>
      <c r="E3201" t="s">
        <v>33</v>
      </c>
      <c r="F3201" t="s">
        <v>24</v>
      </c>
      <c r="G3201">
        <v>2</v>
      </c>
      <c r="H3201">
        <v>0</v>
      </c>
      <c r="I3201" t="s">
        <v>18</v>
      </c>
      <c r="J3201" t="s">
        <v>37</v>
      </c>
      <c r="K3201" t="s">
        <v>38</v>
      </c>
      <c r="L3201">
        <v>1</v>
      </c>
      <c r="M3201">
        <v>1</v>
      </c>
      <c r="N3201">
        <v>0</v>
      </c>
      <c r="O3201" t="s">
        <v>21</v>
      </c>
      <c r="P3201" t="str">
        <f>TEXT(Table1[[#This Row],[order_date]],"yyyy-mm")</f>
        <v>2025-08</v>
      </c>
      <c r="Q3201">
        <f>WEEKNUM(Table1[[#This Row],[order_date]])</f>
        <v>34</v>
      </c>
      <c r="R3201">
        <f>IF(Table1[[#This Row],[order_status]]="completed",1,0)</f>
        <v>0</v>
      </c>
    </row>
    <row r="3202" spans="1:18" x14ac:dyDescent="0.35">
      <c r="A3202">
        <v>3201</v>
      </c>
      <c r="B3202" s="1">
        <v>46013</v>
      </c>
      <c r="C3202">
        <v>1559</v>
      </c>
      <c r="D3202" t="s">
        <v>22</v>
      </c>
      <c r="E3202" t="s">
        <v>33</v>
      </c>
      <c r="F3202" t="s">
        <v>17</v>
      </c>
      <c r="G3202">
        <v>3</v>
      </c>
      <c r="H3202">
        <v>0</v>
      </c>
      <c r="I3202" t="s">
        <v>39</v>
      </c>
      <c r="J3202" t="s">
        <v>31</v>
      </c>
      <c r="K3202" t="s">
        <v>40</v>
      </c>
      <c r="L3202">
        <v>8</v>
      </c>
      <c r="M3202">
        <v>0</v>
      </c>
      <c r="N3202">
        <v>1</v>
      </c>
      <c r="O3202" t="s">
        <v>21</v>
      </c>
      <c r="P3202" t="str">
        <f>TEXT(Table1[[#This Row],[order_date]],"yyyy-mm")</f>
        <v>2025-12</v>
      </c>
      <c r="Q3202">
        <f>WEEKNUM(Table1[[#This Row],[order_date]])</f>
        <v>52</v>
      </c>
      <c r="R3202">
        <f>IF(Table1[[#This Row],[order_status]]="completed",1,0)</f>
        <v>0</v>
      </c>
    </row>
    <row r="3203" spans="1:18" x14ac:dyDescent="0.35">
      <c r="A3203">
        <v>3202</v>
      </c>
      <c r="B3203" s="1">
        <v>45913</v>
      </c>
      <c r="C3203">
        <v>1209</v>
      </c>
      <c r="D3203" t="s">
        <v>32</v>
      </c>
      <c r="E3203" t="s">
        <v>23</v>
      </c>
      <c r="F3203" t="s">
        <v>30</v>
      </c>
      <c r="G3203">
        <v>1</v>
      </c>
      <c r="H3203">
        <v>4514</v>
      </c>
      <c r="I3203" t="s">
        <v>25</v>
      </c>
      <c r="J3203" t="s">
        <v>19</v>
      </c>
      <c r="K3203" t="s">
        <v>20</v>
      </c>
      <c r="L3203">
        <v>2</v>
      </c>
      <c r="M3203">
        <v>0</v>
      </c>
      <c r="N3203">
        <v>0</v>
      </c>
      <c r="O3203" t="s">
        <v>21</v>
      </c>
      <c r="P3203" t="str">
        <f>TEXT(Table1[[#This Row],[order_date]],"yyyy-mm")</f>
        <v>2025-09</v>
      </c>
      <c r="Q3203">
        <f>WEEKNUM(Table1[[#This Row],[order_date]])</f>
        <v>37</v>
      </c>
      <c r="R3203">
        <f>IF(Table1[[#This Row],[order_status]]="completed",1,0)</f>
        <v>1</v>
      </c>
    </row>
    <row r="3204" spans="1:18" x14ac:dyDescent="0.35">
      <c r="A3204">
        <v>3203</v>
      </c>
      <c r="B3204" s="1">
        <v>45965</v>
      </c>
      <c r="C3204">
        <v>1266</v>
      </c>
      <c r="D3204" t="s">
        <v>28</v>
      </c>
      <c r="E3204" t="s">
        <v>16</v>
      </c>
      <c r="F3204" t="s">
        <v>24</v>
      </c>
      <c r="G3204">
        <v>1</v>
      </c>
      <c r="H3204">
        <v>0</v>
      </c>
      <c r="I3204" t="s">
        <v>25</v>
      </c>
      <c r="J3204" t="s">
        <v>37</v>
      </c>
      <c r="K3204" t="s">
        <v>40</v>
      </c>
      <c r="L3204">
        <v>8</v>
      </c>
      <c r="M3204">
        <v>1</v>
      </c>
      <c r="N3204">
        <v>1</v>
      </c>
      <c r="O3204" t="s">
        <v>21</v>
      </c>
      <c r="P3204" t="str">
        <f>TEXT(Table1[[#This Row],[order_date]],"yyyy-mm")</f>
        <v>2025-11</v>
      </c>
      <c r="Q3204">
        <f>WEEKNUM(Table1[[#This Row],[order_date]])</f>
        <v>45</v>
      </c>
      <c r="R3204">
        <f>IF(Table1[[#This Row],[order_status]]="completed",1,0)</f>
        <v>0</v>
      </c>
    </row>
    <row r="3205" spans="1:18" x14ac:dyDescent="0.35">
      <c r="A3205">
        <v>3204</v>
      </c>
      <c r="B3205" s="1">
        <v>45955</v>
      </c>
      <c r="C3205">
        <v>1394</v>
      </c>
      <c r="D3205" t="s">
        <v>32</v>
      </c>
      <c r="E3205" t="s">
        <v>33</v>
      </c>
      <c r="F3205" t="s">
        <v>24</v>
      </c>
      <c r="G3205">
        <v>3</v>
      </c>
      <c r="H3205">
        <v>0</v>
      </c>
      <c r="I3205" t="s">
        <v>35</v>
      </c>
      <c r="J3205" t="s">
        <v>31</v>
      </c>
      <c r="K3205" t="s">
        <v>26</v>
      </c>
      <c r="L3205">
        <v>8</v>
      </c>
      <c r="M3205">
        <v>1</v>
      </c>
      <c r="N3205">
        <v>1</v>
      </c>
      <c r="O3205" t="s">
        <v>27</v>
      </c>
      <c r="P3205" t="str">
        <f>TEXT(Table1[[#This Row],[order_date]],"yyyy-mm")</f>
        <v>2025-10</v>
      </c>
      <c r="Q3205">
        <f>WEEKNUM(Table1[[#This Row],[order_date]])</f>
        <v>43</v>
      </c>
      <c r="R3205">
        <f>IF(Table1[[#This Row],[order_status]]="completed",1,0)</f>
        <v>0</v>
      </c>
    </row>
    <row r="3206" spans="1:18" x14ac:dyDescent="0.35">
      <c r="A3206">
        <v>3205</v>
      </c>
      <c r="B3206" s="1">
        <v>45945</v>
      </c>
      <c r="C3206">
        <v>1100</v>
      </c>
      <c r="D3206" t="s">
        <v>28</v>
      </c>
      <c r="E3206" t="s">
        <v>33</v>
      </c>
      <c r="F3206" t="s">
        <v>34</v>
      </c>
      <c r="G3206">
        <v>3</v>
      </c>
      <c r="H3206">
        <v>0</v>
      </c>
      <c r="I3206" t="s">
        <v>25</v>
      </c>
      <c r="J3206" t="s">
        <v>31</v>
      </c>
      <c r="K3206" t="s">
        <v>20</v>
      </c>
      <c r="L3206">
        <v>3</v>
      </c>
      <c r="M3206">
        <v>0</v>
      </c>
      <c r="N3206">
        <v>1</v>
      </c>
      <c r="O3206" t="s">
        <v>27</v>
      </c>
      <c r="P3206" t="str">
        <f>TEXT(Table1[[#This Row],[order_date]],"yyyy-mm")</f>
        <v>2025-10</v>
      </c>
      <c r="Q3206">
        <f>WEEKNUM(Table1[[#This Row],[order_date]])</f>
        <v>42</v>
      </c>
      <c r="R3206">
        <f>IF(Table1[[#This Row],[order_status]]="completed",1,0)</f>
        <v>0</v>
      </c>
    </row>
    <row r="3207" spans="1:18" x14ac:dyDescent="0.35">
      <c r="A3207">
        <v>3206</v>
      </c>
      <c r="B3207" s="1">
        <v>45935</v>
      </c>
      <c r="C3207">
        <v>1983</v>
      </c>
      <c r="D3207" t="s">
        <v>15</v>
      </c>
      <c r="E3207" t="s">
        <v>36</v>
      </c>
      <c r="F3207" t="s">
        <v>34</v>
      </c>
      <c r="G3207">
        <v>2</v>
      </c>
      <c r="H3207">
        <v>0</v>
      </c>
      <c r="I3207" t="s">
        <v>39</v>
      </c>
      <c r="J3207" t="s">
        <v>31</v>
      </c>
      <c r="K3207" t="s">
        <v>26</v>
      </c>
      <c r="L3207">
        <v>1</v>
      </c>
      <c r="M3207">
        <v>0</v>
      </c>
      <c r="N3207">
        <v>1</v>
      </c>
      <c r="O3207" t="s">
        <v>27</v>
      </c>
      <c r="P3207" t="str">
        <f>TEXT(Table1[[#This Row],[order_date]],"yyyy-mm")</f>
        <v>2025-10</v>
      </c>
      <c r="Q3207">
        <f>WEEKNUM(Table1[[#This Row],[order_date]])</f>
        <v>41</v>
      </c>
      <c r="R3207">
        <f>IF(Table1[[#This Row],[order_status]]="completed",1,0)</f>
        <v>0</v>
      </c>
    </row>
    <row r="3208" spans="1:18" x14ac:dyDescent="0.35">
      <c r="A3208">
        <v>3207</v>
      </c>
      <c r="B3208" s="1">
        <v>45964</v>
      </c>
      <c r="C3208">
        <v>1320</v>
      </c>
      <c r="D3208" t="s">
        <v>32</v>
      </c>
      <c r="E3208" t="s">
        <v>23</v>
      </c>
      <c r="F3208" t="s">
        <v>30</v>
      </c>
      <c r="G3208">
        <v>4</v>
      </c>
      <c r="H3208">
        <v>0</v>
      </c>
      <c r="I3208" t="s">
        <v>18</v>
      </c>
      <c r="J3208" t="s">
        <v>31</v>
      </c>
      <c r="K3208" t="s">
        <v>38</v>
      </c>
      <c r="L3208">
        <v>3</v>
      </c>
      <c r="M3208">
        <v>1</v>
      </c>
      <c r="N3208">
        <v>0</v>
      </c>
      <c r="O3208" t="s">
        <v>27</v>
      </c>
      <c r="P3208" t="str">
        <f>TEXT(Table1[[#This Row],[order_date]],"yyyy-mm")</f>
        <v>2025-11</v>
      </c>
      <c r="Q3208">
        <f>WEEKNUM(Table1[[#This Row],[order_date]])</f>
        <v>45</v>
      </c>
      <c r="R3208">
        <f>IF(Table1[[#This Row],[order_status]]="completed",1,0)</f>
        <v>0</v>
      </c>
    </row>
    <row r="3209" spans="1:18" x14ac:dyDescent="0.35">
      <c r="A3209">
        <v>3208</v>
      </c>
      <c r="B3209" s="1">
        <v>45999</v>
      </c>
      <c r="C3209">
        <v>1829</v>
      </c>
      <c r="D3209" t="s">
        <v>15</v>
      </c>
      <c r="E3209" t="s">
        <v>23</v>
      </c>
      <c r="F3209" t="s">
        <v>30</v>
      </c>
      <c r="G3209">
        <v>5</v>
      </c>
      <c r="H3209">
        <v>0</v>
      </c>
      <c r="I3209" t="s">
        <v>35</v>
      </c>
      <c r="J3209" t="s">
        <v>37</v>
      </c>
      <c r="K3209" t="s">
        <v>40</v>
      </c>
      <c r="L3209">
        <v>4</v>
      </c>
      <c r="M3209">
        <v>1</v>
      </c>
      <c r="N3209">
        <v>0</v>
      </c>
      <c r="O3209" t="s">
        <v>21</v>
      </c>
      <c r="P3209" t="str">
        <f>TEXT(Table1[[#This Row],[order_date]],"yyyy-mm")</f>
        <v>2025-12</v>
      </c>
      <c r="Q3209">
        <f>WEEKNUM(Table1[[#This Row],[order_date]])</f>
        <v>50</v>
      </c>
      <c r="R3209">
        <f>IF(Table1[[#This Row],[order_status]]="completed",1,0)</f>
        <v>0</v>
      </c>
    </row>
    <row r="3210" spans="1:18" x14ac:dyDescent="0.35">
      <c r="A3210">
        <v>3209</v>
      </c>
      <c r="B3210" s="1">
        <v>45972</v>
      </c>
      <c r="C3210">
        <v>1184</v>
      </c>
      <c r="D3210" t="s">
        <v>22</v>
      </c>
      <c r="E3210" t="s">
        <v>23</v>
      </c>
      <c r="F3210" t="s">
        <v>30</v>
      </c>
      <c r="G3210">
        <v>5</v>
      </c>
      <c r="H3210">
        <v>0</v>
      </c>
      <c r="I3210" t="s">
        <v>25</v>
      </c>
      <c r="J3210" t="s">
        <v>31</v>
      </c>
      <c r="K3210" t="s">
        <v>38</v>
      </c>
      <c r="L3210">
        <v>2</v>
      </c>
      <c r="M3210">
        <v>0</v>
      </c>
      <c r="N3210">
        <v>0</v>
      </c>
      <c r="O3210" t="s">
        <v>21</v>
      </c>
      <c r="P3210" t="str">
        <f>TEXT(Table1[[#This Row],[order_date]],"yyyy-mm")</f>
        <v>2025-11</v>
      </c>
      <c r="Q3210">
        <f>WEEKNUM(Table1[[#This Row],[order_date]])</f>
        <v>46</v>
      </c>
      <c r="R3210">
        <f>IF(Table1[[#This Row],[order_status]]="completed",1,0)</f>
        <v>0</v>
      </c>
    </row>
    <row r="3211" spans="1:18" x14ac:dyDescent="0.35">
      <c r="A3211">
        <v>3210</v>
      </c>
      <c r="B3211" s="1">
        <v>45896</v>
      </c>
      <c r="C3211">
        <v>1476</v>
      </c>
      <c r="D3211" t="s">
        <v>32</v>
      </c>
      <c r="E3211" t="s">
        <v>23</v>
      </c>
      <c r="F3211" t="s">
        <v>30</v>
      </c>
      <c r="G3211">
        <v>4</v>
      </c>
      <c r="H3211">
        <v>0</v>
      </c>
      <c r="I3211" t="s">
        <v>39</v>
      </c>
      <c r="J3211" t="s">
        <v>31</v>
      </c>
      <c r="K3211" t="s">
        <v>20</v>
      </c>
      <c r="L3211">
        <v>5</v>
      </c>
      <c r="M3211">
        <v>0</v>
      </c>
      <c r="N3211">
        <v>0</v>
      </c>
      <c r="O3211" t="s">
        <v>27</v>
      </c>
      <c r="P3211" t="str">
        <f>TEXT(Table1[[#This Row],[order_date]],"yyyy-mm")</f>
        <v>2025-08</v>
      </c>
      <c r="Q3211">
        <f>WEEKNUM(Table1[[#This Row],[order_date]])</f>
        <v>35</v>
      </c>
      <c r="R3211">
        <f>IF(Table1[[#This Row],[order_status]]="completed",1,0)</f>
        <v>0</v>
      </c>
    </row>
    <row r="3212" spans="1:18" x14ac:dyDescent="0.35">
      <c r="A3212">
        <v>3211</v>
      </c>
      <c r="B3212" s="1">
        <v>45853</v>
      </c>
      <c r="C3212">
        <v>1331</v>
      </c>
      <c r="D3212" t="s">
        <v>28</v>
      </c>
      <c r="E3212" t="s">
        <v>33</v>
      </c>
      <c r="F3212" t="s">
        <v>34</v>
      </c>
      <c r="G3212">
        <v>1</v>
      </c>
      <c r="H3212">
        <v>428</v>
      </c>
      <c r="I3212" t="s">
        <v>25</v>
      </c>
      <c r="J3212" t="s">
        <v>19</v>
      </c>
      <c r="K3212" t="s">
        <v>20</v>
      </c>
      <c r="L3212">
        <v>6</v>
      </c>
      <c r="M3212">
        <v>1</v>
      </c>
      <c r="N3212">
        <v>0</v>
      </c>
      <c r="O3212" t="s">
        <v>27</v>
      </c>
      <c r="P3212" t="str">
        <f>TEXT(Table1[[#This Row],[order_date]],"yyyy-mm")</f>
        <v>2025-07</v>
      </c>
      <c r="Q3212">
        <f>WEEKNUM(Table1[[#This Row],[order_date]])</f>
        <v>29</v>
      </c>
      <c r="R3212">
        <f>IF(Table1[[#This Row],[order_status]]="completed",1,0)</f>
        <v>1</v>
      </c>
    </row>
    <row r="3213" spans="1:18" x14ac:dyDescent="0.35">
      <c r="A3213">
        <v>3212</v>
      </c>
      <c r="B3213" s="1">
        <v>45990</v>
      </c>
      <c r="C3213">
        <v>1750</v>
      </c>
      <c r="D3213" t="s">
        <v>22</v>
      </c>
      <c r="E3213" t="s">
        <v>33</v>
      </c>
      <c r="F3213" t="s">
        <v>17</v>
      </c>
      <c r="G3213">
        <v>3</v>
      </c>
      <c r="H3213">
        <v>12654</v>
      </c>
      <c r="I3213" t="s">
        <v>39</v>
      </c>
      <c r="J3213" t="s">
        <v>19</v>
      </c>
      <c r="K3213" t="s">
        <v>26</v>
      </c>
      <c r="L3213">
        <v>8</v>
      </c>
      <c r="M3213">
        <v>0</v>
      </c>
      <c r="N3213">
        <v>0</v>
      </c>
      <c r="O3213" t="s">
        <v>21</v>
      </c>
      <c r="P3213" t="str">
        <f>TEXT(Table1[[#This Row],[order_date]],"yyyy-mm")</f>
        <v>2025-11</v>
      </c>
      <c r="Q3213">
        <f>WEEKNUM(Table1[[#This Row],[order_date]])</f>
        <v>48</v>
      </c>
      <c r="R3213">
        <f>IF(Table1[[#This Row],[order_status]]="completed",1,0)</f>
        <v>1</v>
      </c>
    </row>
    <row r="3214" spans="1:18" x14ac:dyDescent="0.35">
      <c r="A3214">
        <v>3213</v>
      </c>
      <c r="B3214" s="1">
        <v>45926</v>
      </c>
      <c r="C3214">
        <v>1609</v>
      </c>
      <c r="D3214" t="s">
        <v>22</v>
      </c>
      <c r="E3214" t="s">
        <v>36</v>
      </c>
      <c r="F3214" t="s">
        <v>17</v>
      </c>
      <c r="G3214">
        <v>5</v>
      </c>
      <c r="H3214">
        <v>17270</v>
      </c>
      <c r="I3214" t="s">
        <v>39</v>
      </c>
      <c r="J3214" t="s">
        <v>19</v>
      </c>
      <c r="K3214" t="s">
        <v>40</v>
      </c>
      <c r="L3214">
        <v>9</v>
      </c>
      <c r="M3214">
        <v>1</v>
      </c>
      <c r="N3214">
        <v>0</v>
      </c>
      <c r="O3214" t="s">
        <v>21</v>
      </c>
      <c r="P3214" t="str">
        <f>TEXT(Table1[[#This Row],[order_date]],"yyyy-mm")</f>
        <v>2025-09</v>
      </c>
      <c r="Q3214">
        <f>WEEKNUM(Table1[[#This Row],[order_date]])</f>
        <v>39</v>
      </c>
      <c r="R3214">
        <f>IF(Table1[[#This Row],[order_status]]="completed",1,0)</f>
        <v>1</v>
      </c>
    </row>
    <row r="3215" spans="1:18" x14ac:dyDescent="0.35">
      <c r="A3215">
        <v>3214</v>
      </c>
      <c r="B3215" s="1">
        <v>45906</v>
      </c>
      <c r="C3215">
        <v>1601</v>
      </c>
      <c r="D3215" t="s">
        <v>41</v>
      </c>
      <c r="E3215" t="s">
        <v>23</v>
      </c>
      <c r="F3215" t="s">
        <v>17</v>
      </c>
      <c r="G3215">
        <v>1</v>
      </c>
      <c r="H3215">
        <v>1257</v>
      </c>
      <c r="I3215" t="s">
        <v>39</v>
      </c>
      <c r="J3215" t="s">
        <v>19</v>
      </c>
      <c r="K3215" t="s">
        <v>40</v>
      </c>
      <c r="L3215">
        <v>5</v>
      </c>
      <c r="M3215">
        <v>0</v>
      </c>
      <c r="N3215">
        <v>1</v>
      </c>
      <c r="O3215" t="s">
        <v>27</v>
      </c>
      <c r="P3215" t="str">
        <f>TEXT(Table1[[#This Row],[order_date]],"yyyy-mm")</f>
        <v>2025-09</v>
      </c>
      <c r="Q3215">
        <f>WEEKNUM(Table1[[#This Row],[order_date]])</f>
        <v>36</v>
      </c>
      <c r="R3215">
        <f>IF(Table1[[#This Row],[order_status]]="completed",1,0)</f>
        <v>1</v>
      </c>
    </row>
    <row r="3216" spans="1:18" x14ac:dyDescent="0.35">
      <c r="A3216">
        <v>3215</v>
      </c>
      <c r="B3216" s="1">
        <v>45879</v>
      </c>
      <c r="C3216">
        <v>1335</v>
      </c>
      <c r="D3216" t="s">
        <v>41</v>
      </c>
      <c r="E3216" t="s">
        <v>29</v>
      </c>
      <c r="F3216" t="s">
        <v>34</v>
      </c>
      <c r="G3216">
        <v>1</v>
      </c>
      <c r="H3216">
        <v>0</v>
      </c>
      <c r="I3216" t="s">
        <v>18</v>
      </c>
      <c r="J3216" t="s">
        <v>37</v>
      </c>
      <c r="K3216" t="s">
        <v>40</v>
      </c>
      <c r="L3216">
        <v>3</v>
      </c>
      <c r="M3216">
        <v>1</v>
      </c>
      <c r="N3216">
        <v>0</v>
      </c>
      <c r="O3216" t="s">
        <v>27</v>
      </c>
      <c r="P3216" t="str">
        <f>TEXT(Table1[[#This Row],[order_date]],"yyyy-mm")</f>
        <v>2025-08</v>
      </c>
      <c r="Q3216">
        <f>WEEKNUM(Table1[[#This Row],[order_date]])</f>
        <v>33</v>
      </c>
      <c r="R3216">
        <f>IF(Table1[[#This Row],[order_status]]="completed",1,0)</f>
        <v>0</v>
      </c>
    </row>
    <row r="3217" spans="1:18" x14ac:dyDescent="0.35">
      <c r="A3217">
        <v>3216</v>
      </c>
      <c r="B3217" s="1">
        <v>45968</v>
      </c>
      <c r="C3217">
        <v>1702</v>
      </c>
      <c r="D3217" t="s">
        <v>15</v>
      </c>
      <c r="E3217" t="s">
        <v>16</v>
      </c>
      <c r="F3217" t="s">
        <v>17</v>
      </c>
      <c r="G3217">
        <v>3</v>
      </c>
      <c r="H3217">
        <v>0</v>
      </c>
      <c r="I3217" t="s">
        <v>35</v>
      </c>
      <c r="J3217" t="s">
        <v>37</v>
      </c>
      <c r="K3217" t="s">
        <v>38</v>
      </c>
      <c r="L3217">
        <v>10</v>
      </c>
      <c r="M3217">
        <v>1</v>
      </c>
      <c r="N3217">
        <v>1</v>
      </c>
      <c r="O3217" t="s">
        <v>21</v>
      </c>
      <c r="P3217" t="str">
        <f>TEXT(Table1[[#This Row],[order_date]],"yyyy-mm")</f>
        <v>2025-11</v>
      </c>
      <c r="Q3217">
        <f>WEEKNUM(Table1[[#This Row],[order_date]])</f>
        <v>45</v>
      </c>
      <c r="R3217">
        <f>IF(Table1[[#This Row],[order_status]]="completed",1,0)</f>
        <v>0</v>
      </c>
    </row>
    <row r="3218" spans="1:18" x14ac:dyDescent="0.35">
      <c r="A3218">
        <v>3217</v>
      </c>
      <c r="B3218" s="1">
        <v>45938</v>
      </c>
      <c r="C3218">
        <v>1144</v>
      </c>
      <c r="D3218" t="s">
        <v>22</v>
      </c>
      <c r="E3218" t="s">
        <v>23</v>
      </c>
      <c r="F3218" t="s">
        <v>34</v>
      </c>
      <c r="G3218">
        <v>4</v>
      </c>
      <c r="H3218">
        <v>0</v>
      </c>
      <c r="I3218" t="s">
        <v>35</v>
      </c>
      <c r="J3218" t="s">
        <v>31</v>
      </c>
      <c r="K3218" t="s">
        <v>38</v>
      </c>
      <c r="L3218">
        <v>6</v>
      </c>
      <c r="M3218">
        <v>0</v>
      </c>
      <c r="N3218">
        <v>0</v>
      </c>
      <c r="O3218" t="s">
        <v>21</v>
      </c>
      <c r="P3218" t="str">
        <f>TEXT(Table1[[#This Row],[order_date]],"yyyy-mm")</f>
        <v>2025-10</v>
      </c>
      <c r="Q3218">
        <f>WEEKNUM(Table1[[#This Row],[order_date]])</f>
        <v>41</v>
      </c>
      <c r="R3218">
        <f>IF(Table1[[#This Row],[order_status]]="completed",1,0)</f>
        <v>0</v>
      </c>
    </row>
    <row r="3219" spans="1:18" x14ac:dyDescent="0.35">
      <c r="A3219">
        <v>3218</v>
      </c>
      <c r="B3219" s="1">
        <v>45870</v>
      </c>
      <c r="C3219">
        <v>1975</v>
      </c>
      <c r="D3219" t="s">
        <v>22</v>
      </c>
      <c r="E3219" t="s">
        <v>16</v>
      </c>
      <c r="F3219" t="s">
        <v>17</v>
      </c>
      <c r="G3219">
        <v>3</v>
      </c>
      <c r="H3219">
        <v>0</v>
      </c>
      <c r="I3219" t="s">
        <v>39</v>
      </c>
      <c r="J3219" t="s">
        <v>31</v>
      </c>
      <c r="K3219" t="s">
        <v>38</v>
      </c>
      <c r="L3219">
        <v>8</v>
      </c>
      <c r="M3219">
        <v>1</v>
      </c>
      <c r="N3219">
        <v>1</v>
      </c>
      <c r="O3219" t="s">
        <v>27</v>
      </c>
      <c r="P3219" t="str">
        <f>TEXT(Table1[[#This Row],[order_date]],"yyyy-mm")</f>
        <v>2025-08</v>
      </c>
      <c r="Q3219">
        <f>WEEKNUM(Table1[[#This Row],[order_date]])</f>
        <v>31</v>
      </c>
      <c r="R3219">
        <f>IF(Table1[[#This Row],[order_status]]="completed",1,0)</f>
        <v>0</v>
      </c>
    </row>
    <row r="3220" spans="1:18" x14ac:dyDescent="0.35">
      <c r="A3220">
        <v>3219</v>
      </c>
      <c r="B3220" s="1">
        <v>45934</v>
      </c>
      <c r="C3220">
        <v>1679</v>
      </c>
      <c r="D3220" t="s">
        <v>22</v>
      </c>
      <c r="E3220" t="s">
        <v>36</v>
      </c>
      <c r="F3220" t="s">
        <v>17</v>
      </c>
      <c r="G3220">
        <v>1</v>
      </c>
      <c r="H3220">
        <v>2995</v>
      </c>
      <c r="I3220" t="s">
        <v>18</v>
      </c>
      <c r="J3220" t="s">
        <v>19</v>
      </c>
      <c r="K3220" t="s">
        <v>26</v>
      </c>
      <c r="L3220">
        <v>3</v>
      </c>
      <c r="M3220">
        <v>0</v>
      </c>
      <c r="N3220">
        <v>1</v>
      </c>
      <c r="O3220" t="s">
        <v>21</v>
      </c>
      <c r="P3220" t="str">
        <f>TEXT(Table1[[#This Row],[order_date]],"yyyy-mm")</f>
        <v>2025-10</v>
      </c>
      <c r="Q3220">
        <f>WEEKNUM(Table1[[#This Row],[order_date]])</f>
        <v>40</v>
      </c>
      <c r="R3220">
        <f>IF(Table1[[#This Row],[order_status]]="completed",1,0)</f>
        <v>1</v>
      </c>
    </row>
    <row r="3221" spans="1:18" x14ac:dyDescent="0.35">
      <c r="A3221">
        <v>3220</v>
      </c>
      <c r="B3221" s="1">
        <v>46000</v>
      </c>
      <c r="C3221">
        <v>1201</v>
      </c>
      <c r="D3221" t="s">
        <v>41</v>
      </c>
      <c r="E3221" t="s">
        <v>23</v>
      </c>
      <c r="F3221" t="s">
        <v>24</v>
      </c>
      <c r="G3221">
        <v>4</v>
      </c>
      <c r="H3221">
        <v>0</v>
      </c>
      <c r="I3221" t="s">
        <v>18</v>
      </c>
      <c r="J3221" t="s">
        <v>37</v>
      </c>
      <c r="K3221" t="s">
        <v>26</v>
      </c>
      <c r="L3221">
        <v>6</v>
      </c>
      <c r="M3221">
        <v>0</v>
      </c>
      <c r="N3221">
        <v>0</v>
      </c>
      <c r="O3221" t="s">
        <v>27</v>
      </c>
      <c r="P3221" t="str">
        <f>TEXT(Table1[[#This Row],[order_date]],"yyyy-mm")</f>
        <v>2025-12</v>
      </c>
      <c r="Q3221">
        <f>WEEKNUM(Table1[[#This Row],[order_date]])</f>
        <v>50</v>
      </c>
      <c r="R3221">
        <f>IF(Table1[[#This Row],[order_status]]="completed",1,0)</f>
        <v>0</v>
      </c>
    </row>
    <row r="3222" spans="1:18" x14ac:dyDescent="0.35">
      <c r="A3222">
        <v>3221</v>
      </c>
      <c r="B3222" s="1">
        <v>45852</v>
      </c>
      <c r="C3222">
        <v>1485</v>
      </c>
      <c r="D3222" t="s">
        <v>41</v>
      </c>
      <c r="E3222" t="s">
        <v>36</v>
      </c>
      <c r="F3222" t="s">
        <v>24</v>
      </c>
      <c r="G3222">
        <v>2</v>
      </c>
      <c r="H3222">
        <v>2266</v>
      </c>
      <c r="I3222" t="s">
        <v>25</v>
      </c>
      <c r="J3222" t="s">
        <v>19</v>
      </c>
      <c r="K3222" t="s">
        <v>20</v>
      </c>
      <c r="L3222">
        <v>9</v>
      </c>
      <c r="M3222">
        <v>0</v>
      </c>
      <c r="N3222">
        <v>0</v>
      </c>
      <c r="O3222" t="s">
        <v>21</v>
      </c>
      <c r="P3222" t="str">
        <f>TEXT(Table1[[#This Row],[order_date]],"yyyy-mm")</f>
        <v>2025-07</v>
      </c>
      <c r="Q3222">
        <f>WEEKNUM(Table1[[#This Row],[order_date]])</f>
        <v>29</v>
      </c>
      <c r="R3222">
        <f>IF(Table1[[#This Row],[order_status]]="completed",1,0)</f>
        <v>1</v>
      </c>
    </row>
    <row r="3223" spans="1:18" x14ac:dyDescent="0.35">
      <c r="A3223">
        <v>3222</v>
      </c>
      <c r="B3223" s="1">
        <v>45985</v>
      </c>
      <c r="C3223">
        <v>1934</v>
      </c>
      <c r="D3223" t="s">
        <v>28</v>
      </c>
      <c r="E3223" t="s">
        <v>16</v>
      </c>
      <c r="F3223" t="s">
        <v>17</v>
      </c>
      <c r="G3223">
        <v>4</v>
      </c>
      <c r="H3223">
        <v>0</v>
      </c>
      <c r="I3223" t="s">
        <v>18</v>
      </c>
      <c r="J3223" t="s">
        <v>31</v>
      </c>
      <c r="K3223" t="s">
        <v>26</v>
      </c>
      <c r="L3223">
        <v>1</v>
      </c>
      <c r="M3223">
        <v>0</v>
      </c>
      <c r="N3223">
        <v>1</v>
      </c>
      <c r="O3223" t="s">
        <v>21</v>
      </c>
      <c r="P3223" t="str">
        <f>TEXT(Table1[[#This Row],[order_date]],"yyyy-mm")</f>
        <v>2025-11</v>
      </c>
      <c r="Q3223">
        <f>WEEKNUM(Table1[[#This Row],[order_date]])</f>
        <v>48</v>
      </c>
      <c r="R3223">
        <f>IF(Table1[[#This Row],[order_status]]="completed",1,0)</f>
        <v>0</v>
      </c>
    </row>
    <row r="3224" spans="1:18" x14ac:dyDescent="0.35">
      <c r="A3224">
        <v>3223</v>
      </c>
      <c r="B3224" s="1">
        <v>45962</v>
      </c>
      <c r="C3224">
        <v>1622</v>
      </c>
      <c r="D3224" t="s">
        <v>22</v>
      </c>
      <c r="E3224" t="s">
        <v>36</v>
      </c>
      <c r="F3224" t="s">
        <v>34</v>
      </c>
      <c r="G3224">
        <v>2</v>
      </c>
      <c r="H3224">
        <v>0</v>
      </c>
      <c r="I3224" t="s">
        <v>18</v>
      </c>
      <c r="J3224" t="s">
        <v>31</v>
      </c>
      <c r="K3224" t="s">
        <v>26</v>
      </c>
      <c r="L3224">
        <v>10</v>
      </c>
      <c r="M3224">
        <v>0</v>
      </c>
      <c r="N3224">
        <v>0</v>
      </c>
      <c r="O3224" t="s">
        <v>27</v>
      </c>
      <c r="P3224" t="str">
        <f>TEXT(Table1[[#This Row],[order_date]],"yyyy-mm")</f>
        <v>2025-11</v>
      </c>
      <c r="Q3224">
        <f>WEEKNUM(Table1[[#This Row],[order_date]])</f>
        <v>44</v>
      </c>
      <c r="R3224">
        <f>IF(Table1[[#This Row],[order_status]]="completed",1,0)</f>
        <v>0</v>
      </c>
    </row>
    <row r="3225" spans="1:18" x14ac:dyDescent="0.35">
      <c r="A3225">
        <v>3224</v>
      </c>
      <c r="B3225" s="1">
        <v>45915</v>
      </c>
      <c r="C3225">
        <v>1154</v>
      </c>
      <c r="D3225" t="s">
        <v>28</v>
      </c>
      <c r="E3225" t="s">
        <v>23</v>
      </c>
      <c r="F3225" t="s">
        <v>34</v>
      </c>
      <c r="G3225">
        <v>3</v>
      </c>
      <c r="H3225">
        <v>0</v>
      </c>
      <c r="I3225" t="s">
        <v>35</v>
      </c>
      <c r="J3225" t="s">
        <v>37</v>
      </c>
      <c r="K3225" t="s">
        <v>40</v>
      </c>
      <c r="L3225">
        <v>3</v>
      </c>
      <c r="M3225">
        <v>0</v>
      </c>
      <c r="N3225">
        <v>0</v>
      </c>
      <c r="O3225" t="s">
        <v>21</v>
      </c>
      <c r="P3225" t="str">
        <f>TEXT(Table1[[#This Row],[order_date]],"yyyy-mm")</f>
        <v>2025-09</v>
      </c>
      <c r="Q3225">
        <f>WEEKNUM(Table1[[#This Row],[order_date]])</f>
        <v>38</v>
      </c>
      <c r="R3225">
        <f>IF(Table1[[#This Row],[order_status]]="completed",1,0)</f>
        <v>0</v>
      </c>
    </row>
    <row r="3226" spans="1:18" x14ac:dyDescent="0.35">
      <c r="A3226">
        <v>3225</v>
      </c>
      <c r="B3226" s="1">
        <v>45981</v>
      </c>
      <c r="C3226">
        <v>1631</v>
      </c>
      <c r="D3226" t="s">
        <v>15</v>
      </c>
      <c r="E3226" t="s">
        <v>23</v>
      </c>
      <c r="F3226" t="s">
        <v>17</v>
      </c>
      <c r="G3226">
        <v>2</v>
      </c>
      <c r="H3226">
        <v>3432</v>
      </c>
      <c r="I3226" t="s">
        <v>39</v>
      </c>
      <c r="J3226" t="s">
        <v>19</v>
      </c>
      <c r="K3226" t="s">
        <v>20</v>
      </c>
      <c r="L3226">
        <v>3</v>
      </c>
      <c r="M3226">
        <v>1</v>
      </c>
      <c r="N3226">
        <v>1</v>
      </c>
      <c r="O3226" t="s">
        <v>27</v>
      </c>
      <c r="P3226" t="str">
        <f>TEXT(Table1[[#This Row],[order_date]],"yyyy-mm")</f>
        <v>2025-11</v>
      </c>
      <c r="Q3226">
        <f>WEEKNUM(Table1[[#This Row],[order_date]])</f>
        <v>47</v>
      </c>
      <c r="R3226">
        <f>IF(Table1[[#This Row],[order_status]]="completed",1,0)</f>
        <v>1</v>
      </c>
    </row>
    <row r="3227" spans="1:18" x14ac:dyDescent="0.35">
      <c r="A3227">
        <v>3226</v>
      </c>
      <c r="B3227" s="1">
        <v>45860</v>
      </c>
      <c r="C3227">
        <v>1865</v>
      </c>
      <c r="D3227" t="s">
        <v>15</v>
      </c>
      <c r="E3227" t="s">
        <v>33</v>
      </c>
      <c r="F3227" t="s">
        <v>24</v>
      </c>
      <c r="G3227">
        <v>5</v>
      </c>
      <c r="H3227">
        <v>0</v>
      </c>
      <c r="I3227" t="s">
        <v>39</v>
      </c>
      <c r="J3227" t="s">
        <v>31</v>
      </c>
      <c r="K3227" t="s">
        <v>40</v>
      </c>
      <c r="L3227">
        <v>9</v>
      </c>
      <c r="M3227">
        <v>1</v>
      </c>
      <c r="N3227">
        <v>1</v>
      </c>
      <c r="O3227" t="s">
        <v>27</v>
      </c>
      <c r="P3227" t="str">
        <f>TEXT(Table1[[#This Row],[order_date]],"yyyy-mm")</f>
        <v>2025-07</v>
      </c>
      <c r="Q3227">
        <f>WEEKNUM(Table1[[#This Row],[order_date]])</f>
        <v>30</v>
      </c>
      <c r="R3227">
        <f>IF(Table1[[#This Row],[order_status]]="completed",1,0)</f>
        <v>0</v>
      </c>
    </row>
    <row r="3228" spans="1:18" x14ac:dyDescent="0.35">
      <c r="A3228">
        <v>3227</v>
      </c>
      <c r="B3228" s="1">
        <v>45949</v>
      </c>
      <c r="C3228">
        <v>1148</v>
      </c>
      <c r="D3228" t="s">
        <v>28</v>
      </c>
      <c r="E3228" t="s">
        <v>23</v>
      </c>
      <c r="F3228" t="s">
        <v>17</v>
      </c>
      <c r="G3228">
        <v>4</v>
      </c>
      <c r="H3228">
        <v>7544</v>
      </c>
      <c r="I3228" t="s">
        <v>35</v>
      </c>
      <c r="J3228" t="s">
        <v>19</v>
      </c>
      <c r="K3228" t="s">
        <v>26</v>
      </c>
      <c r="L3228">
        <v>4</v>
      </c>
      <c r="M3228">
        <v>1</v>
      </c>
      <c r="N3228">
        <v>1</v>
      </c>
      <c r="O3228" t="s">
        <v>21</v>
      </c>
      <c r="P3228" t="str">
        <f>TEXT(Table1[[#This Row],[order_date]],"yyyy-mm")</f>
        <v>2025-10</v>
      </c>
      <c r="Q3228">
        <f>WEEKNUM(Table1[[#This Row],[order_date]])</f>
        <v>43</v>
      </c>
      <c r="R3228">
        <f>IF(Table1[[#This Row],[order_status]]="completed",1,0)</f>
        <v>1</v>
      </c>
    </row>
    <row r="3229" spans="1:18" x14ac:dyDescent="0.35">
      <c r="A3229">
        <v>3228</v>
      </c>
      <c r="B3229" s="1">
        <v>45954</v>
      </c>
      <c r="C3229">
        <v>1758</v>
      </c>
      <c r="D3229" t="s">
        <v>28</v>
      </c>
      <c r="E3229" t="s">
        <v>23</v>
      </c>
      <c r="F3229" t="s">
        <v>30</v>
      </c>
      <c r="G3229">
        <v>2</v>
      </c>
      <c r="H3229">
        <v>2586</v>
      </c>
      <c r="I3229" t="s">
        <v>39</v>
      </c>
      <c r="J3229" t="s">
        <v>19</v>
      </c>
      <c r="K3229" t="s">
        <v>40</v>
      </c>
      <c r="L3229">
        <v>1</v>
      </c>
      <c r="M3229">
        <v>1</v>
      </c>
      <c r="N3229">
        <v>0</v>
      </c>
      <c r="O3229" t="s">
        <v>27</v>
      </c>
      <c r="P3229" t="str">
        <f>TEXT(Table1[[#This Row],[order_date]],"yyyy-mm")</f>
        <v>2025-10</v>
      </c>
      <c r="Q3229">
        <f>WEEKNUM(Table1[[#This Row],[order_date]])</f>
        <v>43</v>
      </c>
      <c r="R3229">
        <f>IF(Table1[[#This Row],[order_status]]="completed",1,0)</f>
        <v>1</v>
      </c>
    </row>
    <row r="3230" spans="1:18" x14ac:dyDescent="0.35">
      <c r="A3230">
        <v>3229</v>
      </c>
      <c r="B3230" s="1">
        <v>45988</v>
      </c>
      <c r="C3230">
        <v>1501</v>
      </c>
      <c r="D3230" t="s">
        <v>22</v>
      </c>
      <c r="E3230" t="s">
        <v>36</v>
      </c>
      <c r="F3230" t="s">
        <v>34</v>
      </c>
      <c r="G3230">
        <v>2</v>
      </c>
      <c r="H3230">
        <v>4990</v>
      </c>
      <c r="I3230" t="s">
        <v>39</v>
      </c>
      <c r="J3230" t="s">
        <v>19</v>
      </c>
      <c r="K3230" t="s">
        <v>38</v>
      </c>
      <c r="L3230">
        <v>5</v>
      </c>
      <c r="M3230">
        <v>0</v>
      </c>
      <c r="N3230">
        <v>1</v>
      </c>
      <c r="O3230" t="s">
        <v>27</v>
      </c>
      <c r="P3230" t="str">
        <f>TEXT(Table1[[#This Row],[order_date]],"yyyy-mm")</f>
        <v>2025-11</v>
      </c>
      <c r="Q3230">
        <f>WEEKNUM(Table1[[#This Row],[order_date]])</f>
        <v>48</v>
      </c>
      <c r="R3230">
        <f>IF(Table1[[#This Row],[order_status]]="completed",1,0)</f>
        <v>1</v>
      </c>
    </row>
    <row r="3231" spans="1:18" x14ac:dyDescent="0.35">
      <c r="A3231">
        <v>3230</v>
      </c>
      <c r="B3231" s="1">
        <v>46003</v>
      </c>
      <c r="C3231">
        <v>1285</v>
      </c>
      <c r="D3231" t="s">
        <v>32</v>
      </c>
      <c r="E3231" t="s">
        <v>23</v>
      </c>
      <c r="F3231" t="s">
        <v>24</v>
      </c>
      <c r="G3231">
        <v>3</v>
      </c>
      <c r="H3231">
        <v>0</v>
      </c>
      <c r="I3231" t="s">
        <v>35</v>
      </c>
      <c r="J3231" t="s">
        <v>31</v>
      </c>
      <c r="K3231" t="s">
        <v>38</v>
      </c>
      <c r="L3231">
        <v>4</v>
      </c>
      <c r="M3231">
        <v>0</v>
      </c>
      <c r="N3231">
        <v>0</v>
      </c>
      <c r="O3231" t="s">
        <v>27</v>
      </c>
      <c r="P3231" t="str">
        <f>TEXT(Table1[[#This Row],[order_date]],"yyyy-mm")</f>
        <v>2025-12</v>
      </c>
      <c r="Q3231">
        <f>WEEKNUM(Table1[[#This Row],[order_date]])</f>
        <v>50</v>
      </c>
      <c r="R3231">
        <f>IF(Table1[[#This Row],[order_status]]="completed",1,0)</f>
        <v>0</v>
      </c>
    </row>
    <row r="3232" spans="1:18" x14ac:dyDescent="0.35">
      <c r="A3232">
        <v>3231</v>
      </c>
      <c r="B3232" s="1">
        <v>45879</v>
      </c>
      <c r="C3232">
        <v>1880</v>
      </c>
      <c r="D3232" t="s">
        <v>22</v>
      </c>
      <c r="E3232" t="s">
        <v>23</v>
      </c>
      <c r="F3232" t="s">
        <v>17</v>
      </c>
      <c r="G3232">
        <v>1</v>
      </c>
      <c r="H3232">
        <v>0</v>
      </c>
      <c r="I3232" t="s">
        <v>18</v>
      </c>
      <c r="J3232" t="s">
        <v>31</v>
      </c>
      <c r="K3232" t="s">
        <v>26</v>
      </c>
      <c r="L3232">
        <v>1</v>
      </c>
      <c r="M3232">
        <v>0</v>
      </c>
      <c r="N3232">
        <v>0</v>
      </c>
      <c r="O3232" t="s">
        <v>27</v>
      </c>
      <c r="P3232" t="str">
        <f>TEXT(Table1[[#This Row],[order_date]],"yyyy-mm")</f>
        <v>2025-08</v>
      </c>
      <c r="Q3232">
        <f>WEEKNUM(Table1[[#This Row],[order_date]])</f>
        <v>33</v>
      </c>
      <c r="R3232">
        <f>IF(Table1[[#This Row],[order_status]]="completed",1,0)</f>
        <v>0</v>
      </c>
    </row>
    <row r="3233" spans="1:18" x14ac:dyDescent="0.35">
      <c r="A3233">
        <v>3232</v>
      </c>
      <c r="B3233" s="1">
        <v>45914</v>
      </c>
      <c r="C3233">
        <v>1065</v>
      </c>
      <c r="D3233" t="s">
        <v>15</v>
      </c>
      <c r="E3233" t="s">
        <v>36</v>
      </c>
      <c r="F3233" t="s">
        <v>17</v>
      </c>
      <c r="G3233">
        <v>3</v>
      </c>
      <c r="H3233">
        <v>0</v>
      </c>
      <c r="I3233" t="s">
        <v>35</v>
      </c>
      <c r="J3233" t="s">
        <v>37</v>
      </c>
      <c r="K3233" t="s">
        <v>20</v>
      </c>
      <c r="L3233">
        <v>3</v>
      </c>
      <c r="M3233">
        <v>0</v>
      </c>
      <c r="N3233">
        <v>0</v>
      </c>
      <c r="O3233" t="s">
        <v>27</v>
      </c>
      <c r="P3233" t="str">
        <f>TEXT(Table1[[#This Row],[order_date]],"yyyy-mm")</f>
        <v>2025-09</v>
      </c>
      <c r="Q3233">
        <f>WEEKNUM(Table1[[#This Row],[order_date]])</f>
        <v>38</v>
      </c>
      <c r="R3233">
        <f>IF(Table1[[#This Row],[order_status]]="completed",1,0)</f>
        <v>0</v>
      </c>
    </row>
    <row r="3234" spans="1:18" x14ac:dyDescent="0.35">
      <c r="A3234">
        <v>3233</v>
      </c>
      <c r="B3234" s="1">
        <v>45906</v>
      </c>
      <c r="C3234">
        <v>1335</v>
      </c>
      <c r="D3234" t="s">
        <v>41</v>
      </c>
      <c r="E3234" t="s">
        <v>16</v>
      </c>
      <c r="F3234" t="s">
        <v>17</v>
      </c>
      <c r="G3234">
        <v>3</v>
      </c>
      <c r="H3234">
        <v>0</v>
      </c>
      <c r="I3234" t="s">
        <v>18</v>
      </c>
      <c r="J3234" t="s">
        <v>31</v>
      </c>
      <c r="K3234" t="s">
        <v>40</v>
      </c>
      <c r="L3234">
        <v>5</v>
      </c>
      <c r="M3234">
        <v>1</v>
      </c>
      <c r="N3234">
        <v>0</v>
      </c>
      <c r="O3234" t="s">
        <v>21</v>
      </c>
      <c r="P3234" t="str">
        <f>TEXT(Table1[[#This Row],[order_date]],"yyyy-mm")</f>
        <v>2025-09</v>
      </c>
      <c r="Q3234">
        <f>WEEKNUM(Table1[[#This Row],[order_date]])</f>
        <v>36</v>
      </c>
      <c r="R3234">
        <f>IF(Table1[[#This Row],[order_status]]="completed",1,0)</f>
        <v>0</v>
      </c>
    </row>
    <row r="3235" spans="1:18" x14ac:dyDescent="0.35">
      <c r="A3235">
        <v>3234</v>
      </c>
      <c r="B3235" s="1">
        <v>46016</v>
      </c>
      <c r="C3235">
        <v>1698</v>
      </c>
      <c r="D3235" t="s">
        <v>32</v>
      </c>
      <c r="E3235" t="s">
        <v>23</v>
      </c>
      <c r="F3235" t="s">
        <v>34</v>
      </c>
      <c r="G3235">
        <v>5</v>
      </c>
      <c r="H3235">
        <v>15550</v>
      </c>
      <c r="I3235" t="s">
        <v>18</v>
      </c>
      <c r="J3235" t="s">
        <v>19</v>
      </c>
      <c r="K3235" t="s">
        <v>20</v>
      </c>
      <c r="L3235">
        <v>5</v>
      </c>
      <c r="M3235">
        <v>1</v>
      </c>
      <c r="N3235">
        <v>0</v>
      </c>
      <c r="O3235" t="s">
        <v>27</v>
      </c>
      <c r="P3235" t="str">
        <f>TEXT(Table1[[#This Row],[order_date]],"yyyy-mm")</f>
        <v>2025-12</v>
      </c>
      <c r="Q3235">
        <f>WEEKNUM(Table1[[#This Row],[order_date]])</f>
        <v>52</v>
      </c>
      <c r="R3235">
        <f>IF(Table1[[#This Row],[order_status]]="completed",1,0)</f>
        <v>1</v>
      </c>
    </row>
    <row r="3236" spans="1:18" x14ac:dyDescent="0.35">
      <c r="A3236">
        <v>3235</v>
      </c>
      <c r="B3236" s="1">
        <v>46015</v>
      </c>
      <c r="C3236">
        <v>1141</v>
      </c>
      <c r="D3236" t="s">
        <v>15</v>
      </c>
      <c r="E3236" t="s">
        <v>36</v>
      </c>
      <c r="F3236" t="s">
        <v>24</v>
      </c>
      <c r="G3236">
        <v>4</v>
      </c>
      <c r="H3236">
        <v>0</v>
      </c>
      <c r="I3236" t="s">
        <v>25</v>
      </c>
      <c r="J3236" t="s">
        <v>31</v>
      </c>
      <c r="K3236" t="s">
        <v>26</v>
      </c>
      <c r="L3236">
        <v>6</v>
      </c>
      <c r="M3236">
        <v>0</v>
      </c>
      <c r="N3236">
        <v>1</v>
      </c>
      <c r="O3236" t="s">
        <v>27</v>
      </c>
      <c r="P3236" t="str">
        <f>TEXT(Table1[[#This Row],[order_date]],"yyyy-mm")</f>
        <v>2025-12</v>
      </c>
      <c r="Q3236">
        <f>WEEKNUM(Table1[[#This Row],[order_date]])</f>
        <v>52</v>
      </c>
      <c r="R3236">
        <f>IF(Table1[[#This Row],[order_status]]="completed",1,0)</f>
        <v>0</v>
      </c>
    </row>
    <row r="3237" spans="1:18" x14ac:dyDescent="0.35">
      <c r="A3237">
        <v>3236</v>
      </c>
      <c r="B3237" s="1">
        <v>45885</v>
      </c>
      <c r="C3237">
        <v>1653</v>
      </c>
      <c r="D3237" t="s">
        <v>28</v>
      </c>
      <c r="E3237" t="s">
        <v>29</v>
      </c>
      <c r="F3237" t="s">
        <v>17</v>
      </c>
      <c r="G3237">
        <v>4</v>
      </c>
      <c r="H3237">
        <v>0</v>
      </c>
      <c r="I3237" t="s">
        <v>18</v>
      </c>
      <c r="J3237" t="s">
        <v>31</v>
      </c>
      <c r="K3237" t="s">
        <v>40</v>
      </c>
      <c r="L3237">
        <v>2</v>
      </c>
      <c r="M3237">
        <v>0</v>
      </c>
      <c r="N3237">
        <v>0</v>
      </c>
      <c r="O3237" t="s">
        <v>27</v>
      </c>
      <c r="P3237" t="str">
        <f>TEXT(Table1[[#This Row],[order_date]],"yyyy-mm")</f>
        <v>2025-08</v>
      </c>
      <c r="Q3237">
        <f>WEEKNUM(Table1[[#This Row],[order_date]])</f>
        <v>33</v>
      </c>
      <c r="R3237">
        <f>IF(Table1[[#This Row],[order_status]]="completed",1,0)</f>
        <v>0</v>
      </c>
    </row>
    <row r="3238" spans="1:18" x14ac:dyDescent="0.35">
      <c r="A3238">
        <v>3237</v>
      </c>
      <c r="B3238" s="1">
        <v>45877</v>
      </c>
      <c r="C3238">
        <v>1583</v>
      </c>
      <c r="D3238" t="s">
        <v>41</v>
      </c>
      <c r="E3238" t="s">
        <v>36</v>
      </c>
      <c r="F3238" t="s">
        <v>30</v>
      </c>
      <c r="G3238">
        <v>4</v>
      </c>
      <c r="H3238">
        <v>0</v>
      </c>
      <c r="I3238" t="s">
        <v>39</v>
      </c>
      <c r="J3238" t="s">
        <v>31</v>
      </c>
      <c r="K3238" t="s">
        <v>40</v>
      </c>
      <c r="L3238">
        <v>4</v>
      </c>
      <c r="M3238">
        <v>1</v>
      </c>
      <c r="N3238">
        <v>0</v>
      </c>
      <c r="O3238" t="s">
        <v>27</v>
      </c>
      <c r="P3238" t="str">
        <f>TEXT(Table1[[#This Row],[order_date]],"yyyy-mm")</f>
        <v>2025-08</v>
      </c>
      <c r="Q3238">
        <f>WEEKNUM(Table1[[#This Row],[order_date]])</f>
        <v>32</v>
      </c>
      <c r="R3238">
        <f>IF(Table1[[#This Row],[order_status]]="completed",1,0)</f>
        <v>0</v>
      </c>
    </row>
    <row r="3239" spans="1:18" x14ac:dyDescent="0.35">
      <c r="A3239">
        <v>3238</v>
      </c>
      <c r="B3239" s="1">
        <v>45881</v>
      </c>
      <c r="C3239">
        <v>1816</v>
      </c>
      <c r="D3239" t="s">
        <v>41</v>
      </c>
      <c r="E3239" t="s">
        <v>16</v>
      </c>
      <c r="F3239" t="s">
        <v>17</v>
      </c>
      <c r="G3239">
        <v>5</v>
      </c>
      <c r="H3239">
        <v>14330</v>
      </c>
      <c r="I3239" t="s">
        <v>25</v>
      </c>
      <c r="J3239" t="s">
        <v>19</v>
      </c>
      <c r="K3239" t="s">
        <v>20</v>
      </c>
      <c r="L3239">
        <v>4</v>
      </c>
      <c r="M3239">
        <v>0</v>
      </c>
      <c r="N3239">
        <v>1</v>
      </c>
      <c r="O3239" t="s">
        <v>21</v>
      </c>
      <c r="P3239" t="str">
        <f>TEXT(Table1[[#This Row],[order_date]],"yyyy-mm")</f>
        <v>2025-08</v>
      </c>
      <c r="Q3239">
        <f>WEEKNUM(Table1[[#This Row],[order_date]])</f>
        <v>33</v>
      </c>
      <c r="R3239">
        <f>IF(Table1[[#This Row],[order_status]]="completed",1,0)</f>
        <v>1</v>
      </c>
    </row>
    <row r="3240" spans="1:18" x14ac:dyDescent="0.35">
      <c r="A3240">
        <v>3239</v>
      </c>
      <c r="B3240" s="1">
        <v>45867</v>
      </c>
      <c r="C3240">
        <v>1887</v>
      </c>
      <c r="D3240" t="s">
        <v>32</v>
      </c>
      <c r="E3240" t="s">
        <v>23</v>
      </c>
      <c r="F3240" t="s">
        <v>34</v>
      </c>
      <c r="G3240">
        <v>4</v>
      </c>
      <c r="H3240">
        <v>7332</v>
      </c>
      <c r="I3240" t="s">
        <v>25</v>
      </c>
      <c r="J3240" t="s">
        <v>19</v>
      </c>
      <c r="K3240" t="s">
        <v>40</v>
      </c>
      <c r="L3240">
        <v>7</v>
      </c>
      <c r="M3240">
        <v>0</v>
      </c>
      <c r="N3240">
        <v>1</v>
      </c>
      <c r="O3240" t="s">
        <v>21</v>
      </c>
      <c r="P3240" t="str">
        <f>TEXT(Table1[[#This Row],[order_date]],"yyyy-mm")</f>
        <v>2025-07</v>
      </c>
      <c r="Q3240">
        <f>WEEKNUM(Table1[[#This Row],[order_date]])</f>
        <v>31</v>
      </c>
      <c r="R3240">
        <f>IF(Table1[[#This Row],[order_status]]="completed",1,0)</f>
        <v>1</v>
      </c>
    </row>
    <row r="3241" spans="1:18" x14ac:dyDescent="0.35">
      <c r="A3241">
        <v>3240</v>
      </c>
      <c r="B3241" s="1">
        <v>45898</v>
      </c>
      <c r="C3241">
        <v>1064</v>
      </c>
      <c r="D3241" t="s">
        <v>32</v>
      </c>
      <c r="E3241" t="s">
        <v>23</v>
      </c>
      <c r="F3241" t="s">
        <v>30</v>
      </c>
      <c r="G3241">
        <v>4</v>
      </c>
      <c r="H3241">
        <v>0</v>
      </c>
      <c r="I3241" t="s">
        <v>35</v>
      </c>
      <c r="J3241" t="s">
        <v>37</v>
      </c>
      <c r="K3241" t="s">
        <v>38</v>
      </c>
      <c r="L3241">
        <v>9</v>
      </c>
      <c r="M3241">
        <v>0</v>
      </c>
      <c r="N3241">
        <v>1</v>
      </c>
      <c r="O3241" t="s">
        <v>27</v>
      </c>
      <c r="P3241" t="str">
        <f>TEXT(Table1[[#This Row],[order_date]],"yyyy-mm")</f>
        <v>2025-08</v>
      </c>
      <c r="Q3241">
        <f>WEEKNUM(Table1[[#This Row],[order_date]])</f>
        <v>35</v>
      </c>
      <c r="R3241">
        <f>IF(Table1[[#This Row],[order_status]]="completed",1,0)</f>
        <v>0</v>
      </c>
    </row>
    <row r="3242" spans="1:18" x14ac:dyDescent="0.35">
      <c r="A3242">
        <v>3241</v>
      </c>
      <c r="B3242" s="1">
        <v>45967</v>
      </c>
      <c r="C3242">
        <v>1345</v>
      </c>
      <c r="D3242" t="s">
        <v>15</v>
      </c>
      <c r="E3242" t="s">
        <v>33</v>
      </c>
      <c r="F3242" t="s">
        <v>34</v>
      </c>
      <c r="G3242">
        <v>5</v>
      </c>
      <c r="H3242">
        <v>3980</v>
      </c>
      <c r="I3242" t="s">
        <v>25</v>
      </c>
      <c r="J3242" t="s">
        <v>19</v>
      </c>
      <c r="K3242" t="s">
        <v>38</v>
      </c>
      <c r="L3242">
        <v>10</v>
      </c>
      <c r="M3242">
        <v>1</v>
      </c>
      <c r="N3242">
        <v>1</v>
      </c>
      <c r="O3242" t="s">
        <v>21</v>
      </c>
      <c r="P3242" t="str">
        <f>TEXT(Table1[[#This Row],[order_date]],"yyyy-mm")</f>
        <v>2025-11</v>
      </c>
      <c r="Q3242">
        <f>WEEKNUM(Table1[[#This Row],[order_date]])</f>
        <v>45</v>
      </c>
      <c r="R3242">
        <f>IF(Table1[[#This Row],[order_status]]="completed",1,0)</f>
        <v>1</v>
      </c>
    </row>
    <row r="3243" spans="1:18" x14ac:dyDescent="0.35">
      <c r="A3243">
        <v>3242</v>
      </c>
      <c r="B3243" s="1">
        <v>45986</v>
      </c>
      <c r="C3243">
        <v>1423</v>
      </c>
      <c r="D3243" t="s">
        <v>15</v>
      </c>
      <c r="E3243" t="s">
        <v>33</v>
      </c>
      <c r="F3243" t="s">
        <v>17</v>
      </c>
      <c r="G3243">
        <v>4</v>
      </c>
      <c r="H3243">
        <v>0</v>
      </c>
      <c r="I3243" t="s">
        <v>35</v>
      </c>
      <c r="J3243" t="s">
        <v>31</v>
      </c>
      <c r="K3243" t="s">
        <v>40</v>
      </c>
      <c r="L3243">
        <v>5</v>
      </c>
      <c r="M3243">
        <v>1</v>
      </c>
      <c r="N3243">
        <v>0</v>
      </c>
      <c r="O3243" t="s">
        <v>27</v>
      </c>
      <c r="P3243" t="str">
        <f>TEXT(Table1[[#This Row],[order_date]],"yyyy-mm")</f>
        <v>2025-11</v>
      </c>
      <c r="Q3243">
        <f>WEEKNUM(Table1[[#This Row],[order_date]])</f>
        <v>48</v>
      </c>
      <c r="R3243">
        <f>IF(Table1[[#This Row],[order_status]]="completed",1,0)</f>
        <v>0</v>
      </c>
    </row>
    <row r="3244" spans="1:18" x14ac:dyDescent="0.35">
      <c r="A3244">
        <v>3243</v>
      </c>
      <c r="B3244" s="1">
        <v>45906</v>
      </c>
      <c r="C3244">
        <v>1854</v>
      </c>
      <c r="D3244" t="s">
        <v>22</v>
      </c>
      <c r="E3244" t="s">
        <v>23</v>
      </c>
      <c r="F3244" t="s">
        <v>30</v>
      </c>
      <c r="G3244">
        <v>3</v>
      </c>
      <c r="H3244">
        <v>0</v>
      </c>
      <c r="I3244" t="s">
        <v>18</v>
      </c>
      <c r="J3244" t="s">
        <v>37</v>
      </c>
      <c r="K3244" t="s">
        <v>38</v>
      </c>
      <c r="L3244">
        <v>8</v>
      </c>
      <c r="M3244">
        <v>1</v>
      </c>
      <c r="N3244">
        <v>1</v>
      </c>
      <c r="O3244" t="s">
        <v>27</v>
      </c>
      <c r="P3244" t="str">
        <f>TEXT(Table1[[#This Row],[order_date]],"yyyy-mm")</f>
        <v>2025-09</v>
      </c>
      <c r="Q3244">
        <f>WEEKNUM(Table1[[#This Row],[order_date]])</f>
        <v>36</v>
      </c>
      <c r="R3244">
        <f>IF(Table1[[#This Row],[order_status]]="completed",1,0)</f>
        <v>0</v>
      </c>
    </row>
    <row r="3245" spans="1:18" x14ac:dyDescent="0.35">
      <c r="A3245">
        <v>3244</v>
      </c>
      <c r="B3245" s="1">
        <v>45886</v>
      </c>
      <c r="C3245">
        <v>1216</v>
      </c>
      <c r="D3245" t="s">
        <v>28</v>
      </c>
      <c r="E3245" t="s">
        <v>33</v>
      </c>
      <c r="F3245" t="s">
        <v>30</v>
      </c>
      <c r="G3245">
        <v>4</v>
      </c>
      <c r="H3245">
        <v>7152</v>
      </c>
      <c r="I3245" t="s">
        <v>39</v>
      </c>
      <c r="J3245" t="s">
        <v>19</v>
      </c>
      <c r="K3245" t="s">
        <v>38</v>
      </c>
      <c r="L3245">
        <v>9</v>
      </c>
      <c r="M3245">
        <v>0</v>
      </c>
      <c r="N3245">
        <v>0</v>
      </c>
      <c r="O3245" t="s">
        <v>27</v>
      </c>
      <c r="P3245" t="str">
        <f>TEXT(Table1[[#This Row],[order_date]],"yyyy-mm")</f>
        <v>2025-08</v>
      </c>
      <c r="Q3245">
        <f>WEEKNUM(Table1[[#This Row],[order_date]])</f>
        <v>34</v>
      </c>
      <c r="R3245">
        <f>IF(Table1[[#This Row],[order_status]]="completed",1,0)</f>
        <v>1</v>
      </c>
    </row>
    <row r="3246" spans="1:18" x14ac:dyDescent="0.35">
      <c r="A3246">
        <v>3245</v>
      </c>
      <c r="B3246" s="1">
        <v>45946</v>
      </c>
      <c r="C3246">
        <v>1662</v>
      </c>
      <c r="D3246" t="s">
        <v>32</v>
      </c>
      <c r="E3246" t="s">
        <v>16</v>
      </c>
      <c r="F3246" t="s">
        <v>24</v>
      </c>
      <c r="G3246">
        <v>2</v>
      </c>
      <c r="H3246">
        <v>0</v>
      </c>
      <c r="I3246" t="s">
        <v>35</v>
      </c>
      <c r="J3246" t="s">
        <v>37</v>
      </c>
      <c r="K3246" t="s">
        <v>40</v>
      </c>
      <c r="L3246">
        <v>8</v>
      </c>
      <c r="M3246">
        <v>1</v>
      </c>
      <c r="N3246">
        <v>0</v>
      </c>
      <c r="O3246" t="s">
        <v>21</v>
      </c>
      <c r="P3246" t="str">
        <f>TEXT(Table1[[#This Row],[order_date]],"yyyy-mm")</f>
        <v>2025-10</v>
      </c>
      <c r="Q3246">
        <f>WEEKNUM(Table1[[#This Row],[order_date]])</f>
        <v>42</v>
      </c>
      <c r="R3246">
        <f>IF(Table1[[#This Row],[order_status]]="completed",1,0)</f>
        <v>0</v>
      </c>
    </row>
    <row r="3247" spans="1:18" x14ac:dyDescent="0.35">
      <c r="A3247">
        <v>3246</v>
      </c>
      <c r="B3247" s="1">
        <v>45904</v>
      </c>
      <c r="C3247">
        <v>1734</v>
      </c>
      <c r="D3247" t="s">
        <v>28</v>
      </c>
      <c r="E3247" t="s">
        <v>29</v>
      </c>
      <c r="F3247" t="s">
        <v>24</v>
      </c>
      <c r="G3247">
        <v>5</v>
      </c>
      <c r="H3247">
        <v>0</v>
      </c>
      <c r="I3247" t="s">
        <v>35</v>
      </c>
      <c r="J3247" t="s">
        <v>31</v>
      </c>
      <c r="K3247" t="s">
        <v>26</v>
      </c>
      <c r="L3247">
        <v>4</v>
      </c>
      <c r="M3247">
        <v>1</v>
      </c>
      <c r="N3247">
        <v>0</v>
      </c>
      <c r="O3247" t="s">
        <v>21</v>
      </c>
      <c r="P3247" t="str">
        <f>TEXT(Table1[[#This Row],[order_date]],"yyyy-mm")</f>
        <v>2025-09</v>
      </c>
      <c r="Q3247">
        <f>WEEKNUM(Table1[[#This Row],[order_date]])</f>
        <v>36</v>
      </c>
      <c r="R3247">
        <f>IF(Table1[[#This Row],[order_status]]="completed",1,0)</f>
        <v>0</v>
      </c>
    </row>
    <row r="3248" spans="1:18" x14ac:dyDescent="0.35">
      <c r="A3248">
        <v>3247</v>
      </c>
      <c r="B3248" s="1">
        <v>45978</v>
      </c>
      <c r="C3248">
        <v>1600</v>
      </c>
      <c r="D3248" t="s">
        <v>22</v>
      </c>
      <c r="E3248" t="s">
        <v>33</v>
      </c>
      <c r="F3248" t="s">
        <v>17</v>
      </c>
      <c r="G3248">
        <v>5</v>
      </c>
      <c r="H3248">
        <v>20305</v>
      </c>
      <c r="I3248" t="s">
        <v>18</v>
      </c>
      <c r="J3248" t="s">
        <v>19</v>
      </c>
      <c r="K3248" t="s">
        <v>38</v>
      </c>
      <c r="L3248">
        <v>4</v>
      </c>
      <c r="M3248">
        <v>0</v>
      </c>
      <c r="N3248">
        <v>0</v>
      </c>
      <c r="O3248" t="s">
        <v>21</v>
      </c>
      <c r="P3248" t="str">
        <f>TEXT(Table1[[#This Row],[order_date]],"yyyy-mm")</f>
        <v>2025-11</v>
      </c>
      <c r="Q3248">
        <f>WEEKNUM(Table1[[#This Row],[order_date]])</f>
        <v>47</v>
      </c>
      <c r="R3248">
        <f>IF(Table1[[#This Row],[order_status]]="completed",1,0)</f>
        <v>1</v>
      </c>
    </row>
    <row r="3249" spans="1:18" x14ac:dyDescent="0.35">
      <c r="A3249">
        <v>3248</v>
      </c>
      <c r="B3249" s="1">
        <v>45944</v>
      </c>
      <c r="C3249">
        <v>1590</v>
      </c>
      <c r="D3249" t="s">
        <v>28</v>
      </c>
      <c r="E3249" t="s">
        <v>23</v>
      </c>
      <c r="F3249" t="s">
        <v>34</v>
      </c>
      <c r="G3249">
        <v>1</v>
      </c>
      <c r="H3249">
        <v>0</v>
      </c>
      <c r="I3249" t="s">
        <v>18</v>
      </c>
      <c r="J3249" t="s">
        <v>31</v>
      </c>
      <c r="K3249" t="s">
        <v>26</v>
      </c>
      <c r="L3249">
        <v>6</v>
      </c>
      <c r="M3249">
        <v>0</v>
      </c>
      <c r="N3249">
        <v>1</v>
      </c>
      <c r="O3249" t="s">
        <v>27</v>
      </c>
      <c r="P3249" t="str">
        <f>TEXT(Table1[[#This Row],[order_date]],"yyyy-mm")</f>
        <v>2025-10</v>
      </c>
      <c r="Q3249">
        <f>WEEKNUM(Table1[[#This Row],[order_date]])</f>
        <v>42</v>
      </c>
      <c r="R3249">
        <f>IF(Table1[[#This Row],[order_status]]="completed",1,0)</f>
        <v>0</v>
      </c>
    </row>
    <row r="3250" spans="1:18" x14ac:dyDescent="0.35">
      <c r="A3250">
        <v>3249</v>
      </c>
      <c r="B3250" s="1">
        <v>46003</v>
      </c>
      <c r="C3250">
        <v>1765</v>
      </c>
      <c r="D3250" t="s">
        <v>28</v>
      </c>
      <c r="E3250" t="s">
        <v>33</v>
      </c>
      <c r="F3250" t="s">
        <v>30</v>
      </c>
      <c r="G3250">
        <v>2</v>
      </c>
      <c r="H3250">
        <v>0</v>
      </c>
      <c r="I3250" t="s">
        <v>25</v>
      </c>
      <c r="J3250" t="s">
        <v>31</v>
      </c>
      <c r="K3250" t="s">
        <v>38</v>
      </c>
      <c r="L3250">
        <v>7</v>
      </c>
      <c r="M3250">
        <v>0</v>
      </c>
      <c r="N3250">
        <v>0</v>
      </c>
      <c r="O3250" t="s">
        <v>21</v>
      </c>
      <c r="P3250" t="str">
        <f>TEXT(Table1[[#This Row],[order_date]],"yyyy-mm")</f>
        <v>2025-12</v>
      </c>
      <c r="Q3250">
        <f>WEEKNUM(Table1[[#This Row],[order_date]])</f>
        <v>50</v>
      </c>
      <c r="R3250">
        <f>IF(Table1[[#This Row],[order_status]]="completed",1,0)</f>
        <v>0</v>
      </c>
    </row>
    <row r="3251" spans="1:18" x14ac:dyDescent="0.35">
      <c r="A3251">
        <v>3250</v>
      </c>
      <c r="B3251" s="1">
        <v>46013</v>
      </c>
      <c r="C3251">
        <v>1598</v>
      </c>
      <c r="D3251" t="s">
        <v>41</v>
      </c>
      <c r="E3251" t="s">
        <v>29</v>
      </c>
      <c r="F3251" t="s">
        <v>24</v>
      </c>
      <c r="G3251">
        <v>4</v>
      </c>
      <c r="H3251">
        <v>12280</v>
      </c>
      <c r="I3251" t="s">
        <v>25</v>
      </c>
      <c r="J3251" t="s">
        <v>19</v>
      </c>
      <c r="K3251" t="s">
        <v>38</v>
      </c>
      <c r="L3251">
        <v>10</v>
      </c>
      <c r="M3251">
        <v>1</v>
      </c>
      <c r="N3251">
        <v>0</v>
      </c>
      <c r="O3251" t="s">
        <v>27</v>
      </c>
      <c r="P3251" t="str">
        <f>TEXT(Table1[[#This Row],[order_date]],"yyyy-mm")</f>
        <v>2025-12</v>
      </c>
      <c r="Q3251">
        <f>WEEKNUM(Table1[[#This Row],[order_date]])</f>
        <v>52</v>
      </c>
      <c r="R3251">
        <f>IF(Table1[[#This Row],[order_status]]="completed",1,0)</f>
        <v>1</v>
      </c>
    </row>
    <row r="3252" spans="1:18" x14ac:dyDescent="0.35">
      <c r="A3252">
        <v>3251</v>
      </c>
      <c r="B3252" s="1">
        <v>46009</v>
      </c>
      <c r="C3252">
        <v>1335</v>
      </c>
      <c r="D3252" t="s">
        <v>22</v>
      </c>
      <c r="E3252" t="s">
        <v>36</v>
      </c>
      <c r="F3252" t="s">
        <v>24</v>
      </c>
      <c r="G3252">
        <v>4</v>
      </c>
      <c r="H3252">
        <v>0</v>
      </c>
      <c r="I3252" t="s">
        <v>25</v>
      </c>
      <c r="J3252" t="s">
        <v>37</v>
      </c>
      <c r="K3252" t="s">
        <v>20</v>
      </c>
      <c r="L3252">
        <v>5</v>
      </c>
      <c r="M3252">
        <v>1</v>
      </c>
      <c r="N3252">
        <v>0</v>
      </c>
      <c r="O3252" t="s">
        <v>21</v>
      </c>
      <c r="P3252" t="str">
        <f>TEXT(Table1[[#This Row],[order_date]],"yyyy-mm")</f>
        <v>2025-12</v>
      </c>
      <c r="Q3252">
        <f>WEEKNUM(Table1[[#This Row],[order_date]])</f>
        <v>51</v>
      </c>
      <c r="R3252">
        <f>IF(Table1[[#This Row],[order_status]]="completed",1,0)</f>
        <v>0</v>
      </c>
    </row>
    <row r="3253" spans="1:18" x14ac:dyDescent="0.35">
      <c r="A3253">
        <v>3252</v>
      </c>
      <c r="B3253" s="1">
        <v>45882</v>
      </c>
      <c r="C3253">
        <v>1763</v>
      </c>
      <c r="D3253" t="s">
        <v>28</v>
      </c>
      <c r="E3253" t="s">
        <v>23</v>
      </c>
      <c r="F3253" t="s">
        <v>24</v>
      </c>
      <c r="G3253">
        <v>1</v>
      </c>
      <c r="H3253">
        <v>0</v>
      </c>
      <c r="I3253" t="s">
        <v>35</v>
      </c>
      <c r="J3253" t="s">
        <v>31</v>
      </c>
      <c r="K3253" t="s">
        <v>38</v>
      </c>
      <c r="L3253">
        <v>10</v>
      </c>
      <c r="M3253">
        <v>0</v>
      </c>
      <c r="N3253">
        <v>0</v>
      </c>
      <c r="O3253" t="s">
        <v>21</v>
      </c>
      <c r="P3253" t="str">
        <f>TEXT(Table1[[#This Row],[order_date]],"yyyy-mm")</f>
        <v>2025-08</v>
      </c>
      <c r="Q3253">
        <f>WEEKNUM(Table1[[#This Row],[order_date]])</f>
        <v>33</v>
      </c>
      <c r="R3253">
        <f>IF(Table1[[#This Row],[order_status]]="completed",1,0)</f>
        <v>0</v>
      </c>
    </row>
    <row r="3254" spans="1:18" x14ac:dyDescent="0.35">
      <c r="A3254">
        <v>3253</v>
      </c>
      <c r="B3254" s="1">
        <v>46020</v>
      </c>
      <c r="C3254">
        <v>1138</v>
      </c>
      <c r="D3254" t="s">
        <v>15</v>
      </c>
      <c r="E3254" t="s">
        <v>16</v>
      </c>
      <c r="F3254" t="s">
        <v>30</v>
      </c>
      <c r="G3254">
        <v>5</v>
      </c>
      <c r="H3254">
        <v>0</v>
      </c>
      <c r="I3254" t="s">
        <v>35</v>
      </c>
      <c r="J3254" t="s">
        <v>37</v>
      </c>
      <c r="K3254" t="s">
        <v>20</v>
      </c>
      <c r="L3254">
        <v>3</v>
      </c>
      <c r="M3254">
        <v>1</v>
      </c>
      <c r="N3254">
        <v>0</v>
      </c>
      <c r="O3254" t="s">
        <v>27</v>
      </c>
      <c r="P3254" t="str">
        <f>TEXT(Table1[[#This Row],[order_date]],"yyyy-mm")</f>
        <v>2025-12</v>
      </c>
      <c r="Q3254">
        <f>WEEKNUM(Table1[[#This Row],[order_date]])</f>
        <v>53</v>
      </c>
      <c r="R3254">
        <f>IF(Table1[[#This Row],[order_status]]="completed",1,0)</f>
        <v>0</v>
      </c>
    </row>
    <row r="3255" spans="1:18" x14ac:dyDescent="0.35">
      <c r="A3255">
        <v>3254</v>
      </c>
      <c r="B3255" s="1">
        <v>46029</v>
      </c>
      <c r="C3255">
        <v>1913</v>
      </c>
      <c r="D3255" t="s">
        <v>32</v>
      </c>
      <c r="E3255" t="s">
        <v>36</v>
      </c>
      <c r="F3255" t="s">
        <v>34</v>
      </c>
      <c r="G3255">
        <v>1</v>
      </c>
      <c r="H3255">
        <v>401</v>
      </c>
      <c r="I3255" t="s">
        <v>39</v>
      </c>
      <c r="J3255" t="s">
        <v>19</v>
      </c>
      <c r="K3255" t="s">
        <v>38</v>
      </c>
      <c r="L3255">
        <v>2</v>
      </c>
      <c r="M3255">
        <v>1</v>
      </c>
      <c r="N3255">
        <v>0</v>
      </c>
      <c r="O3255" t="s">
        <v>21</v>
      </c>
      <c r="P3255" t="str">
        <f>TEXT(Table1[[#This Row],[order_date]],"yyyy-mm")</f>
        <v>2026-01</v>
      </c>
      <c r="Q3255">
        <f>WEEKNUM(Table1[[#This Row],[order_date]])</f>
        <v>2</v>
      </c>
      <c r="R3255">
        <f>IF(Table1[[#This Row],[order_status]]="completed",1,0)</f>
        <v>1</v>
      </c>
    </row>
    <row r="3256" spans="1:18" x14ac:dyDescent="0.35">
      <c r="A3256">
        <v>3255</v>
      </c>
      <c r="B3256" s="1">
        <v>45861</v>
      </c>
      <c r="C3256">
        <v>1124</v>
      </c>
      <c r="D3256" t="s">
        <v>28</v>
      </c>
      <c r="E3256" t="s">
        <v>33</v>
      </c>
      <c r="F3256" t="s">
        <v>17</v>
      </c>
      <c r="G3256">
        <v>2</v>
      </c>
      <c r="H3256">
        <v>4780</v>
      </c>
      <c r="I3256" t="s">
        <v>25</v>
      </c>
      <c r="J3256" t="s">
        <v>19</v>
      </c>
      <c r="K3256" t="s">
        <v>40</v>
      </c>
      <c r="L3256">
        <v>2</v>
      </c>
      <c r="M3256">
        <v>0</v>
      </c>
      <c r="N3256">
        <v>0</v>
      </c>
      <c r="O3256" t="s">
        <v>21</v>
      </c>
      <c r="P3256" t="str">
        <f>TEXT(Table1[[#This Row],[order_date]],"yyyy-mm")</f>
        <v>2025-07</v>
      </c>
      <c r="Q3256">
        <f>WEEKNUM(Table1[[#This Row],[order_date]])</f>
        <v>30</v>
      </c>
      <c r="R3256">
        <f>IF(Table1[[#This Row],[order_status]]="completed",1,0)</f>
        <v>1</v>
      </c>
    </row>
    <row r="3257" spans="1:18" x14ac:dyDescent="0.35">
      <c r="A3257">
        <v>3256</v>
      </c>
      <c r="B3257" s="1">
        <v>45902</v>
      </c>
      <c r="C3257">
        <v>1954</v>
      </c>
      <c r="D3257" t="s">
        <v>41</v>
      </c>
      <c r="E3257" t="s">
        <v>16</v>
      </c>
      <c r="F3257" t="s">
        <v>30</v>
      </c>
      <c r="G3257">
        <v>1</v>
      </c>
      <c r="H3257">
        <v>489</v>
      </c>
      <c r="I3257" t="s">
        <v>25</v>
      </c>
      <c r="J3257" t="s">
        <v>19</v>
      </c>
      <c r="K3257" t="s">
        <v>40</v>
      </c>
      <c r="L3257">
        <v>5</v>
      </c>
      <c r="M3257">
        <v>1</v>
      </c>
      <c r="N3257">
        <v>1</v>
      </c>
      <c r="O3257" t="s">
        <v>21</v>
      </c>
      <c r="P3257" t="str">
        <f>TEXT(Table1[[#This Row],[order_date]],"yyyy-mm")</f>
        <v>2025-09</v>
      </c>
      <c r="Q3257">
        <f>WEEKNUM(Table1[[#This Row],[order_date]])</f>
        <v>36</v>
      </c>
      <c r="R3257">
        <f>IF(Table1[[#This Row],[order_status]]="completed",1,0)</f>
        <v>1</v>
      </c>
    </row>
    <row r="3258" spans="1:18" x14ac:dyDescent="0.35">
      <c r="A3258">
        <v>3257</v>
      </c>
      <c r="B3258" s="1">
        <v>45858</v>
      </c>
      <c r="C3258">
        <v>1840</v>
      </c>
      <c r="D3258" t="s">
        <v>41</v>
      </c>
      <c r="E3258" t="s">
        <v>29</v>
      </c>
      <c r="F3258" t="s">
        <v>24</v>
      </c>
      <c r="G3258">
        <v>4</v>
      </c>
      <c r="H3258">
        <v>0</v>
      </c>
      <c r="I3258" t="s">
        <v>35</v>
      </c>
      <c r="J3258" t="s">
        <v>37</v>
      </c>
      <c r="K3258" t="s">
        <v>40</v>
      </c>
      <c r="L3258">
        <v>6</v>
      </c>
      <c r="M3258">
        <v>0</v>
      </c>
      <c r="N3258">
        <v>1</v>
      </c>
      <c r="O3258" t="s">
        <v>21</v>
      </c>
      <c r="P3258" t="str">
        <f>TEXT(Table1[[#This Row],[order_date]],"yyyy-mm")</f>
        <v>2025-07</v>
      </c>
      <c r="Q3258">
        <f>WEEKNUM(Table1[[#This Row],[order_date]])</f>
        <v>30</v>
      </c>
      <c r="R3258">
        <f>IF(Table1[[#This Row],[order_status]]="completed",1,0)</f>
        <v>0</v>
      </c>
    </row>
    <row r="3259" spans="1:18" x14ac:dyDescent="0.35">
      <c r="A3259">
        <v>3258</v>
      </c>
      <c r="B3259" s="1">
        <v>45956</v>
      </c>
      <c r="C3259">
        <v>1148</v>
      </c>
      <c r="D3259" t="s">
        <v>28</v>
      </c>
      <c r="E3259" t="s">
        <v>16</v>
      </c>
      <c r="F3259" t="s">
        <v>34</v>
      </c>
      <c r="G3259">
        <v>4</v>
      </c>
      <c r="H3259">
        <v>19076</v>
      </c>
      <c r="I3259" t="s">
        <v>35</v>
      </c>
      <c r="J3259" t="s">
        <v>19</v>
      </c>
      <c r="K3259" t="s">
        <v>38</v>
      </c>
      <c r="L3259">
        <v>6</v>
      </c>
      <c r="M3259">
        <v>0</v>
      </c>
      <c r="N3259">
        <v>1</v>
      </c>
      <c r="O3259" t="s">
        <v>27</v>
      </c>
      <c r="P3259" t="str">
        <f>TEXT(Table1[[#This Row],[order_date]],"yyyy-mm")</f>
        <v>2025-10</v>
      </c>
      <c r="Q3259">
        <f>WEEKNUM(Table1[[#This Row],[order_date]])</f>
        <v>44</v>
      </c>
      <c r="R3259">
        <f>IF(Table1[[#This Row],[order_status]]="completed",1,0)</f>
        <v>1</v>
      </c>
    </row>
    <row r="3260" spans="1:18" x14ac:dyDescent="0.35">
      <c r="A3260">
        <v>3259</v>
      </c>
      <c r="B3260" s="1">
        <v>45884</v>
      </c>
      <c r="C3260">
        <v>1913</v>
      </c>
      <c r="D3260" t="s">
        <v>32</v>
      </c>
      <c r="E3260" t="s">
        <v>16</v>
      </c>
      <c r="F3260" t="s">
        <v>34</v>
      </c>
      <c r="G3260">
        <v>4</v>
      </c>
      <c r="H3260">
        <v>0</v>
      </c>
      <c r="I3260" t="s">
        <v>39</v>
      </c>
      <c r="J3260" t="s">
        <v>37</v>
      </c>
      <c r="K3260" t="s">
        <v>38</v>
      </c>
      <c r="L3260">
        <v>6</v>
      </c>
      <c r="M3260">
        <v>0</v>
      </c>
      <c r="N3260">
        <v>0</v>
      </c>
      <c r="O3260" t="s">
        <v>27</v>
      </c>
      <c r="P3260" t="str">
        <f>TEXT(Table1[[#This Row],[order_date]],"yyyy-mm")</f>
        <v>2025-08</v>
      </c>
      <c r="Q3260">
        <f>WEEKNUM(Table1[[#This Row],[order_date]])</f>
        <v>33</v>
      </c>
      <c r="R3260">
        <f>IF(Table1[[#This Row],[order_status]]="completed",1,0)</f>
        <v>0</v>
      </c>
    </row>
    <row r="3261" spans="1:18" x14ac:dyDescent="0.35">
      <c r="A3261">
        <v>3260</v>
      </c>
      <c r="B3261" s="1">
        <v>46006</v>
      </c>
      <c r="C3261">
        <v>1286</v>
      </c>
      <c r="D3261" t="s">
        <v>41</v>
      </c>
      <c r="E3261" t="s">
        <v>23</v>
      </c>
      <c r="F3261" t="s">
        <v>24</v>
      </c>
      <c r="G3261">
        <v>4</v>
      </c>
      <c r="H3261">
        <v>1944</v>
      </c>
      <c r="I3261" t="s">
        <v>35</v>
      </c>
      <c r="J3261" t="s">
        <v>19</v>
      </c>
      <c r="K3261" t="s">
        <v>20</v>
      </c>
      <c r="L3261">
        <v>1</v>
      </c>
      <c r="M3261">
        <v>0</v>
      </c>
      <c r="N3261">
        <v>1</v>
      </c>
      <c r="O3261" t="s">
        <v>27</v>
      </c>
      <c r="P3261" t="str">
        <f>TEXT(Table1[[#This Row],[order_date]],"yyyy-mm")</f>
        <v>2025-12</v>
      </c>
      <c r="Q3261">
        <f>WEEKNUM(Table1[[#This Row],[order_date]])</f>
        <v>51</v>
      </c>
      <c r="R3261">
        <f>IF(Table1[[#This Row],[order_status]]="completed",1,0)</f>
        <v>1</v>
      </c>
    </row>
    <row r="3262" spans="1:18" x14ac:dyDescent="0.35">
      <c r="A3262">
        <v>3261</v>
      </c>
      <c r="B3262" s="1">
        <v>45938</v>
      </c>
      <c r="C3262">
        <v>1270</v>
      </c>
      <c r="D3262" t="s">
        <v>15</v>
      </c>
      <c r="E3262" t="s">
        <v>36</v>
      </c>
      <c r="F3262" t="s">
        <v>30</v>
      </c>
      <c r="G3262">
        <v>4</v>
      </c>
      <c r="H3262">
        <v>0</v>
      </c>
      <c r="I3262" t="s">
        <v>39</v>
      </c>
      <c r="J3262" t="s">
        <v>31</v>
      </c>
      <c r="K3262" t="s">
        <v>38</v>
      </c>
      <c r="L3262">
        <v>1</v>
      </c>
      <c r="M3262">
        <v>0</v>
      </c>
      <c r="N3262">
        <v>0</v>
      </c>
      <c r="O3262" t="s">
        <v>27</v>
      </c>
      <c r="P3262" t="str">
        <f>TEXT(Table1[[#This Row],[order_date]],"yyyy-mm")</f>
        <v>2025-10</v>
      </c>
      <c r="Q3262">
        <f>WEEKNUM(Table1[[#This Row],[order_date]])</f>
        <v>41</v>
      </c>
      <c r="R3262">
        <f>IF(Table1[[#This Row],[order_status]]="completed",1,0)</f>
        <v>0</v>
      </c>
    </row>
    <row r="3263" spans="1:18" x14ac:dyDescent="0.35">
      <c r="A3263">
        <v>3262</v>
      </c>
      <c r="B3263" s="1">
        <v>45972</v>
      </c>
      <c r="C3263">
        <v>1358</v>
      </c>
      <c r="D3263" t="s">
        <v>15</v>
      </c>
      <c r="E3263" t="s">
        <v>33</v>
      </c>
      <c r="F3263" t="s">
        <v>17</v>
      </c>
      <c r="G3263">
        <v>2</v>
      </c>
      <c r="H3263">
        <v>3888</v>
      </c>
      <c r="I3263" t="s">
        <v>25</v>
      </c>
      <c r="J3263" t="s">
        <v>19</v>
      </c>
      <c r="K3263" t="s">
        <v>40</v>
      </c>
      <c r="L3263">
        <v>4</v>
      </c>
      <c r="M3263">
        <v>0</v>
      </c>
      <c r="N3263">
        <v>1</v>
      </c>
      <c r="O3263" t="s">
        <v>27</v>
      </c>
      <c r="P3263" t="str">
        <f>TEXT(Table1[[#This Row],[order_date]],"yyyy-mm")</f>
        <v>2025-11</v>
      </c>
      <c r="Q3263">
        <f>WEEKNUM(Table1[[#This Row],[order_date]])</f>
        <v>46</v>
      </c>
      <c r="R3263">
        <f>IF(Table1[[#This Row],[order_status]]="completed",1,0)</f>
        <v>1</v>
      </c>
    </row>
    <row r="3264" spans="1:18" x14ac:dyDescent="0.35">
      <c r="A3264">
        <v>3263</v>
      </c>
      <c r="B3264" s="1">
        <v>45947</v>
      </c>
      <c r="C3264">
        <v>1773</v>
      </c>
      <c r="D3264" t="s">
        <v>28</v>
      </c>
      <c r="E3264" t="s">
        <v>29</v>
      </c>
      <c r="F3264" t="s">
        <v>34</v>
      </c>
      <c r="G3264">
        <v>2</v>
      </c>
      <c r="H3264">
        <v>0</v>
      </c>
      <c r="I3264" t="s">
        <v>18</v>
      </c>
      <c r="J3264" t="s">
        <v>37</v>
      </c>
      <c r="K3264" t="s">
        <v>20</v>
      </c>
      <c r="L3264">
        <v>5</v>
      </c>
      <c r="M3264">
        <v>1</v>
      </c>
      <c r="N3264">
        <v>1</v>
      </c>
      <c r="O3264" t="s">
        <v>27</v>
      </c>
      <c r="P3264" t="str">
        <f>TEXT(Table1[[#This Row],[order_date]],"yyyy-mm")</f>
        <v>2025-10</v>
      </c>
      <c r="Q3264">
        <f>WEEKNUM(Table1[[#This Row],[order_date]])</f>
        <v>42</v>
      </c>
      <c r="R3264">
        <f>IF(Table1[[#This Row],[order_status]]="completed",1,0)</f>
        <v>0</v>
      </c>
    </row>
    <row r="3265" spans="1:18" x14ac:dyDescent="0.35">
      <c r="A3265">
        <v>3264</v>
      </c>
      <c r="B3265" s="1">
        <v>45873</v>
      </c>
      <c r="C3265">
        <v>1899</v>
      </c>
      <c r="D3265" t="s">
        <v>41</v>
      </c>
      <c r="E3265" t="s">
        <v>16</v>
      </c>
      <c r="F3265" t="s">
        <v>34</v>
      </c>
      <c r="G3265">
        <v>2</v>
      </c>
      <c r="H3265">
        <v>5086</v>
      </c>
      <c r="I3265" t="s">
        <v>39</v>
      </c>
      <c r="J3265" t="s">
        <v>19</v>
      </c>
      <c r="K3265" t="s">
        <v>20</v>
      </c>
      <c r="L3265">
        <v>2</v>
      </c>
      <c r="M3265">
        <v>1</v>
      </c>
      <c r="N3265">
        <v>1</v>
      </c>
      <c r="O3265" t="s">
        <v>27</v>
      </c>
      <c r="P3265" t="str">
        <f>TEXT(Table1[[#This Row],[order_date]],"yyyy-mm")</f>
        <v>2025-08</v>
      </c>
      <c r="Q3265">
        <f>WEEKNUM(Table1[[#This Row],[order_date]])</f>
        <v>32</v>
      </c>
      <c r="R3265">
        <f>IF(Table1[[#This Row],[order_status]]="completed",1,0)</f>
        <v>1</v>
      </c>
    </row>
    <row r="3266" spans="1:18" x14ac:dyDescent="0.35">
      <c r="A3266">
        <v>3265</v>
      </c>
      <c r="B3266" s="1">
        <v>45955</v>
      </c>
      <c r="C3266">
        <v>1190</v>
      </c>
      <c r="D3266" t="s">
        <v>28</v>
      </c>
      <c r="E3266" t="s">
        <v>16</v>
      </c>
      <c r="F3266" t="s">
        <v>24</v>
      </c>
      <c r="G3266">
        <v>3</v>
      </c>
      <c r="H3266">
        <v>0</v>
      </c>
      <c r="I3266" t="s">
        <v>35</v>
      </c>
      <c r="J3266" t="s">
        <v>31</v>
      </c>
      <c r="K3266" t="s">
        <v>38</v>
      </c>
      <c r="L3266">
        <v>7</v>
      </c>
      <c r="M3266">
        <v>1</v>
      </c>
      <c r="N3266">
        <v>0</v>
      </c>
      <c r="O3266" t="s">
        <v>27</v>
      </c>
      <c r="P3266" t="str">
        <f>TEXT(Table1[[#This Row],[order_date]],"yyyy-mm")</f>
        <v>2025-10</v>
      </c>
      <c r="Q3266">
        <f>WEEKNUM(Table1[[#This Row],[order_date]])</f>
        <v>43</v>
      </c>
      <c r="R3266">
        <f>IF(Table1[[#This Row],[order_status]]="completed",1,0)</f>
        <v>0</v>
      </c>
    </row>
    <row r="3267" spans="1:18" x14ac:dyDescent="0.35">
      <c r="A3267">
        <v>3266</v>
      </c>
      <c r="B3267" s="1">
        <v>45912</v>
      </c>
      <c r="C3267">
        <v>1457</v>
      </c>
      <c r="D3267" t="s">
        <v>28</v>
      </c>
      <c r="E3267" t="s">
        <v>33</v>
      </c>
      <c r="F3267" t="s">
        <v>34</v>
      </c>
      <c r="G3267">
        <v>2</v>
      </c>
      <c r="H3267">
        <v>0</v>
      </c>
      <c r="I3267" t="s">
        <v>39</v>
      </c>
      <c r="J3267" t="s">
        <v>31</v>
      </c>
      <c r="K3267" t="s">
        <v>26</v>
      </c>
      <c r="L3267">
        <v>2</v>
      </c>
      <c r="M3267">
        <v>0</v>
      </c>
      <c r="N3267">
        <v>1</v>
      </c>
      <c r="O3267" t="s">
        <v>21</v>
      </c>
      <c r="P3267" t="str">
        <f>TEXT(Table1[[#This Row],[order_date]],"yyyy-mm")</f>
        <v>2025-09</v>
      </c>
      <c r="Q3267">
        <f>WEEKNUM(Table1[[#This Row],[order_date]])</f>
        <v>37</v>
      </c>
      <c r="R3267">
        <f>IF(Table1[[#This Row],[order_status]]="completed",1,0)</f>
        <v>0</v>
      </c>
    </row>
    <row r="3268" spans="1:18" x14ac:dyDescent="0.35">
      <c r="A3268">
        <v>3267</v>
      </c>
      <c r="B3268" s="1">
        <v>45894</v>
      </c>
      <c r="C3268">
        <v>1174</v>
      </c>
      <c r="D3268" t="s">
        <v>41</v>
      </c>
      <c r="E3268" t="s">
        <v>16</v>
      </c>
      <c r="F3268" t="s">
        <v>30</v>
      </c>
      <c r="G3268">
        <v>3</v>
      </c>
      <c r="H3268">
        <v>0</v>
      </c>
      <c r="I3268" t="s">
        <v>35</v>
      </c>
      <c r="J3268" t="s">
        <v>31</v>
      </c>
      <c r="K3268" t="s">
        <v>38</v>
      </c>
      <c r="L3268">
        <v>10</v>
      </c>
      <c r="M3268">
        <v>0</v>
      </c>
      <c r="N3268">
        <v>1</v>
      </c>
      <c r="O3268" t="s">
        <v>27</v>
      </c>
      <c r="P3268" t="str">
        <f>TEXT(Table1[[#This Row],[order_date]],"yyyy-mm")</f>
        <v>2025-08</v>
      </c>
      <c r="Q3268">
        <f>WEEKNUM(Table1[[#This Row],[order_date]])</f>
        <v>35</v>
      </c>
      <c r="R3268">
        <f>IF(Table1[[#This Row],[order_status]]="completed",1,0)</f>
        <v>0</v>
      </c>
    </row>
    <row r="3269" spans="1:18" x14ac:dyDescent="0.35">
      <c r="A3269">
        <v>3268</v>
      </c>
      <c r="B3269" s="1">
        <v>45898</v>
      </c>
      <c r="C3269">
        <v>1454</v>
      </c>
      <c r="D3269" t="s">
        <v>22</v>
      </c>
      <c r="E3269" t="s">
        <v>33</v>
      </c>
      <c r="F3269" t="s">
        <v>24</v>
      </c>
      <c r="G3269">
        <v>4</v>
      </c>
      <c r="H3269">
        <v>0</v>
      </c>
      <c r="I3269" t="s">
        <v>39</v>
      </c>
      <c r="J3269" t="s">
        <v>37</v>
      </c>
      <c r="K3269" t="s">
        <v>26</v>
      </c>
      <c r="L3269">
        <v>4</v>
      </c>
      <c r="M3269">
        <v>1</v>
      </c>
      <c r="N3269">
        <v>1</v>
      </c>
      <c r="O3269" t="s">
        <v>21</v>
      </c>
      <c r="P3269" t="str">
        <f>TEXT(Table1[[#This Row],[order_date]],"yyyy-mm")</f>
        <v>2025-08</v>
      </c>
      <c r="Q3269">
        <f>WEEKNUM(Table1[[#This Row],[order_date]])</f>
        <v>35</v>
      </c>
      <c r="R3269">
        <f>IF(Table1[[#This Row],[order_status]]="completed",1,0)</f>
        <v>0</v>
      </c>
    </row>
    <row r="3270" spans="1:18" x14ac:dyDescent="0.35">
      <c r="A3270">
        <v>3269</v>
      </c>
      <c r="B3270" s="1">
        <v>46027</v>
      </c>
      <c r="C3270">
        <v>1830</v>
      </c>
      <c r="D3270" t="s">
        <v>15</v>
      </c>
      <c r="E3270" t="s">
        <v>29</v>
      </c>
      <c r="F3270" t="s">
        <v>34</v>
      </c>
      <c r="G3270">
        <v>2</v>
      </c>
      <c r="H3270">
        <v>0</v>
      </c>
      <c r="I3270" t="s">
        <v>25</v>
      </c>
      <c r="J3270" t="s">
        <v>37</v>
      </c>
      <c r="K3270" t="s">
        <v>38</v>
      </c>
      <c r="L3270">
        <v>9</v>
      </c>
      <c r="M3270">
        <v>1</v>
      </c>
      <c r="N3270">
        <v>1</v>
      </c>
      <c r="O3270" t="s">
        <v>27</v>
      </c>
      <c r="P3270" t="str">
        <f>TEXT(Table1[[#This Row],[order_date]],"yyyy-mm")</f>
        <v>2026-01</v>
      </c>
      <c r="Q3270">
        <f>WEEKNUM(Table1[[#This Row],[order_date]])</f>
        <v>2</v>
      </c>
      <c r="R3270">
        <f>IF(Table1[[#This Row],[order_status]]="completed",1,0)</f>
        <v>0</v>
      </c>
    </row>
    <row r="3271" spans="1:18" x14ac:dyDescent="0.35">
      <c r="A3271">
        <v>3270</v>
      </c>
      <c r="B3271" s="1">
        <v>46000</v>
      </c>
      <c r="C3271">
        <v>1712</v>
      </c>
      <c r="D3271" t="s">
        <v>41</v>
      </c>
      <c r="E3271" t="s">
        <v>23</v>
      </c>
      <c r="F3271" t="s">
        <v>17</v>
      </c>
      <c r="G3271">
        <v>4</v>
      </c>
      <c r="H3271">
        <v>0</v>
      </c>
      <c r="I3271" t="s">
        <v>18</v>
      </c>
      <c r="J3271" t="s">
        <v>31</v>
      </c>
      <c r="K3271" t="s">
        <v>38</v>
      </c>
      <c r="L3271">
        <v>7</v>
      </c>
      <c r="M3271">
        <v>0</v>
      </c>
      <c r="N3271">
        <v>0</v>
      </c>
      <c r="O3271" t="s">
        <v>27</v>
      </c>
      <c r="P3271" t="str">
        <f>TEXT(Table1[[#This Row],[order_date]],"yyyy-mm")</f>
        <v>2025-12</v>
      </c>
      <c r="Q3271">
        <f>WEEKNUM(Table1[[#This Row],[order_date]])</f>
        <v>50</v>
      </c>
      <c r="R3271">
        <f>IF(Table1[[#This Row],[order_status]]="completed",1,0)</f>
        <v>0</v>
      </c>
    </row>
    <row r="3272" spans="1:18" x14ac:dyDescent="0.35">
      <c r="A3272">
        <v>3271</v>
      </c>
      <c r="B3272" s="1">
        <v>45962</v>
      </c>
      <c r="C3272">
        <v>1598</v>
      </c>
      <c r="D3272" t="s">
        <v>15</v>
      </c>
      <c r="E3272" t="s">
        <v>23</v>
      </c>
      <c r="F3272" t="s">
        <v>34</v>
      </c>
      <c r="G3272">
        <v>4</v>
      </c>
      <c r="H3272">
        <v>0</v>
      </c>
      <c r="I3272" t="s">
        <v>25</v>
      </c>
      <c r="J3272" t="s">
        <v>31</v>
      </c>
      <c r="K3272" t="s">
        <v>26</v>
      </c>
      <c r="L3272">
        <v>5</v>
      </c>
      <c r="M3272">
        <v>1</v>
      </c>
      <c r="N3272">
        <v>1</v>
      </c>
      <c r="O3272" t="s">
        <v>27</v>
      </c>
      <c r="P3272" t="str">
        <f>TEXT(Table1[[#This Row],[order_date]],"yyyy-mm")</f>
        <v>2025-11</v>
      </c>
      <c r="Q3272">
        <f>WEEKNUM(Table1[[#This Row],[order_date]])</f>
        <v>44</v>
      </c>
      <c r="R3272">
        <f>IF(Table1[[#This Row],[order_status]]="completed",1,0)</f>
        <v>0</v>
      </c>
    </row>
    <row r="3273" spans="1:18" x14ac:dyDescent="0.35">
      <c r="A3273">
        <v>3272</v>
      </c>
      <c r="B3273" s="1">
        <v>45965</v>
      </c>
      <c r="C3273">
        <v>1445</v>
      </c>
      <c r="D3273" t="s">
        <v>32</v>
      </c>
      <c r="E3273" t="s">
        <v>23</v>
      </c>
      <c r="F3273" t="s">
        <v>24</v>
      </c>
      <c r="G3273">
        <v>4</v>
      </c>
      <c r="H3273">
        <v>11600</v>
      </c>
      <c r="I3273" t="s">
        <v>25</v>
      </c>
      <c r="J3273" t="s">
        <v>19</v>
      </c>
      <c r="K3273" t="s">
        <v>20</v>
      </c>
      <c r="L3273">
        <v>1</v>
      </c>
      <c r="M3273">
        <v>0</v>
      </c>
      <c r="N3273">
        <v>0</v>
      </c>
      <c r="O3273" t="s">
        <v>21</v>
      </c>
      <c r="P3273" t="str">
        <f>TEXT(Table1[[#This Row],[order_date]],"yyyy-mm")</f>
        <v>2025-11</v>
      </c>
      <c r="Q3273">
        <f>WEEKNUM(Table1[[#This Row],[order_date]])</f>
        <v>45</v>
      </c>
      <c r="R3273">
        <f>IF(Table1[[#This Row],[order_status]]="completed",1,0)</f>
        <v>1</v>
      </c>
    </row>
    <row r="3274" spans="1:18" x14ac:dyDescent="0.35">
      <c r="A3274">
        <v>3273</v>
      </c>
      <c r="B3274" s="1">
        <v>45893</v>
      </c>
      <c r="C3274">
        <v>1980</v>
      </c>
      <c r="D3274" t="s">
        <v>15</v>
      </c>
      <c r="E3274" t="s">
        <v>29</v>
      </c>
      <c r="F3274" t="s">
        <v>24</v>
      </c>
      <c r="G3274">
        <v>5</v>
      </c>
      <c r="H3274">
        <v>20235</v>
      </c>
      <c r="I3274" t="s">
        <v>18</v>
      </c>
      <c r="J3274" t="s">
        <v>19</v>
      </c>
      <c r="K3274" t="s">
        <v>38</v>
      </c>
      <c r="L3274">
        <v>2</v>
      </c>
      <c r="M3274">
        <v>0</v>
      </c>
      <c r="N3274">
        <v>0</v>
      </c>
      <c r="O3274" t="s">
        <v>21</v>
      </c>
      <c r="P3274" t="str">
        <f>TEXT(Table1[[#This Row],[order_date]],"yyyy-mm")</f>
        <v>2025-08</v>
      </c>
      <c r="Q3274">
        <f>WEEKNUM(Table1[[#This Row],[order_date]])</f>
        <v>35</v>
      </c>
      <c r="R3274">
        <f>IF(Table1[[#This Row],[order_status]]="completed",1,0)</f>
        <v>1</v>
      </c>
    </row>
    <row r="3275" spans="1:18" x14ac:dyDescent="0.35">
      <c r="A3275">
        <v>3274</v>
      </c>
      <c r="B3275" s="1">
        <v>45889</v>
      </c>
      <c r="C3275">
        <v>1729</v>
      </c>
      <c r="D3275" t="s">
        <v>41</v>
      </c>
      <c r="E3275" t="s">
        <v>36</v>
      </c>
      <c r="F3275" t="s">
        <v>30</v>
      </c>
      <c r="G3275">
        <v>4</v>
      </c>
      <c r="H3275">
        <v>0</v>
      </c>
      <c r="I3275" t="s">
        <v>18</v>
      </c>
      <c r="J3275" t="s">
        <v>37</v>
      </c>
      <c r="K3275" t="s">
        <v>20</v>
      </c>
      <c r="L3275">
        <v>5</v>
      </c>
      <c r="M3275">
        <v>0</v>
      </c>
      <c r="N3275">
        <v>0</v>
      </c>
      <c r="O3275" t="s">
        <v>21</v>
      </c>
      <c r="P3275" t="str">
        <f>TEXT(Table1[[#This Row],[order_date]],"yyyy-mm")</f>
        <v>2025-08</v>
      </c>
      <c r="Q3275">
        <f>WEEKNUM(Table1[[#This Row],[order_date]])</f>
        <v>34</v>
      </c>
      <c r="R3275">
        <f>IF(Table1[[#This Row],[order_status]]="completed",1,0)</f>
        <v>0</v>
      </c>
    </row>
    <row r="3276" spans="1:18" x14ac:dyDescent="0.35">
      <c r="A3276">
        <v>3275</v>
      </c>
      <c r="B3276" s="1">
        <v>45964</v>
      </c>
      <c r="C3276">
        <v>1102</v>
      </c>
      <c r="D3276" t="s">
        <v>32</v>
      </c>
      <c r="E3276" t="s">
        <v>33</v>
      </c>
      <c r="F3276" t="s">
        <v>17</v>
      </c>
      <c r="G3276">
        <v>2</v>
      </c>
      <c r="H3276">
        <v>0</v>
      </c>
      <c r="I3276" t="s">
        <v>25</v>
      </c>
      <c r="J3276" t="s">
        <v>37</v>
      </c>
      <c r="K3276" t="s">
        <v>20</v>
      </c>
      <c r="L3276">
        <v>3</v>
      </c>
      <c r="M3276">
        <v>1</v>
      </c>
      <c r="N3276">
        <v>0</v>
      </c>
      <c r="O3276" t="s">
        <v>27</v>
      </c>
      <c r="P3276" t="str">
        <f>TEXT(Table1[[#This Row],[order_date]],"yyyy-mm")</f>
        <v>2025-11</v>
      </c>
      <c r="Q3276">
        <f>WEEKNUM(Table1[[#This Row],[order_date]])</f>
        <v>45</v>
      </c>
      <c r="R3276">
        <f>IF(Table1[[#This Row],[order_status]]="completed",1,0)</f>
        <v>0</v>
      </c>
    </row>
    <row r="3277" spans="1:18" x14ac:dyDescent="0.35">
      <c r="A3277">
        <v>3276</v>
      </c>
      <c r="B3277" s="1">
        <v>45910</v>
      </c>
      <c r="C3277">
        <v>1586</v>
      </c>
      <c r="D3277" t="s">
        <v>41</v>
      </c>
      <c r="E3277" t="s">
        <v>16</v>
      </c>
      <c r="F3277" t="s">
        <v>17</v>
      </c>
      <c r="G3277">
        <v>3</v>
      </c>
      <c r="H3277">
        <v>0</v>
      </c>
      <c r="I3277" t="s">
        <v>18</v>
      </c>
      <c r="J3277" t="s">
        <v>37</v>
      </c>
      <c r="K3277" t="s">
        <v>26</v>
      </c>
      <c r="L3277">
        <v>10</v>
      </c>
      <c r="M3277">
        <v>0</v>
      </c>
      <c r="N3277">
        <v>1</v>
      </c>
      <c r="O3277" t="s">
        <v>21</v>
      </c>
      <c r="P3277" t="str">
        <f>TEXT(Table1[[#This Row],[order_date]],"yyyy-mm")</f>
        <v>2025-09</v>
      </c>
      <c r="Q3277">
        <f>WEEKNUM(Table1[[#This Row],[order_date]])</f>
        <v>37</v>
      </c>
      <c r="R3277">
        <f>IF(Table1[[#This Row],[order_status]]="completed",1,0)</f>
        <v>0</v>
      </c>
    </row>
    <row r="3278" spans="1:18" x14ac:dyDescent="0.35">
      <c r="A3278">
        <v>3277</v>
      </c>
      <c r="B3278" s="1">
        <v>46018</v>
      </c>
      <c r="C3278">
        <v>1319</v>
      </c>
      <c r="D3278" t="s">
        <v>32</v>
      </c>
      <c r="E3278" t="s">
        <v>29</v>
      </c>
      <c r="F3278" t="s">
        <v>34</v>
      </c>
      <c r="G3278">
        <v>5</v>
      </c>
      <c r="H3278">
        <v>21630</v>
      </c>
      <c r="I3278" t="s">
        <v>35</v>
      </c>
      <c r="J3278" t="s">
        <v>19</v>
      </c>
      <c r="K3278" t="s">
        <v>40</v>
      </c>
      <c r="L3278">
        <v>3</v>
      </c>
      <c r="M3278">
        <v>1</v>
      </c>
      <c r="N3278">
        <v>1</v>
      </c>
      <c r="O3278" t="s">
        <v>21</v>
      </c>
      <c r="P3278" t="str">
        <f>TEXT(Table1[[#This Row],[order_date]],"yyyy-mm")</f>
        <v>2025-12</v>
      </c>
      <c r="Q3278">
        <f>WEEKNUM(Table1[[#This Row],[order_date]])</f>
        <v>52</v>
      </c>
      <c r="R3278">
        <f>IF(Table1[[#This Row],[order_status]]="completed",1,0)</f>
        <v>1</v>
      </c>
    </row>
    <row r="3279" spans="1:18" x14ac:dyDescent="0.35">
      <c r="A3279">
        <v>3278</v>
      </c>
      <c r="B3279" s="1">
        <v>45968</v>
      </c>
      <c r="C3279">
        <v>1406</v>
      </c>
      <c r="D3279" t="s">
        <v>32</v>
      </c>
      <c r="E3279" t="s">
        <v>16</v>
      </c>
      <c r="F3279" t="s">
        <v>30</v>
      </c>
      <c r="G3279">
        <v>5</v>
      </c>
      <c r="H3279">
        <v>0</v>
      </c>
      <c r="I3279" t="s">
        <v>35</v>
      </c>
      <c r="J3279" t="s">
        <v>37</v>
      </c>
      <c r="K3279" t="s">
        <v>38</v>
      </c>
      <c r="L3279">
        <v>10</v>
      </c>
      <c r="M3279">
        <v>1</v>
      </c>
      <c r="N3279">
        <v>1</v>
      </c>
      <c r="O3279" t="s">
        <v>27</v>
      </c>
      <c r="P3279" t="str">
        <f>TEXT(Table1[[#This Row],[order_date]],"yyyy-mm")</f>
        <v>2025-11</v>
      </c>
      <c r="Q3279">
        <f>WEEKNUM(Table1[[#This Row],[order_date]])</f>
        <v>45</v>
      </c>
      <c r="R3279">
        <f>IF(Table1[[#This Row],[order_status]]="completed",1,0)</f>
        <v>0</v>
      </c>
    </row>
    <row r="3280" spans="1:18" x14ac:dyDescent="0.35">
      <c r="A3280">
        <v>3279</v>
      </c>
      <c r="B3280" s="1">
        <v>45900</v>
      </c>
      <c r="C3280">
        <v>1924</v>
      </c>
      <c r="D3280" t="s">
        <v>32</v>
      </c>
      <c r="E3280" t="s">
        <v>33</v>
      </c>
      <c r="F3280" t="s">
        <v>34</v>
      </c>
      <c r="G3280">
        <v>2</v>
      </c>
      <c r="H3280">
        <v>0</v>
      </c>
      <c r="I3280" t="s">
        <v>18</v>
      </c>
      <c r="J3280" t="s">
        <v>37</v>
      </c>
      <c r="K3280" t="s">
        <v>26</v>
      </c>
      <c r="L3280">
        <v>2</v>
      </c>
      <c r="M3280">
        <v>1</v>
      </c>
      <c r="N3280">
        <v>0</v>
      </c>
      <c r="O3280" t="s">
        <v>27</v>
      </c>
      <c r="P3280" t="str">
        <f>TEXT(Table1[[#This Row],[order_date]],"yyyy-mm")</f>
        <v>2025-08</v>
      </c>
      <c r="Q3280">
        <f>WEEKNUM(Table1[[#This Row],[order_date]])</f>
        <v>36</v>
      </c>
      <c r="R3280">
        <f>IF(Table1[[#This Row],[order_status]]="completed",1,0)</f>
        <v>0</v>
      </c>
    </row>
    <row r="3281" spans="1:18" x14ac:dyDescent="0.35">
      <c r="A3281">
        <v>3280</v>
      </c>
      <c r="B3281" s="1">
        <v>45998</v>
      </c>
      <c r="C3281">
        <v>1677</v>
      </c>
      <c r="D3281" t="s">
        <v>41</v>
      </c>
      <c r="E3281" t="s">
        <v>23</v>
      </c>
      <c r="F3281" t="s">
        <v>34</v>
      </c>
      <c r="G3281">
        <v>1</v>
      </c>
      <c r="H3281">
        <v>0</v>
      </c>
      <c r="I3281" t="s">
        <v>35</v>
      </c>
      <c r="J3281" t="s">
        <v>31</v>
      </c>
      <c r="K3281" t="s">
        <v>26</v>
      </c>
      <c r="L3281">
        <v>3</v>
      </c>
      <c r="M3281">
        <v>1</v>
      </c>
      <c r="N3281">
        <v>1</v>
      </c>
      <c r="O3281" t="s">
        <v>27</v>
      </c>
      <c r="P3281" t="str">
        <f>TEXT(Table1[[#This Row],[order_date]],"yyyy-mm")</f>
        <v>2025-12</v>
      </c>
      <c r="Q3281">
        <f>WEEKNUM(Table1[[#This Row],[order_date]])</f>
        <v>50</v>
      </c>
      <c r="R3281">
        <f>IF(Table1[[#This Row],[order_status]]="completed",1,0)</f>
        <v>0</v>
      </c>
    </row>
    <row r="3282" spans="1:18" x14ac:dyDescent="0.35">
      <c r="A3282">
        <v>3281</v>
      </c>
      <c r="B3282" s="1">
        <v>45990</v>
      </c>
      <c r="C3282">
        <v>1802</v>
      </c>
      <c r="D3282" t="s">
        <v>41</v>
      </c>
      <c r="E3282" t="s">
        <v>23</v>
      </c>
      <c r="F3282" t="s">
        <v>34</v>
      </c>
      <c r="G3282">
        <v>3</v>
      </c>
      <c r="H3282">
        <v>897</v>
      </c>
      <c r="I3282" t="s">
        <v>18</v>
      </c>
      <c r="J3282" t="s">
        <v>19</v>
      </c>
      <c r="K3282" t="s">
        <v>40</v>
      </c>
      <c r="L3282">
        <v>2</v>
      </c>
      <c r="M3282">
        <v>1</v>
      </c>
      <c r="N3282">
        <v>1</v>
      </c>
      <c r="O3282" t="s">
        <v>21</v>
      </c>
      <c r="P3282" t="str">
        <f>TEXT(Table1[[#This Row],[order_date]],"yyyy-mm")</f>
        <v>2025-11</v>
      </c>
      <c r="Q3282">
        <f>WEEKNUM(Table1[[#This Row],[order_date]])</f>
        <v>48</v>
      </c>
      <c r="R3282">
        <f>IF(Table1[[#This Row],[order_status]]="completed",1,0)</f>
        <v>1</v>
      </c>
    </row>
    <row r="3283" spans="1:18" x14ac:dyDescent="0.35">
      <c r="A3283">
        <v>3282</v>
      </c>
      <c r="B3283" s="1">
        <v>46006</v>
      </c>
      <c r="C3283">
        <v>1558</v>
      </c>
      <c r="D3283" t="s">
        <v>15</v>
      </c>
      <c r="E3283" t="s">
        <v>29</v>
      </c>
      <c r="F3283" t="s">
        <v>30</v>
      </c>
      <c r="G3283">
        <v>3</v>
      </c>
      <c r="H3283">
        <v>0</v>
      </c>
      <c r="I3283" t="s">
        <v>35</v>
      </c>
      <c r="J3283" t="s">
        <v>37</v>
      </c>
      <c r="K3283" t="s">
        <v>38</v>
      </c>
      <c r="L3283">
        <v>4</v>
      </c>
      <c r="M3283">
        <v>0</v>
      </c>
      <c r="N3283">
        <v>1</v>
      </c>
      <c r="O3283" t="s">
        <v>21</v>
      </c>
      <c r="P3283" t="str">
        <f>TEXT(Table1[[#This Row],[order_date]],"yyyy-mm")</f>
        <v>2025-12</v>
      </c>
      <c r="Q3283">
        <f>WEEKNUM(Table1[[#This Row],[order_date]])</f>
        <v>51</v>
      </c>
      <c r="R3283">
        <f>IF(Table1[[#This Row],[order_status]]="completed",1,0)</f>
        <v>0</v>
      </c>
    </row>
    <row r="3284" spans="1:18" x14ac:dyDescent="0.35">
      <c r="A3284">
        <v>3283</v>
      </c>
      <c r="B3284" s="1">
        <v>45968</v>
      </c>
      <c r="C3284">
        <v>1899</v>
      </c>
      <c r="D3284" t="s">
        <v>41</v>
      </c>
      <c r="E3284" t="s">
        <v>23</v>
      </c>
      <c r="F3284" t="s">
        <v>34</v>
      </c>
      <c r="G3284">
        <v>1</v>
      </c>
      <c r="H3284">
        <v>0</v>
      </c>
      <c r="I3284" t="s">
        <v>39</v>
      </c>
      <c r="J3284" t="s">
        <v>31</v>
      </c>
      <c r="K3284" t="s">
        <v>40</v>
      </c>
      <c r="L3284">
        <v>1</v>
      </c>
      <c r="M3284">
        <v>1</v>
      </c>
      <c r="N3284">
        <v>0</v>
      </c>
      <c r="O3284" t="s">
        <v>27</v>
      </c>
      <c r="P3284" t="str">
        <f>TEXT(Table1[[#This Row],[order_date]],"yyyy-mm")</f>
        <v>2025-11</v>
      </c>
      <c r="Q3284">
        <f>WEEKNUM(Table1[[#This Row],[order_date]])</f>
        <v>45</v>
      </c>
      <c r="R3284">
        <f>IF(Table1[[#This Row],[order_status]]="completed",1,0)</f>
        <v>0</v>
      </c>
    </row>
    <row r="3285" spans="1:18" x14ac:dyDescent="0.35">
      <c r="A3285">
        <v>3284</v>
      </c>
      <c r="B3285" s="1">
        <v>45971</v>
      </c>
      <c r="C3285">
        <v>1957</v>
      </c>
      <c r="D3285" t="s">
        <v>32</v>
      </c>
      <c r="E3285" t="s">
        <v>36</v>
      </c>
      <c r="F3285" t="s">
        <v>34</v>
      </c>
      <c r="G3285">
        <v>1</v>
      </c>
      <c r="H3285">
        <v>2082</v>
      </c>
      <c r="I3285" t="s">
        <v>35</v>
      </c>
      <c r="J3285" t="s">
        <v>19</v>
      </c>
      <c r="K3285" t="s">
        <v>20</v>
      </c>
      <c r="L3285">
        <v>10</v>
      </c>
      <c r="M3285">
        <v>0</v>
      </c>
      <c r="N3285">
        <v>0</v>
      </c>
      <c r="O3285" t="s">
        <v>27</v>
      </c>
      <c r="P3285" t="str">
        <f>TEXT(Table1[[#This Row],[order_date]],"yyyy-mm")</f>
        <v>2025-11</v>
      </c>
      <c r="Q3285">
        <f>WEEKNUM(Table1[[#This Row],[order_date]])</f>
        <v>46</v>
      </c>
      <c r="R3285">
        <f>IF(Table1[[#This Row],[order_status]]="completed",1,0)</f>
        <v>1</v>
      </c>
    </row>
    <row r="3286" spans="1:18" x14ac:dyDescent="0.35">
      <c r="A3286">
        <v>3285</v>
      </c>
      <c r="B3286" s="1">
        <v>45915</v>
      </c>
      <c r="C3286">
        <v>1099</v>
      </c>
      <c r="D3286" t="s">
        <v>41</v>
      </c>
      <c r="E3286" t="s">
        <v>23</v>
      </c>
      <c r="F3286" t="s">
        <v>17</v>
      </c>
      <c r="G3286">
        <v>3</v>
      </c>
      <c r="H3286">
        <v>0</v>
      </c>
      <c r="I3286" t="s">
        <v>35</v>
      </c>
      <c r="J3286" t="s">
        <v>37</v>
      </c>
      <c r="K3286" t="s">
        <v>20</v>
      </c>
      <c r="L3286">
        <v>9</v>
      </c>
      <c r="M3286">
        <v>0</v>
      </c>
      <c r="N3286">
        <v>0</v>
      </c>
      <c r="O3286" t="s">
        <v>21</v>
      </c>
      <c r="P3286" t="str">
        <f>TEXT(Table1[[#This Row],[order_date]],"yyyy-mm")</f>
        <v>2025-09</v>
      </c>
      <c r="Q3286">
        <f>WEEKNUM(Table1[[#This Row],[order_date]])</f>
        <v>38</v>
      </c>
      <c r="R3286">
        <f>IF(Table1[[#This Row],[order_status]]="completed",1,0)</f>
        <v>0</v>
      </c>
    </row>
    <row r="3287" spans="1:18" x14ac:dyDescent="0.35">
      <c r="A3287">
        <v>3286</v>
      </c>
      <c r="B3287" s="1">
        <v>46027</v>
      </c>
      <c r="C3287">
        <v>1870</v>
      </c>
      <c r="D3287" t="s">
        <v>28</v>
      </c>
      <c r="E3287" t="s">
        <v>33</v>
      </c>
      <c r="F3287" t="s">
        <v>17</v>
      </c>
      <c r="G3287">
        <v>1</v>
      </c>
      <c r="H3287">
        <v>0</v>
      </c>
      <c r="I3287" t="s">
        <v>35</v>
      </c>
      <c r="J3287" t="s">
        <v>31</v>
      </c>
      <c r="K3287" t="s">
        <v>20</v>
      </c>
      <c r="L3287">
        <v>5</v>
      </c>
      <c r="M3287">
        <v>1</v>
      </c>
      <c r="N3287">
        <v>1</v>
      </c>
      <c r="O3287" t="s">
        <v>27</v>
      </c>
      <c r="P3287" t="str">
        <f>TEXT(Table1[[#This Row],[order_date]],"yyyy-mm")</f>
        <v>2026-01</v>
      </c>
      <c r="Q3287">
        <f>WEEKNUM(Table1[[#This Row],[order_date]])</f>
        <v>2</v>
      </c>
      <c r="R3287">
        <f>IF(Table1[[#This Row],[order_status]]="completed",1,0)</f>
        <v>0</v>
      </c>
    </row>
    <row r="3288" spans="1:18" x14ac:dyDescent="0.35">
      <c r="A3288">
        <v>3287</v>
      </c>
      <c r="B3288" s="1">
        <v>45982</v>
      </c>
      <c r="C3288">
        <v>1511</v>
      </c>
      <c r="D3288" t="s">
        <v>28</v>
      </c>
      <c r="E3288" t="s">
        <v>29</v>
      </c>
      <c r="F3288" t="s">
        <v>17</v>
      </c>
      <c r="G3288">
        <v>3</v>
      </c>
      <c r="H3288">
        <v>0</v>
      </c>
      <c r="I3288" t="s">
        <v>39</v>
      </c>
      <c r="J3288" t="s">
        <v>31</v>
      </c>
      <c r="K3288" t="s">
        <v>38</v>
      </c>
      <c r="L3288">
        <v>4</v>
      </c>
      <c r="M3288">
        <v>0</v>
      </c>
      <c r="N3288">
        <v>1</v>
      </c>
      <c r="O3288" t="s">
        <v>27</v>
      </c>
      <c r="P3288" t="str">
        <f>TEXT(Table1[[#This Row],[order_date]],"yyyy-mm")</f>
        <v>2025-11</v>
      </c>
      <c r="Q3288">
        <f>WEEKNUM(Table1[[#This Row],[order_date]])</f>
        <v>47</v>
      </c>
      <c r="R3288">
        <f>IF(Table1[[#This Row],[order_status]]="completed",1,0)</f>
        <v>0</v>
      </c>
    </row>
    <row r="3289" spans="1:18" x14ac:dyDescent="0.35">
      <c r="A3289">
        <v>3288</v>
      </c>
      <c r="B3289" s="1">
        <v>45941</v>
      </c>
      <c r="C3289">
        <v>1623</v>
      </c>
      <c r="D3289" t="s">
        <v>41</v>
      </c>
      <c r="E3289" t="s">
        <v>29</v>
      </c>
      <c r="F3289" t="s">
        <v>17</v>
      </c>
      <c r="G3289">
        <v>3</v>
      </c>
      <c r="H3289">
        <v>0</v>
      </c>
      <c r="I3289" t="s">
        <v>35</v>
      </c>
      <c r="J3289" t="s">
        <v>37</v>
      </c>
      <c r="K3289" t="s">
        <v>40</v>
      </c>
      <c r="L3289">
        <v>9</v>
      </c>
      <c r="M3289">
        <v>1</v>
      </c>
      <c r="N3289">
        <v>1</v>
      </c>
      <c r="O3289" t="s">
        <v>27</v>
      </c>
      <c r="P3289" t="str">
        <f>TEXT(Table1[[#This Row],[order_date]],"yyyy-mm")</f>
        <v>2025-10</v>
      </c>
      <c r="Q3289">
        <f>WEEKNUM(Table1[[#This Row],[order_date]])</f>
        <v>41</v>
      </c>
      <c r="R3289">
        <f>IF(Table1[[#This Row],[order_status]]="completed",1,0)</f>
        <v>0</v>
      </c>
    </row>
    <row r="3290" spans="1:18" x14ac:dyDescent="0.35">
      <c r="A3290">
        <v>3289</v>
      </c>
      <c r="B3290" s="1">
        <v>45906</v>
      </c>
      <c r="C3290">
        <v>1014</v>
      </c>
      <c r="D3290" t="s">
        <v>32</v>
      </c>
      <c r="E3290" t="s">
        <v>23</v>
      </c>
      <c r="F3290" t="s">
        <v>30</v>
      </c>
      <c r="G3290">
        <v>1</v>
      </c>
      <c r="H3290">
        <v>0</v>
      </c>
      <c r="I3290" t="s">
        <v>35</v>
      </c>
      <c r="J3290" t="s">
        <v>31</v>
      </c>
      <c r="K3290" t="s">
        <v>40</v>
      </c>
      <c r="L3290">
        <v>9</v>
      </c>
      <c r="M3290">
        <v>1</v>
      </c>
      <c r="N3290">
        <v>1</v>
      </c>
      <c r="O3290" t="s">
        <v>21</v>
      </c>
      <c r="P3290" t="str">
        <f>TEXT(Table1[[#This Row],[order_date]],"yyyy-mm")</f>
        <v>2025-09</v>
      </c>
      <c r="Q3290">
        <f>WEEKNUM(Table1[[#This Row],[order_date]])</f>
        <v>36</v>
      </c>
      <c r="R3290">
        <f>IF(Table1[[#This Row],[order_status]]="completed",1,0)</f>
        <v>0</v>
      </c>
    </row>
    <row r="3291" spans="1:18" x14ac:dyDescent="0.35">
      <c r="A3291">
        <v>3290</v>
      </c>
      <c r="B3291" s="1">
        <v>45992</v>
      </c>
      <c r="C3291">
        <v>1924</v>
      </c>
      <c r="D3291" t="s">
        <v>15</v>
      </c>
      <c r="E3291" t="s">
        <v>29</v>
      </c>
      <c r="F3291" t="s">
        <v>30</v>
      </c>
      <c r="G3291">
        <v>2</v>
      </c>
      <c r="H3291">
        <v>0</v>
      </c>
      <c r="I3291" t="s">
        <v>35</v>
      </c>
      <c r="J3291" t="s">
        <v>31</v>
      </c>
      <c r="K3291" t="s">
        <v>26</v>
      </c>
      <c r="L3291">
        <v>4</v>
      </c>
      <c r="M3291">
        <v>0</v>
      </c>
      <c r="N3291">
        <v>0</v>
      </c>
      <c r="O3291" t="s">
        <v>27</v>
      </c>
      <c r="P3291" t="str">
        <f>TEXT(Table1[[#This Row],[order_date]],"yyyy-mm")</f>
        <v>2025-12</v>
      </c>
      <c r="Q3291">
        <f>WEEKNUM(Table1[[#This Row],[order_date]])</f>
        <v>49</v>
      </c>
      <c r="R3291">
        <f>IF(Table1[[#This Row],[order_status]]="completed",1,0)</f>
        <v>0</v>
      </c>
    </row>
    <row r="3292" spans="1:18" x14ac:dyDescent="0.35">
      <c r="A3292">
        <v>3291</v>
      </c>
      <c r="B3292" s="1">
        <v>45999</v>
      </c>
      <c r="C3292">
        <v>1125</v>
      </c>
      <c r="D3292" t="s">
        <v>32</v>
      </c>
      <c r="E3292" t="s">
        <v>16</v>
      </c>
      <c r="F3292" t="s">
        <v>30</v>
      </c>
      <c r="G3292">
        <v>3</v>
      </c>
      <c r="H3292">
        <v>0</v>
      </c>
      <c r="I3292" t="s">
        <v>39</v>
      </c>
      <c r="J3292" t="s">
        <v>31</v>
      </c>
      <c r="K3292" t="s">
        <v>20</v>
      </c>
      <c r="L3292">
        <v>6</v>
      </c>
      <c r="M3292">
        <v>0</v>
      </c>
      <c r="N3292">
        <v>0</v>
      </c>
      <c r="O3292" t="s">
        <v>21</v>
      </c>
      <c r="P3292" t="str">
        <f>TEXT(Table1[[#This Row],[order_date]],"yyyy-mm")</f>
        <v>2025-12</v>
      </c>
      <c r="Q3292">
        <f>WEEKNUM(Table1[[#This Row],[order_date]])</f>
        <v>50</v>
      </c>
      <c r="R3292">
        <f>IF(Table1[[#This Row],[order_status]]="completed",1,0)</f>
        <v>0</v>
      </c>
    </row>
    <row r="3293" spans="1:18" x14ac:dyDescent="0.35">
      <c r="A3293">
        <v>3292</v>
      </c>
      <c r="B3293" s="1">
        <v>46002</v>
      </c>
      <c r="C3293">
        <v>1835</v>
      </c>
      <c r="D3293" t="s">
        <v>15</v>
      </c>
      <c r="E3293" t="s">
        <v>36</v>
      </c>
      <c r="F3293" t="s">
        <v>30</v>
      </c>
      <c r="G3293">
        <v>3</v>
      </c>
      <c r="H3293">
        <v>0</v>
      </c>
      <c r="I3293" t="s">
        <v>39</v>
      </c>
      <c r="J3293" t="s">
        <v>31</v>
      </c>
      <c r="K3293" t="s">
        <v>40</v>
      </c>
      <c r="L3293">
        <v>4</v>
      </c>
      <c r="M3293">
        <v>1</v>
      </c>
      <c r="N3293">
        <v>1</v>
      </c>
      <c r="O3293" t="s">
        <v>21</v>
      </c>
      <c r="P3293" t="str">
        <f>TEXT(Table1[[#This Row],[order_date]],"yyyy-mm")</f>
        <v>2025-12</v>
      </c>
      <c r="Q3293">
        <f>WEEKNUM(Table1[[#This Row],[order_date]])</f>
        <v>50</v>
      </c>
      <c r="R3293">
        <f>IF(Table1[[#This Row],[order_status]]="completed",1,0)</f>
        <v>0</v>
      </c>
    </row>
    <row r="3294" spans="1:18" x14ac:dyDescent="0.35">
      <c r="A3294">
        <v>3293</v>
      </c>
      <c r="B3294" s="1">
        <v>45993</v>
      </c>
      <c r="C3294">
        <v>1852</v>
      </c>
      <c r="D3294" t="s">
        <v>28</v>
      </c>
      <c r="E3294" t="s">
        <v>16</v>
      </c>
      <c r="F3294" t="s">
        <v>30</v>
      </c>
      <c r="G3294">
        <v>4</v>
      </c>
      <c r="H3294">
        <v>0</v>
      </c>
      <c r="I3294" t="s">
        <v>18</v>
      </c>
      <c r="J3294" t="s">
        <v>37</v>
      </c>
      <c r="K3294" t="s">
        <v>26</v>
      </c>
      <c r="L3294">
        <v>9</v>
      </c>
      <c r="M3294">
        <v>0</v>
      </c>
      <c r="N3294">
        <v>1</v>
      </c>
      <c r="O3294" t="s">
        <v>21</v>
      </c>
      <c r="P3294" t="str">
        <f>TEXT(Table1[[#This Row],[order_date]],"yyyy-mm")</f>
        <v>2025-12</v>
      </c>
      <c r="Q3294">
        <f>WEEKNUM(Table1[[#This Row],[order_date]])</f>
        <v>49</v>
      </c>
      <c r="R3294">
        <f>IF(Table1[[#This Row],[order_status]]="completed",1,0)</f>
        <v>0</v>
      </c>
    </row>
    <row r="3295" spans="1:18" x14ac:dyDescent="0.35">
      <c r="A3295">
        <v>3294</v>
      </c>
      <c r="B3295" s="1">
        <v>45905</v>
      </c>
      <c r="C3295">
        <v>1467</v>
      </c>
      <c r="D3295" t="s">
        <v>15</v>
      </c>
      <c r="E3295" t="s">
        <v>29</v>
      </c>
      <c r="F3295" t="s">
        <v>30</v>
      </c>
      <c r="G3295">
        <v>1</v>
      </c>
      <c r="H3295">
        <v>0</v>
      </c>
      <c r="I3295" t="s">
        <v>25</v>
      </c>
      <c r="J3295" t="s">
        <v>31</v>
      </c>
      <c r="K3295" t="s">
        <v>38</v>
      </c>
      <c r="L3295">
        <v>10</v>
      </c>
      <c r="M3295">
        <v>0</v>
      </c>
      <c r="N3295">
        <v>1</v>
      </c>
      <c r="O3295" t="s">
        <v>21</v>
      </c>
      <c r="P3295" t="str">
        <f>TEXT(Table1[[#This Row],[order_date]],"yyyy-mm")</f>
        <v>2025-09</v>
      </c>
      <c r="Q3295">
        <f>WEEKNUM(Table1[[#This Row],[order_date]])</f>
        <v>36</v>
      </c>
      <c r="R3295">
        <f>IF(Table1[[#This Row],[order_status]]="completed",1,0)</f>
        <v>0</v>
      </c>
    </row>
    <row r="3296" spans="1:18" x14ac:dyDescent="0.35">
      <c r="A3296">
        <v>3295</v>
      </c>
      <c r="B3296" s="1">
        <v>45970</v>
      </c>
      <c r="C3296">
        <v>1707</v>
      </c>
      <c r="D3296" t="s">
        <v>22</v>
      </c>
      <c r="E3296" t="s">
        <v>29</v>
      </c>
      <c r="F3296" t="s">
        <v>30</v>
      </c>
      <c r="G3296">
        <v>3</v>
      </c>
      <c r="H3296">
        <v>0</v>
      </c>
      <c r="I3296" t="s">
        <v>35</v>
      </c>
      <c r="J3296" t="s">
        <v>37</v>
      </c>
      <c r="K3296" t="s">
        <v>26</v>
      </c>
      <c r="L3296">
        <v>6</v>
      </c>
      <c r="M3296">
        <v>1</v>
      </c>
      <c r="N3296">
        <v>0</v>
      </c>
      <c r="O3296" t="s">
        <v>21</v>
      </c>
      <c r="P3296" t="str">
        <f>TEXT(Table1[[#This Row],[order_date]],"yyyy-mm")</f>
        <v>2025-11</v>
      </c>
      <c r="Q3296">
        <f>WEEKNUM(Table1[[#This Row],[order_date]])</f>
        <v>46</v>
      </c>
      <c r="R3296">
        <f>IF(Table1[[#This Row],[order_status]]="completed",1,0)</f>
        <v>0</v>
      </c>
    </row>
    <row r="3297" spans="1:18" x14ac:dyDescent="0.35">
      <c r="A3297">
        <v>3296</v>
      </c>
      <c r="B3297" s="1">
        <v>45875</v>
      </c>
      <c r="C3297">
        <v>1700</v>
      </c>
      <c r="D3297" t="s">
        <v>22</v>
      </c>
      <c r="E3297" t="s">
        <v>33</v>
      </c>
      <c r="F3297" t="s">
        <v>30</v>
      </c>
      <c r="G3297">
        <v>1</v>
      </c>
      <c r="H3297">
        <v>1121</v>
      </c>
      <c r="I3297" t="s">
        <v>35</v>
      </c>
      <c r="J3297" t="s">
        <v>19</v>
      </c>
      <c r="K3297" t="s">
        <v>26</v>
      </c>
      <c r="L3297">
        <v>1</v>
      </c>
      <c r="M3297">
        <v>0</v>
      </c>
      <c r="N3297">
        <v>1</v>
      </c>
      <c r="O3297" t="s">
        <v>27</v>
      </c>
      <c r="P3297" t="str">
        <f>TEXT(Table1[[#This Row],[order_date]],"yyyy-mm")</f>
        <v>2025-08</v>
      </c>
      <c r="Q3297">
        <f>WEEKNUM(Table1[[#This Row],[order_date]])</f>
        <v>32</v>
      </c>
      <c r="R3297">
        <f>IF(Table1[[#This Row],[order_status]]="completed",1,0)</f>
        <v>1</v>
      </c>
    </row>
    <row r="3298" spans="1:18" x14ac:dyDescent="0.35">
      <c r="A3298">
        <v>3297</v>
      </c>
      <c r="B3298" s="1">
        <v>45867</v>
      </c>
      <c r="C3298">
        <v>1916</v>
      </c>
      <c r="D3298" t="s">
        <v>41</v>
      </c>
      <c r="E3298" t="s">
        <v>23</v>
      </c>
      <c r="F3298" t="s">
        <v>24</v>
      </c>
      <c r="G3298">
        <v>2</v>
      </c>
      <c r="H3298">
        <v>0</v>
      </c>
      <c r="I3298" t="s">
        <v>25</v>
      </c>
      <c r="J3298" t="s">
        <v>31</v>
      </c>
      <c r="K3298" t="s">
        <v>40</v>
      </c>
      <c r="L3298">
        <v>9</v>
      </c>
      <c r="M3298">
        <v>1</v>
      </c>
      <c r="N3298">
        <v>0</v>
      </c>
      <c r="O3298" t="s">
        <v>21</v>
      </c>
      <c r="P3298" t="str">
        <f>TEXT(Table1[[#This Row],[order_date]],"yyyy-mm")</f>
        <v>2025-07</v>
      </c>
      <c r="Q3298">
        <f>WEEKNUM(Table1[[#This Row],[order_date]])</f>
        <v>31</v>
      </c>
      <c r="R3298">
        <f>IF(Table1[[#This Row],[order_status]]="completed",1,0)</f>
        <v>0</v>
      </c>
    </row>
    <row r="3299" spans="1:18" x14ac:dyDescent="0.35">
      <c r="A3299">
        <v>3298</v>
      </c>
      <c r="B3299" s="1">
        <v>45975</v>
      </c>
      <c r="C3299">
        <v>1638</v>
      </c>
      <c r="D3299" t="s">
        <v>41</v>
      </c>
      <c r="E3299" t="s">
        <v>29</v>
      </c>
      <c r="F3299" t="s">
        <v>17</v>
      </c>
      <c r="G3299">
        <v>3</v>
      </c>
      <c r="H3299">
        <v>0</v>
      </c>
      <c r="I3299" t="s">
        <v>25</v>
      </c>
      <c r="J3299" t="s">
        <v>31</v>
      </c>
      <c r="K3299" t="s">
        <v>40</v>
      </c>
      <c r="L3299">
        <v>5</v>
      </c>
      <c r="M3299">
        <v>1</v>
      </c>
      <c r="N3299">
        <v>1</v>
      </c>
      <c r="O3299" t="s">
        <v>21</v>
      </c>
      <c r="P3299" t="str">
        <f>TEXT(Table1[[#This Row],[order_date]],"yyyy-mm")</f>
        <v>2025-11</v>
      </c>
      <c r="Q3299">
        <f>WEEKNUM(Table1[[#This Row],[order_date]])</f>
        <v>46</v>
      </c>
      <c r="R3299">
        <f>IF(Table1[[#This Row],[order_status]]="completed",1,0)</f>
        <v>0</v>
      </c>
    </row>
    <row r="3300" spans="1:18" x14ac:dyDescent="0.35">
      <c r="A3300">
        <v>3299</v>
      </c>
      <c r="B3300" s="1">
        <v>45917</v>
      </c>
      <c r="C3300">
        <v>1099</v>
      </c>
      <c r="D3300" t="s">
        <v>41</v>
      </c>
      <c r="E3300" t="s">
        <v>16</v>
      </c>
      <c r="F3300" t="s">
        <v>34</v>
      </c>
      <c r="G3300">
        <v>3</v>
      </c>
      <c r="H3300">
        <v>5391</v>
      </c>
      <c r="I3300" t="s">
        <v>25</v>
      </c>
      <c r="J3300" t="s">
        <v>19</v>
      </c>
      <c r="K3300" t="s">
        <v>40</v>
      </c>
      <c r="L3300">
        <v>4</v>
      </c>
      <c r="M3300">
        <v>1</v>
      </c>
      <c r="N3300">
        <v>0</v>
      </c>
      <c r="O3300" t="s">
        <v>21</v>
      </c>
      <c r="P3300" t="str">
        <f>TEXT(Table1[[#This Row],[order_date]],"yyyy-mm")</f>
        <v>2025-09</v>
      </c>
      <c r="Q3300">
        <f>WEEKNUM(Table1[[#This Row],[order_date]])</f>
        <v>38</v>
      </c>
      <c r="R3300">
        <f>IF(Table1[[#This Row],[order_status]]="completed",1,0)</f>
        <v>1</v>
      </c>
    </row>
    <row r="3301" spans="1:18" x14ac:dyDescent="0.35">
      <c r="A3301">
        <v>3300</v>
      </c>
      <c r="B3301" s="1">
        <v>46013</v>
      </c>
      <c r="C3301">
        <v>1152</v>
      </c>
      <c r="D3301" t="s">
        <v>32</v>
      </c>
      <c r="E3301" t="s">
        <v>23</v>
      </c>
      <c r="F3301" t="s">
        <v>24</v>
      </c>
      <c r="G3301">
        <v>1</v>
      </c>
      <c r="H3301">
        <v>0</v>
      </c>
      <c r="I3301" t="s">
        <v>39</v>
      </c>
      <c r="J3301" t="s">
        <v>37</v>
      </c>
      <c r="K3301" t="s">
        <v>38</v>
      </c>
      <c r="L3301">
        <v>1</v>
      </c>
      <c r="M3301">
        <v>1</v>
      </c>
      <c r="N3301">
        <v>0</v>
      </c>
      <c r="O3301" t="s">
        <v>21</v>
      </c>
      <c r="P3301" t="str">
        <f>TEXT(Table1[[#This Row],[order_date]],"yyyy-mm")</f>
        <v>2025-12</v>
      </c>
      <c r="Q3301">
        <f>WEEKNUM(Table1[[#This Row],[order_date]])</f>
        <v>52</v>
      </c>
      <c r="R3301">
        <f>IF(Table1[[#This Row],[order_status]]="completed",1,0)</f>
        <v>0</v>
      </c>
    </row>
    <row r="3302" spans="1:18" x14ac:dyDescent="0.35">
      <c r="A3302">
        <v>3301</v>
      </c>
      <c r="B3302" s="1">
        <v>46026</v>
      </c>
      <c r="C3302">
        <v>1493</v>
      </c>
      <c r="D3302" t="s">
        <v>15</v>
      </c>
      <c r="E3302" t="s">
        <v>33</v>
      </c>
      <c r="F3302" t="s">
        <v>17</v>
      </c>
      <c r="G3302">
        <v>1</v>
      </c>
      <c r="H3302">
        <v>1232</v>
      </c>
      <c r="I3302" t="s">
        <v>25</v>
      </c>
      <c r="J3302" t="s">
        <v>19</v>
      </c>
      <c r="K3302" t="s">
        <v>40</v>
      </c>
      <c r="L3302">
        <v>6</v>
      </c>
      <c r="M3302">
        <v>1</v>
      </c>
      <c r="N3302">
        <v>1</v>
      </c>
      <c r="O3302" t="s">
        <v>27</v>
      </c>
      <c r="P3302" t="str">
        <f>TEXT(Table1[[#This Row],[order_date]],"yyyy-mm")</f>
        <v>2026-01</v>
      </c>
      <c r="Q3302">
        <f>WEEKNUM(Table1[[#This Row],[order_date]])</f>
        <v>2</v>
      </c>
      <c r="R3302">
        <f>IF(Table1[[#This Row],[order_status]]="completed",1,0)</f>
        <v>1</v>
      </c>
    </row>
    <row r="3303" spans="1:18" x14ac:dyDescent="0.35">
      <c r="A3303">
        <v>3302</v>
      </c>
      <c r="B3303" s="1">
        <v>45862</v>
      </c>
      <c r="C3303">
        <v>1932</v>
      </c>
      <c r="D3303" t="s">
        <v>15</v>
      </c>
      <c r="E3303" t="s">
        <v>29</v>
      </c>
      <c r="F3303" t="s">
        <v>17</v>
      </c>
      <c r="G3303">
        <v>3</v>
      </c>
      <c r="H3303">
        <v>1170</v>
      </c>
      <c r="I3303" t="s">
        <v>18</v>
      </c>
      <c r="J3303" t="s">
        <v>19</v>
      </c>
      <c r="K3303" t="s">
        <v>40</v>
      </c>
      <c r="L3303">
        <v>3</v>
      </c>
      <c r="M3303">
        <v>0</v>
      </c>
      <c r="N3303">
        <v>1</v>
      </c>
      <c r="O3303" t="s">
        <v>27</v>
      </c>
      <c r="P3303" t="str">
        <f>TEXT(Table1[[#This Row],[order_date]],"yyyy-mm")</f>
        <v>2025-07</v>
      </c>
      <c r="Q3303">
        <f>WEEKNUM(Table1[[#This Row],[order_date]])</f>
        <v>30</v>
      </c>
      <c r="R3303">
        <f>IF(Table1[[#This Row],[order_status]]="completed",1,0)</f>
        <v>1</v>
      </c>
    </row>
    <row r="3304" spans="1:18" x14ac:dyDescent="0.35">
      <c r="A3304">
        <v>3303</v>
      </c>
      <c r="B3304" s="1">
        <v>45947</v>
      </c>
      <c r="C3304">
        <v>1051</v>
      </c>
      <c r="D3304" t="s">
        <v>15</v>
      </c>
      <c r="E3304" t="s">
        <v>36</v>
      </c>
      <c r="F3304" t="s">
        <v>24</v>
      </c>
      <c r="G3304">
        <v>4</v>
      </c>
      <c r="H3304">
        <v>0</v>
      </c>
      <c r="I3304" t="s">
        <v>18</v>
      </c>
      <c r="J3304" t="s">
        <v>31</v>
      </c>
      <c r="K3304" t="s">
        <v>38</v>
      </c>
      <c r="L3304">
        <v>4</v>
      </c>
      <c r="M3304">
        <v>1</v>
      </c>
      <c r="N3304">
        <v>0</v>
      </c>
      <c r="O3304" t="s">
        <v>21</v>
      </c>
      <c r="P3304" t="str">
        <f>TEXT(Table1[[#This Row],[order_date]],"yyyy-mm")</f>
        <v>2025-10</v>
      </c>
      <c r="Q3304">
        <f>WEEKNUM(Table1[[#This Row],[order_date]])</f>
        <v>42</v>
      </c>
      <c r="R3304">
        <f>IF(Table1[[#This Row],[order_status]]="completed",1,0)</f>
        <v>0</v>
      </c>
    </row>
    <row r="3305" spans="1:18" x14ac:dyDescent="0.35">
      <c r="A3305">
        <v>3304</v>
      </c>
      <c r="B3305" s="1">
        <v>45969</v>
      </c>
      <c r="C3305">
        <v>1457</v>
      </c>
      <c r="D3305" t="s">
        <v>22</v>
      </c>
      <c r="E3305" t="s">
        <v>33</v>
      </c>
      <c r="F3305" t="s">
        <v>34</v>
      </c>
      <c r="G3305">
        <v>3</v>
      </c>
      <c r="H3305">
        <v>0</v>
      </c>
      <c r="I3305" t="s">
        <v>35</v>
      </c>
      <c r="J3305" t="s">
        <v>37</v>
      </c>
      <c r="K3305" t="s">
        <v>38</v>
      </c>
      <c r="L3305">
        <v>7</v>
      </c>
      <c r="M3305">
        <v>1</v>
      </c>
      <c r="N3305">
        <v>0</v>
      </c>
      <c r="O3305" t="s">
        <v>27</v>
      </c>
      <c r="P3305" t="str">
        <f>TEXT(Table1[[#This Row],[order_date]],"yyyy-mm")</f>
        <v>2025-11</v>
      </c>
      <c r="Q3305">
        <f>WEEKNUM(Table1[[#This Row],[order_date]])</f>
        <v>45</v>
      </c>
      <c r="R3305">
        <f>IF(Table1[[#This Row],[order_status]]="completed",1,0)</f>
        <v>0</v>
      </c>
    </row>
    <row r="3306" spans="1:18" x14ac:dyDescent="0.35">
      <c r="A3306">
        <v>3305</v>
      </c>
      <c r="B3306" s="1">
        <v>45868</v>
      </c>
      <c r="C3306">
        <v>1370</v>
      </c>
      <c r="D3306" t="s">
        <v>15</v>
      </c>
      <c r="E3306" t="s">
        <v>36</v>
      </c>
      <c r="F3306" t="s">
        <v>24</v>
      </c>
      <c r="G3306">
        <v>1</v>
      </c>
      <c r="H3306">
        <v>2512</v>
      </c>
      <c r="I3306" t="s">
        <v>25</v>
      </c>
      <c r="J3306" t="s">
        <v>19</v>
      </c>
      <c r="K3306" t="s">
        <v>40</v>
      </c>
      <c r="L3306">
        <v>2</v>
      </c>
      <c r="M3306">
        <v>1</v>
      </c>
      <c r="N3306">
        <v>1</v>
      </c>
      <c r="O3306" t="s">
        <v>21</v>
      </c>
      <c r="P3306" t="str">
        <f>TEXT(Table1[[#This Row],[order_date]],"yyyy-mm")</f>
        <v>2025-07</v>
      </c>
      <c r="Q3306">
        <f>WEEKNUM(Table1[[#This Row],[order_date]])</f>
        <v>31</v>
      </c>
      <c r="R3306">
        <f>IF(Table1[[#This Row],[order_status]]="completed",1,0)</f>
        <v>1</v>
      </c>
    </row>
    <row r="3307" spans="1:18" x14ac:dyDescent="0.35">
      <c r="A3307">
        <v>3306</v>
      </c>
      <c r="B3307" s="1">
        <v>46017</v>
      </c>
      <c r="C3307">
        <v>1486</v>
      </c>
      <c r="D3307" t="s">
        <v>32</v>
      </c>
      <c r="E3307" t="s">
        <v>23</v>
      </c>
      <c r="F3307" t="s">
        <v>30</v>
      </c>
      <c r="G3307">
        <v>1</v>
      </c>
      <c r="H3307">
        <v>0</v>
      </c>
      <c r="I3307" t="s">
        <v>25</v>
      </c>
      <c r="J3307" t="s">
        <v>31</v>
      </c>
      <c r="K3307" t="s">
        <v>20</v>
      </c>
      <c r="L3307">
        <v>3</v>
      </c>
      <c r="M3307">
        <v>1</v>
      </c>
      <c r="N3307">
        <v>1</v>
      </c>
      <c r="O3307" t="s">
        <v>21</v>
      </c>
      <c r="P3307" t="str">
        <f>TEXT(Table1[[#This Row],[order_date]],"yyyy-mm")</f>
        <v>2025-12</v>
      </c>
      <c r="Q3307">
        <f>WEEKNUM(Table1[[#This Row],[order_date]])</f>
        <v>52</v>
      </c>
      <c r="R3307">
        <f>IF(Table1[[#This Row],[order_status]]="completed",1,0)</f>
        <v>0</v>
      </c>
    </row>
    <row r="3308" spans="1:18" x14ac:dyDescent="0.35">
      <c r="A3308">
        <v>3307</v>
      </c>
      <c r="B3308" s="1">
        <v>45967</v>
      </c>
      <c r="C3308">
        <v>1682</v>
      </c>
      <c r="D3308" t="s">
        <v>15</v>
      </c>
      <c r="E3308" t="s">
        <v>23</v>
      </c>
      <c r="F3308" t="s">
        <v>30</v>
      </c>
      <c r="G3308">
        <v>1</v>
      </c>
      <c r="H3308">
        <v>0</v>
      </c>
      <c r="I3308" t="s">
        <v>35</v>
      </c>
      <c r="J3308" t="s">
        <v>31</v>
      </c>
      <c r="K3308" t="s">
        <v>38</v>
      </c>
      <c r="L3308">
        <v>6</v>
      </c>
      <c r="M3308">
        <v>0</v>
      </c>
      <c r="N3308">
        <v>0</v>
      </c>
      <c r="O3308" t="s">
        <v>27</v>
      </c>
      <c r="P3308" t="str">
        <f>TEXT(Table1[[#This Row],[order_date]],"yyyy-mm")</f>
        <v>2025-11</v>
      </c>
      <c r="Q3308">
        <f>WEEKNUM(Table1[[#This Row],[order_date]])</f>
        <v>45</v>
      </c>
      <c r="R3308">
        <f>IF(Table1[[#This Row],[order_status]]="completed",1,0)</f>
        <v>0</v>
      </c>
    </row>
    <row r="3309" spans="1:18" x14ac:dyDescent="0.35">
      <c r="A3309">
        <v>3308</v>
      </c>
      <c r="B3309" s="1">
        <v>45864</v>
      </c>
      <c r="C3309">
        <v>1380</v>
      </c>
      <c r="D3309" t="s">
        <v>41</v>
      </c>
      <c r="E3309" t="s">
        <v>23</v>
      </c>
      <c r="F3309" t="s">
        <v>17</v>
      </c>
      <c r="G3309">
        <v>3</v>
      </c>
      <c r="H3309">
        <v>3660</v>
      </c>
      <c r="I3309" t="s">
        <v>35</v>
      </c>
      <c r="J3309" t="s">
        <v>19</v>
      </c>
      <c r="K3309" t="s">
        <v>40</v>
      </c>
      <c r="L3309">
        <v>7</v>
      </c>
      <c r="M3309">
        <v>0</v>
      </c>
      <c r="N3309">
        <v>1</v>
      </c>
      <c r="O3309" t="s">
        <v>27</v>
      </c>
      <c r="P3309" t="str">
        <f>TEXT(Table1[[#This Row],[order_date]],"yyyy-mm")</f>
        <v>2025-07</v>
      </c>
      <c r="Q3309">
        <f>WEEKNUM(Table1[[#This Row],[order_date]])</f>
        <v>30</v>
      </c>
      <c r="R3309">
        <f>IF(Table1[[#This Row],[order_status]]="completed",1,0)</f>
        <v>1</v>
      </c>
    </row>
    <row r="3310" spans="1:18" x14ac:dyDescent="0.35">
      <c r="A3310">
        <v>3309</v>
      </c>
      <c r="B3310" s="1">
        <v>45978</v>
      </c>
      <c r="C3310">
        <v>1387</v>
      </c>
      <c r="D3310" t="s">
        <v>41</v>
      </c>
      <c r="E3310" t="s">
        <v>23</v>
      </c>
      <c r="F3310" t="s">
        <v>34</v>
      </c>
      <c r="G3310">
        <v>5</v>
      </c>
      <c r="H3310">
        <v>4780</v>
      </c>
      <c r="I3310" t="s">
        <v>39</v>
      </c>
      <c r="J3310" t="s">
        <v>19</v>
      </c>
      <c r="K3310" t="s">
        <v>20</v>
      </c>
      <c r="L3310">
        <v>10</v>
      </c>
      <c r="M3310">
        <v>1</v>
      </c>
      <c r="N3310">
        <v>0</v>
      </c>
      <c r="O3310" t="s">
        <v>27</v>
      </c>
      <c r="P3310" t="str">
        <f>TEXT(Table1[[#This Row],[order_date]],"yyyy-mm")</f>
        <v>2025-11</v>
      </c>
      <c r="Q3310">
        <f>WEEKNUM(Table1[[#This Row],[order_date]])</f>
        <v>47</v>
      </c>
      <c r="R3310">
        <f>IF(Table1[[#This Row],[order_status]]="completed",1,0)</f>
        <v>1</v>
      </c>
    </row>
    <row r="3311" spans="1:18" x14ac:dyDescent="0.35">
      <c r="A3311">
        <v>3310</v>
      </c>
      <c r="B3311" s="1">
        <v>45976</v>
      </c>
      <c r="C3311">
        <v>1495</v>
      </c>
      <c r="D3311" t="s">
        <v>41</v>
      </c>
      <c r="E3311" t="s">
        <v>23</v>
      </c>
      <c r="F3311" t="s">
        <v>30</v>
      </c>
      <c r="G3311">
        <v>1</v>
      </c>
      <c r="H3311">
        <v>0</v>
      </c>
      <c r="I3311" t="s">
        <v>18</v>
      </c>
      <c r="J3311" t="s">
        <v>37</v>
      </c>
      <c r="K3311" t="s">
        <v>40</v>
      </c>
      <c r="L3311">
        <v>10</v>
      </c>
      <c r="M3311">
        <v>0</v>
      </c>
      <c r="N3311">
        <v>1</v>
      </c>
      <c r="O3311" t="s">
        <v>21</v>
      </c>
      <c r="P3311" t="str">
        <f>TEXT(Table1[[#This Row],[order_date]],"yyyy-mm")</f>
        <v>2025-11</v>
      </c>
      <c r="Q3311">
        <f>WEEKNUM(Table1[[#This Row],[order_date]])</f>
        <v>46</v>
      </c>
      <c r="R3311">
        <f>IF(Table1[[#This Row],[order_status]]="completed",1,0)</f>
        <v>0</v>
      </c>
    </row>
    <row r="3312" spans="1:18" x14ac:dyDescent="0.35">
      <c r="A3312">
        <v>3311</v>
      </c>
      <c r="B3312" s="1">
        <v>45879</v>
      </c>
      <c r="C3312">
        <v>1911</v>
      </c>
      <c r="D3312" t="s">
        <v>22</v>
      </c>
      <c r="E3312" t="s">
        <v>16</v>
      </c>
      <c r="F3312" t="s">
        <v>24</v>
      </c>
      <c r="G3312">
        <v>2</v>
      </c>
      <c r="H3312">
        <v>0</v>
      </c>
      <c r="I3312" t="s">
        <v>39</v>
      </c>
      <c r="J3312" t="s">
        <v>37</v>
      </c>
      <c r="K3312" t="s">
        <v>20</v>
      </c>
      <c r="L3312">
        <v>6</v>
      </c>
      <c r="M3312">
        <v>1</v>
      </c>
      <c r="N3312">
        <v>0</v>
      </c>
      <c r="O3312" t="s">
        <v>27</v>
      </c>
      <c r="P3312" t="str">
        <f>TEXT(Table1[[#This Row],[order_date]],"yyyy-mm")</f>
        <v>2025-08</v>
      </c>
      <c r="Q3312">
        <f>WEEKNUM(Table1[[#This Row],[order_date]])</f>
        <v>33</v>
      </c>
      <c r="R3312">
        <f>IF(Table1[[#This Row],[order_status]]="completed",1,0)</f>
        <v>0</v>
      </c>
    </row>
    <row r="3313" spans="1:18" x14ac:dyDescent="0.35">
      <c r="A3313">
        <v>3312</v>
      </c>
      <c r="B3313" s="1">
        <v>46018</v>
      </c>
      <c r="C3313">
        <v>1694</v>
      </c>
      <c r="D3313" t="s">
        <v>22</v>
      </c>
      <c r="E3313" t="s">
        <v>33</v>
      </c>
      <c r="F3313" t="s">
        <v>30</v>
      </c>
      <c r="G3313">
        <v>5</v>
      </c>
      <c r="H3313">
        <v>0</v>
      </c>
      <c r="I3313" t="s">
        <v>18</v>
      </c>
      <c r="J3313" t="s">
        <v>31</v>
      </c>
      <c r="K3313" t="s">
        <v>40</v>
      </c>
      <c r="L3313">
        <v>1</v>
      </c>
      <c r="M3313">
        <v>0</v>
      </c>
      <c r="N3313">
        <v>1</v>
      </c>
      <c r="O3313" t="s">
        <v>21</v>
      </c>
      <c r="P3313" t="str">
        <f>TEXT(Table1[[#This Row],[order_date]],"yyyy-mm")</f>
        <v>2025-12</v>
      </c>
      <c r="Q3313">
        <f>WEEKNUM(Table1[[#This Row],[order_date]])</f>
        <v>52</v>
      </c>
      <c r="R3313">
        <f>IF(Table1[[#This Row],[order_status]]="completed",1,0)</f>
        <v>0</v>
      </c>
    </row>
    <row r="3314" spans="1:18" x14ac:dyDescent="0.35">
      <c r="A3314">
        <v>3313</v>
      </c>
      <c r="B3314" s="1">
        <v>45921</v>
      </c>
      <c r="C3314">
        <v>1169</v>
      </c>
      <c r="D3314" t="s">
        <v>15</v>
      </c>
      <c r="E3314" t="s">
        <v>16</v>
      </c>
      <c r="F3314" t="s">
        <v>17</v>
      </c>
      <c r="G3314">
        <v>2</v>
      </c>
      <c r="H3314">
        <v>9324</v>
      </c>
      <c r="I3314" t="s">
        <v>18</v>
      </c>
      <c r="J3314" t="s">
        <v>19</v>
      </c>
      <c r="K3314" t="s">
        <v>38</v>
      </c>
      <c r="L3314">
        <v>4</v>
      </c>
      <c r="M3314">
        <v>0</v>
      </c>
      <c r="N3314">
        <v>0</v>
      </c>
      <c r="O3314" t="s">
        <v>27</v>
      </c>
      <c r="P3314" t="str">
        <f>TEXT(Table1[[#This Row],[order_date]],"yyyy-mm")</f>
        <v>2025-09</v>
      </c>
      <c r="Q3314">
        <f>WEEKNUM(Table1[[#This Row],[order_date]])</f>
        <v>39</v>
      </c>
      <c r="R3314">
        <f>IF(Table1[[#This Row],[order_status]]="completed",1,0)</f>
        <v>1</v>
      </c>
    </row>
    <row r="3315" spans="1:18" x14ac:dyDescent="0.35">
      <c r="A3315">
        <v>3314</v>
      </c>
      <c r="B3315" s="1">
        <v>45928</v>
      </c>
      <c r="C3315">
        <v>1072</v>
      </c>
      <c r="D3315" t="s">
        <v>15</v>
      </c>
      <c r="E3315" t="s">
        <v>16</v>
      </c>
      <c r="F3315" t="s">
        <v>24</v>
      </c>
      <c r="G3315">
        <v>4</v>
      </c>
      <c r="H3315">
        <v>0</v>
      </c>
      <c r="I3315" t="s">
        <v>39</v>
      </c>
      <c r="J3315" t="s">
        <v>31</v>
      </c>
      <c r="K3315" t="s">
        <v>40</v>
      </c>
      <c r="L3315">
        <v>1</v>
      </c>
      <c r="M3315">
        <v>1</v>
      </c>
      <c r="N3315">
        <v>1</v>
      </c>
      <c r="O3315" t="s">
        <v>21</v>
      </c>
      <c r="P3315" t="str">
        <f>TEXT(Table1[[#This Row],[order_date]],"yyyy-mm")</f>
        <v>2025-09</v>
      </c>
      <c r="Q3315">
        <f>WEEKNUM(Table1[[#This Row],[order_date]])</f>
        <v>40</v>
      </c>
      <c r="R3315">
        <f>IF(Table1[[#This Row],[order_status]]="completed",1,0)</f>
        <v>0</v>
      </c>
    </row>
    <row r="3316" spans="1:18" x14ac:dyDescent="0.35">
      <c r="A3316">
        <v>3315</v>
      </c>
      <c r="B3316" s="1">
        <v>45995</v>
      </c>
      <c r="C3316">
        <v>1766</v>
      </c>
      <c r="D3316" t="s">
        <v>28</v>
      </c>
      <c r="E3316" t="s">
        <v>23</v>
      </c>
      <c r="F3316" t="s">
        <v>17</v>
      </c>
      <c r="G3316">
        <v>4</v>
      </c>
      <c r="H3316">
        <v>3192</v>
      </c>
      <c r="I3316" t="s">
        <v>35</v>
      </c>
      <c r="J3316" t="s">
        <v>19</v>
      </c>
      <c r="K3316" t="s">
        <v>20</v>
      </c>
      <c r="L3316">
        <v>1</v>
      </c>
      <c r="M3316">
        <v>0</v>
      </c>
      <c r="N3316">
        <v>1</v>
      </c>
      <c r="O3316" t="s">
        <v>27</v>
      </c>
      <c r="P3316" t="str">
        <f>TEXT(Table1[[#This Row],[order_date]],"yyyy-mm")</f>
        <v>2025-12</v>
      </c>
      <c r="Q3316">
        <f>WEEKNUM(Table1[[#This Row],[order_date]])</f>
        <v>49</v>
      </c>
      <c r="R3316">
        <f>IF(Table1[[#This Row],[order_status]]="completed",1,0)</f>
        <v>1</v>
      </c>
    </row>
    <row r="3317" spans="1:18" x14ac:dyDescent="0.35">
      <c r="A3317">
        <v>3316</v>
      </c>
      <c r="B3317" s="1">
        <v>45969</v>
      </c>
      <c r="C3317">
        <v>1937</v>
      </c>
      <c r="D3317" t="s">
        <v>15</v>
      </c>
      <c r="E3317" t="s">
        <v>16</v>
      </c>
      <c r="F3317" t="s">
        <v>24</v>
      </c>
      <c r="G3317">
        <v>4</v>
      </c>
      <c r="H3317">
        <v>0</v>
      </c>
      <c r="I3317" t="s">
        <v>35</v>
      </c>
      <c r="J3317" t="s">
        <v>37</v>
      </c>
      <c r="K3317" t="s">
        <v>38</v>
      </c>
      <c r="L3317">
        <v>1</v>
      </c>
      <c r="M3317">
        <v>0</v>
      </c>
      <c r="N3317">
        <v>0</v>
      </c>
      <c r="O3317" t="s">
        <v>21</v>
      </c>
      <c r="P3317" t="str">
        <f>TEXT(Table1[[#This Row],[order_date]],"yyyy-mm")</f>
        <v>2025-11</v>
      </c>
      <c r="Q3317">
        <f>WEEKNUM(Table1[[#This Row],[order_date]])</f>
        <v>45</v>
      </c>
      <c r="R3317">
        <f>IF(Table1[[#This Row],[order_status]]="completed",1,0)</f>
        <v>0</v>
      </c>
    </row>
    <row r="3318" spans="1:18" x14ac:dyDescent="0.35">
      <c r="A3318">
        <v>3317</v>
      </c>
      <c r="B3318" s="1">
        <v>46005</v>
      </c>
      <c r="C3318">
        <v>1748</v>
      </c>
      <c r="D3318" t="s">
        <v>28</v>
      </c>
      <c r="E3318" t="s">
        <v>29</v>
      </c>
      <c r="F3318" t="s">
        <v>24</v>
      </c>
      <c r="G3318">
        <v>1</v>
      </c>
      <c r="H3318">
        <v>0</v>
      </c>
      <c r="I3318" t="s">
        <v>25</v>
      </c>
      <c r="J3318" t="s">
        <v>31</v>
      </c>
      <c r="K3318" t="s">
        <v>40</v>
      </c>
      <c r="L3318">
        <v>10</v>
      </c>
      <c r="M3318">
        <v>1</v>
      </c>
      <c r="N3318">
        <v>1</v>
      </c>
      <c r="O3318" t="s">
        <v>27</v>
      </c>
      <c r="P3318" t="str">
        <f>TEXT(Table1[[#This Row],[order_date]],"yyyy-mm")</f>
        <v>2025-12</v>
      </c>
      <c r="Q3318">
        <f>WEEKNUM(Table1[[#This Row],[order_date]])</f>
        <v>51</v>
      </c>
      <c r="R3318">
        <f>IF(Table1[[#This Row],[order_status]]="completed",1,0)</f>
        <v>0</v>
      </c>
    </row>
    <row r="3319" spans="1:18" x14ac:dyDescent="0.35">
      <c r="A3319">
        <v>3318</v>
      </c>
      <c r="B3319" s="1">
        <v>46030</v>
      </c>
      <c r="C3319">
        <v>1984</v>
      </c>
      <c r="D3319" t="s">
        <v>15</v>
      </c>
      <c r="E3319" t="s">
        <v>16</v>
      </c>
      <c r="F3319" t="s">
        <v>30</v>
      </c>
      <c r="G3319">
        <v>1</v>
      </c>
      <c r="H3319">
        <v>2810</v>
      </c>
      <c r="I3319" t="s">
        <v>35</v>
      </c>
      <c r="J3319" t="s">
        <v>19</v>
      </c>
      <c r="K3319" t="s">
        <v>26</v>
      </c>
      <c r="L3319">
        <v>8</v>
      </c>
      <c r="M3319">
        <v>1</v>
      </c>
      <c r="N3319">
        <v>1</v>
      </c>
      <c r="O3319" t="s">
        <v>27</v>
      </c>
      <c r="P3319" t="str">
        <f>TEXT(Table1[[#This Row],[order_date]],"yyyy-mm")</f>
        <v>2026-01</v>
      </c>
      <c r="Q3319">
        <f>WEEKNUM(Table1[[#This Row],[order_date]])</f>
        <v>2</v>
      </c>
      <c r="R3319">
        <f>IF(Table1[[#This Row],[order_status]]="completed",1,0)</f>
        <v>1</v>
      </c>
    </row>
    <row r="3320" spans="1:18" x14ac:dyDescent="0.35">
      <c r="A3320">
        <v>3319</v>
      </c>
      <c r="B3320" s="1">
        <v>45898</v>
      </c>
      <c r="C3320">
        <v>1194</v>
      </c>
      <c r="D3320" t="s">
        <v>41</v>
      </c>
      <c r="E3320" t="s">
        <v>29</v>
      </c>
      <c r="F3320" t="s">
        <v>34</v>
      </c>
      <c r="G3320">
        <v>1</v>
      </c>
      <c r="H3320">
        <v>0</v>
      </c>
      <c r="I3320" t="s">
        <v>18</v>
      </c>
      <c r="J3320" t="s">
        <v>31</v>
      </c>
      <c r="K3320" t="s">
        <v>40</v>
      </c>
      <c r="L3320">
        <v>3</v>
      </c>
      <c r="M3320">
        <v>1</v>
      </c>
      <c r="N3320">
        <v>0</v>
      </c>
      <c r="O3320" t="s">
        <v>21</v>
      </c>
      <c r="P3320" t="str">
        <f>TEXT(Table1[[#This Row],[order_date]],"yyyy-mm")</f>
        <v>2025-08</v>
      </c>
      <c r="Q3320">
        <f>WEEKNUM(Table1[[#This Row],[order_date]])</f>
        <v>35</v>
      </c>
      <c r="R3320">
        <f>IF(Table1[[#This Row],[order_status]]="completed",1,0)</f>
        <v>0</v>
      </c>
    </row>
    <row r="3321" spans="1:18" x14ac:dyDescent="0.35">
      <c r="A3321">
        <v>3320</v>
      </c>
      <c r="B3321" s="1">
        <v>45898</v>
      </c>
      <c r="C3321">
        <v>1417</v>
      </c>
      <c r="D3321" t="s">
        <v>32</v>
      </c>
      <c r="E3321" t="s">
        <v>36</v>
      </c>
      <c r="F3321" t="s">
        <v>34</v>
      </c>
      <c r="G3321">
        <v>1</v>
      </c>
      <c r="H3321">
        <v>0</v>
      </c>
      <c r="I3321" t="s">
        <v>25</v>
      </c>
      <c r="J3321" t="s">
        <v>31</v>
      </c>
      <c r="K3321" t="s">
        <v>26</v>
      </c>
      <c r="L3321">
        <v>2</v>
      </c>
      <c r="M3321">
        <v>0</v>
      </c>
      <c r="N3321">
        <v>1</v>
      </c>
      <c r="O3321" t="s">
        <v>27</v>
      </c>
      <c r="P3321" t="str">
        <f>TEXT(Table1[[#This Row],[order_date]],"yyyy-mm")</f>
        <v>2025-08</v>
      </c>
      <c r="Q3321">
        <f>WEEKNUM(Table1[[#This Row],[order_date]])</f>
        <v>35</v>
      </c>
      <c r="R3321">
        <f>IF(Table1[[#This Row],[order_status]]="completed",1,0)</f>
        <v>0</v>
      </c>
    </row>
    <row r="3322" spans="1:18" x14ac:dyDescent="0.35">
      <c r="A3322">
        <v>3321</v>
      </c>
      <c r="B3322" s="1">
        <v>45960</v>
      </c>
      <c r="C3322">
        <v>1955</v>
      </c>
      <c r="D3322" t="s">
        <v>22</v>
      </c>
      <c r="E3322" t="s">
        <v>23</v>
      </c>
      <c r="F3322" t="s">
        <v>17</v>
      </c>
      <c r="G3322">
        <v>5</v>
      </c>
      <c r="H3322">
        <v>21640</v>
      </c>
      <c r="I3322" t="s">
        <v>18</v>
      </c>
      <c r="J3322" t="s">
        <v>19</v>
      </c>
      <c r="K3322" t="s">
        <v>26</v>
      </c>
      <c r="L3322">
        <v>2</v>
      </c>
      <c r="M3322">
        <v>1</v>
      </c>
      <c r="N3322">
        <v>1</v>
      </c>
      <c r="O3322" t="s">
        <v>21</v>
      </c>
      <c r="P3322" t="str">
        <f>TEXT(Table1[[#This Row],[order_date]],"yyyy-mm")</f>
        <v>2025-10</v>
      </c>
      <c r="Q3322">
        <f>WEEKNUM(Table1[[#This Row],[order_date]])</f>
        <v>44</v>
      </c>
      <c r="R3322">
        <f>IF(Table1[[#This Row],[order_status]]="completed",1,0)</f>
        <v>1</v>
      </c>
    </row>
    <row r="3323" spans="1:18" x14ac:dyDescent="0.35">
      <c r="A3323">
        <v>3322</v>
      </c>
      <c r="B3323" s="1">
        <v>45911</v>
      </c>
      <c r="C3323">
        <v>1571</v>
      </c>
      <c r="D3323" t="s">
        <v>15</v>
      </c>
      <c r="E3323" t="s">
        <v>36</v>
      </c>
      <c r="F3323" t="s">
        <v>24</v>
      </c>
      <c r="G3323">
        <v>5</v>
      </c>
      <c r="H3323">
        <v>2475</v>
      </c>
      <c r="I3323" t="s">
        <v>39</v>
      </c>
      <c r="J3323" t="s">
        <v>19</v>
      </c>
      <c r="K3323" t="s">
        <v>26</v>
      </c>
      <c r="L3323">
        <v>1</v>
      </c>
      <c r="M3323">
        <v>0</v>
      </c>
      <c r="N3323">
        <v>1</v>
      </c>
      <c r="O3323" t="s">
        <v>27</v>
      </c>
      <c r="P3323" t="str">
        <f>TEXT(Table1[[#This Row],[order_date]],"yyyy-mm")</f>
        <v>2025-09</v>
      </c>
      <c r="Q3323">
        <f>WEEKNUM(Table1[[#This Row],[order_date]])</f>
        <v>37</v>
      </c>
      <c r="R3323">
        <f>IF(Table1[[#This Row],[order_status]]="completed",1,0)</f>
        <v>1</v>
      </c>
    </row>
    <row r="3324" spans="1:18" x14ac:dyDescent="0.35">
      <c r="A3324">
        <v>3323</v>
      </c>
      <c r="B3324" s="1">
        <v>46027</v>
      </c>
      <c r="C3324">
        <v>1172</v>
      </c>
      <c r="D3324" t="s">
        <v>41</v>
      </c>
      <c r="E3324" t="s">
        <v>16</v>
      </c>
      <c r="F3324" t="s">
        <v>17</v>
      </c>
      <c r="G3324">
        <v>3</v>
      </c>
      <c r="H3324">
        <v>2793</v>
      </c>
      <c r="I3324" t="s">
        <v>18</v>
      </c>
      <c r="J3324" t="s">
        <v>19</v>
      </c>
      <c r="K3324" t="s">
        <v>26</v>
      </c>
      <c r="L3324">
        <v>9</v>
      </c>
      <c r="M3324">
        <v>0</v>
      </c>
      <c r="N3324">
        <v>0</v>
      </c>
      <c r="O3324" t="s">
        <v>27</v>
      </c>
      <c r="P3324" t="str">
        <f>TEXT(Table1[[#This Row],[order_date]],"yyyy-mm")</f>
        <v>2026-01</v>
      </c>
      <c r="Q3324">
        <f>WEEKNUM(Table1[[#This Row],[order_date]])</f>
        <v>2</v>
      </c>
      <c r="R3324">
        <f>IF(Table1[[#This Row],[order_status]]="completed",1,0)</f>
        <v>1</v>
      </c>
    </row>
    <row r="3325" spans="1:18" x14ac:dyDescent="0.35">
      <c r="A3325">
        <v>3324</v>
      </c>
      <c r="B3325" s="1">
        <v>45920</v>
      </c>
      <c r="C3325">
        <v>1434</v>
      </c>
      <c r="D3325" t="s">
        <v>41</v>
      </c>
      <c r="E3325" t="s">
        <v>29</v>
      </c>
      <c r="F3325" t="s">
        <v>30</v>
      </c>
      <c r="G3325">
        <v>2</v>
      </c>
      <c r="H3325">
        <v>0</v>
      </c>
      <c r="I3325" t="s">
        <v>18</v>
      </c>
      <c r="J3325" t="s">
        <v>37</v>
      </c>
      <c r="K3325" t="s">
        <v>38</v>
      </c>
      <c r="L3325">
        <v>3</v>
      </c>
      <c r="M3325">
        <v>1</v>
      </c>
      <c r="N3325">
        <v>0</v>
      </c>
      <c r="O3325" t="s">
        <v>21</v>
      </c>
      <c r="P3325" t="str">
        <f>TEXT(Table1[[#This Row],[order_date]],"yyyy-mm")</f>
        <v>2025-09</v>
      </c>
      <c r="Q3325">
        <f>WEEKNUM(Table1[[#This Row],[order_date]])</f>
        <v>38</v>
      </c>
      <c r="R3325">
        <f>IF(Table1[[#This Row],[order_status]]="completed",1,0)</f>
        <v>0</v>
      </c>
    </row>
    <row r="3326" spans="1:18" x14ac:dyDescent="0.35">
      <c r="A3326">
        <v>3325</v>
      </c>
      <c r="B3326" s="1">
        <v>45916</v>
      </c>
      <c r="C3326">
        <v>1153</v>
      </c>
      <c r="D3326" t="s">
        <v>15</v>
      </c>
      <c r="E3326" t="s">
        <v>16</v>
      </c>
      <c r="F3326" t="s">
        <v>30</v>
      </c>
      <c r="G3326">
        <v>4</v>
      </c>
      <c r="H3326">
        <v>16104</v>
      </c>
      <c r="I3326" t="s">
        <v>25</v>
      </c>
      <c r="J3326" t="s">
        <v>19</v>
      </c>
      <c r="K3326" t="s">
        <v>38</v>
      </c>
      <c r="L3326">
        <v>3</v>
      </c>
      <c r="M3326">
        <v>1</v>
      </c>
      <c r="N3326">
        <v>1</v>
      </c>
      <c r="O3326" t="s">
        <v>27</v>
      </c>
      <c r="P3326" t="str">
        <f>TEXT(Table1[[#This Row],[order_date]],"yyyy-mm")</f>
        <v>2025-09</v>
      </c>
      <c r="Q3326">
        <f>WEEKNUM(Table1[[#This Row],[order_date]])</f>
        <v>38</v>
      </c>
      <c r="R3326">
        <f>IF(Table1[[#This Row],[order_status]]="completed",1,0)</f>
        <v>1</v>
      </c>
    </row>
    <row r="3327" spans="1:18" x14ac:dyDescent="0.35">
      <c r="A3327">
        <v>3326</v>
      </c>
      <c r="B3327" s="1">
        <v>45976</v>
      </c>
      <c r="C3327">
        <v>1416</v>
      </c>
      <c r="D3327" t="s">
        <v>32</v>
      </c>
      <c r="E3327" t="s">
        <v>33</v>
      </c>
      <c r="F3327" t="s">
        <v>34</v>
      </c>
      <c r="G3327">
        <v>3</v>
      </c>
      <c r="H3327">
        <v>3753</v>
      </c>
      <c r="I3327" t="s">
        <v>25</v>
      </c>
      <c r="J3327" t="s">
        <v>19</v>
      </c>
      <c r="K3327" t="s">
        <v>40</v>
      </c>
      <c r="L3327">
        <v>6</v>
      </c>
      <c r="M3327">
        <v>1</v>
      </c>
      <c r="N3327">
        <v>1</v>
      </c>
      <c r="O3327" t="s">
        <v>27</v>
      </c>
      <c r="P3327" t="str">
        <f>TEXT(Table1[[#This Row],[order_date]],"yyyy-mm")</f>
        <v>2025-11</v>
      </c>
      <c r="Q3327">
        <f>WEEKNUM(Table1[[#This Row],[order_date]])</f>
        <v>46</v>
      </c>
      <c r="R3327">
        <f>IF(Table1[[#This Row],[order_status]]="completed",1,0)</f>
        <v>1</v>
      </c>
    </row>
    <row r="3328" spans="1:18" x14ac:dyDescent="0.35">
      <c r="A3328">
        <v>3327</v>
      </c>
      <c r="B3328" s="1">
        <v>45973</v>
      </c>
      <c r="C3328">
        <v>1509</v>
      </c>
      <c r="D3328" t="s">
        <v>32</v>
      </c>
      <c r="E3328" t="s">
        <v>23</v>
      </c>
      <c r="F3328" t="s">
        <v>17</v>
      </c>
      <c r="G3328">
        <v>3</v>
      </c>
      <c r="H3328">
        <v>0</v>
      </c>
      <c r="I3328" t="s">
        <v>35</v>
      </c>
      <c r="J3328" t="s">
        <v>31</v>
      </c>
      <c r="K3328" t="s">
        <v>40</v>
      </c>
      <c r="L3328">
        <v>4</v>
      </c>
      <c r="M3328">
        <v>1</v>
      </c>
      <c r="N3328">
        <v>1</v>
      </c>
      <c r="O3328" t="s">
        <v>27</v>
      </c>
      <c r="P3328" t="str">
        <f>TEXT(Table1[[#This Row],[order_date]],"yyyy-mm")</f>
        <v>2025-11</v>
      </c>
      <c r="Q3328">
        <f>WEEKNUM(Table1[[#This Row],[order_date]])</f>
        <v>46</v>
      </c>
      <c r="R3328">
        <f>IF(Table1[[#This Row],[order_status]]="completed",1,0)</f>
        <v>0</v>
      </c>
    </row>
    <row r="3329" spans="1:18" x14ac:dyDescent="0.35">
      <c r="A3329">
        <v>3328</v>
      </c>
      <c r="B3329" s="1">
        <v>45926</v>
      </c>
      <c r="C3329">
        <v>1428</v>
      </c>
      <c r="D3329" t="s">
        <v>32</v>
      </c>
      <c r="E3329" t="s">
        <v>23</v>
      </c>
      <c r="F3329" t="s">
        <v>30</v>
      </c>
      <c r="G3329">
        <v>2</v>
      </c>
      <c r="H3329">
        <v>3808</v>
      </c>
      <c r="I3329" t="s">
        <v>39</v>
      </c>
      <c r="J3329" t="s">
        <v>19</v>
      </c>
      <c r="K3329" t="s">
        <v>20</v>
      </c>
      <c r="L3329">
        <v>1</v>
      </c>
      <c r="M3329">
        <v>1</v>
      </c>
      <c r="N3329">
        <v>1</v>
      </c>
      <c r="O3329" t="s">
        <v>27</v>
      </c>
      <c r="P3329" t="str">
        <f>TEXT(Table1[[#This Row],[order_date]],"yyyy-mm")</f>
        <v>2025-09</v>
      </c>
      <c r="Q3329">
        <f>WEEKNUM(Table1[[#This Row],[order_date]])</f>
        <v>39</v>
      </c>
      <c r="R3329">
        <f>IF(Table1[[#This Row],[order_status]]="completed",1,0)</f>
        <v>1</v>
      </c>
    </row>
    <row r="3330" spans="1:18" x14ac:dyDescent="0.35">
      <c r="A3330">
        <v>3329</v>
      </c>
      <c r="B3330" s="1">
        <v>46025</v>
      </c>
      <c r="C3330">
        <v>1651</v>
      </c>
      <c r="D3330" t="s">
        <v>32</v>
      </c>
      <c r="E3330" t="s">
        <v>36</v>
      </c>
      <c r="F3330" t="s">
        <v>17</v>
      </c>
      <c r="G3330">
        <v>1</v>
      </c>
      <c r="H3330">
        <v>0</v>
      </c>
      <c r="I3330" t="s">
        <v>35</v>
      </c>
      <c r="J3330" t="s">
        <v>31</v>
      </c>
      <c r="K3330" t="s">
        <v>26</v>
      </c>
      <c r="L3330">
        <v>9</v>
      </c>
      <c r="M3330">
        <v>0</v>
      </c>
      <c r="N3330">
        <v>1</v>
      </c>
      <c r="O3330" t="s">
        <v>21</v>
      </c>
      <c r="P3330" t="str">
        <f>TEXT(Table1[[#This Row],[order_date]],"yyyy-mm")</f>
        <v>2026-01</v>
      </c>
      <c r="Q3330">
        <f>WEEKNUM(Table1[[#This Row],[order_date]])</f>
        <v>1</v>
      </c>
      <c r="R3330">
        <f>IF(Table1[[#This Row],[order_status]]="completed",1,0)</f>
        <v>0</v>
      </c>
    </row>
    <row r="3331" spans="1:18" x14ac:dyDescent="0.35">
      <c r="A3331">
        <v>3330</v>
      </c>
      <c r="B3331" s="1">
        <v>45911</v>
      </c>
      <c r="C3331">
        <v>1812</v>
      </c>
      <c r="D3331" t="s">
        <v>28</v>
      </c>
      <c r="E3331" t="s">
        <v>36</v>
      </c>
      <c r="F3331" t="s">
        <v>30</v>
      </c>
      <c r="G3331">
        <v>4</v>
      </c>
      <c r="H3331">
        <v>0</v>
      </c>
      <c r="I3331" t="s">
        <v>18</v>
      </c>
      <c r="J3331" t="s">
        <v>37</v>
      </c>
      <c r="K3331" t="s">
        <v>26</v>
      </c>
      <c r="L3331">
        <v>10</v>
      </c>
      <c r="M3331">
        <v>0</v>
      </c>
      <c r="N3331">
        <v>0</v>
      </c>
      <c r="O3331" t="s">
        <v>27</v>
      </c>
      <c r="P3331" t="str">
        <f>TEXT(Table1[[#This Row],[order_date]],"yyyy-mm")</f>
        <v>2025-09</v>
      </c>
      <c r="Q3331">
        <f>WEEKNUM(Table1[[#This Row],[order_date]])</f>
        <v>37</v>
      </c>
      <c r="R3331">
        <f>IF(Table1[[#This Row],[order_status]]="completed",1,0)</f>
        <v>0</v>
      </c>
    </row>
    <row r="3332" spans="1:18" x14ac:dyDescent="0.35">
      <c r="A3332">
        <v>3331</v>
      </c>
      <c r="B3332" s="1">
        <v>45930</v>
      </c>
      <c r="C3332">
        <v>1835</v>
      </c>
      <c r="D3332" t="s">
        <v>28</v>
      </c>
      <c r="E3332" t="s">
        <v>36</v>
      </c>
      <c r="F3332" t="s">
        <v>17</v>
      </c>
      <c r="G3332">
        <v>3</v>
      </c>
      <c r="H3332">
        <v>13770</v>
      </c>
      <c r="I3332" t="s">
        <v>25</v>
      </c>
      <c r="J3332" t="s">
        <v>19</v>
      </c>
      <c r="K3332" t="s">
        <v>38</v>
      </c>
      <c r="L3332">
        <v>10</v>
      </c>
      <c r="M3332">
        <v>1</v>
      </c>
      <c r="N3332">
        <v>1</v>
      </c>
      <c r="O3332" t="s">
        <v>27</v>
      </c>
      <c r="P3332" t="str">
        <f>TEXT(Table1[[#This Row],[order_date]],"yyyy-mm")</f>
        <v>2025-09</v>
      </c>
      <c r="Q3332">
        <f>WEEKNUM(Table1[[#This Row],[order_date]])</f>
        <v>40</v>
      </c>
      <c r="R3332">
        <f>IF(Table1[[#This Row],[order_status]]="completed",1,0)</f>
        <v>1</v>
      </c>
    </row>
    <row r="3333" spans="1:18" x14ac:dyDescent="0.35">
      <c r="A3333">
        <v>3332</v>
      </c>
      <c r="B3333" s="1">
        <v>45935</v>
      </c>
      <c r="C3333">
        <v>1878</v>
      </c>
      <c r="D3333" t="s">
        <v>22</v>
      </c>
      <c r="E3333" t="s">
        <v>33</v>
      </c>
      <c r="F3333" t="s">
        <v>17</v>
      </c>
      <c r="G3333">
        <v>4</v>
      </c>
      <c r="H3333">
        <v>5540</v>
      </c>
      <c r="I3333" t="s">
        <v>25</v>
      </c>
      <c r="J3333" t="s">
        <v>19</v>
      </c>
      <c r="K3333" t="s">
        <v>38</v>
      </c>
      <c r="L3333">
        <v>5</v>
      </c>
      <c r="M3333">
        <v>0</v>
      </c>
      <c r="N3333">
        <v>1</v>
      </c>
      <c r="O3333" t="s">
        <v>27</v>
      </c>
      <c r="P3333" t="str">
        <f>TEXT(Table1[[#This Row],[order_date]],"yyyy-mm")</f>
        <v>2025-10</v>
      </c>
      <c r="Q3333">
        <f>WEEKNUM(Table1[[#This Row],[order_date]])</f>
        <v>41</v>
      </c>
      <c r="R3333">
        <f>IF(Table1[[#This Row],[order_status]]="completed",1,0)</f>
        <v>1</v>
      </c>
    </row>
    <row r="3334" spans="1:18" x14ac:dyDescent="0.35">
      <c r="A3334">
        <v>3333</v>
      </c>
      <c r="B3334" s="1">
        <v>45954</v>
      </c>
      <c r="C3334">
        <v>1972</v>
      </c>
      <c r="D3334" t="s">
        <v>28</v>
      </c>
      <c r="E3334" t="s">
        <v>29</v>
      </c>
      <c r="F3334" t="s">
        <v>24</v>
      </c>
      <c r="G3334">
        <v>4</v>
      </c>
      <c r="H3334">
        <v>0</v>
      </c>
      <c r="I3334" t="s">
        <v>39</v>
      </c>
      <c r="J3334" t="s">
        <v>37</v>
      </c>
      <c r="K3334" t="s">
        <v>38</v>
      </c>
      <c r="L3334">
        <v>6</v>
      </c>
      <c r="M3334">
        <v>1</v>
      </c>
      <c r="N3334">
        <v>1</v>
      </c>
      <c r="O3334" t="s">
        <v>21</v>
      </c>
      <c r="P3334" t="str">
        <f>TEXT(Table1[[#This Row],[order_date]],"yyyy-mm")</f>
        <v>2025-10</v>
      </c>
      <c r="Q3334">
        <f>WEEKNUM(Table1[[#This Row],[order_date]])</f>
        <v>43</v>
      </c>
      <c r="R3334">
        <f>IF(Table1[[#This Row],[order_status]]="completed",1,0)</f>
        <v>0</v>
      </c>
    </row>
    <row r="3335" spans="1:18" x14ac:dyDescent="0.35">
      <c r="A3335">
        <v>3334</v>
      </c>
      <c r="B3335" s="1">
        <v>45986</v>
      </c>
      <c r="C3335">
        <v>1949</v>
      </c>
      <c r="D3335" t="s">
        <v>22</v>
      </c>
      <c r="E3335" t="s">
        <v>33</v>
      </c>
      <c r="F3335" t="s">
        <v>30</v>
      </c>
      <c r="G3335">
        <v>4</v>
      </c>
      <c r="H3335">
        <v>19420</v>
      </c>
      <c r="I3335" t="s">
        <v>39</v>
      </c>
      <c r="J3335" t="s">
        <v>19</v>
      </c>
      <c r="K3335" t="s">
        <v>38</v>
      </c>
      <c r="L3335">
        <v>6</v>
      </c>
      <c r="M3335">
        <v>0</v>
      </c>
      <c r="N3335">
        <v>0</v>
      </c>
      <c r="O3335" t="s">
        <v>21</v>
      </c>
      <c r="P3335" t="str">
        <f>TEXT(Table1[[#This Row],[order_date]],"yyyy-mm")</f>
        <v>2025-11</v>
      </c>
      <c r="Q3335">
        <f>WEEKNUM(Table1[[#This Row],[order_date]])</f>
        <v>48</v>
      </c>
      <c r="R3335">
        <f>IF(Table1[[#This Row],[order_status]]="completed",1,0)</f>
        <v>1</v>
      </c>
    </row>
    <row r="3336" spans="1:18" x14ac:dyDescent="0.35">
      <c r="A3336">
        <v>3335</v>
      </c>
      <c r="B3336" s="1">
        <v>45871</v>
      </c>
      <c r="C3336">
        <v>1902</v>
      </c>
      <c r="D3336" t="s">
        <v>22</v>
      </c>
      <c r="E3336" t="s">
        <v>33</v>
      </c>
      <c r="F3336" t="s">
        <v>34</v>
      </c>
      <c r="G3336">
        <v>4</v>
      </c>
      <c r="H3336">
        <v>0</v>
      </c>
      <c r="I3336" t="s">
        <v>35</v>
      </c>
      <c r="J3336" t="s">
        <v>37</v>
      </c>
      <c r="K3336" t="s">
        <v>38</v>
      </c>
      <c r="L3336">
        <v>6</v>
      </c>
      <c r="M3336">
        <v>0</v>
      </c>
      <c r="N3336">
        <v>1</v>
      </c>
      <c r="O3336" t="s">
        <v>21</v>
      </c>
      <c r="P3336" t="str">
        <f>TEXT(Table1[[#This Row],[order_date]],"yyyy-mm")</f>
        <v>2025-08</v>
      </c>
      <c r="Q3336">
        <f>WEEKNUM(Table1[[#This Row],[order_date]])</f>
        <v>31</v>
      </c>
      <c r="R3336">
        <f>IF(Table1[[#This Row],[order_status]]="completed",1,0)</f>
        <v>0</v>
      </c>
    </row>
    <row r="3337" spans="1:18" x14ac:dyDescent="0.35">
      <c r="A3337">
        <v>3336</v>
      </c>
      <c r="B3337" s="1">
        <v>45872</v>
      </c>
      <c r="C3337">
        <v>1518</v>
      </c>
      <c r="D3337" t="s">
        <v>28</v>
      </c>
      <c r="E3337" t="s">
        <v>36</v>
      </c>
      <c r="F3337" t="s">
        <v>24</v>
      </c>
      <c r="G3337">
        <v>1</v>
      </c>
      <c r="H3337">
        <v>0</v>
      </c>
      <c r="I3337" t="s">
        <v>39</v>
      </c>
      <c r="J3337" t="s">
        <v>31</v>
      </c>
      <c r="K3337" t="s">
        <v>20</v>
      </c>
      <c r="L3337">
        <v>1</v>
      </c>
      <c r="M3337">
        <v>1</v>
      </c>
      <c r="N3337">
        <v>1</v>
      </c>
      <c r="O3337" t="s">
        <v>21</v>
      </c>
      <c r="P3337" t="str">
        <f>TEXT(Table1[[#This Row],[order_date]],"yyyy-mm")</f>
        <v>2025-08</v>
      </c>
      <c r="Q3337">
        <f>WEEKNUM(Table1[[#This Row],[order_date]])</f>
        <v>32</v>
      </c>
      <c r="R3337">
        <f>IF(Table1[[#This Row],[order_status]]="completed",1,0)</f>
        <v>0</v>
      </c>
    </row>
    <row r="3338" spans="1:18" x14ac:dyDescent="0.35">
      <c r="A3338">
        <v>3337</v>
      </c>
      <c r="B3338" s="1">
        <v>45888</v>
      </c>
      <c r="C3338">
        <v>1652</v>
      </c>
      <c r="D3338" t="s">
        <v>41</v>
      </c>
      <c r="E3338" t="s">
        <v>36</v>
      </c>
      <c r="F3338" t="s">
        <v>17</v>
      </c>
      <c r="G3338">
        <v>2</v>
      </c>
      <c r="H3338">
        <v>5118</v>
      </c>
      <c r="I3338" t="s">
        <v>18</v>
      </c>
      <c r="J3338" t="s">
        <v>19</v>
      </c>
      <c r="K3338" t="s">
        <v>26</v>
      </c>
      <c r="L3338">
        <v>1</v>
      </c>
      <c r="M3338">
        <v>1</v>
      </c>
      <c r="N3338">
        <v>1</v>
      </c>
      <c r="O3338" t="s">
        <v>21</v>
      </c>
      <c r="P3338" t="str">
        <f>TEXT(Table1[[#This Row],[order_date]],"yyyy-mm")</f>
        <v>2025-08</v>
      </c>
      <c r="Q3338">
        <f>WEEKNUM(Table1[[#This Row],[order_date]])</f>
        <v>34</v>
      </c>
      <c r="R3338">
        <f>IF(Table1[[#This Row],[order_status]]="completed",1,0)</f>
        <v>1</v>
      </c>
    </row>
    <row r="3339" spans="1:18" x14ac:dyDescent="0.35">
      <c r="A3339">
        <v>3338</v>
      </c>
      <c r="B3339" s="1">
        <v>45936</v>
      </c>
      <c r="C3339">
        <v>1416</v>
      </c>
      <c r="D3339" t="s">
        <v>22</v>
      </c>
      <c r="E3339" t="s">
        <v>29</v>
      </c>
      <c r="F3339" t="s">
        <v>34</v>
      </c>
      <c r="G3339">
        <v>4</v>
      </c>
      <c r="H3339">
        <v>0</v>
      </c>
      <c r="I3339" t="s">
        <v>39</v>
      </c>
      <c r="J3339" t="s">
        <v>31</v>
      </c>
      <c r="K3339" t="s">
        <v>26</v>
      </c>
      <c r="L3339">
        <v>3</v>
      </c>
      <c r="M3339">
        <v>1</v>
      </c>
      <c r="N3339">
        <v>0</v>
      </c>
      <c r="O3339" t="s">
        <v>27</v>
      </c>
      <c r="P3339" t="str">
        <f>TEXT(Table1[[#This Row],[order_date]],"yyyy-mm")</f>
        <v>2025-10</v>
      </c>
      <c r="Q3339">
        <f>WEEKNUM(Table1[[#This Row],[order_date]])</f>
        <v>41</v>
      </c>
      <c r="R3339">
        <f>IF(Table1[[#This Row],[order_status]]="completed",1,0)</f>
        <v>0</v>
      </c>
    </row>
    <row r="3340" spans="1:18" x14ac:dyDescent="0.35">
      <c r="A3340">
        <v>3339</v>
      </c>
      <c r="B3340" s="1">
        <v>45875</v>
      </c>
      <c r="C3340">
        <v>1751</v>
      </c>
      <c r="D3340" t="s">
        <v>22</v>
      </c>
      <c r="E3340" t="s">
        <v>29</v>
      </c>
      <c r="F3340" t="s">
        <v>30</v>
      </c>
      <c r="G3340">
        <v>1</v>
      </c>
      <c r="H3340">
        <v>0</v>
      </c>
      <c r="I3340" t="s">
        <v>35</v>
      </c>
      <c r="J3340" t="s">
        <v>37</v>
      </c>
      <c r="K3340" t="s">
        <v>26</v>
      </c>
      <c r="L3340">
        <v>4</v>
      </c>
      <c r="M3340">
        <v>0</v>
      </c>
      <c r="N3340">
        <v>1</v>
      </c>
      <c r="O3340" t="s">
        <v>27</v>
      </c>
      <c r="P3340" t="str">
        <f>TEXT(Table1[[#This Row],[order_date]],"yyyy-mm")</f>
        <v>2025-08</v>
      </c>
      <c r="Q3340">
        <f>WEEKNUM(Table1[[#This Row],[order_date]])</f>
        <v>32</v>
      </c>
      <c r="R3340">
        <f>IF(Table1[[#This Row],[order_status]]="completed",1,0)</f>
        <v>0</v>
      </c>
    </row>
    <row r="3341" spans="1:18" x14ac:dyDescent="0.35">
      <c r="A3341">
        <v>3340</v>
      </c>
      <c r="B3341" s="1">
        <v>45954</v>
      </c>
      <c r="C3341">
        <v>1665</v>
      </c>
      <c r="D3341" t="s">
        <v>15</v>
      </c>
      <c r="E3341" t="s">
        <v>23</v>
      </c>
      <c r="F3341" t="s">
        <v>17</v>
      </c>
      <c r="G3341">
        <v>2</v>
      </c>
      <c r="H3341">
        <v>0</v>
      </c>
      <c r="I3341" t="s">
        <v>25</v>
      </c>
      <c r="J3341" t="s">
        <v>31</v>
      </c>
      <c r="K3341" t="s">
        <v>26</v>
      </c>
      <c r="L3341">
        <v>10</v>
      </c>
      <c r="M3341">
        <v>0</v>
      </c>
      <c r="N3341">
        <v>1</v>
      </c>
      <c r="O3341" t="s">
        <v>21</v>
      </c>
      <c r="P3341" t="str">
        <f>TEXT(Table1[[#This Row],[order_date]],"yyyy-mm")</f>
        <v>2025-10</v>
      </c>
      <c r="Q3341">
        <f>WEEKNUM(Table1[[#This Row],[order_date]])</f>
        <v>43</v>
      </c>
      <c r="R3341">
        <f>IF(Table1[[#This Row],[order_status]]="completed",1,0)</f>
        <v>0</v>
      </c>
    </row>
    <row r="3342" spans="1:18" x14ac:dyDescent="0.35">
      <c r="A3342">
        <v>3341</v>
      </c>
      <c r="B3342" s="1">
        <v>45944</v>
      </c>
      <c r="C3342">
        <v>1481</v>
      </c>
      <c r="D3342" t="s">
        <v>22</v>
      </c>
      <c r="E3342" t="s">
        <v>23</v>
      </c>
      <c r="F3342" t="s">
        <v>34</v>
      </c>
      <c r="G3342">
        <v>5</v>
      </c>
      <c r="H3342">
        <v>0</v>
      </c>
      <c r="I3342" t="s">
        <v>18</v>
      </c>
      <c r="J3342" t="s">
        <v>31</v>
      </c>
      <c r="K3342" t="s">
        <v>40</v>
      </c>
      <c r="L3342">
        <v>1</v>
      </c>
      <c r="M3342">
        <v>0</v>
      </c>
      <c r="N3342">
        <v>0</v>
      </c>
      <c r="O3342" t="s">
        <v>27</v>
      </c>
      <c r="P3342" t="str">
        <f>TEXT(Table1[[#This Row],[order_date]],"yyyy-mm")</f>
        <v>2025-10</v>
      </c>
      <c r="Q3342">
        <f>WEEKNUM(Table1[[#This Row],[order_date]])</f>
        <v>42</v>
      </c>
      <c r="R3342">
        <f>IF(Table1[[#This Row],[order_status]]="completed",1,0)</f>
        <v>0</v>
      </c>
    </row>
    <row r="3343" spans="1:18" x14ac:dyDescent="0.35">
      <c r="A3343">
        <v>3342</v>
      </c>
      <c r="B3343" s="1">
        <v>45984</v>
      </c>
      <c r="C3343">
        <v>1028</v>
      </c>
      <c r="D3343" t="s">
        <v>22</v>
      </c>
      <c r="E3343" t="s">
        <v>16</v>
      </c>
      <c r="F3343" t="s">
        <v>24</v>
      </c>
      <c r="G3343">
        <v>1</v>
      </c>
      <c r="H3343">
        <v>0</v>
      </c>
      <c r="I3343" t="s">
        <v>25</v>
      </c>
      <c r="J3343" t="s">
        <v>37</v>
      </c>
      <c r="K3343" t="s">
        <v>20</v>
      </c>
      <c r="L3343">
        <v>5</v>
      </c>
      <c r="M3343">
        <v>1</v>
      </c>
      <c r="N3343">
        <v>0</v>
      </c>
      <c r="O3343" t="s">
        <v>27</v>
      </c>
      <c r="P3343" t="str">
        <f>TEXT(Table1[[#This Row],[order_date]],"yyyy-mm")</f>
        <v>2025-11</v>
      </c>
      <c r="Q3343">
        <f>WEEKNUM(Table1[[#This Row],[order_date]])</f>
        <v>48</v>
      </c>
      <c r="R3343">
        <f>IF(Table1[[#This Row],[order_status]]="completed",1,0)</f>
        <v>0</v>
      </c>
    </row>
    <row r="3344" spans="1:18" x14ac:dyDescent="0.35">
      <c r="A3344">
        <v>3343</v>
      </c>
      <c r="B3344" s="1">
        <v>46000</v>
      </c>
      <c r="C3344">
        <v>1906</v>
      </c>
      <c r="D3344" t="s">
        <v>15</v>
      </c>
      <c r="E3344" t="s">
        <v>16</v>
      </c>
      <c r="F3344" t="s">
        <v>17</v>
      </c>
      <c r="G3344">
        <v>2</v>
      </c>
      <c r="H3344">
        <v>0</v>
      </c>
      <c r="I3344" t="s">
        <v>35</v>
      </c>
      <c r="J3344" t="s">
        <v>31</v>
      </c>
      <c r="K3344" t="s">
        <v>26</v>
      </c>
      <c r="L3344">
        <v>5</v>
      </c>
      <c r="M3344">
        <v>0</v>
      </c>
      <c r="N3344">
        <v>1</v>
      </c>
      <c r="O3344" t="s">
        <v>27</v>
      </c>
      <c r="P3344" t="str">
        <f>TEXT(Table1[[#This Row],[order_date]],"yyyy-mm")</f>
        <v>2025-12</v>
      </c>
      <c r="Q3344">
        <f>WEEKNUM(Table1[[#This Row],[order_date]])</f>
        <v>50</v>
      </c>
      <c r="R3344">
        <f>IF(Table1[[#This Row],[order_status]]="completed",1,0)</f>
        <v>0</v>
      </c>
    </row>
    <row r="3345" spans="1:18" x14ac:dyDescent="0.35">
      <c r="A3345">
        <v>3344</v>
      </c>
      <c r="B3345" s="1">
        <v>45973</v>
      </c>
      <c r="C3345">
        <v>1876</v>
      </c>
      <c r="D3345" t="s">
        <v>41</v>
      </c>
      <c r="E3345" t="s">
        <v>29</v>
      </c>
      <c r="F3345" t="s">
        <v>30</v>
      </c>
      <c r="G3345">
        <v>2</v>
      </c>
      <c r="H3345">
        <v>3858</v>
      </c>
      <c r="I3345" t="s">
        <v>18</v>
      </c>
      <c r="J3345" t="s">
        <v>19</v>
      </c>
      <c r="K3345" t="s">
        <v>40</v>
      </c>
      <c r="L3345">
        <v>2</v>
      </c>
      <c r="M3345">
        <v>0</v>
      </c>
      <c r="N3345">
        <v>0</v>
      </c>
      <c r="O3345" t="s">
        <v>27</v>
      </c>
      <c r="P3345" t="str">
        <f>TEXT(Table1[[#This Row],[order_date]],"yyyy-mm")</f>
        <v>2025-11</v>
      </c>
      <c r="Q3345">
        <f>WEEKNUM(Table1[[#This Row],[order_date]])</f>
        <v>46</v>
      </c>
      <c r="R3345">
        <f>IF(Table1[[#This Row],[order_status]]="completed",1,0)</f>
        <v>1</v>
      </c>
    </row>
    <row r="3346" spans="1:18" x14ac:dyDescent="0.35">
      <c r="A3346">
        <v>3345</v>
      </c>
      <c r="B3346" s="1">
        <v>45953</v>
      </c>
      <c r="C3346">
        <v>1084</v>
      </c>
      <c r="D3346" t="s">
        <v>32</v>
      </c>
      <c r="E3346" t="s">
        <v>16</v>
      </c>
      <c r="F3346" t="s">
        <v>24</v>
      </c>
      <c r="G3346">
        <v>5</v>
      </c>
      <c r="H3346">
        <v>15485</v>
      </c>
      <c r="I3346" t="s">
        <v>18</v>
      </c>
      <c r="J3346" t="s">
        <v>19</v>
      </c>
      <c r="K3346" t="s">
        <v>20</v>
      </c>
      <c r="L3346">
        <v>4</v>
      </c>
      <c r="M3346">
        <v>0</v>
      </c>
      <c r="N3346">
        <v>1</v>
      </c>
      <c r="O3346" t="s">
        <v>27</v>
      </c>
      <c r="P3346" t="str">
        <f>TEXT(Table1[[#This Row],[order_date]],"yyyy-mm")</f>
        <v>2025-10</v>
      </c>
      <c r="Q3346">
        <f>WEEKNUM(Table1[[#This Row],[order_date]])</f>
        <v>43</v>
      </c>
      <c r="R3346">
        <f>IF(Table1[[#This Row],[order_status]]="completed",1,0)</f>
        <v>1</v>
      </c>
    </row>
    <row r="3347" spans="1:18" x14ac:dyDescent="0.35">
      <c r="A3347">
        <v>3346</v>
      </c>
      <c r="B3347" s="1">
        <v>45928</v>
      </c>
      <c r="C3347">
        <v>1542</v>
      </c>
      <c r="D3347" t="s">
        <v>28</v>
      </c>
      <c r="E3347" t="s">
        <v>29</v>
      </c>
      <c r="F3347" t="s">
        <v>24</v>
      </c>
      <c r="G3347">
        <v>4</v>
      </c>
      <c r="H3347">
        <v>11188</v>
      </c>
      <c r="I3347" t="s">
        <v>39</v>
      </c>
      <c r="J3347" t="s">
        <v>19</v>
      </c>
      <c r="K3347" t="s">
        <v>26</v>
      </c>
      <c r="L3347">
        <v>10</v>
      </c>
      <c r="M3347">
        <v>1</v>
      </c>
      <c r="N3347">
        <v>0</v>
      </c>
      <c r="O3347" t="s">
        <v>27</v>
      </c>
      <c r="P3347" t="str">
        <f>TEXT(Table1[[#This Row],[order_date]],"yyyy-mm")</f>
        <v>2025-09</v>
      </c>
      <c r="Q3347">
        <f>WEEKNUM(Table1[[#This Row],[order_date]])</f>
        <v>40</v>
      </c>
      <c r="R3347">
        <f>IF(Table1[[#This Row],[order_status]]="completed",1,0)</f>
        <v>1</v>
      </c>
    </row>
    <row r="3348" spans="1:18" x14ac:dyDescent="0.35">
      <c r="A3348">
        <v>3347</v>
      </c>
      <c r="B3348" s="1">
        <v>45952</v>
      </c>
      <c r="C3348">
        <v>1067</v>
      </c>
      <c r="D3348" t="s">
        <v>28</v>
      </c>
      <c r="E3348" t="s">
        <v>16</v>
      </c>
      <c r="F3348" t="s">
        <v>34</v>
      </c>
      <c r="G3348">
        <v>4</v>
      </c>
      <c r="H3348">
        <v>0</v>
      </c>
      <c r="I3348" t="s">
        <v>25</v>
      </c>
      <c r="J3348" t="s">
        <v>37</v>
      </c>
      <c r="K3348" t="s">
        <v>38</v>
      </c>
      <c r="L3348">
        <v>3</v>
      </c>
      <c r="M3348">
        <v>1</v>
      </c>
      <c r="N3348">
        <v>0</v>
      </c>
      <c r="O3348" t="s">
        <v>27</v>
      </c>
      <c r="P3348" t="str">
        <f>TEXT(Table1[[#This Row],[order_date]],"yyyy-mm")</f>
        <v>2025-10</v>
      </c>
      <c r="Q3348">
        <f>WEEKNUM(Table1[[#This Row],[order_date]])</f>
        <v>43</v>
      </c>
      <c r="R3348">
        <f>IF(Table1[[#This Row],[order_status]]="completed",1,0)</f>
        <v>0</v>
      </c>
    </row>
    <row r="3349" spans="1:18" x14ac:dyDescent="0.35">
      <c r="A3349">
        <v>3348</v>
      </c>
      <c r="B3349" s="1">
        <v>45873</v>
      </c>
      <c r="C3349">
        <v>1260</v>
      </c>
      <c r="D3349" t="s">
        <v>15</v>
      </c>
      <c r="E3349" t="s">
        <v>36</v>
      </c>
      <c r="F3349" t="s">
        <v>24</v>
      </c>
      <c r="G3349">
        <v>4</v>
      </c>
      <c r="H3349">
        <v>0</v>
      </c>
      <c r="I3349" t="s">
        <v>18</v>
      </c>
      <c r="J3349" t="s">
        <v>31</v>
      </c>
      <c r="K3349" t="s">
        <v>40</v>
      </c>
      <c r="L3349">
        <v>9</v>
      </c>
      <c r="M3349">
        <v>1</v>
      </c>
      <c r="N3349">
        <v>0</v>
      </c>
      <c r="O3349" t="s">
        <v>27</v>
      </c>
      <c r="P3349" t="str">
        <f>TEXT(Table1[[#This Row],[order_date]],"yyyy-mm")</f>
        <v>2025-08</v>
      </c>
      <c r="Q3349">
        <f>WEEKNUM(Table1[[#This Row],[order_date]])</f>
        <v>32</v>
      </c>
      <c r="R3349">
        <f>IF(Table1[[#This Row],[order_status]]="completed",1,0)</f>
        <v>0</v>
      </c>
    </row>
    <row r="3350" spans="1:18" x14ac:dyDescent="0.35">
      <c r="A3350">
        <v>3349</v>
      </c>
      <c r="B3350" s="1">
        <v>46010</v>
      </c>
      <c r="C3350">
        <v>1710</v>
      </c>
      <c r="D3350" t="s">
        <v>22</v>
      </c>
      <c r="E3350" t="s">
        <v>16</v>
      </c>
      <c r="F3350" t="s">
        <v>24</v>
      </c>
      <c r="G3350">
        <v>4</v>
      </c>
      <c r="H3350">
        <v>12976</v>
      </c>
      <c r="I3350" t="s">
        <v>18</v>
      </c>
      <c r="J3350" t="s">
        <v>19</v>
      </c>
      <c r="K3350" t="s">
        <v>20</v>
      </c>
      <c r="L3350">
        <v>2</v>
      </c>
      <c r="M3350">
        <v>0</v>
      </c>
      <c r="N3350">
        <v>1</v>
      </c>
      <c r="O3350" t="s">
        <v>21</v>
      </c>
      <c r="P3350" t="str">
        <f>TEXT(Table1[[#This Row],[order_date]],"yyyy-mm")</f>
        <v>2025-12</v>
      </c>
      <c r="Q3350">
        <f>WEEKNUM(Table1[[#This Row],[order_date]])</f>
        <v>51</v>
      </c>
      <c r="R3350">
        <f>IF(Table1[[#This Row],[order_status]]="completed",1,0)</f>
        <v>1</v>
      </c>
    </row>
    <row r="3351" spans="1:18" x14ac:dyDescent="0.35">
      <c r="A3351">
        <v>3350</v>
      </c>
      <c r="B3351" s="1">
        <v>46003</v>
      </c>
      <c r="C3351">
        <v>1937</v>
      </c>
      <c r="D3351" t="s">
        <v>15</v>
      </c>
      <c r="E3351" t="s">
        <v>36</v>
      </c>
      <c r="F3351" t="s">
        <v>17</v>
      </c>
      <c r="G3351">
        <v>3</v>
      </c>
      <c r="H3351">
        <v>0</v>
      </c>
      <c r="I3351" t="s">
        <v>18</v>
      </c>
      <c r="J3351" t="s">
        <v>37</v>
      </c>
      <c r="K3351" t="s">
        <v>20</v>
      </c>
      <c r="L3351">
        <v>5</v>
      </c>
      <c r="M3351">
        <v>1</v>
      </c>
      <c r="N3351">
        <v>0</v>
      </c>
      <c r="O3351" t="s">
        <v>21</v>
      </c>
      <c r="P3351" t="str">
        <f>TEXT(Table1[[#This Row],[order_date]],"yyyy-mm")</f>
        <v>2025-12</v>
      </c>
      <c r="Q3351">
        <f>WEEKNUM(Table1[[#This Row],[order_date]])</f>
        <v>50</v>
      </c>
      <c r="R3351">
        <f>IF(Table1[[#This Row],[order_status]]="completed",1,0)</f>
        <v>0</v>
      </c>
    </row>
    <row r="3352" spans="1:18" x14ac:dyDescent="0.35">
      <c r="A3352">
        <v>3351</v>
      </c>
      <c r="B3352" s="1">
        <v>45985</v>
      </c>
      <c r="C3352">
        <v>1114</v>
      </c>
      <c r="D3352" t="s">
        <v>28</v>
      </c>
      <c r="E3352" t="s">
        <v>33</v>
      </c>
      <c r="F3352" t="s">
        <v>34</v>
      </c>
      <c r="G3352">
        <v>2</v>
      </c>
      <c r="H3352">
        <v>0</v>
      </c>
      <c r="I3352" t="s">
        <v>39</v>
      </c>
      <c r="J3352" t="s">
        <v>37</v>
      </c>
      <c r="K3352" t="s">
        <v>40</v>
      </c>
      <c r="L3352">
        <v>7</v>
      </c>
      <c r="M3352">
        <v>0</v>
      </c>
      <c r="N3352">
        <v>1</v>
      </c>
      <c r="O3352" t="s">
        <v>21</v>
      </c>
      <c r="P3352" t="str">
        <f>TEXT(Table1[[#This Row],[order_date]],"yyyy-mm")</f>
        <v>2025-11</v>
      </c>
      <c r="Q3352">
        <f>WEEKNUM(Table1[[#This Row],[order_date]])</f>
        <v>48</v>
      </c>
      <c r="R3352">
        <f>IF(Table1[[#This Row],[order_status]]="completed",1,0)</f>
        <v>0</v>
      </c>
    </row>
    <row r="3353" spans="1:18" x14ac:dyDescent="0.35">
      <c r="A3353">
        <v>3352</v>
      </c>
      <c r="B3353" s="1">
        <v>45991</v>
      </c>
      <c r="C3353">
        <v>1377</v>
      </c>
      <c r="D3353" t="s">
        <v>22</v>
      </c>
      <c r="E3353" t="s">
        <v>16</v>
      </c>
      <c r="F3353" t="s">
        <v>24</v>
      </c>
      <c r="G3353">
        <v>4</v>
      </c>
      <c r="H3353">
        <v>7352</v>
      </c>
      <c r="I3353" t="s">
        <v>25</v>
      </c>
      <c r="J3353" t="s">
        <v>19</v>
      </c>
      <c r="K3353" t="s">
        <v>26</v>
      </c>
      <c r="L3353">
        <v>2</v>
      </c>
      <c r="M3353">
        <v>1</v>
      </c>
      <c r="N3353">
        <v>0</v>
      </c>
      <c r="O3353" t="s">
        <v>21</v>
      </c>
      <c r="P3353" t="str">
        <f>TEXT(Table1[[#This Row],[order_date]],"yyyy-mm")</f>
        <v>2025-11</v>
      </c>
      <c r="Q3353">
        <f>WEEKNUM(Table1[[#This Row],[order_date]])</f>
        <v>49</v>
      </c>
      <c r="R3353">
        <f>IF(Table1[[#This Row],[order_status]]="completed",1,0)</f>
        <v>1</v>
      </c>
    </row>
    <row r="3354" spans="1:18" x14ac:dyDescent="0.35">
      <c r="A3354">
        <v>3353</v>
      </c>
      <c r="B3354" s="1">
        <v>45936</v>
      </c>
      <c r="C3354">
        <v>1068</v>
      </c>
      <c r="D3354" t="s">
        <v>15</v>
      </c>
      <c r="E3354" t="s">
        <v>23</v>
      </c>
      <c r="F3354" t="s">
        <v>17</v>
      </c>
      <c r="G3354">
        <v>2</v>
      </c>
      <c r="H3354">
        <v>4678</v>
      </c>
      <c r="I3354" t="s">
        <v>39</v>
      </c>
      <c r="J3354" t="s">
        <v>19</v>
      </c>
      <c r="K3354" t="s">
        <v>26</v>
      </c>
      <c r="L3354">
        <v>2</v>
      </c>
      <c r="M3354">
        <v>0</v>
      </c>
      <c r="N3354">
        <v>0</v>
      </c>
      <c r="O3354" t="s">
        <v>21</v>
      </c>
      <c r="P3354" t="str">
        <f>TEXT(Table1[[#This Row],[order_date]],"yyyy-mm")</f>
        <v>2025-10</v>
      </c>
      <c r="Q3354">
        <f>WEEKNUM(Table1[[#This Row],[order_date]])</f>
        <v>41</v>
      </c>
      <c r="R3354">
        <f>IF(Table1[[#This Row],[order_status]]="completed",1,0)</f>
        <v>1</v>
      </c>
    </row>
    <row r="3355" spans="1:18" x14ac:dyDescent="0.35">
      <c r="A3355">
        <v>3354</v>
      </c>
      <c r="B3355" s="1">
        <v>45967</v>
      </c>
      <c r="C3355">
        <v>1893</v>
      </c>
      <c r="D3355" t="s">
        <v>28</v>
      </c>
      <c r="E3355" t="s">
        <v>33</v>
      </c>
      <c r="F3355" t="s">
        <v>24</v>
      </c>
      <c r="G3355">
        <v>4</v>
      </c>
      <c r="H3355">
        <v>2504</v>
      </c>
      <c r="I3355" t="s">
        <v>39</v>
      </c>
      <c r="J3355" t="s">
        <v>19</v>
      </c>
      <c r="K3355" t="s">
        <v>38</v>
      </c>
      <c r="L3355">
        <v>9</v>
      </c>
      <c r="M3355">
        <v>1</v>
      </c>
      <c r="N3355">
        <v>1</v>
      </c>
      <c r="O3355" t="s">
        <v>27</v>
      </c>
      <c r="P3355" t="str">
        <f>TEXT(Table1[[#This Row],[order_date]],"yyyy-mm")</f>
        <v>2025-11</v>
      </c>
      <c r="Q3355">
        <f>WEEKNUM(Table1[[#This Row],[order_date]])</f>
        <v>45</v>
      </c>
      <c r="R3355">
        <f>IF(Table1[[#This Row],[order_status]]="completed",1,0)</f>
        <v>1</v>
      </c>
    </row>
    <row r="3356" spans="1:18" x14ac:dyDescent="0.35">
      <c r="A3356">
        <v>3355</v>
      </c>
      <c r="B3356" s="1">
        <v>45912</v>
      </c>
      <c r="C3356">
        <v>1599</v>
      </c>
      <c r="D3356" t="s">
        <v>15</v>
      </c>
      <c r="E3356" t="s">
        <v>29</v>
      </c>
      <c r="F3356" t="s">
        <v>24</v>
      </c>
      <c r="G3356">
        <v>3</v>
      </c>
      <c r="H3356">
        <v>0</v>
      </c>
      <c r="I3356" t="s">
        <v>35</v>
      </c>
      <c r="J3356" t="s">
        <v>37</v>
      </c>
      <c r="K3356" t="s">
        <v>38</v>
      </c>
      <c r="L3356">
        <v>3</v>
      </c>
      <c r="M3356">
        <v>1</v>
      </c>
      <c r="N3356">
        <v>1</v>
      </c>
      <c r="O3356" t="s">
        <v>21</v>
      </c>
      <c r="P3356" t="str">
        <f>TEXT(Table1[[#This Row],[order_date]],"yyyy-mm")</f>
        <v>2025-09</v>
      </c>
      <c r="Q3356">
        <f>WEEKNUM(Table1[[#This Row],[order_date]])</f>
        <v>37</v>
      </c>
      <c r="R3356">
        <f>IF(Table1[[#This Row],[order_status]]="completed",1,0)</f>
        <v>0</v>
      </c>
    </row>
    <row r="3357" spans="1:18" x14ac:dyDescent="0.35">
      <c r="A3357">
        <v>3356</v>
      </c>
      <c r="B3357" s="1">
        <v>45951</v>
      </c>
      <c r="C3357">
        <v>1563</v>
      </c>
      <c r="D3357" t="s">
        <v>28</v>
      </c>
      <c r="E3357" t="s">
        <v>29</v>
      </c>
      <c r="F3357" t="s">
        <v>30</v>
      </c>
      <c r="G3357">
        <v>4</v>
      </c>
      <c r="H3357">
        <v>0</v>
      </c>
      <c r="I3357" t="s">
        <v>25</v>
      </c>
      <c r="J3357" t="s">
        <v>31</v>
      </c>
      <c r="K3357" t="s">
        <v>38</v>
      </c>
      <c r="L3357">
        <v>10</v>
      </c>
      <c r="M3357">
        <v>1</v>
      </c>
      <c r="N3357">
        <v>1</v>
      </c>
      <c r="O3357" t="s">
        <v>27</v>
      </c>
      <c r="P3357" t="str">
        <f>TEXT(Table1[[#This Row],[order_date]],"yyyy-mm")</f>
        <v>2025-10</v>
      </c>
      <c r="Q3357">
        <f>WEEKNUM(Table1[[#This Row],[order_date]])</f>
        <v>43</v>
      </c>
      <c r="R3357">
        <f>IF(Table1[[#This Row],[order_status]]="completed",1,0)</f>
        <v>0</v>
      </c>
    </row>
    <row r="3358" spans="1:18" x14ac:dyDescent="0.35">
      <c r="A3358">
        <v>3357</v>
      </c>
      <c r="B3358" s="1">
        <v>45897</v>
      </c>
      <c r="C3358">
        <v>1345</v>
      </c>
      <c r="D3358" t="s">
        <v>22</v>
      </c>
      <c r="E3358" t="s">
        <v>29</v>
      </c>
      <c r="F3358" t="s">
        <v>24</v>
      </c>
      <c r="G3358">
        <v>4</v>
      </c>
      <c r="H3358">
        <v>0</v>
      </c>
      <c r="I3358" t="s">
        <v>35</v>
      </c>
      <c r="J3358" t="s">
        <v>37</v>
      </c>
      <c r="K3358" t="s">
        <v>40</v>
      </c>
      <c r="L3358">
        <v>8</v>
      </c>
      <c r="M3358">
        <v>1</v>
      </c>
      <c r="N3358">
        <v>0</v>
      </c>
      <c r="O3358" t="s">
        <v>21</v>
      </c>
      <c r="P3358" t="str">
        <f>TEXT(Table1[[#This Row],[order_date]],"yyyy-mm")</f>
        <v>2025-08</v>
      </c>
      <c r="Q3358">
        <f>WEEKNUM(Table1[[#This Row],[order_date]])</f>
        <v>35</v>
      </c>
      <c r="R3358">
        <f>IF(Table1[[#This Row],[order_status]]="completed",1,0)</f>
        <v>0</v>
      </c>
    </row>
    <row r="3359" spans="1:18" x14ac:dyDescent="0.35">
      <c r="A3359">
        <v>3358</v>
      </c>
      <c r="B3359" s="1">
        <v>45853</v>
      </c>
      <c r="C3359">
        <v>1625</v>
      </c>
      <c r="D3359" t="s">
        <v>15</v>
      </c>
      <c r="E3359" t="s">
        <v>36</v>
      </c>
      <c r="F3359" t="s">
        <v>34</v>
      </c>
      <c r="G3359">
        <v>3</v>
      </c>
      <c r="H3359">
        <v>0</v>
      </c>
      <c r="I3359" t="s">
        <v>25</v>
      </c>
      <c r="J3359" t="s">
        <v>31</v>
      </c>
      <c r="K3359" t="s">
        <v>40</v>
      </c>
      <c r="L3359">
        <v>2</v>
      </c>
      <c r="M3359">
        <v>0</v>
      </c>
      <c r="N3359">
        <v>1</v>
      </c>
      <c r="O3359" t="s">
        <v>21</v>
      </c>
      <c r="P3359" t="str">
        <f>TEXT(Table1[[#This Row],[order_date]],"yyyy-mm")</f>
        <v>2025-07</v>
      </c>
      <c r="Q3359">
        <f>WEEKNUM(Table1[[#This Row],[order_date]])</f>
        <v>29</v>
      </c>
      <c r="R3359">
        <f>IF(Table1[[#This Row],[order_status]]="completed",1,0)</f>
        <v>0</v>
      </c>
    </row>
    <row r="3360" spans="1:18" x14ac:dyDescent="0.35">
      <c r="A3360">
        <v>3359</v>
      </c>
      <c r="B3360" s="1">
        <v>45866</v>
      </c>
      <c r="C3360">
        <v>1127</v>
      </c>
      <c r="D3360" t="s">
        <v>15</v>
      </c>
      <c r="E3360" t="s">
        <v>29</v>
      </c>
      <c r="F3360" t="s">
        <v>17</v>
      </c>
      <c r="G3360">
        <v>2</v>
      </c>
      <c r="H3360">
        <v>0</v>
      </c>
      <c r="I3360" t="s">
        <v>35</v>
      </c>
      <c r="J3360" t="s">
        <v>31</v>
      </c>
      <c r="K3360" t="s">
        <v>26</v>
      </c>
      <c r="L3360">
        <v>1</v>
      </c>
      <c r="M3360">
        <v>1</v>
      </c>
      <c r="N3360">
        <v>1</v>
      </c>
      <c r="O3360" t="s">
        <v>21</v>
      </c>
      <c r="P3360" t="str">
        <f>TEXT(Table1[[#This Row],[order_date]],"yyyy-mm")</f>
        <v>2025-07</v>
      </c>
      <c r="Q3360">
        <f>WEEKNUM(Table1[[#This Row],[order_date]])</f>
        <v>31</v>
      </c>
      <c r="R3360">
        <f>IF(Table1[[#This Row],[order_status]]="completed",1,0)</f>
        <v>0</v>
      </c>
    </row>
    <row r="3361" spans="1:18" x14ac:dyDescent="0.35">
      <c r="A3361">
        <v>3360</v>
      </c>
      <c r="B3361" s="1">
        <v>46010</v>
      </c>
      <c r="C3361">
        <v>1369</v>
      </c>
      <c r="D3361" t="s">
        <v>28</v>
      </c>
      <c r="E3361" t="s">
        <v>36</v>
      </c>
      <c r="F3361" t="s">
        <v>17</v>
      </c>
      <c r="G3361">
        <v>4</v>
      </c>
      <c r="H3361">
        <v>0</v>
      </c>
      <c r="I3361" t="s">
        <v>39</v>
      </c>
      <c r="J3361" t="s">
        <v>37</v>
      </c>
      <c r="K3361" t="s">
        <v>40</v>
      </c>
      <c r="L3361">
        <v>2</v>
      </c>
      <c r="M3361">
        <v>1</v>
      </c>
      <c r="N3361">
        <v>0</v>
      </c>
      <c r="O3361" t="s">
        <v>21</v>
      </c>
      <c r="P3361" t="str">
        <f>TEXT(Table1[[#This Row],[order_date]],"yyyy-mm")</f>
        <v>2025-12</v>
      </c>
      <c r="Q3361">
        <f>WEEKNUM(Table1[[#This Row],[order_date]])</f>
        <v>51</v>
      </c>
      <c r="R3361">
        <f>IF(Table1[[#This Row],[order_status]]="completed",1,0)</f>
        <v>0</v>
      </c>
    </row>
    <row r="3362" spans="1:18" x14ac:dyDescent="0.35">
      <c r="A3362">
        <v>3361</v>
      </c>
      <c r="B3362" s="1">
        <v>45897</v>
      </c>
      <c r="C3362">
        <v>1754</v>
      </c>
      <c r="D3362" t="s">
        <v>32</v>
      </c>
      <c r="E3362" t="s">
        <v>16</v>
      </c>
      <c r="F3362" t="s">
        <v>17</v>
      </c>
      <c r="G3362">
        <v>2</v>
      </c>
      <c r="H3362">
        <v>0</v>
      </c>
      <c r="I3362" t="s">
        <v>35</v>
      </c>
      <c r="J3362" t="s">
        <v>31</v>
      </c>
      <c r="K3362" t="s">
        <v>20</v>
      </c>
      <c r="L3362">
        <v>8</v>
      </c>
      <c r="M3362">
        <v>0</v>
      </c>
      <c r="N3362">
        <v>0</v>
      </c>
      <c r="O3362" t="s">
        <v>21</v>
      </c>
      <c r="P3362" t="str">
        <f>TEXT(Table1[[#This Row],[order_date]],"yyyy-mm")</f>
        <v>2025-08</v>
      </c>
      <c r="Q3362">
        <f>WEEKNUM(Table1[[#This Row],[order_date]])</f>
        <v>35</v>
      </c>
      <c r="R3362">
        <f>IF(Table1[[#This Row],[order_status]]="completed",1,0)</f>
        <v>0</v>
      </c>
    </row>
    <row r="3363" spans="1:18" x14ac:dyDescent="0.35">
      <c r="A3363">
        <v>3362</v>
      </c>
      <c r="B3363" s="1">
        <v>45966</v>
      </c>
      <c r="C3363">
        <v>1542</v>
      </c>
      <c r="D3363" t="s">
        <v>28</v>
      </c>
      <c r="E3363" t="s">
        <v>29</v>
      </c>
      <c r="F3363" t="s">
        <v>34</v>
      </c>
      <c r="G3363">
        <v>4</v>
      </c>
      <c r="H3363">
        <v>0</v>
      </c>
      <c r="I3363" t="s">
        <v>25</v>
      </c>
      <c r="J3363" t="s">
        <v>37</v>
      </c>
      <c r="K3363" t="s">
        <v>26</v>
      </c>
      <c r="L3363">
        <v>6</v>
      </c>
      <c r="M3363">
        <v>0</v>
      </c>
      <c r="N3363">
        <v>0</v>
      </c>
      <c r="O3363" t="s">
        <v>27</v>
      </c>
      <c r="P3363" t="str">
        <f>TEXT(Table1[[#This Row],[order_date]],"yyyy-mm")</f>
        <v>2025-11</v>
      </c>
      <c r="Q3363">
        <f>WEEKNUM(Table1[[#This Row],[order_date]])</f>
        <v>45</v>
      </c>
      <c r="R3363">
        <f>IF(Table1[[#This Row],[order_status]]="completed",1,0)</f>
        <v>0</v>
      </c>
    </row>
    <row r="3364" spans="1:18" x14ac:dyDescent="0.35">
      <c r="A3364">
        <v>3363</v>
      </c>
      <c r="B3364" s="1">
        <v>45912</v>
      </c>
      <c r="C3364">
        <v>1757</v>
      </c>
      <c r="D3364" t="s">
        <v>15</v>
      </c>
      <c r="E3364" t="s">
        <v>23</v>
      </c>
      <c r="F3364" t="s">
        <v>34</v>
      </c>
      <c r="G3364">
        <v>3</v>
      </c>
      <c r="H3364">
        <v>8049</v>
      </c>
      <c r="I3364" t="s">
        <v>18</v>
      </c>
      <c r="J3364" t="s">
        <v>19</v>
      </c>
      <c r="K3364" t="s">
        <v>38</v>
      </c>
      <c r="L3364">
        <v>6</v>
      </c>
      <c r="M3364">
        <v>1</v>
      </c>
      <c r="N3364">
        <v>1</v>
      </c>
      <c r="O3364" t="s">
        <v>27</v>
      </c>
      <c r="P3364" t="str">
        <f>TEXT(Table1[[#This Row],[order_date]],"yyyy-mm")</f>
        <v>2025-09</v>
      </c>
      <c r="Q3364">
        <f>WEEKNUM(Table1[[#This Row],[order_date]])</f>
        <v>37</v>
      </c>
      <c r="R3364">
        <f>IF(Table1[[#This Row],[order_status]]="completed",1,0)</f>
        <v>1</v>
      </c>
    </row>
    <row r="3365" spans="1:18" x14ac:dyDescent="0.35">
      <c r="A3365">
        <v>3364</v>
      </c>
      <c r="B3365" s="1">
        <v>45937</v>
      </c>
      <c r="C3365">
        <v>1919</v>
      </c>
      <c r="D3365" t="s">
        <v>15</v>
      </c>
      <c r="E3365" t="s">
        <v>36</v>
      </c>
      <c r="F3365" t="s">
        <v>24</v>
      </c>
      <c r="G3365">
        <v>3</v>
      </c>
      <c r="H3365">
        <v>624</v>
      </c>
      <c r="I3365" t="s">
        <v>25</v>
      </c>
      <c r="J3365" t="s">
        <v>19</v>
      </c>
      <c r="K3365" t="s">
        <v>26</v>
      </c>
      <c r="L3365">
        <v>2</v>
      </c>
      <c r="M3365">
        <v>1</v>
      </c>
      <c r="N3365">
        <v>0</v>
      </c>
      <c r="O3365" t="s">
        <v>21</v>
      </c>
      <c r="P3365" t="str">
        <f>TEXT(Table1[[#This Row],[order_date]],"yyyy-mm")</f>
        <v>2025-10</v>
      </c>
      <c r="Q3365">
        <f>WEEKNUM(Table1[[#This Row],[order_date]])</f>
        <v>41</v>
      </c>
      <c r="R3365">
        <f>IF(Table1[[#This Row],[order_status]]="completed",1,0)</f>
        <v>1</v>
      </c>
    </row>
    <row r="3366" spans="1:18" x14ac:dyDescent="0.35">
      <c r="A3366">
        <v>3365</v>
      </c>
      <c r="B3366" s="1">
        <v>46031</v>
      </c>
      <c r="C3366">
        <v>1954</v>
      </c>
      <c r="D3366" t="s">
        <v>15</v>
      </c>
      <c r="E3366" t="s">
        <v>29</v>
      </c>
      <c r="F3366" t="s">
        <v>34</v>
      </c>
      <c r="G3366">
        <v>3</v>
      </c>
      <c r="H3366">
        <v>1842</v>
      </c>
      <c r="I3366" t="s">
        <v>39</v>
      </c>
      <c r="J3366" t="s">
        <v>19</v>
      </c>
      <c r="K3366" t="s">
        <v>40</v>
      </c>
      <c r="L3366">
        <v>9</v>
      </c>
      <c r="M3366">
        <v>0</v>
      </c>
      <c r="N3366">
        <v>1</v>
      </c>
      <c r="O3366" t="s">
        <v>21</v>
      </c>
      <c r="P3366" t="str">
        <f>TEXT(Table1[[#This Row],[order_date]],"yyyy-mm")</f>
        <v>2026-01</v>
      </c>
      <c r="Q3366">
        <f>WEEKNUM(Table1[[#This Row],[order_date]])</f>
        <v>2</v>
      </c>
      <c r="R3366">
        <f>IF(Table1[[#This Row],[order_status]]="completed",1,0)</f>
        <v>1</v>
      </c>
    </row>
    <row r="3367" spans="1:18" x14ac:dyDescent="0.35">
      <c r="A3367">
        <v>3366</v>
      </c>
      <c r="B3367" s="1">
        <v>45936</v>
      </c>
      <c r="C3367">
        <v>1613</v>
      </c>
      <c r="D3367" t="s">
        <v>22</v>
      </c>
      <c r="E3367" t="s">
        <v>36</v>
      </c>
      <c r="F3367" t="s">
        <v>30</v>
      </c>
      <c r="G3367">
        <v>2</v>
      </c>
      <c r="H3367">
        <v>4390</v>
      </c>
      <c r="I3367" t="s">
        <v>35</v>
      </c>
      <c r="J3367" t="s">
        <v>19</v>
      </c>
      <c r="K3367" t="s">
        <v>38</v>
      </c>
      <c r="L3367">
        <v>2</v>
      </c>
      <c r="M3367">
        <v>1</v>
      </c>
      <c r="N3367">
        <v>1</v>
      </c>
      <c r="O3367" t="s">
        <v>27</v>
      </c>
      <c r="P3367" t="str">
        <f>TEXT(Table1[[#This Row],[order_date]],"yyyy-mm")</f>
        <v>2025-10</v>
      </c>
      <c r="Q3367">
        <f>WEEKNUM(Table1[[#This Row],[order_date]])</f>
        <v>41</v>
      </c>
      <c r="R3367">
        <f>IF(Table1[[#This Row],[order_status]]="completed",1,0)</f>
        <v>1</v>
      </c>
    </row>
    <row r="3368" spans="1:18" x14ac:dyDescent="0.35">
      <c r="A3368">
        <v>3367</v>
      </c>
      <c r="B3368" s="1">
        <v>45998</v>
      </c>
      <c r="C3368">
        <v>1570</v>
      </c>
      <c r="D3368" t="s">
        <v>41</v>
      </c>
      <c r="E3368" t="s">
        <v>33</v>
      </c>
      <c r="F3368" t="s">
        <v>24</v>
      </c>
      <c r="G3368">
        <v>2</v>
      </c>
      <c r="H3368">
        <v>0</v>
      </c>
      <c r="I3368" t="s">
        <v>39</v>
      </c>
      <c r="J3368" t="s">
        <v>31</v>
      </c>
      <c r="K3368" t="s">
        <v>26</v>
      </c>
      <c r="L3368">
        <v>7</v>
      </c>
      <c r="M3368">
        <v>0</v>
      </c>
      <c r="N3368">
        <v>1</v>
      </c>
      <c r="O3368" t="s">
        <v>21</v>
      </c>
      <c r="P3368" t="str">
        <f>TEXT(Table1[[#This Row],[order_date]],"yyyy-mm")</f>
        <v>2025-12</v>
      </c>
      <c r="Q3368">
        <f>WEEKNUM(Table1[[#This Row],[order_date]])</f>
        <v>50</v>
      </c>
      <c r="R3368">
        <f>IF(Table1[[#This Row],[order_status]]="completed",1,0)</f>
        <v>0</v>
      </c>
    </row>
    <row r="3369" spans="1:18" x14ac:dyDescent="0.35">
      <c r="A3369">
        <v>3368</v>
      </c>
      <c r="B3369" s="1">
        <v>45884</v>
      </c>
      <c r="C3369">
        <v>1782</v>
      </c>
      <c r="D3369" t="s">
        <v>32</v>
      </c>
      <c r="E3369" t="s">
        <v>36</v>
      </c>
      <c r="F3369" t="s">
        <v>24</v>
      </c>
      <c r="G3369">
        <v>2</v>
      </c>
      <c r="H3369">
        <v>0</v>
      </c>
      <c r="I3369" t="s">
        <v>35</v>
      </c>
      <c r="J3369" t="s">
        <v>37</v>
      </c>
      <c r="K3369" t="s">
        <v>40</v>
      </c>
      <c r="L3369">
        <v>7</v>
      </c>
      <c r="M3369">
        <v>1</v>
      </c>
      <c r="N3369">
        <v>1</v>
      </c>
      <c r="O3369" t="s">
        <v>27</v>
      </c>
      <c r="P3369" t="str">
        <f>TEXT(Table1[[#This Row],[order_date]],"yyyy-mm")</f>
        <v>2025-08</v>
      </c>
      <c r="Q3369">
        <f>WEEKNUM(Table1[[#This Row],[order_date]])</f>
        <v>33</v>
      </c>
      <c r="R3369">
        <f>IF(Table1[[#This Row],[order_status]]="completed",1,0)</f>
        <v>0</v>
      </c>
    </row>
    <row r="3370" spans="1:18" x14ac:dyDescent="0.35">
      <c r="A3370">
        <v>3369</v>
      </c>
      <c r="B3370" s="1">
        <v>45895</v>
      </c>
      <c r="C3370">
        <v>1981</v>
      </c>
      <c r="D3370" t="s">
        <v>22</v>
      </c>
      <c r="E3370" t="s">
        <v>29</v>
      </c>
      <c r="F3370" t="s">
        <v>34</v>
      </c>
      <c r="G3370">
        <v>1</v>
      </c>
      <c r="H3370">
        <v>0</v>
      </c>
      <c r="I3370" t="s">
        <v>18</v>
      </c>
      <c r="J3370" t="s">
        <v>37</v>
      </c>
      <c r="K3370" t="s">
        <v>20</v>
      </c>
      <c r="L3370">
        <v>2</v>
      </c>
      <c r="M3370">
        <v>0</v>
      </c>
      <c r="N3370">
        <v>0</v>
      </c>
      <c r="O3370" t="s">
        <v>21</v>
      </c>
      <c r="P3370" t="str">
        <f>TEXT(Table1[[#This Row],[order_date]],"yyyy-mm")</f>
        <v>2025-08</v>
      </c>
      <c r="Q3370">
        <f>WEEKNUM(Table1[[#This Row],[order_date]])</f>
        <v>35</v>
      </c>
      <c r="R3370">
        <f>IF(Table1[[#This Row],[order_status]]="completed",1,0)</f>
        <v>0</v>
      </c>
    </row>
    <row r="3371" spans="1:18" x14ac:dyDescent="0.35">
      <c r="A3371">
        <v>3370</v>
      </c>
      <c r="B3371" s="1">
        <v>46006</v>
      </c>
      <c r="C3371">
        <v>1109</v>
      </c>
      <c r="D3371" t="s">
        <v>32</v>
      </c>
      <c r="E3371" t="s">
        <v>29</v>
      </c>
      <c r="F3371" t="s">
        <v>34</v>
      </c>
      <c r="G3371">
        <v>3</v>
      </c>
      <c r="H3371">
        <v>0</v>
      </c>
      <c r="I3371" t="s">
        <v>39</v>
      </c>
      <c r="J3371" t="s">
        <v>31</v>
      </c>
      <c r="K3371" t="s">
        <v>38</v>
      </c>
      <c r="L3371">
        <v>7</v>
      </c>
      <c r="M3371">
        <v>0</v>
      </c>
      <c r="N3371">
        <v>1</v>
      </c>
      <c r="O3371" t="s">
        <v>27</v>
      </c>
      <c r="P3371" t="str">
        <f>TEXT(Table1[[#This Row],[order_date]],"yyyy-mm")</f>
        <v>2025-12</v>
      </c>
      <c r="Q3371">
        <f>WEEKNUM(Table1[[#This Row],[order_date]])</f>
        <v>51</v>
      </c>
      <c r="R3371">
        <f>IF(Table1[[#This Row],[order_status]]="completed",1,0)</f>
        <v>0</v>
      </c>
    </row>
    <row r="3372" spans="1:18" x14ac:dyDescent="0.35">
      <c r="A3372">
        <v>3371</v>
      </c>
      <c r="B3372" s="1">
        <v>45878</v>
      </c>
      <c r="C3372">
        <v>1616</v>
      </c>
      <c r="D3372" t="s">
        <v>41</v>
      </c>
      <c r="E3372" t="s">
        <v>33</v>
      </c>
      <c r="F3372" t="s">
        <v>17</v>
      </c>
      <c r="G3372">
        <v>3</v>
      </c>
      <c r="H3372">
        <v>0</v>
      </c>
      <c r="I3372" t="s">
        <v>18</v>
      </c>
      <c r="J3372" t="s">
        <v>37</v>
      </c>
      <c r="K3372" t="s">
        <v>26</v>
      </c>
      <c r="L3372">
        <v>6</v>
      </c>
      <c r="M3372">
        <v>1</v>
      </c>
      <c r="N3372">
        <v>1</v>
      </c>
      <c r="O3372" t="s">
        <v>21</v>
      </c>
      <c r="P3372" t="str">
        <f>TEXT(Table1[[#This Row],[order_date]],"yyyy-mm")</f>
        <v>2025-08</v>
      </c>
      <c r="Q3372">
        <f>WEEKNUM(Table1[[#This Row],[order_date]])</f>
        <v>32</v>
      </c>
      <c r="R3372">
        <f>IF(Table1[[#This Row],[order_status]]="completed",1,0)</f>
        <v>0</v>
      </c>
    </row>
    <row r="3373" spans="1:18" x14ac:dyDescent="0.35">
      <c r="A3373">
        <v>3372</v>
      </c>
      <c r="B3373" s="1">
        <v>45939</v>
      </c>
      <c r="C3373">
        <v>1372</v>
      </c>
      <c r="D3373" t="s">
        <v>32</v>
      </c>
      <c r="E3373" t="s">
        <v>16</v>
      </c>
      <c r="F3373" t="s">
        <v>30</v>
      </c>
      <c r="G3373">
        <v>5</v>
      </c>
      <c r="H3373">
        <v>0</v>
      </c>
      <c r="I3373" t="s">
        <v>18</v>
      </c>
      <c r="J3373" t="s">
        <v>31</v>
      </c>
      <c r="K3373" t="s">
        <v>20</v>
      </c>
      <c r="L3373">
        <v>9</v>
      </c>
      <c r="M3373">
        <v>1</v>
      </c>
      <c r="N3373">
        <v>1</v>
      </c>
      <c r="O3373" t="s">
        <v>27</v>
      </c>
      <c r="P3373" t="str">
        <f>TEXT(Table1[[#This Row],[order_date]],"yyyy-mm")</f>
        <v>2025-10</v>
      </c>
      <c r="Q3373">
        <f>WEEKNUM(Table1[[#This Row],[order_date]])</f>
        <v>41</v>
      </c>
      <c r="R3373">
        <f>IF(Table1[[#This Row],[order_status]]="completed",1,0)</f>
        <v>0</v>
      </c>
    </row>
    <row r="3374" spans="1:18" x14ac:dyDescent="0.35">
      <c r="A3374">
        <v>3373</v>
      </c>
      <c r="B3374" s="1">
        <v>45941</v>
      </c>
      <c r="C3374">
        <v>1392</v>
      </c>
      <c r="D3374" t="s">
        <v>28</v>
      </c>
      <c r="E3374" t="s">
        <v>23</v>
      </c>
      <c r="F3374" t="s">
        <v>30</v>
      </c>
      <c r="G3374">
        <v>3</v>
      </c>
      <c r="H3374">
        <v>0</v>
      </c>
      <c r="I3374" t="s">
        <v>25</v>
      </c>
      <c r="J3374" t="s">
        <v>31</v>
      </c>
      <c r="K3374" t="s">
        <v>40</v>
      </c>
      <c r="L3374">
        <v>9</v>
      </c>
      <c r="M3374">
        <v>1</v>
      </c>
      <c r="N3374">
        <v>1</v>
      </c>
      <c r="O3374" t="s">
        <v>21</v>
      </c>
      <c r="P3374" t="str">
        <f>TEXT(Table1[[#This Row],[order_date]],"yyyy-mm")</f>
        <v>2025-10</v>
      </c>
      <c r="Q3374">
        <f>WEEKNUM(Table1[[#This Row],[order_date]])</f>
        <v>41</v>
      </c>
      <c r="R3374">
        <f>IF(Table1[[#This Row],[order_status]]="completed",1,0)</f>
        <v>0</v>
      </c>
    </row>
    <row r="3375" spans="1:18" x14ac:dyDescent="0.35">
      <c r="A3375">
        <v>3374</v>
      </c>
      <c r="B3375" s="1">
        <v>45891</v>
      </c>
      <c r="C3375">
        <v>1785</v>
      </c>
      <c r="D3375" t="s">
        <v>32</v>
      </c>
      <c r="E3375" t="s">
        <v>23</v>
      </c>
      <c r="F3375" t="s">
        <v>30</v>
      </c>
      <c r="G3375">
        <v>3</v>
      </c>
      <c r="H3375">
        <v>0</v>
      </c>
      <c r="I3375" t="s">
        <v>39</v>
      </c>
      <c r="J3375" t="s">
        <v>37</v>
      </c>
      <c r="K3375" t="s">
        <v>38</v>
      </c>
      <c r="L3375">
        <v>6</v>
      </c>
      <c r="M3375">
        <v>0</v>
      </c>
      <c r="N3375">
        <v>1</v>
      </c>
      <c r="O3375" t="s">
        <v>21</v>
      </c>
      <c r="P3375" t="str">
        <f>TEXT(Table1[[#This Row],[order_date]],"yyyy-mm")</f>
        <v>2025-08</v>
      </c>
      <c r="Q3375">
        <f>WEEKNUM(Table1[[#This Row],[order_date]])</f>
        <v>34</v>
      </c>
      <c r="R3375">
        <f>IF(Table1[[#This Row],[order_status]]="completed",1,0)</f>
        <v>0</v>
      </c>
    </row>
    <row r="3376" spans="1:18" x14ac:dyDescent="0.35">
      <c r="A3376">
        <v>3375</v>
      </c>
      <c r="B3376" s="1">
        <v>45899</v>
      </c>
      <c r="C3376">
        <v>1993</v>
      </c>
      <c r="D3376" t="s">
        <v>32</v>
      </c>
      <c r="E3376" t="s">
        <v>36</v>
      </c>
      <c r="F3376" t="s">
        <v>34</v>
      </c>
      <c r="G3376">
        <v>5</v>
      </c>
      <c r="H3376">
        <v>8180</v>
      </c>
      <c r="I3376" t="s">
        <v>35</v>
      </c>
      <c r="J3376" t="s">
        <v>19</v>
      </c>
      <c r="K3376" t="s">
        <v>26</v>
      </c>
      <c r="L3376">
        <v>10</v>
      </c>
      <c r="M3376">
        <v>1</v>
      </c>
      <c r="N3376">
        <v>0</v>
      </c>
      <c r="O3376" t="s">
        <v>21</v>
      </c>
      <c r="P3376" t="str">
        <f>TEXT(Table1[[#This Row],[order_date]],"yyyy-mm")</f>
        <v>2025-08</v>
      </c>
      <c r="Q3376">
        <f>WEEKNUM(Table1[[#This Row],[order_date]])</f>
        <v>35</v>
      </c>
      <c r="R3376">
        <f>IF(Table1[[#This Row],[order_status]]="completed",1,0)</f>
        <v>1</v>
      </c>
    </row>
    <row r="3377" spans="1:18" x14ac:dyDescent="0.35">
      <c r="A3377">
        <v>3376</v>
      </c>
      <c r="B3377" s="1">
        <v>46010</v>
      </c>
      <c r="C3377">
        <v>1747</v>
      </c>
      <c r="D3377" t="s">
        <v>22</v>
      </c>
      <c r="E3377" t="s">
        <v>23</v>
      </c>
      <c r="F3377" t="s">
        <v>30</v>
      </c>
      <c r="G3377">
        <v>5</v>
      </c>
      <c r="H3377">
        <v>0</v>
      </c>
      <c r="I3377" t="s">
        <v>25</v>
      </c>
      <c r="J3377" t="s">
        <v>37</v>
      </c>
      <c r="K3377" t="s">
        <v>20</v>
      </c>
      <c r="L3377">
        <v>1</v>
      </c>
      <c r="M3377">
        <v>0</v>
      </c>
      <c r="N3377">
        <v>0</v>
      </c>
      <c r="O3377" t="s">
        <v>27</v>
      </c>
      <c r="P3377" t="str">
        <f>TEXT(Table1[[#This Row],[order_date]],"yyyy-mm")</f>
        <v>2025-12</v>
      </c>
      <c r="Q3377">
        <f>WEEKNUM(Table1[[#This Row],[order_date]])</f>
        <v>51</v>
      </c>
      <c r="R3377">
        <f>IF(Table1[[#This Row],[order_status]]="completed",1,0)</f>
        <v>0</v>
      </c>
    </row>
    <row r="3378" spans="1:18" x14ac:dyDescent="0.35">
      <c r="A3378">
        <v>3377</v>
      </c>
      <c r="B3378" s="1">
        <v>45915</v>
      </c>
      <c r="C3378">
        <v>1556</v>
      </c>
      <c r="D3378" t="s">
        <v>15</v>
      </c>
      <c r="E3378" t="s">
        <v>33</v>
      </c>
      <c r="F3378" t="s">
        <v>34</v>
      </c>
      <c r="G3378">
        <v>5</v>
      </c>
      <c r="H3378">
        <v>0</v>
      </c>
      <c r="I3378" t="s">
        <v>25</v>
      </c>
      <c r="J3378" t="s">
        <v>31</v>
      </c>
      <c r="K3378" t="s">
        <v>38</v>
      </c>
      <c r="L3378">
        <v>9</v>
      </c>
      <c r="M3378">
        <v>0</v>
      </c>
      <c r="N3378">
        <v>1</v>
      </c>
      <c r="O3378" t="s">
        <v>27</v>
      </c>
      <c r="P3378" t="str">
        <f>TEXT(Table1[[#This Row],[order_date]],"yyyy-mm")</f>
        <v>2025-09</v>
      </c>
      <c r="Q3378">
        <f>WEEKNUM(Table1[[#This Row],[order_date]])</f>
        <v>38</v>
      </c>
      <c r="R3378">
        <f>IF(Table1[[#This Row],[order_status]]="completed",1,0)</f>
        <v>0</v>
      </c>
    </row>
    <row r="3379" spans="1:18" x14ac:dyDescent="0.35">
      <c r="A3379">
        <v>3378</v>
      </c>
      <c r="B3379" s="1">
        <v>46016</v>
      </c>
      <c r="C3379">
        <v>1059</v>
      </c>
      <c r="D3379" t="s">
        <v>41</v>
      </c>
      <c r="E3379" t="s">
        <v>16</v>
      </c>
      <c r="F3379" t="s">
        <v>17</v>
      </c>
      <c r="G3379">
        <v>1</v>
      </c>
      <c r="H3379">
        <v>4339</v>
      </c>
      <c r="I3379" t="s">
        <v>25</v>
      </c>
      <c r="J3379" t="s">
        <v>19</v>
      </c>
      <c r="K3379" t="s">
        <v>40</v>
      </c>
      <c r="L3379">
        <v>3</v>
      </c>
      <c r="M3379">
        <v>1</v>
      </c>
      <c r="N3379">
        <v>0</v>
      </c>
      <c r="O3379" t="s">
        <v>21</v>
      </c>
      <c r="P3379" t="str">
        <f>TEXT(Table1[[#This Row],[order_date]],"yyyy-mm")</f>
        <v>2025-12</v>
      </c>
      <c r="Q3379">
        <f>WEEKNUM(Table1[[#This Row],[order_date]])</f>
        <v>52</v>
      </c>
      <c r="R3379">
        <f>IF(Table1[[#This Row],[order_status]]="completed",1,0)</f>
        <v>1</v>
      </c>
    </row>
    <row r="3380" spans="1:18" x14ac:dyDescent="0.35">
      <c r="A3380">
        <v>3379</v>
      </c>
      <c r="B3380" s="1">
        <v>45946</v>
      </c>
      <c r="C3380">
        <v>1275</v>
      </c>
      <c r="D3380" t="s">
        <v>15</v>
      </c>
      <c r="E3380" t="s">
        <v>36</v>
      </c>
      <c r="F3380" t="s">
        <v>30</v>
      </c>
      <c r="G3380">
        <v>5</v>
      </c>
      <c r="H3380">
        <v>0</v>
      </c>
      <c r="I3380" t="s">
        <v>18</v>
      </c>
      <c r="J3380" t="s">
        <v>37</v>
      </c>
      <c r="K3380" t="s">
        <v>26</v>
      </c>
      <c r="L3380">
        <v>2</v>
      </c>
      <c r="M3380">
        <v>0</v>
      </c>
      <c r="N3380">
        <v>0</v>
      </c>
      <c r="O3380" t="s">
        <v>27</v>
      </c>
      <c r="P3380" t="str">
        <f>TEXT(Table1[[#This Row],[order_date]],"yyyy-mm")</f>
        <v>2025-10</v>
      </c>
      <c r="Q3380">
        <f>WEEKNUM(Table1[[#This Row],[order_date]])</f>
        <v>42</v>
      </c>
      <c r="R3380">
        <f>IF(Table1[[#This Row],[order_status]]="completed",1,0)</f>
        <v>0</v>
      </c>
    </row>
    <row r="3381" spans="1:18" x14ac:dyDescent="0.35">
      <c r="A3381">
        <v>3380</v>
      </c>
      <c r="B3381" s="1">
        <v>46023</v>
      </c>
      <c r="C3381">
        <v>1548</v>
      </c>
      <c r="D3381" t="s">
        <v>32</v>
      </c>
      <c r="E3381" t="s">
        <v>33</v>
      </c>
      <c r="F3381" t="s">
        <v>34</v>
      </c>
      <c r="G3381">
        <v>3</v>
      </c>
      <c r="H3381">
        <v>0</v>
      </c>
      <c r="I3381" t="s">
        <v>39</v>
      </c>
      <c r="J3381" t="s">
        <v>37</v>
      </c>
      <c r="K3381" t="s">
        <v>26</v>
      </c>
      <c r="L3381">
        <v>10</v>
      </c>
      <c r="M3381">
        <v>0</v>
      </c>
      <c r="N3381">
        <v>0</v>
      </c>
      <c r="O3381" t="s">
        <v>27</v>
      </c>
      <c r="P3381" t="str">
        <f>TEXT(Table1[[#This Row],[order_date]],"yyyy-mm")</f>
        <v>2026-01</v>
      </c>
      <c r="Q3381">
        <f>WEEKNUM(Table1[[#This Row],[order_date]])</f>
        <v>1</v>
      </c>
      <c r="R3381">
        <f>IF(Table1[[#This Row],[order_status]]="completed",1,0)</f>
        <v>0</v>
      </c>
    </row>
    <row r="3382" spans="1:18" x14ac:dyDescent="0.35">
      <c r="A3382">
        <v>3381</v>
      </c>
      <c r="B3382" s="1">
        <v>46011</v>
      </c>
      <c r="C3382">
        <v>1543</v>
      </c>
      <c r="D3382" t="s">
        <v>22</v>
      </c>
      <c r="E3382" t="s">
        <v>33</v>
      </c>
      <c r="F3382" t="s">
        <v>17</v>
      </c>
      <c r="G3382">
        <v>3</v>
      </c>
      <c r="H3382">
        <v>0</v>
      </c>
      <c r="I3382" t="s">
        <v>39</v>
      </c>
      <c r="J3382" t="s">
        <v>37</v>
      </c>
      <c r="K3382" t="s">
        <v>26</v>
      </c>
      <c r="L3382">
        <v>3</v>
      </c>
      <c r="M3382">
        <v>0</v>
      </c>
      <c r="N3382">
        <v>0</v>
      </c>
      <c r="O3382" t="s">
        <v>27</v>
      </c>
      <c r="P3382" t="str">
        <f>TEXT(Table1[[#This Row],[order_date]],"yyyy-mm")</f>
        <v>2025-12</v>
      </c>
      <c r="Q3382">
        <f>WEEKNUM(Table1[[#This Row],[order_date]])</f>
        <v>51</v>
      </c>
      <c r="R3382">
        <f>IF(Table1[[#This Row],[order_status]]="completed",1,0)</f>
        <v>0</v>
      </c>
    </row>
    <row r="3383" spans="1:18" x14ac:dyDescent="0.35">
      <c r="A3383">
        <v>3382</v>
      </c>
      <c r="B3383" s="1">
        <v>45897</v>
      </c>
      <c r="C3383">
        <v>1149</v>
      </c>
      <c r="D3383" t="s">
        <v>28</v>
      </c>
      <c r="E3383" t="s">
        <v>33</v>
      </c>
      <c r="F3383" t="s">
        <v>30</v>
      </c>
      <c r="G3383">
        <v>5</v>
      </c>
      <c r="H3383">
        <v>0</v>
      </c>
      <c r="I3383" t="s">
        <v>18</v>
      </c>
      <c r="J3383" t="s">
        <v>31</v>
      </c>
      <c r="K3383" t="s">
        <v>40</v>
      </c>
      <c r="L3383">
        <v>6</v>
      </c>
      <c r="M3383">
        <v>0</v>
      </c>
      <c r="N3383">
        <v>0</v>
      </c>
      <c r="O3383" t="s">
        <v>21</v>
      </c>
      <c r="P3383" t="str">
        <f>TEXT(Table1[[#This Row],[order_date]],"yyyy-mm")</f>
        <v>2025-08</v>
      </c>
      <c r="Q3383">
        <f>WEEKNUM(Table1[[#This Row],[order_date]])</f>
        <v>35</v>
      </c>
      <c r="R3383">
        <f>IF(Table1[[#This Row],[order_status]]="completed",1,0)</f>
        <v>0</v>
      </c>
    </row>
    <row r="3384" spans="1:18" x14ac:dyDescent="0.35">
      <c r="A3384">
        <v>3383</v>
      </c>
      <c r="B3384" s="1">
        <v>46018</v>
      </c>
      <c r="C3384">
        <v>1027</v>
      </c>
      <c r="D3384" t="s">
        <v>15</v>
      </c>
      <c r="E3384" t="s">
        <v>23</v>
      </c>
      <c r="F3384" t="s">
        <v>30</v>
      </c>
      <c r="G3384">
        <v>3</v>
      </c>
      <c r="H3384">
        <v>0</v>
      </c>
      <c r="I3384" t="s">
        <v>18</v>
      </c>
      <c r="J3384" t="s">
        <v>31</v>
      </c>
      <c r="K3384" t="s">
        <v>20</v>
      </c>
      <c r="L3384">
        <v>4</v>
      </c>
      <c r="M3384">
        <v>1</v>
      </c>
      <c r="N3384">
        <v>0</v>
      </c>
      <c r="O3384" t="s">
        <v>21</v>
      </c>
      <c r="P3384" t="str">
        <f>TEXT(Table1[[#This Row],[order_date]],"yyyy-mm")</f>
        <v>2025-12</v>
      </c>
      <c r="Q3384">
        <f>WEEKNUM(Table1[[#This Row],[order_date]])</f>
        <v>52</v>
      </c>
      <c r="R3384">
        <f>IF(Table1[[#This Row],[order_status]]="completed",1,0)</f>
        <v>0</v>
      </c>
    </row>
    <row r="3385" spans="1:18" x14ac:dyDescent="0.35">
      <c r="A3385">
        <v>3384</v>
      </c>
      <c r="B3385" s="1">
        <v>46011</v>
      </c>
      <c r="C3385">
        <v>1910</v>
      </c>
      <c r="D3385" t="s">
        <v>22</v>
      </c>
      <c r="E3385" t="s">
        <v>29</v>
      </c>
      <c r="F3385" t="s">
        <v>34</v>
      </c>
      <c r="G3385">
        <v>4</v>
      </c>
      <c r="H3385">
        <v>5400</v>
      </c>
      <c r="I3385" t="s">
        <v>39</v>
      </c>
      <c r="J3385" t="s">
        <v>19</v>
      </c>
      <c r="K3385" t="s">
        <v>20</v>
      </c>
      <c r="L3385">
        <v>9</v>
      </c>
      <c r="M3385">
        <v>1</v>
      </c>
      <c r="N3385">
        <v>0</v>
      </c>
      <c r="O3385" t="s">
        <v>27</v>
      </c>
      <c r="P3385" t="str">
        <f>TEXT(Table1[[#This Row],[order_date]],"yyyy-mm")</f>
        <v>2025-12</v>
      </c>
      <c r="Q3385">
        <f>WEEKNUM(Table1[[#This Row],[order_date]])</f>
        <v>51</v>
      </c>
      <c r="R3385">
        <f>IF(Table1[[#This Row],[order_status]]="completed",1,0)</f>
        <v>1</v>
      </c>
    </row>
    <row r="3386" spans="1:18" x14ac:dyDescent="0.35">
      <c r="A3386">
        <v>3385</v>
      </c>
      <c r="B3386" s="1">
        <v>45931</v>
      </c>
      <c r="C3386">
        <v>1327</v>
      </c>
      <c r="D3386" t="s">
        <v>15</v>
      </c>
      <c r="E3386" t="s">
        <v>16</v>
      </c>
      <c r="F3386" t="s">
        <v>24</v>
      </c>
      <c r="G3386">
        <v>4</v>
      </c>
      <c r="H3386">
        <v>0</v>
      </c>
      <c r="I3386" t="s">
        <v>39</v>
      </c>
      <c r="J3386" t="s">
        <v>37</v>
      </c>
      <c r="K3386" t="s">
        <v>20</v>
      </c>
      <c r="L3386">
        <v>5</v>
      </c>
      <c r="M3386">
        <v>1</v>
      </c>
      <c r="N3386">
        <v>1</v>
      </c>
      <c r="O3386" t="s">
        <v>21</v>
      </c>
      <c r="P3386" t="str">
        <f>TEXT(Table1[[#This Row],[order_date]],"yyyy-mm")</f>
        <v>2025-10</v>
      </c>
      <c r="Q3386">
        <f>WEEKNUM(Table1[[#This Row],[order_date]])</f>
        <v>40</v>
      </c>
      <c r="R3386">
        <f>IF(Table1[[#This Row],[order_status]]="completed",1,0)</f>
        <v>0</v>
      </c>
    </row>
    <row r="3387" spans="1:18" x14ac:dyDescent="0.35">
      <c r="A3387">
        <v>3386</v>
      </c>
      <c r="B3387" s="1">
        <v>46004</v>
      </c>
      <c r="C3387">
        <v>1906</v>
      </c>
      <c r="D3387" t="s">
        <v>28</v>
      </c>
      <c r="E3387" t="s">
        <v>23</v>
      </c>
      <c r="F3387" t="s">
        <v>34</v>
      </c>
      <c r="G3387">
        <v>2</v>
      </c>
      <c r="H3387">
        <v>0</v>
      </c>
      <c r="I3387" t="s">
        <v>39</v>
      </c>
      <c r="J3387" t="s">
        <v>37</v>
      </c>
      <c r="K3387" t="s">
        <v>20</v>
      </c>
      <c r="L3387">
        <v>3</v>
      </c>
      <c r="M3387">
        <v>0</v>
      </c>
      <c r="N3387">
        <v>0</v>
      </c>
      <c r="O3387" t="s">
        <v>21</v>
      </c>
      <c r="P3387" t="str">
        <f>TEXT(Table1[[#This Row],[order_date]],"yyyy-mm")</f>
        <v>2025-12</v>
      </c>
      <c r="Q3387">
        <f>WEEKNUM(Table1[[#This Row],[order_date]])</f>
        <v>50</v>
      </c>
      <c r="R3387">
        <f>IF(Table1[[#This Row],[order_status]]="completed",1,0)</f>
        <v>0</v>
      </c>
    </row>
    <row r="3388" spans="1:18" x14ac:dyDescent="0.35">
      <c r="A3388">
        <v>3387</v>
      </c>
      <c r="B3388" s="1">
        <v>45958</v>
      </c>
      <c r="C3388">
        <v>1438</v>
      </c>
      <c r="D3388" t="s">
        <v>41</v>
      </c>
      <c r="E3388" t="s">
        <v>29</v>
      </c>
      <c r="F3388" t="s">
        <v>30</v>
      </c>
      <c r="G3388">
        <v>5</v>
      </c>
      <c r="H3388">
        <v>0</v>
      </c>
      <c r="I3388" t="s">
        <v>25</v>
      </c>
      <c r="J3388" t="s">
        <v>37</v>
      </c>
      <c r="K3388" t="s">
        <v>40</v>
      </c>
      <c r="L3388">
        <v>8</v>
      </c>
      <c r="M3388">
        <v>0</v>
      </c>
      <c r="N3388">
        <v>1</v>
      </c>
      <c r="O3388" t="s">
        <v>27</v>
      </c>
      <c r="P3388" t="str">
        <f>TEXT(Table1[[#This Row],[order_date]],"yyyy-mm")</f>
        <v>2025-10</v>
      </c>
      <c r="Q3388">
        <f>WEEKNUM(Table1[[#This Row],[order_date]])</f>
        <v>44</v>
      </c>
      <c r="R3388">
        <f>IF(Table1[[#This Row],[order_status]]="completed",1,0)</f>
        <v>0</v>
      </c>
    </row>
    <row r="3389" spans="1:18" x14ac:dyDescent="0.35">
      <c r="A3389">
        <v>3388</v>
      </c>
      <c r="B3389" s="1">
        <v>45869</v>
      </c>
      <c r="C3389">
        <v>1499</v>
      </c>
      <c r="D3389" t="s">
        <v>28</v>
      </c>
      <c r="E3389" t="s">
        <v>29</v>
      </c>
      <c r="F3389" t="s">
        <v>17</v>
      </c>
      <c r="G3389">
        <v>5</v>
      </c>
      <c r="H3389">
        <v>0</v>
      </c>
      <c r="I3389" t="s">
        <v>39</v>
      </c>
      <c r="J3389" t="s">
        <v>37</v>
      </c>
      <c r="K3389" t="s">
        <v>26</v>
      </c>
      <c r="L3389">
        <v>6</v>
      </c>
      <c r="M3389">
        <v>0</v>
      </c>
      <c r="N3389">
        <v>0</v>
      </c>
      <c r="O3389" t="s">
        <v>27</v>
      </c>
      <c r="P3389" t="str">
        <f>TEXT(Table1[[#This Row],[order_date]],"yyyy-mm")</f>
        <v>2025-07</v>
      </c>
      <c r="Q3389">
        <f>WEEKNUM(Table1[[#This Row],[order_date]])</f>
        <v>31</v>
      </c>
      <c r="R3389">
        <f>IF(Table1[[#This Row],[order_status]]="completed",1,0)</f>
        <v>0</v>
      </c>
    </row>
    <row r="3390" spans="1:18" x14ac:dyDescent="0.35">
      <c r="A3390">
        <v>3389</v>
      </c>
      <c r="B3390" s="1">
        <v>45883</v>
      </c>
      <c r="C3390">
        <v>1348</v>
      </c>
      <c r="D3390" t="s">
        <v>15</v>
      </c>
      <c r="E3390" t="s">
        <v>23</v>
      </c>
      <c r="F3390" t="s">
        <v>17</v>
      </c>
      <c r="G3390">
        <v>3</v>
      </c>
      <c r="H3390">
        <v>6681</v>
      </c>
      <c r="I3390" t="s">
        <v>25</v>
      </c>
      <c r="J3390" t="s">
        <v>19</v>
      </c>
      <c r="K3390" t="s">
        <v>38</v>
      </c>
      <c r="L3390">
        <v>8</v>
      </c>
      <c r="M3390">
        <v>0</v>
      </c>
      <c r="N3390">
        <v>1</v>
      </c>
      <c r="O3390" t="s">
        <v>27</v>
      </c>
      <c r="P3390" t="str">
        <f>TEXT(Table1[[#This Row],[order_date]],"yyyy-mm")</f>
        <v>2025-08</v>
      </c>
      <c r="Q3390">
        <f>WEEKNUM(Table1[[#This Row],[order_date]])</f>
        <v>33</v>
      </c>
      <c r="R3390">
        <f>IF(Table1[[#This Row],[order_status]]="completed",1,0)</f>
        <v>1</v>
      </c>
    </row>
    <row r="3391" spans="1:18" x14ac:dyDescent="0.35">
      <c r="A3391">
        <v>3390</v>
      </c>
      <c r="B3391" s="1">
        <v>45972</v>
      </c>
      <c r="C3391">
        <v>1049</v>
      </c>
      <c r="D3391" t="s">
        <v>41</v>
      </c>
      <c r="E3391" t="s">
        <v>23</v>
      </c>
      <c r="F3391" t="s">
        <v>17</v>
      </c>
      <c r="G3391">
        <v>4</v>
      </c>
      <c r="H3391">
        <v>0</v>
      </c>
      <c r="I3391" t="s">
        <v>35</v>
      </c>
      <c r="J3391" t="s">
        <v>31</v>
      </c>
      <c r="K3391" t="s">
        <v>38</v>
      </c>
      <c r="L3391">
        <v>10</v>
      </c>
      <c r="M3391">
        <v>1</v>
      </c>
      <c r="N3391">
        <v>0</v>
      </c>
      <c r="O3391" t="s">
        <v>21</v>
      </c>
      <c r="P3391" t="str">
        <f>TEXT(Table1[[#This Row],[order_date]],"yyyy-mm")</f>
        <v>2025-11</v>
      </c>
      <c r="Q3391">
        <f>WEEKNUM(Table1[[#This Row],[order_date]])</f>
        <v>46</v>
      </c>
      <c r="R3391">
        <f>IF(Table1[[#This Row],[order_status]]="completed",1,0)</f>
        <v>0</v>
      </c>
    </row>
    <row r="3392" spans="1:18" x14ac:dyDescent="0.35">
      <c r="A3392">
        <v>3391</v>
      </c>
      <c r="B3392" s="1">
        <v>46018</v>
      </c>
      <c r="C3392">
        <v>1659</v>
      </c>
      <c r="D3392" t="s">
        <v>15</v>
      </c>
      <c r="E3392" t="s">
        <v>16</v>
      </c>
      <c r="F3392" t="s">
        <v>24</v>
      </c>
      <c r="G3392">
        <v>3</v>
      </c>
      <c r="H3392">
        <v>0</v>
      </c>
      <c r="I3392" t="s">
        <v>39</v>
      </c>
      <c r="J3392" t="s">
        <v>37</v>
      </c>
      <c r="K3392" t="s">
        <v>26</v>
      </c>
      <c r="L3392">
        <v>8</v>
      </c>
      <c r="M3392">
        <v>0</v>
      </c>
      <c r="N3392">
        <v>0</v>
      </c>
      <c r="O3392" t="s">
        <v>21</v>
      </c>
      <c r="P3392" t="str">
        <f>TEXT(Table1[[#This Row],[order_date]],"yyyy-mm")</f>
        <v>2025-12</v>
      </c>
      <c r="Q3392">
        <f>WEEKNUM(Table1[[#This Row],[order_date]])</f>
        <v>52</v>
      </c>
      <c r="R3392">
        <f>IF(Table1[[#This Row],[order_status]]="completed",1,0)</f>
        <v>0</v>
      </c>
    </row>
    <row r="3393" spans="1:18" x14ac:dyDescent="0.35">
      <c r="A3393">
        <v>3392</v>
      </c>
      <c r="B3393" s="1">
        <v>45862</v>
      </c>
      <c r="C3393">
        <v>1344</v>
      </c>
      <c r="D3393" t="s">
        <v>22</v>
      </c>
      <c r="E3393" t="s">
        <v>36</v>
      </c>
      <c r="F3393" t="s">
        <v>17</v>
      </c>
      <c r="G3393">
        <v>4</v>
      </c>
      <c r="H3393">
        <v>0</v>
      </c>
      <c r="I3393" t="s">
        <v>35</v>
      </c>
      <c r="J3393" t="s">
        <v>31</v>
      </c>
      <c r="K3393" t="s">
        <v>40</v>
      </c>
      <c r="L3393">
        <v>10</v>
      </c>
      <c r="M3393">
        <v>0</v>
      </c>
      <c r="N3393">
        <v>0</v>
      </c>
      <c r="O3393" t="s">
        <v>21</v>
      </c>
      <c r="P3393" t="str">
        <f>TEXT(Table1[[#This Row],[order_date]],"yyyy-mm")</f>
        <v>2025-07</v>
      </c>
      <c r="Q3393">
        <f>WEEKNUM(Table1[[#This Row],[order_date]])</f>
        <v>30</v>
      </c>
      <c r="R3393">
        <f>IF(Table1[[#This Row],[order_status]]="completed",1,0)</f>
        <v>0</v>
      </c>
    </row>
    <row r="3394" spans="1:18" x14ac:dyDescent="0.35">
      <c r="A3394">
        <v>3393</v>
      </c>
      <c r="B3394" s="1">
        <v>45968</v>
      </c>
      <c r="C3394">
        <v>1384</v>
      </c>
      <c r="D3394" t="s">
        <v>32</v>
      </c>
      <c r="E3394" t="s">
        <v>36</v>
      </c>
      <c r="F3394" t="s">
        <v>24</v>
      </c>
      <c r="G3394">
        <v>3</v>
      </c>
      <c r="H3394">
        <v>12123</v>
      </c>
      <c r="I3394" t="s">
        <v>25</v>
      </c>
      <c r="J3394" t="s">
        <v>19</v>
      </c>
      <c r="K3394" t="s">
        <v>20</v>
      </c>
      <c r="L3394">
        <v>10</v>
      </c>
      <c r="M3394">
        <v>1</v>
      </c>
      <c r="N3394">
        <v>1</v>
      </c>
      <c r="O3394" t="s">
        <v>27</v>
      </c>
      <c r="P3394" t="str">
        <f>TEXT(Table1[[#This Row],[order_date]],"yyyy-mm")</f>
        <v>2025-11</v>
      </c>
      <c r="Q3394">
        <f>WEEKNUM(Table1[[#This Row],[order_date]])</f>
        <v>45</v>
      </c>
      <c r="R3394">
        <f>IF(Table1[[#This Row],[order_status]]="completed",1,0)</f>
        <v>1</v>
      </c>
    </row>
    <row r="3395" spans="1:18" x14ac:dyDescent="0.35">
      <c r="A3395">
        <v>3394</v>
      </c>
      <c r="B3395" s="1">
        <v>45949</v>
      </c>
      <c r="C3395">
        <v>1028</v>
      </c>
      <c r="D3395" t="s">
        <v>32</v>
      </c>
      <c r="E3395" t="s">
        <v>33</v>
      </c>
      <c r="F3395" t="s">
        <v>17</v>
      </c>
      <c r="G3395">
        <v>2</v>
      </c>
      <c r="H3395">
        <v>0</v>
      </c>
      <c r="I3395" t="s">
        <v>35</v>
      </c>
      <c r="J3395" t="s">
        <v>31</v>
      </c>
      <c r="K3395" t="s">
        <v>38</v>
      </c>
      <c r="L3395">
        <v>10</v>
      </c>
      <c r="M3395">
        <v>1</v>
      </c>
      <c r="N3395">
        <v>1</v>
      </c>
      <c r="O3395" t="s">
        <v>27</v>
      </c>
      <c r="P3395" t="str">
        <f>TEXT(Table1[[#This Row],[order_date]],"yyyy-mm")</f>
        <v>2025-10</v>
      </c>
      <c r="Q3395">
        <f>WEEKNUM(Table1[[#This Row],[order_date]])</f>
        <v>43</v>
      </c>
      <c r="R3395">
        <f>IF(Table1[[#This Row],[order_status]]="completed",1,0)</f>
        <v>0</v>
      </c>
    </row>
    <row r="3396" spans="1:18" x14ac:dyDescent="0.35">
      <c r="A3396">
        <v>3395</v>
      </c>
      <c r="B3396" s="1">
        <v>45873</v>
      </c>
      <c r="C3396">
        <v>1076</v>
      </c>
      <c r="D3396" t="s">
        <v>15</v>
      </c>
      <c r="E3396" t="s">
        <v>36</v>
      </c>
      <c r="F3396" t="s">
        <v>34</v>
      </c>
      <c r="G3396">
        <v>5</v>
      </c>
      <c r="H3396">
        <v>8080</v>
      </c>
      <c r="I3396" t="s">
        <v>39</v>
      </c>
      <c r="J3396" t="s">
        <v>19</v>
      </c>
      <c r="K3396" t="s">
        <v>38</v>
      </c>
      <c r="L3396">
        <v>1</v>
      </c>
      <c r="M3396">
        <v>1</v>
      </c>
      <c r="N3396">
        <v>0</v>
      </c>
      <c r="O3396" t="s">
        <v>21</v>
      </c>
      <c r="P3396" t="str">
        <f>TEXT(Table1[[#This Row],[order_date]],"yyyy-mm")</f>
        <v>2025-08</v>
      </c>
      <c r="Q3396">
        <f>WEEKNUM(Table1[[#This Row],[order_date]])</f>
        <v>32</v>
      </c>
      <c r="R3396">
        <f>IF(Table1[[#This Row],[order_status]]="completed",1,0)</f>
        <v>1</v>
      </c>
    </row>
    <row r="3397" spans="1:18" x14ac:dyDescent="0.35">
      <c r="A3397">
        <v>3396</v>
      </c>
      <c r="B3397" s="1">
        <v>45924</v>
      </c>
      <c r="C3397">
        <v>1259</v>
      </c>
      <c r="D3397" t="s">
        <v>15</v>
      </c>
      <c r="E3397" t="s">
        <v>29</v>
      </c>
      <c r="F3397" t="s">
        <v>17</v>
      </c>
      <c r="G3397">
        <v>3</v>
      </c>
      <c r="H3397">
        <v>0</v>
      </c>
      <c r="I3397" t="s">
        <v>25</v>
      </c>
      <c r="J3397" t="s">
        <v>37</v>
      </c>
      <c r="K3397" t="s">
        <v>26</v>
      </c>
      <c r="L3397">
        <v>2</v>
      </c>
      <c r="M3397">
        <v>0</v>
      </c>
      <c r="N3397">
        <v>1</v>
      </c>
      <c r="O3397" t="s">
        <v>21</v>
      </c>
      <c r="P3397" t="str">
        <f>TEXT(Table1[[#This Row],[order_date]],"yyyy-mm")</f>
        <v>2025-09</v>
      </c>
      <c r="Q3397">
        <f>WEEKNUM(Table1[[#This Row],[order_date]])</f>
        <v>39</v>
      </c>
      <c r="R3397">
        <f>IF(Table1[[#This Row],[order_status]]="completed",1,0)</f>
        <v>0</v>
      </c>
    </row>
    <row r="3398" spans="1:18" x14ac:dyDescent="0.35">
      <c r="A3398">
        <v>3397</v>
      </c>
      <c r="B3398" s="1">
        <v>45853</v>
      </c>
      <c r="C3398">
        <v>1692</v>
      </c>
      <c r="D3398" t="s">
        <v>28</v>
      </c>
      <c r="E3398" t="s">
        <v>23</v>
      </c>
      <c r="F3398" t="s">
        <v>34</v>
      </c>
      <c r="G3398">
        <v>2</v>
      </c>
      <c r="H3398">
        <v>9176</v>
      </c>
      <c r="I3398" t="s">
        <v>35</v>
      </c>
      <c r="J3398" t="s">
        <v>19</v>
      </c>
      <c r="K3398" t="s">
        <v>20</v>
      </c>
      <c r="L3398">
        <v>7</v>
      </c>
      <c r="M3398">
        <v>0</v>
      </c>
      <c r="N3398">
        <v>0</v>
      </c>
      <c r="O3398" t="s">
        <v>27</v>
      </c>
      <c r="P3398" t="str">
        <f>TEXT(Table1[[#This Row],[order_date]],"yyyy-mm")</f>
        <v>2025-07</v>
      </c>
      <c r="Q3398">
        <f>WEEKNUM(Table1[[#This Row],[order_date]])</f>
        <v>29</v>
      </c>
      <c r="R3398">
        <f>IF(Table1[[#This Row],[order_status]]="completed",1,0)</f>
        <v>1</v>
      </c>
    </row>
    <row r="3399" spans="1:18" x14ac:dyDescent="0.35">
      <c r="A3399">
        <v>3398</v>
      </c>
      <c r="B3399" s="1">
        <v>45881</v>
      </c>
      <c r="C3399">
        <v>1188</v>
      </c>
      <c r="D3399" t="s">
        <v>28</v>
      </c>
      <c r="E3399" t="s">
        <v>29</v>
      </c>
      <c r="F3399" t="s">
        <v>34</v>
      </c>
      <c r="G3399">
        <v>2</v>
      </c>
      <c r="H3399">
        <v>0</v>
      </c>
      <c r="I3399" t="s">
        <v>35</v>
      </c>
      <c r="J3399" t="s">
        <v>37</v>
      </c>
      <c r="K3399" t="s">
        <v>20</v>
      </c>
      <c r="L3399">
        <v>2</v>
      </c>
      <c r="M3399">
        <v>1</v>
      </c>
      <c r="N3399">
        <v>1</v>
      </c>
      <c r="O3399" t="s">
        <v>21</v>
      </c>
      <c r="P3399" t="str">
        <f>TEXT(Table1[[#This Row],[order_date]],"yyyy-mm")</f>
        <v>2025-08</v>
      </c>
      <c r="Q3399">
        <f>WEEKNUM(Table1[[#This Row],[order_date]])</f>
        <v>33</v>
      </c>
      <c r="R3399">
        <f>IF(Table1[[#This Row],[order_status]]="completed",1,0)</f>
        <v>0</v>
      </c>
    </row>
    <row r="3400" spans="1:18" x14ac:dyDescent="0.35">
      <c r="A3400">
        <v>3399</v>
      </c>
      <c r="B3400" s="1">
        <v>45919</v>
      </c>
      <c r="C3400">
        <v>1645</v>
      </c>
      <c r="D3400" t="s">
        <v>32</v>
      </c>
      <c r="E3400" t="s">
        <v>23</v>
      </c>
      <c r="F3400" t="s">
        <v>24</v>
      </c>
      <c r="G3400">
        <v>3</v>
      </c>
      <c r="H3400">
        <v>0</v>
      </c>
      <c r="I3400" t="s">
        <v>25</v>
      </c>
      <c r="J3400" t="s">
        <v>37</v>
      </c>
      <c r="K3400" t="s">
        <v>26</v>
      </c>
      <c r="L3400">
        <v>7</v>
      </c>
      <c r="M3400">
        <v>1</v>
      </c>
      <c r="N3400">
        <v>1</v>
      </c>
      <c r="O3400" t="s">
        <v>27</v>
      </c>
      <c r="P3400" t="str">
        <f>TEXT(Table1[[#This Row],[order_date]],"yyyy-mm")</f>
        <v>2025-09</v>
      </c>
      <c r="Q3400">
        <f>WEEKNUM(Table1[[#This Row],[order_date]])</f>
        <v>38</v>
      </c>
      <c r="R3400">
        <f>IF(Table1[[#This Row],[order_status]]="completed",1,0)</f>
        <v>0</v>
      </c>
    </row>
    <row r="3401" spans="1:18" x14ac:dyDescent="0.35">
      <c r="A3401">
        <v>3400</v>
      </c>
      <c r="B3401" s="1">
        <v>45925</v>
      </c>
      <c r="C3401">
        <v>1417</v>
      </c>
      <c r="D3401" t="s">
        <v>22</v>
      </c>
      <c r="E3401" t="s">
        <v>33</v>
      </c>
      <c r="F3401" t="s">
        <v>34</v>
      </c>
      <c r="G3401">
        <v>2</v>
      </c>
      <c r="H3401">
        <v>0</v>
      </c>
      <c r="I3401" t="s">
        <v>25</v>
      </c>
      <c r="J3401" t="s">
        <v>31</v>
      </c>
      <c r="K3401" t="s">
        <v>40</v>
      </c>
      <c r="L3401">
        <v>5</v>
      </c>
      <c r="M3401">
        <v>0</v>
      </c>
      <c r="N3401">
        <v>1</v>
      </c>
      <c r="O3401" t="s">
        <v>27</v>
      </c>
      <c r="P3401" t="str">
        <f>TEXT(Table1[[#This Row],[order_date]],"yyyy-mm")</f>
        <v>2025-09</v>
      </c>
      <c r="Q3401">
        <f>WEEKNUM(Table1[[#This Row],[order_date]])</f>
        <v>39</v>
      </c>
      <c r="R3401">
        <f>IF(Table1[[#This Row],[order_status]]="completed",1,0)</f>
        <v>0</v>
      </c>
    </row>
    <row r="3402" spans="1:18" x14ac:dyDescent="0.35">
      <c r="A3402">
        <v>3401</v>
      </c>
      <c r="B3402" s="1">
        <v>45978</v>
      </c>
      <c r="C3402">
        <v>1468</v>
      </c>
      <c r="D3402" t="s">
        <v>22</v>
      </c>
      <c r="E3402" t="s">
        <v>33</v>
      </c>
      <c r="F3402" t="s">
        <v>17</v>
      </c>
      <c r="G3402">
        <v>1</v>
      </c>
      <c r="H3402">
        <v>4658</v>
      </c>
      <c r="I3402" t="s">
        <v>25</v>
      </c>
      <c r="J3402" t="s">
        <v>19</v>
      </c>
      <c r="K3402" t="s">
        <v>26</v>
      </c>
      <c r="L3402">
        <v>1</v>
      </c>
      <c r="M3402">
        <v>0</v>
      </c>
      <c r="N3402">
        <v>1</v>
      </c>
      <c r="O3402" t="s">
        <v>21</v>
      </c>
      <c r="P3402" t="str">
        <f>TEXT(Table1[[#This Row],[order_date]],"yyyy-mm")</f>
        <v>2025-11</v>
      </c>
      <c r="Q3402">
        <f>WEEKNUM(Table1[[#This Row],[order_date]])</f>
        <v>47</v>
      </c>
      <c r="R3402">
        <f>IF(Table1[[#This Row],[order_status]]="completed",1,0)</f>
        <v>1</v>
      </c>
    </row>
    <row r="3403" spans="1:18" x14ac:dyDescent="0.35">
      <c r="A3403">
        <v>3402</v>
      </c>
      <c r="B3403" s="1">
        <v>45857</v>
      </c>
      <c r="C3403">
        <v>1245</v>
      </c>
      <c r="D3403" t="s">
        <v>28</v>
      </c>
      <c r="E3403" t="s">
        <v>23</v>
      </c>
      <c r="F3403" t="s">
        <v>30</v>
      </c>
      <c r="G3403">
        <v>2</v>
      </c>
      <c r="H3403">
        <v>6242</v>
      </c>
      <c r="I3403" t="s">
        <v>18</v>
      </c>
      <c r="J3403" t="s">
        <v>19</v>
      </c>
      <c r="K3403" t="s">
        <v>26</v>
      </c>
      <c r="L3403">
        <v>4</v>
      </c>
      <c r="M3403">
        <v>0</v>
      </c>
      <c r="N3403">
        <v>1</v>
      </c>
      <c r="O3403" t="s">
        <v>21</v>
      </c>
      <c r="P3403" t="str">
        <f>TEXT(Table1[[#This Row],[order_date]],"yyyy-mm")</f>
        <v>2025-07</v>
      </c>
      <c r="Q3403">
        <f>WEEKNUM(Table1[[#This Row],[order_date]])</f>
        <v>29</v>
      </c>
      <c r="R3403">
        <f>IF(Table1[[#This Row],[order_status]]="completed",1,0)</f>
        <v>1</v>
      </c>
    </row>
    <row r="3404" spans="1:18" x14ac:dyDescent="0.35">
      <c r="A3404">
        <v>3403</v>
      </c>
      <c r="B3404" s="1">
        <v>45920</v>
      </c>
      <c r="C3404">
        <v>1499</v>
      </c>
      <c r="D3404" t="s">
        <v>41</v>
      </c>
      <c r="E3404" t="s">
        <v>29</v>
      </c>
      <c r="F3404" t="s">
        <v>24</v>
      </c>
      <c r="G3404">
        <v>4</v>
      </c>
      <c r="H3404">
        <v>3148</v>
      </c>
      <c r="I3404" t="s">
        <v>25</v>
      </c>
      <c r="J3404" t="s">
        <v>19</v>
      </c>
      <c r="K3404" t="s">
        <v>38</v>
      </c>
      <c r="L3404">
        <v>2</v>
      </c>
      <c r="M3404">
        <v>1</v>
      </c>
      <c r="N3404">
        <v>1</v>
      </c>
      <c r="O3404" t="s">
        <v>27</v>
      </c>
      <c r="P3404" t="str">
        <f>TEXT(Table1[[#This Row],[order_date]],"yyyy-mm")</f>
        <v>2025-09</v>
      </c>
      <c r="Q3404">
        <f>WEEKNUM(Table1[[#This Row],[order_date]])</f>
        <v>38</v>
      </c>
      <c r="R3404">
        <f>IF(Table1[[#This Row],[order_status]]="completed",1,0)</f>
        <v>1</v>
      </c>
    </row>
    <row r="3405" spans="1:18" x14ac:dyDescent="0.35">
      <c r="A3405">
        <v>3404</v>
      </c>
      <c r="B3405" s="1">
        <v>45882</v>
      </c>
      <c r="C3405">
        <v>1488</v>
      </c>
      <c r="D3405" t="s">
        <v>28</v>
      </c>
      <c r="E3405" t="s">
        <v>33</v>
      </c>
      <c r="F3405" t="s">
        <v>30</v>
      </c>
      <c r="G3405">
        <v>5</v>
      </c>
      <c r="H3405">
        <v>0</v>
      </c>
      <c r="I3405" t="s">
        <v>39</v>
      </c>
      <c r="J3405" t="s">
        <v>37</v>
      </c>
      <c r="K3405" t="s">
        <v>38</v>
      </c>
      <c r="L3405">
        <v>4</v>
      </c>
      <c r="M3405">
        <v>0</v>
      </c>
      <c r="N3405">
        <v>0</v>
      </c>
      <c r="O3405" t="s">
        <v>27</v>
      </c>
      <c r="P3405" t="str">
        <f>TEXT(Table1[[#This Row],[order_date]],"yyyy-mm")</f>
        <v>2025-08</v>
      </c>
      <c r="Q3405">
        <f>WEEKNUM(Table1[[#This Row],[order_date]])</f>
        <v>33</v>
      </c>
      <c r="R3405">
        <f>IF(Table1[[#This Row],[order_status]]="completed",1,0)</f>
        <v>0</v>
      </c>
    </row>
    <row r="3406" spans="1:18" x14ac:dyDescent="0.35">
      <c r="A3406">
        <v>3405</v>
      </c>
      <c r="B3406" s="1">
        <v>45958</v>
      </c>
      <c r="C3406">
        <v>1481</v>
      </c>
      <c r="D3406" t="s">
        <v>32</v>
      </c>
      <c r="E3406" t="s">
        <v>16</v>
      </c>
      <c r="F3406" t="s">
        <v>34</v>
      </c>
      <c r="G3406">
        <v>3</v>
      </c>
      <c r="H3406">
        <v>14460</v>
      </c>
      <c r="I3406" t="s">
        <v>35</v>
      </c>
      <c r="J3406" t="s">
        <v>19</v>
      </c>
      <c r="K3406" t="s">
        <v>20</v>
      </c>
      <c r="L3406">
        <v>9</v>
      </c>
      <c r="M3406">
        <v>0</v>
      </c>
      <c r="N3406">
        <v>0</v>
      </c>
      <c r="O3406" t="s">
        <v>21</v>
      </c>
      <c r="P3406" t="str">
        <f>TEXT(Table1[[#This Row],[order_date]],"yyyy-mm")</f>
        <v>2025-10</v>
      </c>
      <c r="Q3406">
        <f>WEEKNUM(Table1[[#This Row],[order_date]])</f>
        <v>44</v>
      </c>
      <c r="R3406">
        <f>IF(Table1[[#This Row],[order_status]]="completed",1,0)</f>
        <v>1</v>
      </c>
    </row>
    <row r="3407" spans="1:18" x14ac:dyDescent="0.35">
      <c r="A3407">
        <v>3406</v>
      </c>
      <c r="B3407" s="1">
        <v>45884</v>
      </c>
      <c r="C3407">
        <v>1973</v>
      </c>
      <c r="D3407" t="s">
        <v>41</v>
      </c>
      <c r="E3407" t="s">
        <v>36</v>
      </c>
      <c r="F3407" t="s">
        <v>24</v>
      </c>
      <c r="G3407">
        <v>3</v>
      </c>
      <c r="H3407">
        <v>1014</v>
      </c>
      <c r="I3407" t="s">
        <v>18</v>
      </c>
      <c r="J3407" t="s">
        <v>19</v>
      </c>
      <c r="K3407" t="s">
        <v>26</v>
      </c>
      <c r="L3407">
        <v>2</v>
      </c>
      <c r="M3407">
        <v>0</v>
      </c>
      <c r="N3407">
        <v>0</v>
      </c>
      <c r="O3407" t="s">
        <v>21</v>
      </c>
      <c r="P3407" t="str">
        <f>TEXT(Table1[[#This Row],[order_date]],"yyyy-mm")</f>
        <v>2025-08</v>
      </c>
      <c r="Q3407">
        <f>WEEKNUM(Table1[[#This Row],[order_date]])</f>
        <v>33</v>
      </c>
      <c r="R3407">
        <f>IF(Table1[[#This Row],[order_status]]="completed",1,0)</f>
        <v>1</v>
      </c>
    </row>
    <row r="3408" spans="1:18" x14ac:dyDescent="0.35">
      <c r="A3408">
        <v>3407</v>
      </c>
      <c r="B3408" s="1">
        <v>46021</v>
      </c>
      <c r="C3408">
        <v>1347</v>
      </c>
      <c r="D3408" t="s">
        <v>41</v>
      </c>
      <c r="E3408" t="s">
        <v>23</v>
      </c>
      <c r="F3408" t="s">
        <v>30</v>
      </c>
      <c r="G3408">
        <v>2</v>
      </c>
      <c r="H3408">
        <v>3412</v>
      </c>
      <c r="I3408" t="s">
        <v>18</v>
      </c>
      <c r="J3408" t="s">
        <v>19</v>
      </c>
      <c r="K3408" t="s">
        <v>40</v>
      </c>
      <c r="L3408">
        <v>6</v>
      </c>
      <c r="M3408">
        <v>0</v>
      </c>
      <c r="N3408">
        <v>0</v>
      </c>
      <c r="O3408" t="s">
        <v>21</v>
      </c>
      <c r="P3408" t="str">
        <f>TEXT(Table1[[#This Row],[order_date]],"yyyy-mm")</f>
        <v>2025-12</v>
      </c>
      <c r="Q3408">
        <f>WEEKNUM(Table1[[#This Row],[order_date]])</f>
        <v>53</v>
      </c>
      <c r="R3408">
        <f>IF(Table1[[#This Row],[order_status]]="completed",1,0)</f>
        <v>1</v>
      </c>
    </row>
    <row r="3409" spans="1:18" x14ac:dyDescent="0.35">
      <c r="A3409">
        <v>3408</v>
      </c>
      <c r="B3409" s="1">
        <v>45864</v>
      </c>
      <c r="C3409">
        <v>1539</v>
      </c>
      <c r="D3409" t="s">
        <v>28</v>
      </c>
      <c r="E3409" t="s">
        <v>33</v>
      </c>
      <c r="F3409" t="s">
        <v>30</v>
      </c>
      <c r="G3409">
        <v>3</v>
      </c>
      <c r="H3409">
        <v>10218</v>
      </c>
      <c r="I3409" t="s">
        <v>18</v>
      </c>
      <c r="J3409" t="s">
        <v>19</v>
      </c>
      <c r="K3409" t="s">
        <v>20</v>
      </c>
      <c r="L3409">
        <v>1</v>
      </c>
      <c r="M3409">
        <v>0</v>
      </c>
      <c r="N3409">
        <v>1</v>
      </c>
      <c r="O3409" t="s">
        <v>27</v>
      </c>
      <c r="P3409" t="str">
        <f>TEXT(Table1[[#This Row],[order_date]],"yyyy-mm")</f>
        <v>2025-07</v>
      </c>
      <c r="Q3409">
        <f>WEEKNUM(Table1[[#This Row],[order_date]])</f>
        <v>30</v>
      </c>
      <c r="R3409">
        <f>IF(Table1[[#This Row],[order_status]]="completed",1,0)</f>
        <v>1</v>
      </c>
    </row>
    <row r="3410" spans="1:18" x14ac:dyDescent="0.35">
      <c r="A3410">
        <v>3409</v>
      </c>
      <c r="B3410" s="1">
        <v>45963</v>
      </c>
      <c r="C3410">
        <v>1851</v>
      </c>
      <c r="D3410" t="s">
        <v>32</v>
      </c>
      <c r="E3410" t="s">
        <v>33</v>
      </c>
      <c r="F3410" t="s">
        <v>24</v>
      </c>
      <c r="G3410">
        <v>4</v>
      </c>
      <c r="H3410">
        <v>11916</v>
      </c>
      <c r="I3410" t="s">
        <v>25</v>
      </c>
      <c r="J3410" t="s">
        <v>19</v>
      </c>
      <c r="K3410" t="s">
        <v>38</v>
      </c>
      <c r="L3410">
        <v>10</v>
      </c>
      <c r="M3410">
        <v>0</v>
      </c>
      <c r="N3410">
        <v>0</v>
      </c>
      <c r="O3410" t="s">
        <v>21</v>
      </c>
      <c r="P3410" t="str">
        <f>TEXT(Table1[[#This Row],[order_date]],"yyyy-mm")</f>
        <v>2025-11</v>
      </c>
      <c r="Q3410">
        <f>WEEKNUM(Table1[[#This Row],[order_date]])</f>
        <v>45</v>
      </c>
      <c r="R3410">
        <f>IF(Table1[[#This Row],[order_status]]="completed",1,0)</f>
        <v>1</v>
      </c>
    </row>
    <row r="3411" spans="1:18" x14ac:dyDescent="0.35">
      <c r="A3411">
        <v>3410</v>
      </c>
      <c r="B3411" s="1">
        <v>45896</v>
      </c>
      <c r="C3411">
        <v>1081</v>
      </c>
      <c r="D3411" t="s">
        <v>28</v>
      </c>
      <c r="E3411" t="s">
        <v>36</v>
      </c>
      <c r="F3411" t="s">
        <v>24</v>
      </c>
      <c r="G3411">
        <v>4</v>
      </c>
      <c r="H3411">
        <v>0</v>
      </c>
      <c r="I3411" t="s">
        <v>35</v>
      </c>
      <c r="J3411" t="s">
        <v>31</v>
      </c>
      <c r="K3411" t="s">
        <v>38</v>
      </c>
      <c r="L3411">
        <v>9</v>
      </c>
      <c r="M3411">
        <v>0</v>
      </c>
      <c r="N3411">
        <v>0</v>
      </c>
      <c r="O3411" t="s">
        <v>21</v>
      </c>
      <c r="P3411" t="str">
        <f>TEXT(Table1[[#This Row],[order_date]],"yyyy-mm")</f>
        <v>2025-08</v>
      </c>
      <c r="Q3411">
        <f>WEEKNUM(Table1[[#This Row],[order_date]])</f>
        <v>35</v>
      </c>
      <c r="R3411">
        <f>IF(Table1[[#This Row],[order_status]]="completed",1,0)</f>
        <v>0</v>
      </c>
    </row>
    <row r="3412" spans="1:18" x14ac:dyDescent="0.35">
      <c r="A3412">
        <v>3411</v>
      </c>
      <c r="B3412" s="1">
        <v>46014</v>
      </c>
      <c r="C3412">
        <v>1006</v>
      </c>
      <c r="D3412" t="s">
        <v>41</v>
      </c>
      <c r="E3412" t="s">
        <v>36</v>
      </c>
      <c r="F3412" t="s">
        <v>34</v>
      </c>
      <c r="G3412">
        <v>4</v>
      </c>
      <c r="H3412">
        <v>0</v>
      </c>
      <c r="I3412" t="s">
        <v>39</v>
      </c>
      <c r="J3412" t="s">
        <v>37</v>
      </c>
      <c r="K3412" t="s">
        <v>26</v>
      </c>
      <c r="L3412">
        <v>2</v>
      </c>
      <c r="M3412">
        <v>1</v>
      </c>
      <c r="N3412">
        <v>0</v>
      </c>
      <c r="O3412" t="s">
        <v>27</v>
      </c>
      <c r="P3412" t="str">
        <f>TEXT(Table1[[#This Row],[order_date]],"yyyy-mm")</f>
        <v>2025-12</v>
      </c>
      <c r="Q3412">
        <f>WEEKNUM(Table1[[#This Row],[order_date]])</f>
        <v>52</v>
      </c>
      <c r="R3412">
        <f>IF(Table1[[#This Row],[order_status]]="completed",1,0)</f>
        <v>0</v>
      </c>
    </row>
    <row r="3413" spans="1:18" x14ac:dyDescent="0.35">
      <c r="A3413">
        <v>3412</v>
      </c>
      <c r="B3413" s="1">
        <v>45920</v>
      </c>
      <c r="C3413">
        <v>1026</v>
      </c>
      <c r="D3413" t="s">
        <v>28</v>
      </c>
      <c r="E3413" t="s">
        <v>29</v>
      </c>
      <c r="F3413" t="s">
        <v>34</v>
      </c>
      <c r="G3413">
        <v>4</v>
      </c>
      <c r="H3413">
        <v>0</v>
      </c>
      <c r="I3413" t="s">
        <v>25</v>
      </c>
      <c r="J3413" t="s">
        <v>31</v>
      </c>
      <c r="K3413" t="s">
        <v>20</v>
      </c>
      <c r="L3413">
        <v>9</v>
      </c>
      <c r="M3413">
        <v>1</v>
      </c>
      <c r="N3413">
        <v>0</v>
      </c>
      <c r="O3413" t="s">
        <v>27</v>
      </c>
      <c r="P3413" t="str">
        <f>TEXT(Table1[[#This Row],[order_date]],"yyyy-mm")</f>
        <v>2025-09</v>
      </c>
      <c r="Q3413">
        <f>WEEKNUM(Table1[[#This Row],[order_date]])</f>
        <v>38</v>
      </c>
      <c r="R3413">
        <f>IF(Table1[[#This Row],[order_status]]="completed",1,0)</f>
        <v>0</v>
      </c>
    </row>
    <row r="3414" spans="1:18" x14ac:dyDescent="0.35">
      <c r="A3414">
        <v>3413</v>
      </c>
      <c r="B3414" s="1">
        <v>45867</v>
      </c>
      <c r="C3414">
        <v>1936</v>
      </c>
      <c r="D3414" t="s">
        <v>28</v>
      </c>
      <c r="E3414" t="s">
        <v>16</v>
      </c>
      <c r="F3414" t="s">
        <v>30</v>
      </c>
      <c r="G3414">
        <v>4</v>
      </c>
      <c r="H3414">
        <v>0</v>
      </c>
      <c r="I3414" t="s">
        <v>18</v>
      </c>
      <c r="J3414" t="s">
        <v>31</v>
      </c>
      <c r="K3414" t="s">
        <v>20</v>
      </c>
      <c r="L3414">
        <v>6</v>
      </c>
      <c r="M3414">
        <v>1</v>
      </c>
      <c r="N3414">
        <v>0</v>
      </c>
      <c r="O3414" t="s">
        <v>21</v>
      </c>
      <c r="P3414" t="str">
        <f>TEXT(Table1[[#This Row],[order_date]],"yyyy-mm")</f>
        <v>2025-07</v>
      </c>
      <c r="Q3414">
        <f>WEEKNUM(Table1[[#This Row],[order_date]])</f>
        <v>31</v>
      </c>
      <c r="R3414">
        <f>IF(Table1[[#This Row],[order_status]]="completed",1,0)</f>
        <v>0</v>
      </c>
    </row>
    <row r="3415" spans="1:18" x14ac:dyDescent="0.35">
      <c r="A3415">
        <v>3414</v>
      </c>
      <c r="B3415" s="1">
        <v>45958</v>
      </c>
      <c r="C3415">
        <v>1536</v>
      </c>
      <c r="D3415" t="s">
        <v>22</v>
      </c>
      <c r="E3415" t="s">
        <v>33</v>
      </c>
      <c r="F3415" t="s">
        <v>30</v>
      </c>
      <c r="G3415">
        <v>4</v>
      </c>
      <c r="H3415">
        <v>0</v>
      </c>
      <c r="I3415" t="s">
        <v>39</v>
      </c>
      <c r="J3415" t="s">
        <v>31</v>
      </c>
      <c r="K3415" t="s">
        <v>20</v>
      </c>
      <c r="L3415">
        <v>10</v>
      </c>
      <c r="M3415">
        <v>0</v>
      </c>
      <c r="N3415">
        <v>0</v>
      </c>
      <c r="O3415" t="s">
        <v>27</v>
      </c>
      <c r="P3415" t="str">
        <f>TEXT(Table1[[#This Row],[order_date]],"yyyy-mm")</f>
        <v>2025-10</v>
      </c>
      <c r="Q3415">
        <f>WEEKNUM(Table1[[#This Row],[order_date]])</f>
        <v>44</v>
      </c>
      <c r="R3415">
        <f>IF(Table1[[#This Row],[order_status]]="completed",1,0)</f>
        <v>0</v>
      </c>
    </row>
    <row r="3416" spans="1:18" x14ac:dyDescent="0.35">
      <c r="A3416">
        <v>3415</v>
      </c>
      <c r="B3416" s="1">
        <v>45996</v>
      </c>
      <c r="C3416">
        <v>1300</v>
      </c>
      <c r="D3416" t="s">
        <v>15</v>
      </c>
      <c r="E3416" t="s">
        <v>33</v>
      </c>
      <c r="F3416" t="s">
        <v>34</v>
      </c>
      <c r="G3416">
        <v>2</v>
      </c>
      <c r="H3416">
        <v>0</v>
      </c>
      <c r="I3416" t="s">
        <v>25</v>
      </c>
      <c r="J3416" t="s">
        <v>31</v>
      </c>
      <c r="K3416" t="s">
        <v>38</v>
      </c>
      <c r="L3416">
        <v>7</v>
      </c>
      <c r="M3416">
        <v>0</v>
      </c>
      <c r="N3416">
        <v>0</v>
      </c>
      <c r="O3416" t="s">
        <v>27</v>
      </c>
      <c r="P3416" t="str">
        <f>TEXT(Table1[[#This Row],[order_date]],"yyyy-mm")</f>
        <v>2025-12</v>
      </c>
      <c r="Q3416">
        <f>WEEKNUM(Table1[[#This Row],[order_date]])</f>
        <v>49</v>
      </c>
      <c r="R3416">
        <f>IF(Table1[[#This Row],[order_status]]="completed",1,0)</f>
        <v>0</v>
      </c>
    </row>
    <row r="3417" spans="1:18" x14ac:dyDescent="0.35">
      <c r="A3417">
        <v>3416</v>
      </c>
      <c r="B3417" s="1">
        <v>45951</v>
      </c>
      <c r="C3417">
        <v>1314</v>
      </c>
      <c r="D3417" t="s">
        <v>28</v>
      </c>
      <c r="E3417" t="s">
        <v>23</v>
      </c>
      <c r="F3417" t="s">
        <v>24</v>
      </c>
      <c r="G3417">
        <v>3</v>
      </c>
      <c r="H3417">
        <v>0</v>
      </c>
      <c r="I3417" t="s">
        <v>39</v>
      </c>
      <c r="J3417" t="s">
        <v>37</v>
      </c>
      <c r="K3417" t="s">
        <v>40</v>
      </c>
      <c r="L3417">
        <v>7</v>
      </c>
      <c r="M3417">
        <v>1</v>
      </c>
      <c r="N3417">
        <v>1</v>
      </c>
      <c r="O3417" t="s">
        <v>21</v>
      </c>
      <c r="P3417" t="str">
        <f>TEXT(Table1[[#This Row],[order_date]],"yyyy-mm")</f>
        <v>2025-10</v>
      </c>
      <c r="Q3417">
        <f>WEEKNUM(Table1[[#This Row],[order_date]])</f>
        <v>43</v>
      </c>
      <c r="R3417">
        <f>IF(Table1[[#This Row],[order_status]]="completed",1,0)</f>
        <v>0</v>
      </c>
    </row>
    <row r="3418" spans="1:18" x14ac:dyDescent="0.35">
      <c r="A3418">
        <v>3417</v>
      </c>
      <c r="B3418" s="1">
        <v>45902</v>
      </c>
      <c r="C3418">
        <v>1079</v>
      </c>
      <c r="D3418" t="s">
        <v>28</v>
      </c>
      <c r="E3418" t="s">
        <v>29</v>
      </c>
      <c r="F3418" t="s">
        <v>17</v>
      </c>
      <c r="G3418">
        <v>5</v>
      </c>
      <c r="H3418">
        <v>4655</v>
      </c>
      <c r="I3418" t="s">
        <v>39</v>
      </c>
      <c r="J3418" t="s">
        <v>19</v>
      </c>
      <c r="K3418" t="s">
        <v>40</v>
      </c>
      <c r="L3418">
        <v>6</v>
      </c>
      <c r="M3418">
        <v>0</v>
      </c>
      <c r="N3418">
        <v>0</v>
      </c>
      <c r="O3418" t="s">
        <v>21</v>
      </c>
      <c r="P3418" t="str">
        <f>TEXT(Table1[[#This Row],[order_date]],"yyyy-mm")</f>
        <v>2025-09</v>
      </c>
      <c r="Q3418">
        <f>WEEKNUM(Table1[[#This Row],[order_date]])</f>
        <v>36</v>
      </c>
      <c r="R3418">
        <f>IF(Table1[[#This Row],[order_status]]="completed",1,0)</f>
        <v>1</v>
      </c>
    </row>
    <row r="3419" spans="1:18" x14ac:dyDescent="0.35">
      <c r="A3419">
        <v>3418</v>
      </c>
      <c r="B3419" s="1">
        <v>45868</v>
      </c>
      <c r="C3419">
        <v>1667</v>
      </c>
      <c r="D3419" t="s">
        <v>32</v>
      </c>
      <c r="E3419" t="s">
        <v>23</v>
      </c>
      <c r="F3419" t="s">
        <v>30</v>
      </c>
      <c r="G3419">
        <v>4</v>
      </c>
      <c r="H3419">
        <v>0</v>
      </c>
      <c r="I3419" t="s">
        <v>25</v>
      </c>
      <c r="J3419" t="s">
        <v>31</v>
      </c>
      <c r="K3419" t="s">
        <v>40</v>
      </c>
      <c r="L3419">
        <v>6</v>
      </c>
      <c r="M3419">
        <v>1</v>
      </c>
      <c r="N3419">
        <v>1</v>
      </c>
      <c r="O3419" t="s">
        <v>21</v>
      </c>
      <c r="P3419" t="str">
        <f>TEXT(Table1[[#This Row],[order_date]],"yyyy-mm")</f>
        <v>2025-07</v>
      </c>
      <c r="Q3419">
        <f>WEEKNUM(Table1[[#This Row],[order_date]])</f>
        <v>31</v>
      </c>
      <c r="R3419">
        <f>IF(Table1[[#This Row],[order_status]]="completed",1,0)</f>
        <v>0</v>
      </c>
    </row>
    <row r="3420" spans="1:18" x14ac:dyDescent="0.35">
      <c r="A3420">
        <v>3419</v>
      </c>
      <c r="B3420" s="1">
        <v>45977</v>
      </c>
      <c r="C3420">
        <v>1058</v>
      </c>
      <c r="D3420" t="s">
        <v>15</v>
      </c>
      <c r="E3420" t="s">
        <v>36</v>
      </c>
      <c r="F3420" t="s">
        <v>30</v>
      </c>
      <c r="G3420">
        <v>5</v>
      </c>
      <c r="H3420">
        <v>0</v>
      </c>
      <c r="I3420" t="s">
        <v>25</v>
      </c>
      <c r="J3420" t="s">
        <v>37</v>
      </c>
      <c r="K3420" t="s">
        <v>26</v>
      </c>
      <c r="L3420">
        <v>9</v>
      </c>
      <c r="M3420">
        <v>0</v>
      </c>
      <c r="N3420">
        <v>0</v>
      </c>
      <c r="O3420" t="s">
        <v>27</v>
      </c>
      <c r="P3420" t="str">
        <f>TEXT(Table1[[#This Row],[order_date]],"yyyy-mm")</f>
        <v>2025-11</v>
      </c>
      <c r="Q3420">
        <f>WEEKNUM(Table1[[#This Row],[order_date]])</f>
        <v>47</v>
      </c>
      <c r="R3420">
        <f>IF(Table1[[#This Row],[order_status]]="completed",1,0)</f>
        <v>0</v>
      </c>
    </row>
    <row r="3421" spans="1:18" x14ac:dyDescent="0.35">
      <c r="A3421">
        <v>3420</v>
      </c>
      <c r="B3421" s="1">
        <v>46022</v>
      </c>
      <c r="C3421">
        <v>1692</v>
      </c>
      <c r="D3421" t="s">
        <v>28</v>
      </c>
      <c r="E3421" t="s">
        <v>23</v>
      </c>
      <c r="F3421" t="s">
        <v>30</v>
      </c>
      <c r="G3421">
        <v>1</v>
      </c>
      <c r="H3421">
        <v>0</v>
      </c>
      <c r="I3421" t="s">
        <v>18</v>
      </c>
      <c r="J3421" t="s">
        <v>37</v>
      </c>
      <c r="K3421" t="s">
        <v>38</v>
      </c>
      <c r="L3421">
        <v>2</v>
      </c>
      <c r="M3421">
        <v>1</v>
      </c>
      <c r="N3421">
        <v>0</v>
      </c>
      <c r="O3421" t="s">
        <v>21</v>
      </c>
      <c r="P3421" t="str">
        <f>TEXT(Table1[[#This Row],[order_date]],"yyyy-mm")</f>
        <v>2025-12</v>
      </c>
      <c r="Q3421">
        <f>WEEKNUM(Table1[[#This Row],[order_date]])</f>
        <v>53</v>
      </c>
      <c r="R3421">
        <f>IF(Table1[[#This Row],[order_status]]="completed",1,0)</f>
        <v>0</v>
      </c>
    </row>
    <row r="3422" spans="1:18" x14ac:dyDescent="0.35">
      <c r="A3422">
        <v>3421</v>
      </c>
      <c r="B3422" s="1">
        <v>45920</v>
      </c>
      <c r="C3422">
        <v>1000</v>
      </c>
      <c r="D3422" t="s">
        <v>41</v>
      </c>
      <c r="E3422" t="s">
        <v>16</v>
      </c>
      <c r="F3422" t="s">
        <v>34</v>
      </c>
      <c r="G3422">
        <v>4</v>
      </c>
      <c r="H3422">
        <v>0</v>
      </c>
      <c r="I3422" t="s">
        <v>35</v>
      </c>
      <c r="J3422" t="s">
        <v>37</v>
      </c>
      <c r="K3422" t="s">
        <v>38</v>
      </c>
      <c r="L3422">
        <v>3</v>
      </c>
      <c r="M3422">
        <v>0</v>
      </c>
      <c r="N3422">
        <v>0</v>
      </c>
      <c r="O3422" t="s">
        <v>27</v>
      </c>
      <c r="P3422" t="str">
        <f>TEXT(Table1[[#This Row],[order_date]],"yyyy-mm")</f>
        <v>2025-09</v>
      </c>
      <c r="Q3422">
        <f>WEEKNUM(Table1[[#This Row],[order_date]])</f>
        <v>38</v>
      </c>
      <c r="R3422">
        <f>IF(Table1[[#This Row],[order_status]]="completed",1,0)</f>
        <v>0</v>
      </c>
    </row>
    <row r="3423" spans="1:18" x14ac:dyDescent="0.35">
      <c r="A3423">
        <v>3422</v>
      </c>
      <c r="B3423" s="1">
        <v>45942</v>
      </c>
      <c r="C3423">
        <v>1120</v>
      </c>
      <c r="D3423" t="s">
        <v>28</v>
      </c>
      <c r="E3423" t="s">
        <v>29</v>
      </c>
      <c r="F3423" t="s">
        <v>34</v>
      </c>
      <c r="G3423">
        <v>1</v>
      </c>
      <c r="H3423">
        <v>0</v>
      </c>
      <c r="I3423" t="s">
        <v>35</v>
      </c>
      <c r="J3423" t="s">
        <v>31</v>
      </c>
      <c r="K3423" t="s">
        <v>20</v>
      </c>
      <c r="L3423">
        <v>6</v>
      </c>
      <c r="M3423">
        <v>0</v>
      </c>
      <c r="N3423">
        <v>1</v>
      </c>
      <c r="O3423" t="s">
        <v>21</v>
      </c>
      <c r="P3423" t="str">
        <f>TEXT(Table1[[#This Row],[order_date]],"yyyy-mm")</f>
        <v>2025-10</v>
      </c>
      <c r="Q3423">
        <f>WEEKNUM(Table1[[#This Row],[order_date]])</f>
        <v>42</v>
      </c>
      <c r="R3423">
        <f>IF(Table1[[#This Row],[order_status]]="completed",1,0)</f>
        <v>0</v>
      </c>
    </row>
    <row r="3424" spans="1:18" x14ac:dyDescent="0.35">
      <c r="A3424">
        <v>3423</v>
      </c>
      <c r="B3424" s="1">
        <v>45973</v>
      </c>
      <c r="C3424">
        <v>1643</v>
      </c>
      <c r="D3424" t="s">
        <v>32</v>
      </c>
      <c r="E3424" t="s">
        <v>29</v>
      </c>
      <c r="F3424" t="s">
        <v>24</v>
      </c>
      <c r="G3424">
        <v>1</v>
      </c>
      <c r="H3424">
        <v>473</v>
      </c>
      <c r="I3424" t="s">
        <v>35</v>
      </c>
      <c r="J3424" t="s">
        <v>19</v>
      </c>
      <c r="K3424" t="s">
        <v>38</v>
      </c>
      <c r="L3424">
        <v>3</v>
      </c>
      <c r="M3424">
        <v>0</v>
      </c>
      <c r="N3424">
        <v>0</v>
      </c>
      <c r="O3424" t="s">
        <v>21</v>
      </c>
      <c r="P3424" t="str">
        <f>TEXT(Table1[[#This Row],[order_date]],"yyyy-mm")</f>
        <v>2025-11</v>
      </c>
      <c r="Q3424">
        <f>WEEKNUM(Table1[[#This Row],[order_date]])</f>
        <v>46</v>
      </c>
      <c r="R3424">
        <f>IF(Table1[[#This Row],[order_status]]="completed",1,0)</f>
        <v>1</v>
      </c>
    </row>
    <row r="3425" spans="1:18" x14ac:dyDescent="0.35">
      <c r="A3425">
        <v>3424</v>
      </c>
      <c r="B3425" s="1">
        <v>45952</v>
      </c>
      <c r="C3425">
        <v>1302</v>
      </c>
      <c r="D3425" t="s">
        <v>28</v>
      </c>
      <c r="E3425" t="s">
        <v>36</v>
      </c>
      <c r="F3425" t="s">
        <v>30</v>
      </c>
      <c r="G3425">
        <v>2</v>
      </c>
      <c r="H3425">
        <v>0</v>
      </c>
      <c r="I3425" t="s">
        <v>39</v>
      </c>
      <c r="J3425" t="s">
        <v>31</v>
      </c>
      <c r="K3425" t="s">
        <v>38</v>
      </c>
      <c r="L3425">
        <v>5</v>
      </c>
      <c r="M3425">
        <v>0</v>
      </c>
      <c r="N3425">
        <v>1</v>
      </c>
      <c r="O3425" t="s">
        <v>27</v>
      </c>
      <c r="P3425" t="str">
        <f>TEXT(Table1[[#This Row],[order_date]],"yyyy-mm")</f>
        <v>2025-10</v>
      </c>
      <c r="Q3425">
        <f>WEEKNUM(Table1[[#This Row],[order_date]])</f>
        <v>43</v>
      </c>
      <c r="R3425">
        <f>IF(Table1[[#This Row],[order_status]]="completed",1,0)</f>
        <v>0</v>
      </c>
    </row>
    <row r="3426" spans="1:18" x14ac:dyDescent="0.35">
      <c r="A3426">
        <v>3425</v>
      </c>
      <c r="B3426" s="1">
        <v>45970</v>
      </c>
      <c r="C3426">
        <v>1428</v>
      </c>
      <c r="D3426" t="s">
        <v>28</v>
      </c>
      <c r="E3426" t="s">
        <v>23</v>
      </c>
      <c r="F3426" t="s">
        <v>17</v>
      </c>
      <c r="G3426">
        <v>2</v>
      </c>
      <c r="H3426">
        <v>0</v>
      </c>
      <c r="I3426" t="s">
        <v>35</v>
      </c>
      <c r="J3426" t="s">
        <v>37</v>
      </c>
      <c r="K3426" t="s">
        <v>40</v>
      </c>
      <c r="L3426">
        <v>6</v>
      </c>
      <c r="M3426">
        <v>0</v>
      </c>
      <c r="N3426">
        <v>1</v>
      </c>
      <c r="O3426" t="s">
        <v>27</v>
      </c>
      <c r="P3426" t="str">
        <f>TEXT(Table1[[#This Row],[order_date]],"yyyy-mm")</f>
        <v>2025-11</v>
      </c>
      <c r="Q3426">
        <f>WEEKNUM(Table1[[#This Row],[order_date]])</f>
        <v>46</v>
      </c>
      <c r="R3426">
        <f>IF(Table1[[#This Row],[order_status]]="completed",1,0)</f>
        <v>0</v>
      </c>
    </row>
    <row r="3427" spans="1:18" x14ac:dyDescent="0.35">
      <c r="A3427">
        <v>3426</v>
      </c>
      <c r="B3427" s="1">
        <v>46015</v>
      </c>
      <c r="C3427">
        <v>1847</v>
      </c>
      <c r="D3427" t="s">
        <v>15</v>
      </c>
      <c r="E3427" t="s">
        <v>36</v>
      </c>
      <c r="F3427" t="s">
        <v>34</v>
      </c>
      <c r="G3427">
        <v>5</v>
      </c>
      <c r="H3427">
        <v>0</v>
      </c>
      <c r="I3427" t="s">
        <v>18</v>
      </c>
      <c r="J3427" t="s">
        <v>31</v>
      </c>
      <c r="K3427" t="s">
        <v>26</v>
      </c>
      <c r="L3427">
        <v>9</v>
      </c>
      <c r="M3427">
        <v>1</v>
      </c>
      <c r="N3427">
        <v>0</v>
      </c>
      <c r="O3427" t="s">
        <v>21</v>
      </c>
      <c r="P3427" t="str">
        <f>TEXT(Table1[[#This Row],[order_date]],"yyyy-mm")</f>
        <v>2025-12</v>
      </c>
      <c r="Q3427">
        <f>WEEKNUM(Table1[[#This Row],[order_date]])</f>
        <v>52</v>
      </c>
      <c r="R3427">
        <f>IF(Table1[[#This Row],[order_status]]="completed",1,0)</f>
        <v>0</v>
      </c>
    </row>
    <row r="3428" spans="1:18" x14ac:dyDescent="0.35">
      <c r="A3428">
        <v>3427</v>
      </c>
      <c r="B3428" s="1">
        <v>45909</v>
      </c>
      <c r="C3428">
        <v>1555</v>
      </c>
      <c r="D3428" t="s">
        <v>22</v>
      </c>
      <c r="E3428" t="s">
        <v>23</v>
      </c>
      <c r="F3428" t="s">
        <v>34</v>
      </c>
      <c r="G3428">
        <v>1</v>
      </c>
      <c r="H3428">
        <v>0</v>
      </c>
      <c r="I3428" t="s">
        <v>39</v>
      </c>
      <c r="J3428" t="s">
        <v>31</v>
      </c>
      <c r="K3428" t="s">
        <v>20</v>
      </c>
      <c r="L3428">
        <v>7</v>
      </c>
      <c r="M3428">
        <v>0</v>
      </c>
      <c r="N3428">
        <v>1</v>
      </c>
      <c r="O3428" t="s">
        <v>21</v>
      </c>
      <c r="P3428" t="str">
        <f>TEXT(Table1[[#This Row],[order_date]],"yyyy-mm")</f>
        <v>2025-09</v>
      </c>
      <c r="Q3428">
        <f>WEEKNUM(Table1[[#This Row],[order_date]])</f>
        <v>37</v>
      </c>
      <c r="R3428">
        <f>IF(Table1[[#This Row],[order_status]]="completed",1,0)</f>
        <v>0</v>
      </c>
    </row>
    <row r="3429" spans="1:18" x14ac:dyDescent="0.35">
      <c r="A3429">
        <v>3428</v>
      </c>
      <c r="B3429" s="1">
        <v>46023</v>
      </c>
      <c r="C3429">
        <v>1554</v>
      </c>
      <c r="D3429" t="s">
        <v>15</v>
      </c>
      <c r="E3429" t="s">
        <v>33</v>
      </c>
      <c r="F3429" t="s">
        <v>24</v>
      </c>
      <c r="G3429">
        <v>5</v>
      </c>
      <c r="H3429">
        <v>0</v>
      </c>
      <c r="I3429" t="s">
        <v>35</v>
      </c>
      <c r="J3429" t="s">
        <v>37</v>
      </c>
      <c r="K3429" t="s">
        <v>40</v>
      </c>
      <c r="L3429">
        <v>4</v>
      </c>
      <c r="M3429">
        <v>1</v>
      </c>
      <c r="N3429">
        <v>0</v>
      </c>
      <c r="O3429" t="s">
        <v>27</v>
      </c>
      <c r="P3429" t="str">
        <f>TEXT(Table1[[#This Row],[order_date]],"yyyy-mm")</f>
        <v>2026-01</v>
      </c>
      <c r="Q3429">
        <f>WEEKNUM(Table1[[#This Row],[order_date]])</f>
        <v>1</v>
      </c>
      <c r="R3429">
        <f>IF(Table1[[#This Row],[order_status]]="completed",1,0)</f>
        <v>0</v>
      </c>
    </row>
    <row r="3430" spans="1:18" x14ac:dyDescent="0.35">
      <c r="A3430">
        <v>3429</v>
      </c>
      <c r="B3430" s="1">
        <v>45947</v>
      </c>
      <c r="C3430">
        <v>1016</v>
      </c>
      <c r="D3430" t="s">
        <v>22</v>
      </c>
      <c r="E3430" t="s">
        <v>16</v>
      </c>
      <c r="F3430" t="s">
        <v>30</v>
      </c>
      <c r="G3430">
        <v>2</v>
      </c>
      <c r="H3430">
        <v>0</v>
      </c>
      <c r="I3430" t="s">
        <v>39</v>
      </c>
      <c r="J3430" t="s">
        <v>31</v>
      </c>
      <c r="K3430" t="s">
        <v>38</v>
      </c>
      <c r="L3430">
        <v>10</v>
      </c>
      <c r="M3430">
        <v>0</v>
      </c>
      <c r="N3430">
        <v>0</v>
      </c>
      <c r="O3430" t="s">
        <v>27</v>
      </c>
      <c r="P3430" t="str">
        <f>TEXT(Table1[[#This Row],[order_date]],"yyyy-mm")</f>
        <v>2025-10</v>
      </c>
      <c r="Q3430">
        <f>WEEKNUM(Table1[[#This Row],[order_date]])</f>
        <v>42</v>
      </c>
      <c r="R3430">
        <f>IF(Table1[[#This Row],[order_status]]="completed",1,0)</f>
        <v>0</v>
      </c>
    </row>
    <row r="3431" spans="1:18" x14ac:dyDescent="0.35">
      <c r="A3431">
        <v>3430</v>
      </c>
      <c r="B3431" s="1">
        <v>45907</v>
      </c>
      <c r="C3431">
        <v>1891</v>
      </c>
      <c r="D3431" t="s">
        <v>41</v>
      </c>
      <c r="E3431" t="s">
        <v>23</v>
      </c>
      <c r="F3431" t="s">
        <v>24</v>
      </c>
      <c r="G3431">
        <v>3</v>
      </c>
      <c r="H3431">
        <v>0</v>
      </c>
      <c r="I3431" t="s">
        <v>18</v>
      </c>
      <c r="J3431" t="s">
        <v>31</v>
      </c>
      <c r="K3431" t="s">
        <v>26</v>
      </c>
      <c r="L3431">
        <v>2</v>
      </c>
      <c r="M3431">
        <v>1</v>
      </c>
      <c r="N3431">
        <v>0</v>
      </c>
      <c r="O3431" t="s">
        <v>21</v>
      </c>
      <c r="P3431" t="str">
        <f>TEXT(Table1[[#This Row],[order_date]],"yyyy-mm")</f>
        <v>2025-09</v>
      </c>
      <c r="Q3431">
        <f>WEEKNUM(Table1[[#This Row],[order_date]])</f>
        <v>37</v>
      </c>
      <c r="R3431">
        <f>IF(Table1[[#This Row],[order_status]]="completed",1,0)</f>
        <v>0</v>
      </c>
    </row>
    <row r="3432" spans="1:18" x14ac:dyDescent="0.35">
      <c r="A3432">
        <v>3431</v>
      </c>
      <c r="B3432" s="1">
        <v>45988</v>
      </c>
      <c r="C3432">
        <v>1830</v>
      </c>
      <c r="D3432" t="s">
        <v>32</v>
      </c>
      <c r="E3432" t="s">
        <v>29</v>
      </c>
      <c r="F3432" t="s">
        <v>17</v>
      </c>
      <c r="G3432">
        <v>4</v>
      </c>
      <c r="H3432">
        <v>0</v>
      </c>
      <c r="I3432" t="s">
        <v>39</v>
      </c>
      <c r="J3432" t="s">
        <v>37</v>
      </c>
      <c r="K3432" t="s">
        <v>26</v>
      </c>
      <c r="L3432">
        <v>9</v>
      </c>
      <c r="M3432">
        <v>0</v>
      </c>
      <c r="N3432">
        <v>0</v>
      </c>
      <c r="O3432" t="s">
        <v>21</v>
      </c>
      <c r="P3432" t="str">
        <f>TEXT(Table1[[#This Row],[order_date]],"yyyy-mm")</f>
        <v>2025-11</v>
      </c>
      <c r="Q3432">
        <f>WEEKNUM(Table1[[#This Row],[order_date]])</f>
        <v>48</v>
      </c>
      <c r="R3432">
        <f>IF(Table1[[#This Row],[order_status]]="completed",1,0)</f>
        <v>0</v>
      </c>
    </row>
    <row r="3433" spans="1:18" x14ac:dyDescent="0.35">
      <c r="A3433">
        <v>3432</v>
      </c>
      <c r="B3433" s="1">
        <v>45885</v>
      </c>
      <c r="C3433">
        <v>1164</v>
      </c>
      <c r="D3433" t="s">
        <v>22</v>
      </c>
      <c r="E3433" t="s">
        <v>36</v>
      </c>
      <c r="F3433" t="s">
        <v>17</v>
      </c>
      <c r="G3433">
        <v>5</v>
      </c>
      <c r="H3433">
        <v>0</v>
      </c>
      <c r="I3433" t="s">
        <v>18</v>
      </c>
      <c r="J3433" t="s">
        <v>37</v>
      </c>
      <c r="K3433" t="s">
        <v>40</v>
      </c>
      <c r="L3433">
        <v>3</v>
      </c>
      <c r="M3433">
        <v>0</v>
      </c>
      <c r="N3433">
        <v>0</v>
      </c>
      <c r="O3433" t="s">
        <v>21</v>
      </c>
      <c r="P3433" t="str">
        <f>TEXT(Table1[[#This Row],[order_date]],"yyyy-mm")</f>
        <v>2025-08</v>
      </c>
      <c r="Q3433">
        <f>WEEKNUM(Table1[[#This Row],[order_date]])</f>
        <v>33</v>
      </c>
      <c r="R3433">
        <f>IF(Table1[[#This Row],[order_status]]="completed",1,0)</f>
        <v>0</v>
      </c>
    </row>
    <row r="3434" spans="1:18" x14ac:dyDescent="0.35">
      <c r="A3434">
        <v>3433</v>
      </c>
      <c r="B3434" s="1">
        <v>45914</v>
      </c>
      <c r="C3434">
        <v>1969</v>
      </c>
      <c r="D3434" t="s">
        <v>15</v>
      </c>
      <c r="E3434" t="s">
        <v>33</v>
      </c>
      <c r="F3434" t="s">
        <v>24</v>
      </c>
      <c r="G3434">
        <v>4</v>
      </c>
      <c r="H3434">
        <v>0</v>
      </c>
      <c r="I3434" t="s">
        <v>18</v>
      </c>
      <c r="J3434" t="s">
        <v>31</v>
      </c>
      <c r="K3434" t="s">
        <v>38</v>
      </c>
      <c r="L3434">
        <v>10</v>
      </c>
      <c r="M3434">
        <v>1</v>
      </c>
      <c r="N3434">
        <v>1</v>
      </c>
      <c r="O3434" t="s">
        <v>21</v>
      </c>
      <c r="P3434" t="str">
        <f>TEXT(Table1[[#This Row],[order_date]],"yyyy-mm")</f>
        <v>2025-09</v>
      </c>
      <c r="Q3434">
        <f>WEEKNUM(Table1[[#This Row],[order_date]])</f>
        <v>38</v>
      </c>
      <c r="R3434">
        <f>IF(Table1[[#This Row],[order_status]]="completed",1,0)</f>
        <v>0</v>
      </c>
    </row>
    <row r="3435" spans="1:18" x14ac:dyDescent="0.35">
      <c r="A3435">
        <v>3434</v>
      </c>
      <c r="B3435" s="1">
        <v>45897</v>
      </c>
      <c r="C3435">
        <v>1822</v>
      </c>
      <c r="D3435" t="s">
        <v>28</v>
      </c>
      <c r="E3435" t="s">
        <v>36</v>
      </c>
      <c r="F3435" t="s">
        <v>24</v>
      </c>
      <c r="G3435">
        <v>1</v>
      </c>
      <c r="H3435">
        <v>0</v>
      </c>
      <c r="I3435" t="s">
        <v>18</v>
      </c>
      <c r="J3435" t="s">
        <v>37</v>
      </c>
      <c r="K3435" t="s">
        <v>38</v>
      </c>
      <c r="L3435">
        <v>3</v>
      </c>
      <c r="M3435">
        <v>0</v>
      </c>
      <c r="N3435">
        <v>1</v>
      </c>
      <c r="O3435" t="s">
        <v>21</v>
      </c>
      <c r="P3435" t="str">
        <f>TEXT(Table1[[#This Row],[order_date]],"yyyy-mm")</f>
        <v>2025-08</v>
      </c>
      <c r="Q3435">
        <f>WEEKNUM(Table1[[#This Row],[order_date]])</f>
        <v>35</v>
      </c>
      <c r="R3435">
        <f>IF(Table1[[#This Row],[order_status]]="completed",1,0)</f>
        <v>0</v>
      </c>
    </row>
    <row r="3436" spans="1:18" x14ac:dyDescent="0.35">
      <c r="A3436">
        <v>3435</v>
      </c>
      <c r="B3436" s="1">
        <v>45980</v>
      </c>
      <c r="C3436">
        <v>1139</v>
      </c>
      <c r="D3436" t="s">
        <v>15</v>
      </c>
      <c r="E3436" t="s">
        <v>29</v>
      </c>
      <c r="F3436" t="s">
        <v>17</v>
      </c>
      <c r="G3436">
        <v>3</v>
      </c>
      <c r="H3436">
        <v>0</v>
      </c>
      <c r="I3436" t="s">
        <v>39</v>
      </c>
      <c r="J3436" t="s">
        <v>31</v>
      </c>
      <c r="K3436" t="s">
        <v>40</v>
      </c>
      <c r="L3436">
        <v>8</v>
      </c>
      <c r="M3436">
        <v>1</v>
      </c>
      <c r="N3436">
        <v>0</v>
      </c>
      <c r="O3436" t="s">
        <v>27</v>
      </c>
      <c r="P3436" t="str">
        <f>TEXT(Table1[[#This Row],[order_date]],"yyyy-mm")</f>
        <v>2025-11</v>
      </c>
      <c r="Q3436">
        <f>WEEKNUM(Table1[[#This Row],[order_date]])</f>
        <v>47</v>
      </c>
      <c r="R3436">
        <f>IF(Table1[[#This Row],[order_status]]="completed",1,0)</f>
        <v>0</v>
      </c>
    </row>
    <row r="3437" spans="1:18" x14ac:dyDescent="0.35">
      <c r="A3437">
        <v>3436</v>
      </c>
      <c r="B3437" s="1">
        <v>45930</v>
      </c>
      <c r="C3437">
        <v>1780</v>
      </c>
      <c r="D3437" t="s">
        <v>22</v>
      </c>
      <c r="E3437" t="s">
        <v>29</v>
      </c>
      <c r="F3437" t="s">
        <v>30</v>
      </c>
      <c r="G3437">
        <v>1</v>
      </c>
      <c r="H3437">
        <v>0</v>
      </c>
      <c r="I3437" t="s">
        <v>25</v>
      </c>
      <c r="J3437" t="s">
        <v>37</v>
      </c>
      <c r="K3437" t="s">
        <v>38</v>
      </c>
      <c r="L3437">
        <v>10</v>
      </c>
      <c r="M3437">
        <v>1</v>
      </c>
      <c r="N3437">
        <v>0</v>
      </c>
      <c r="O3437" t="s">
        <v>21</v>
      </c>
      <c r="P3437" t="str">
        <f>TEXT(Table1[[#This Row],[order_date]],"yyyy-mm")</f>
        <v>2025-09</v>
      </c>
      <c r="Q3437">
        <f>WEEKNUM(Table1[[#This Row],[order_date]])</f>
        <v>40</v>
      </c>
      <c r="R3437">
        <f>IF(Table1[[#This Row],[order_status]]="completed",1,0)</f>
        <v>0</v>
      </c>
    </row>
    <row r="3438" spans="1:18" x14ac:dyDescent="0.35">
      <c r="A3438">
        <v>3437</v>
      </c>
      <c r="B3438" s="1">
        <v>45956</v>
      </c>
      <c r="C3438">
        <v>1546</v>
      </c>
      <c r="D3438" t="s">
        <v>22</v>
      </c>
      <c r="E3438" t="s">
        <v>29</v>
      </c>
      <c r="F3438" t="s">
        <v>30</v>
      </c>
      <c r="G3438">
        <v>4</v>
      </c>
      <c r="H3438">
        <v>9032</v>
      </c>
      <c r="I3438" t="s">
        <v>39</v>
      </c>
      <c r="J3438" t="s">
        <v>19</v>
      </c>
      <c r="K3438" t="s">
        <v>26</v>
      </c>
      <c r="L3438">
        <v>9</v>
      </c>
      <c r="M3438">
        <v>1</v>
      </c>
      <c r="N3438">
        <v>0</v>
      </c>
      <c r="O3438" t="s">
        <v>21</v>
      </c>
      <c r="P3438" t="str">
        <f>TEXT(Table1[[#This Row],[order_date]],"yyyy-mm")</f>
        <v>2025-10</v>
      </c>
      <c r="Q3438">
        <f>WEEKNUM(Table1[[#This Row],[order_date]])</f>
        <v>44</v>
      </c>
      <c r="R3438">
        <f>IF(Table1[[#This Row],[order_status]]="completed",1,0)</f>
        <v>1</v>
      </c>
    </row>
    <row r="3439" spans="1:18" x14ac:dyDescent="0.35">
      <c r="A3439">
        <v>3438</v>
      </c>
      <c r="B3439" s="1">
        <v>45895</v>
      </c>
      <c r="C3439">
        <v>1868</v>
      </c>
      <c r="D3439" t="s">
        <v>22</v>
      </c>
      <c r="E3439" t="s">
        <v>16</v>
      </c>
      <c r="F3439" t="s">
        <v>30</v>
      </c>
      <c r="G3439">
        <v>3</v>
      </c>
      <c r="H3439">
        <v>12012</v>
      </c>
      <c r="I3439" t="s">
        <v>39</v>
      </c>
      <c r="J3439" t="s">
        <v>19</v>
      </c>
      <c r="K3439" t="s">
        <v>40</v>
      </c>
      <c r="L3439">
        <v>2</v>
      </c>
      <c r="M3439">
        <v>0</v>
      </c>
      <c r="N3439">
        <v>1</v>
      </c>
      <c r="O3439" t="s">
        <v>21</v>
      </c>
      <c r="P3439" t="str">
        <f>TEXT(Table1[[#This Row],[order_date]],"yyyy-mm")</f>
        <v>2025-08</v>
      </c>
      <c r="Q3439">
        <f>WEEKNUM(Table1[[#This Row],[order_date]])</f>
        <v>35</v>
      </c>
      <c r="R3439">
        <f>IF(Table1[[#This Row],[order_status]]="completed",1,0)</f>
        <v>1</v>
      </c>
    </row>
    <row r="3440" spans="1:18" x14ac:dyDescent="0.35">
      <c r="A3440">
        <v>3439</v>
      </c>
      <c r="B3440" s="1">
        <v>45948</v>
      </c>
      <c r="C3440">
        <v>1140</v>
      </c>
      <c r="D3440" t="s">
        <v>15</v>
      </c>
      <c r="E3440" t="s">
        <v>23</v>
      </c>
      <c r="F3440" t="s">
        <v>24</v>
      </c>
      <c r="G3440">
        <v>1</v>
      </c>
      <c r="H3440">
        <v>0</v>
      </c>
      <c r="I3440" t="s">
        <v>18</v>
      </c>
      <c r="J3440" t="s">
        <v>37</v>
      </c>
      <c r="K3440" t="s">
        <v>38</v>
      </c>
      <c r="L3440">
        <v>6</v>
      </c>
      <c r="M3440">
        <v>0</v>
      </c>
      <c r="N3440">
        <v>0</v>
      </c>
      <c r="O3440" t="s">
        <v>21</v>
      </c>
      <c r="P3440" t="str">
        <f>TEXT(Table1[[#This Row],[order_date]],"yyyy-mm")</f>
        <v>2025-10</v>
      </c>
      <c r="Q3440">
        <f>WEEKNUM(Table1[[#This Row],[order_date]])</f>
        <v>42</v>
      </c>
      <c r="R3440">
        <f>IF(Table1[[#This Row],[order_status]]="completed",1,0)</f>
        <v>0</v>
      </c>
    </row>
    <row r="3441" spans="1:18" x14ac:dyDescent="0.35">
      <c r="A3441">
        <v>3440</v>
      </c>
      <c r="B3441" s="1">
        <v>45937</v>
      </c>
      <c r="C3441">
        <v>1307</v>
      </c>
      <c r="D3441" t="s">
        <v>41</v>
      </c>
      <c r="E3441" t="s">
        <v>36</v>
      </c>
      <c r="F3441" t="s">
        <v>17</v>
      </c>
      <c r="G3441">
        <v>2</v>
      </c>
      <c r="H3441">
        <v>0</v>
      </c>
      <c r="I3441" t="s">
        <v>39</v>
      </c>
      <c r="J3441" t="s">
        <v>37</v>
      </c>
      <c r="K3441" t="s">
        <v>26</v>
      </c>
      <c r="L3441">
        <v>10</v>
      </c>
      <c r="M3441">
        <v>0</v>
      </c>
      <c r="N3441">
        <v>0</v>
      </c>
      <c r="O3441" t="s">
        <v>27</v>
      </c>
      <c r="P3441" t="str">
        <f>TEXT(Table1[[#This Row],[order_date]],"yyyy-mm")</f>
        <v>2025-10</v>
      </c>
      <c r="Q3441">
        <f>WEEKNUM(Table1[[#This Row],[order_date]])</f>
        <v>41</v>
      </c>
      <c r="R3441">
        <f>IF(Table1[[#This Row],[order_status]]="completed",1,0)</f>
        <v>0</v>
      </c>
    </row>
    <row r="3442" spans="1:18" x14ac:dyDescent="0.35">
      <c r="A3442">
        <v>3441</v>
      </c>
      <c r="B3442" s="1">
        <v>45920</v>
      </c>
      <c r="C3442">
        <v>1202</v>
      </c>
      <c r="D3442" t="s">
        <v>41</v>
      </c>
      <c r="E3442" t="s">
        <v>23</v>
      </c>
      <c r="F3442" t="s">
        <v>17</v>
      </c>
      <c r="G3442">
        <v>4</v>
      </c>
      <c r="H3442">
        <v>0</v>
      </c>
      <c r="I3442" t="s">
        <v>35</v>
      </c>
      <c r="J3442" t="s">
        <v>37</v>
      </c>
      <c r="K3442" t="s">
        <v>40</v>
      </c>
      <c r="L3442">
        <v>1</v>
      </c>
      <c r="M3442">
        <v>1</v>
      </c>
      <c r="N3442">
        <v>0</v>
      </c>
      <c r="O3442" t="s">
        <v>21</v>
      </c>
      <c r="P3442" t="str">
        <f>TEXT(Table1[[#This Row],[order_date]],"yyyy-mm")</f>
        <v>2025-09</v>
      </c>
      <c r="Q3442">
        <f>WEEKNUM(Table1[[#This Row],[order_date]])</f>
        <v>38</v>
      </c>
      <c r="R3442">
        <f>IF(Table1[[#This Row],[order_status]]="completed",1,0)</f>
        <v>0</v>
      </c>
    </row>
    <row r="3443" spans="1:18" x14ac:dyDescent="0.35">
      <c r="A3443">
        <v>3442</v>
      </c>
      <c r="B3443" s="1">
        <v>45927</v>
      </c>
      <c r="C3443">
        <v>1225</v>
      </c>
      <c r="D3443" t="s">
        <v>41</v>
      </c>
      <c r="E3443" t="s">
        <v>33</v>
      </c>
      <c r="F3443" t="s">
        <v>17</v>
      </c>
      <c r="G3443">
        <v>4</v>
      </c>
      <c r="H3443">
        <v>19908</v>
      </c>
      <c r="I3443" t="s">
        <v>39</v>
      </c>
      <c r="J3443" t="s">
        <v>19</v>
      </c>
      <c r="K3443" t="s">
        <v>20</v>
      </c>
      <c r="L3443">
        <v>5</v>
      </c>
      <c r="M3443">
        <v>0</v>
      </c>
      <c r="N3443">
        <v>0</v>
      </c>
      <c r="O3443" t="s">
        <v>21</v>
      </c>
      <c r="P3443" t="str">
        <f>TEXT(Table1[[#This Row],[order_date]],"yyyy-mm")</f>
        <v>2025-09</v>
      </c>
      <c r="Q3443">
        <f>WEEKNUM(Table1[[#This Row],[order_date]])</f>
        <v>39</v>
      </c>
      <c r="R3443">
        <f>IF(Table1[[#This Row],[order_status]]="completed",1,0)</f>
        <v>1</v>
      </c>
    </row>
    <row r="3444" spans="1:18" x14ac:dyDescent="0.35">
      <c r="A3444">
        <v>3443</v>
      </c>
      <c r="B3444" s="1">
        <v>46023</v>
      </c>
      <c r="C3444">
        <v>1924</v>
      </c>
      <c r="D3444" t="s">
        <v>32</v>
      </c>
      <c r="E3444" t="s">
        <v>29</v>
      </c>
      <c r="F3444" t="s">
        <v>17</v>
      </c>
      <c r="G3444">
        <v>2</v>
      </c>
      <c r="H3444">
        <v>0</v>
      </c>
      <c r="I3444" t="s">
        <v>39</v>
      </c>
      <c r="J3444" t="s">
        <v>37</v>
      </c>
      <c r="K3444" t="s">
        <v>40</v>
      </c>
      <c r="L3444">
        <v>9</v>
      </c>
      <c r="M3444">
        <v>1</v>
      </c>
      <c r="N3444">
        <v>0</v>
      </c>
      <c r="O3444" t="s">
        <v>21</v>
      </c>
      <c r="P3444" t="str">
        <f>TEXT(Table1[[#This Row],[order_date]],"yyyy-mm")</f>
        <v>2026-01</v>
      </c>
      <c r="Q3444">
        <f>WEEKNUM(Table1[[#This Row],[order_date]])</f>
        <v>1</v>
      </c>
      <c r="R3444">
        <f>IF(Table1[[#This Row],[order_status]]="completed",1,0)</f>
        <v>0</v>
      </c>
    </row>
    <row r="3445" spans="1:18" x14ac:dyDescent="0.35">
      <c r="A3445">
        <v>3444</v>
      </c>
      <c r="B3445" s="1">
        <v>45981</v>
      </c>
      <c r="C3445">
        <v>1920</v>
      </c>
      <c r="D3445" t="s">
        <v>15</v>
      </c>
      <c r="E3445" t="s">
        <v>29</v>
      </c>
      <c r="F3445" t="s">
        <v>17</v>
      </c>
      <c r="G3445">
        <v>5</v>
      </c>
      <c r="H3445">
        <v>0</v>
      </c>
      <c r="I3445" t="s">
        <v>35</v>
      </c>
      <c r="J3445" t="s">
        <v>31</v>
      </c>
      <c r="K3445" t="s">
        <v>20</v>
      </c>
      <c r="L3445">
        <v>3</v>
      </c>
      <c r="M3445">
        <v>1</v>
      </c>
      <c r="N3445">
        <v>1</v>
      </c>
      <c r="O3445" t="s">
        <v>21</v>
      </c>
      <c r="P3445" t="str">
        <f>TEXT(Table1[[#This Row],[order_date]],"yyyy-mm")</f>
        <v>2025-11</v>
      </c>
      <c r="Q3445">
        <f>WEEKNUM(Table1[[#This Row],[order_date]])</f>
        <v>47</v>
      </c>
      <c r="R3445">
        <f>IF(Table1[[#This Row],[order_status]]="completed",1,0)</f>
        <v>0</v>
      </c>
    </row>
    <row r="3446" spans="1:18" x14ac:dyDescent="0.35">
      <c r="A3446">
        <v>3445</v>
      </c>
      <c r="B3446" s="1">
        <v>45998</v>
      </c>
      <c r="C3446">
        <v>1681</v>
      </c>
      <c r="D3446" t="s">
        <v>15</v>
      </c>
      <c r="E3446" t="s">
        <v>33</v>
      </c>
      <c r="F3446" t="s">
        <v>17</v>
      </c>
      <c r="G3446">
        <v>4</v>
      </c>
      <c r="H3446">
        <v>18828</v>
      </c>
      <c r="I3446" t="s">
        <v>18</v>
      </c>
      <c r="J3446" t="s">
        <v>19</v>
      </c>
      <c r="K3446" t="s">
        <v>26</v>
      </c>
      <c r="L3446">
        <v>4</v>
      </c>
      <c r="M3446">
        <v>1</v>
      </c>
      <c r="N3446">
        <v>0</v>
      </c>
      <c r="O3446" t="s">
        <v>21</v>
      </c>
      <c r="P3446" t="str">
        <f>TEXT(Table1[[#This Row],[order_date]],"yyyy-mm")</f>
        <v>2025-12</v>
      </c>
      <c r="Q3446">
        <f>WEEKNUM(Table1[[#This Row],[order_date]])</f>
        <v>50</v>
      </c>
      <c r="R3446">
        <f>IF(Table1[[#This Row],[order_status]]="completed",1,0)</f>
        <v>1</v>
      </c>
    </row>
    <row r="3447" spans="1:18" x14ac:dyDescent="0.35">
      <c r="A3447">
        <v>3446</v>
      </c>
      <c r="B3447" s="1">
        <v>45997</v>
      </c>
      <c r="C3447">
        <v>1901</v>
      </c>
      <c r="D3447" t="s">
        <v>28</v>
      </c>
      <c r="E3447" t="s">
        <v>16</v>
      </c>
      <c r="F3447" t="s">
        <v>24</v>
      </c>
      <c r="G3447">
        <v>4</v>
      </c>
      <c r="H3447">
        <v>0</v>
      </c>
      <c r="I3447" t="s">
        <v>35</v>
      </c>
      <c r="J3447" t="s">
        <v>31</v>
      </c>
      <c r="K3447" t="s">
        <v>26</v>
      </c>
      <c r="L3447">
        <v>4</v>
      </c>
      <c r="M3447">
        <v>1</v>
      </c>
      <c r="N3447">
        <v>1</v>
      </c>
      <c r="O3447" t="s">
        <v>27</v>
      </c>
      <c r="P3447" t="str">
        <f>TEXT(Table1[[#This Row],[order_date]],"yyyy-mm")</f>
        <v>2025-12</v>
      </c>
      <c r="Q3447">
        <f>WEEKNUM(Table1[[#This Row],[order_date]])</f>
        <v>49</v>
      </c>
      <c r="R3447">
        <f>IF(Table1[[#This Row],[order_status]]="completed",1,0)</f>
        <v>0</v>
      </c>
    </row>
    <row r="3448" spans="1:18" x14ac:dyDescent="0.35">
      <c r="A3448">
        <v>3447</v>
      </c>
      <c r="B3448" s="1">
        <v>45926</v>
      </c>
      <c r="C3448">
        <v>1521</v>
      </c>
      <c r="D3448" t="s">
        <v>32</v>
      </c>
      <c r="E3448" t="s">
        <v>16</v>
      </c>
      <c r="F3448" t="s">
        <v>30</v>
      </c>
      <c r="G3448">
        <v>3</v>
      </c>
      <c r="H3448">
        <v>3615</v>
      </c>
      <c r="I3448" t="s">
        <v>39</v>
      </c>
      <c r="J3448" t="s">
        <v>19</v>
      </c>
      <c r="K3448" t="s">
        <v>38</v>
      </c>
      <c r="L3448">
        <v>3</v>
      </c>
      <c r="M3448">
        <v>1</v>
      </c>
      <c r="N3448">
        <v>0</v>
      </c>
      <c r="O3448" t="s">
        <v>27</v>
      </c>
      <c r="P3448" t="str">
        <f>TEXT(Table1[[#This Row],[order_date]],"yyyy-mm")</f>
        <v>2025-09</v>
      </c>
      <c r="Q3448">
        <f>WEEKNUM(Table1[[#This Row],[order_date]])</f>
        <v>39</v>
      </c>
      <c r="R3448">
        <f>IF(Table1[[#This Row],[order_status]]="completed",1,0)</f>
        <v>1</v>
      </c>
    </row>
    <row r="3449" spans="1:18" x14ac:dyDescent="0.35">
      <c r="A3449">
        <v>3448</v>
      </c>
      <c r="B3449" s="1">
        <v>46024</v>
      </c>
      <c r="C3449">
        <v>1753</v>
      </c>
      <c r="D3449" t="s">
        <v>15</v>
      </c>
      <c r="E3449" t="s">
        <v>29</v>
      </c>
      <c r="F3449" t="s">
        <v>34</v>
      </c>
      <c r="G3449">
        <v>5</v>
      </c>
      <c r="H3449">
        <v>12380</v>
      </c>
      <c r="I3449" t="s">
        <v>25</v>
      </c>
      <c r="J3449" t="s">
        <v>19</v>
      </c>
      <c r="K3449" t="s">
        <v>26</v>
      </c>
      <c r="L3449">
        <v>10</v>
      </c>
      <c r="M3449">
        <v>1</v>
      </c>
      <c r="N3449">
        <v>0</v>
      </c>
      <c r="O3449" t="s">
        <v>27</v>
      </c>
      <c r="P3449" t="str">
        <f>TEXT(Table1[[#This Row],[order_date]],"yyyy-mm")</f>
        <v>2026-01</v>
      </c>
      <c r="Q3449">
        <f>WEEKNUM(Table1[[#This Row],[order_date]])</f>
        <v>1</v>
      </c>
      <c r="R3449">
        <f>IF(Table1[[#This Row],[order_status]]="completed",1,0)</f>
        <v>1</v>
      </c>
    </row>
    <row r="3450" spans="1:18" x14ac:dyDescent="0.35">
      <c r="A3450">
        <v>3449</v>
      </c>
      <c r="B3450" s="1">
        <v>45929</v>
      </c>
      <c r="C3450">
        <v>1843</v>
      </c>
      <c r="D3450" t="s">
        <v>32</v>
      </c>
      <c r="E3450" t="s">
        <v>29</v>
      </c>
      <c r="F3450" t="s">
        <v>24</v>
      </c>
      <c r="G3450">
        <v>2</v>
      </c>
      <c r="H3450">
        <v>0</v>
      </c>
      <c r="I3450" t="s">
        <v>25</v>
      </c>
      <c r="J3450" t="s">
        <v>37</v>
      </c>
      <c r="K3450" t="s">
        <v>38</v>
      </c>
      <c r="L3450">
        <v>10</v>
      </c>
      <c r="M3450">
        <v>1</v>
      </c>
      <c r="N3450">
        <v>0</v>
      </c>
      <c r="O3450" t="s">
        <v>27</v>
      </c>
      <c r="P3450" t="str">
        <f>TEXT(Table1[[#This Row],[order_date]],"yyyy-mm")</f>
        <v>2025-09</v>
      </c>
      <c r="Q3450">
        <f>WEEKNUM(Table1[[#This Row],[order_date]])</f>
        <v>40</v>
      </c>
      <c r="R3450">
        <f>IF(Table1[[#This Row],[order_status]]="completed",1,0)</f>
        <v>0</v>
      </c>
    </row>
    <row r="3451" spans="1:18" x14ac:dyDescent="0.35">
      <c r="A3451">
        <v>3450</v>
      </c>
      <c r="B3451" s="1">
        <v>45915</v>
      </c>
      <c r="C3451">
        <v>1390</v>
      </c>
      <c r="D3451" t="s">
        <v>32</v>
      </c>
      <c r="E3451" t="s">
        <v>33</v>
      </c>
      <c r="F3451" t="s">
        <v>30</v>
      </c>
      <c r="G3451">
        <v>4</v>
      </c>
      <c r="H3451">
        <v>0</v>
      </c>
      <c r="I3451" t="s">
        <v>18</v>
      </c>
      <c r="J3451" t="s">
        <v>31</v>
      </c>
      <c r="K3451" t="s">
        <v>38</v>
      </c>
      <c r="L3451">
        <v>10</v>
      </c>
      <c r="M3451">
        <v>1</v>
      </c>
      <c r="N3451">
        <v>1</v>
      </c>
      <c r="O3451" t="s">
        <v>27</v>
      </c>
      <c r="P3451" t="str">
        <f>TEXT(Table1[[#This Row],[order_date]],"yyyy-mm")</f>
        <v>2025-09</v>
      </c>
      <c r="Q3451">
        <f>WEEKNUM(Table1[[#This Row],[order_date]])</f>
        <v>38</v>
      </c>
      <c r="R3451">
        <f>IF(Table1[[#This Row],[order_status]]="completed",1,0)</f>
        <v>0</v>
      </c>
    </row>
    <row r="3452" spans="1:18" x14ac:dyDescent="0.35">
      <c r="A3452">
        <v>3451</v>
      </c>
      <c r="B3452" s="1">
        <v>45894</v>
      </c>
      <c r="C3452">
        <v>1887</v>
      </c>
      <c r="D3452" t="s">
        <v>32</v>
      </c>
      <c r="E3452" t="s">
        <v>36</v>
      </c>
      <c r="F3452" t="s">
        <v>24</v>
      </c>
      <c r="G3452">
        <v>2</v>
      </c>
      <c r="H3452">
        <v>3830</v>
      </c>
      <c r="I3452" t="s">
        <v>18</v>
      </c>
      <c r="J3452" t="s">
        <v>19</v>
      </c>
      <c r="K3452" t="s">
        <v>20</v>
      </c>
      <c r="L3452">
        <v>8</v>
      </c>
      <c r="M3452">
        <v>0</v>
      </c>
      <c r="N3452">
        <v>0</v>
      </c>
      <c r="O3452" t="s">
        <v>21</v>
      </c>
      <c r="P3452" t="str">
        <f>TEXT(Table1[[#This Row],[order_date]],"yyyy-mm")</f>
        <v>2025-08</v>
      </c>
      <c r="Q3452">
        <f>WEEKNUM(Table1[[#This Row],[order_date]])</f>
        <v>35</v>
      </c>
      <c r="R3452">
        <f>IF(Table1[[#This Row],[order_status]]="completed",1,0)</f>
        <v>1</v>
      </c>
    </row>
    <row r="3453" spans="1:18" x14ac:dyDescent="0.35">
      <c r="A3453">
        <v>3452</v>
      </c>
      <c r="B3453" s="1">
        <v>45999</v>
      </c>
      <c r="C3453">
        <v>1258</v>
      </c>
      <c r="D3453" t="s">
        <v>22</v>
      </c>
      <c r="E3453" t="s">
        <v>36</v>
      </c>
      <c r="F3453" t="s">
        <v>17</v>
      </c>
      <c r="G3453">
        <v>1</v>
      </c>
      <c r="H3453">
        <v>0</v>
      </c>
      <c r="I3453" t="s">
        <v>39</v>
      </c>
      <c r="J3453" t="s">
        <v>37</v>
      </c>
      <c r="K3453" t="s">
        <v>38</v>
      </c>
      <c r="L3453">
        <v>4</v>
      </c>
      <c r="M3453">
        <v>1</v>
      </c>
      <c r="N3453">
        <v>0</v>
      </c>
      <c r="O3453" t="s">
        <v>21</v>
      </c>
      <c r="P3453" t="str">
        <f>TEXT(Table1[[#This Row],[order_date]],"yyyy-mm")</f>
        <v>2025-12</v>
      </c>
      <c r="Q3453">
        <f>WEEKNUM(Table1[[#This Row],[order_date]])</f>
        <v>50</v>
      </c>
      <c r="R3453">
        <f>IF(Table1[[#This Row],[order_status]]="completed",1,0)</f>
        <v>0</v>
      </c>
    </row>
    <row r="3454" spans="1:18" x14ac:dyDescent="0.35">
      <c r="A3454">
        <v>3453</v>
      </c>
      <c r="B3454" s="1">
        <v>46005</v>
      </c>
      <c r="C3454">
        <v>1746</v>
      </c>
      <c r="D3454" t="s">
        <v>22</v>
      </c>
      <c r="E3454" t="s">
        <v>16</v>
      </c>
      <c r="F3454" t="s">
        <v>17</v>
      </c>
      <c r="G3454">
        <v>3</v>
      </c>
      <c r="H3454">
        <v>2772</v>
      </c>
      <c r="I3454" t="s">
        <v>35</v>
      </c>
      <c r="J3454" t="s">
        <v>19</v>
      </c>
      <c r="K3454" t="s">
        <v>26</v>
      </c>
      <c r="L3454">
        <v>3</v>
      </c>
      <c r="M3454">
        <v>0</v>
      </c>
      <c r="N3454">
        <v>1</v>
      </c>
      <c r="O3454" t="s">
        <v>21</v>
      </c>
      <c r="P3454" t="str">
        <f>TEXT(Table1[[#This Row],[order_date]],"yyyy-mm")</f>
        <v>2025-12</v>
      </c>
      <c r="Q3454">
        <f>WEEKNUM(Table1[[#This Row],[order_date]])</f>
        <v>51</v>
      </c>
      <c r="R3454">
        <f>IF(Table1[[#This Row],[order_status]]="completed",1,0)</f>
        <v>1</v>
      </c>
    </row>
    <row r="3455" spans="1:18" x14ac:dyDescent="0.35">
      <c r="A3455">
        <v>3454</v>
      </c>
      <c r="B3455" s="1">
        <v>45935</v>
      </c>
      <c r="C3455">
        <v>1642</v>
      </c>
      <c r="D3455" t="s">
        <v>28</v>
      </c>
      <c r="E3455" t="s">
        <v>23</v>
      </c>
      <c r="F3455" t="s">
        <v>34</v>
      </c>
      <c r="G3455">
        <v>3</v>
      </c>
      <c r="H3455">
        <v>0</v>
      </c>
      <c r="I3455" t="s">
        <v>39</v>
      </c>
      <c r="J3455" t="s">
        <v>31</v>
      </c>
      <c r="K3455" t="s">
        <v>20</v>
      </c>
      <c r="L3455">
        <v>5</v>
      </c>
      <c r="M3455">
        <v>1</v>
      </c>
      <c r="N3455">
        <v>1</v>
      </c>
      <c r="O3455" t="s">
        <v>21</v>
      </c>
      <c r="P3455" t="str">
        <f>TEXT(Table1[[#This Row],[order_date]],"yyyy-mm")</f>
        <v>2025-10</v>
      </c>
      <c r="Q3455">
        <f>WEEKNUM(Table1[[#This Row],[order_date]])</f>
        <v>41</v>
      </c>
      <c r="R3455">
        <f>IF(Table1[[#This Row],[order_status]]="completed",1,0)</f>
        <v>0</v>
      </c>
    </row>
    <row r="3456" spans="1:18" x14ac:dyDescent="0.35">
      <c r="A3456">
        <v>3455</v>
      </c>
      <c r="B3456" s="1">
        <v>46013</v>
      </c>
      <c r="C3456">
        <v>1430</v>
      </c>
      <c r="D3456" t="s">
        <v>15</v>
      </c>
      <c r="E3456" t="s">
        <v>29</v>
      </c>
      <c r="F3456" t="s">
        <v>24</v>
      </c>
      <c r="G3456">
        <v>5</v>
      </c>
      <c r="H3456">
        <v>0</v>
      </c>
      <c r="I3456" t="s">
        <v>18</v>
      </c>
      <c r="J3456" t="s">
        <v>31</v>
      </c>
      <c r="K3456" t="s">
        <v>20</v>
      </c>
      <c r="L3456">
        <v>3</v>
      </c>
      <c r="M3456">
        <v>1</v>
      </c>
      <c r="N3456">
        <v>0</v>
      </c>
      <c r="O3456" t="s">
        <v>27</v>
      </c>
      <c r="P3456" t="str">
        <f>TEXT(Table1[[#This Row],[order_date]],"yyyy-mm")</f>
        <v>2025-12</v>
      </c>
      <c r="Q3456">
        <f>WEEKNUM(Table1[[#This Row],[order_date]])</f>
        <v>52</v>
      </c>
      <c r="R3456">
        <f>IF(Table1[[#This Row],[order_status]]="completed",1,0)</f>
        <v>0</v>
      </c>
    </row>
    <row r="3457" spans="1:18" x14ac:dyDescent="0.35">
      <c r="A3457">
        <v>3456</v>
      </c>
      <c r="B3457" s="1">
        <v>45963</v>
      </c>
      <c r="C3457">
        <v>1956</v>
      </c>
      <c r="D3457" t="s">
        <v>28</v>
      </c>
      <c r="E3457" t="s">
        <v>23</v>
      </c>
      <c r="F3457" t="s">
        <v>17</v>
      </c>
      <c r="G3457">
        <v>1</v>
      </c>
      <c r="H3457">
        <v>3386</v>
      </c>
      <c r="I3457" t="s">
        <v>18</v>
      </c>
      <c r="J3457" t="s">
        <v>19</v>
      </c>
      <c r="K3457" t="s">
        <v>20</v>
      </c>
      <c r="L3457">
        <v>1</v>
      </c>
      <c r="M3457">
        <v>0</v>
      </c>
      <c r="N3457">
        <v>0</v>
      </c>
      <c r="O3457" t="s">
        <v>21</v>
      </c>
      <c r="P3457" t="str">
        <f>TEXT(Table1[[#This Row],[order_date]],"yyyy-mm")</f>
        <v>2025-11</v>
      </c>
      <c r="Q3457">
        <f>WEEKNUM(Table1[[#This Row],[order_date]])</f>
        <v>45</v>
      </c>
      <c r="R3457">
        <f>IF(Table1[[#This Row],[order_status]]="completed",1,0)</f>
        <v>1</v>
      </c>
    </row>
    <row r="3458" spans="1:18" x14ac:dyDescent="0.35">
      <c r="A3458">
        <v>3457</v>
      </c>
      <c r="B3458" s="1">
        <v>45994</v>
      </c>
      <c r="C3458">
        <v>1731</v>
      </c>
      <c r="D3458" t="s">
        <v>28</v>
      </c>
      <c r="E3458" t="s">
        <v>16</v>
      </c>
      <c r="F3458" t="s">
        <v>24</v>
      </c>
      <c r="G3458">
        <v>3</v>
      </c>
      <c r="H3458">
        <v>0</v>
      </c>
      <c r="I3458" t="s">
        <v>25</v>
      </c>
      <c r="J3458" t="s">
        <v>37</v>
      </c>
      <c r="K3458" t="s">
        <v>20</v>
      </c>
      <c r="L3458">
        <v>5</v>
      </c>
      <c r="M3458">
        <v>1</v>
      </c>
      <c r="N3458">
        <v>1</v>
      </c>
      <c r="O3458" t="s">
        <v>27</v>
      </c>
      <c r="P3458" t="str">
        <f>TEXT(Table1[[#This Row],[order_date]],"yyyy-mm")</f>
        <v>2025-12</v>
      </c>
      <c r="Q3458">
        <f>WEEKNUM(Table1[[#This Row],[order_date]])</f>
        <v>49</v>
      </c>
      <c r="R3458">
        <f>IF(Table1[[#This Row],[order_status]]="completed",1,0)</f>
        <v>0</v>
      </c>
    </row>
    <row r="3459" spans="1:18" x14ac:dyDescent="0.35">
      <c r="A3459">
        <v>3458</v>
      </c>
      <c r="B3459" s="1">
        <v>45870</v>
      </c>
      <c r="C3459">
        <v>1117</v>
      </c>
      <c r="D3459" t="s">
        <v>32</v>
      </c>
      <c r="E3459" t="s">
        <v>33</v>
      </c>
      <c r="F3459" t="s">
        <v>17</v>
      </c>
      <c r="G3459">
        <v>2</v>
      </c>
      <c r="H3459">
        <v>0</v>
      </c>
      <c r="I3459" t="s">
        <v>35</v>
      </c>
      <c r="J3459" t="s">
        <v>37</v>
      </c>
      <c r="K3459" t="s">
        <v>38</v>
      </c>
      <c r="L3459">
        <v>2</v>
      </c>
      <c r="M3459">
        <v>0</v>
      </c>
      <c r="N3459">
        <v>0</v>
      </c>
      <c r="O3459" t="s">
        <v>21</v>
      </c>
      <c r="P3459" t="str">
        <f>TEXT(Table1[[#This Row],[order_date]],"yyyy-mm")</f>
        <v>2025-08</v>
      </c>
      <c r="Q3459">
        <f>WEEKNUM(Table1[[#This Row],[order_date]])</f>
        <v>31</v>
      </c>
      <c r="R3459">
        <f>IF(Table1[[#This Row],[order_status]]="completed",1,0)</f>
        <v>0</v>
      </c>
    </row>
    <row r="3460" spans="1:18" x14ac:dyDescent="0.35">
      <c r="A3460">
        <v>3459</v>
      </c>
      <c r="B3460" s="1">
        <v>45895</v>
      </c>
      <c r="C3460">
        <v>1977</v>
      </c>
      <c r="D3460" t="s">
        <v>15</v>
      </c>
      <c r="E3460" t="s">
        <v>16</v>
      </c>
      <c r="F3460" t="s">
        <v>30</v>
      </c>
      <c r="G3460">
        <v>5</v>
      </c>
      <c r="H3460">
        <v>0</v>
      </c>
      <c r="I3460" t="s">
        <v>25</v>
      </c>
      <c r="J3460" t="s">
        <v>37</v>
      </c>
      <c r="K3460" t="s">
        <v>40</v>
      </c>
      <c r="L3460">
        <v>4</v>
      </c>
      <c r="M3460">
        <v>1</v>
      </c>
      <c r="N3460">
        <v>1</v>
      </c>
      <c r="O3460" t="s">
        <v>27</v>
      </c>
      <c r="P3460" t="str">
        <f>TEXT(Table1[[#This Row],[order_date]],"yyyy-mm")</f>
        <v>2025-08</v>
      </c>
      <c r="Q3460">
        <f>WEEKNUM(Table1[[#This Row],[order_date]])</f>
        <v>35</v>
      </c>
      <c r="R3460">
        <f>IF(Table1[[#This Row],[order_status]]="completed",1,0)</f>
        <v>0</v>
      </c>
    </row>
    <row r="3461" spans="1:18" x14ac:dyDescent="0.35">
      <c r="A3461">
        <v>3460</v>
      </c>
      <c r="B3461" s="1">
        <v>45914</v>
      </c>
      <c r="C3461">
        <v>1521</v>
      </c>
      <c r="D3461" t="s">
        <v>15</v>
      </c>
      <c r="E3461" t="s">
        <v>23</v>
      </c>
      <c r="F3461" t="s">
        <v>24</v>
      </c>
      <c r="G3461">
        <v>5</v>
      </c>
      <c r="H3461">
        <v>0</v>
      </c>
      <c r="I3461" t="s">
        <v>35</v>
      </c>
      <c r="J3461" t="s">
        <v>31</v>
      </c>
      <c r="K3461" t="s">
        <v>40</v>
      </c>
      <c r="L3461">
        <v>8</v>
      </c>
      <c r="M3461">
        <v>0</v>
      </c>
      <c r="N3461">
        <v>1</v>
      </c>
      <c r="O3461" t="s">
        <v>21</v>
      </c>
      <c r="P3461" t="str">
        <f>TEXT(Table1[[#This Row],[order_date]],"yyyy-mm")</f>
        <v>2025-09</v>
      </c>
      <c r="Q3461">
        <f>WEEKNUM(Table1[[#This Row],[order_date]])</f>
        <v>38</v>
      </c>
      <c r="R3461">
        <f>IF(Table1[[#This Row],[order_status]]="completed",1,0)</f>
        <v>0</v>
      </c>
    </row>
    <row r="3462" spans="1:18" x14ac:dyDescent="0.35">
      <c r="A3462">
        <v>3461</v>
      </c>
      <c r="B3462" s="1">
        <v>45919</v>
      </c>
      <c r="C3462">
        <v>1143</v>
      </c>
      <c r="D3462" t="s">
        <v>41</v>
      </c>
      <c r="E3462" t="s">
        <v>33</v>
      </c>
      <c r="F3462" t="s">
        <v>24</v>
      </c>
      <c r="G3462">
        <v>1</v>
      </c>
      <c r="H3462">
        <v>0</v>
      </c>
      <c r="I3462" t="s">
        <v>39</v>
      </c>
      <c r="J3462" t="s">
        <v>37</v>
      </c>
      <c r="K3462" t="s">
        <v>26</v>
      </c>
      <c r="L3462">
        <v>1</v>
      </c>
      <c r="M3462">
        <v>1</v>
      </c>
      <c r="N3462">
        <v>1</v>
      </c>
      <c r="O3462" t="s">
        <v>21</v>
      </c>
      <c r="P3462" t="str">
        <f>TEXT(Table1[[#This Row],[order_date]],"yyyy-mm")</f>
        <v>2025-09</v>
      </c>
      <c r="Q3462">
        <f>WEEKNUM(Table1[[#This Row],[order_date]])</f>
        <v>38</v>
      </c>
      <c r="R3462">
        <f>IF(Table1[[#This Row],[order_status]]="completed",1,0)</f>
        <v>0</v>
      </c>
    </row>
    <row r="3463" spans="1:18" x14ac:dyDescent="0.35">
      <c r="A3463">
        <v>3462</v>
      </c>
      <c r="B3463" s="1">
        <v>45954</v>
      </c>
      <c r="C3463">
        <v>1894</v>
      </c>
      <c r="D3463" t="s">
        <v>32</v>
      </c>
      <c r="E3463" t="s">
        <v>33</v>
      </c>
      <c r="F3463" t="s">
        <v>17</v>
      </c>
      <c r="G3463">
        <v>4</v>
      </c>
      <c r="H3463">
        <v>0</v>
      </c>
      <c r="I3463" t="s">
        <v>25</v>
      </c>
      <c r="J3463" t="s">
        <v>37</v>
      </c>
      <c r="K3463" t="s">
        <v>20</v>
      </c>
      <c r="L3463">
        <v>2</v>
      </c>
      <c r="M3463">
        <v>0</v>
      </c>
      <c r="N3463">
        <v>0</v>
      </c>
      <c r="O3463" t="s">
        <v>21</v>
      </c>
      <c r="P3463" t="str">
        <f>TEXT(Table1[[#This Row],[order_date]],"yyyy-mm")</f>
        <v>2025-10</v>
      </c>
      <c r="Q3463">
        <f>WEEKNUM(Table1[[#This Row],[order_date]])</f>
        <v>43</v>
      </c>
      <c r="R3463">
        <f>IF(Table1[[#This Row],[order_status]]="completed",1,0)</f>
        <v>0</v>
      </c>
    </row>
    <row r="3464" spans="1:18" x14ac:dyDescent="0.35">
      <c r="A3464">
        <v>3463</v>
      </c>
      <c r="B3464" s="1">
        <v>45979</v>
      </c>
      <c r="C3464">
        <v>1017</v>
      </c>
      <c r="D3464" t="s">
        <v>32</v>
      </c>
      <c r="E3464" t="s">
        <v>23</v>
      </c>
      <c r="F3464" t="s">
        <v>34</v>
      </c>
      <c r="G3464">
        <v>3</v>
      </c>
      <c r="H3464">
        <v>6411</v>
      </c>
      <c r="I3464" t="s">
        <v>39</v>
      </c>
      <c r="J3464" t="s">
        <v>19</v>
      </c>
      <c r="K3464" t="s">
        <v>38</v>
      </c>
      <c r="L3464">
        <v>9</v>
      </c>
      <c r="M3464">
        <v>0</v>
      </c>
      <c r="N3464">
        <v>1</v>
      </c>
      <c r="O3464" t="s">
        <v>27</v>
      </c>
      <c r="P3464" t="str">
        <f>TEXT(Table1[[#This Row],[order_date]],"yyyy-mm")</f>
        <v>2025-11</v>
      </c>
      <c r="Q3464">
        <f>WEEKNUM(Table1[[#This Row],[order_date]])</f>
        <v>47</v>
      </c>
      <c r="R3464">
        <f>IF(Table1[[#This Row],[order_status]]="completed",1,0)</f>
        <v>1</v>
      </c>
    </row>
    <row r="3465" spans="1:18" x14ac:dyDescent="0.35">
      <c r="A3465">
        <v>3464</v>
      </c>
      <c r="B3465" s="1">
        <v>45987</v>
      </c>
      <c r="C3465">
        <v>1450</v>
      </c>
      <c r="D3465" t="s">
        <v>28</v>
      </c>
      <c r="E3465" t="s">
        <v>36</v>
      </c>
      <c r="F3465" t="s">
        <v>34</v>
      </c>
      <c r="G3465">
        <v>2</v>
      </c>
      <c r="H3465">
        <v>0</v>
      </c>
      <c r="I3465" t="s">
        <v>25</v>
      </c>
      <c r="J3465" t="s">
        <v>37</v>
      </c>
      <c r="K3465" t="s">
        <v>40</v>
      </c>
      <c r="L3465">
        <v>2</v>
      </c>
      <c r="M3465">
        <v>1</v>
      </c>
      <c r="N3465">
        <v>0</v>
      </c>
      <c r="O3465" t="s">
        <v>27</v>
      </c>
      <c r="P3465" t="str">
        <f>TEXT(Table1[[#This Row],[order_date]],"yyyy-mm")</f>
        <v>2025-11</v>
      </c>
      <c r="Q3465">
        <f>WEEKNUM(Table1[[#This Row],[order_date]])</f>
        <v>48</v>
      </c>
      <c r="R3465">
        <f>IF(Table1[[#This Row],[order_status]]="completed",1,0)</f>
        <v>0</v>
      </c>
    </row>
    <row r="3466" spans="1:18" x14ac:dyDescent="0.35">
      <c r="A3466">
        <v>3465</v>
      </c>
      <c r="B3466" s="1">
        <v>45931</v>
      </c>
      <c r="C3466">
        <v>1296</v>
      </c>
      <c r="D3466" t="s">
        <v>22</v>
      </c>
      <c r="E3466" t="s">
        <v>16</v>
      </c>
      <c r="F3466" t="s">
        <v>34</v>
      </c>
      <c r="G3466">
        <v>3</v>
      </c>
      <c r="H3466">
        <v>2982</v>
      </c>
      <c r="I3466" t="s">
        <v>25</v>
      </c>
      <c r="J3466" t="s">
        <v>19</v>
      </c>
      <c r="K3466" t="s">
        <v>20</v>
      </c>
      <c r="L3466">
        <v>1</v>
      </c>
      <c r="M3466">
        <v>1</v>
      </c>
      <c r="N3466">
        <v>1</v>
      </c>
      <c r="O3466" t="s">
        <v>27</v>
      </c>
      <c r="P3466" t="str">
        <f>TEXT(Table1[[#This Row],[order_date]],"yyyy-mm")</f>
        <v>2025-10</v>
      </c>
      <c r="Q3466">
        <f>WEEKNUM(Table1[[#This Row],[order_date]])</f>
        <v>40</v>
      </c>
      <c r="R3466">
        <f>IF(Table1[[#This Row],[order_status]]="completed",1,0)</f>
        <v>1</v>
      </c>
    </row>
    <row r="3467" spans="1:18" x14ac:dyDescent="0.35">
      <c r="A3467">
        <v>3466</v>
      </c>
      <c r="B3467" s="1">
        <v>45967</v>
      </c>
      <c r="C3467">
        <v>1276</v>
      </c>
      <c r="D3467" t="s">
        <v>15</v>
      </c>
      <c r="E3467" t="s">
        <v>29</v>
      </c>
      <c r="F3467" t="s">
        <v>34</v>
      </c>
      <c r="G3467">
        <v>5</v>
      </c>
      <c r="H3467">
        <v>4800</v>
      </c>
      <c r="I3467" t="s">
        <v>25</v>
      </c>
      <c r="J3467" t="s">
        <v>19</v>
      </c>
      <c r="K3467" t="s">
        <v>26</v>
      </c>
      <c r="L3467">
        <v>6</v>
      </c>
      <c r="M3467">
        <v>0</v>
      </c>
      <c r="N3467">
        <v>0</v>
      </c>
      <c r="O3467" t="s">
        <v>27</v>
      </c>
      <c r="P3467" t="str">
        <f>TEXT(Table1[[#This Row],[order_date]],"yyyy-mm")</f>
        <v>2025-11</v>
      </c>
      <c r="Q3467">
        <f>WEEKNUM(Table1[[#This Row],[order_date]])</f>
        <v>45</v>
      </c>
      <c r="R3467">
        <f>IF(Table1[[#This Row],[order_status]]="completed",1,0)</f>
        <v>1</v>
      </c>
    </row>
    <row r="3468" spans="1:18" x14ac:dyDescent="0.35">
      <c r="A3468">
        <v>3467</v>
      </c>
      <c r="B3468" s="1">
        <v>45883</v>
      </c>
      <c r="C3468">
        <v>1479</v>
      </c>
      <c r="D3468" t="s">
        <v>28</v>
      </c>
      <c r="E3468" t="s">
        <v>29</v>
      </c>
      <c r="F3468" t="s">
        <v>30</v>
      </c>
      <c r="G3468">
        <v>1</v>
      </c>
      <c r="H3468">
        <v>0</v>
      </c>
      <c r="I3468" t="s">
        <v>25</v>
      </c>
      <c r="J3468" t="s">
        <v>31</v>
      </c>
      <c r="K3468" t="s">
        <v>26</v>
      </c>
      <c r="L3468">
        <v>3</v>
      </c>
      <c r="M3468">
        <v>0</v>
      </c>
      <c r="N3468">
        <v>0</v>
      </c>
      <c r="O3468" t="s">
        <v>21</v>
      </c>
      <c r="P3468" t="str">
        <f>TEXT(Table1[[#This Row],[order_date]],"yyyy-mm")</f>
        <v>2025-08</v>
      </c>
      <c r="Q3468">
        <f>WEEKNUM(Table1[[#This Row],[order_date]])</f>
        <v>33</v>
      </c>
      <c r="R3468">
        <f>IF(Table1[[#This Row],[order_status]]="completed",1,0)</f>
        <v>0</v>
      </c>
    </row>
    <row r="3469" spans="1:18" x14ac:dyDescent="0.35">
      <c r="A3469">
        <v>3468</v>
      </c>
      <c r="B3469" s="1">
        <v>45938</v>
      </c>
      <c r="C3469">
        <v>1455</v>
      </c>
      <c r="D3469" t="s">
        <v>32</v>
      </c>
      <c r="E3469" t="s">
        <v>36</v>
      </c>
      <c r="F3469" t="s">
        <v>24</v>
      </c>
      <c r="G3469">
        <v>1</v>
      </c>
      <c r="H3469">
        <v>0</v>
      </c>
      <c r="I3469" t="s">
        <v>25</v>
      </c>
      <c r="J3469" t="s">
        <v>37</v>
      </c>
      <c r="K3469" t="s">
        <v>38</v>
      </c>
      <c r="L3469">
        <v>1</v>
      </c>
      <c r="M3469">
        <v>1</v>
      </c>
      <c r="N3469">
        <v>1</v>
      </c>
      <c r="O3469" t="s">
        <v>21</v>
      </c>
      <c r="P3469" t="str">
        <f>TEXT(Table1[[#This Row],[order_date]],"yyyy-mm")</f>
        <v>2025-10</v>
      </c>
      <c r="Q3469">
        <f>WEEKNUM(Table1[[#This Row],[order_date]])</f>
        <v>41</v>
      </c>
      <c r="R3469">
        <f>IF(Table1[[#This Row],[order_status]]="completed",1,0)</f>
        <v>0</v>
      </c>
    </row>
    <row r="3470" spans="1:18" x14ac:dyDescent="0.35">
      <c r="A3470">
        <v>3469</v>
      </c>
      <c r="B3470" s="1">
        <v>45928</v>
      </c>
      <c r="C3470">
        <v>1556</v>
      </c>
      <c r="D3470" t="s">
        <v>32</v>
      </c>
      <c r="E3470" t="s">
        <v>23</v>
      </c>
      <c r="F3470" t="s">
        <v>30</v>
      </c>
      <c r="G3470">
        <v>5</v>
      </c>
      <c r="H3470">
        <v>0</v>
      </c>
      <c r="I3470" t="s">
        <v>25</v>
      </c>
      <c r="J3470" t="s">
        <v>31</v>
      </c>
      <c r="K3470" t="s">
        <v>20</v>
      </c>
      <c r="L3470">
        <v>4</v>
      </c>
      <c r="M3470">
        <v>1</v>
      </c>
      <c r="N3470">
        <v>0</v>
      </c>
      <c r="O3470" t="s">
        <v>21</v>
      </c>
      <c r="P3470" t="str">
        <f>TEXT(Table1[[#This Row],[order_date]],"yyyy-mm")</f>
        <v>2025-09</v>
      </c>
      <c r="Q3470">
        <f>WEEKNUM(Table1[[#This Row],[order_date]])</f>
        <v>40</v>
      </c>
      <c r="R3470">
        <f>IF(Table1[[#This Row],[order_status]]="completed",1,0)</f>
        <v>0</v>
      </c>
    </row>
    <row r="3471" spans="1:18" x14ac:dyDescent="0.35">
      <c r="A3471">
        <v>3470</v>
      </c>
      <c r="B3471" s="1">
        <v>45860</v>
      </c>
      <c r="C3471">
        <v>1606</v>
      </c>
      <c r="D3471" t="s">
        <v>15</v>
      </c>
      <c r="E3471" t="s">
        <v>23</v>
      </c>
      <c r="F3471" t="s">
        <v>24</v>
      </c>
      <c r="G3471">
        <v>3</v>
      </c>
      <c r="H3471">
        <v>0</v>
      </c>
      <c r="I3471" t="s">
        <v>39</v>
      </c>
      <c r="J3471" t="s">
        <v>31</v>
      </c>
      <c r="K3471" t="s">
        <v>26</v>
      </c>
      <c r="L3471">
        <v>5</v>
      </c>
      <c r="M3471">
        <v>0</v>
      </c>
      <c r="N3471">
        <v>0</v>
      </c>
      <c r="O3471" t="s">
        <v>21</v>
      </c>
      <c r="P3471" t="str">
        <f>TEXT(Table1[[#This Row],[order_date]],"yyyy-mm")</f>
        <v>2025-07</v>
      </c>
      <c r="Q3471">
        <f>WEEKNUM(Table1[[#This Row],[order_date]])</f>
        <v>30</v>
      </c>
      <c r="R3471">
        <f>IF(Table1[[#This Row],[order_status]]="completed",1,0)</f>
        <v>0</v>
      </c>
    </row>
    <row r="3472" spans="1:18" x14ac:dyDescent="0.35">
      <c r="A3472">
        <v>3471</v>
      </c>
      <c r="B3472" s="1">
        <v>45880</v>
      </c>
      <c r="C3472">
        <v>1059</v>
      </c>
      <c r="D3472" t="s">
        <v>32</v>
      </c>
      <c r="E3472" t="s">
        <v>23</v>
      </c>
      <c r="F3472" t="s">
        <v>30</v>
      </c>
      <c r="G3472">
        <v>4</v>
      </c>
      <c r="H3472">
        <v>0</v>
      </c>
      <c r="I3472" t="s">
        <v>18</v>
      </c>
      <c r="J3472" t="s">
        <v>37</v>
      </c>
      <c r="K3472" t="s">
        <v>20</v>
      </c>
      <c r="L3472">
        <v>9</v>
      </c>
      <c r="M3472">
        <v>1</v>
      </c>
      <c r="N3472">
        <v>0</v>
      </c>
      <c r="O3472" t="s">
        <v>21</v>
      </c>
      <c r="P3472" t="str">
        <f>TEXT(Table1[[#This Row],[order_date]],"yyyy-mm")</f>
        <v>2025-08</v>
      </c>
      <c r="Q3472">
        <f>WEEKNUM(Table1[[#This Row],[order_date]])</f>
        <v>33</v>
      </c>
      <c r="R3472">
        <f>IF(Table1[[#This Row],[order_status]]="completed",1,0)</f>
        <v>0</v>
      </c>
    </row>
    <row r="3473" spans="1:18" x14ac:dyDescent="0.35">
      <c r="A3473">
        <v>3472</v>
      </c>
      <c r="B3473" s="1">
        <v>45861</v>
      </c>
      <c r="C3473">
        <v>1853</v>
      </c>
      <c r="D3473" t="s">
        <v>22</v>
      </c>
      <c r="E3473" t="s">
        <v>36</v>
      </c>
      <c r="F3473" t="s">
        <v>34</v>
      </c>
      <c r="G3473">
        <v>4</v>
      </c>
      <c r="H3473">
        <v>0</v>
      </c>
      <c r="I3473" t="s">
        <v>35</v>
      </c>
      <c r="J3473" t="s">
        <v>31</v>
      </c>
      <c r="K3473" t="s">
        <v>40</v>
      </c>
      <c r="L3473">
        <v>8</v>
      </c>
      <c r="M3473">
        <v>1</v>
      </c>
      <c r="N3473">
        <v>1</v>
      </c>
      <c r="O3473" t="s">
        <v>27</v>
      </c>
      <c r="P3473" t="str">
        <f>TEXT(Table1[[#This Row],[order_date]],"yyyy-mm")</f>
        <v>2025-07</v>
      </c>
      <c r="Q3473">
        <f>WEEKNUM(Table1[[#This Row],[order_date]])</f>
        <v>30</v>
      </c>
      <c r="R3473">
        <f>IF(Table1[[#This Row],[order_status]]="completed",1,0)</f>
        <v>0</v>
      </c>
    </row>
    <row r="3474" spans="1:18" x14ac:dyDescent="0.35">
      <c r="A3474">
        <v>3473</v>
      </c>
      <c r="B3474" s="1">
        <v>46001</v>
      </c>
      <c r="C3474">
        <v>1021</v>
      </c>
      <c r="D3474" t="s">
        <v>22</v>
      </c>
      <c r="E3474" t="s">
        <v>36</v>
      </c>
      <c r="F3474" t="s">
        <v>24</v>
      </c>
      <c r="G3474">
        <v>3</v>
      </c>
      <c r="H3474">
        <v>10887</v>
      </c>
      <c r="I3474" t="s">
        <v>25</v>
      </c>
      <c r="J3474" t="s">
        <v>19</v>
      </c>
      <c r="K3474" t="s">
        <v>26</v>
      </c>
      <c r="L3474">
        <v>9</v>
      </c>
      <c r="M3474">
        <v>1</v>
      </c>
      <c r="N3474">
        <v>0</v>
      </c>
      <c r="O3474" t="s">
        <v>21</v>
      </c>
      <c r="P3474" t="str">
        <f>TEXT(Table1[[#This Row],[order_date]],"yyyy-mm")</f>
        <v>2025-12</v>
      </c>
      <c r="Q3474">
        <f>WEEKNUM(Table1[[#This Row],[order_date]])</f>
        <v>50</v>
      </c>
      <c r="R3474">
        <f>IF(Table1[[#This Row],[order_status]]="completed",1,0)</f>
        <v>1</v>
      </c>
    </row>
    <row r="3475" spans="1:18" x14ac:dyDescent="0.35">
      <c r="A3475">
        <v>3474</v>
      </c>
      <c r="B3475" s="1">
        <v>45938</v>
      </c>
      <c r="C3475">
        <v>1476</v>
      </c>
      <c r="D3475" t="s">
        <v>41</v>
      </c>
      <c r="E3475" t="s">
        <v>16</v>
      </c>
      <c r="F3475" t="s">
        <v>24</v>
      </c>
      <c r="G3475">
        <v>2</v>
      </c>
      <c r="H3475">
        <v>6592</v>
      </c>
      <c r="I3475" t="s">
        <v>18</v>
      </c>
      <c r="J3475" t="s">
        <v>19</v>
      </c>
      <c r="K3475" t="s">
        <v>40</v>
      </c>
      <c r="L3475">
        <v>10</v>
      </c>
      <c r="M3475">
        <v>0</v>
      </c>
      <c r="N3475">
        <v>0</v>
      </c>
      <c r="O3475" t="s">
        <v>21</v>
      </c>
      <c r="P3475" t="str">
        <f>TEXT(Table1[[#This Row],[order_date]],"yyyy-mm")</f>
        <v>2025-10</v>
      </c>
      <c r="Q3475">
        <f>WEEKNUM(Table1[[#This Row],[order_date]])</f>
        <v>41</v>
      </c>
      <c r="R3475">
        <f>IF(Table1[[#This Row],[order_status]]="completed",1,0)</f>
        <v>1</v>
      </c>
    </row>
    <row r="3476" spans="1:18" x14ac:dyDescent="0.35">
      <c r="A3476">
        <v>3475</v>
      </c>
      <c r="B3476" s="1">
        <v>45963</v>
      </c>
      <c r="C3476">
        <v>1320</v>
      </c>
      <c r="D3476" t="s">
        <v>41</v>
      </c>
      <c r="E3476" t="s">
        <v>23</v>
      </c>
      <c r="F3476" t="s">
        <v>30</v>
      </c>
      <c r="G3476">
        <v>3</v>
      </c>
      <c r="H3476">
        <v>0</v>
      </c>
      <c r="I3476" t="s">
        <v>39</v>
      </c>
      <c r="J3476" t="s">
        <v>31</v>
      </c>
      <c r="K3476" t="s">
        <v>40</v>
      </c>
      <c r="L3476">
        <v>6</v>
      </c>
      <c r="M3476">
        <v>1</v>
      </c>
      <c r="N3476">
        <v>1</v>
      </c>
      <c r="O3476" t="s">
        <v>27</v>
      </c>
      <c r="P3476" t="str">
        <f>TEXT(Table1[[#This Row],[order_date]],"yyyy-mm")</f>
        <v>2025-11</v>
      </c>
      <c r="Q3476">
        <f>WEEKNUM(Table1[[#This Row],[order_date]])</f>
        <v>45</v>
      </c>
      <c r="R3476">
        <f>IF(Table1[[#This Row],[order_status]]="completed",1,0)</f>
        <v>0</v>
      </c>
    </row>
    <row r="3477" spans="1:18" x14ac:dyDescent="0.35">
      <c r="A3477">
        <v>3476</v>
      </c>
      <c r="B3477" s="1">
        <v>45888</v>
      </c>
      <c r="C3477">
        <v>1109</v>
      </c>
      <c r="D3477" t="s">
        <v>32</v>
      </c>
      <c r="E3477" t="s">
        <v>36</v>
      </c>
      <c r="F3477" t="s">
        <v>30</v>
      </c>
      <c r="G3477">
        <v>2</v>
      </c>
      <c r="H3477">
        <v>0</v>
      </c>
      <c r="I3477" t="s">
        <v>18</v>
      </c>
      <c r="J3477" t="s">
        <v>31</v>
      </c>
      <c r="K3477" t="s">
        <v>40</v>
      </c>
      <c r="L3477">
        <v>3</v>
      </c>
      <c r="M3477">
        <v>0</v>
      </c>
      <c r="N3477">
        <v>0</v>
      </c>
      <c r="O3477" t="s">
        <v>27</v>
      </c>
      <c r="P3477" t="str">
        <f>TEXT(Table1[[#This Row],[order_date]],"yyyy-mm")</f>
        <v>2025-08</v>
      </c>
      <c r="Q3477">
        <f>WEEKNUM(Table1[[#This Row],[order_date]])</f>
        <v>34</v>
      </c>
      <c r="R3477">
        <f>IF(Table1[[#This Row],[order_status]]="completed",1,0)</f>
        <v>0</v>
      </c>
    </row>
    <row r="3478" spans="1:18" x14ac:dyDescent="0.35">
      <c r="A3478">
        <v>3477</v>
      </c>
      <c r="B3478" s="1">
        <v>46000</v>
      </c>
      <c r="C3478">
        <v>1287</v>
      </c>
      <c r="D3478" t="s">
        <v>15</v>
      </c>
      <c r="E3478" t="s">
        <v>16</v>
      </c>
      <c r="F3478" t="s">
        <v>34</v>
      </c>
      <c r="G3478">
        <v>4</v>
      </c>
      <c r="H3478">
        <v>0</v>
      </c>
      <c r="I3478" t="s">
        <v>35</v>
      </c>
      <c r="J3478" t="s">
        <v>37</v>
      </c>
      <c r="K3478" t="s">
        <v>26</v>
      </c>
      <c r="L3478">
        <v>1</v>
      </c>
      <c r="M3478">
        <v>0</v>
      </c>
      <c r="N3478">
        <v>1</v>
      </c>
      <c r="O3478" t="s">
        <v>21</v>
      </c>
      <c r="P3478" t="str">
        <f>TEXT(Table1[[#This Row],[order_date]],"yyyy-mm")</f>
        <v>2025-12</v>
      </c>
      <c r="Q3478">
        <f>WEEKNUM(Table1[[#This Row],[order_date]])</f>
        <v>50</v>
      </c>
      <c r="R3478">
        <f>IF(Table1[[#This Row],[order_status]]="completed",1,0)</f>
        <v>0</v>
      </c>
    </row>
    <row r="3479" spans="1:18" x14ac:dyDescent="0.35">
      <c r="A3479">
        <v>3478</v>
      </c>
      <c r="B3479" s="1">
        <v>45965</v>
      </c>
      <c r="C3479">
        <v>1210</v>
      </c>
      <c r="D3479" t="s">
        <v>15</v>
      </c>
      <c r="E3479" t="s">
        <v>23</v>
      </c>
      <c r="F3479" t="s">
        <v>34</v>
      </c>
      <c r="G3479">
        <v>4</v>
      </c>
      <c r="H3479">
        <v>0</v>
      </c>
      <c r="I3479" t="s">
        <v>18</v>
      </c>
      <c r="J3479" t="s">
        <v>31</v>
      </c>
      <c r="K3479" t="s">
        <v>38</v>
      </c>
      <c r="L3479">
        <v>8</v>
      </c>
      <c r="M3479">
        <v>0</v>
      </c>
      <c r="N3479">
        <v>0</v>
      </c>
      <c r="O3479" t="s">
        <v>21</v>
      </c>
      <c r="P3479" t="str">
        <f>TEXT(Table1[[#This Row],[order_date]],"yyyy-mm")</f>
        <v>2025-11</v>
      </c>
      <c r="Q3479">
        <f>WEEKNUM(Table1[[#This Row],[order_date]])</f>
        <v>45</v>
      </c>
      <c r="R3479">
        <f>IF(Table1[[#This Row],[order_status]]="completed",1,0)</f>
        <v>0</v>
      </c>
    </row>
    <row r="3480" spans="1:18" x14ac:dyDescent="0.35">
      <c r="A3480">
        <v>3479</v>
      </c>
      <c r="B3480" s="1">
        <v>45934</v>
      </c>
      <c r="C3480">
        <v>1185</v>
      </c>
      <c r="D3480" t="s">
        <v>22</v>
      </c>
      <c r="E3480" t="s">
        <v>23</v>
      </c>
      <c r="F3480" t="s">
        <v>24</v>
      </c>
      <c r="G3480">
        <v>1</v>
      </c>
      <c r="H3480">
        <v>0</v>
      </c>
      <c r="I3480" t="s">
        <v>35</v>
      </c>
      <c r="J3480" t="s">
        <v>37</v>
      </c>
      <c r="K3480" t="s">
        <v>40</v>
      </c>
      <c r="L3480">
        <v>7</v>
      </c>
      <c r="M3480">
        <v>0</v>
      </c>
      <c r="N3480">
        <v>0</v>
      </c>
      <c r="O3480" t="s">
        <v>27</v>
      </c>
      <c r="P3480" t="str">
        <f>TEXT(Table1[[#This Row],[order_date]],"yyyy-mm")</f>
        <v>2025-10</v>
      </c>
      <c r="Q3480">
        <f>WEEKNUM(Table1[[#This Row],[order_date]])</f>
        <v>40</v>
      </c>
      <c r="R3480">
        <f>IF(Table1[[#This Row],[order_status]]="completed",1,0)</f>
        <v>0</v>
      </c>
    </row>
    <row r="3481" spans="1:18" x14ac:dyDescent="0.35">
      <c r="A3481">
        <v>3480</v>
      </c>
      <c r="B3481" s="1">
        <v>45989</v>
      </c>
      <c r="C3481">
        <v>1506</v>
      </c>
      <c r="D3481" t="s">
        <v>15</v>
      </c>
      <c r="E3481" t="s">
        <v>16</v>
      </c>
      <c r="F3481" t="s">
        <v>17</v>
      </c>
      <c r="G3481">
        <v>5</v>
      </c>
      <c r="H3481">
        <v>4415</v>
      </c>
      <c r="I3481" t="s">
        <v>25</v>
      </c>
      <c r="J3481" t="s">
        <v>19</v>
      </c>
      <c r="K3481" t="s">
        <v>38</v>
      </c>
      <c r="L3481">
        <v>3</v>
      </c>
      <c r="M3481">
        <v>0</v>
      </c>
      <c r="N3481">
        <v>0</v>
      </c>
      <c r="O3481" t="s">
        <v>27</v>
      </c>
      <c r="P3481" t="str">
        <f>TEXT(Table1[[#This Row],[order_date]],"yyyy-mm")</f>
        <v>2025-11</v>
      </c>
      <c r="Q3481">
        <f>WEEKNUM(Table1[[#This Row],[order_date]])</f>
        <v>48</v>
      </c>
      <c r="R3481">
        <f>IF(Table1[[#This Row],[order_status]]="completed",1,0)</f>
        <v>1</v>
      </c>
    </row>
    <row r="3482" spans="1:18" x14ac:dyDescent="0.35">
      <c r="A3482">
        <v>3481</v>
      </c>
      <c r="B3482" s="1">
        <v>45868</v>
      </c>
      <c r="C3482">
        <v>1862</v>
      </c>
      <c r="D3482" t="s">
        <v>15</v>
      </c>
      <c r="E3482" t="s">
        <v>23</v>
      </c>
      <c r="F3482" t="s">
        <v>17</v>
      </c>
      <c r="G3482">
        <v>2</v>
      </c>
      <c r="H3482">
        <v>0</v>
      </c>
      <c r="I3482" t="s">
        <v>18</v>
      </c>
      <c r="J3482" t="s">
        <v>37</v>
      </c>
      <c r="K3482" t="s">
        <v>26</v>
      </c>
      <c r="L3482">
        <v>3</v>
      </c>
      <c r="M3482">
        <v>1</v>
      </c>
      <c r="N3482">
        <v>1</v>
      </c>
      <c r="O3482" t="s">
        <v>21</v>
      </c>
      <c r="P3482" t="str">
        <f>TEXT(Table1[[#This Row],[order_date]],"yyyy-mm")</f>
        <v>2025-07</v>
      </c>
      <c r="Q3482">
        <f>WEEKNUM(Table1[[#This Row],[order_date]])</f>
        <v>31</v>
      </c>
      <c r="R3482">
        <f>IF(Table1[[#This Row],[order_status]]="completed",1,0)</f>
        <v>0</v>
      </c>
    </row>
    <row r="3483" spans="1:18" x14ac:dyDescent="0.35">
      <c r="A3483">
        <v>3482</v>
      </c>
      <c r="B3483" s="1">
        <v>45995</v>
      </c>
      <c r="C3483">
        <v>1102</v>
      </c>
      <c r="D3483" t="s">
        <v>22</v>
      </c>
      <c r="E3483" t="s">
        <v>36</v>
      </c>
      <c r="F3483" t="s">
        <v>34</v>
      </c>
      <c r="G3483">
        <v>4</v>
      </c>
      <c r="H3483">
        <v>0</v>
      </c>
      <c r="I3483" t="s">
        <v>35</v>
      </c>
      <c r="J3483" t="s">
        <v>31</v>
      </c>
      <c r="K3483" t="s">
        <v>20</v>
      </c>
      <c r="L3483">
        <v>1</v>
      </c>
      <c r="M3483">
        <v>0</v>
      </c>
      <c r="N3483">
        <v>0</v>
      </c>
      <c r="O3483" t="s">
        <v>27</v>
      </c>
      <c r="P3483" t="str">
        <f>TEXT(Table1[[#This Row],[order_date]],"yyyy-mm")</f>
        <v>2025-12</v>
      </c>
      <c r="Q3483">
        <f>WEEKNUM(Table1[[#This Row],[order_date]])</f>
        <v>49</v>
      </c>
      <c r="R3483">
        <f>IF(Table1[[#This Row],[order_status]]="completed",1,0)</f>
        <v>0</v>
      </c>
    </row>
    <row r="3484" spans="1:18" x14ac:dyDescent="0.35">
      <c r="A3484">
        <v>3483</v>
      </c>
      <c r="B3484" s="1">
        <v>45904</v>
      </c>
      <c r="C3484">
        <v>1867</v>
      </c>
      <c r="D3484" t="s">
        <v>32</v>
      </c>
      <c r="E3484" t="s">
        <v>33</v>
      </c>
      <c r="F3484" t="s">
        <v>30</v>
      </c>
      <c r="G3484">
        <v>2</v>
      </c>
      <c r="H3484">
        <v>0</v>
      </c>
      <c r="I3484" t="s">
        <v>18</v>
      </c>
      <c r="J3484" t="s">
        <v>37</v>
      </c>
      <c r="K3484" t="s">
        <v>26</v>
      </c>
      <c r="L3484">
        <v>10</v>
      </c>
      <c r="M3484">
        <v>1</v>
      </c>
      <c r="N3484">
        <v>1</v>
      </c>
      <c r="O3484" t="s">
        <v>21</v>
      </c>
      <c r="P3484" t="str">
        <f>TEXT(Table1[[#This Row],[order_date]],"yyyy-mm")</f>
        <v>2025-09</v>
      </c>
      <c r="Q3484">
        <f>WEEKNUM(Table1[[#This Row],[order_date]])</f>
        <v>36</v>
      </c>
      <c r="R3484">
        <f>IF(Table1[[#This Row],[order_status]]="completed",1,0)</f>
        <v>0</v>
      </c>
    </row>
    <row r="3485" spans="1:18" x14ac:dyDescent="0.35">
      <c r="A3485">
        <v>3484</v>
      </c>
      <c r="B3485" s="1">
        <v>45963</v>
      </c>
      <c r="C3485">
        <v>1083</v>
      </c>
      <c r="D3485" t="s">
        <v>32</v>
      </c>
      <c r="E3485" t="s">
        <v>33</v>
      </c>
      <c r="F3485" t="s">
        <v>34</v>
      </c>
      <c r="G3485">
        <v>1</v>
      </c>
      <c r="H3485">
        <v>0</v>
      </c>
      <c r="I3485" t="s">
        <v>39</v>
      </c>
      <c r="J3485" t="s">
        <v>31</v>
      </c>
      <c r="K3485" t="s">
        <v>40</v>
      </c>
      <c r="L3485">
        <v>1</v>
      </c>
      <c r="M3485">
        <v>1</v>
      </c>
      <c r="N3485">
        <v>1</v>
      </c>
      <c r="O3485" t="s">
        <v>21</v>
      </c>
      <c r="P3485" t="str">
        <f>TEXT(Table1[[#This Row],[order_date]],"yyyy-mm")</f>
        <v>2025-11</v>
      </c>
      <c r="Q3485">
        <f>WEEKNUM(Table1[[#This Row],[order_date]])</f>
        <v>45</v>
      </c>
      <c r="R3485">
        <f>IF(Table1[[#This Row],[order_status]]="completed",1,0)</f>
        <v>0</v>
      </c>
    </row>
    <row r="3486" spans="1:18" x14ac:dyDescent="0.35">
      <c r="A3486">
        <v>3485</v>
      </c>
      <c r="B3486" s="1">
        <v>46010</v>
      </c>
      <c r="C3486">
        <v>1901</v>
      </c>
      <c r="D3486" t="s">
        <v>32</v>
      </c>
      <c r="E3486" t="s">
        <v>33</v>
      </c>
      <c r="F3486" t="s">
        <v>34</v>
      </c>
      <c r="G3486">
        <v>3</v>
      </c>
      <c r="H3486">
        <v>0</v>
      </c>
      <c r="I3486" t="s">
        <v>18</v>
      </c>
      <c r="J3486" t="s">
        <v>37</v>
      </c>
      <c r="K3486" t="s">
        <v>38</v>
      </c>
      <c r="L3486">
        <v>1</v>
      </c>
      <c r="M3486">
        <v>1</v>
      </c>
      <c r="N3486">
        <v>0</v>
      </c>
      <c r="O3486" t="s">
        <v>27</v>
      </c>
      <c r="P3486" t="str">
        <f>TEXT(Table1[[#This Row],[order_date]],"yyyy-mm")</f>
        <v>2025-12</v>
      </c>
      <c r="Q3486">
        <f>WEEKNUM(Table1[[#This Row],[order_date]])</f>
        <v>51</v>
      </c>
      <c r="R3486">
        <f>IF(Table1[[#This Row],[order_status]]="completed",1,0)</f>
        <v>0</v>
      </c>
    </row>
    <row r="3487" spans="1:18" x14ac:dyDescent="0.35">
      <c r="A3487">
        <v>3486</v>
      </c>
      <c r="B3487" s="1">
        <v>45927</v>
      </c>
      <c r="C3487">
        <v>1782</v>
      </c>
      <c r="D3487" t="s">
        <v>22</v>
      </c>
      <c r="E3487" t="s">
        <v>29</v>
      </c>
      <c r="F3487" t="s">
        <v>30</v>
      </c>
      <c r="G3487">
        <v>5</v>
      </c>
      <c r="H3487">
        <v>0</v>
      </c>
      <c r="I3487" t="s">
        <v>39</v>
      </c>
      <c r="J3487" t="s">
        <v>31</v>
      </c>
      <c r="K3487" t="s">
        <v>26</v>
      </c>
      <c r="L3487">
        <v>5</v>
      </c>
      <c r="M3487">
        <v>1</v>
      </c>
      <c r="N3487">
        <v>1</v>
      </c>
      <c r="O3487" t="s">
        <v>27</v>
      </c>
      <c r="P3487" t="str">
        <f>TEXT(Table1[[#This Row],[order_date]],"yyyy-mm")</f>
        <v>2025-09</v>
      </c>
      <c r="Q3487">
        <f>WEEKNUM(Table1[[#This Row],[order_date]])</f>
        <v>39</v>
      </c>
      <c r="R3487">
        <f>IF(Table1[[#This Row],[order_status]]="completed",1,0)</f>
        <v>0</v>
      </c>
    </row>
    <row r="3488" spans="1:18" x14ac:dyDescent="0.35">
      <c r="A3488">
        <v>3487</v>
      </c>
      <c r="B3488" s="1">
        <v>45854</v>
      </c>
      <c r="C3488">
        <v>1746</v>
      </c>
      <c r="D3488" t="s">
        <v>15</v>
      </c>
      <c r="E3488" t="s">
        <v>36</v>
      </c>
      <c r="F3488" t="s">
        <v>30</v>
      </c>
      <c r="G3488">
        <v>3</v>
      </c>
      <c r="H3488">
        <v>0</v>
      </c>
      <c r="I3488" t="s">
        <v>35</v>
      </c>
      <c r="J3488" t="s">
        <v>31</v>
      </c>
      <c r="K3488" t="s">
        <v>20</v>
      </c>
      <c r="L3488">
        <v>1</v>
      </c>
      <c r="M3488">
        <v>0</v>
      </c>
      <c r="N3488">
        <v>0</v>
      </c>
      <c r="O3488" t="s">
        <v>27</v>
      </c>
      <c r="P3488" t="str">
        <f>TEXT(Table1[[#This Row],[order_date]],"yyyy-mm")</f>
        <v>2025-07</v>
      </c>
      <c r="Q3488">
        <f>WEEKNUM(Table1[[#This Row],[order_date]])</f>
        <v>29</v>
      </c>
      <c r="R3488">
        <f>IF(Table1[[#This Row],[order_status]]="completed",1,0)</f>
        <v>0</v>
      </c>
    </row>
    <row r="3489" spans="1:18" x14ac:dyDescent="0.35">
      <c r="A3489">
        <v>3488</v>
      </c>
      <c r="B3489" s="1">
        <v>46007</v>
      </c>
      <c r="C3489">
        <v>1180</v>
      </c>
      <c r="D3489" t="s">
        <v>28</v>
      </c>
      <c r="E3489" t="s">
        <v>33</v>
      </c>
      <c r="F3489" t="s">
        <v>17</v>
      </c>
      <c r="G3489">
        <v>3</v>
      </c>
      <c r="H3489">
        <v>0</v>
      </c>
      <c r="I3489" t="s">
        <v>39</v>
      </c>
      <c r="J3489" t="s">
        <v>37</v>
      </c>
      <c r="K3489" t="s">
        <v>20</v>
      </c>
      <c r="L3489">
        <v>1</v>
      </c>
      <c r="M3489">
        <v>0</v>
      </c>
      <c r="N3489">
        <v>0</v>
      </c>
      <c r="O3489" t="s">
        <v>21</v>
      </c>
      <c r="P3489" t="str">
        <f>TEXT(Table1[[#This Row],[order_date]],"yyyy-mm")</f>
        <v>2025-12</v>
      </c>
      <c r="Q3489">
        <f>WEEKNUM(Table1[[#This Row],[order_date]])</f>
        <v>51</v>
      </c>
      <c r="R3489">
        <f>IF(Table1[[#This Row],[order_status]]="completed",1,0)</f>
        <v>0</v>
      </c>
    </row>
    <row r="3490" spans="1:18" x14ac:dyDescent="0.35">
      <c r="A3490">
        <v>3489</v>
      </c>
      <c r="B3490" s="1">
        <v>45851</v>
      </c>
      <c r="C3490">
        <v>1562</v>
      </c>
      <c r="D3490" t="s">
        <v>22</v>
      </c>
      <c r="E3490" t="s">
        <v>23</v>
      </c>
      <c r="F3490" t="s">
        <v>17</v>
      </c>
      <c r="G3490">
        <v>1</v>
      </c>
      <c r="H3490">
        <v>4673</v>
      </c>
      <c r="I3490" t="s">
        <v>18</v>
      </c>
      <c r="J3490" t="s">
        <v>19</v>
      </c>
      <c r="K3490" t="s">
        <v>38</v>
      </c>
      <c r="L3490">
        <v>2</v>
      </c>
      <c r="M3490">
        <v>1</v>
      </c>
      <c r="N3490">
        <v>1</v>
      </c>
      <c r="O3490" t="s">
        <v>21</v>
      </c>
      <c r="P3490" t="str">
        <f>TEXT(Table1[[#This Row],[order_date]],"yyyy-mm")</f>
        <v>2025-07</v>
      </c>
      <c r="Q3490">
        <f>WEEKNUM(Table1[[#This Row],[order_date]])</f>
        <v>29</v>
      </c>
      <c r="R3490">
        <f>IF(Table1[[#This Row],[order_status]]="completed",1,0)</f>
        <v>1</v>
      </c>
    </row>
    <row r="3491" spans="1:18" x14ac:dyDescent="0.35">
      <c r="A3491">
        <v>3490</v>
      </c>
      <c r="B3491" s="1">
        <v>45900</v>
      </c>
      <c r="C3491">
        <v>1634</v>
      </c>
      <c r="D3491" t="s">
        <v>28</v>
      </c>
      <c r="E3491" t="s">
        <v>36</v>
      </c>
      <c r="F3491" t="s">
        <v>17</v>
      </c>
      <c r="G3491">
        <v>1</v>
      </c>
      <c r="H3491">
        <v>225</v>
      </c>
      <c r="I3491" t="s">
        <v>25</v>
      </c>
      <c r="J3491" t="s">
        <v>19</v>
      </c>
      <c r="K3491" t="s">
        <v>40</v>
      </c>
      <c r="L3491">
        <v>9</v>
      </c>
      <c r="M3491">
        <v>1</v>
      </c>
      <c r="N3491">
        <v>0</v>
      </c>
      <c r="O3491" t="s">
        <v>21</v>
      </c>
      <c r="P3491" t="str">
        <f>TEXT(Table1[[#This Row],[order_date]],"yyyy-mm")</f>
        <v>2025-08</v>
      </c>
      <c r="Q3491">
        <f>WEEKNUM(Table1[[#This Row],[order_date]])</f>
        <v>36</v>
      </c>
      <c r="R3491">
        <f>IF(Table1[[#This Row],[order_status]]="completed",1,0)</f>
        <v>1</v>
      </c>
    </row>
    <row r="3492" spans="1:18" x14ac:dyDescent="0.35">
      <c r="A3492">
        <v>3491</v>
      </c>
      <c r="B3492" s="1">
        <v>45940</v>
      </c>
      <c r="C3492">
        <v>1542</v>
      </c>
      <c r="D3492" t="s">
        <v>41</v>
      </c>
      <c r="E3492" t="s">
        <v>33</v>
      </c>
      <c r="F3492" t="s">
        <v>17</v>
      </c>
      <c r="G3492">
        <v>4</v>
      </c>
      <c r="H3492">
        <v>15468</v>
      </c>
      <c r="I3492" t="s">
        <v>39</v>
      </c>
      <c r="J3492" t="s">
        <v>19</v>
      </c>
      <c r="K3492" t="s">
        <v>38</v>
      </c>
      <c r="L3492">
        <v>5</v>
      </c>
      <c r="M3492">
        <v>1</v>
      </c>
      <c r="N3492">
        <v>1</v>
      </c>
      <c r="O3492" t="s">
        <v>27</v>
      </c>
      <c r="P3492" t="str">
        <f>TEXT(Table1[[#This Row],[order_date]],"yyyy-mm")</f>
        <v>2025-10</v>
      </c>
      <c r="Q3492">
        <f>WEEKNUM(Table1[[#This Row],[order_date]])</f>
        <v>41</v>
      </c>
      <c r="R3492">
        <f>IF(Table1[[#This Row],[order_status]]="completed",1,0)</f>
        <v>1</v>
      </c>
    </row>
    <row r="3493" spans="1:18" x14ac:dyDescent="0.35">
      <c r="A3493">
        <v>3492</v>
      </c>
      <c r="B3493" s="1">
        <v>45868</v>
      </c>
      <c r="C3493">
        <v>1113</v>
      </c>
      <c r="D3493" t="s">
        <v>32</v>
      </c>
      <c r="E3493" t="s">
        <v>33</v>
      </c>
      <c r="F3493" t="s">
        <v>24</v>
      </c>
      <c r="G3493">
        <v>2</v>
      </c>
      <c r="H3493">
        <v>5088</v>
      </c>
      <c r="I3493" t="s">
        <v>39</v>
      </c>
      <c r="J3493" t="s">
        <v>19</v>
      </c>
      <c r="K3493" t="s">
        <v>40</v>
      </c>
      <c r="L3493">
        <v>1</v>
      </c>
      <c r="M3493">
        <v>1</v>
      </c>
      <c r="N3493">
        <v>0</v>
      </c>
      <c r="O3493" t="s">
        <v>27</v>
      </c>
      <c r="P3493" t="str">
        <f>TEXT(Table1[[#This Row],[order_date]],"yyyy-mm")</f>
        <v>2025-07</v>
      </c>
      <c r="Q3493">
        <f>WEEKNUM(Table1[[#This Row],[order_date]])</f>
        <v>31</v>
      </c>
      <c r="R3493">
        <f>IF(Table1[[#This Row],[order_status]]="completed",1,0)</f>
        <v>1</v>
      </c>
    </row>
    <row r="3494" spans="1:18" x14ac:dyDescent="0.35">
      <c r="A3494">
        <v>3493</v>
      </c>
      <c r="B3494" s="1">
        <v>45938</v>
      </c>
      <c r="C3494">
        <v>1016</v>
      </c>
      <c r="D3494" t="s">
        <v>32</v>
      </c>
      <c r="E3494" t="s">
        <v>16</v>
      </c>
      <c r="F3494" t="s">
        <v>17</v>
      </c>
      <c r="G3494">
        <v>5</v>
      </c>
      <c r="H3494">
        <v>0</v>
      </c>
      <c r="I3494" t="s">
        <v>39</v>
      </c>
      <c r="J3494" t="s">
        <v>37</v>
      </c>
      <c r="K3494" t="s">
        <v>26</v>
      </c>
      <c r="L3494">
        <v>2</v>
      </c>
      <c r="M3494">
        <v>0</v>
      </c>
      <c r="N3494">
        <v>1</v>
      </c>
      <c r="O3494" t="s">
        <v>27</v>
      </c>
      <c r="P3494" t="str">
        <f>TEXT(Table1[[#This Row],[order_date]],"yyyy-mm")</f>
        <v>2025-10</v>
      </c>
      <c r="Q3494">
        <f>WEEKNUM(Table1[[#This Row],[order_date]])</f>
        <v>41</v>
      </c>
      <c r="R3494">
        <f>IF(Table1[[#This Row],[order_status]]="completed",1,0)</f>
        <v>0</v>
      </c>
    </row>
    <row r="3495" spans="1:18" x14ac:dyDescent="0.35">
      <c r="A3495">
        <v>3494</v>
      </c>
      <c r="B3495" s="1">
        <v>45940</v>
      </c>
      <c r="C3495">
        <v>1902</v>
      </c>
      <c r="D3495" t="s">
        <v>15</v>
      </c>
      <c r="E3495" t="s">
        <v>33</v>
      </c>
      <c r="F3495" t="s">
        <v>30</v>
      </c>
      <c r="G3495">
        <v>2</v>
      </c>
      <c r="H3495">
        <v>5274</v>
      </c>
      <c r="I3495" t="s">
        <v>18</v>
      </c>
      <c r="J3495" t="s">
        <v>19</v>
      </c>
      <c r="K3495" t="s">
        <v>38</v>
      </c>
      <c r="L3495">
        <v>7</v>
      </c>
      <c r="M3495">
        <v>0</v>
      </c>
      <c r="N3495">
        <v>0</v>
      </c>
      <c r="O3495" t="s">
        <v>21</v>
      </c>
      <c r="P3495" t="str">
        <f>TEXT(Table1[[#This Row],[order_date]],"yyyy-mm")</f>
        <v>2025-10</v>
      </c>
      <c r="Q3495">
        <f>WEEKNUM(Table1[[#This Row],[order_date]])</f>
        <v>41</v>
      </c>
      <c r="R3495">
        <f>IF(Table1[[#This Row],[order_status]]="completed",1,0)</f>
        <v>1</v>
      </c>
    </row>
    <row r="3496" spans="1:18" x14ac:dyDescent="0.35">
      <c r="A3496">
        <v>3495</v>
      </c>
      <c r="B3496" s="1">
        <v>46006</v>
      </c>
      <c r="C3496">
        <v>1287</v>
      </c>
      <c r="D3496" t="s">
        <v>41</v>
      </c>
      <c r="E3496" t="s">
        <v>33</v>
      </c>
      <c r="F3496" t="s">
        <v>30</v>
      </c>
      <c r="G3496">
        <v>1</v>
      </c>
      <c r="H3496">
        <v>0</v>
      </c>
      <c r="I3496" t="s">
        <v>18</v>
      </c>
      <c r="J3496" t="s">
        <v>37</v>
      </c>
      <c r="K3496" t="s">
        <v>38</v>
      </c>
      <c r="L3496">
        <v>5</v>
      </c>
      <c r="M3496">
        <v>1</v>
      </c>
      <c r="N3496">
        <v>1</v>
      </c>
      <c r="O3496" t="s">
        <v>27</v>
      </c>
      <c r="P3496" t="str">
        <f>TEXT(Table1[[#This Row],[order_date]],"yyyy-mm")</f>
        <v>2025-12</v>
      </c>
      <c r="Q3496">
        <f>WEEKNUM(Table1[[#This Row],[order_date]])</f>
        <v>51</v>
      </c>
      <c r="R3496">
        <f>IF(Table1[[#This Row],[order_status]]="completed",1,0)</f>
        <v>0</v>
      </c>
    </row>
    <row r="3497" spans="1:18" x14ac:dyDescent="0.35">
      <c r="A3497">
        <v>3496</v>
      </c>
      <c r="B3497" s="1">
        <v>45874</v>
      </c>
      <c r="C3497">
        <v>1499</v>
      </c>
      <c r="D3497" t="s">
        <v>22</v>
      </c>
      <c r="E3497" t="s">
        <v>33</v>
      </c>
      <c r="F3497" t="s">
        <v>17</v>
      </c>
      <c r="G3497">
        <v>1</v>
      </c>
      <c r="H3497">
        <v>833</v>
      </c>
      <c r="I3497" t="s">
        <v>35</v>
      </c>
      <c r="J3497" t="s">
        <v>19</v>
      </c>
      <c r="K3497" t="s">
        <v>40</v>
      </c>
      <c r="L3497">
        <v>3</v>
      </c>
      <c r="M3497">
        <v>1</v>
      </c>
      <c r="N3497">
        <v>1</v>
      </c>
      <c r="O3497" t="s">
        <v>27</v>
      </c>
      <c r="P3497" t="str">
        <f>TEXT(Table1[[#This Row],[order_date]],"yyyy-mm")</f>
        <v>2025-08</v>
      </c>
      <c r="Q3497">
        <f>WEEKNUM(Table1[[#This Row],[order_date]])</f>
        <v>32</v>
      </c>
      <c r="R3497">
        <f>IF(Table1[[#This Row],[order_status]]="completed",1,0)</f>
        <v>1</v>
      </c>
    </row>
    <row r="3498" spans="1:18" x14ac:dyDescent="0.35">
      <c r="A3498">
        <v>3497</v>
      </c>
      <c r="B3498" s="1">
        <v>45854</v>
      </c>
      <c r="C3498">
        <v>1275</v>
      </c>
      <c r="D3498" t="s">
        <v>32</v>
      </c>
      <c r="E3498" t="s">
        <v>29</v>
      </c>
      <c r="F3498" t="s">
        <v>30</v>
      </c>
      <c r="G3498">
        <v>1</v>
      </c>
      <c r="H3498">
        <v>0</v>
      </c>
      <c r="I3498" t="s">
        <v>35</v>
      </c>
      <c r="J3498" t="s">
        <v>37</v>
      </c>
      <c r="K3498" t="s">
        <v>40</v>
      </c>
      <c r="L3498">
        <v>5</v>
      </c>
      <c r="M3498">
        <v>1</v>
      </c>
      <c r="N3498">
        <v>0</v>
      </c>
      <c r="O3498" t="s">
        <v>21</v>
      </c>
      <c r="P3498" t="str">
        <f>TEXT(Table1[[#This Row],[order_date]],"yyyy-mm")</f>
        <v>2025-07</v>
      </c>
      <c r="Q3498">
        <f>WEEKNUM(Table1[[#This Row],[order_date]])</f>
        <v>29</v>
      </c>
      <c r="R3498">
        <f>IF(Table1[[#This Row],[order_status]]="completed",1,0)</f>
        <v>0</v>
      </c>
    </row>
    <row r="3499" spans="1:18" x14ac:dyDescent="0.35">
      <c r="A3499">
        <v>3498</v>
      </c>
      <c r="B3499" s="1">
        <v>45989</v>
      </c>
      <c r="C3499">
        <v>1247</v>
      </c>
      <c r="D3499" t="s">
        <v>41</v>
      </c>
      <c r="E3499" t="s">
        <v>29</v>
      </c>
      <c r="F3499" t="s">
        <v>24</v>
      </c>
      <c r="G3499">
        <v>3</v>
      </c>
      <c r="H3499">
        <v>0</v>
      </c>
      <c r="I3499" t="s">
        <v>35</v>
      </c>
      <c r="J3499" t="s">
        <v>31</v>
      </c>
      <c r="K3499" t="s">
        <v>26</v>
      </c>
      <c r="L3499">
        <v>3</v>
      </c>
      <c r="M3499">
        <v>1</v>
      </c>
      <c r="N3499">
        <v>0</v>
      </c>
      <c r="O3499" t="s">
        <v>21</v>
      </c>
      <c r="P3499" t="str">
        <f>TEXT(Table1[[#This Row],[order_date]],"yyyy-mm")</f>
        <v>2025-11</v>
      </c>
      <c r="Q3499">
        <f>WEEKNUM(Table1[[#This Row],[order_date]])</f>
        <v>48</v>
      </c>
      <c r="R3499">
        <f>IF(Table1[[#This Row],[order_status]]="completed",1,0)</f>
        <v>0</v>
      </c>
    </row>
    <row r="3500" spans="1:18" x14ac:dyDescent="0.35">
      <c r="A3500">
        <v>3499</v>
      </c>
      <c r="B3500" s="1">
        <v>45999</v>
      </c>
      <c r="C3500">
        <v>1746</v>
      </c>
      <c r="D3500" t="s">
        <v>15</v>
      </c>
      <c r="E3500" t="s">
        <v>36</v>
      </c>
      <c r="F3500" t="s">
        <v>34</v>
      </c>
      <c r="G3500">
        <v>5</v>
      </c>
      <c r="H3500">
        <v>0</v>
      </c>
      <c r="I3500" t="s">
        <v>35</v>
      </c>
      <c r="J3500" t="s">
        <v>37</v>
      </c>
      <c r="K3500" t="s">
        <v>38</v>
      </c>
      <c r="L3500">
        <v>6</v>
      </c>
      <c r="M3500">
        <v>1</v>
      </c>
      <c r="N3500">
        <v>1</v>
      </c>
      <c r="O3500" t="s">
        <v>27</v>
      </c>
      <c r="P3500" t="str">
        <f>TEXT(Table1[[#This Row],[order_date]],"yyyy-mm")</f>
        <v>2025-12</v>
      </c>
      <c r="Q3500">
        <f>WEEKNUM(Table1[[#This Row],[order_date]])</f>
        <v>50</v>
      </c>
      <c r="R3500">
        <f>IF(Table1[[#This Row],[order_status]]="completed",1,0)</f>
        <v>0</v>
      </c>
    </row>
    <row r="3501" spans="1:18" x14ac:dyDescent="0.35">
      <c r="A3501">
        <v>3500</v>
      </c>
      <c r="B3501" s="1">
        <v>45976</v>
      </c>
      <c r="C3501">
        <v>1079</v>
      </c>
      <c r="D3501" t="s">
        <v>41</v>
      </c>
      <c r="E3501" t="s">
        <v>16</v>
      </c>
      <c r="F3501" t="s">
        <v>34</v>
      </c>
      <c r="G3501">
        <v>4</v>
      </c>
      <c r="H3501">
        <v>0</v>
      </c>
      <c r="I3501" t="s">
        <v>35</v>
      </c>
      <c r="J3501" t="s">
        <v>31</v>
      </c>
      <c r="K3501" t="s">
        <v>26</v>
      </c>
      <c r="L3501">
        <v>1</v>
      </c>
      <c r="M3501">
        <v>1</v>
      </c>
      <c r="N3501">
        <v>0</v>
      </c>
      <c r="O3501" t="s">
        <v>21</v>
      </c>
      <c r="P3501" t="str">
        <f>TEXT(Table1[[#This Row],[order_date]],"yyyy-mm")</f>
        <v>2025-11</v>
      </c>
      <c r="Q3501">
        <f>WEEKNUM(Table1[[#This Row],[order_date]])</f>
        <v>46</v>
      </c>
      <c r="R3501">
        <f>IF(Table1[[#This Row],[order_status]]="completed",1,0)</f>
        <v>0</v>
      </c>
    </row>
    <row r="3502" spans="1:18" x14ac:dyDescent="0.35">
      <c r="A3502">
        <v>3501</v>
      </c>
      <c r="B3502" s="1">
        <v>45945</v>
      </c>
      <c r="C3502">
        <v>1878</v>
      </c>
      <c r="D3502" t="s">
        <v>41</v>
      </c>
      <c r="E3502" t="s">
        <v>36</v>
      </c>
      <c r="F3502" t="s">
        <v>34</v>
      </c>
      <c r="G3502">
        <v>1</v>
      </c>
      <c r="H3502">
        <v>0</v>
      </c>
      <c r="I3502" t="s">
        <v>25</v>
      </c>
      <c r="J3502" t="s">
        <v>31</v>
      </c>
      <c r="K3502" t="s">
        <v>38</v>
      </c>
      <c r="L3502">
        <v>4</v>
      </c>
      <c r="M3502">
        <v>1</v>
      </c>
      <c r="N3502">
        <v>1</v>
      </c>
      <c r="O3502" t="s">
        <v>27</v>
      </c>
      <c r="P3502" t="str">
        <f>TEXT(Table1[[#This Row],[order_date]],"yyyy-mm")</f>
        <v>2025-10</v>
      </c>
      <c r="Q3502">
        <f>WEEKNUM(Table1[[#This Row],[order_date]])</f>
        <v>42</v>
      </c>
      <c r="R3502">
        <f>IF(Table1[[#This Row],[order_status]]="completed",1,0)</f>
        <v>0</v>
      </c>
    </row>
    <row r="3503" spans="1:18" x14ac:dyDescent="0.35">
      <c r="A3503">
        <v>3502</v>
      </c>
      <c r="B3503" s="1">
        <v>45944</v>
      </c>
      <c r="C3503">
        <v>1371</v>
      </c>
      <c r="D3503" t="s">
        <v>22</v>
      </c>
      <c r="E3503" t="s">
        <v>33</v>
      </c>
      <c r="F3503" t="s">
        <v>30</v>
      </c>
      <c r="G3503">
        <v>4</v>
      </c>
      <c r="H3503">
        <v>0</v>
      </c>
      <c r="I3503" t="s">
        <v>25</v>
      </c>
      <c r="J3503" t="s">
        <v>37</v>
      </c>
      <c r="K3503" t="s">
        <v>38</v>
      </c>
      <c r="L3503">
        <v>6</v>
      </c>
      <c r="M3503">
        <v>0</v>
      </c>
      <c r="N3503">
        <v>0</v>
      </c>
      <c r="O3503" t="s">
        <v>21</v>
      </c>
      <c r="P3503" t="str">
        <f>TEXT(Table1[[#This Row],[order_date]],"yyyy-mm")</f>
        <v>2025-10</v>
      </c>
      <c r="Q3503">
        <f>WEEKNUM(Table1[[#This Row],[order_date]])</f>
        <v>42</v>
      </c>
      <c r="R3503">
        <f>IF(Table1[[#This Row],[order_status]]="completed",1,0)</f>
        <v>0</v>
      </c>
    </row>
    <row r="3504" spans="1:18" x14ac:dyDescent="0.35">
      <c r="A3504">
        <v>3503</v>
      </c>
      <c r="B3504" s="1">
        <v>46013</v>
      </c>
      <c r="C3504">
        <v>1699</v>
      </c>
      <c r="D3504" t="s">
        <v>22</v>
      </c>
      <c r="E3504" t="s">
        <v>33</v>
      </c>
      <c r="F3504" t="s">
        <v>17</v>
      </c>
      <c r="G3504">
        <v>2</v>
      </c>
      <c r="H3504">
        <v>0</v>
      </c>
      <c r="I3504" t="s">
        <v>25</v>
      </c>
      <c r="J3504" t="s">
        <v>31</v>
      </c>
      <c r="K3504" t="s">
        <v>26</v>
      </c>
      <c r="L3504">
        <v>9</v>
      </c>
      <c r="M3504">
        <v>1</v>
      </c>
      <c r="N3504">
        <v>0</v>
      </c>
      <c r="O3504" t="s">
        <v>27</v>
      </c>
      <c r="P3504" t="str">
        <f>TEXT(Table1[[#This Row],[order_date]],"yyyy-mm")</f>
        <v>2025-12</v>
      </c>
      <c r="Q3504">
        <f>WEEKNUM(Table1[[#This Row],[order_date]])</f>
        <v>52</v>
      </c>
      <c r="R3504">
        <f>IF(Table1[[#This Row],[order_status]]="completed",1,0)</f>
        <v>0</v>
      </c>
    </row>
    <row r="3505" spans="1:18" x14ac:dyDescent="0.35">
      <c r="A3505">
        <v>3504</v>
      </c>
      <c r="B3505" s="1">
        <v>45993</v>
      </c>
      <c r="C3505">
        <v>1885</v>
      </c>
      <c r="D3505" t="s">
        <v>32</v>
      </c>
      <c r="E3505" t="s">
        <v>33</v>
      </c>
      <c r="F3505" t="s">
        <v>24</v>
      </c>
      <c r="G3505">
        <v>1</v>
      </c>
      <c r="H3505">
        <v>0</v>
      </c>
      <c r="I3505" t="s">
        <v>35</v>
      </c>
      <c r="J3505" t="s">
        <v>31</v>
      </c>
      <c r="K3505" t="s">
        <v>26</v>
      </c>
      <c r="L3505">
        <v>9</v>
      </c>
      <c r="M3505">
        <v>1</v>
      </c>
      <c r="N3505">
        <v>0</v>
      </c>
      <c r="O3505" t="s">
        <v>21</v>
      </c>
      <c r="P3505" t="str">
        <f>TEXT(Table1[[#This Row],[order_date]],"yyyy-mm")</f>
        <v>2025-12</v>
      </c>
      <c r="Q3505">
        <f>WEEKNUM(Table1[[#This Row],[order_date]])</f>
        <v>49</v>
      </c>
      <c r="R3505">
        <f>IF(Table1[[#This Row],[order_status]]="completed",1,0)</f>
        <v>0</v>
      </c>
    </row>
    <row r="3506" spans="1:18" x14ac:dyDescent="0.35">
      <c r="A3506">
        <v>3505</v>
      </c>
      <c r="B3506" s="1">
        <v>45911</v>
      </c>
      <c r="C3506">
        <v>1994</v>
      </c>
      <c r="D3506" t="s">
        <v>32</v>
      </c>
      <c r="E3506" t="s">
        <v>36</v>
      </c>
      <c r="F3506" t="s">
        <v>17</v>
      </c>
      <c r="G3506">
        <v>3</v>
      </c>
      <c r="H3506">
        <v>0</v>
      </c>
      <c r="I3506" t="s">
        <v>18</v>
      </c>
      <c r="J3506" t="s">
        <v>31</v>
      </c>
      <c r="K3506" t="s">
        <v>40</v>
      </c>
      <c r="L3506">
        <v>2</v>
      </c>
      <c r="M3506">
        <v>1</v>
      </c>
      <c r="N3506">
        <v>1</v>
      </c>
      <c r="O3506" t="s">
        <v>21</v>
      </c>
      <c r="P3506" t="str">
        <f>TEXT(Table1[[#This Row],[order_date]],"yyyy-mm")</f>
        <v>2025-09</v>
      </c>
      <c r="Q3506">
        <f>WEEKNUM(Table1[[#This Row],[order_date]])</f>
        <v>37</v>
      </c>
      <c r="R3506">
        <f>IF(Table1[[#This Row],[order_status]]="completed",1,0)</f>
        <v>0</v>
      </c>
    </row>
    <row r="3507" spans="1:18" x14ac:dyDescent="0.35">
      <c r="A3507">
        <v>3506</v>
      </c>
      <c r="B3507" s="1">
        <v>45901</v>
      </c>
      <c r="C3507">
        <v>1493</v>
      </c>
      <c r="D3507" t="s">
        <v>28</v>
      </c>
      <c r="E3507" t="s">
        <v>23</v>
      </c>
      <c r="F3507" t="s">
        <v>24</v>
      </c>
      <c r="G3507">
        <v>5</v>
      </c>
      <c r="H3507">
        <v>0</v>
      </c>
      <c r="I3507" t="s">
        <v>35</v>
      </c>
      <c r="J3507" t="s">
        <v>31</v>
      </c>
      <c r="K3507" t="s">
        <v>20</v>
      </c>
      <c r="L3507">
        <v>4</v>
      </c>
      <c r="M3507">
        <v>0</v>
      </c>
      <c r="N3507">
        <v>1</v>
      </c>
      <c r="O3507" t="s">
        <v>21</v>
      </c>
      <c r="P3507" t="str">
        <f>TEXT(Table1[[#This Row],[order_date]],"yyyy-mm")</f>
        <v>2025-09</v>
      </c>
      <c r="Q3507">
        <f>WEEKNUM(Table1[[#This Row],[order_date]])</f>
        <v>36</v>
      </c>
      <c r="R3507">
        <f>IF(Table1[[#This Row],[order_status]]="completed",1,0)</f>
        <v>0</v>
      </c>
    </row>
    <row r="3508" spans="1:18" x14ac:dyDescent="0.35">
      <c r="A3508">
        <v>3507</v>
      </c>
      <c r="B3508" s="1">
        <v>45978</v>
      </c>
      <c r="C3508">
        <v>1703</v>
      </c>
      <c r="D3508" t="s">
        <v>32</v>
      </c>
      <c r="E3508" t="s">
        <v>23</v>
      </c>
      <c r="F3508" t="s">
        <v>34</v>
      </c>
      <c r="G3508">
        <v>3</v>
      </c>
      <c r="H3508">
        <v>14856</v>
      </c>
      <c r="I3508" t="s">
        <v>25</v>
      </c>
      <c r="J3508" t="s">
        <v>19</v>
      </c>
      <c r="K3508" t="s">
        <v>40</v>
      </c>
      <c r="L3508">
        <v>7</v>
      </c>
      <c r="M3508">
        <v>1</v>
      </c>
      <c r="N3508">
        <v>1</v>
      </c>
      <c r="O3508" t="s">
        <v>21</v>
      </c>
      <c r="P3508" t="str">
        <f>TEXT(Table1[[#This Row],[order_date]],"yyyy-mm")</f>
        <v>2025-11</v>
      </c>
      <c r="Q3508">
        <f>WEEKNUM(Table1[[#This Row],[order_date]])</f>
        <v>47</v>
      </c>
      <c r="R3508">
        <f>IF(Table1[[#This Row],[order_status]]="completed",1,0)</f>
        <v>1</v>
      </c>
    </row>
    <row r="3509" spans="1:18" x14ac:dyDescent="0.35">
      <c r="A3509">
        <v>3508</v>
      </c>
      <c r="B3509" s="1">
        <v>45852</v>
      </c>
      <c r="C3509">
        <v>1360</v>
      </c>
      <c r="D3509" t="s">
        <v>32</v>
      </c>
      <c r="E3509" t="s">
        <v>33</v>
      </c>
      <c r="F3509" t="s">
        <v>24</v>
      </c>
      <c r="G3509">
        <v>4</v>
      </c>
      <c r="H3509">
        <v>11052</v>
      </c>
      <c r="I3509" t="s">
        <v>18</v>
      </c>
      <c r="J3509" t="s">
        <v>19</v>
      </c>
      <c r="K3509" t="s">
        <v>20</v>
      </c>
      <c r="L3509">
        <v>5</v>
      </c>
      <c r="M3509">
        <v>1</v>
      </c>
      <c r="N3509">
        <v>0</v>
      </c>
      <c r="O3509" t="s">
        <v>27</v>
      </c>
      <c r="P3509" t="str">
        <f>TEXT(Table1[[#This Row],[order_date]],"yyyy-mm")</f>
        <v>2025-07</v>
      </c>
      <c r="Q3509">
        <f>WEEKNUM(Table1[[#This Row],[order_date]])</f>
        <v>29</v>
      </c>
      <c r="R3509">
        <f>IF(Table1[[#This Row],[order_status]]="completed",1,0)</f>
        <v>1</v>
      </c>
    </row>
    <row r="3510" spans="1:18" x14ac:dyDescent="0.35">
      <c r="A3510">
        <v>3509</v>
      </c>
      <c r="B3510" s="1">
        <v>45909</v>
      </c>
      <c r="C3510">
        <v>1332</v>
      </c>
      <c r="D3510" t="s">
        <v>32</v>
      </c>
      <c r="E3510" t="s">
        <v>33</v>
      </c>
      <c r="F3510" t="s">
        <v>30</v>
      </c>
      <c r="G3510">
        <v>4</v>
      </c>
      <c r="H3510">
        <v>16276</v>
      </c>
      <c r="I3510" t="s">
        <v>39</v>
      </c>
      <c r="J3510" t="s">
        <v>19</v>
      </c>
      <c r="K3510" t="s">
        <v>20</v>
      </c>
      <c r="L3510">
        <v>8</v>
      </c>
      <c r="M3510">
        <v>0</v>
      </c>
      <c r="N3510">
        <v>1</v>
      </c>
      <c r="O3510" t="s">
        <v>27</v>
      </c>
      <c r="P3510" t="str">
        <f>TEXT(Table1[[#This Row],[order_date]],"yyyy-mm")</f>
        <v>2025-09</v>
      </c>
      <c r="Q3510">
        <f>WEEKNUM(Table1[[#This Row],[order_date]])</f>
        <v>37</v>
      </c>
      <c r="R3510">
        <f>IF(Table1[[#This Row],[order_status]]="completed",1,0)</f>
        <v>1</v>
      </c>
    </row>
    <row r="3511" spans="1:18" x14ac:dyDescent="0.35">
      <c r="A3511">
        <v>3510</v>
      </c>
      <c r="B3511" s="1">
        <v>45881</v>
      </c>
      <c r="C3511">
        <v>1919</v>
      </c>
      <c r="D3511" t="s">
        <v>28</v>
      </c>
      <c r="E3511" t="s">
        <v>36</v>
      </c>
      <c r="F3511" t="s">
        <v>17</v>
      </c>
      <c r="G3511">
        <v>5</v>
      </c>
      <c r="H3511">
        <v>0</v>
      </c>
      <c r="I3511" t="s">
        <v>25</v>
      </c>
      <c r="J3511" t="s">
        <v>37</v>
      </c>
      <c r="K3511" t="s">
        <v>20</v>
      </c>
      <c r="L3511">
        <v>8</v>
      </c>
      <c r="M3511">
        <v>1</v>
      </c>
      <c r="N3511">
        <v>0</v>
      </c>
      <c r="O3511" t="s">
        <v>21</v>
      </c>
      <c r="P3511" t="str">
        <f>TEXT(Table1[[#This Row],[order_date]],"yyyy-mm")</f>
        <v>2025-08</v>
      </c>
      <c r="Q3511">
        <f>WEEKNUM(Table1[[#This Row],[order_date]])</f>
        <v>33</v>
      </c>
      <c r="R3511">
        <f>IF(Table1[[#This Row],[order_status]]="completed",1,0)</f>
        <v>0</v>
      </c>
    </row>
    <row r="3512" spans="1:18" x14ac:dyDescent="0.35">
      <c r="A3512">
        <v>3511</v>
      </c>
      <c r="B3512" s="1">
        <v>45879</v>
      </c>
      <c r="C3512">
        <v>1992</v>
      </c>
      <c r="D3512" t="s">
        <v>32</v>
      </c>
      <c r="E3512" t="s">
        <v>29</v>
      </c>
      <c r="F3512" t="s">
        <v>24</v>
      </c>
      <c r="G3512">
        <v>3</v>
      </c>
      <c r="H3512">
        <v>5136</v>
      </c>
      <c r="I3512" t="s">
        <v>25</v>
      </c>
      <c r="J3512" t="s">
        <v>19</v>
      </c>
      <c r="K3512" t="s">
        <v>26</v>
      </c>
      <c r="L3512">
        <v>6</v>
      </c>
      <c r="M3512">
        <v>1</v>
      </c>
      <c r="N3512">
        <v>0</v>
      </c>
      <c r="O3512" t="s">
        <v>27</v>
      </c>
      <c r="P3512" t="str">
        <f>TEXT(Table1[[#This Row],[order_date]],"yyyy-mm")</f>
        <v>2025-08</v>
      </c>
      <c r="Q3512">
        <f>WEEKNUM(Table1[[#This Row],[order_date]])</f>
        <v>33</v>
      </c>
      <c r="R3512">
        <f>IF(Table1[[#This Row],[order_status]]="completed",1,0)</f>
        <v>1</v>
      </c>
    </row>
    <row r="3513" spans="1:18" x14ac:dyDescent="0.35">
      <c r="A3513">
        <v>3512</v>
      </c>
      <c r="B3513" s="1">
        <v>45858</v>
      </c>
      <c r="C3513">
        <v>1166</v>
      </c>
      <c r="D3513" t="s">
        <v>41</v>
      </c>
      <c r="E3513" t="s">
        <v>16</v>
      </c>
      <c r="F3513" t="s">
        <v>34</v>
      </c>
      <c r="G3513">
        <v>4</v>
      </c>
      <c r="H3513">
        <v>0</v>
      </c>
      <c r="I3513" t="s">
        <v>25</v>
      </c>
      <c r="J3513" t="s">
        <v>31</v>
      </c>
      <c r="K3513" t="s">
        <v>26</v>
      </c>
      <c r="L3513">
        <v>10</v>
      </c>
      <c r="M3513">
        <v>0</v>
      </c>
      <c r="N3513">
        <v>1</v>
      </c>
      <c r="O3513" t="s">
        <v>21</v>
      </c>
      <c r="P3513" t="str">
        <f>TEXT(Table1[[#This Row],[order_date]],"yyyy-mm")</f>
        <v>2025-07</v>
      </c>
      <c r="Q3513">
        <f>WEEKNUM(Table1[[#This Row],[order_date]])</f>
        <v>30</v>
      </c>
      <c r="R3513">
        <f>IF(Table1[[#This Row],[order_status]]="completed",1,0)</f>
        <v>0</v>
      </c>
    </row>
    <row r="3514" spans="1:18" x14ac:dyDescent="0.35">
      <c r="A3514">
        <v>3513</v>
      </c>
      <c r="B3514" s="1">
        <v>45919</v>
      </c>
      <c r="C3514">
        <v>1345</v>
      </c>
      <c r="D3514" t="s">
        <v>15</v>
      </c>
      <c r="E3514" t="s">
        <v>23</v>
      </c>
      <c r="F3514" t="s">
        <v>24</v>
      </c>
      <c r="G3514">
        <v>4</v>
      </c>
      <c r="H3514">
        <v>0</v>
      </c>
      <c r="I3514" t="s">
        <v>18</v>
      </c>
      <c r="J3514" t="s">
        <v>37</v>
      </c>
      <c r="K3514" t="s">
        <v>40</v>
      </c>
      <c r="L3514">
        <v>5</v>
      </c>
      <c r="M3514">
        <v>1</v>
      </c>
      <c r="N3514">
        <v>0</v>
      </c>
      <c r="O3514" t="s">
        <v>27</v>
      </c>
      <c r="P3514" t="str">
        <f>TEXT(Table1[[#This Row],[order_date]],"yyyy-mm")</f>
        <v>2025-09</v>
      </c>
      <c r="Q3514">
        <f>WEEKNUM(Table1[[#This Row],[order_date]])</f>
        <v>38</v>
      </c>
      <c r="R3514">
        <f>IF(Table1[[#This Row],[order_status]]="completed",1,0)</f>
        <v>0</v>
      </c>
    </row>
    <row r="3515" spans="1:18" x14ac:dyDescent="0.35">
      <c r="A3515">
        <v>3514</v>
      </c>
      <c r="B3515" s="1">
        <v>45914</v>
      </c>
      <c r="C3515">
        <v>1250</v>
      </c>
      <c r="D3515" t="s">
        <v>28</v>
      </c>
      <c r="E3515" t="s">
        <v>23</v>
      </c>
      <c r="F3515" t="s">
        <v>34</v>
      </c>
      <c r="G3515">
        <v>2</v>
      </c>
      <c r="H3515">
        <v>0</v>
      </c>
      <c r="I3515" t="s">
        <v>35</v>
      </c>
      <c r="J3515" t="s">
        <v>37</v>
      </c>
      <c r="K3515" t="s">
        <v>20</v>
      </c>
      <c r="L3515">
        <v>8</v>
      </c>
      <c r="M3515">
        <v>1</v>
      </c>
      <c r="N3515">
        <v>1</v>
      </c>
      <c r="O3515" t="s">
        <v>21</v>
      </c>
      <c r="P3515" t="str">
        <f>TEXT(Table1[[#This Row],[order_date]],"yyyy-mm")</f>
        <v>2025-09</v>
      </c>
      <c r="Q3515">
        <f>WEEKNUM(Table1[[#This Row],[order_date]])</f>
        <v>38</v>
      </c>
      <c r="R3515">
        <f>IF(Table1[[#This Row],[order_status]]="completed",1,0)</f>
        <v>0</v>
      </c>
    </row>
    <row r="3516" spans="1:18" x14ac:dyDescent="0.35">
      <c r="A3516">
        <v>3515</v>
      </c>
      <c r="B3516" s="1">
        <v>45867</v>
      </c>
      <c r="C3516">
        <v>1586</v>
      </c>
      <c r="D3516" t="s">
        <v>41</v>
      </c>
      <c r="E3516" t="s">
        <v>33</v>
      </c>
      <c r="F3516" t="s">
        <v>17</v>
      </c>
      <c r="G3516">
        <v>3</v>
      </c>
      <c r="H3516">
        <v>0</v>
      </c>
      <c r="I3516" t="s">
        <v>18</v>
      </c>
      <c r="J3516" t="s">
        <v>37</v>
      </c>
      <c r="K3516" t="s">
        <v>20</v>
      </c>
      <c r="L3516">
        <v>1</v>
      </c>
      <c r="M3516">
        <v>1</v>
      </c>
      <c r="N3516">
        <v>0</v>
      </c>
      <c r="O3516" t="s">
        <v>27</v>
      </c>
      <c r="P3516" t="str">
        <f>TEXT(Table1[[#This Row],[order_date]],"yyyy-mm")</f>
        <v>2025-07</v>
      </c>
      <c r="Q3516">
        <f>WEEKNUM(Table1[[#This Row],[order_date]])</f>
        <v>31</v>
      </c>
      <c r="R3516">
        <f>IF(Table1[[#This Row],[order_status]]="completed",1,0)</f>
        <v>0</v>
      </c>
    </row>
    <row r="3517" spans="1:18" x14ac:dyDescent="0.35">
      <c r="A3517">
        <v>3516</v>
      </c>
      <c r="B3517" s="1">
        <v>45878</v>
      </c>
      <c r="C3517">
        <v>1670</v>
      </c>
      <c r="D3517" t="s">
        <v>22</v>
      </c>
      <c r="E3517" t="s">
        <v>36</v>
      </c>
      <c r="F3517" t="s">
        <v>34</v>
      </c>
      <c r="G3517">
        <v>4</v>
      </c>
      <c r="H3517">
        <v>12372</v>
      </c>
      <c r="I3517" t="s">
        <v>25</v>
      </c>
      <c r="J3517" t="s">
        <v>19</v>
      </c>
      <c r="K3517" t="s">
        <v>40</v>
      </c>
      <c r="L3517">
        <v>3</v>
      </c>
      <c r="M3517">
        <v>1</v>
      </c>
      <c r="N3517">
        <v>0</v>
      </c>
      <c r="O3517" t="s">
        <v>27</v>
      </c>
      <c r="P3517" t="str">
        <f>TEXT(Table1[[#This Row],[order_date]],"yyyy-mm")</f>
        <v>2025-08</v>
      </c>
      <c r="Q3517">
        <f>WEEKNUM(Table1[[#This Row],[order_date]])</f>
        <v>32</v>
      </c>
      <c r="R3517">
        <f>IF(Table1[[#This Row],[order_status]]="completed",1,0)</f>
        <v>1</v>
      </c>
    </row>
    <row r="3518" spans="1:18" x14ac:dyDescent="0.35">
      <c r="A3518">
        <v>3517</v>
      </c>
      <c r="B3518" s="1">
        <v>45970</v>
      </c>
      <c r="C3518">
        <v>1795</v>
      </c>
      <c r="D3518" t="s">
        <v>28</v>
      </c>
      <c r="E3518" t="s">
        <v>23</v>
      </c>
      <c r="F3518" t="s">
        <v>34</v>
      </c>
      <c r="G3518">
        <v>2</v>
      </c>
      <c r="H3518">
        <v>0</v>
      </c>
      <c r="I3518" t="s">
        <v>25</v>
      </c>
      <c r="J3518" t="s">
        <v>37</v>
      </c>
      <c r="K3518" t="s">
        <v>20</v>
      </c>
      <c r="L3518">
        <v>7</v>
      </c>
      <c r="M3518">
        <v>0</v>
      </c>
      <c r="N3518">
        <v>0</v>
      </c>
      <c r="O3518" t="s">
        <v>21</v>
      </c>
      <c r="P3518" t="str">
        <f>TEXT(Table1[[#This Row],[order_date]],"yyyy-mm")</f>
        <v>2025-11</v>
      </c>
      <c r="Q3518">
        <f>WEEKNUM(Table1[[#This Row],[order_date]])</f>
        <v>46</v>
      </c>
      <c r="R3518">
        <f>IF(Table1[[#This Row],[order_status]]="completed",1,0)</f>
        <v>0</v>
      </c>
    </row>
    <row r="3519" spans="1:18" x14ac:dyDescent="0.35">
      <c r="A3519">
        <v>3518</v>
      </c>
      <c r="B3519" s="1">
        <v>45931</v>
      </c>
      <c r="C3519">
        <v>1123</v>
      </c>
      <c r="D3519" t="s">
        <v>32</v>
      </c>
      <c r="E3519" t="s">
        <v>33</v>
      </c>
      <c r="F3519" t="s">
        <v>17</v>
      </c>
      <c r="G3519">
        <v>2</v>
      </c>
      <c r="H3519">
        <v>0</v>
      </c>
      <c r="I3519" t="s">
        <v>35</v>
      </c>
      <c r="J3519" t="s">
        <v>31</v>
      </c>
      <c r="K3519" t="s">
        <v>20</v>
      </c>
      <c r="L3519">
        <v>8</v>
      </c>
      <c r="M3519">
        <v>0</v>
      </c>
      <c r="N3519">
        <v>0</v>
      </c>
      <c r="O3519" t="s">
        <v>21</v>
      </c>
      <c r="P3519" t="str">
        <f>TEXT(Table1[[#This Row],[order_date]],"yyyy-mm")</f>
        <v>2025-10</v>
      </c>
      <c r="Q3519">
        <f>WEEKNUM(Table1[[#This Row],[order_date]])</f>
        <v>40</v>
      </c>
      <c r="R3519">
        <f>IF(Table1[[#This Row],[order_status]]="completed",1,0)</f>
        <v>0</v>
      </c>
    </row>
    <row r="3520" spans="1:18" x14ac:dyDescent="0.35">
      <c r="A3520">
        <v>3519</v>
      </c>
      <c r="B3520" s="1">
        <v>46008</v>
      </c>
      <c r="C3520">
        <v>1700</v>
      </c>
      <c r="D3520" t="s">
        <v>28</v>
      </c>
      <c r="E3520" t="s">
        <v>36</v>
      </c>
      <c r="F3520" t="s">
        <v>30</v>
      </c>
      <c r="G3520">
        <v>2</v>
      </c>
      <c r="H3520">
        <v>0</v>
      </c>
      <c r="I3520" t="s">
        <v>18</v>
      </c>
      <c r="J3520" t="s">
        <v>31</v>
      </c>
      <c r="K3520" t="s">
        <v>26</v>
      </c>
      <c r="L3520">
        <v>10</v>
      </c>
      <c r="M3520">
        <v>1</v>
      </c>
      <c r="N3520">
        <v>0</v>
      </c>
      <c r="O3520" t="s">
        <v>27</v>
      </c>
      <c r="P3520" t="str">
        <f>TEXT(Table1[[#This Row],[order_date]],"yyyy-mm")</f>
        <v>2025-12</v>
      </c>
      <c r="Q3520">
        <f>WEEKNUM(Table1[[#This Row],[order_date]])</f>
        <v>51</v>
      </c>
      <c r="R3520">
        <f>IF(Table1[[#This Row],[order_status]]="completed",1,0)</f>
        <v>0</v>
      </c>
    </row>
    <row r="3521" spans="1:18" x14ac:dyDescent="0.35">
      <c r="A3521">
        <v>3520</v>
      </c>
      <c r="B3521" s="1">
        <v>45984</v>
      </c>
      <c r="C3521">
        <v>1127</v>
      </c>
      <c r="D3521" t="s">
        <v>22</v>
      </c>
      <c r="E3521" t="s">
        <v>23</v>
      </c>
      <c r="F3521" t="s">
        <v>17</v>
      </c>
      <c r="G3521">
        <v>1</v>
      </c>
      <c r="H3521">
        <v>1819</v>
      </c>
      <c r="I3521" t="s">
        <v>35</v>
      </c>
      <c r="J3521" t="s">
        <v>19</v>
      </c>
      <c r="K3521" t="s">
        <v>40</v>
      </c>
      <c r="L3521">
        <v>10</v>
      </c>
      <c r="M3521">
        <v>1</v>
      </c>
      <c r="N3521">
        <v>0</v>
      </c>
      <c r="O3521" t="s">
        <v>27</v>
      </c>
      <c r="P3521" t="str">
        <f>TEXT(Table1[[#This Row],[order_date]],"yyyy-mm")</f>
        <v>2025-11</v>
      </c>
      <c r="Q3521">
        <f>WEEKNUM(Table1[[#This Row],[order_date]])</f>
        <v>48</v>
      </c>
      <c r="R3521">
        <f>IF(Table1[[#This Row],[order_status]]="completed",1,0)</f>
        <v>1</v>
      </c>
    </row>
    <row r="3522" spans="1:18" x14ac:dyDescent="0.35">
      <c r="A3522">
        <v>3521</v>
      </c>
      <c r="B3522" s="1">
        <v>46028</v>
      </c>
      <c r="C3522">
        <v>1502</v>
      </c>
      <c r="D3522" t="s">
        <v>22</v>
      </c>
      <c r="E3522" t="s">
        <v>16</v>
      </c>
      <c r="F3522" t="s">
        <v>24</v>
      </c>
      <c r="G3522">
        <v>1</v>
      </c>
      <c r="H3522">
        <v>0</v>
      </c>
      <c r="I3522" t="s">
        <v>25</v>
      </c>
      <c r="J3522" t="s">
        <v>37</v>
      </c>
      <c r="K3522" t="s">
        <v>38</v>
      </c>
      <c r="L3522">
        <v>1</v>
      </c>
      <c r="M3522">
        <v>0</v>
      </c>
      <c r="N3522">
        <v>0</v>
      </c>
      <c r="O3522" t="s">
        <v>27</v>
      </c>
      <c r="P3522" t="str">
        <f>TEXT(Table1[[#This Row],[order_date]],"yyyy-mm")</f>
        <v>2026-01</v>
      </c>
      <c r="Q3522">
        <f>WEEKNUM(Table1[[#This Row],[order_date]])</f>
        <v>2</v>
      </c>
      <c r="R3522">
        <f>IF(Table1[[#This Row],[order_status]]="completed",1,0)</f>
        <v>0</v>
      </c>
    </row>
    <row r="3523" spans="1:18" x14ac:dyDescent="0.35">
      <c r="A3523">
        <v>3522</v>
      </c>
      <c r="B3523" s="1">
        <v>45986</v>
      </c>
      <c r="C3523">
        <v>1344</v>
      </c>
      <c r="D3523" t="s">
        <v>32</v>
      </c>
      <c r="E3523" t="s">
        <v>23</v>
      </c>
      <c r="F3523" t="s">
        <v>34</v>
      </c>
      <c r="G3523">
        <v>3</v>
      </c>
      <c r="H3523">
        <v>0</v>
      </c>
      <c r="I3523" t="s">
        <v>25</v>
      </c>
      <c r="J3523" t="s">
        <v>31</v>
      </c>
      <c r="K3523" t="s">
        <v>38</v>
      </c>
      <c r="L3523">
        <v>10</v>
      </c>
      <c r="M3523">
        <v>1</v>
      </c>
      <c r="N3523">
        <v>0</v>
      </c>
      <c r="O3523" t="s">
        <v>27</v>
      </c>
      <c r="P3523" t="str">
        <f>TEXT(Table1[[#This Row],[order_date]],"yyyy-mm")</f>
        <v>2025-11</v>
      </c>
      <c r="Q3523">
        <f>WEEKNUM(Table1[[#This Row],[order_date]])</f>
        <v>48</v>
      </c>
      <c r="R3523">
        <f>IF(Table1[[#This Row],[order_status]]="completed",1,0)</f>
        <v>0</v>
      </c>
    </row>
    <row r="3524" spans="1:18" x14ac:dyDescent="0.35">
      <c r="A3524">
        <v>3523</v>
      </c>
      <c r="B3524" s="1">
        <v>45889</v>
      </c>
      <c r="C3524">
        <v>1063</v>
      </c>
      <c r="D3524" t="s">
        <v>32</v>
      </c>
      <c r="E3524" t="s">
        <v>23</v>
      </c>
      <c r="F3524" t="s">
        <v>17</v>
      </c>
      <c r="G3524">
        <v>3</v>
      </c>
      <c r="H3524">
        <v>0</v>
      </c>
      <c r="I3524" t="s">
        <v>18</v>
      </c>
      <c r="J3524" t="s">
        <v>37</v>
      </c>
      <c r="K3524" t="s">
        <v>26</v>
      </c>
      <c r="L3524">
        <v>6</v>
      </c>
      <c r="M3524">
        <v>1</v>
      </c>
      <c r="N3524">
        <v>0</v>
      </c>
      <c r="O3524" t="s">
        <v>21</v>
      </c>
      <c r="P3524" t="str">
        <f>TEXT(Table1[[#This Row],[order_date]],"yyyy-mm")</f>
        <v>2025-08</v>
      </c>
      <c r="Q3524">
        <f>WEEKNUM(Table1[[#This Row],[order_date]])</f>
        <v>34</v>
      </c>
      <c r="R3524">
        <f>IF(Table1[[#This Row],[order_status]]="completed",1,0)</f>
        <v>0</v>
      </c>
    </row>
    <row r="3525" spans="1:18" x14ac:dyDescent="0.35">
      <c r="A3525">
        <v>3524</v>
      </c>
      <c r="B3525" s="1">
        <v>45983</v>
      </c>
      <c r="C3525">
        <v>1589</v>
      </c>
      <c r="D3525" t="s">
        <v>22</v>
      </c>
      <c r="E3525" t="s">
        <v>23</v>
      </c>
      <c r="F3525" t="s">
        <v>17</v>
      </c>
      <c r="G3525">
        <v>1</v>
      </c>
      <c r="H3525">
        <v>0</v>
      </c>
      <c r="I3525" t="s">
        <v>25</v>
      </c>
      <c r="J3525" t="s">
        <v>37</v>
      </c>
      <c r="K3525" t="s">
        <v>20</v>
      </c>
      <c r="L3525">
        <v>5</v>
      </c>
      <c r="M3525">
        <v>0</v>
      </c>
      <c r="N3525">
        <v>0</v>
      </c>
      <c r="O3525" t="s">
        <v>27</v>
      </c>
      <c r="P3525" t="str">
        <f>TEXT(Table1[[#This Row],[order_date]],"yyyy-mm")</f>
        <v>2025-11</v>
      </c>
      <c r="Q3525">
        <f>WEEKNUM(Table1[[#This Row],[order_date]])</f>
        <v>47</v>
      </c>
      <c r="R3525">
        <f>IF(Table1[[#This Row],[order_status]]="completed",1,0)</f>
        <v>0</v>
      </c>
    </row>
    <row r="3526" spans="1:18" x14ac:dyDescent="0.35">
      <c r="A3526">
        <v>3525</v>
      </c>
      <c r="B3526" s="1">
        <v>45929</v>
      </c>
      <c r="C3526">
        <v>1918</v>
      </c>
      <c r="D3526" t="s">
        <v>22</v>
      </c>
      <c r="E3526" t="s">
        <v>29</v>
      </c>
      <c r="F3526" t="s">
        <v>34</v>
      </c>
      <c r="G3526">
        <v>1</v>
      </c>
      <c r="H3526">
        <v>0</v>
      </c>
      <c r="I3526" t="s">
        <v>35</v>
      </c>
      <c r="J3526" t="s">
        <v>31</v>
      </c>
      <c r="K3526" t="s">
        <v>20</v>
      </c>
      <c r="L3526">
        <v>6</v>
      </c>
      <c r="M3526">
        <v>0</v>
      </c>
      <c r="N3526">
        <v>0</v>
      </c>
      <c r="O3526" t="s">
        <v>27</v>
      </c>
      <c r="P3526" t="str">
        <f>TEXT(Table1[[#This Row],[order_date]],"yyyy-mm")</f>
        <v>2025-09</v>
      </c>
      <c r="Q3526">
        <f>WEEKNUM(Table1[[#This Row],[order_date]])</f>
        <v>40</v>
      </c>
      <c r="R3526">
        <f>IF(Table1[[#This Row],[order_status]]="completed",1,0)</f>
        <v>0</v>
      </c>
    </row>
    <row r="3527" spans="1:18" x14ac:dyDescent="0.35">
      <c r="A3527">
        <v>3526</v>
      </c>
      <c r="B3527" s="1">
        <v>45980</v>
      </c>
      <c r="C3527">
        <v>1865</v>
      </c>
      <c r="D3527" t="s">
        <v>22</v>
      </c>
      <c r="E3527" t="s">
        <v>36</v>
      </c>
      <c r="F3527" t="s">
        <v>17</v>
      </c>
      <c r="G3527">
        <v>3</v>
      </c>
      <c r="H3527">
        <v>0</v>
      </c>
      <c r="I3527" t="s">
        <v>25</v>
      </c>
      <c r="J3527" t="s">
        <v>31</v>
      </c>
      <c r="K3527" t="s">
        <v>26</v>
      </c>
      <c r="L3527">
        <v>10</v>
      </c>
      <c r="M3527">
        <v>1</v>
      </c>
      <c r="N3527">
        <v>1</v>
      </c>
      <c r="O3527" t="s">
        <v>27</v>
      </c>
      <c r="P3527" t="str">
        <f>TEXT(Table1[[#This Row],[order_date]],"yyyy-mm")</f>
        <v>2025-11</v>
      </c>
      <c r="Q3527">
        <f>WEEKNUM(Table1[[#This Row],[order_date]])</f>
        <v>47</v>
      </c>
      <c r="R3527">
        <f>IF(Table1[[#This Row],[order_status]]="completed",1,0)</f>
        <v>0</v>
      </c>
    </row>
    <row r="3528" spans="1:18" x14ac:dyDescent="0.35">
      <c r="A3528">
        <v>3527</v>
      </c>
      <c r="B3528" s="1">
        <v>46017</v>
      </c>
      <c r="C3528">
        <v>1395</v>
      </c>
      <c r="D3528" t="s">
        <v>32</v>
      </c>
      <c r="E3528" t="s">
        <v>29</v>
      </c>
      <c r="F3528" t="s">
        <v>17</v>
      </c>
      <c r="G3528">
        <v>5</v>
      </c>
      <c r="H3528">
        <v>7150</v>
      </c>
      <c r="I3528" t="s">
        <v>25</v>
      </c>
      <c r="J3528" t="s">
        <v>19</v>
      </c>
      <c r="K3528" t="s">
        <v>38</v>
      </c>
      <c r="L3528">
        <v>7</v>
      </c>
      <c r="M3528">
        <v>1</v>
      </c>
      <c r="N3528">
        <v>0</v>
      </c>
      <c r="O3528" t="s">
        <v>27</v>
      </c>
      <c r="P3528" t="str">
        <f>TEXT(Table1[[#This Row],[order_date]],"yyyy-mm")</f>
        <v>2025-12</v>
      </c>
      <c r="Q3528">
        <f>WEEKNUM(Table1[[#This Row],[order_date]])</f>
        <v>52</v>
      </c>
      <c r="R3528">
        <f>IF(Table1[[#This Row],[order_status]]="completed",1,0)</f>
        <v>1</v>
      </c>
    </row>
    <row r="3529" spans="1:18" x14ac:dyDescent="0.35">
      <c r="A3529">
        <v>3528</v>
      </c>
      <c r="B3529" s="1">
        <v>45858</v>
      </c>
      <c r="C3529">
        <v>1904</v>
      </c>
      <c r="D3529" t="s">
        <v>41</v>
      </c>
      <c r="E3529" t="s">
        <v>16</v>
      </c>
      <c r="F3529" t="s">
        <v>34</v>
      </c>
      <c r="G3529">
        <v>3</v>
      </c>
      <c r="H3529">
        <v>0</v>
      </c>
      <c r="I3529" t="s">
        <v>25</v>
      </c>
      <c r="J3529" t="s">
        <v>37</v>
      </c>
      <c r="K3529" t="s">
        <v>40</v>
      </c>
      <c r="L3529">
        <v>6</v>
      </c>
      <c r="M3529">
        <v>1</v>
      </c>
      <c r="N3529">
        <v>1</v>
      </c>
      <c r="O3529" t="s">
        <v>21</v>
      </c>
      <c r="P3529" t="str">
        <f>TEXT(Table1[[#This Row],[order_date]],"yyyy-mm")</f>
        <v>2025-07</v>
      </c>
      <c r="Q3529">
        <f>WEEKNUM(Table1[[#This Row],[order_date]])</f>
        <v>30</v>
      </c>
      <c r="R3529">
        <f>IF(Table1[[#This Row],[order_status]]="completed",1,0)</f>
        <v>0</v>
      </c>
    </row>
    <row r="3530" spans="1:18" x14ac:dyDescent="0.35">
      <c r="A3530">
        <v>3529</v>
      </c>
      <c r="B3530" s="1">
        <v>46008</v>
      </c>
      <c r="C3530">
        <v>1582</v>
      </c>
      <c r="D3530" t="s">
        <v>22</v>
      </c>
      <c r="E3530" t="s">
        <v>33</v>
      </c>
      <c r="F3530" t="s">
        <v>24</v>
      </c>
      <c r="G3530">
        <v>5</v>
      </c>
      <c r="H3530">
        <v>0</v>
      </c>
      <c r="I3530" t="s">
        <v>18</v>
      </c>
      <c r="J3530" t="s">
        <v>31</v>
      </c>
      <c r="K3530" t="s">
        <v>38</v>
      </c>
      <c r="L3530">
        <v>9</v>
      </c>
      <c r="M3530">
        <v>1</v>
      </c>
      <c r="N3530">
        <v>1</v>
      </c>
      <c r="O3530" t="s">
        <v>27</v>
      </c>
      <c r="P3530" t="str">
        <f>TEXT(Table1[[#This Row],[order_date]],"yyyy-mm")</f>
        <v>2025-12</v>
      </c>
      <c r="Q3530">
        <f>WEEKNUM(Table1[[#This Row],[order_date]])</f>
        <v>51</v>
      </c>
      <c r="R3530">
        <f>IF(Table1[[#This Row],[order_status]]="completed",1,0)</f>
        <v>0</v>
      </c>
    </row>
    <row r="3531" spans="1:18" x14ac:dyDescent="0.35">
      <c r="A3531">
        <v>3530</v>
      </c>
      <c r="B3531" s="1">
        <v>45882</v>
      </c>
      <c r="C3531">
        <v>1552</v>
      </c>
      <c r="D3531" t="s">
        <v>22</v>
      </c>
      <c r="E3531" t="s">
        <v>29</v>
      </c>
      <c r="F3531" t="s">
        <v>34</v>
      </c>
      <c r="G3531">
        <v>1</v>
      </c>
      <c r="H3531">
        <v>4672</v>
      </c>
      <c r="I3531" t="s">
        <v>35</v>
      </c>
      <c r="J3531" t="s">
        <v>19</v>
      </c>
      <c r="K3531" t="s">
        <v>20</v>
      </c>
      <c r="L3531">
        <v>9</v>
      </c>
      <c r="M3531">
        <v>1</v>
      </c>
      <c r="N3531">
        <v>1</v>
      </c>
      <c r="O3531" t="s">
        <v>27</v>
      </c>
      <c r="P3531" t="str">
        <f>TEXT(Table1[[#This Row],[order_date]],"yyyy-mm")</f>
        <v>2025-08</v>
      </c>
      <c r="Q3531">
        <f>WEEKNUM(Table1[[#This Row],[order_date]])</f>
        <v>33</v>
      </c>
      <c r="R3531">
        <f>IF(Table1[[#This Row],[order_status]]="completed",1,0)</f>
        <v>1</v>
      </c>
    </row>
    <row r="3532" spans="1:18" x14ac:dyDescent="0.35">
      <c r="A3532">
        <v>3531</v>
      </c>
      <c r="B3532" s="1">
        <v>45908</v>
      </c>
      <c r="C3532">
        <v>1047</v>
      </c>
      <c r="D3532" t="s">
        <v>22</v>
      </c>
      <c r="E3532" t="s">
        <v>23</v>
      </c>
      <c r="F3532" t="s">
        <v>24</v>
      </c>
      <c r="G3532">
        <v>4</v>
      </c>
      <c r="H3532">
        <v>0</v>
      </c>
      <c r="I3532" t="s">
        <v>35</v>
      </c>
      <c r="J3532" t="s">
        <v>37</v>
      </c>
      <c r="K3532" t="s">
        <v>38</v>
      </c>
      <c r="L3532">
        <v>8</v>
      </c>
      <c r="M3532">
        <v>0</v>
      </c>
      <c r="N3532">
        <v>1</v>
      </c>
      <c r="O3532" t="s">
        <v>21</v>
      </c>
      <c r="P3532" t="str">
        <f>TEXT(Table1[[#This Row],[order_date]],"yyyy-mm")</f>
        <v>2025-09</v>
      </c>
      <c r="Q3532">
        <f>WEEKNUM(Table1[[#This Row],[order_date]])</f>
        <v>37</v>
      </c>
      <c r="R3532">
        <f>IF(Table1[[#This Row],[order_status]]="completed",1,0)</f>
        <v>0</v>
      </c>
    </row>
    <row r="3533" spans="1:18" x14ac:dyDescent="0.35">
      <c r="A3533">
        <v>3532</v>
      </c>
      <c r="B3533" s="1">
        <v>45963</v>
      </c>
      <c r="C3533">
        <v>1869</v>
      </c>
      <c r="D3533" t="s">
        <v>28</v>
      </c>
      <c r="E3533" t="s">
        <v>16</v>
      </c>
      <c r="F3533" t="s">
        <v>34</v>
      </c>
      <c r="G3533">
        <v>1</v>
      </c>
      <c r="H3533">
        <v>0</v>
      </c>
      <c r="I3533" t="s">
        <v>35</v>
      </c>
      <c r="J3533" t="s">
        <v>31</v>
      </c>
      <c r="K3533" t="s">
        <v>20</v>
      </c>
      <c r="L3533">
        <v>10</v>
      </c>
      <c r="M3533">
        <v>0</v>
      </c>
      <c r="N3533">
        <v>0</v>
      </c>
      <c r="O3533" t="s">
        <v>21</v>
      </c>
      <c r="P3533" t="str">
        <f>TEXT(Table1[[#This Row],[order_date]],"yyyy-mm")</f>
        <v>2025-11</v>
      </c>
      <c r="Q3533">
        <f>WEEKNUM(Table1[[#This Row],[order_date]])</f>
        <v>45</v>
      </c>
      <c r="R3533">
        <f>IF(Table1[[#This Row],[order_status]]="completed",1,0)</f>
        <v>0</v>
      </c>
    </row>
    <row r="3534" spans="1:18" x14ac:dyDescent="0.35">
      <c r="A3534">
        <v>3533</v>
      </c>
      <c r="B3534" s="1">
        <v>45926</v>
      </c>
      <c r="C3534">
        <v>1693</v>
      </c>
      <c r="D3534" t="s">
        <v>32</v>
      </c>
      <c r="E3534" t="s">
        <v>33</v>
      </c>
      <c r="F3534" t="s">
        <v>17</v>
      </c>
      <c r="G3534">
        <v>2</v>
      </c>
      <c r="H3534">
        <v>650</v>
      </c>
      <c r="I3534" t="s">
        <v>25</v>
      </c>
      <c r="J3534" t="s">
        <v>19</v>
      </c>
      <c r="K3534" t="s">
        <v>40</v>
      </c>
      <c r="L3534">
        <v>8</v>
      </c>
      <c r="M3534">
        <v>1</v>
      </c>
      <c r="N3534">
        <v>0</v>
      </c>
      <c r="O3534" t="s">
        <v>21</v>
      </c>
      <c r="P3534" t="str">
        <f>TEXT(Table1[[#This Row],[order_date]],"yyyy-mm")</f>
        <v>2025-09</v>
      </c>
      <c r="Q3534">
        <f>WEEKNUM(Table1[[#This Row],[order_date]])</f>
        <v>39</v>
      </c>
      <c r="R3534">
        <f>IF(Table1[[#This Row],[order_status]]="completed",1,0)</f>
        <v>1</v>
      </c>
    </row>
    <row r="3535" spans="1:18" x14ac:dyDescent="0.35">
      <c r="A3535">
        <v>3534</v>
      </c>
      <c r="B3535" s="1">
        <v>45956</v>
      </c>
      <c r="C3535">
        <v>1589</v>
      </c>
      <c r="D3535" t="s">
        <v>32</v>
      </c>
      <c r="E3535" t="s">
        <v>36</v>
      </c>
      <c r="F3535" t="s">
        <v>17</v>
      </c>
      <c r="G3535">
        <v>3</v>
      </c>
      <c r="H3535">
        <v>7179</v>
      </c>
      <c r="I3535" t="s">
        <v>39</v>
      </c>
      <c r="J3535" t="s">
        <v>19</v>
      </c>
      <c r="K3535" t="s">
        <v>26</v>
      </c>
      <c r="L3535">
        <v>9</v>
      </c>
      <c r="M3535">
        <v>1</v>
      </c>
      <c r="N3535">
        <v>0</v>
      </c>
      <c r="O3535" t="s">
        <v>21</v>
      </c>
      <c r="P3535" t="str">
        <f>TEXT(Table1[[#This Row],[order_date]],"yyyy-mm")</f>
        <v>2025-10</v>
      </c>
      <c r="Q3535">
        <f>WEEKNUM(Table1[[#This Row],[order_date]])</f>
        <v>44</v>
      </c>
      <c r="R3535">
        <f>IF(Table1[[#This Row],[order_status]]="completed",1,0)</f>
        <v>1</v>
      </c>
    </row>
    <row r="3536" spans="1:18" x14ac:dyDescent="0.35">
      <c r="A3536">
        <v>3535</v>
      </c>
      <c r="B3536" s="1">
        <v>45875</v>
      </c>
      <c r="C3536">
        <v>1762</v>
      </c>
      <c r="D3536" t="s">
        <v>28</v>
      </c>
      <c r="E3536" t="s">
        <v>23</v>
      </c>
      <c r="F3536" t="s">
        <v>30</v>
      </c>
      <c r="G3536">
        <v>1</v>
      </c>
      <c r="H3536">
        <v>0</v>
      </c>
      <c r="I3536" t="s">
        <v>35</v>
      </c>
      <c r="J3536" t="s">
        <v>37</v>
      </c>
      <c r="K3536" t="s">
        <v>20</v>
      </c>
      <c r="L3536">
        <v>6</v>
      </c>
      <c r="M3536">
        <v>0</v>
      </c>
      <c r="N3536">
        <v>0</v>
      </c>
      <c r="O3536" t="s">
        <v>27</v>
      </c>
      <c r="P3536" t="str">
        <f>TEXT(Table1[[#This Row],[order_date]],"yyyy-mm")</f>
        <v>2025-08</v>
      </c>
      <c r="Q3536">
        <f>WEEKNUM(Table1[[#This Row],[order_date]])</f>
        <v>32</v>
      </c>
      <c r="R3536">
        <f>IF(Table1[[#This Row],[order_status]]="completed",1,0)</f>
        <v>0</v>
      </c>
    </row>
    <row r="3537" spans="1:18" x14ac:dyDescent="0.35">
      <c r="A3537">
        <v>3536</v>
      </c>
      <c r="B3537" s="1">
        <v>45907</v>
      </c>
      <c r="C3537">
        <v>1535</v>
      </c>
      <c r="D3537" t="s">
        <v>41</v>
      </c>
      <c r="E3537" t="s">
        <v>23</v>
      </c>
      <c r="F3537" t="s">
        <v>24</v>
      </c>
      <c r="G3537">
        <v>4</v>
      </c>
      <c r="H3537">
        <v>0</v>
      </c>
      <c r="I3537" t="s">
        <v>39</v>
      </c>
      <c r="J3537" t="s">
        <v>31</v>
      </c>
      <c r="K3537" t="s">
        <v>38</v>
      </c>
      <c r="L3537">
        <v>4</v>
      </c>
      <c r="M3537">
        <v>1</v>
      </c>
      <c r="N3537">
        <v>0</v>
      </c>
      <c r="O3537" t="s">
        <v>27</v>
      </c>
      <c r="P3537" t="str">
        <f>TEXT(Table1[[#This Row],[order_date]],"yyyy-mm")</f>
        <v>2025-09</v>
      </c>
      <c r="Q3537">
        <f>WEEKNUM(Table1[[#This Row],[order_date]])</f>
        <v>37</v>
      </c>
      <c r="R3537">
        <f>IF(Table1[[#This Row],[order_status]]="completed",1,0)</f>
        <v>0</v>
      </c>
    </row>
    <row r="3538" spans="1:18" x14ac:dyDescent="0.35">
      <c r="A3538">
        <v>3537</v>
      </c>
      <c r="B3538" s="1">
        <v>45886</v>
      </c>
      <c r="C3538">
        <v>1963</v>
      </c>
      <c r="D3538" t="s">
        <v>28</v>
      </c>
      <c r="E3538" t="s">
        <v>23</v>
      </c>
      <c r="F3538" t="s">
        <v>24</v>
      </c>
      <c r="G3538">
        <v>1</v>
      </c>
      <c r="H3538">
        <v>0</v>
      </c>
      <c r="I3538" t="s">
        <v>39</v>
      </c>
      <c r="J3538" t="s">
        <v>31</v>
      </c>
      <c r="K3538" t="s">
        <v>40</v>
      </c>
      <c r="L3538">
        <v>10</v>
      </c>
      <c r="M3538">
        <v>0</v>
      </c>
      <c r="N3538">
        <v>1</v>
      </c>
      <c r="O3538" t="s">
        <v>21</v>
      </c>
      <c r="P3538" t="str">
        <f>TEXT(Table1[[#This Row],[order_date]],"yyyy-mm")</f>
        <v>2025-08</v>
      </c>
      <c r="Q3538">
        <f>WEEKNUM(Table1[[#This Row],[order_date]])</f>
        <v>34</v>
      </c>
      <c r="R3538">
        <f>IF(Table1[[#This Row],[order_status]]="completed",1,0)</f>
        <v>0</v>
      </c>
    </row>
    <row r="3539" spans="1:18" x14ac:dyDescent="0.35">
      <c r="A3539">
        <v>3538</v>
      </c>
      <c r="B3539" s="1">
        <v>46013</v>
      </c>
      <c r="C3539">
        <v>1004</v>
      </c>
      <c r="D3539" t="s">
        <v>22</v>
      </c>
      <c r="E3539" t="s">
        <v>23</v>
      </c>
      <c r="F3539" t="s">
        <v>17</v>
      </c>
      <c r="G3539">
        <v>3</v>
      </c>
      <c r="H3539">
        <v>0</v>
      </c>
      <c r="I3539" t="s">
        <v>35</v>
      </c>
      <c r="J3539" t="s">
        <v>31</v>
      </c>
      <c r="K3539" t="s">
        <v>38</v>
      </c>
      <c r="L3539">
        <v>7</v>
      </c>
      <c r="M3539">
        <v>1</v>
      </c>
      <c r="N3539">
        <v>0</v>
      </c>
      <c r="O3539" t="s">
        <v>21</v>
      </c>
      <c r="P3539" t="str">
        <f>TEXT(Table1[[#This Row],[order_date]],"yyyy-mm")</f>
        <v>2025-12</v>
      </c>
      <c r="Q3539">
        <f>WEEKNUM(Table1[[#This Row],[order_date]])</f>
        <v>52</v>
      </c>
      <c r="R3539">
        <f>IF(Table1[[#This Row],[order_status]]="completed",1,0)</f>
        <v>0</v>
      </c>
    </row>
    <row r="3540" spans="1:18" x14ac:dyDescent="0.35">
      <c r="A3540">
        <v>3539</v>
      </c>
      <c r="B3540" s="1">
        <v>45909</v>
      </c>
      <c r="C3540">
        <v>1480</v>
      </c>
      <c r="D3540" t="s">
        <v>41</v>
      </c>
      <c r="E3540" t="s">
        <v>23</v>
      </c>
      <c r="F3540" t="s">
        <v>17</v>
      </c>
      <c r="G3540">
        <v>4</v>
      </c>
      <c r="H3540">
        <v>19224</v>
      </c>
      <c r="I3540" t="s">
        <v>25</v>
      </c>
      <c r="J3540" t="s">
        <v>19</v>
      </c>
      <c r="K3540" t="s">
        <v>20</v>
      </c>
      <c r="L3540">
        <v>8</v>
      </c>
      <c r="M3540">
        <v>0</v>
      </c>
      <c r="N3540">
        <v>1</v>
      </c>
      <c r="O3540" t="s">
        <v>27</v>
      </c>
      <c r="P3540" t="str">
        <f>TEXT(Table1[[#This Row],[order_date]],"yyyy-mm")</f>
        <v>2025-09</v>
      </c>
      <c r="Q3540">
        <f>WEEKNUM(Table1[[#This Row],[order_date]])</f>
        <v>37</v>
      </c>
      <c r="R3540">
        <f>IF(Table1[[#This Row],[order_status]]="completed",1,0)</f>
        <v>1</v>
      </c>
    </row>
    <row r="3541" spans="1:18" x14ac:dyDescent="0.35">
      <c r="A3541">
        <v>3540</v>
      </c>
      <c r="B3541" s="1">
        <v>45996</v>
      </c>
      <c r="C3541">
        <v>1347</v>
      </c>
      <c r="D3541" t="s">
        <v>15</v>
      </c>
      <c r="E3541" t="s">
        <v>16</v>
      </c>
      <c r="F3541" t="s">
        <v>17</v>
      </c>
      <c r="G3541">
        <v>3</v>
      </c>
      <c r="H3541">
        <v>0</v>
      </c>
      <c r="I3541" t="s">
        <v>25</v>
      </c>
      <c r="J3541" t="s">
        <v>37</v>
      </c>
      <c r="K3541" t="s">
        <v>40</v>
      </c>
      <c r="L3541">
        <v>7</v>
      </c>
      <c r="M3541">
        <v>1</v>
      </c>
      <c r="N3541">
        <v>0</v>
      </c>
      <c r="O3541" t="s">
        <v>27</v>
      </c>
      <c r="P3541" t="str">
        <f>TEXT(Table1[[#This Row],[order_date]],"yyyy-mm")</f>
        <v>2025-12</v>
      </c>
      <c r="Q3541">
        <f>WEEKNUM(Table1[[#This Row],[order_date]])</f>
        <v>49</v>
      </c>
      <c r="R3541">
        <f>IF(Table1[[#This Row],[order_status]]="completed",1,0)</f>
        <v>0</v>
      </c>
    </row>
    <row r="3542" spans="1:18" x14ac:dyDescent="0.35">
      <c r="A3542">
        <v>3541</v>
      </c>
      <c r="B3542" s="1">
        <v>45876</v>
      </c>
      <c r="C3542">
        <v>1304</v>
      </c>
      <c r="D3542" t="s">
        <v>28</v>
      </c>
      <c r="E3542" t="s">
        <v>23</v>
      </c>
      <c r="F3542" t="s">
        <v>17</v>
      </c>
      <c r="G3542">
        <v>4</v>
      </c>
      <c r="H3542">
        <v>0</v>
      </c>
      <c r="I3542" t="s">
        <v>18</v>
      </c>
      <c r="J3542" t="s">
        <v>31</v>
      </c>
      <c r="K3542" t="s">
        <v>20</v>
      </c>
      <c r="L3542">
        <v>10</v>
      </c>
      <c r="M3542">
        <v>0</v>
      </c>
      <c r="N3542">
        <v>1</v>
      </c>
      <c r="O3542" t="s">
        <v>21</v>
      </c>
      <c r="P3542" t="str">
        <f>TEXT(Table1[[#This Row],[order_date]],"yyyy-mm")</f>
        <v>2025-08</v>
      </c>
      <c r="Q3542">
        <f>WEEKNUM(Table1[[#This Row],[order_date]])</f>
        <v>32</v>
      </c>
      <c r="R3542">
        <f>IF(Table1[[#This Row],[order_status]]="completed",1,0)</f>
        <v>0</v>
      </c>
    </row>
    <row r="3543" spans="1:18" x14ac:dyDescent="0.35">
      <c r="A3543">
        <v>3542</v>
      </c>
      <c r="B3543" s="1">
        <v>45956</v>
      </c>
      <c r="C3543">
        <v>1181</v>
      </c>
      <c r="D3543" t="s">
        <v>32</v>
      </c>
      <c r="E3543" t="s">
        <v>16</v>
      </c>
      <c r="F3543" t="s">
        <v>34</v>
      </c>
      <c r="G3543">
        <v>4</v>
      </c>
      <c r="H3543">
        <v>0</v>
      </c>
      <c r="I3543" t="s">
        <v>39</v>
      </c>
      <c r="J3543" t="s">
        <v>31</v>
      </c>
      <c r="K3543" t="s">
        <v>26</v>
      </c>
      <c r="L3543">
        <v>7</v>
      </c>
      <c r="M3543">
        <v>1</v>
      </c>
      <c r="N3543">
        <v>1</v>
      </c>
      <c r="O3543" t="s">
        <v>21</v>
      </c>
      <c r="P3543" t="str">
        <f>TEXT(Table1[[#This Row],[order_date]],"yyyy-mm")</f>
        <v>2025-10</v>
      </c>
      <c r="Q3543">
        <f>WEEKNUM(Table1[[#This Row],[order_date]])</f>
        <v>44</v>
      </c>
      <c r="R3543">
        <f>IF(Table1[[#This Row],[order_status]]="completed",1,0)</f>
        <v>0</v>
      </c>
    </row>
    <row r="3544" spans="1:18" x14ac:dyDescent="0.35">
      <c r="A3544">
        <v>3543</v>
      </c>
      <c r="B3544" s="1">
        <v>45990</v>
      </c>
      <c r="C3544">
        <v>1758</v>
      </c>
      <c r="D3544" t="s">
        <v>28</v>
      </c>
      <c r="E3544" t="s">
        <v>33</v>
      </c>
      <c r="F3544" t="s">
        <v>24</v>
      </c>
      <c r="G3544">
        <v>5</v>
      </c>
      <c r="H3544">
        <v>24110</v>
      </c>
      <c r="I3544" t="s">
        <v>18</v>
      </c>
      <c r="J3544" t="s">
        <v>19</v>
      </c>
      <c r="K3544" t="s">
        <v>40</v>
      </c>
      <c r="L3544">
        <v>2</v>
      </c>
      <c r="M3544">
        <v>1</v>
      </c>
      <c r="N3544">
        <v>0</v>
      </c>
      <c r="O3544" t="s">
        <v>21</v>
      </c>
      <c r="P3544" t="str">
        <f>TEXT(Table1[[#This Row],[order_date]],"yyyy-mm")</f>
        <v>2025-11</v>
      </c>
      <c r="Q3544">
        <f>WEEKNUM(Table1[[#This Row],[order_date]])</f>
        <v>48</v>
      </c>
      <c r="R3544">
        <f>IF(Table1[[#This Row],[order_status]]="completed",1,0)</f>
        <v>1</v>
      </c>
    </row>
    <row r="3545" spans="1:18" x14ac:dyDescent="0.35">
      <c r="A3545">
        <v>3544</v>
      </c>
      <c r="B3545" s="1">
        <v>45864</v>
      </c>
      <c r="C3545">
        <v>1022</v>
      </c>
      <c r="D3545" t="s">
        <v>32</v>
      </c>
      <c r="E3545" t="s">
        <v>23</v>
      </c>
      <c r="F3545" t="s">
        <v>34</v>
      </c>
      <c r="G3545">
        <v>5</v>
      </c>
      <c r="H3545">
        <v>0</v>
      </c>
      <c r="I3545" t="s">
        <v>39</v>
      </c>
      <c r="J3545" t="s">
        <v>31</v>
      </c>
      <c r="K3545" t="s">
        <v>26</v>
      </c>
      <c r="L3545">
        <v>10</v>
      </c>
      <c r="M3545">
        <v>1</v>
      </c>
      <c r="N3545">
        <v>1</v>
      </c>
      <c r="O3545" t="s">
        <v>21</v>
      </c>
      <c r="P3545" t="str">
        <f>TEXT(Table1[[#This Row],[order_date]],"yyyy-mm")</f>
        <v>2025-07</v>
      </c>
      <c r="Q3545">
        <f>WEEKNUM(Table1[[#This Row],[order_date]])</f>
        <v>30</v>
      </c>
      <c r="R3545">
        <f>IF(Table1[[#This Row],[order_status]]="completed",1,0)</f>
        <v>0</v>
      </c>
    </row>
    <row r="3546" spans="1:18" x14ac:dyDescent="0.35">
      <c r="A3546">
        <v>3545</v>
      </c>
      <c r="B3546" s="1">
        <v>45921</v>
      </c>
      <c r="C3546">
        <v>1630</v>
      </c>
      <c r="D3546" t="s">
        <v>32</v>
      </c>
      <c r="E3546" t="s">
        <v>29</v>
      </c>
      <c r="F3546" t="s">
        <v>24</v>
      </c>
      <c r="G3546">
        <v>3</v>
      </c>
      <c r="H3546">
        <v>705</v>
      </c>
      <c r="I3546" t="s">
        <v>35</v>
      </c>
      <c r="J3546" t="s">
        <v>19</v>
      </c>
      <c r="K3546" t="s">
        <v>38</v>
      </c>
      <c r="L3546">
        <v>6</v>
      </c>
      <c r="M3546">
        <v>1</v>
      </c>
      <c r="N3546">
        <v>0</v>
      </c>
      <c r="O3546" t="s">
        <v>21</v>
      </c>
      <c r="P3546" t="str">
        <f>TEXT(Table1[[#This Row],[order_date]],"yyyy-mm")</f>
        <v>2025-09</v>
      </c>
      <c r="Q3546">
        <f>WEEKNUM(Table1[[#This Row],[order_date]])</f>
        <v>39</v>
      </c>
      <c r="R3546">
        <f>IF(Table1[[#This Row],[order_status]]="completed",1,0)</f>
        <v>1</v>
      </c>
    </row>
    <row r="3547" spans="1:18" x14ac:dyDescent="0.35">
      <c r="A3547">
        <v>3546</v>
      </c>
      <c r="B3547" s="1">
        <v>45914</v>
      </c>
      <c r="C3547">
        <v>1804</v>
      </c>
      <c r="D3547" t="s">
        <v>41</v>
      </c>
      <c r="E3547" t="s">
        <v>16</v>
      </c>
      <c r="F3547" t="s">
        <v>17</v>
      </c>
      <c r="G3547">
        <v>4</v>
      </c>
      <c r="H3547">
        <v>0</v>
      </c>
      <c r="I3547" t="s">
        <v>25</v>
      </c>
      <c r="J3547" t="s">
        <v>37</v>
      </c>
      <c r="K3547" t="s">
        <v>38</v>
      </c>
      <c r="L3547">
        <v>9</v>
      </c>
      <c r="M3547">
        <v>1</v>
      </c>
      <c r="N3547">
        <v>1</v>
      </c>
      <c r="O3547" t="s">
        <v>21</v>
      </c>
      <c r="P3547" t="str">
        <f>TEXT(Table1[[#This Row],[order_date]],"yyyy-mm")</f>
        <v>2025-09</v>
      </c>
      <c r="Q3547">
        <f>WEEKNUM(Table1[[#This Row],[order_date]])</f>
        <v>38</v>
      </c>
      <c r="R3547">
        <f>IF(Table1[[#This Row],[order_status]]="completed",1,0)</f>
        <v>0</v>
      </c>
    </row>
    <row r="3548" spans="1:18" x14ac:dyDescent="0.35">
      <c r="A3548">
        <v>3547</v>
      </c>
      <c r="B3548" s="1">
        <v>45906</v>
      </c>
      <c r="C3548">
        <v>1821</v>
      </c>
      <c r="D3548" t="s">
        <v>41</v>
      </c>
      <c r="E3548" t="s">
        <v>16</v>
      </c>
      <c r="F3548" t="s">
        <v>24</v>
      </c>
      <c r="G3548">
        <v>2</v>
      </c>
      <c r="H3548">
        <v>0</v>
      </c>
      <c r="I3548" t="s">
        <v>39</v>
      </c>
      <c r="J3548" t="s">
        <v>31</v>
      </c>
      <c r="K3548" t="s">
        <v>38</v>
      </c>
      <c r="L3548">
        <v>7</v>
      </c>
      <c r="M3548">
        <v>0</v>
      </c>
      <c r="N3548">
        <v>1</v>
      </c>
      <c r="O3548" t="s">
        <v>27</v>
      </c>
      <c r="P3548" t="str">
        <f>TEXT(Table1[[#This Row],[order_date]],"yyyy-mm")</f>
        <v>2025-09</v>
      </c>
      <c r="Q3548">
        <f>WEEKNUM(Table1[[#This Row],[order_date]])</f>
        <v>36</v>
      </c>
      <c r="R3548">
        <f>IF(Table1[[#This Row],[order_status]]="completed",1,0)</f>
        <v>0</v>
      </c>
    </row>
    <row r="3549" spans="1:18" x14ac:dyDescent="0.35">
      <c r="A3549">
        <v>3548</v>
      </c>
      <c r="B3549" s="1">
        <v>45921</v>
      </c>
      <c r="C3549">
        <v>1758</v>
      </c>
      <c r="D3549" t="s">
        <v>41</v>
      </c>
      <c r="E3549" t="s">
        <v>33</v>
      </c>
      <c r="F3549" t="s">
        <v>34</v>
      </c>
      <c r="G3549">
        <v>2</v>
      </c>
      <c r="H3549">
        <v>5506</v>
      </c>
      <c r="I3549" t="s">
        <v>35</v>
      </c>
      <c r="J3549" t="s">
        <v>19</v>
      </c>
      <c r="K3549" t="s">
        <v>38</v>
      </c>
      <c r="L3549">
        <v>1</v>
      </c>
      <c r="M3549">
        <v>1</v>
      </c>
      <c r="N3549">
        <v>0</v>
      </c>
      <c r="O3549" t="s">
        <v>21</v>
      </c>
      <c r="P3549" t="str">
        <f>TEXT(Table1[[#This Row],[order_date]],"yyyy-mm")</f>
        <v>2025-09</v>
      </c>
      <c r="Q3549">
        <f>WEEKNUM(Table1[[#This Row],[order_date]])</f>
        <v>39</v>
      </c>
      <c r="R3549">
        <f>IF(Table1[[#This Row],[order_status]]="completed",1,0)</f>
        <v>1</v>
      </c>
    </row>
    <row r="3550" spans="1:18" x14ac:dyDescent="0.35">
      <c r="A3550">
        <v>3549</v>
      </c>
      <c r="B3550" s="1">
        <v>45893</v>
      </c>
      <c r="C3550">
        <v>1392</v>
      </c>
      <c r="D3550" t="s">
        <v>32</v>
      </c>
      <c r="E3550" t="s">
        <v>16</v>
      </c>
      <c r="F3550" t="s">
        <v>17</v>
      </c>
      <c r="G3550">
        <v>1</v>
      </c>
      <c r="H3550">
        <v>0</v>
      </c>
      <c r="I3550" t="s">
        <v>35</v>
      </c>
      <c r="J3550" t="s">
        <v>31</v>
      </c>
      <c r="K3550" t="s">
        <v>38</v>
      </c>
      <c r="L3550">
        <v>10</v>
      </c>
      <c r="M3550">
        <v>1</v>
      </c>
      <c r="N3550">
        <v>0</v>
      </c>
      <c r="O3550" t="s">
        <v>21</v>
      </c>
      <c r="P3550" t="str">
        <f>TEXT(Table1[[#This Row],[order_date]],"yyyy-mm")</f>
        <v>2025-08</v>
      </c>
      <c r="Q3550">
        <f>WEEKNUM(Table1[[#This Row],[order_date]])</f>
        <v>35</v>
      </c>
      <c r="R3550">
        <f>IF(Table1[[#This Row],[order_status]]="completed",1,0)</f>
        <v>0</v>
      </c>
    </row>
    <row r="3551" spans="1:18" x14ac:dyDescent="0.35">
      <c r="A3551">
        <v>3550</v>
      </c>
      <c r="B3551" s="1">
        <v>45954</v>
      </c>
      <c r="C3551">
        <v>1063</v>
      </c>
      <c r="D3551" t="s">
        <v>28</v>
      </c>
      <c r="E3551" t="s">
        <v>36</v>
      </c>
      <c r="F3551" t="s">
        <v>30</v>
      </c>
      <c r="G3551">
        <v>2</v>
      </c>
      <c r="H3551">
        <v>0</v>
      </c>
      <c r="I3551" t="s">
        <v>39</v>
      </c>
      <c r="J3551" t="s">
        <v>31</v>
      </c>
      <c r="K3551" t="s">
        <v>38</v>
      </c>
      <c r="L3551">
        <v>4</v>
      </c>
      <c r="M3551">
        <v>0</v>
      </c>
      <c r="N3551">
        <v>1</v>
      </c>
      <c r="O3551" t="s">
        <v>27</v>
      </c>
      <c r="P3551" t="str">
        <f>TEXT(Table1[[#This Row],[order_date]],"yyyy-mm")</f>
        <v>2025-10</v>
      </c>
      <c r="Q3551">
        <f>WEEKNUM(Table1[[#This Row],[order_date]])</f>
        <v>43</v>
      </c>
      <c r="R3551">
        <f>IF(Table1[[#This Row],[order_status]]="completed",1,0)</f>
        <v>0</v>
      </c>
    </row>
    <row r="3552" spans="1:18" x14ac:dyDescent="0.35">
      <c r="A3552">
        <v>3551</v>
      </c>
      <c r="B3552" s="1">
        <v>45863</v>
      </c>
      <c r="C3552">
        <v>1272</v>
      </c>
      <c r="D3552" t="s">
        <v>22</v>
      </c>
      <c r="E3552" t="s">
        <v>33</v>
      </c>
      <c r="F3552" t="s">
        <v>17</v>
      </c>
      <c r="G3552">
        <v>2</v>
      </c>
      <c r="H3552">
        <v>0</v>
      </c>
      <c r="I3552" t="s">
        <v>39</v>
      </c>
      <c r="J3552" t="s">
        <v>37</v>
      </c>
      <c r="K3552" t="s">
        <v>38</v>
      </c>
      <c r="L3552">
        <v>6</v>
      </c>
      <c r="M3552">
        <v>0</v>
      </c>
      <c r="N3552">
        <v>1</v>
      </c>
      <c r="O3552" t="s">
        <v>21</v>
      </c>
      <c r="P3552" t="str">
        <f>TEXT(Table1[[#This Row],[order_date]],"yyyy-mm")</f>
        <v>2025-07</v>
      </c>
      <c r="Q3552">
        <f>WEEKNUM(Table1[[#This Row],[order_date]])</f>
        <v>30</v>
      </c>
      <c r="R3552">
        <f>IF(Table1[[#This Row],[order_status]]="completed",1,0)</f>
        <v>0</v>
      </c>
    </row>
    <row r="3553" spans="1:18" x14ac:dyDescent="0.35">
      <c r="A3553">
        <v>3552</v>
      </c>
      <c r="B3553" s="1">
        <v>45994</v>
      </c>
      <c r="C3553">
        <v>1956</v>
      </c>
      <c r="D3553" t="s">
        <v>22</v>
      </c>
      <c r="E3553" t="s">
        <v>33</v>
      </c>
      <c r="F3553" t="s">
        <v>34</v>
      </c>
      <c r="G3553">
        <v>5</v>
      </c>
      <c r="H3553">
        <v>19465</v>
      </c>
      <c r="I3553" t="s">
        <v>39</v>
      </c>
      <c r="J3553" t="s">
        <v>19</v>
      </c>
      <c r="K3553" t="s">
        <v>40</v>
      </c>
      <c r="L3553">
        <v>6</v>
      </c>
      <c r="M3553">
        <v>0</v>
      </c>
      <c r="N3553">
        <v>0</v>
      </c>
      <c r="O3553" t="s">
        <v>21</v>
      </c>
      <c r="P3553" t="str">
        <f>TEXT(Table1[[#This Row],[order_date]],"yyyy-mm")</f>
        <v>2025-12</v>
      </c>
      <c r="Q3553">
        <f>WEEKNUM(Table1[[#This Row],[order_date]])</f>
        <v>49</v>
      </c>
      <c r="R3553">
        <f>IF(Table1[[#This Row],[order_status]]="completed",1,0)</f>
        <v>1</v>
      </c>
    </row>
    <row r="3554" spans="1:18" x14ac:dyDescent="0.35">
      <c r="A3554">
        <v>3553</v>
      </c>
      <c r="B3554" s="1">
        <v>45870</v>
      </c>
      <c r="C3554">
        <v>1074</v>
      </c>
      <c r="D3554" t="s">
        <v>28</v>
      </c>
      <c r="E3554" t="s">
        <v>33</v>
      </c>
      <c r="F3554" t="s">
        <v>34</v>
      </c>
      <c r="G3554">
        <v>3</v>
      </c>
      <c r="H3554">
        <v>0</v>
      </c>
      <c r="I3554" t="s">
        <v>39</v>
      </c>
      <c r="J3554" t="s">
        <v>31</v>
      </c>
      <c r="K3554" t="s">
        <v>26</v>
      </c>
      <c r="L3554">
        <v>2</v>
      </c>
      <c r="M3554">
        <v>1</v>
      </c>
      <c r="N3554">
        <v>0</v>
      </c>
      <c r="O3554" t="s">
        <v>27</v>
      </c>
      <c r="P3554" t="str">
        <f>TEXT(Table1[[#This Row],[order_date]],"yyyy-mm")</f>
        <v>2025-08</v>
      </c>
      <c r="Q3554">
        <f>WEEKNUM(Table1[[#This Row],[order_date]])</f>
        <v>31</v>
      </c>
      <c r="R3554">
        <f>IF(Table1[[#This Row],[order_status]]="completed",1,0)</f>
        <v>0</v>
      </c>
    </row>
    <row r="3555" spans="1:18" x14ac:dyDescent="0.35">
      <c r="A3555">
        <v>3554</v>
      </c>
      <c r="B3555" s="1">
        <v>45959</v>
      </c>
      <c r="C3555">
        <v>1545</v>
      </c>
      <c r="D3555" t="s">
        <v>15</v>
      </c>
      <c r="E3555" t="s">
        <v>36</v>
      </c>
      <c r="F3555" t="s">
        <v>30</v>
      </c>
      <c r="G3555">
        <v>2</v>
      </c>
      <c r="H3555">
        <v>0</v>
      </c>
      <c r="I3555" t="s">
        <v>39</v>
      </c>
      <c r="J3555" t="s">
        <v>31</v>
      </c>
      <c r="K3555" t="s">
        <v>20</v>
      </c>
      <c r="L3555">
        <v>5</v>
      </c>
      <c r="M3555">
        <v>1</v>
      </c>
      <c r="N3555">
        <v>0</v>
      </c>
      <c r="O3555" t="s">
        <v>27</v>
      </c>
      <c r="P3555" t="str">
        <f>TEXT(Table1[[#This Row],[order_date]],"yyyy-mm")</f>
        <v>2025-10</v>
      </c>
      <c r="Q3555">
        <f>WEEKNUM(Table1[[#This Row],[order_date]])</f>
        <v>44</v>
      </c>
      <c r="R3555">
        <f>IF(Table1[[#This Row],[order_status]]="completed",1,0)</f>
        <v>0</v>
      </c>
    </row>
    <row r="3556" spans="1:18" x14ac:dyDescent="0.35">
      <c r="A3556">
        <v>3555</v>
      </c>
      <c r="B3556" s="1">
        <v>45870</v>
      </c>
      <c r="C3556">
        <v>1282</v>
      </c>
      <c r="D3556" t="s">
        <v>41</v>
      </c>
      <c r="E3556" t="s">
        <v>23</v>
      </c>
      <c r="F3556" t="s">
        <v>30</v>
      </c>
      <c r="G3556">
        <v>5</v>
      </c>
      <c r="H3556">
        <v>0</v>
      </c>
      <c r="I3556" t="s">
        <v>25</v>
      </c>
      <c r="J3556" t="s">
        <v>31</v>
      </c>
      <c r="K3556" t="s">
        <v>20</v>
      </c>
      <c r="L3556">
        <v>6</v>
      </c>
      <c r="M3556">
        <v>0</v>
      </c>
      <c r="N3556">
        <v>0</v>
      </c>
      <c r="O3556" t="s">
        <v>27</v>
      </c>
      <c r="P3556" t="str">
        <f>TEXT(Table1[[#This Row],[order_date]],"yyyy-mm")</f>
        <v>2025-08</v>
      </c>
      <c r="Q3556">
        <f>WEEKNUM(Table1[[#This Row],[order_date]])</f>
        <v>31</v>
      </c>
      <c r="R3556">
        <f>IF(Table1[[#This Row],[order_status]]="completed",1,0)</f>
        <v>0</v>
      </c>
    </row>
    <row r="3557" spans="1:18" x14ac:dyDescent="0.35">
      <c r="A3557">
        <v>3556</v>
      </c>
      <c r="B3557" s="1">
        <v>45851</v>
      </c>
      <c r="C3557">
        <v>1269</v>
      </c>
      <c r="D3557" t="s">
        <v>22</v>
      </c>
      <c r="E3557" t="s">
        <v>16</v>
      </c>
      <c r="F3557" t="s">
        <v>17</v>
      </c>
      <c r="G3557">
        <v>4</v>
      </c>
      <c r="H3557">
        <v>0</v>
      </c>
      <c r="I3557" t="s">
        <v>18</v>
      </c>
      <c r="J3557" t="s">
        <v>31</v>
      </c>
      <c r="K3557" t="s">
        <v>26</v>
      </c>
      <c r="L3557">
        <v>10</v>
      </c>
      <c r="M3557">
        <v>1</v>
      </c>
      <c r="N3557">
        <v>0</v>
      </c>
      <c r="O3557" t="s">
        <v>21</v>
      </c>
      <c r="P3557" t="str">
        <f>TEXT(Table1[[#This Row],[order_date]],"yyyy-mm")</f>
        <v>2025-07</v>
      </c>
      <c r="Q3557">
        <f>WEEKNUM(Table1[[#This Row],[order_date]])</f>
        <v>29</v>
      </c>
      <c r="R3557">
        <f>IF(Table1[[#This Row],[order_status]]="completed",1,0)</f>
        <v>0</v>
      </c>
    </row>
    <row r="3558" spans="1:18" x14ac:dyDescent="0.35">
      <c r="A3558">
        <v>3557</v>
      </c>
      <c r="B3558" s="1">
        <v>45970</v>
      </c>
      <c r="C3558">
        <v>1813</v>
      </c>
      <c r="D3558" t="s">
        <v>28</v>
      </c>
      <c r="E3558" t="s">
        <v>23</v>
      </c>
      <c r="F3558" t="s">
        <v>17</v>
      </c>
      <c r="G3558">
        <v>3</v>
      </c>
      <c r="H3558">
        <v>3195</v>
      </c>
      <c r="I3558" t="s">
        <v>18</v>
      </c>
      <c r="J3558" t="s">
        <v>19</v>
      </c>
      <c r="K3558" t="s">
        <v>40</v>
      </c>
      <c r="L3558">
        <v>10</v>
      </c>
      <c r="M3558">
        <v>0</v>
      </c>
      <c r="N3558">
        <v>0</v>
      </c>
      <c r="O3558" t="s">
        <v>27</v>
      </c>
      <c r="P3558" t="str">
        <f>TEXT(Table1[[#This Row],[order_date]],"yyyy-mm")</f>
        <v>2025-11</v>
      </c>
      <c r="Q3558">
        <f>WEEKNUM(Table1[[#This Row],[order_date]])</f>
        <v>46</v>
      </c>
      <c r="R3558">
        <f>IF(Table1[[#This Row],[order_status]]="completed",1,0)</f>
        <v>1</v>
      </c>
    </row>
    <row r="3559" spans="1:18" x14ac:dyDescent="0.35">
      <c r="A3559">
        <v>3558</v>
      </c>
      <c r="B3559" s="1">
        <v>45862</v>
      </c>
      <c r="C3559">
        <v>1202</v>
      </c>
      <c r="D3559" t="s">
        <v>22</v>
      </c>
      <c r="E3559" t="s">
        <v>23</v>
      </c>
      <c r="F3559" t="s">
        <v>24</v>
      </c>
      <c r="G3559">
        <v>3</v>
      </c>
      <c r="H3559">
        <v>2781</v>
      </c>
      <c r="I3559" t="s">
        <v>25</v>
      </c>
      <c r="J3559" t="s">
        <v>19</v>
      </c>
      <c r="K3559" t="s">
        <v>40</v>
      </c>
      <c r="L3559">
        <v>7</v>
      </c>
      <c r="M3559">
        <v>1</v>
      </c>
      <c r="N3559">
        <v>0</v>
      </c>
      <c r="O3559" t="s">
        <v>27</v>
      </c>
      <c r="P3559" t="str">
        <f>TEXT(Table1[[#This Row],[order_date]],"yyyy-mm")</f>
        <v>2025-07</v>
      </c>
      <c r="Q3559">
        <f>WEEKNUM(Table1[[#This Row],[order_date]])</f>
        <v>30</v>
      </c>
      <c r="R3559">
        <f>IF(Table1[[#This Row],[order_status]]="completed",1,0)</f>
        <v>1</v>
      </c>
    </row>
    <row r="3560" spans="1:18" x14ac:dyDescent="0.35">
      <c r="A3560">
        <v>3559</v>
      </c>
      <c r="B3560" s="1">
        <v>46025</v>
      </c>
      <c r="C3560">
        <v>1645</v>
      </c>
      <c r="D3560" t="s">
        <v>41</v>
      </c>
      <c r="E3560" t="s">
        <v>23</v>
      </c>
      <c r="F3560" t="s">
        <v>17</v>
      </c>
      <c r="G3560">
        <v>5</v>
      </c>
      <c r="H3560">
        <v>0</v>
      </c>
      <c r="I3560" t="s">
        <v>35</v>
      </c>
      <c r="J3560" t="s">
        <v>37</v>
      </c>
      <c r="K3560" t="s">
        <v>26</v>
      </c>
      <c r="L3560">
        <v>8</v>
      </c>
      <c r="M3560">
        <v>1</v>
      </c>
      <c r="N3560">
        <v>1</v>
      </c>
      <c r="O3560" t="s">
        <v>21</v>
      </c>
      <c r="P3560" t="str">
        <f>TEXT(Table1[[#This Row],[order_date]],"yyyy-mm")</f>
        <v>2026-01</v>
      </c>
      <c r="Q3560">
        <f>WEEKNUM(Table1[[#This Row],[order_date]])</f>
        <v>1</v>
      </c>
      <c r="R3560">
        <f>IF(Table1[[#This Row],[order_status]]="completed",1,0)</f>
        <v>0</v>
      </c>
    </row>
    <row r="3561" spans="1:18" x14ac:dyDescent="0.35">
      <c r="A3561">
        <v>3560</v>
      </c>
      <c r="B3561" s="1">
        <v>45980</v>
      </c>
      <c r="C3561">
        <v>1447</v>
      </c>
      <c r="D3561" t="s">
        <v>28</v>
      </c>
      <c r="E3561" t="s">
        <v>36</v>
      </c>
      <c r="F3561" t="s">
        <v>17</v>
      </c>
      <c r="G3561">
        <v>5</v>
      </c>
      <c r="H3561">
        <v>0</v>
      </c>
      <c r="I3561" t="s">
        <v>18</v>
      </c>
      <c r="J3561" t="s">
        <v>37</v>
      </c>
      <c r="K3561" t="s">
        <v>38</v>
      </c>
      <c r="L3561">
        <v>7</v>
      </c>
      <c r="M3561">
        <v>1</v>
      </c>
      <c r="N3561">
        <v>1</v>
      </c>
      <c r="O3561" t="s">
        <v>21</v>
      </c>
      <c r="P3561" t="str">
        <f>TEXT(Table1[[#This Row],[order_date]],"yyyy-mm")</f>
        <v>2025-11</v>
      </c>
      <c r="Q3561">
        <f>WEEKNUM(Table1[[#This Row],[order_date]])</f>
        <v>47</v>
      </c>
      <c r="R3561">
        <f>IF(Table1[[#This Row],[order_status]]="completed",1,0)</f>
        <v>0</v>
      </c>
    </row>
    <row r="3562" spans="1:18" x14ac:dyDescent="0.35">
      <c r="A3562">
        <v>3561</v>
      </c>
      <c r="B3562" s="1">
        <v>45942</v>
      </c>
      <c r="C3562">
        <v>1749</v>
      </c>
      <c r="D3562" t="s">
        <v>22</v>
      </c>
      <c r="E3562" t="s">
        <v>23</v>
      </c>
      <c r="F3562" t="s">
        <v>34</v>
      </c>
      <c r="G3562">
        <v>3</v>
      </c>
      <c r="H3562">
        <v>0</v>
      </c>
      <c r="I3562" t="s">
        <v>35</v>
      </c>
      <c r="J3562" t="s">
        <v>31</v>
      </c>
      <c r="K3562" t="s">
        <v>26</v>
      </c>
      <c r="L3562">
        <v>2</v>
      </c>
      <c r="M3562">
        <v>1</v>
      </c>
      <c r="N3562">
        <v>0</v>
      </c>
      <c r="O3562" t="s">
        <v>27</v>
      </c>
      <c r="P3562" t="str">
        <f>TEXT(Table1[[#This Row],[order_date]],"yyyy-mm")</f>
        <v>2025-10</v>
      </c>
      <c r="Q3562">
        <f>WEEKNUM(Table1[[#This Row],[order_date]])</f>
        <v>42</v>
      </c>
      <c r="R3562">
        <f>IF(Table1[[#This Row],[order_status]]="completed",1,0)</f>
        <v>0</v>
      </c>
    </row>
    <row r="3563" spans="1:18" x14ac:dyDescent="0.35">
      <c r="A3563">
        <v>3562</v>
      </c>
      <c r="B3563" s="1">
        <v>45880</v>
      </c>
      <c r="C3563">
        <v>1644</v>
      </c>
      <c r="D3563" t="s">
        <v>41</v>
      </c>
      <c r="E3563" t="s">
        <v>33</v>
      </c>
      <c r="F3563" t="s">
        <v>24</v>
      </c>
      <c r="G3563">
        <v>3</v>
      </c>
      <c r="H3563">
        <v>0</v>
      </c>
      <c r="I3563" t="s">
        <v>18</v>
      </c>
      <c r="J3563" t="s">
        <v>31</v>
      </c>
      <c r="K3563" t="s">
        <v>40</v>
      </c>
      <c r="L3563">
        <v>6</v>
      </c>
      <c r="M3563">
        <v>1</v>
      </c>
      <c r="N3563">
        <v>1</v>
      </c>
      <c r="O3563" t="s">
        <v>27</v>
      </c>
      <c r="P3563" t="str">
        <f>TEXT(Table1[[#This Row],[order_date]],"yyyy-mm")</f>
        <v>2025-08</v>
      </c>
      <c r="Q3563">
        <f>WEEKNUM(Table1[[#This Row],[order_date]])</f>
        <v>33</v>
      </c>
      <c r="R3563">
        <f>IF(Table1[[#This Row],[order_status]]="completed",1,0)</f>
        <v>0</v>
      </c>
    </row>
    <row r="3564" spans="1:18" x14ac:dyDescent="0.35">
      <c r="A3564">
        <v>3563</v>
      </c>
      <c r="B3564" s="1">
        <v>45873</v>
      </c>
      <c r="C3564">
        <v>1646</v>
      </c>
      <c r="D3564" t="s">
        <v>28</v>
      </c>
      <c r="E3564" t="s">
        <v>23</v>
      </c>
      <c r="F3564" t="s">
        <v>24</v>
      </c>
      <c r="G3564">
        <v>4</v>
      </c>
      <c r="H3564">
        <v>0</v>
      </c>
      <c r="I3564" t="s">
        <v>39</v>
      </c>
      <c r="J3564" t="s">
        <v>31</v>
      </c>
      <c r="K3564" t="s">
        <v>20</v>
      </c>
      <c r="L3564">
        <v>3</v>
      </c>
      <c r="M3564">
        <v>1</v>
      </c>
      <c r="N3564">
        <v>1</v>
      </c>
      <c r="O3564" t="s">
        <v>21</v>
      </c>
      <c r="P3564" t="str">
        <f>TEXT(Table1[[#This Row],[order_date]],"yyyy-mm")</f>
        <v>2025-08</v>
      </c>
      <c r="Q3564">
        <f>WEEKNUM(Table1[[#This Row],[order_date]])</f>
        <v>32</v>
      </c>
      <c r="R3564">
        <f>IF(Table1[[#This Row],[order_status]]="completed",1,0)</f>
        <v>0</v>
      </c>
    </row>
    <row r="3565" spans="1:18" x14ac:dyDescent="0.35">
      <c r="A3565">
        <v>3564</v>
      </c>
      <c r="B3565" s="1">
        <v>45887</v>
      </c>
      <c r="C3565">
        <v>1382</v>
      </c>
      <c r="D3565" t="s">
        <v>15</v>
      </c>
      <c r="E3565" t="s">
        <v>29</v>
      </c>
      <c r="F3565" t="s">
        <v>30</v>
      </c>
      <c r="G3565">
        <v>4</v>
      </c>
      <c r="H3565">
        <v>3704</v>
      </c>
      <c r="I3565" t="s">
        <v>39</v>
      </c>
      <c r="J3565" t="s">
        <v>19</v>
      </c>
      <c r="K3565" t="s">
        <v>26</v>
      </c>
      <c r="L3565">
        <v>9</v>
      </c>
      <c r="M3565">
        <v>1</v>
      </c>
      <c r="N3565">
        <v>0</v>
      </c>
      <c r="O3565" t="s">
        <v>27</v>
      </c>
      <c r="P3565" t="str">
        <f>TEXT(Table1[[#This Row],[order_date]],"yyyy-mm")</f>
        <v>2025-08</v>
      </c>
      <c r="Q3565">
        <f>WEEKNUM(Table1[[#This Row],[order_date]])</f>
        <v>34</v>
      </c>
      <c r="R3565">
        <f>IF(Table1[[#This Row],[order_status]]="completed",1,0)</f>
        <v>1</v>
      </c>
    </row>
    <row r="3566" spans="1:18" x14ac:dyDescent="0.35">
      <c r="A3566">
        <v>3565</v>
      </c>
      <c r="B3566" s="1">
        <v>45862</v>
      </c>
      <c r="C3566">
        <v>1147</v>
      </c>
      <c r="D3566" t="s">
        <v>15</v>
      </c>
      <c r="E3566" t="s">
        <v>23</v>
      </c>
      <c r="F3566" t="s">
        <v>17</v>
      </c>
      <c r="G3566">
        <v>1</v>
      </c>
      <c r="H3566">
        <v>0</v>
      </c>
      <c r="I3566" t="s">
        <v>35</v>
      </c>
      <c r="J3566" t="s">
        <v>37</v>
      </c>
      <c r="K3566" t="s">
        <v>38</v>
      </c>
      <c r="L3566">
        <v>10</v>
      </c>
      <c r="M3566">
        <v>1</v>
      </c>
      <c r="N3566">
        <v>1</v>
      </c>
      <c r="O3566" t="s">
        <v>27</v>
      </c>
      <c r="P3566" t="str">
        <f>TEXT(Table1[[#This Row],[order_date]],"yyyy-mm")</f>
        <v>2025-07</v>
      </c>
      <c r="Q3566">
        <f>WEEKNUM(Table1[[#This Row],[order_date]])</f>
        <v>30</v>
      </c>
      <c r="R3566">
        <f>IF(Table1[[#This Row],[order_status]]="completed",1,0)</f>
        <v>0</v>
      </c>
    </row>
    <row r="3567" spans="1:18" x14ac:dyDescent="0.35">
      <c r="A3567">
        <v>3566</v>
      </c>
      <c r="B3567" s="1">
        <v>45877</v>
      </c>
      <c r="C3567">
        <v>1078</v>
      </c>
      <c r="D3567" t="s">
        <v>28</v>
      </c>
      <c r="E3567" t="s">
        <v>29</v>
      </c>
      <c r="F3567" t="s">
        <v>24</v>
      </c>
      <c r="G3567">
        <v>4</v>
      </c>
      <c r="H3567">
        <v>0</v>
      </c>
      <c r="I3567" t="s">
        <v>25</v>
      </c>
      <c r="J3567" t="s">
        <v>31</v>
      </c>
      <c r="K3567" t="s">
        <v>40</v>
      </c>
      <c r="L3567">
        <v>7</v>
      </c>
      <c r="M3567">
        <v>0</v>
      </c>
      <c r="N3567">
        <v>0</v>
      </c>
      <c r="O3567" t="s">
        <v>27</v>
      </c>
      <c r="P3567" t="str">
        <f>TEXT(Table1[[#This Row],[order_date]],"yyyy-mm")</f>
        <v>2025-08</v>
      </c>
      <c r="Q3567">
        <f>WEEKNUM(Table1[[#This Row],[order_date]])</f>
        <v>32</v>
      </c>
      <c r="R3567">
        <f>IF(Table1[[#This Row],[order_status]]="completed",1,0)</f>
        <v>0</v>
      </c>
    </row>
    <row r="3568" spans="1:18" x14ac:dyDescent="0.35">
      <c r="A3568">
        <v>3567</v>
      </c>
      <c r="B3568" s="1">
        <v>45878</v>
      </c>
      <c r="C3568">
        <v>1556</v>
      </c>
      <c r="D3568" t="s">
        <v>32</v>
      </c>
      <c r="E3568" t="s">
        <v>23</v>
      </c>
      <c r="F3568" t="s">
        <v>24</v>
      </c>
      <c r="G3568">
        <v>3</v>
      </c>
      <c r="H3568">
        <v>0</v>
      </c>
      <c r="I3568" t="s">
        <v>25</v>
      </c>
      <c r="J3568" t="s">
        <v>31</v>
      </c>
      <c r="K3568" t="s">
        <v>40</v>
      </c>
      <c r="L3568">
        <v>7</v>
      </c>
      <c r="M3568">
        <v>0</v>
      </c>
      <c r="N3568">
        <v>1</v>
      </c>
      <c r="O3568" t="s">
        <v>27</v>
      </c>
      <c r="P3568" t="str">
        <f>TEXT(Table1[[#This Row],[order_date]],"yyyy-mm")</f>
        <v>2025-08</v>
      </c>
      <c r="Q3568">
        <f>WEEKNUM(Table1[[#This Row],[order_date]])</f>
        <v>32</v>
      </c>
      <c r="R3568">
        <f>IF(Table1[[#This Row],[order_status]]="completed",1,0)</f>
        <v>0</v>
      </c>
    </row>
    <row r="3569" spans="1:18" x14ac:dyDescent="0.35">
      <c r="A3569">
        <v>3568</v>
      </c>
      <c r="B3569" s="1">
        <v>46026</v>
      </c>
      <c r="C3569">
        <v>1836</v>
      </c>
      <c r="D3569" t="s">
        <v>28</v>
      </c>
      <c r="E3569" t="s">
        <v>23</v>
      </c>
      <c r="F3569" t="s">
        <v>30</v>
      </c>
      <c r="G3569">
        <v>2</v>
      </c>
      <c r="H3569">
        <v>0</v>
      </c>
      <c r="I3569" t="s">
        <v>25</v>
      </c>
      <c r="J3569" t="s">
        <v>37</v>
      </c>
      <c r="K3569" t="s">
        <v>38</v>
      </c>
      <c r="L3569">
        <v>9</v>
      </c>
      <c r="M3569">
        <v>1</v>
      </c>
      <c r="N3569">
        <v>1</v>
      </c>
      <c r="O3569" t="s">
        <v>21</v>
      </c>
      <c r="P3569" t="str">
        <f>TEXT(Table1[[#This Row],[order_date]],"yyyy-mm")</f>
        <v>2026-01</v>
      </c>
      <c r="Q3569">
        <f>WEEKNUM(Table1[[#This Row],[order_date]])</f>
        <v>2</v>
      </c>
      <c r="R3569">
        <f>IF(Table1[[#This Row],[order_status]]="completed",1,0)</f>
        <v>0</v>
      </c>
    </row>
    <row r="3570" spans="1:18" x14ac:dyDescent="0.35">
      <c r="A3570">
        <v>3569</v>
      </c>
      <c r="B3570" s="1">
        <v>45966</v>
      </c>
      <c r="C3570">
        <v>1162</v>
      </c>
      <c r="D3570" t="s">
        <v>15</v>
      </c>
      <c r="E3570" t="s">
        <v>33</v>
      </c>
      <c r="F3570" t="s">
        <v>17</v>
      </c>
      <c r="G3570">
        <v>5</v>
      </c>
      <c r="H3570">
        <v>14685</v>
      </c>
      <c r="I3570" t="s">
        <v>39</v>
      </c>
      <c r="J3570" t="s">
        <v>19</v>
      </c>
      <c r="K3570" t="s">
        <v>20</v>
      </c>
      <c r="L3570">
        <v>9</v>
      </c>
      <c r="M3570">
        <v>0</v>
      </c>
      <c r="N3570">
        <v>1</v>
      </c>
      <c r="O3570" t="s">
        <v>27</v>
      </c>
      <c r="P3570" t="str">
        <f>TEXT(Table1[[#This Row],[order_date]],"yyyy-mm")</f>
        <v>2025-11</v>
      </c>
      <c r="Q3570">
        <f>WEEKNUM(Table1[[#This Row],[order_date]])</f>
        <v>45</v>
      </c>
      <c r="R3570">
        <f>IF(Table1[[#This Row],[order_status]]="completed",1,0)</f>
        <v>1</v>
      </c>
    </row>
    <row r="3571" spans="1:18" x14ac:dyDescent="0.35">
      <c r="A3571">
        <v>3570</v>
      </c>
      <c r="B3571" s="1">
        <v>45949</v>
      </c>
      <c r="C3571">
        <v>1411</v>
      </c>
      <c r="D3571" t="s">
        <v>22</v>
      </c>
      <c r="E3571" t="s">
        <v>33</v>
      </c>
      <c r="F3571" t="s">
        <v>34</v>
      </c>
      <c r="G3571">
        <v>3</v>
      </c>
      <c r="H3571">
        <v>0</v>
      </c>
      <c r="I3571" t="s">
        <v>25</v>
      </c>
      <c r="J3571" t="s">
        <v>31</v>
      </c>
      <c r="K3571" t="s">
        <v>38</v>
      </c>
      <c r="L3571">
        <v>4</v>
      </c>
      <c r="M3571">
        <v>1</v>
      </c>
      <c r="N3571">
        <v>1</v>
      </c>
      <c r="O3571" t="s">
        <v>21</v>
      </c>
      <c r="P3571" t="str">
        <f>TEXT(Table1[[#This Row],[order_date]],"yyyy-mm")</f>
        <v>2025-10</v>
      </c>
      <c r="Q3571">
        <f>WEEKNUM(Table1[[#This Row],[order_date]])</f>
        <v>43</v>
      </c>
      <c r="R3571">
        <f>IF(Table1[[#This Row],[order_status]]="completed",1,0)</f>
        <v>0</v>
      </c>
    </row>
    <row r="3572" spans="1:18" x14ac:dyDescent="0.35">
      <c r="A3572">
        <v>3571</v>
      </c>
      <c r="B3572" s="1">
        <v>45962</v>
      </c>
      <c r="C3572">
        <v>1329</v>
      </c>
      <c r="D3572" t="s">
        <v>41</v>
      </c>
      <c r="E3572" t="s">
        <v>36</v>
      </c>
      <c r="F3572" t="s">
        <v>34</v>
      </c>
      <c r="G3572">
        <v>1</v>
      </c>
      <c r="H3572">
        <v>4304</v>
      </c>
      <c r="I3572" t="s">
        <v>35</v>
      </c>
      <c r="J3572" t="s">
        <v>19</v>
      </c>
      <c r="K3572" t="s">
        <v>40</v>
      </c>
      <c r="L3572">
        <v>4</v>
      </c>
      <c r="M3572">
        <v>0</v>
      </c>
      <c r="N3572">
        <v>1</v>
      </c>
      <c r="O3572" t="s">
        <v>27</v>
      </c>
      <c r="P3572" t="str">
        <f>TEXT(Table1[[#This Row],[order_date]],"yyyy-mm")</f>
        <v>2025-11</v>
      </c>
      <c r="Q3572">
        <f>WEEKNUM(Table1[[#This Row],[order_date]])</f>
        <v>44</v>
      </c>
      <c r="R3572">
        <f>IF(Table1[[#This Row],[order_status]]="completed",1,0)</f>
        <v>1</v>
      </c>
    </row>
    <row r="3573" spans="1:18" x14ac:dyDescent="0.35">
      <c r="A3573">
        <v>3572</v>
      </c>
      <c r="B3573" s="1">
        <v>45940</v>
      </c>
      <c r="C3573">
        <v>1545</v>
      </c>
      <c r="D3573" t="s">
        <v>32</v>
      </c>
      <c r="E3573" t="s">
        <v>29</v>
      </c>
      <c r="F3573" t="s">
        <v>30</v>
      </c>
      <c r="G3573">
        <v>5</v>
      </c>
      <c r="H3573">
        <v>16615</v>
      </c>
      <c r="I3573" t="s">
        <v>35</v>
      </c>
      <c r="J3573" t="s">
        <v>19</v>
      </c>
      <c r="K3573" t="s">
        <v>40</v>
      </c>
      <c r="L3573">
        <v>7</v>
      </c>
      <c r="M3573">
        <v>1</v>
      </c>
      <c r="N3573">
        <v>0</v>
      </c>
      <c r="O3573" t="s">
        <v>21</v>
      </c>
      <c r="P3573" t="str">
        <f>TEXT(Table1[[#This Row],[order_date]],"yyyy-mm")</f>
        <v>2025-10</v>
      </c>
      <c r="Q3573">
        <f>WEEKNUM(Table1[[#This Row],[order_date]])</f>
        <v>41</v>
      </c>
      <c r="R3573">
        <f>IF(Table1[[#This Row],[order_status]]="completed",1,0)</f>
        <v>1</v>
      </c>
    </row>
    <row r="3574" spans="1:18" x14ac:dyDescent="0.35">
      <c r="A3574">
        <v>3573</v>
      </c>
      <c r="B3574" s="1">
        <v>45956</v>
      </c>
      <c r="C3574">
        <v>1978</v>
      </c>
      <c r="D3574" t="s">
        <v>15</v>
      </c>
      <c r="E3574" t="s">
        <v>23</v>
      </c>
      <c r="F3574" t="s">
        <v>17</v>
      </c>
      <c r="G3574">
        <v>2</v>
      </c>
      <c r="H3574">
        <v>0</v>
      </c>
      <c r="I3574" t="s">
        <v>35</v>
      </c>
      <c r="J3574" t="s">
        <v>37</v>
      </c>
      <c r="K3574" t="s">
        <v>38</v>
      </c>
      <c r="L3574">
        <v>4</v>
      </c>
      <c r="M3574">
        <v>0</v>
      </c>
      <c r="N3574">
        <v>0</v>
      </c>
      <c r="O3574" t="s">
        <v>27</v>
      </c>
      <c r="P3574" t="str">
        <f>TEXT(Table1[[#This Row],[order_date]],"yyyy-mm")</f>
        <v>2025-10</v>
      </c>
      <c r="Q3574">
        <f>WEEKNUM(Table1[[#This Row],[order_date]])</f>
        <v>44</v>
      </c>
      <c r="R3574">
        <f>IF(Table1[[#This Row],[order_status]]="completed",1,0)</f>
        <v>0</v>
      </c>
    </row>
    <row r="3575" spans="1:18" x14ac:dyDescent="0.35">
      <c r="A3575">
        <v>3574</v>
      </c>
      <c r="B3575" s="1">
        <v>45950</v>
      </c>
      <c r="C3575">
        <v>1540</v>
      </c>
      <c r="D3575" t="s">
        <v>15</v>
      </c>
      <c r="E3575" t="s">
        <v>29</v>
      </c>
      <c r="F3575" t="s">
        <v>17</v>
      </c>
      <c r="G3575">
        <v>5</v>
      </c>
      <c r="H3575">
        <v>0</v>
      </c>
      <c r="I3575" t="s">
        <v>39</v>
      </c>
      <c r="J3575" t="s">
        <v>31</v>
      </c>
      <c r="K3575" t="s">
        <v>40</v>
      </c>
      <c r="L3575">
        <v>3</v>
      </c>
      <c r="M3575">
        <v>0</v>
      </c>
      <c r="N3575">
        <v>1</v>
      </c>
      <c r="O3575" t="s">
        <v>21</v>
      </c>
      <c r="P3575" t="str">
        <f>TEXT(Table1[[#This Row],[order_date]],"yyyy-mm")</f>
        <v>2025-10</v>
      </c>
      <c r="Q3575">
        <f>WEEKNUM(Table1[[#This Row],[order_date]])</f>
        <v>43</v>
      </c>
      <c r="R3575">
        <f>IF(Table1[[#This Row],[order_status]]="completed",1,0)</f>
        <v>0</v>
      </c>
    </row>
    <row r="3576" spans="1:18" x14ac:dyDescent="0.35">
      <c r="A3576">
        <v>3575</v>
      </c>
      <c r="B3576" s="1">
        <v>45978</v>
      </c>
      <c r="C3576">
        <v>1608</v>
      </c>
      <c r="D3576" t="s">
        <v>22</v>
      </c>
      <c r="E3576" t="s">
        <v>23</v>
      </c>
      <c r="F3576" t="s">
        <v>17</v>
      </c>
      <c r="G3576">
        <v>4</v>
      </c>
      <c r="H3576">
        <v>0</v>
      </c>
      <c r="I3576" t="s">
        <v>35</v>
      </c>
      <c r="J3576" t="s">
        <v>37</v>
      </c>
      <c r="K3576" t="s">
        <v>26</v>
      </c>
      <c r="L3576">
        <v>2</v>
      </c>
      <c r="M3576">
        <v>0</v>
      </c>
      <c r="N3576">
        <v>0</v>
      </c>
      <c r="O3576" t="s">
        <v>27</v>
      </c>
      <c r="P3576" t="str">
        <f>TEXT(Table1[[#This Row],[order_date]],"yyyy-mm")</f>
        <v>2025-11</v>
      </c>
      <c r="Q3576">
        <f>WEEKNUM(Table1[[#This Row],[order_date]])</f>
        <v>47</v>
      </c>
      <c r="R3576">
        <f>IF(Table1[[#This Row],[order_status]]="completed",1,0)</f>
        <v>0</v>
      </c>
    </row>
    <row r="3577" spans="1:18" x14ac:dyDescent="0.35">
      <c r="A3577">
        <v>3576</v>
      </c>
      <c r="B3577" s="1">
        <v>46017</v>
      </c>
      <c r="C3577">
        <v>1291</v>
      </c>
      <c r="D3577" t="s">
        <v>22</v>
      </c>
      <c r="E3577" t="s">
        <v>36</v>
      </c>
      <c r="F3577" t="s">
        <v>30</v>
      </c>
      <c r="G3577">
        <v>3</v>
      </c>
      <c r="H3577">
        <v>0</v>
      </c>
      <c r="I3577" t="s">
        <v>25</v>
      </c>
      <c r="J3577" t="s">
        <v>31</v>
      </c>
      <c r="K3577" t="s">
        <v>40</v>
      </c>
      <c r="L3577">
        <v>9</v>
      </c>
      <c r="M3577">
        <v>0</v>
      </c>
      <c r="N3577">
        <v>0</v>
      </c>
      <c r="O3577" t="s">
        <v>27</v>
      </c>
      <c r="P3577" t="str">
        <f>TEXT(Table1[[#This Row],[order_date]],"yyyy-mm")</f>
        <v>2025-12</v>
      </c>
      <c r="Q3577">
        <f>WEEKNUM(Table1[[#This Row],[order_date]])</f>
        <v>52</v>
      </c>
      <c r="R3577">
        <f>IF(Table1[[#This Row],[order_status]]="completed",1,0)</f>
        <v>0</v>
      </c>
    </row>
    <row r="3578" spans="1:18" x14ac:dyDescent="0.35">
      <c r="A3578">
        <v>3577</v>
      </c>
      <c r="B3578" s="1">
        <v>45904</v>
      </c>
      <c r="C3578">
        <v>1017</v>
      </c>
      <c r="D3578" t="s">
        <v>41</v>
      </c>
      <c r="E3578" t="s">
        <v>29</v>
      </c>
      <c r="F3578" t="s">
        <v>30</v>
      </c>
      <c r="G3578">
        <v>5</v>
      </c>
      <c r="H3578">
        <v>0</v>
      </c>
      <c r="I3578" t="s">
        <v>35</v>
      </c>
      <c r="J3578" t="s">
        <v>37</v>
      </c>
      <c r="K3578" t="s">
        <v>26</v>
      </c>
      <c r="L3578">
        <v>1</v>
      </c>
      <c r="M3578">
        <v>1</v>
      </c>
      <c r="N3578">
        <v>1</v>
      </c>
      <c r="O3578" t="s">
        <v>27</v>
      </c>
      <c r="P3578" t="str">
        <f>TEXT(Table1[[#This Row],[order_date]],"yyyy-mm")</f>
        <v>2025-09</v>
      </c>
      <c r="Q3578">
        <f>WEEKNUM(Table1[[#This Row],[order_date]])</f>
        <v>36</v>
      </c>
      <c r="R3578">
        <f>IF(Table1[[#This Row],[order_status]]="completed",1,0)</f>
        <v>0</v>
      </c>
    </row>
    <row r="3579" spans="1:18" x14ac:dyDescent="0.35">
      <c r="A3579">
        <v>3578</v>
      </c>
      <c r="B3579" s="1">
        <v>46022</v>
      </c>
      <c r="C3579">
        <v>1599</v>
      </c>
      <c r="D3579" t="s">
        <v>41</v>
      </c>
      <c r="E3579" t="s">
        <v>33</v>
      </c>
      <c r="F3579" t="s">
        <v>30</v>
      </c>
      <c r="G3579">
        <v>1</v>
      </c>
      <c r="H3579">
        <v>0</v>
      </c>
      <c r="I3579" t="s">
        <v>18</v>
      </c>
      <c r="J3579" t="s">
        <v>31</v>
      </c>
      <c r="K3579" t="s">
        <v>38</v>
      </c>
      <c r="L3579">
        <v>2</v>
      </c>
      <c r="M3579">
        <v>0</v>
      </c>
      <c r="N3579">
        <v>0</v>
      </c>
      <c r="O3579" t="s">
        <v>27</v>
      </c>
      <c r="P3579" t="str">
        <f>TEXT(Table1[[#This Row],[order_date]],"yyyy-mm")</f>
        <v>2025-12</v>
      </c>
      <c r="Q3579">
        <f>WEEKNUM(Table1[[#This Row],[order_date]])</f>
        <v>53</v>
      </c>
      <c r="R3579">
        <f>IF(Table1[[#This Row],[order_status]]="completed",1,0)</f>
        <v>0</v>
      </c>
    </row>
    <row r="3580" spans="1:18" x14ac:dyDescent="0.35">
      <c r="A3580">
        <v>3579</v>
      </c>
      <c r="B3580" s="1">
        <v>46006</v>
      </c>
      <c r="C3580">
        <v>1879</v>
      </c>
      <c r="D3580" t="s">
        <v>22</v>
      </c>
      <c r="E3580" t="s">
        <v>23</v>
      </c>
      <c r="F3580" t="s">
        <v>17</v>
      </c>
      <c r="G3580">
        <v>4</v>
      </c>
      <c r="H3580">
        <v>0</v>
      </c>
      <c r="I3580" t="s">
        <v>25</v>
      </c>
      <c r="J3580" t="s">
        <v>37</v>
      </c>
      <c r="K3580" t="s">
        <v>20</v>
      </c>
      <c r="L3580">
        <v>9</v>
      </c>
      <c r="M3580">
        <v>1</v>
      </c>
      <c r="N3580">
        <v>0</v>
      </c>
      <c r="O3580" t="s">
        <v>21</v>
      </c>
      <c r="P3580" t="str">
        <f>TEXT(Table1[[#This Row],[order_date]],"yyyy-mm")</f>
        <v>2025-12</v>
      </c>
      <c r="Q3580">
        <f>WEEKNUM(Table1[[#This Row],[order_date]])</f>
        <v>51</v>
      </c>
      <c r="R3580">
        <f>IF(Table1[[#This Row],[order_status]]="completed",1,0)</f>
        <v>0</v>
      </c>
    </row>
    <row r="3581" spans="1:18" x14ac:dyDescent="0.35">
      <c r="A3581">
        <v>3580</v>
      </c>
      <c r="B3581" s="1">
        <v>45939</v>
      </c>
      <c r="C3581">
        <v>1791</v>
      </c>
      <c r="D3581" t="s">
        <v>15</v>
      </c>
      <c r="E3581" t="s">
        <v>36</v>
      </c>
      <c r="F3581" t="s">
        <v>30</v>
      </c>
      <c r="G3581">
        <v>5</v>
      </c>
      <c r="H3581">
        <v>9035</v>
      </c>
      <c r="I3581" t="s">
        <v>35</v>
      </c>
      <c r="J3581" t="s">
        <v>19</v>
      </c>
      <c r="K3581" t="s">
        <v>40</v>
      </c>
      <c r="L3581">
        <v>6</v>
      </c>
      <c r="M3581">
        <v>1</v>
      </c>
      <c r="N3581">
        <v>1</v>
      </c>
      <c r="O3581" t="s">
        <v>27</v>
      </c>
      <c r="P3581" t="str">
        <f>TEXT(Table1[[#This Row],[order_date]],"yyyy-mm")</f>
        <v>2025-10</v>
      </c>
      <c r="Q3581">
        <f>WEEKNUM(Table1[[#This Row],[order_date]])</f>
        <v>41</v>
      </c>
      <c r="R3581">
        <f>IF(Table1[[#This Row],[order_status]]="completed",1,0)</f>
        <v>1</v>
      </c>
    </row>
    <row r="3582" spans="1:18" x14ac:dyDescent="0.35">
      <c r="A3582">
        <v>3581</v>
      </c>
      <c r="B3582" s="1">
        <v>45897</v>
      </c>
      <c r="C3582">
        <v>1444</v>
      </c>
      <c r="D3582" t="s">
        <v>41</v>
      </c>
      <c r="E3582" t="s">
        <v>23</v>
      </c>
      <c r="F3582" t="s">
        <v>17</v>
      </c>
      <c r="G3582">
        <v>4</v>
      </c>
      <c r="H3582">
        <v>0</v>
      </c>
      <c r="I3582" t="s">
        <v>25</v>
      </c>
      <c r="J3582" t="s">
        <v>37</v>
      </c>
      <c r="K3582" t="s">
        <v>40</v>
      </c>
      <c r="L3582">
        <v>7</v>
      </c>
      <c r="M3582">
        <v>0</v>
      </c>
      <c r="N3582">
        <v>1</v>
      </c>
      <c r="O3582" t="s">
        <v>21</v>
      </c>
      <c r="P3582" t="str">
        <f>TEXT(Table1[[#This Row],[order_date]],"yyyy-mm")</f>
        <v>2025-08</v>
      </c>
      <c r="Q3582">
        <f>WEEKNUM(Table1[[#This Row],[order_date]])</f>
        <v>35</v>
      </c>
      <c r="R3582">
        <f>IF(Table1[[#This Row],[order_status]]="completed",1,0)</f>
        <v>0</v>
      </c>
    </row>
    <row r="3583" spans="1:18" x14ac:dyDescent="0.35">
      <c r="A3583">
        <v>3582</v>
      </c>
      <c r="B3583" s="1">
        <v>45962</v>
      </c>
      <c r="C3583">
        <v>1570</v>
      </c>
      <c r="D3583" t="s">
        <v>41</v>
      </c>
      <c r="E3583" t="s">
        <v>23</v>
      </c>
      <c r="F3583" t="s">
        <v>17</v>
      </c>
      <c r="G3583">
        <v>3</v>
      </c>
      <c r="H3583">
        <v>0</v>
      </c>
      <c r="I3583" t="s">
        <v>39</v>
      </c>
      <c r="J3583" t="s">
        <v>37</v>
      </c>
      <c r="K3583" t="s">
        <v>38</v>
      </c>
      <c r="L3583">
        <v>10</v>
      </c>
      <c r="M3583">
        <v>0</v>
      </c>
      <c r="N3583">
        <v>0</v>
      </c>
      <c r="O3583" t="s">
        <v>21</v>
      </c>
      <c r="P3583" t="str">
        <f>TEXT(Table1[[#This Row],[order_date]],"yyyy-mm")</f>
        <v>2025-11</v>
      </c>
      <c r="Q3583">
        <f>WEEKNUM(Table1[[#This Row],[order_date]])</f>
        <v>44</v>
      </c>
      <c r="R3583">
        <f>IF(Table1[[#This Row],[order_status]]="completed",1,0)</f>
        <v>0</v>
      </c>
    </row>
    <row r="3584" spans="1:18" x14ac:dyDescent="0.35">
      <c r="A3584">
        <v>3583</v>
      </c>
      <c r="B3584" s="1">
        <v>45887</v>
      </c>
      <c r="C3584">
        <v>1182</v>
      </c>
      <c r="D3584" t="s">
        <v>28</v>
      </c>
      <c r="E3584" t="s">
        <v>23</v>
      </c>
      <c r="F3584" t="s">
        <v>30</v>
      </c>
      <c r="G3584">
        <v>3</v>
      </c>
      <c r="H3584">
        <v>6633</v>
      </c>
      <c r="I3584" t="s">
        <v>18</v>
      </c>
      <c r="J3584" t="s">
        <v>19</v>
      </c>
      <c r="K3584" t="s">
        <v>40</v>
      </c>
      <c r="L3584">
        <v>7</v>
      </c>
      <c r="M3584">
        <v>0</v>
      </c>
      <c r="N3584">
        <v>0</v>
      </c>
      <c r="O3584" t="s">
        <v>21</v>
      </c>
      <c r="P3584" t="str">
        <f>TEXT(Table1[[#This Row],[order_date]],"yyyy-mm")</f>
        <v>2025-08</v>
      </c>
      <c r="Q3584">
        <f>WEEKNUM(Table1[[#This Row],[order_date]])</f>
        <v>34</v>
      </c>
      <c r="R3584">
        <f>IF(Table1[[#This Row],[order_status]]="completed",1,0)</f>
        <v>1</v>
      </c>
    </row>
    <row r="3585" spans="1:18" x14ac:dyDescent="0.35">
      <c r="A3585">
        <v>3584</v>
      </c>
      <c r="B3585" s="1">
        <v>45865</v>
      </c>
      <c r="C3585">
        <v>1999</v>
      </c>
      <c r="D3585" t="s">
        <v>32</v>
      </c>
      <c r="E3585" t="s">
        <v>33</v>
      </c>
      <c r="F3585" t="s">
        <v>30</v>
      </c>
      <c r="G3585">
        <v>3</v>
      </c>
      <c r="H3585">
        <v>6417</v>
      </c>
      <c r="I3585" t="s">
        <v>35</v>
      </c>
      <c r="J3585" t="s">
        <v>19</v>
      </c>
      <c r="K3585" t="s">
        <v>40</v>
      </c>
      <c r="L3585">
        <v>3</v>
      </c>
      <c r="M3585">
        <v>1</v>
      </c>
      <c r="N3585">
        <v>1</v>
      </c>
      <c r="O3585" t="s">
        <v>21</v>
      </c>
      <c r="P3585" t="str">
        <f>TEXT(Table1[[#This Row],[order_date]],"yyyy-mm")</f>
        <v>2025-07</v>
      </c>
      <c r="Q3585">
        <f>WEEKNUM(Table1[[#This Row],[order_date]])</f>
        <v>31</v>
      </c>
      <c r="R3585">
        <f>IF(Table1[[#This Row],[order_status]]="completed",1,0)</f>
        <v>1</v>
      </c>
    </row>
    <row r="3586" spans="1:18" x14ac:dyDescent="0.35">
      <c r="A3586">
        <v>3585</v>
      </c>
      <c r="B3586" s="1">
        <v>45980</v>
      </c>
      <c r="C3586">
        <v>1788</v>
      </c>
      <c r="D3586" t="s">
        <v>22</v>
      </c>
      <c r="E3586" t="s">
        <v>16</v>
      </c>
      <c r="F3586" t="s">
        <v>17</v>
      </c>
      <c r="G3586">
        <v>1</v>
      </c>
      <c r="H3586">
        <v>0</v>
      </c>
      <c r="I3586" t="s">
        <v>35</v>
      </c>
      <c r="J3586" t="s">
        <v>37</v>
      </c>
      <c r="K3586" t="s">
        <v>20</v>
      </c>
      <c r="L3586">
        <v>2</v>
      </c>
      <c r="M3586">
        <v>0</v>
      </c>
      <c r="N3586">
        <v>1</v>
      </c>
      <c r="O3586" t="s">
        <v>21</v>
      </c>
      <c r="P3586" t="str">
        <f>TEXT(Table1[[#This Row],[order_date]],"yyyy-mm")</f>
        <v>2025-11</v>
      </c>
      <c r="Q3586">
        <f>WEEKNUM(Table1[[#This Row],[order_date]])</f>
        <v>47</v>
      </c>
      <c r="R3586">
        <f>IF(Table1[[#This Row],[order_status]]="completed",1,0)</f>
        <v>0</v>
      </c>
    </row>
    <row r="3587" spans="1:18" x14ac:dyDescent="0.35">
      <c r="A3587">
        <v>3586</v>
      </c>
      <c r="B3587" s="1">
        <v>45963</v>
      </c>
      <c r="C3587">
        <v>1666</v>
      </c>
      <c r="D3587" t="s">
        <v>15</v>
      </c>
      <c r="E3587" t="s">
        <v>33</v>
      </c>
      <c r="F3587" t="s">
        <v>17</v>
      </c>
      <c r="G3587">
        <v>5</v>
      </c>
      <c r="H3587">
        <v>0</v>
      </c>
      <c r="I3587" t="s">
        <v>18</v>
      </c>
      <c r="J3587" t="s">
        <v>37</v>
      </c>
      <c r="K3587" t="s">
        <v>26</v>
      </c>
      <c r="L3587">
        <v>4</v>
      </c>
      <c r="M3587">
        <v>0</v>
      </c>
      <c r="N3587">
        <v>1</v>
      </c>
      <c r="O3587" t="s">
        <v>27</v>
      </c>
      <c r="P3587" t="str">
        <f>TEXT(Table1[[#This Row],[order_date]],"yyyy-mm")</f>
        <v>2025-11</v>
      </c>
      <c r="Q3587">
        <f>WEEKNUM(Table1[[#This Row],[order_date]])</f>
        <v>45</v>
      </c>
      <c r="R3587">
        <f>IF(Table1[[#This Row],[order_status]]="completed",1,0)</f>
        <v>0</v>
      </c>
    </row>
    <row r="3588" spans="1:18" x14ac:dyDescent="0.35">
      <c r="A3588">
        <v>3587</v>
      </c>
      <c r="B3588" s="1">
        <v>45899</v>
      </c>
      <c r="C3588">
        <v>1015</v>
      </c>
      <c r="D3588" t="s">
        <v>41</v>
      </c>
      <c r="E3588" t="s">
        <v>36</v>
      </c>
      <c r="F3588" t="s">
        <v>17</v>
      </c>
      <c r="G3588">
        <v>2</v>
      </c>
      <c r="H3588">
        <v>7318</v>
      </c>
      <c r="I3588" t="s">
        <v>39</v>
      </c>
      <c r="J3588" t="s">
        <v>19</v>
      </c>
      <c r="K3588" t="s">
        <v>38</v>
      </c>
      <c r="L3588">
        <v>7</v>
      </c>
      <c r="M3588">
        <v>1</v>
      </c>
      <c r="N3588">
        <v>1</v>
      </c>
      <c r="O3588" t="s">
        <v>21</v>
      </c>
      <c r="P3588" t="str">
        <f>TEXT(Table1[[#This Row],[order_date]],"yyyy-mm")</f>
        <v>2025-08</v>
      </c>
      <c r="Q3588">
        <f>WEEKNUM(Table1[[#This Row],[order_date]])</f>
        <v>35</v>
      </c>
      <c r="R3588">
        <f>IF(Table1[[#This Row],[order_status]]="completed",1,0)</f>
        <v>1</v>
      </c>
    </row>
    <row r="3589" spans="1:18" x14ac:dyDescent="0.35">
      <c r="A3589">
        <v>3588</v>
      </c>
      <c r="B3589" s="1">
        <v>45921</v>
      </c>
      <c r="C3589">
        <v>1972</v>
      </c>
      <c r="D3589" t="s">
        <v>32</v>
      </c>
      <c r="E3589" t="s">
        <v>23</v>
      </c>
      <c r="F3589" t="s">
        <v>17</v>
      </c>
      <c r="G3589">
        <v>4</v>
      </c>
      <c r="H3589">
        <v>0</v>
      </c>
      <c r="I3589" t="s">
        <v>18</v>
      </c>
      <c r="J3589" t="s">
        <v>31</v>
      </c>
      <c r="K3589" t="s">
        <v>38</v>
      </c>
      <c r="L3589">
        <v>7</v>
      </c>
      <c r="M3589">
        <v>1</v>
      </c>
      <c r="N3589">
        <v>1</v>
      </c>
      <c r="O3589" t="s">
        <v>21</v>
      </c>
      <c r="P3589" t="str">
        <f>TEXT(Table1[[#This Row],[order_date]],"yyyy-mm")</f>
        <v>2025-09</v>
      </c>
      <c r="Q3589">
        <f>WEEKNUM(Table1[[#This Row],[order_date]])</f>
        <v>39</v>
      </c>
      <c r="R3589">
        <f>IF(Table1[[#This Row],[order_status]]="completed",1,0)</f>
        <v>0</v>
      </c>
    </row>
    <row r="3590" spans="1:18" x14ac:dyDescent="0.35">
      <c r="A3590">
        <v>3589</v>
      </c>
      <c r="B3590" s="1">
        <v>45915</v>
      </c>
      <c r="C3590">
        <v>1029</v>
      </c>
      <c r="D3590" t="s">
        <v>32</v>
      </c>
      <c r="E3590" t="s">
        <v>33</v>
      </c>
      <c r="F3590" t="s">
        <v>24</v>
      </c>
      <c r="G3590">
        <v>5</v>
      </c>
      <c r="H3590">
        <v>3745</v>
      </c>
      <c r="I3590" t="s">
        <v>25</v>
      </c>
      <c r="J3590" t="s">
        <v>19</v>
      </c>
      <c r="K3590" t="s">
        <v>40</v>
      </c>
      <c r="L3590">
        <v>3</v>
      </c>
      <c r="M3590">
        <v>1</v>
      </c>
      <c r="N3590">
        <v>1</v>
      </c>
      <c r="O3590" t="s">
        <v>27</v>
      </c>
      <c r="P3590" t="str">
        <f>TEXT(Table1[[#This Row],[order_date]],"yyyy-mm")</f>
        <v>2025-09</v>
      </c>
      <c r="Q3590">
        <f>WEEKNUM(Table1[[#This Row],[order_date]])</f>
        <v>38</v>
      </c>
      <c r="R3590">
        <f>IF(Table1[[#This Row],[order_status]]="completed",1,0)</f>
        <v>1</v>
      </c>
    </row>
    <row r="3591" spans="1:18" x14ac:dyDescent="0.35">
      <c r="A3591">
        <v>3590</v>
      </c>
      <c r="B3591" s="1">
        <v>46009</v>
      </c>
      <c r="C3591">
        <v>1356</v>
      </c>
      <c r="D3591" t="s">
        <v>41</v>
      </c>
      <c r="E3591" t="s">
        <v>23</v>
      </c>
      <c r="F3591" t="s">
        <v>30</v>
      </c>
      <c r="G3591">
        <v>3</v>
      </c>
      <c r="H3591">
        <v>1497</v>
      </c>
      <c r="I3591" t="s">
        <v>35</v>
      </c>
      <c r="J3591" t="s">
        <v>19</v>
      </c>
      <c r="K3591" t="s">
        <v>20</v>
      </c>
      <c r="L3591">
        <v>5</v>
      </c>
      <c r="M3591">
        <v>0</v>
      </c>
      <c r="N3591">
        <v>0</v>
      </c>
      <c r="O3591" t="s">
        <v>21</v>
      </c>
      <c r="P3591" t="str">
        <f>TEXT(Table1[[#This Row],[order_date]],"yyyy-mm")</f>
        <v>2025-12</v>
      </c>
      <c r="Q3591">
        <f>WEEKNUM(Table1[[#This Row],[order_date]])</f>
        <v>51</v>
      </c>
      <c r="R3591">
        <f>IF(Table1[[#This Row],[order_status]]="completed",1,0)</f>
        <v>1</v>
      </c>
    </row>
    <row r="3592" spans="1:18" x14ac:dyDescent="0.35">
      <c r="A3592">
        <v>3591</v>
      </c>
      <c r="B3592" s="1">
        <v>45874</v>
      </c>
      <c r="C3592">
        <v>1294</v>
      </c>
      <c r="D3592" t="s">
        <v>28</v>
      </c>
      <c r="E3592" t="s">
        <v>36</v>
      </c>
      <c r="F3592" t="s">
        <v>34</v>
      </c>
      <c r="G3592">
        <v>2</v>
      </c>
      <c r="H3592">
        <v>0</v>
      </c>
      <c r="I3592" t="s">
        <v>35</v>
      </c>
      <c r="J3592" t="s">
        <v>31</v>
      </c>
      <c r="K3592" t="s">
        <v>38</v>
      </c>
      <c r="L3592">
        <v>1</v>
      </c>
      <c r="M3592">
        <v>1</v>
      </c>
      <c r="N3592">
        <v>0</v>
      </c>
      <c r="O3592" t="s">
        <v>27</v>
      </c>
      <c r="P3592" t="str">
        <f>TEXT(Table1[[#This Row],[order_date]],"yyyy-mm")</f>
        <v>2025-08</v>
      </c>
      <c r="Q3592">
        <f>WEEKNUM(Table1[[#This Row],[order_date]])</f>
        <v>32</v>
      </c>
      <c r="R3592">
        <f>IF(Table1[[#This Row],[order_status]]="completed",1,0)</f>
        <v>0</v>
      </c>
    </row>
    <row r="3593" spans="1:18" x14ac:dyDescent="0.35">
      <c r="A3593">
        <v>3592</v>
      </c>
      <c r="B3593" s="1">
        <v>45857</v>
      </c>
      <c r="C3593">
        <v>1979</v>
      </c>
      <c r="D3593" t="s">
        <v>15</v>
      </c>
      <c r="E3593" t="s">
        <v>23</v>
      </c>
      <c r="F3593" t="s">
        <v>34</v>
      </c>
      <c r="G3593">
        <v>2</v>
      </c>
      <c r="H3593">
        <v>0</v>
      </c>
      <c r="I3593" t="s">
        <v>18</v>
      </c>
      <c r="J3593" t="s">
        <v>31</v>
      </c>
      <c r="K3593" t="s">
        <v>26</v>
      </c>
      <c r="L3593">
        <v>10</v>
      </c>
      <c r="M3593">
        <v>1</v>
      </c>
      <c r="N3593">
        <v>0</v>
      </c>
      <c r="O3593" t="s">
        <v>21</v>
      </c>
      <c r="P3593" t="str">
        <f>TEXT(Table1[[#This Row],[order_date]],"yyyy-mm")</f>
        <v>2025-07</v>
      </c>
      <c r="Q3593">
        <f>WEEKNUM(Table1[[#This Row],[order_date]])</f>
        <v>29</v>
      </c>
      <c r="R3593">
        <f>IF(Table1[[#This Row],[order_status]]="completed",1,0)</f>
        <v>0</v>
      </c>
    </row>
    <row r="3594" spans="1:18" x14ac:dyDescent="0.35">
      <c r="A3594">
        <v>3593</v>
      </c>
      <c r="B3594" s="1">
        <v>46013</v>
      </c>
      <c r="C3594">
        <v>1806</v>
      </c>
      <c r="D3594" t="s">
        <v>32</v>
      </c>
      <c r="E3594" t="s">
        <v>16</v>
      </c>
      <c r="F3594" t="s">
        <v>34</v>
      </c>
      <c r="G3594">
        <v>1</v>
      </c>
      <c r="H3594">
        <v>0</v>
      </c>
      <c r="I3594" t="s">
        <v>18</v>
      </c>
      <c r="J3594" t="s">
        <v>31</v>
      </c>
      <c r="K3594" t="s">
        <v>20</v>
      </c>
      <c r="L3594">
        <v>4</v>
      </c>
      <c r="M3594">
        <v>0</v>
      </c>
      <c r="N3594">
        <v>1</v>
      </c>
      <c r="O3594" t="s">
        <v>27</v>
      </c>
      <c r="P3594" t="str">
        <f>TEXT(Table1[[#This Row],[order_date]],"yyyy-mm")</f>
        <v>2025-12</v>
      </c>
      <c r="Q3594">
        <f>WEEKNUM(Table1[[#This Row],[order_date]])</f>
        <v>52</v>
      </c>
      <c r="R3594">
        <f>IF(Table1[[#This Row],[order_status]]="completed",1,0)</f>
        <v>0</v>
      </c>
    </row>
    <row r="3595" spans="1:18" x14ac:dyDescent="0.35">
      <c r="A3595">
        <v>3594</v>
      </c>
      <c r="B3595" s="1">
        <v>45954</v>
      </c>
      <c r="C3595">
        <v>1412</v>
      </c>
      <c r="D3595" t="s">
        <v>15</v>
      </c>
      <c r="E3595" t="s">
        <v>36</v>
      </c>
      <c r="F3595" t="s">
        <v>34</v>
      </c>
      <c r="G3595">
        <v>4</v>
      </c>
      <c r="H3595">
        <v>0</v>
      </c>
      <c r="I3595" t="s">
        <v>18</v>
      </c>
      <c r="J3595" t="s">
        <v>31</v>
      </c>
      <c r="K3595" t="s">
        <v>40</v>
      </c>
      <c r="L3595">
        <v>2</v>
      </c>
      <c r="M3595">
        <v>1</v>
      </c>
      <c r="N3595">
        <v>1</v>
      </c>
      <c r="O3595" t="s">
        <v>21</v>
      </c>
      <c r="P3595" t="str">
        <f>TEXT(Table1[[#This Row],[order_date]],"yyyy-mm")</f>
        <v>2025-10</v>
      </c>
      <c r="Q3595">
        <f>WEEKNUM(Table1[[#This Row],[order_date]])</f>
        <v>43</v>
      </c>
      <c r="R3595">
        <f>IF(Table1[[#This Row],[order_status]]="completed",1,0)</f>
        <v>0</v>
      </c>
    </row>
    <row r="3596" spans="1:18" x14ac:dyDescent="0.35">
      <c r="A3596">
        <v>3595</v>
      </c>
      <c r="B3596" s="1">
        <v>45887</v>
      </c>
      <c r="C3596">
        <v>1960</v>
      </c>
      <c r="D3596" t="s">
        <v>28</v>
      </c>
      <c r="E3596" t="s">
        <v>23</v>
      </c>
      <c r="F3596" t="s">
        <v>34</v>
      </c>
      <c r="G3596">
        <v>1</v>
      </c>
      <c r="H3596">
        <v>4606</v>
      </c>
      <c r="I3596" t="s">
        <v>35</v>
      </c>
      <c r="J3596" t="s">
        <v>19</v>
      </c>
      <c r="K3596" t="s">
        <v>20</v>
      </c>
      <c r="L3596">
        <v>8</v>
      </c>
      <c r="M3596">
        <v>0</v>
      </c>
      <c r="N3596">
        <v>0</v>
      </c>
      <c r="O3596" t="s">
        <v>21</v>
      </c>
      <c r="P3596" t="str">
        <f>TEXT(Table1[[#This Row],[order_date]],"yyyy-mm")</f>
        <v>2025-08</v>
      </c>
      <c r="Q3596">
        <f>WEEKNUM(Table1[[#This Row],[order_date]])</f>
        <v>34</v>
      </c>
      <c r="R3596">
        <f>IF(Table1[[#This Row],[order_status]]="completed",1,0)</f>
        <v>1</v>
      </c>
    </row>
    <row r="3597" spans="1:18" x14ac:dyDescent="0.35">
      <c r="A3597">
        <v>3596</v>
      </c>
      <c r="B3597" s="1">
        <v>45916</v>
      </c>
      <c r="C3597">
        <v>1560</v>
      </c>
      <c r="D3597" t="s">
        <v>15</v>
      </c>
      <c r="E3597" t="s">
        <v>33</v>
      </c>
      <c r="F3597" t="s">
        <v>30</v>
      </c>
      <c r="G3597">
        <v>4</v>
      </c>
      <c r="H3597">
        <v>0</v>
      </c>
      <c r="I3597" t="s">
        <v>18</v>
      </c>
      <c r="J3597" t="s">
        <v>31</v>
      </c>
      <c r="K3597" t="s">
        <v>38</v>
      </c>
      <c r="L3597">
        <v>7</v>
      </c>
      <c r="M3597">
        <v>0</v>
      </c>
      <c r="N3597">
        <v>1</v>
      </c>
      <c r="O3597" t="s">
        <v>21</v>
      </c>
      <c r="P3597" t="str">
        <f>TEXT(Table1[[#This Row],[order_date]],"yyyy-mm")</f>
        <v>2025-09</v>
      </c>
      <c r="Q3597">
        <f>WEEKNUM(Table1[[#This Row],[order_date]])</f>
        <v>38</v>
      </c>
      <c r="R3597">
        <f>IF(Table1[[#This Row],[order_status]]="completed",1,0)</f>
        <v>0</v>
      </c>
    </row>
    <row r="3598" spans="1:18" x14ac:dyDescent="0.35">
      <c r="A3598">
        <v>3597</v>
      </c>
      <c r="B3598" s="1">
        <v>46005</v>
      </c>
      <c r="C3598">
        <v>1271</v>
      </c>
      <c r="D3598" t="s">
        <v>15</v>
      </c>
      <c r="E3598" t="s">
        <v>16</v>
      </c>
      <c r="F3598" t="s">
        <v>24</v>
      </c>
      <c r="G3598">
        <v>4</v>
      </c>
      <c r="H3598">
        <v>0</v>
      </c>
      <c r="I3598" t="s">
        <v>25</v>
      </c>
      <c r="J3598" t="s">
        <v>31</v>
      </c>
      <c r="K3598" t="s">
        <v>38</v>
      </c>
      <c r="L3598">
        <v>10</v>
      </c>
      <c r="M3598">
        <v>0</v>
      </c>
      <c r="N3598">
        <v>1</v>
      </c>
      <c r="O3598" t="s">
        <v>21</v>
      </c>
      <c r="P3598" t="str">
        <f>TEXT(Table1[[#This Row],[order_date]],"yyyy-mm")</f>
        <v>2025-12</v>
      </c>
      <c r="Q3598">
        <f>WEEKNUM(Table1[[#This Row],[order_date]])</f>
        <v>51</v>
      </c>
      <c r="R3598">
        <f>IF(Table1[[#This Row],[order_status]]="completed",1,0)</f>
        <v>0</v>
      </c>
    </row>
    <row r="3599" spans="1:18" x14ac:dyDescent="0.35">
      <c r="A3599">
        <v>3598</v>
      </c>
      <c r="B3599" s="1">
        <v>45988</v>
      </c>
      <c r="C3599">
        <v>1734</v>
      </c>
      <c r="D3599" t="s">
        <v>28</v>
      </c>
      <c r="E3599" t="s">
        <v>16</v>
      </c>
      <c r="F3599" t="s">
        <v>30</v>
      </c>
      <c r="G3599">
        <v>5</v>
      </c>
      <c r="H3599">
        <v>0</v>
      </c>
      <c r="I3599" t="s">
        <v>18</v>
      </c>
      <c r="J3599" t="s">
        <v>37</v>
      </c>
      <c r="K3599" t="s">
        <v>20</v>
      </c>
      <c r="L3599">
        <v>7</v>
      </c>
      <c r="M3599">
        <v>1</v>
      </c>
      <c r="N3599">
        <v>1</v>
      </c>
      <c r="O3599" t="s">
        <v>21</v>
      </c>
      <c r="P3599" t="str">
        <f>TEXT(Table1[[#This Row],[order_date]],"yyyy-mm")</f>
        <v>2025-11</v>
      </c>
      <c r="Q3599">
        <f>WEEKNUM(Table1[[#This Row],[order_date]])</f>
        <v>48</v>
      </c>
      <c r="R3599">
        <f>IF(Table1[[#This Row],[order_status]]="completed",1,0)</f>
        <v>0</v>
      </c>
    </row>
    <row r="3600" spans="1:18" x14ac:dyDescent="0.35">
      <c r="A3600">
        <v>3599</v>
      </c>
      <c r="B3600" s="1">
        <v>45947</v>
      </c>
      <c r="C3600">
        <v>1340</v>
      </c>
      <c r="D3600" t="s">
        <v>22</v>
      </c>
      <c r="E3600" t="s">
        <v>16</v>
      </c>
      <c r="F3600" t="s">
        <v>30</v>
      </c>
      <c r="G3600">
        <v>2</v>
      </c>
      <c r="H3600">
        <v>2478</v>
      </c>
      <c r="I3600" t="s">
        <v>35</v>
      </c>
      <c r="J3600" t="s">
        <v>19</v>
      </c>
      <c r="K3600" t="s">
        <v>26</v>
      </c>
      <c r="L3600">
        <v>8</v>
      </c>
      <c r="M3600">
        <v>1</v>
      </c>
      <c r="N3600">
        <v>1</v>
      </c>
      <c r="O3600" t="s">
        <v>21</v>
      </c>
      <c r="P3600" t="str">
        <f>TEXT(Table1[[#This Row],[order_date]],"yyyy-mm")</f>
        <v>2025-10</v>
      </c>
      <c r="Q3600">
        <f>WEEKNUM(Table1[[#This Row],[order_date]])</f>
        <v>42</v>
      </c>
      <c r="R3600">
        <f>IF(Table1[[#This Row],[order_status]]="completed",1,0)</f>
        <v>1</v>
      </c>
    </row>
    <row r="3601" spans="1:18" x14ac:dyDescent="0.35">
      <c r="A3601">
        <v>3600</v>
      </c>
      <c r="B3601" s="1">
        <v>45931</v>
      </c>
      <c r="C3601">
        <v>1887</v>
      </c>
      <c r="D3601" t="s">
        <v>22</v>
      </c>
      <c r="E3601" t="s">
        <v>23</v>
      </c>
      <c r="F3601" t="s">
        <v>17</v>
      </c>
      <c r="G3601">
        <v>5</v>
      </c>
      <c r="H3601">
        <v>0</v>
      </c>
      <c r="I3601" t="s">
        <v>18</v>
      </c>
      <c r="J3601" t="s">
        <v>37</v>
      </c>
      <c r="K3601" t="s">
        <v>26</v>
      </c>
      <c r="L3601">
        <v>10</v>
      </c>
      <c r="M3601">
        <v>1</v>
      </c>
      <c r="N3601">
        <v>0</v>
      </c>
      <c r="O3601" t="s">
        <v>21</v>
      </c>
      <c r="P3601" t="str">
        <f>TEXT(Table1[[#This Row],[order_date]],"yyyy-mm")</f>
        <v>2025-10</v>
      </c>
      <c r="Q3601">
        <f>WEEKNUM(Table1[[#This Row],[order_date]])</f>
        <v>40</v>
      </c>
      <c r="R3601">
        <f>IF(Table1[[#This Row],[order_status]]="completed",1,0)</f>
        <v>0</v>
      </c>
    </row>
    <row r="3602" spans="1:18" x14ac:dyDescent="0.35">
      <c r="A3602">
        <v>3601</v>
      </c>
      <c r="B3602" s="1">
        <v>46023</v>
      </c>
      <c r="C3602">
        <v>1104</v>
      </c>
      <c r="D3602" t="s">
        <v>15</v>
      </c>
      <c r="E3602" t="s">
        <v>33</v>
      </c>
      <c r="F3602" t="s">
        <v>24</v>
      </c>
      <c r="G3602">
        <v>2</v>
      </c>
      <c r="H3602">
        <v>0</v>
      </c>
      <c r="I3602" t="s">
        <v>25</v>
      </c>
      <c r="J3602" t="s">
        <v>37</v>
      </c>
      <c r="K3602" t="s">
        <v>38</v>
      </c>
      <c r="L3602">
        <v>10</v>
      </c>
      <c r="M3602">
        <v>1</v>
      </c>
      <c r="N3602">
        <v>1</v>
      </c>
      <c r="O3602" t="s">
        <v>21</v>
      </c>
      <c r="P3602" t="str">
        <f>TEXT(Table1[[#This Row],[order_date]],"yyyy-mm")</f>
        <v>2026-01</v>
      </c>
      <c r="Q3602">
        <f>WEEKNUM(Table1[[#This Row],[order_date]])</f>
        <v>1</v>
      </c>
      <c r="R3602">
        <f>IF(Table1[[#This Row],[order_status]]="completed",1,0)</f>
        <v>0</v>
      </c>
    </row>
    <row r="3603" spans="1:18" x14ac:dyDescent="0.35">
      <c r="A3603">
        <v>3602</v>
      </c>
      <c r="B3603" s="1">
        <v>45931</v>
      </c>
      <c r="C3603">
        <v>1800</v>
      </c>
      <c r="D3603" t="s">
        <v>22</v>
      </c>
      <c r="E3603" t="s">
        <v>16</v>
      </c>
      <c r="F3603" t="s">
        <v>17</v>
      </c>
      <c r="G3603">
        <v>1</v>
      </c>
      <c r="H3603">
        <v>0</v>
      </c>
      <c r="I3603" t="s">
        <v>25</v>
      </c>
      <c r="J3603" t="s">
        <v>37</v>
      </c>
      <c r="K3603" t="s">
        <v>38</v>
      </c>
      <c r="L3603">
        <v>2</v>
      </c>
      <c r="M3603">
        <v>0</v>
      </c>
      <c r="N3603">
        <v>1</v>
      </c>
      <c r="O3603" t="s">
        <v>27</v>
      </c>
      <c r="P3603" t="str">
        <f>TEXT(Table1[[#This Row],[order_date]],"yyyy-mm")</f>
        <v>2025-10</v>
      </c>
      <c r="Q3603">
        <f>WEEKNUM(Table1[[#This Row],[order_date]])</f>
        <v>40</v>
      </c>
      <c r="R3603">
        <f>IF(Table1[[#This Row],[order_status]]="completed",1,0)</f>
        <v>0</v>
      </c>
    </row>
    <row r="3604" spans="1:18" x14ac:dyDescent="0.35">
      <c r="A3604">
        <v>3603</v>
      </c>
      <c r="B3604" s="1">
        <v>45881</v>
      </c>
      <c r="C3604">
        <v>1786</v>
      </c>
      <c r="D3604" t="s">
        <v>32</v>
      </c>
      <c r="E3604" t="s">
        <v>16</v>
      </c>
      <c r="F3604" t="s">
        <v>24</v>
      </c>
      <c r="G3604">
        <v>1</v>
      </c>
      <c r="H3604">
        <v>4319</v>
      </c>
      <c r="I3604" t="s">
        <v>39</v>
      </c>
      <c r="J3604" t="s">
        <v>19</v>
      </c>
      <c r="K3604" t="s">
        <v>20</v>
      </c>
      <c r="L3604">
        <v>5</v>
      </c>
      <c r="M3604">
        <v>0</v>
      </c>
      <c r="N3604">
        <v>1</v>
      </c>
      <c r="O3604" t="s">
        <v>27</v>
      </c>
      <c r="P3604" t="str">
        <f>TEXT(Table1[[#This Row],[order_date]],"yyyy-mm")</f>
        <v>2025-08</v>
      </c>
      <c r="Q3604">
        <f>WEEKNUM(Table1[[#This Row],[order_date]])</f>
        <v>33</v>
      </c>
      <c r="R3604">
        <f>IF(Table1[[#This Row],[order_status]]="completed",1,0)</f>
        <v>1</v>
      </c>
    </row>
    <row r="3605" spans="1:18" x14ac:dyDescent="0.35">
      <c r="A3605">
        <v>3604</v>
      </c>
      <c r="B3605" s="1">
        <v>45936</v>
      </c>
      <c r="C3605">
        <v>1995</v>
      </c>
      <c r="D3605" t="s">
        <v>15</v>
      </c>
      <c r="E3605" t="s">
        <v>29</v>
      </c>
      <c r="F3605" t="s">
        <v>34</v>
      </c>
      <c r="G3605">
        <v>2</v>
      </c>
      <c r="H3605">
        <v>0</v>
      </c>
      <c r="I3605" t="s">
        <v>39</v>
      </c>
      <c r="J3605" t="s">
        <v>37</v>
      </c>
      <c r="K3605" t="s">
        <v>38</v>
      </c>
      <c r="L3605">
        <v>6</v>
      </c>
      <c r="M3605">
        <v>1</v>
      </c>
      <c r="N3605">
        <v>1</v>
      </c>
      <c r="O3605" t="s">
        <v>27</v>
      </c>
      <c r="P3605" t="str">
        <f>TEXT(Table1[[#This Row],[order_date]],"yyyy-mm")</f>
        <v>2025-10</v>
      </c>
      <c r="Q3605">
        <f>WEEKNUM(Table1[[#This Row],[order_date]])</f>
        <v>41</v>
      </c>
      <c r="R3605">
        <f>IF(Table1[[#This Row],[order_status]]="completed",1,0)</f>
        <v>0</v>
      </c>
    </row>
    <row r="3606" spans="1:18" x14ac:dyDescent="0.35">
      <c r="A3606">
        <v>3605</v>
      </c>
      <c r="B3606" s="1">
        <v>45885</v>
      </c>
      <c r="C3606">
        <v>1268</v>
      </c>
      <c r="D3606" t="s">
        <v>32</v>
      </c>
      <c r="E3606" t="s">
        <v>29</v>
      </c>
      <c r="F3606" t="s">
        <v>30</v>
      </c>
      <c r="G3606">
        <v>5</v>
      </c>
      <c r="H3606">
        <v>0</v>
      </c>
      <c r="I3606" t="s">
        <v>25</v>
      </c>
      <c r="J3606" t="s">
        <v>37</v>
      </c>
      <c r="K3606" t="s">
        <v>26</v>
      </c>
      <c r="L3606">
        <v>7</v>
      </c>
      <c r="M3606">
        <v>1</v>
      </c>
      <c r="N3606">
        <v>1</v>
      </c>
      <c r="O3606" t="s">
        <v>21</v>
      </c>
      <c r="P3606" t="str">
        <f>TEXT(Table1[[#This Row],[order_date]],"yyyy-mm")</f>
        <v>2025-08</v>
      </c>
      <c r="Q3606">
        <f>WEEKNUM(Table1[[#This Row],[order_date]])</f>
        <v>33</v>
      </c>
      <c r="R3606">
        <f>IF(Table1[[#This Row],[order_status]]="completed",1,0)</f>
        <v>0</v>
      </c>
    </row>
    <row r="3607" spans="1:18" x14ac:dyDescent="0.35">
      <c r="A3607">
        <v>3606</v>
      </c>
      <c r="B3607" s="1">
        <v>45887</v>
      </c>
      <c r="C3607">
        <v>1481</v>
      </c>
      <c r="D3607" t="s">
        <v>41</v>
      </c>
      <c r="E3607" t="s">
        <v>16</v>
      </c>
      <c r="F3607" t="s">
        <v>30</v>
      </c>
      <c r="G3607">
        <v>4</v>
      </c>
      <c r="H3607">
        <v>0</v>
      </c>
      <c r="I3607" t="s">
        <v>39</v>
      </c>
      <c r="J3607" t="s">
        <v>31</v>
      </c>
      <c r="K3607" t="s">
        <v>40</v>
      </c>
      <c r="L3607">
        <v>7</v>
      </c>
      <c r="M3607">
        <v>1</v>
      </c>
      <c r="N3607">
        <v>1</v>
      </c>
      <c r="O3607" t="s">
        <v>27</v>
      </c>
      <c r="P3607" t="str">
        <f>TEXT(Table1[[#This Row],[order_date]],"yyyy-mm")</f>
        <v>2025-08</v>
      </c>
      <c r="Q3607">
        <f>WEEKNUM(Table1[[#This Row],[order_date]])</f>
        <v>34</v>
      </c>
      <c r="R3607">
        <f>IF(Table1[[#This Row],[order_status]]="completed",1,0)</f>
        <v>0</v>
      </c>
    </row>
    <row r="3608" spans="1:18" x14ac:dyDescent="0.35">
      <c r="A3608">
        <v>3607</v>
      </c>
      <c r="B3608" s="1">
        <v>45907</v>
      </c>
      <c r="C3608">
        <v>1597</v>
      </c>
      <c r="D3608" t="s">
        <v>28</v>
      </c>
      <c r="E3608" t="s">
        <v>36</v>
      </c>
      <c r="F3608" t="s">
        <v>17</v>
      </c>
      <c r="G3608">
        <v>1</v>
      </c>
      <c r="H3608">
        <v>0</v>
      </c>
      <c r="I3608" t="s">
        <v>18</v>
      </c>
      <c r="J3608" t="s">
        <v>37</v>
      </c>
      <c r="K3608" t="s">
        <v>40</v>
      </c>
      <c r="L3608">
        <v>3</v>
      </c>
      <c r="M3608">
        <v>1</v>
      </c>
      <c r="N3608">
        <v>0</v>
      </c>
      <c r="O3608" t="s">
        <v>27</v>
      </c>
      <c r="P3608" t="str">
        <f>TEXT(Table1[[#This Row],[order_date]],"yyyy-mm")</f>
        <v>2025-09</v>
      </c>
      <c r="Q3608">
        <f>WEEKNUM(Table1[[#This Row],[order_date]])</f>
        <v>37</v>
      </c>
      <c r="R3608">
        <f>IF(Table1[[#This Row],[order_status]]="completed",1,0)</f>
        <v>0</v>
      </c>
    </row>
    <row r="3609" spans="1:18" x14ac:dyDescent="0.35">
      <c r="A3609">
        <v>3608</v>
      </c>
      <c r="B3609" s="1">
        <v>45857</v>
      </c>
      <c r="C3609">
        <v>1339</v>
      </c>
      <c r="D3609" t="s">
        <v>22</v>
      </c>
      <c r="E3609" t="s">
        <v>29</v>
      </c>
      <c r="F3609" t="s">
        <v>30</v>
      </c>
      <c r="G3609">
        <v>3</v>
      </c>
      <c r="H3609">
        <v>0</v>
      </c>
      <c r="I3609" t="s">
        <v>39</v>
      </c>
      <c r="J3609" t="s">
        <v>37</v>
      </c>
      <c r="K3609" t="s">
        <v>38</v>
      </c>
      <c r="L3609">
        <v>7</v>
      </c>
      <c r="M3609">
        <v>0</v>
      </c>
      <c r="N3609">
        <v>1</v>
      </c>
      <c r="O3609" t="s">
        <v>27</v>
      </c>
      <c r="P3609" t="str">
        <f>TEXT(Table1[[#This Row],[order_date]],"yyyy-mm")</f>
        <v>2025-07</v>
      </c>
      <c r="Q3609">
        <f>WEEKNUM(Table1[[#This Row],[order_date]])</f>
        <v>29</v>
      </c>
      <c r="R3609">
        <f>IF(Table1[[#This Row],[order_status]]="completed",1,0)</f>
        <v>0</v>
      </c>
    </row>
    <row r="3610" spans="1:18" x14ac:dyDescent="0.35">
      <c r="A3610">
        <v>3609</v>
      </c>
      <c r="B3610" s="1">
        <v>46013</v>
      </c>
      <c r="C3610">
        <v>1372</v>
      </c>
      <c r="D3610" t="s">
        <v>22</v>
      </c>
      <c r="E3610" t="s">
        <v>33</v>
      </c>
      <c r="F3610" t="s">
        <v>30</v>
      </c>
      <c r="G3610">
        <v>2</v>
      </c>
      <c r="H3610">
        <v>0</v>
      </c>
      <c r="I3610" t="s">
        <v>35</v>
      </c>
      <c r="J3610" t="s">
        <v>31</v>
      </c>
      <c r="K3610" t="s">
        <v>38</v>
      </c>
      <c r="L3610">
        <v>2</v>
      </c>
      <c r="M3610">
        <v>1</v>
      </c>
      <c r="N3610">
        <v>0</v>
      </c>
      <c r="O3610" t="s">
        <v>27</v>
      </c>
      <c r="P3610" t="str">
        <f>TEXT(Table1[[#This Row],[order_date]],"yyyy-mm")</f>
        <v>2025-12</v>
      </c>
      <c r="Q3610">
        <f>WEEKNUM(Table1[[#This Row],[order_date]])</f>
        <v>52</v>
      </c>
      <c r="R3610">
        <f>IF(Table1[[#This Row],[order_status]]="completed",1,0)</f>
        <v>0</v>
      </c>
    </row>
    <row r="3611" spans="1:18" x14ac:dyDescent="0.35">
      <c r="A3611">
        <v>3610</v>
      </c>
      <c r="B3611" s="1">
        <v>45896</v>
      </c>
      <c r="C3611">
        <v>1181</v>
      </c>
      <c r="D3611" t="s">
        <v>15</v>
      </c>
      <c r="E3611" t="s">
        <v>29</v>
      </c>
      <c r="F3611" t="s">
        <v>17</v>
      </c>
      <c r="G3611">
        <v>2</v>
      </c>
      <c r="H3611">
        <v>1178</v>
      </c>
      <c r="I3611" t="s">
        <v>25</v>
      </c>
      <c r="J3611" t="s">
        <v>19</v>
      </c>
      <c r="K3611" t="s">
        <v>38</v>
      </c>
      <c r="L3611">
        <v>10</v>
      </c>
      <c r="M3611">
        <v>0</v>
      </c>
      <c r="N3611">
        <v>0</v>
      </c>
      <c r="O3611" t="s">
        <v>21</v>
      </c>
      <c r="P3611" t="str">
        <f>TEXT(Table1[[#This Row],[order_date]],"yyyy-mm")</f>
        <v>2025-08</v>
      </c>
      <c r="Q3611">
        <f>WEEKNUM(Table1[[#This Row],[order_date]])</f>
        <v>35</v>
      </c>
      <c r="R3611">
        <f>IF(Table1[[#This Row],[order_status]]="completed",1,0)</f>
        <v>1</v>
      </c>
    </row>
    <row r="3612" spans="1:18" x14ac:dyDescent="0.35">
      <c r="A3612">
        <v>3611</v>
      </c>
      <c r="B3612" s="1">
        <v>45940</v>
      </c>
      <c r="C3612">
        <v>1545</v>
      </c>
      <c r="D3612" t="s">
        <v>41</v>
      </c>
      <c r="E3612" t="s">
        <v>23</v>
      </c>
      <c r="F3612" t="s">
        <v>34</v>
      </c>
      <c r="G3612">
        <v>5</v>
      </c>
      <c r="H3612">
        <v>21525</v>
      </c>
      <c r="I3612" t="s">
        <v>35</v>
      </c>
      <c r="J3612" t="s">
        <v>19</v>
      </c>
      <c r="K3612" t="s">
        <v>40</v>
      </c>
      <c r="L3612">
        <v>9</v>
      </c>
      <c r="M3612">
        <v>0</v>
      </c>
      <c r="N3612">
        <v>0</v>
      </c>
      <c r="O3612" t="s">
        <v>27</v>
      </c>
      <c r="P3612" t="str">
        <f>TEXT(Table1[[#This Row],[order_date]],"yyyy-mm")</f>
        <v>2025-10</v>
      </c>
      <c r="Q3612">
        <f>WEEKNUM(Table1[[#This Row],[order_date]])</f>
        <v>41</v>
      </c>
      <c r="R3612">
        <f>IF(Table1[[#This Row],[order_status]]="completed",1,0)</f>
        <v>1</v>
      </c>
    </row>
    <row r="3613" spans="1:18" x14ac:dyDescent="0.35">
      <c r="A3613">
        <v>3612</v>
      </c>
      <c r="B3613" s="1">
        <v>45862</v>
      </c>
      <c r="C3613">
        <v>1541</v>
      </c>
      <c r="D3613" t="s">
        <v>32</v>
      </c>
      <c r="E3613" t="s">
        <v>33</v>
      </c>
      <c r="F3613" t="s">
        <v>24</v>
      </c>
      <c r="G3613">
        <v>1</v>
      </c>
      <c r="H3613">
        <v>0</v>
      </c>
      <c r="I3613" t="s">
        <v>35</v>
      </c>
      <c r="J3613" t="s">
        <v>37</v>
      </c>
      <c r="K3613" t="s">
        <v>26</v>
      </c>
      <c r="L3613">
        <v>8</v>
      </c>
      <c r="M3613">
        <v>0</v>
      </c>
      <c r="N3613">
        <v>0</v>
      </c>
      <c r="O3613" t="s">
        <v>27</v>
      </c>
      <c r="P3613" t="str">
        <f>TEXT(Table1[[#This Row],[order_date]],"yyyy-mm")</f>
        <v>2025-07</v>
      </c>
      <c r="Q3613">
        <f>WEEKNUM(Table1[[#This Row],[order_date]])</f>
        <v>30</v>
      </c>
      <c r="R3613">
        <f>IF(Table1[[#This Row],[order_status]]="completed",1,0)</f>
        <v>0</v>
      </c>
    </row>
    <row r="3614" spans="1:18" x14ac:dyDescent="0.35">
      <c r="A3614">
        <v>3613</v>
      </c>
      <c r="B3614" s="1">
        <v>45882</v>
      </c>
      <c r="C3614">
        <v>1370</v>
      </c>
      <c r="D3614" t="s">
        <v>28</v>
      </c>
      <c r="E3614" t="s">
        <v>23</v>
      </c>
      <c r="F3614" t="s">
        <v>24</v>
      </c>
      <c r="G3614">
        <v>5</v>
      </c>
      <c r="H3614">
        <v>8075</v>
      </c>
      <c r="I3614" t="s">
        <v>18</v>
      </c>
      <c r="J3614" t="s">
        <v>19</v>
      </c>
      <c r="K3614" t="s">
        <v>26</v>
      </c>
      <c r="L3614">
        <v>7</v>
      </c>
      <c r="M3614">
        <v>1</v>
      </c>
      <c r="N3614">
        <v>0</v>
      </c>
      <c r="O3614" t="s">
        <v>21</v>
      </c>
      <c r="P3614" t="str">
        <f>TEXT(Table1[[#This Row],[order_date]],"yyyy-mm")</f>
        <v>2025-08</v>
      </c>
      <c r="Q3614">
        <f>WEEKNUM(Table1[[#This Row],[order_date]])</f>
        <v>33</v>
      </c>
      <c r="R3614">
        <f>IF(Table1[[#This Row],[order_status]]="completed",1,0)</f>
        <v>1</v>
      </c>
    </row>
    <row r="3615" spans="1:18" x14ac:dyDescent="0.35">
      <c r="A3615">
        <v>3614</v>
      </c>
      <c r="B3615" s="1">
        <v>45885</v>
      </c>
      <c r="C3615">
        <v>1398</v>
      </c>
      <c r="D3615" t="s">
        <v>41</v>
      </c>
      <c r="E3615" t="s">
        <v>23</v>
      </c>
      <c r="F3615" t="s">
        <v>30</v>
      </c>
      <c r="G3615">
        <v>3</v>
      </c>
      <c r="H3615">
        <v>0</v>
      </c>
      <c r="I3615" t="s">
        <v>25</v>
      </c>
      <c r="J3615" t="s">
        <v>31</v>
      </c>
      <c r="K3615" t="s">
        <v>26</v>
      </c>
      <c r="L3615">
        <v>6</v>
      </c>
      <c r="M3615">
        <v>1</v>
      </c>
      <c r="N3615">
        <v>0</v>
      </c>
      <c r="O3615" t="s">
        <v>27</v>
      </c>
      <c r="P3615" t="str">
        <f>TEXT(Table1[[#This Row],[order_date]],"yyyy-mm")</f>
        <v>2025-08</v>
      </c>
      <c r="Q3615">
        <f>WEEKNUM(Table1[[#This Row],[order_date]])</f>
        <v>33</v>
      </c>
      <c r="R3615">
        <f>IF(Table1[[#This Row],[order_status]]="completed",1,0)</f>
        <v>0</v>
      </c>
    </row>
    <row r="3616" spans="1:18" x14ac:dyDescent="0.35">
      <c r="A3616">
        <v>3615</v>
      </c>
      <c r="B3616" s="1">
        <v>45998</v>
      </c>
      <c r="C3616">
        <v>1508</v>
      </c>
      <c r="D3616" t="s">
        <v>32</v>
      </c>
      <c r="E3616" t="s">
        <v>33</v>
      </c>
      <c r="F3616" t="s">
        <v>17</v>
      </c>
      <c r="G3616">
        <v>3</v>
      </c>
      <c r="H3616">
        <v>0</v>
      </c>
      <c r="I3616" t="s">
        <v>35</v>
      </c>
      <c r="J3616" t="s">
        <v>37</v>
      </c>
      <c r="K3616" t="s">
        <v>40</v>
      </c>
      <c r="L3616">
        <v>8</v>
      </c>
      <c r="M3616">
        <v>1</v>
      </c>
      <c r="N3616">
        <v>1</v>
      </c>
      <c r="O3616" t="s">
        <v>21</v>
      </c>
      <c r="P3616" t="str">
        <f>TEXT(Table1[[#This Row],[order_date]],"yyyy-mm")</f>
        <v>2025-12</v>
      </c>
      <c r="Q3616">
        <f>WEEKNUM(Table1[[#This Row],[order_date]])</f>
        <v>50</v>
      </c>
      <c r="R3616">
        <f>IF(Table1[[#This Row],[order_status]]="completed",1,0)</f>
        <v>0</v>
      </c>
    </row>
    <row r="3617" spans="1:18" x14ac:dyDescent="0.35">
      <c r="A3617">
        <v>3616</v>
      </c>
      <c r="B3617" s="1">
        <v>45896</v>
      </c>
      <c r="C3617">
        <v>1045</v>
      </c>
      <c r="D3617" t="s">
        <v>28</v>
      </c>
      <c r="E3617" t="s">
        <v>16</v>
      </c>
      <c r="F3617" t="s">
        <v>24</v>
      </c>
      <c r="G3617">
        <v>5</v>
      </c>
      <c r="H3617">
        <v>10130</v>
      </c>
      <c r="I3617" t="s">
        <v>39</v>
      </c>
      <c r="J3617" t="s">
        <v>19</v>
      </c>
      <c r="K3617" t="s">
        <v>20</v>
      </c>
      <c r="L3617">
        <v>4</v>
      </c>
      <c r="M3617">
        <v>0</v>
      </c>
      <c r="N3617">
        <v>0</v>
      </c>
      <c r="O3617" t="s">
        <v>21</v>
      </c>
      <c r="P3617" t="str">
        <f>TEXT(Table1[[#This Row],[order_date]],"yyyy-mm")</f>
        <v>2025-08</v>
      </c>
      <c r="Q3617">
        <f>WEEKNUM(Table1[[#This Row],[order_date]])</f>
        <v>35</v>
      </c>
      <c r="R3617">
        <f>IF(Table1[[#This Row],[order_status]]="completed",1,0)</f>
        <v>1</v>
      </c>
    </row>
    <row r="3618" spans="1:18" x14ac:dyDescent="0.35">
      <c r="A3618">
        <v>3617</v>
      </c>
      <c r="B3618" s="1">
        <v>45886</v>
      </c>
      <c r="C3618">
        <v>1568</v>
      </c>
      <c r="D3618" t="s">
        <v>41</v>
      </c>
      <c r="E3618" t="s">
        <v>36</v>
      </c>
      <c r="F3618" t="s">
        <v>34</v>
      </c>
      <c r="G3618">
        <v>4</v>
      </c>
      <c r="H3618">
        <v>1260</v>
      </c>
      <c r="I3618" t="s">
        <v>35</v>
      </c>
      <c r="J3618" t="s">
        <v>19</v>
      </c>
      <c r="K3618" t="s">
        <v>26</v>
      </c>
      <c r="L3618">
        <v>5</v>
      </c>
      <c r="M3618">
        <v>0</v>
      </c>
      <c r="N3618">
        <v>0</v>
      </c>
      <c r="O3618" t="s">
        <v>27</v>
      </c>
      <c r="P3618" t="str">
        <f>TEXT(Table1[[#This Row],[order_date]],"yyyy-mm")</f>
        <v>2025-08</v>
      </c>
      <c r="Q3618">
        <f>WEEKNUM(Table1[[#This Row],[order_date]])</f>
        <v>34</v>
      </c>
      <c r="R3618">
        <f>IF(Table1[[#This Row],[order_status]]="completed",1,0)</f>
        <v>1</v>
      </c>
    </row>
    <row r="3619" spans="1:18" x14ac:dyDescent="0.35">
      <c r="A3619">
        <v>3618</v>
      </c>
      <c r="B3619" s="1">
        <v>46006</v>
      </c>
      <c r="C3619">
        <v>1982</v>
      </c>
      <c r="D3619" t="s">
        <v>22</v>
      </c>
      <c r="E3619" t="s">
        <v>16</v>
      </c>
      <c r="F3619" t="s">
        <v>34</v>
      </c>
      <c r="G3619">
        <v>2</v>
      </c>
      <c r="H3619">
        <v>0</v>
      </c>
      <c r="I3619" t="s">
        <v>35</v>
      </c>
      <c r="J3619" t="s">
        <v>31</v>
      </c>
      <c r="K3619" t="s">
        <v>26</v>
      </c>
      <c r="L3619">
        <v>3</v>
      </c>
      <c r="M3619">
        <v>0</v>
      </c>
      <c r="N3619">
        <v>0</v>
      </c>
      <c r="O3619" t="s">
        <v>21</v>
      </c>
      <c r="P3619" t="str">
        <f>TEXT(Table1[[#This Row],[order_date]],"yyyy-mm")</f>
        <v>2025-12</v>
      </c>
      <c r="Q3619">
        <f>WEEKNUM(Table1[[#This Row],[order_date]])</f>
        <v>51</v>
      </c>
      <c r="R3619">
        <f>IF(Table1[[#This Row],[order_status]]="completed",1,0)</f>
        <v>0</v>
      </c>
    </row>
    <row r="3620" spans="1:18" x14ac:dyDescent="0.35">
      <c r="A3620">
        <v>3619</v>
      </c>
      <c r="B3620" s="1">
        <v>46009</v>
      </c>
      <c r="C3620">
        <v>1776</v>
      </c>
      <c r="D3620" t="s">
        <v>22</v>
      </c>
      <c r="E3620" t="s">
        <v>16</v>
      </c>
      <c r="F3620" t="s">
        <v>24</v>
      </c>
      <c r="G3620">
        <v>3</v>
      </c>
      <c r="H3620">
        <v>0</v>
      </c>
      <c r="I3620" t="s">
        <v>25</v>
      </c>
      <c r="J3620" t="s">
        <v>37</v>
      </c>
      <c r="K3620" t="s">
        <v>26</v>
      </c>
      <c r="L3620">
        <v>4</v>
      </c>
      <c r="M3620">
        <v>0</v>
      </c>
      <c r="N3620">
        <v>0</v>
      </c>
      <c r="O3620" t="s">
        <v>27</v>
      </c>
      <c r="P3620" t="str">
        <f>TEXT(Table1[[#This Row],[order_date]],"yyyy-mm")</f>
        <v>2025-12</v>
      </c>
      <c r="Q3620">
        <f>WEEKNUM(Table1[[#This Row],[order_date]])</f>
        <v>51</v>
      </c>
      <c r="R3620">
        <f>IF(Table1[[#This Row],[order_status]]="completed",1,0)</f>
        <v>0</v>
      </c>
    </row>
    <row r="3621" spans="1:18" x14ac:dyDescent="0.35">
      <c r="A3621">
        <v>3620</v>
      </c>
      <c r="B3621" s="1">
        <v>45891</v>
      </c>
      <c r="C3621">
        <v>1459</v>
      </c>
      <c r="D3621" t="s">
        <v>41</v>
      </c>
      <c r="E3621" t="s">
        <v>36</v>
      </c>
      <c r="F3621" t="s">
        <v>24</v>
      </c>
      <c r="G3621">
        <v>1</v>
      </c>
      <c r="H3621">
        <v>640</v>
      </c>
      <c r="I3621" t="s">
        <v>18</v>
      </c>
      <c r="J3621" t="s">
        <v>19</v>
      </c>
      <c r="K3621" t="s">
        <v>40</v>
      </c>
      <c r="L3621">
        <v>2</v>
      </c>
      <c r="M3621">
        <v>1</v>
      </c>
      <c r="N3621">
        <v>1</v>
      </c>
      <c r="O3621" t="s">
        <v>21</v>
      </c>
      <c r="P3621" t="str">
        <f>TEXT(Table1[[#This Row],[order_date]],"yyyy-mm")</f>
        <v>2025-08</v>
      </c>
      <c r="Q3621">
        <f>WEEKNUM(Table1[[#This Row],[order_date]])</f>
        <v>34</v>
      </c>
      <c r="R3621">
        <f>IF(Table1[[#This Row],[order_status]]="completed",1,0)</f>
        <v>1</v>
      </c>
    </row>
    <row r="3622" spans="1:18" x14ac:dyDescent="0.35">
      <c r="A3622">
        <v>3621</v>
      </c>
      <c r="B3622" s="1">
        <v>45975</v>
      </c>
      <c r="C3622">
        <v>1653</v>
      </c>
      <c r="D3622" t="s">
        <v>15</v>
      </c>
      <c r="E3622" t="s">
        <v>23</v>
      </c>
      <c r="F3622" t="s">
        <v>17</v>
      </c>
      <c r="G3622">
        <v>2</v>
      </c>
      <c r="H3622">
        <v>6680</v>
      </c>
      <c r="I3622" t="s">
        <v>39</v>
      </c>
      <c r="J3622" t="s">
        <v>19</v>
      </c>
      <c r="K3622" t="s">
        <v>40</v>
      </c>
      <c r="L3622">
        <v>7</v>
      </c>
      <c r="M3622">
        <v>0</v>
      </c>
      <c r="N3622">
        <v>1</v>
      </c>
      <c r="O3622" t="s">
        <v>21</v>
      </c>
      <c r="P3622" t="str">
        <f>TEXT(Table1[[#This Row],[order_date]],"yyyy-mm")</f>
        <v>2025-11</v>
      </c>
      <c r="Q3622">
        <f>WEEKNUM(Table1[[#This Row],[order_date]])</f>
        <v>46</v>
      </c>
      <c r="R3622">
        <f>IF(Table1[[#This Row],[order_status]]="completed",1,0)</f>
        <v>1</v>
      </c>
    </row>
    <row r="3623" spans="1:18" x14ac:dyDescent="0.35">
      <c r="A3623">
        <v>3622</v>
      </c>
      <c r="B3623" s="1">
        <v>46022</v>
      </c>
      <c r="C3623">
        <v>1763</v>
      </c>
      <c r="D3623" t="s">
        <v>41</v>
      </c>
      <c r="E3623" t="s">
        <v>16</v>
      </c>
      <c r="F3623" t="s">
        <v>24</v>
      </c>
      <c r="G3623">
        <v>4</v>
      </c>
      <c r="H3623">
        <v>0</v>
      </c>
      <c r="I3623" t="s">
        <v>39</v>
      </c>
      <c r="J3623" t="s">
        <v>37</v>
      </c>
      <c r="K3623" t="s">
        <v>38</v>
      </c>
      <c r="L3623">
        <v>5</v>
      </c>
      <c r="M3623">
        <v>1</v>
      </c>
      <c r="N3623">
        <v>1</v>
      </c>
      <c r="O3623" t="s">
        <v>27</v>
      </c>
      <c r="P3623" t="str">
        <f>TEXT(Table1[[#This Row],[order_date]],"yyyy-mm")</f>
        <v>2025-12</v>
      </c>
      <c r="Q3623">
        <f>WEEKNUM(Table1[[#This Row],[order_date]])</f>
        <v>53</v>
      </c>
      <c r="R3623">
        <f>IF(Table1[[#This Row],[order_status]]="completed",1,0)</f>
        <v>0</v>
      </c>
    </row>
    <row r="3624" spans="1:18" x14ac:dyDescent="0.35">
      <c r="A3624">
        <v>3623</v>
      </c>
      <c r="B3624" s="1">
        <v>45873</v>
      </c>
      <c r="C3624">
        <v>1228</v>
      </c>
      <c r="D3624" t="s">
        <v>28</v>
      </c>
      <c r="E3624" t="s">
        <v>16</v>
      </c>
      <c r="F3624" t="s">
        <v>24</v>
      </c>
      <c r="G3624">
        <v>5</v>
      </c>
      <c r="H3624">
        <v>0</v>
      </c>
      <c r="I3624" t="s">
        <v>25</v>
      </c>
      <c r="J3624" t="s">
        <v>37</v>
      </c>
      <c r="K3624" t="s">
        <v>26</v>
      </c>
      <c r="L3624">
        <v>6</v>
      </c>
      <c r="M3624">
        <v>1</v>
      </c>
      <c r="N3624">
        <v>1</v>
      </c>
      <c r="O3624" t="s">
        <v>27</v>
      </c>
      <c r="P3624" t="str">
        <f>TEXT(Table1[[#This Row],[order_date]],"yyyy-mm")</f>
        <v>2025-08</v>
      </c>
      <c r="Q3624">
        <f>WEEKNUM(Table1[[#This Row],[order_date]])</f>
        <v>32</v>
      </c>
      <c r="R3624">
        <f>IF(Table1[[#This Row],[order_status]]="completed",1,0)</f>
        <v>0</v>
      </c>
    </row>
    <row r="3625" spans="1:18" x14ac:dyDescent="0.35">
      <c r="A3625">
        <v>3624</v>
      </c>
      <c r="B3625" s="1">
        <v>46023</v>
      </c>
      <c r="C3625">
        <v>1539</v>
      </c>
      <c r="D3625" t="s">
        <v>41</v>
      </c>
      <c r="E3625" t="s">
        <v>23</v>
      </c>
      <c r="F3625" t="s">
        <v>30</v>
      </c>
      <c r="G3625">
        <v>5</v>
      </c>
      <c r="H3625">
        <v>6335</v>
      </c>
      <c r="I3625" t="s">
        <v>25</v>
      </c>
      <c r="J3625" t="s">
        <v>19</v>
      </c>
      <c r="K3625" t="s">
        <v>26</v>
      </c>
      <c r="L3625">
        <v>7</v>
      </c>
      <c r="M3625">
        <v>1</v>
      </c>
      <c r="N3625">
        <v>1</v>
      </c>
      <c r="O3625" t="s">
        <v>21</v>
      </c>
      <c r="P3625" t="str">
        <f>TEXT(Table1[[#This Row],[order_date]],"yyyy-mm")</f>
        <v>2026-01</v>
      </c>
      <c r="Q3625">
        <f>WEEKNUM(Table1[[#This Row],[order_date]])</f>
        <v>1</v>
      </c>
      <c r="R3625">
        <f>IF(Table1[[#This Row],[order_status]]="completed",1,0)</f>
        <v>1</v>
      </c>
    </row>
    <row r="3626" spans="1:18" x14ac:dyDescent="0.35">
      <c r="A3626">
        <v>3625</v>
      </c>
      <c r="B3626" s="1">
        <v>45998</v>
      </c>
      <c r="C3626">
        <v>1410</v>
      </c>
      <c r="D3626" t="s">
        <v>15</v>
      </c>
      <c r="E3626" t="s">
        <v>33</v>
      </c>
      <c r="F3626" t="s">
        <v>24</v>
      </c>
      <c r="G3626">
        <v>2</v>
      </c>
      <c r="H3626">
        <v>0</v>
      </c>
      <c r="I3626" t="s">
        <v>35</v>
      </c>
      <c r="J3626" t="s">
        <v>31</v>
      </c>
      <c r="K3626" t="s">
        <v>20</v>
      </c>
      <c r="L3626">
        <v>5</v>
      </c>
      <c r="M3626">
        <v>0</v>
      </c>
      <c r="N3626">
        <v>1</v>
      </c>
      <c r="O3626" t="s">
        <v>21</v>
      </c>
      <c r="P3626" t="str">
        <f>TEXT(Table1[[#This Row],[order_date]],"yyyy-mm")</f>
        <v>2025-12</v>
      </c>
      <c r="Q3626">
        <f>WEEKNUM(Table1[[#This Row],[order_date]])</f>
        <v>50</v>
      </c>
      <c r="R3626">
        <f>IF(Table1[[#This Row],[order_status]]="completed",1,0)</f>
        <v>0</v>
      </c>
    </row>
    <row r="3627" spans="1:18" x14ac:dyDescent="0.35">
      <c r="A3627">
        <v>3626</v>
      </c>
      <c r="B3627" s="1">
        <v>45887</v>
      </c>
      <c r="C3627">
        <v>1337</v>
      </c>
      <c r="D3627" t="s">
        <v>15</v>
      </c>
      <c r="E3627" t="s">
        <v>29</v>
      </c>
      <c r="F3627" t="s">
        <v>17</v>
      </c>
      <c r="G3627">
        <v>1</v>
      </c>
      <c r="H3627">
        <v>0</v>
      </c>
      <c r="I3627" t="s">
        <v>18</v>
      </c>
      <c r="J3627" t="s">
        <v>37</v>
      </c>
      <c r="K3627" t="s">
        <v>38</v>
      </c>
      <c r="L3627">
        <v>5</v>
      </c>
      <c r="M3627">
        <v>1</v>
      </c>
      <c r="N3627">
        <v>1</v>
      </c>
      <c r="O3627" t="s">
        <v>27</v>
      </c>
      <c r="P3627" t="str">
        <f>TEXT(Table1[[#This Row],[order_date]],"yyyy-mm")</f>
        <v>2025-08</v>
      </c>
      <c r="Q3627">
        <f>WEEKNUM(Table1[[#This Row],[order_date]])</f>
        <v>34</v>
      </c>
      <c r="R3627">
        <f>IF(Table1[[#This Row],[order_status]]="completed",1,0)</f>
        <v>0</v>
      </c>
    </row>
    <row r="3628" spans="1:18" x14ac:dyDescent="0.35">
      <c r="A3628">
        <v>3627</v>
      </c>
      <c r="B3628" s="1">
        <v>45877</v>
      </c>
      <c r="C3628">
        <v>1466</v>
      </c>
      <c r="D3628" t="s">
        <v>28</v>
      </c>
      <c r="E3628" t="s">
        <v>33</v>
      </c>
      <c r="F3628" t="s">
        <v>30</v>
      </c>
      <c r="G3628">
        <v>4</v>
      </c>
      <c r="H3628">
        <v>14956</v>
      </c>
      <c r="I3628" t="s">
        <v>18</v>
      </c>
      <c r="J3628" t="s">
        <v>19</v>
      </c>
      <c r="K3628" t="s">
        <v>26</v>
      </c>
      <c r="L3628">
        <v>2</v>
      </c>
      <c r="M3628">
        <v>0</v>
      </c>
      <c r="N3628">
        <v>0</v>
      </c>
      <c r="O3628" t="s">
        <v>21</v>
      </c>
      <c r="P3628" t="str">
        <f>TEXT(Table1[[#This Row],[order_date]],"yyyy-mm")</f>
        <v>2025-08</v>
      </c>
      <c r="Q3628">
        <f>WEEKNUM(Table1[[#This Row],[order_date]])</f>
        <v>32</v>
      </c>
      <c r="R3628">
        <f>IF(Table1[[#This Row],[order_status]]="completed",1,0)</f>
        <v>1</v>
      </c>
    </row>
    <row r="3629" spans="1:18" x14ac:dyDescent="0.35">
      <c r="A3629">
        <v>3628</v>
      </c>
      <c r="B3629" s="1">
        <v>45958</v>
      </c>
      <c r="C3629">
        <v>1218</v>
      </c>
      <c r="D3629" t="s">
        <v>22</v>
      </c>
      <c r="E3629" t="s">
        <v>29</v>
      </c>
      <c r="F3629" t="s">
        <v>34</v>
      </c>
      <c r="G3629">
        <v>1</v>
      </c>
      <c r="H3629">
        <v>0</v>
      </c>
      <c r="I3629" t="s">
        <v>18</v>
      </c>
      <c r="J3629" t="s">
        <v>31</v>
      </c>
      <c r="K3629" t="s">
        <v>20</v>
      </c>
      <c r="L3629">
        <v>1</v>
      </c>
      <c r="M3629">
        <v>1</v>
      </c>
      <c r="N3629">
        <v>0</v>
      </c>
      <c r="O3629" t="s">
        <v>27</v>
      </c>
      <c r="P3629" t="str">
        <f>TEXT(Table1[[#This Row],[order_date]],"yyyy-mm")</f>
        <v>2025-10</v>
      </c>
      <c r="Q3629">
        <f>WEEKNUM(Table1[[#This Row],[order_date]])</f>
        <v>44</v>
      </c>
      <c r="R3629">
        <f>IF(Table1[[#This Row],[order_status]]="completed",1,0)</f>
        <v>0</v>
      </c>
    </row>
    <row r="3630" spans="1:18" x14ac:dyDescent="0.35">
      <c r="A3630">
        <v>3629</v>
      </c>
      <c r="B3630" s="1">
        <v>45883</v>
      </c>
      <c r="C3630">
        <v>1022</v>
      </c>
      <c r="D3630" t="s">
        <v>28</v>
      </c>
      <c r="E3630" t="s">
        <v>23</v>
      </c>
      <c r="F3630" t="s">
        <v>34</v>
      </c>
      <c r="G3630">
        <v>3</v>
      </c>
      <c r="H3630">
        <v>0</v>
      </c>
      <c r="I3630" t="s">
        <v>18</v>
      </c>
      <c r="J3630" t="s">
        <v>31</v>
      </c>
      <c r="K3630" t="s">
        <v>26</v>
      </c>
      <c r="L3630">
        <v>8</v>
      </c>
      <c r="M3630">
        <v>0</v>
      </c>
      <c r="N3630">
        <v>1</v>
      </c>
      <c r="O3630" t="s">
        <v>27</v>
      </c>
      <c r="P3630" t="str">
        <f>TEXT(Table1[[#This Row],[order_date]],"yyyy-mm")</f>
        <v>2025-08</v>
      </c>
      <c r="Q3630">
        <f>WEEKNUM(Table1[[#This Row],[order_date]])</f>
        <v>33</v>
      </c>
      <c r="R3630">
        <f>IF(Table1[[#This Row],[order_status]]="completed",1,0)</f>
        <v>0</v>
      </c>
    </row>
    <row r="3631" spans="1:18" x14ac:dyDescent="0.35">
      <c r="A3631">
        <v>3630</v>
      </c>
      <c r="B3631" s="1">
        <v>45971</v>
      </c>
      <c r="C3631">
        <v>1198</v>
      </c>
      <c r="D3631" t="s">
        <v>28</v>
      </c>
      <c r="E3631" t="s">
        <v>29</v>
      </c>
      <c r="F3631" t="s">
        <v>30</v>
      </c>
      <c r="G3631">
        <v>5</v>
      </c>
      <c r="H3631">
        <v>0</v>
      </c>
      <c r="I3631" t="s">
        <v>18</v>
      </c>
      <c r="J3631" t="s">
        <v>37</v>
      </c>
      <c r="K3631" t="s">
        <v>26</v>
      </c>
      <c r="L3631">
        <v>5</v>
      </c>
      <c r="M3631">
        <v>0</v>
      </c>
      <c r="N3631">
        <v>0</v>
      </c>
      <c r="O3631" t="s">
        <v>21</v>
      </c>
      <c r="P3631" t="str">
        <f>TEXT(Table1[[#This Row],[order_date]],"yyyy-mm")</f>
        <v>2025-11</v>
      </c>
      <c r="Q3631">
        <f>WEEKNUM(Table1[[#This Row],[order_date]])</f>
        <v>46</v>
      </c>
      <c r="R3631">
        <f>IF(Table1[[#This Row],[order_status]]="completed",1,0)</f>
        <v>0</v>
      </c>
    </row>
    <row r="3632" spans="1:18" x14ac:dyDescent="0.35">
      <c r="A3632">
        <v>3631</v>
      </c>
      <c r="B3632" s="1">
        <v>45991</v>
      </c>
      <c r="C3632">
        <v>1206</v>
      </c>
      <c r="D3632" t="s">
        <v>32</v>
      </c>
      <c r="E3632" t="s">
        <v>36</v>
      </c>
      <c r="F3632" t="s">
        <v>30</v>
      </c>
      <c r="G3632">
        <v>5</v>
      </c>
      <c r="H3632">
        <v>0</v>
      </c>
      <c r="I3632" t="s">
        <v>35</v>
      </c>
      <c r="J3632" t="s">
        <v>31</v>
      </c>
      <c r="K3632" t="s">
        <v>40</v>
      </c>
      <c r="L3632">
        <v>5</v>
      </c>
      <c r="M3632">
        <v>1</v>
      </c>
      <c r="N3632">
        <v>0</v>
      </c>
      <c r="O3632" t="s">
        <v>21</v>
      </c>
      <c r="P3632" t="str">
        <f>TEXT(Table1[[#This Row],[order_date]],"yyyy-mm")</f>
        <v>2025-11</v>
      </c>
      <c r="Q3632">
        <f>WEEKNUM(Table1[[#This Row],[order_date]])</f>
        <v>49</v>
      </c>
      <c r="R3632">
        <f>IF(Table1[[#This Row],[order_status]]="completed",1,0)</f>
        <v>0</v>
      </c>
    </row>
    <row r="3633" spans="1:18" x14ac:dyDescent="0.35">
      <c r="A3633">
        <v>3632</v>
      </c>
      <c r="B3633" s="1">
        <v>45863</v>
      </c>
      <c r="C3633">
        <v>1179</v>
      </c>
      <c r="D3633" t="s">
        <v>28</v>
      </c>
      <c r="E3633" t="s">
        <v>16</v>
      </c>
      <c r="F3633" t="s">
        <v>34</v>
      </c>
      <c r="G3633">
        <v>1</v>
      </c>
      <c r="H3633">
        <v>753</v>
      </c>
      <c r="I3633" t="s">
        <v>39</v>
      </c>
      <c r="J3633" t="s">
        <v>19</v>
      </c>
      <c r="K3633" t="s">
        <v>40</v>
      </c>
      <c r="L3633">
        <v>10</v>
      </c>
      <c r="M3633">
        <v>1</v>
      </c>
      <c r="N3633">
        <v>0</v>
      </c>
      <c r="O3633" t="s">
        <v>21</v>
      </c>
      <c r="P3633" t="str">
        <f>TEXT(Table1[[#This Row],[order_date]],"yyyy-mm")</f>
        <v>2025-07</v>
      </c>
      <c r="Q3633">
        <f>WEEKNUM(Table1[[#This Row],[order_date]])</f>
        <v>30</v>
      </c>
      <c r="R3633">
        <f>IF(Table1[[#This Row],[order_status]]="completed",1,0)</f>
        <v>1</v>
      </c>
    </row>
    <row r="3634" spans="1:18" x14ac:dyDescent="0.35">
      <c r="A3634">
        <v>3633</v>
      </c>
      <c r="B3634" s="1">
        <v>45905</v>
      </c>
      <c r="C3634">
        <v>1239</v>
      </c>
      <c r="D3634" t="s">
        <v>32</v>
      </c>
      <c r="E3634" t="s">
        <v>36</v>
      </c>
      <c r="F3634" t="s">
        <v>24</v>
      </c>
      <c r="G3634">
        <v>3</v>
      </c>
      <c r="H3634">
        <v>0</v>
      </c>
      <c r="I3634" t="s">
        <v>35</v>
      </c>
      <c r="J3634" t="s">
        <v>37</v>
      </c>
      <c r="K3634" t="s">
        <v>26</v>
      </c>
      <c r="L3634">
        <v>7</v>
      </c>
      <c r="M3634">
        <v>1</v>
      </c>
      <c r="N3634">
        <v>1</v>
      </c>
      <c r="O3634" t="s">
        <v>21</v>
      </c>
      <c r="P3634" t="str">
        <f>TEXT(Table1[[#This Row],[order_date]],"yyyy-mm")</f>
        <v>2025-09</v>
      </c>
      <c r="Q3634">
        <f>WEEKNUM(Table1[[#This Row],[order_date]])</f>
        <v>36</v>
      </c>
      <c r="R3634">
        <f>IF(Table1[[#This Row],[order_status]]="completed",1,0)</f>
        <v>0</v>
      </c>
    </row>
    <row r="3635" spans="1:18" x14ac:dyDescent="0.35">
      <c r="A3635">
        <v>3634</v>
      </c>
      <c r="B3635" s="1">
        <v>45999</v>
      </c>
      <c r="C3635">
        <v>1452</v>
      </c>
      <c r="D3635" t="s">
        <v>32</v>
      </c>
      <c r="E3635" t="s">
        <v>29</v>
      </c>
      <c r="F3635" t="s">
        <v>30</v>
      </c>
      <c r="G3635">
        <v>3</v>
      </c>
      <c r="H3635">
        <v>0</v>
      </c>
      <c r="I3635" t="s">
        <v>25</v>
      </c>
      <c r="J3635" t="s">
        <v>37</v>
      </c>
      <c r="K3635" t="s">
        <v>40</v>
      </c>
      <c r="L3635">
        <v>10</v>
      </c>
      <c r="M3635">
        <v>1</v>
      </c>
      <c r="N3635">
        <v>1</v>
      </c>
      <c r="O3635" t="s">
        <v>21</v>
      </c>
      <c r="P3635" t="str">
        <f>TEXT(Table1[[#This Row],[order_date]],"yyyy-mm")</f>
        <v>2025-12</v>
      </c>
      <c r="Q3635">
        <f>WEEKNUM(Table1[[#This Row],[order_date]])</f>
        <v>50</v>
      </c>
      <c r="R3635">
        <f>IF(Table1[[#This Row],[order_status]]="completed",1,0)</f>
        <v>0</v>
      </c>
    </row>
    <row r="3636" spans="1:18" x14ac:dyDescent="0.35">
      <c r="A3636">
        <v>3635</v>
      </c>
      <c r="B3636" s="1">
        <v>46023</v>
      </c>
      <c r="C3636">
        <v>1088</v>
      </c>
      <c r="D3636" t="s">
        <v>28</v>
      </c>
      <c r="E3636" t="s">
        <v>16</v>
      </c>
      <c r="F3636" t="s">
        <v>24</v>
      </c>
      <c r="G3636">
        <v>5</v>
      </c>
      <c r="H3636">
        <v>18450</v>
      </c>
      <c r="I3636" t="s">
        <v>35</v>
      </c>
      <c r="J3636" t="s">
        <v>19</v>
      </c>
      <c r="K3636" t="s">
        <v>26</v>
      </c>
      <c r="L3636">
        <v>4</v>
      </c>
      <c r="M3636">
        <v>1</v>
      </c>
      <c r="N3636">
        <v>0</v>
      </c>
      <c r="O3636" t="s">
        <v>27</v>
      </c>
      <c r="P3636" t="str">
        <f>TEXT(Table1[[#This Row],[order_date]],"yyyy-mm")</f>
        <v>2026-01</v>
      </c>
      <c r="Q3636">
        <f>WEEKNUM(Table1[[#This Row],[order_date]])</f>
        <v>1</v>
      </c>
      <c r="R3636">
        <f>IF(Table1[[#This Row],[order_status]]="completed",1,0)</f>
        <v>1</v>
      </c>
    </row>
    <row r="3637" spans="1:18" x14ac:dyDescent="0.35">
      <c r="A3637">
        <v>3636</v>
      </c>
      <c r="B3637" s="1">
        <v>45873</v>
      </c>
      <c r="C3637">
        <v>1186</v>
      </c>
      <c r="D3637" t="s">
        <v>41</v>
      </c>
      <c r="E3637" t="s">
        <v>33</v>
      </c>
      <c r="F3637" t="s">
        <v>34</v>
      </c>
      <c r="G3637">
        <v>3</v>
      </c>
      <c r="H3637">
        <v>13479</v>
      </c>
      <c r="I3637" t="s">
        <v>39</v>
      </c>
      <c r="J3637" t="s">
        <v>19</v>
      </c>
      <c r="K3637" t="s">
        <v>38</v>
      </c>
      <c r="L3637">
        <v>3</v>
      </c>
      <c r="M3637">
        <v>1</v>
      </c>
      <c r="N3637">
        <v>1</v>
      </c>
      <c r="O3637" t="s">
        <v>21</v>
      </c>
      <c r="P3637" t="str">
        <f>TEXT(Table1[[#This Row],[order_date]],"yyyy-mm")</f>
        <v>2025-08</v>
      </c>
      <c r="Q3637">
        <f>WEEKNUM(Table1[[#This Row],[order_date]])</f>
        <v>32</v>
      </c>
      <c r="R3637">
        <f>IF(Table1[[#This Row],[order_status]]="completed",1,0)</f>
        <v>1</v>
      </c>
    </row>
    <row r="3638" spans="1:18" x14ac:dyDescent="0.35">
      <c r="A3638">
        <v>3637</v>
      </c>
      <c r="B3638" s="1">
        <v>45974</v>
      </c>
      <c r="C3638">
        <v>1214</v>
      </c>
      <c r="D3638" t="s">
        <v>28</v>
      </c>
      <c r="E3638" t="s">
        <v>16</v>
      </c>
      <c r="F3638" t="s">
        <v>30</v>
      </c>
      <c r="G3638">
        <v>2</v>
      </c>
      <c r="H3638">
        <v>9802</v>
      </c>
      <c r="I3638" t="s">
        <v>18</v>
      </c>
      <c r="J3638" t="s">
        <v>19</v>
      </c>
      <c r="K3638" t="s">
        <v>38</v>
      </c>
      <c r="L3638">
        <v>3</v>
      </c>
      <c r="M3638">
        <v>1</v>
      </c>
      <c r="N3638">
        <v>1</v>
      </c>
      <c r="O3638" t="s">
        <v>21</v>
      </c>
      <c r="P3638" t="str">
        <f>TEXT(Table1[[#This Row],[order_date]],"yyyy-mm")</f>
        <v>2025-11</v>
      </c>
      <c r="Q3638">
        <f>WEEKNUM(Table1[[#This Row],[order_date]])</f>
        <v>46</v>
      </c>
      <c r="R3638">
        <f>IF(Table1[[#This Row],[order_status]]="completed",1,0)</f>
        <v>1</v>
      </c>
    </row>
    <row r="3639" spans="1:18" x14ac:dyDescent="0.35">
      <c r="A3639">
        <v>3638</v>
      </c>
      <c r="B3639" s="1">
        <v>45929</v>
      </c>
      <c r="C3639">
        <v>1705</v>
      </c>
      <c r="D3639" t="s">
        <v>28</v>
      </c>
      <c r="E3639" t="s">
        <v>36</v>
      </c>
      <c r="F3639" t="s">
        <v>17</v>
      </c>
      <c r="G3639">
        <v>2</v>
      </c>
      <c r="H3639">
        <v>0</v>
      </c>
      <c r="I3639" t="s">
        <v>39</v>
      </c>
      <c r="J3639" t="s">
        <v>31</v>
      </c>
      <c r="K3639" t="s">
        <v>38</v>
      </c>
      <c r="L3639">
        <v>3</v>
      </c>
      <c r="M3639">
        <v>0</v>
      </c>
      <c r="N3639">
        <v>0</v>
      </c>
      <c r="O3639" t="s">
        <v>21</v>
      </c>
      <c r="P3639" t="str">
        <f>TEXT(Table1[[#This Row],[order_date]],"yyyy-mm")</f>
        <v>2025-09</v>
      </c>
      <c r="Q3639">
        <f>WEEKNUM(Table1[[#This Row],[order_date]])</f>
        <v>40</v>
      </c>
      <c r="R3639">
        <f>IF(Table1[[#This Row],[order_status]]="completed",1,0)</f>
        <v>0</v>
      </c>
    </row>
    <row r="3640" spans="1:18" x14ac:dyDescent="0.35">
      <c r="A3640">
        <v>3639</v>
      </c>
      <c r="B3640" s="1">
        <v>45982</v>
      </c>
      <c r="C3640">
        <v>1451</v>
      </c>
      <c r="D3640" t="s">
        <v>15</v>
      </c>
      <c r="E3640" t="s">
        <v>29</v>
      </c>
      <c r="F3640" t="s">
        <v>24</v>
      </c>
      <c r="G3640">
        <v>3</v>
      </c>
      <c r="H3640">
        <v>0</v>
      </c>
      <c r="I3640" t="s">
        <v>18</v>
      </c>
      <c r="J3640" t="s">
        <v>37</v>
      </c>
      <c r="K3640" t="s">
        <v>40</v>
      </c>
      <c r="L3640">
        <v>1</v>
      </c>
      <c r="M3640">
        <v>1</v>
      </c>
      <c r="N3640">
        <v>1</v>
      </c>
      <c r="O3640" t="s">
        <v>27</v>
      </c>
      <c r="P3640" t="str">
        <f>TEXT(Table1[[#This Row],[order_date]],"yyyy-mm")</f>
        <v>2025-11</v>
      </c>
      <c r="Q3640">
        <f>WEEKNUM(Table1[[#This Row],[order_date]])</f>
        <v>47</v>
      </c>
      <c r="R3640">
        <f>IF(Table1[[#This Row],[order_status]]="completed",1,0)</f>
        <v>0</v>
      </c>
    </row>
    <row r="3641" spans="1:18" x14ac:dyDescent="0.35">
      <c r="A3641">
        <v>3640</v>
      </c>
      <c r="B3641" s="1">
        <v>45961</v>
      </c>
      <c r="C3641">
        <v>1411</v>
      </c>
      <c r="D3641" t="s">
        <v>22</v>
      </c>
      <c r="E3641" t="s">
        <v>29</v>
      </c>
      <c r="F3641" t="s">
        <v>30</v>
      </c>
      <c r="G3641">
        <v>3</v>
      </c>
      <c r="H3641">
        <v>0</v>
      </c>
      <c r="I3641" t="s">
        <v>25</v>
      </c>
      <c r="J3641" t="s">
        <v>37</v>
      </c>
      <c r="K3641" t="s">
        <v>20</v>
      </c>
      <c r="L3641">
        <v>10</v>
      </c>
      <c r="M3641">
        <v>1</v>
      </c>
      <c r="N3641">
        <v>0</v>
      </c>
      <c r="O3641" t="s">
        <v>27</v>
      </c>
      <c r="P3641" t="str">
        <f>TEXT(Table1[[#This Row],[order_date]],"yyyy-mm")</f>
        <v>2025-10</v>
      </c>
      <c r="Q3641">
        <f>WEEKNUM(Table1[[#This Row],[order_date]])</f>
        <v>44</v>
      </c>
      <c r="R3641">
        <f>IF(Table1[[#This Row],[order_status]]="completed",1,0)</f>
        <v>0</v>
      </c>
    </row>
    <row r="3642" spans="1:18" x14ac:dyDescent="0.35">
      <c r="A3642">
        <v>3641</v>
      </c>
      <c r="B3642" s="1">
        <v>45981</v>
      </c>
      <c r="C3642">
        <v>1638</v>
      </c>
      <c r="D3642" t="s">
        <v>28</v>
      </c>
      <c r="E3642" t="s">
        <v>29</v>
      </c>
      <c r="F3642" t="s">
        <v>24</v>
      </c>
      <c r="G3642">
        <v>5</v>
      </c>
      <c r="H3642">
        <v>0</v>
      </c>
      <c r="I3642" t="s">
        <v>35</v>
      </c>
      <c r="J3642" t="s">
        <v>37</v>
      </c>
      <c r="K3642" t="s">
        <v>20</v>
      </c>
      <c r="L3642">
        <v>3</v>
      </c>
      <c r="M3642">
        <v>0</v>
      </c>
      <c r="N3642">
        <v>0</v>
      </c>
      <c r="O3642" t="s">
        <v>27</v>
      </c>
      <c r="P3642" t="str">
        <f>TEXT(Table1[[#This Row],[order_date]],"yyyy-mm")</f>
        <v>2025-11</v>
      </c>
      <c r="Q3642">
        <f>WEEKNUM(Table1[[#This Row],[order_date]])</f>
        <v>47</v>
      </c>
      <c r="R3642">
        <f>IF(Table1[[#This Row],[order_status]]="completed",1,0)</f>
        <v>0</v>
      </c>
    </row>
    <row r="3643" spans="1:18" x14ac:dyDescent="0.35">
      <c r="A3643">
        <v>3642</v>
      </c>
      <c r="B3643" s="1">
        <v>45988</v>
      </c>
      <c r="C3643">
        <v>1776</v>
      </c>
      <c r="D3643" t="s">
        <v>22</v>
      </c>
      <c r="E3643" t="s">
        <v>36</v>
      </c>
      <c r="F3643" t="s">
        <v>24</v>
      </c>
      <c r="G3643">
        <v>1</v>
      </c>
      <c r="H3643">
        <v>0</v>
      </c>
      <c r="I3643" t="s">
        <v>39</v>
      </c>
      <c r="J3643" t="s">
        <v>31</v>
      </c>
      <c r="K3643" t="s">
        <v>20</v>
      </c>
      <c r="L3643">
        <v>4</v>
      </c>
      <c r="M3643">
        <v>0</v>
      </c>
      <c r="N3643">
        <v>1</v>
      </c>
      <c r="O3643" t="s">
        <v>21</v>
      </c>
      <c r="P3643" t="str">
        <f>TEXT(Table1[[#This Row],[order_date]],"yyyy-mm")</f>
        <v>2025-11</v>
      </c>
      <c r="Q3643">
        <f>WEEKNUM(Table1[[#This Row],[order_date]])</f>
        <v>48</v>
      </c>
      <c r="R3643">
        <f>IF(Table1[[#This Row],[order_status]]="completed",1,0)</f>
        <v>0</v>
      </c>
    </row>
    <row r="3644" spans="1:18" x14ac:dyDescent="0.35">
      <c r="A3644">
        <v>3643</v>
      </c>
      <c r="B3644" s="1">
        <v>45983</v>
      </c>
      <c r="C3644">
        <v>1333</v>
      </c>
      <c r="D3644" t="s">
        <v>41</v>
      </c>
      <c r="E3644" t="s">
        <v>16</v>
      </c>
      <c r="F3644" t="s">
        <v>34</v>
      </c>
      <c r="G3644">
        <v>2</v>
      </c>
      <c r="H3644">
        <v>0</v>
      </c>
      <c r="I3644" t="s">
        <v>18</v>
      </c>
      <c r="J3644" t="s">
        <v>31</v>
      </c>
      <c r="K3644" t="s">
        <v>20</v>
      </c>
      <c r="L3644">
        <v>6</v>
      </c>
      <c r="M3644">
        <v>1</v>
      </c>
      <c r="N3644">
        <v>0</v>
      </c>
      <c r="O3644" t="s">
        <v>27</v>
      </c>
      <c r="P3644" t="str">
        <f>TEXT(Table1[[#This Row],[order_date]],"yyyy-mm")</f>
        <v>2025-11</v>
      </c>
      <c r="Q3644">
        <f>WEEKNUM(Table1[[#This Row],[order_date]])</f>
        <v>47</v>
      </c>
      <c r="R3644">
        <f>IF(Table1[[#This Row],[order_status]]="completed",1,0)</f>
        <v>0</v>
      </c>
    </row>
    <row r="3645" spans="1:18" x14ac:dyDescent="0.35">
      <c r="A3645">
        <v>3644</v>
      </c>
      <c r="B3645" s="1">
        <v>46012</v>
      </c>
      <c r="C3645">
        <v>1680</v>
      </c>
      <c r="D3645" t="s">
        <v>22</v>
      </c>
      <c r="E3645" t="s">
        <v>29</v>
      </c>
      <c r="F3645" t="s">
        <v>30</v>
      </c>
      <c r="G3645">
        <v>5</v>
      </c>
      <c r="H3645">
        <v>15975</v>
      </c>
      <c r="I3645" t="s">
        <v>39</v>
      </c>
      <c r="J3645" t="s">
        <v>19</v>
      </c>
      <c r="K3645" t="s">
        <v>20</v>
      </c>
      <c r="L3645">
        <v>9</v>
      </c>
      <c r="M3645">
        <v>0</v>
      </c>
      <c r="N3645">
        <v>0</v>
      </c>
      <c r="O3645" t="s">
        <v>27</v>
      </c>
      <c r="P3645" t="str">
        <f>TEXT(Table1[[#This Row],[order_date]],"yyyy-mm")</f>
        <v>2025-12</v>
      </c>
      <c r="Q3645">
        <f>WEEKNUM(Table1[[#This Row],[order_date]])</f>
        <v>52</v>
      </c>
      <c r="R3645">
        <f>IF(Table1[[#This Row],[order_status]]="completed",1,0)</f>
        <v>1</v>
      </c>
    </row>
    <row r="3646" spans="1:18" x14ac:dyDescent="0.35">
      <c r="A3646">
        <v>3645</v>
      </c>
      <c r="B3646" s="1">
        <v>45859</v>
      </c>
      <c r="C3646">
        <v>1671</v>
      </c>
      <c r="D3646" t="s">
        <v>22</v>
      </c>
      <c r="E3646" t="s">
        <v>29</v>
      </c>
      <c r="F3646" t="s">
        <v>34</v>
      </c>
      <c r="G3646">
        <v>3</v>
      </c>
      <c r="H3646">
        <v>4224</v>
      </c>
      <c r="I3646" t="s">
        <v>39</v>
      </c>
      <c r="J3646" t="s">
        <v>19</v>
      </c>
      <c r="K3646" t="s">
        <v>40</v>
      </c>
      <c r="L3646">
        <v>4</v>
      </c>
      <c r="M3646">
        <v>0</v>
      </c>
      <c r="N3646">
        <v>0</v>
      </c>
      <c r="O3646" t="s">
        <v>27</v>
      </c>
      <c r="P3646" t="str">
        <f>TEXT(Table1[[#This Row],[order_date]],"yyyy-mm")</f>
        <v>2025-07</v>
      </c>
      <c r="Q3646">
        <f>WEEKNUM(Table1[[#This Row],[order_date]])</f>
        <v>30</v>
      </c>
      <c r="R3646">
        <f>IF(Table1[[#This Row],[order_status]]="completed",1,0)</f>
        <v>1</v>
      </c>
    </row>
    <row r="3647" spans="1:18" x14ac:dyDescent="0.35">
      <c r="A3647">
        <v>3646</v>
      </c>
      <c r="B3647" s="1">
        <v>45909</v>
      </c>
      <c r="C3647">
        <v>1068</v>
      </c>
      <c r="D3647" t="s">
        <v>22</v>
      </c>
      <c r="E3647" t="s">
        <v>16</v>
      </c>
      <c r="F3647" t="s">
        <v>30</v>
      </c>
      <c r="G3647">
        <v>3</v>
      </c>
      <c r="H3647">
        <v>0</v>
      </c>
      <c r="I3647" t="s">
        <v>25</v>
      </c>
      <c r="J3647" t="s">
        <v>31</v>
      </c>
      <c r="K3647" t="s">
        <v>38</v>
      </c>
      <c r="L3647">
        <v>5</v>
      </c>
      <c r="M3647">
        <v>0</v>
      </c>
      <c r="N3647">
        <v>0</v>
      </c>
      <c r="O3647" t="s">
        <v>21</v>
      </c>
      <c r="P3647" t="str">
        <f>TEXT(Table1[[#This Row],[order_date]],"yyyy-mm")</f>
        <v>2025-09</v>
      </c>
      <c r="Q3647">
        <f>WEEKNUM(Table1[[#This Row],[order_date]])</f>
        <v>37</v>
      </c>
      <c r="R3647">
        <f>IF(Table1[[#This Row],[order_status]]="completed",1,0)</f>
        <v>0</v>
      </c>
    </row>
    <row r="3648" spans="1:18" x14ac:dyDescent="0.35">
      <c r="A3648">
        <v>3647</v>
      </c>
      <c r="B3648" s="1">
        <v>45885</v>
      </c>
      <c r="C3648">
        <v>1780</v>
      </c>
      <c r="D3648" t="s">
        <v>15</v>
      </c>
      <c r="E3648" t="s">
        <v>23</v>
      </c>
      <c r="F3648" t="s">
        <v>24</v>
      </c>
      <c r="G3648">
        <v>5</v>
      </c>
      <c r="H3648">
        <v>0</v>
      </c>
      <c r="I3648" t="s">
        <v>25</v>
      </c>
      <c r="J3648" t="s">
        <v>37</v>
      </c>
      <c r="K3648" t="s">
        <v>26</v>
      </c>
      <c r="L3648">
        <v>2</v>
      </c>
      <c r="M3648">
        <v>1</v>
      </c>
      <c r="N3648">
        <v>1</v>
      </c>
      <c r="O3648" t="s">
        <v>21</v>
      </c>
      <c r="P3648" t="str">
        <f>TEXT(Table1[[#This Row],[order_date]],"yyyy-mm")</f>
        <v>2025-08</v>
      </c>
      <c r="Q3648">
        <f>WEEKNUM(Table1[[#This Row],[order_date]])</f>
        <v>33</v>
      </c>
      <c r="R3648">
        <f>IF(Table1[[#This Row],[order_status]]="completed",1,0)</f>
        <v>0</v>
      </c>
    </row>
    <row r="3649" spans="1:18" x14ac:dyDescent="0.35">
      <c r="A3649">
        <v>3648</v>
      </c>
      <c r="B3649" s="1">
        <v>45851</v>
      </c>
      <c r="C3649">
        <v>1805</v>
      </c>
      <c r="D3649" t="s">
        <v>22</v>
      </c>
      <c r="E3649" t="s">
        <v>33</v>
      </c>
      <c r="F3649" t="s">
        <v>24</v>
      </c>
      <c r="G3649">
        <v>4</v>
      </c>
      <c r="H3649">
        <v>0</v>
      </c>
      <c r="I3649" t="s">
        <v>39</v>
      </c>
      <c r="J3649" t="s">
        <v>31</v>
      </c>
      <c r="K3649" t="s">
        <v>26</v>
      </c>
      <c r="L3649">
        <v>4</v>
      </c>
      <c r="M3649">
        <v>1</v>
      </c>
      <c r="N3649">
        <v>1</v>
      </c>
      <c r="O3649" t="s">
        <v>21</v>
      </c>
      <c r="P3649" t="str">
        <f>TEXT(Table1[[#This Row],[order_date]],"yyyy-mm")</f>
        <v>2025-07</v>
      </c>
      <c r="Q3649">
        <f>WEEKNUM(Table1[[#This Row],[order_date]])</f>
        <v>29</v>
      </c>
      <c r="R3649">
        <f>IF(Table1[[#This Row],[order_status]]="completed",1,0)</f>
        <v>0</v>
      </c>
    </row>
    <row r="3650" spans="1:18" x14ac:dyDescent="0.35">
      <c r="A3650">
        <v>3649</v>
      </c>
      <c r="B3650" s="1">
        <v>45945</v>
      </c>
      <c r="C3650">
        <v>1653</v>
      </c>
      <c r="D3650" t="s">
        <v>22</v>
      </c>
      <c r="E3650" t="s">
        <v>29</v>
      </c>
      <c r="F3650" t="s">
        <v>34</v>
      </c>
      <c r="G3650">
        <v>5</v>
      </c>
      <c r="H3650">
        <v>0</v>
      </c>
      <c r="I3650" t="s">
        <v>35</v>
      </c>
      <c r="J3650" t="s">
        <v>37</v>
      </c>
      <c r="K3650" t="s">
        <v>20</v>
      </c>
      <c r="L3650">
        <v>4</v>
      </c>
      <c r="M3650">
        <v>1</v>
      </c>
      <c r="N3650">
        <v>1</v>
      </c>
      <c r="O3650" t="s">
        <v>21</v>
      </c>
      <c r="P3650" t="str">
        <f>TEXT(Table1[[#This Row],[order_date]],"yyyy-mm")</f>
        <v>2025-10</v>
      </c>
      <c r="Q3650">
        <f>WEEKNUM(Table1[[#This Row],[order_date]])</f>
        <v>42</v>
      </c>
      <c r="R3650">
        <f>IF(Table1[[#This Row],[order_status]]="completed",1,0)</f>
        <v>0</v>
      </c>
    </row>
    <row r="3651" spans="1:18" x14ac:dyDescent="0.35">
      <c r="A3651">
        <v>3650</v>
      </c>
      <c r="B3651" s="1">
        <v>46031</v>
      </c>
      <c r="C3651">
        <v>1822</v>
      </c>
      <c r="D3651" t="s">
        <v>22</v>
      </c>
      <c r="E3651" t="s">
        <v>36</v>
      </c>
      <c r="F3651" t="s">
        <v>17</v>
      </c>
      <c r="G3651">
        <v>4</v>
      </c>
      <c r="H3651">
        <v>0</v>
      </c>
      <c r="I3651" t="s">
        <v>25</v>
      </c>
      <c r="J3651" t="s">
        <v>37</v>
      </c>
      <c r="K3651" t="s">
        <v>26</v>
      </c>
      <c r="L3651">
        <v>7</v>
      </c>
      <c r="M3651">
        <v>0</v>
      </c>
      <c r="N3651">
        <v>0</v>
      </c>
      <c r="O3651" t="s">
        <v>21</v>
      </c>
      <c r="P3651" t="str">
        <f>TEXT(Table1[[#This Row],[order_date]],"yyyy-mm")</f>
        <v>2026-01</v>
      </c>
      <c r="Q3651">
        <f>WEEKNUM(Table1[[#This Row],[order_date]])</f>
        <v>2</v>
      </c>
      <c r="R3651">
        <f>IF(Table1[[#This Row],[order_status]]="completed",1,0)</f>
        <v>0</v>
      </c>
    </row>
    <row r="3652" spans="1:18" x14ac:dyDescent="0.35">
      <c r="A3652">
        <v>3651</v>
      </c>
      <c r="B3652" s="1">
        <v>45984</v>
      </c>
      <c r="C3652">
        <v>1210</v>
      </c>
      <c r="D3652" t="s">
        <v>28</v>
      </c>
      <c r="E3652" t="s">
        <v>16</v>
      </c>
      <c r="F3652" t="s">
        <v>30</v>
      </c>
      <c r="G3652">
        <v>3</v>
      </c>
      <c r="H3652">
        <v>0</v>
      </c>
      <c r="I3652" t="s">
        <v>39</v>
      </c>
      <c r="J3652" t="s">
        <v>31</v>
      </c>
      <c r="K3652" t="s">
        <v>26</v>
      </c>
      <c r="L3652">
        <v>8</v>
      </c>
      <c r="M3652">
        <v>1</v>
      </c>
      <c r="N3652">
        <v>0</v>
      </c>
      <c r="O3652" t="s">
        <v>27</v>
      </c>
      <c r="P3652" t="str">
        <f>TEXT(Table1[[#This Row],[order_date]],"yyyy-mm")</f>
        <v>2025-11</v>
      </c>
      <c r="Q3652">
        <f>WEEKNUM(Table1[[#This Row],[order_date]])</f>
        <v>48</v>
      </c>
      <c r="R3652">
        <f>IF(Table1[[#This Row],[order_status]]="completed",1,0)</f>
        <v>0</v>
      </c>
    </row>
    <row r="3653" spans="1:18" x14ac:dyDescent="0.35">
      <c r="A3653">
        <v>3652</v>
      </c>
      <c r="B3653" s="1">
        <v>45897</v>
      </c>
      <c r="C3653">
        <v>1675</v>
      </c>
      <c r="D3653" t="s">
        <v>32</v>
      </c>
      <c r="E3653" t="s">
        <v>16</v>
      </c>
      <c r="F3653" t="s">
        <v>34</v>
      </c>
      <c r="G3653">
        <v>4</v>
      </c>
      <c r="H3653">
        <v>0</v>
      </c>
      <c r="I3653" t="s">
        <v>35</v>
      </c>
      <c r="J3653" t="s">
        <v>37</v>
      </c>
      <c r="K3653" t="s">
        <v>26</v>
      </c>
      <c r="L3653">
        <v>3</v>
      </c>
      <c r="M3653">
        <v>1</v>
      </c>
      <c r="N3653">
        <v>1</v>
      </c>
      <c r="O3653" t="s">
        <v>27</v>
      </c>
      <c r="P3653" t="str">
        <f>TEXT(Table1[[#This Row],[order_date]],"yyyy-mm")</f>
        <v>2025-08</v>
      </c>
      <c r="Q3653">
        <f>WEEKNUM(Table1[[#This Row],[order_date]])</f>
        <v>35</v>
      </c>
      <c r="R3653">
        <f>IF(Table1[[#This Row],[order_status]]="completed",1,0)</f>
        <v>0</v>
      </c>
    </row>
    <row r="3654" spans="1:18" x14ac:dyDescent="0.35">
      <c r="A3654">
        <v>3653</v>
      </c>
      <c r="B3654" s="1">
        <v>46030</v>
      </c>
      <c r="C3654">
        <v>1971</v>
      </c>
      <c r="D3654" t="s">
        <v>41</v>
      </c>
      <c r="E3654" t="s">
        <v>16</v>
      </c>
      <c r="F3654" t="s">
        <v>17</v>
      </c>
      <c r="G3654">
        <v>4</v>
      </c>
      <c r="H3654">
        <v>16588</v>
      </c>
      <c r="I3654" t="s">
        <v>35</v>
      </c>
      <c r="J3654" t="s">
        <v>19</v>
      </c>
      <c r="K3654" t="s">
        <v>26</v>
      </c>
      <c r="L3654">
        <v>9</v>
      </c>
      <c r="M3654">
        <v>0</v>
      </c>
      <c r="N3654">
        <v>0</v>
      </c>
      <c r="O3654" t="s">
        <v>27</v>
      </c>
      <c r="P3654" t="str">
        <f>TEXT(Table1[[#This Row],[order_date]],"yyyy-mm")</f>
        <v>2026-01</v>
      </c>
      <c r="Q3654">
        <f>WEEKNUM(Table1[[#This Row],[order_date]])</f>
        <v>2</v>
      </c>
      <c r="R3654">
        <f>IF(Table1[[#This Row],[order_status]]="completed",1,0)</f>
        <v>1</v>
      </c>
    </row>
    <row r="3655" spans="1:18" x14ac:dyDescent="0.35">
      <c r="A3655">
        <v>3654</v>
      </c>
      <c r="B3655" s="1">
        <v>46011</v>
      </c>
      <c r="C3655">
        <v>1847</v>
      </c>
      <c r="D3655" t="s">
        <v>22</v>
      </c>
      <c r="E3655" t="s">
        <v>29</v>
      </c>
      <c r="F3655" t="s">
        <v>17</v>
      </c>
      <c r="G3655">
        <v>3</v>
      </c>
      <c r="H3655">
        <v>0</v>
      </c>
      <c r="I3655" t="s">
        <v>35</v>
      </c>
      <c r="J3655" t="s">
        <v>31</v>
      </c>
      <c r="K3655" t="s">
        <v>40</v>
      </c>
      <c r="L3655">
        <v>2</v>
      </c>
      <c r="M3655">
        <v>0</v>
      </c>
      <c r="N3655">
        <v>1</v>
      </c>
      <c r="O3655" t="s">
        <v>27</v>
      </c>
      <c r="P3655" t="str">
        <f>TEXT(Table1[[#This Row],[order_date]],"yyyy-mm")</f>
        <v>2025-12</v>
      </c>
      <c r="Q3655">
        <f>WEEKNUM(Table1[[#This Row],[order_date]])</f>
        <v>51</v>
      </c>
      <c r="R3655">
        <f>IF(Table1[[#This Row],[order_status]]="completed",1,0)</f>
        <v>0</v>
      </c>
    </row>
    <row r="3656" spans="1:18" x14ac:dyDescent="0.35">
      <c r="A3656">
        <v>3655</v>
      </c>
      <c r="B3656" s="1">
        <v>45879</v>
      </c>
      <c r="C3656">
        <v>1627</v>
      </c>
      <c r="D3656" t="s">
        <v>22</v>
      </c>
      <c r="E3656" t="s">
        <v>36</v>
      </c>
      <c r="F3656" t="s">
        <v>24</v>
      </c>
      <c r="G3656">
        <v>1</v>
      </c>
      <c r="H3656">
        <v>0</v>
      </c>
      <c r="I3656" t="s">
        <v>18</v>
      </c>
      <c r="J3656" t="s">
        <v>31</v>
      </c>
      <c r="K3656" t="s">
        <v>20</v>
      </c>
      <c r="L3656">
        <v>8</v>
      </c>
      <c r="M3656">
        <v>1</v>
      </c>
      <c r="N3656">
        <v>1</v>
      </c>
      <c r="O3656" t="s">
        <v>27</v>
      </c>
      <c r="P3656" t="str">
        <f>TEXT(Table1[[#This Row],[order_date]],"yyyy-mm")</f>
        <v>2025-08</v>
      </c>
      <c r="Q3656">
        <f>WEEKNUM(Table1[[#This Row],[order_date]])</f>
        <v>33</v>
      </c>
      <c r="R3656">
        <f>IF(Table1[[#This Row],[order_status]]="completed",1,0)</f>
        <v>0</v>
      </c>
    </row>
    <row r="3657" spans="1:18" x14ac:dyDescent="0.35">
      <c r="A3657">
        <v>3656</v>
      </c>
      <c r="B3657" s="1">
        <v>45951</v>
      </c>
      <c r="C3657">
        <v>1303</v>
      </c>
      <c r="D3657" t="s">
        <v>28</v>
      </c>
      <c r="E3657" t="s">
        <v>23</v>
      </c>
      <c r="F3657" t="s">
        <v>17</v>
      </c>
      <c r="G3657">
        <v>5</v>
      </c>
      <c r="H3657">
        <v>0</v>
      </c>
      <c r="I3657" t="s">
        <v>18</v>
      </c>
      <c r="J3657" t="s">
        <v>37</v>
      </c>
      <c r="K3657" t="s">
        <v>38</v>
      </c>
      <c r="L3657">
        <v>1</v>
      </c>
      <c r="M3657">
        <v>1</v>
      </c>
      <c r="N3657">
        <v>1</v>
      </c>
      <c r="O3657" t="s">
        <v>27</v>
      </c>
      <c r="P3657" t="str">
        <f>TEXT(Table1[[#This Row],[order_date]],"yyyy-mm")</f>
        <v>2025-10</v>
      </c>
      <c r="Q3657">
        <f>WEEKNUM(Table1[[#This Row],[order_date]])</f>
        <v>43</v>
      </c>
      <c r="R3657">
        <f>IF(Table1[[#This Row],[order_status]]="completed",1,0)</f>
        <v>0</v>
      </c>
    </row>
    <row r="3658" spans="1:18" x14ac:dyDescent="0.35">
      <c r="A3658">
        <v>3657</v>
      </c>
      <c r="B3658" s="1">
        <v>45854</v>
      </c>
      <c r="C3658">
        <v>1718</v>
      </c>
      <c r="D3658" t="s">
        <v>22</v>
      </c>
      <c r="E3658" t="s">
        <v>23</v>
      </c>
      <c r="F3658" t="s">
        <v>34</v>
      </c>
      <c r="G3658">
        <v>4</v>
      </c>
      <c r="H3658">
        <v>0</v>
      </c>
      <c r="I3658" t="s">
        <v>35</v>
      </c>
      <c r="J3658" t="s">
        <v>31</v>
      </c>
      <c r="K3658" t="s">
        <v>38</v>
      </c>
      <c r="L3658">
        <v>8</v>
      </c>
      <c r="M3658">
        <v>1</v>
      </c>
      <c r="N3658">
        <v>0</v>
      </c>
      <c r="O3658" t="s">
        <v>21</v>
      </c>
      <c r="P3658" t="str">
        <f>TEXT(Table1[[#This Row],[order_date]],"yyyy-mm")</f>
        <v>2025-07</v>
      </c>
      <c r="Q3658">
        <f>WEEKNUM(Table1[[#This Row],[order_date]])</f>
        <v>29</v>
      </c>
      <c r="R3658">
        <f>IF(Table1[[#This Row],[order_status]]="completed",1,0)</f>
        <v>0</v>
      </c>
    </row>
    <row r="3659" spans="1:18" x14ac:dyDescent="0.35">
      <c r="A3659">
        <v>3658</v>
      </c>
      <c r="B3659" s="1">
        <v>46001</v>
      </c>
      <c r="C3659">
        <v>1045</v>
      </c>
      <c r="D3659" t="s">
        <v>15</v>
      </c>
      <c r="E3659" t="s">
        <v>23</v>
      </c>
      <c r="F3659" t="s">
        <v>17</v>
      </c>
      <c r="G3659">
        <v>2</v>
      </c>
      <c r="H3659">
        <v>6540</v>
      </c>
      <c r="I3659" t="s">
        <v>25</v>
      </c>
      <c r="J3659" t="s">
        <v>19</v>
      </c>
      <c r="K3659" t="s">
        <v>40</v>
      </c>
      <c r="L3659">
        <v>9</v>
      </c>
      <c r="M3659">
        <v>1</v>
      </c>
      <c r="N3659">
        <v>1</v>
      </c>
      <c r="O3659" t="s">
        <v>27</v>
      </c>
      <c r="P3659" t="str">
        <f>TEXT(Table1[[#This Row],[order_date]],"yyyy-mm")</f>
        <v>2025-12</v>
      </c>
      <c r="Q3659">
        <f>WEEKNUM(Table1[[#This Row],[order_date]])</f>
        <v>50</v>
      </c>
      <c r="R3659">
        <f>IF(Table1[[#This Row],[order_status]]="completed",1,0)</f>
        <v>1</v>
      </c>
    </row>
    <row r="3660" spans="1:18" x14ac:dyDescent="0.35">
      <c r="A3660">
        <v>3659</v>
      </c>
      <c r="B3660" s="1">
        <v>45956</v>
      </c>
      <c r="C3660">
        <v>1727</v>
      </c>
      <c r="D3660" t="s">
        <v>41</v>
      </c>
      <c r="E3660" t="s">
        <v>16</v>
      </c>
      <c r="F3660" t="s">
        <v>17</v>
      </c>
      <c r="G3660">
        <v>2</v>
      </c>
      <c r="H3660">
        <v>0</v>
      </c>
      <c r="I3660" t="s">
        <v>39</v>
      </c>
      <c r="J3660" t="s">
        <v>31</v>
      </c>
      <c r="K3660" t="s">
        <v>26</v>
      </c>
      <c r="L3660">
        <v>3</v>
      </c>
      <c r="M3660">
        <v>1</v>
      </c>
      <c r="N3660">
        <v>1</v>
      </c>
      <c r="O3660" t="s">
        <v>27</v>
      </c>
      <c r="P3660" t="str">
        <f>TEXT(Table1[[#This Row],[order_date]],"yyyy-mm")</f>
        <v>2025-10</v>
      </c>
      <c r="Q3660">
        <f>WEEKNUM(Table1[[#This Row],[order_date]])</f>
        <v>44</v>
      </c>
      <c r="R3660">
        <f>IF(Table1[[#This Row],[order_status]]="completed",1,0)</f>
        <v>0</v>
      </c>
    </row>
    <row r="3661" spans="1:18" x14ac:dyDescent="0.35">
      <c r="A3661">
        <v>3660</v>
      </c>
      <c r="B3661" s="1">
        <v>45910</v>
      </c>
      <c r="C3661">
        <v>1276</v>
      </c>
      <c r="D3661" t="s">
        <v>15</v>
      </c>
      <c r="E3661" t="s">
        <v>16</v>
      </c>
      <c r="F3661" t="s">
        <v>30</v>
      </c>
      <c r="G3661">
        <v>1</v>
      </c>
      <c r="H3661">
        <v>2836</v>
      </c>
      <c r="I3661" t="s">
        <v>35</v>
      </c>
      <c r="J3661" t="s">
        <v>19</v>
      </c>
      <c r="K3661" t="s">
        <v>40</v>
      </c>
      <c r="L3661">
        <v>4</v>
      </c>
      <c r="M3661">
        <v>1</v>
      </c>
      <c r="N3661">
        <v>0</v>
      </c>
      <c r="O3661" t="s">
        <v>27</v>
      </c>
      <c r="P3661" t="str">
        <f>TEXT(Table1[[#This Row],[order_date]],"yyyy-mm")</f>
        <v>2025-09</v>
      </c>
      <c r="Q3661">
        <f>WEEKNUM(Table1[[#This Row],[order_date]])</f>
        <v>37</v>
      </c>
      <c r="R3661">
        <f>IF(Table1[[#This Row],[order_status]]="completed",1,0)</f>
        <v>1</v>
      </c>
    </row>
    <row r="3662" spans="1:18" x14ac:dyDescent="0.35">
      <c r="A3662">
        <v>3661</v>
      </c>
      <c r="B3662" s="1">
        <v>45955</v>
      </c>
      <c r="C3662">
        <v>1063</v>
      </c>
      <c r="D3662" t="s">
        <v>32</v>
      </c>
      <c r="E3662" t="s">
        <v>16</v>
      </c>
      <c r="F3662" t="s">
        <v>34</v>
      </c>
      <c r="G3662">
        <v>3</v>
      </c>
      <c r="H3662">
        <v>14775</v>
      </c>
      <c r="I3662" t="s">
        <v>25</v>
      </c>
      <c r="J3662" t="s">
        <v>19</v>
      </c>
      <c r="K3662" t="s">
        <v>40</v>
      </c>
      <c r="L3662">
        <v>2</v>
      </c>
      <c r="M3662">
        <v>1</v>
      </c>
      <c r="N3662">
        <v>1</v>
      </c>
      <c r="O3662" t="s">
        <v>21</v>
      </c>
      <c r="P3662" t="str">
        <f>TEXT(Table1[[#This Row],[order_date]],"yyyy-mm")</f>
        <v>2025-10</v>
      </c>
      <c r="Q3662">
        <f>WEEKNUM(Table1[[#This Row],[order_date]])</f>
        <v>43</v>
      </c>
      <c r="R3662">
        <f>IF(Table1[[#This Row],[order_status]]="completed",1,0)</f>
        <v>1</v>
      </c>
    </row>
    <row r="3663" spans="1:18" x14ac:dyDescent="0.35">
      <c r="A3663">
        <v>3662</v>
      </c>
      <c r="B3663" s="1">
        <v>45964</v>
      </c>
      <c r="C3663">
        <v>1862</v>
      </c>
      <c r="D3663" t="s">
        <v>28</v>
      </c>
      <c r="E3663" t="s">
        <v>36</v>
      </c>
      <c r="F3663" t="s">
        <v>24</v>
      </c>
      <c r="G3663">
        <v>5</v>
      </c>
      <c r="H3663">
        <v>0</v>
      </c>
      <c r="I3663" t="s">
        <v>39</v>
      </c>
      <c r="J3663" t="s">
        <v>31</v>
      </c>
      <c r="K3663" t="s">
        <v>26</v>
      </c>
      <c r="L3663">
        <v>3</v>
      </c>
      <c r="M3663">
        <v>0</v>
      </c>
      <c r="N3663">
        <v>0</v>
      </c>
      <c r="O3663" t="s">
        <v>21</v>
      </c>
      <c r="P3663" t="str">
        <f>TEXT(Table1[[#This Row],[order_date]],"yyyy-mm")</f>
        <v>2025-11</v>
      </c>
      <c r="Q3663">
        <f>WEEKNUM(Table1[[#This Row],[order_date]])</f>
        <v>45</v>
      </c>
      <c r="R3663">
        <f>IF(Table1[[#This Row],[order_status]]="completed",1,0)</f>
        <v>0</v>
      </c>
    </row>
    <row r="3664" spans="1:18" x14ac:dyDescent="0.35">
      <c r="A3664">
        <v>3663</v>
      </c>
      <c r="B3664" s="1">
        <v>45961</v>
      </c>
      <c r="C3664">
        <v>1765</v>
      </c>
      <c r="D3664" t="s">
        <v>28</v>
      </c>
      <c r="E3664" t="s">
        <v>36</v>
      </c>
      <c r="F3664" t="s">
        <v>24</v>
      </c>
      <c r="G3664">
        <v>2</v>
      </c>
      <c r="H3664">
        <v>0</v>
      </c>
      <c r="I3664" t="s">
        <v>25</v>
      </c>
      <c r="J3664" t="s">
        <v>37</v>
      </c>
      <c r="K3664" t="s">
        <v>40</v>
      </c>
      <c r="L3664">
        <v>10</v>
      </c>
      <c r="M3664">
        <v>1</v>
      </c>
      <c r="N3664">
        <v>0</v>
      </c>
      <c r="O3664" t="s">
        <v>27</v>
      </c>
      <c r="P3664" t="str">
        <f>TEXT(Table1[[#This Row],[order_date]],"yyyy-mm")</f>
        <v>2025-10</v>
      </c>
      <c r="Q3664">
        <f>WEEKNUM(Table1[[#This Row],[order_date]])</f>
        <v>44</v>
      </c>
      <c r="R3664">
        <f>IF(Table1[[#This Row],[order_status]]="completed",1,0)</f>
        <v>0</v>
      </c>
    </row>
    <row r="3665" spans="1:18" x14ac:dyDescent="0.35">
      <c r="A3665">
        <v>3664</v>
      </c>
      <c r="B3665" s="1">
        <v>46021</v>
      </c>
      <c r="C3665">
        <v>1853</v>
      </c>
      <c r="D3665" t="s">
        <v>41</v>
      </c>
      <c r="E3665" t="s">
        <v>23</v>
      </c>
      <c r="F3665" t="s">
        <v>30</v>
      </c>
      <c r="G3665">
        <v>3</v>
      </c>
      <c r="H3665">
        <v>6630</v>
      </c>
      <c r="I3665" t="s">
        <v>39</v>
      </c>
      <c r="J3665" t="s">
        <v>19</v>
      </c>
      <c r="K3665" t="s">
        <v>20</v>
      </c>
      <c r="L3665">
        <v>3</v>
      </c>
      <c r="M3665">
        <v>1</v>
      </c>
      <c r="N3665">
        <v>1</v>
      </c>
      <c r="O3665" t="s">
        <v>27</v>
      </c>
      <c r="P3665" t="str">
        <f>TEXT(Table1[[#This Row],[order_date]],"yyyy-mm")</f>
        <v>2025-12</v>
      </c>
      <c r="Q3665">
        <f>WEEKNUM(Table1[[#This Row],[order_date]])</f>
        <v>53</v>
      </c>
      <c r="R3665">
        <f>IF(Table1[[#This Row],[order_status]]="completed",1,0)</f>
        <v>1</v>
      </c>
    </row>
    <row r="3666" spans="1:18" x14ac:dyDescent="0.35">
      <c r="A3666">
        <v>3665</v>
      </c>
      <c r="B3666" s="1">
        <v>45929</v>
      </c>
      <c r="C3666">
        <v>1269</v>
      </c>
      <c r="D3666" t="s">
        <v>28</v>
      </c>
      <c r="E3666" t="s">
        <v>36</v>
      </c>
      <c r="F3666" t="s">
        <v>30</v>
      </c>
      <c r="G3666">
        <v>2</v>
      </c>
      <c r="H3666">
        <v>4458</v>
      </c>
      <c r="I3666" t="s">
        <v>18</v>
      </c>
      <c r="J3666" t="s">
        <v>19</v>
      </c>
      <c r="K3666" t="s">
        <v>26</v>
      </c>
      <c r="L3666">
        <v>6</v>
      </c>
      <c r="M3666">
        <v>1</v>
      </c>
      <c r="N3666">
        <v>1</v>
      </c>
      <c r="O3666" t="s">
        <v>21</v>
      </c>
      <c r="P3666" t="str">
        <f>TEXT(Table1[[#This Row],[order_date]],"yyyy-mm")</f>
        <v>2025-09</v>
      </c>
      <c r="Q3666">
        <f>WEEKNUM(Table1[[#This Row],[order_date]])</f>
        <v>40</v>
      </c>
      <c r="R3666">
        <f>IF(Table1[[#This Row],[order_status]]="completed",1,0)</f>
        <v>1</v>
      </c>
    </row>
    <row r="3667" spans="1:18" x14ac:dyDescent="0.35">
      <c r="A3667">
        <v>3666</v>
      </c>
      <c r="B3667" s="1">
        <v>45988</v>
      </c>
      <c r="C3667">
        <v>1759</v>
      </c>
      <c r="D3667" t="s">
        <v>28</v>
      </c>
      <c r="E3667" t="s">
        <v>36</v>
      </c>
      <c r="F3667" t="s">
        <v>17</v>
      </c>
      <c r="G3667">
        <v>4</v>
      </c>
      <c r="H3667">
        <v>10540</v>
      </c>
      <c r="I3667" t="s">
        <v>25</v>
      </c>
      <c r="J3667" t="s">
        <v>19</v>
      </c>
      <c r="K3667" t="s">
        <v>40</v>
      </c>
      <c r="L3667">
        <v>6</v>
      </c>
      <c r="M3667">
        <v>0</v>
      </c>
      <c r="N3667">
        <v>1</v>
      </c>
      <c r="O3667" t="s">
        <v>21</v>
      </c>
      <c r="P3667" t="str">
        <f>TEXT(Table1[[#This Row],[order_date]],"yyyy-mm")</f>
        <v>2025-11</v>
      </c>
      <c r="Q3667">
        <f>WEEKNUM(Table1[[#This Row],[order_date]])</f>
        <v>48</v>
      </c>
      <c r="R3667">
        <f>IF(Table1[[#This Row],[order_status]]="completed",1,0)</f>
        <v>1</v>
      </c>
    </row>
    <row r="3668" spans="1:18" x14ac:dyDescent="0.35">
      <c r="A3668">
        <v>3667</v>
      </c>
      <c r="B3668" s="1">
        <v>45858</v>
      </c>
      <c r="C3668">
        <v>1797</v>
      </c>
      <c r="D3668" t="s">
        <v>22</v>
      </c>
      <c r="E3668" t="s">
        <v>29</v>
      </c>
      <c r="F3668" t="s">
        <v>24</v>
      </c>
      <c r="G3668">
        <v>1</v>
      </c>
      <c r="H3668">
        <v>0</v>
      </c>
      <c r="I3668" t="s">
        <v>35</v>
      </c>
      <c r="J3668" t="s">
        <v>37</v>
      </c>
      <c r="K3668" t="s">
        <v>26</v>
      </c>
      <c r="L3668">
        <v>3</v>
      </c>
      <c r="M3668">
        <v>1</v>
      </c>
      <c r="N3668">
        <v>1</v>
      </c>
      <c r="O3668" t="s">
        <v>27</v>
      </c>
      <c r="P3668" t="str">
        <f>TEXT(Table1[[#This Row],[order_date]],"yyyy-mm")</f>
        <v>2025-07</v>
      </c>
      <c r="Q3668">
        <f>WEEKNUM(Table1[[#This Row],[order_date]])</f>
        <v>30</v>
      </c>
      <c r="R3668">
        <f>IF(Table1[[#This Row],[order_status]]="completed",1,0)</f>
        <v>0</v>
      </c>
    </row>
    <row r="3669" spans="1:18" x14ac:dyDescent="0.35">
      <c r="A3669">
        <v>3668</v>
      </c>
      <c r="B3669" s="1">
        <v>45863</v>
      </c>
      <c r="C3669">
        <v>1163</v>
      </c>
      <c r="D3669" t="s">
        <v>15</v>
      </c>
      <c r="E3669" t="s">
        <v>36</v>
      </c>
      <c r="F3669" t="s">
        <v>17</v>
      </c>
      <c r="G3669">
        <v>2</v>
      </c>
      <c r="H3669">
        <v>0</v>
      </c>
      <c r="I3669" t="s">
        <v>39</v>
      </c>
      <c r="J3669" t="s">
        <v>31</v>
      </c>
      <c r="K3669" t="s">
        <v>26</v>
      </c>
      <c r="L3669">
        <v>4</v>
      </c>
      <c r="M3669">
        <v>1</v>
      </c>
      <c r="N3669">
        <v>0</v>
      </c>
      <c r="O3669" t="s">
        <v>21</v>
      </c>
      <c r="P3669" t="str">
        <f>TEXT(Table1[[#This Row],[order_date]],"yyyy-mm")</f>
        <v>2025-07</v>
      </c>
      <c r="Q3669">
        <f>WEEKNUM(Table1[[#This Row],[order_date]])</f>
        <v>30</v>
      </c>
      <c r="R3669">
        <f>IF(Table1[[#This Row],[order_status]]="completed",1,0)</f>
        <v>0</v>
      </c>
    </row>
    <row r="3670" spans="1:18" x14ac:dyDescent="0.35">
      <c r="A3670">
        <v>3669</v>
      </c>
      <c r="B3670" s="1">
        <v>46022</v>
      </c>
      <c r="C3670">
        <v>1320</v>
      </c>
      <c r="D3670" t="s">
        <v>15</v>
      </c>
      <c r="E3670" t="s">
        <v>36</v>
      </c>
      <c r="F3670" t="s">
        <v>34</v>
      </c>
      <c r="G3670">
        <v>2</v>
      </c>
      <c r="H3670">
        <v>0</v>
      </c>
      <c r="I3670" t="s">
        <v>18</v>
      </c>
      <c r="J3670" t="s">
        <v>37</v>
      </c>
      <c r="K3670" t="s">
        <v>38</v>
      </c>
      <c r="L3670">
        <v>5</v>
      </c>
      <c r="M3670">
        <v>1</v>
      </c>
      <c r="N3670">
        <v>1</v>
      </c>
      <c r="O3670" t="s">
        <v>27</v>
      </c>
      <c r="P3670" t="str">
        <f>TEXT(Table1[[#This Row],[order_date]],"yyyy-mm")</f>
        <v>2025-12</v>
      </c>
      <c r="Q3670">
        <f>WEEKNUM(Table1[[#This Row],[order_date]])</f>
        <v>53</v>
      </c>
      <c r="R3670">
        <f>IF(Table1[[#This Row],[order_status]]="completed",1,0)</f>
        <v>0</v>
      </c>
    </row>
    <row r="3671" spans="1:18" x14ac:dyDescent="0.35">
      <c r="A3671">
        <v>3670</v>
      </c>
      <c r="B3671" s="1">
        <v>45866</v>
      </c>
      <c r="C3671">
        <v>1752</v>
      </c>
      <c r="D3671" t="s">
        <v>15</v>
      </c>
      <c r="E3671" t="s">
        <v>16</v>
      </c>
      <c r="F3671" t="s">
        <v>17</v>
      </c>
      <c r="G3671">
        <v>5</v>
      </c>
      <c r="H3671">
        <v>0</v>
      </c>
      <c r="I3671" t="s">
        <v>35</v>
      </c>
      <c r="J3671" t="s">
        <v>31</v>
      </c>
      <c r="K3671" t="s">
        <v>26</v>
      </c>
      <c r="L3671">
        <v>9</v>
      </c>
      <c r="M3671">
        <v>1</v>
      </c>
      <c r="N3671">
        <v>1</v>
      </c>
      <c r="O3671" t="s">
        <v>21</v>
      </c>
      <c r="P3671" t="str">
        <f>TEXT(Table1[[#This Row],[order_date]],"yyyy-mm")</f>
        <v>2025-07</v>
      </c>
      <c r="Q3671">
        <f>WEEKNUM(Table1[[#This Row],[order_date]])</f>
        <v>31</v>
      </c>
      <c r="R3671">
        <f>IF(Table1[[#This Row],[order_status]]="completed",1,0)</f>
        <v>0</v>
      </c>
    </row>
    <row r="3672" spans="1:18" x14ac:dyDescent="0.35">
      <c r="A3672">
        <v>3671</v>
      </c>
      <c r="B3672" s="1">
        <v>46030</v>
      </c>
      <c r="C3672">
        <v>1950</v>
      </c>
      <c r="D3672" t="s">
        <v>28</v>
      </c>
      <c r="E3672" t="s">
        <v>29</v>
      </c>
      <c r="F3672" t="s">
        <v>17</v>
      </c>
      <c r="G3672">
        <v>3</v>
      </c>
      <c r="H3672">
        <v>0</v>
      </c>
      <c r="I3672" t="s">
        <v>39</v>
      </c>
      <c r="J3672" t="s">
        <v>31</v>
      </c>
      <c r="K3672" t="s">
        <v>40</v>
      </c>
      <c r="L3672">
        <v>10</v>
      </c>
      <c r="M3672">
        <v>0</v>
      </c>
      <c r="N3672">
        <v>1</v>
      </c>
      <c r="O3672" t="s">
        <v>27</v>
      </c>
      <c r="P3672" t="str">
        <f>TEXT(Table1[[#This Row],[order_date]],"yyyy-mm")</f>
        <v>2026-01</v>
      </c>
      <c r="Q3672">
        <f>WEEKNUM(Table1[[#This Row],[order_date]])</f>
        <v>2</v>
      </c>
      <c r="R3672">
        <f>IF(Table1[[#This Row],[order_status]]="completed",1,0)</f>
        <v>0</v>
      </c>
    </row>
    <row r="3673" spans="1:18" x14ac:dyDescent="0.35">
      <c r="A3673">
        <v>3672</v>
      </c>
      <c r="B3673" s="1">
        <v>46024</v>
      </c>
      <c r="C3673">
        <v>1906</v>
      </c>
      <c r="D3673" t="s">
        <v>22</v>
      </c>
      <c r="E3673" t="s">
        <v>16</v>
      </c>
      <c r="F3673" t="s">
        <v>30</v>
      </c>
      <c r="G3673">
        <v>5</v>
      </c>
      <c r="H3673">
        <v>0</v>
      </c>
      <c r="I3673" t="s">
        <v>25</v>
      </c>
      <c r="J3673" t="s">
        <v>37</v>
      </c>
      <c r="K3673" t="s">
        <v>20</v>
      </c>
      <c r="L3673">
        <v>4</v>
      </c>
      <c r="M3673">
        <v>1</v>
      </c>
      <c r="N3673">
        <v>0</v>
      </c>
      <c r="O3673" t="s">
        <v>27</v>
      </c>
      <c r="P3673" t="str">
        <f>TEXT(Table1[[#This Row],[order_date]],"yyyy-mm")</f>
        <v>2026-01</v>
      </c>
      <c r="Q3673">
        <f>WEEKNUM(Table1[[#This Row],[order_date]])</f>
        <v>1</v>
      </c>
      <c r="R3673">
        <f>IF(Table1[[#This Row],[order_status]]="completed",1,0)</f>
        <v>0</v>
      </c>
    </row>
    <row r="3674" spans="1:18" x14ac:dyDescent="0.35">
      <c r="A3674">
        <v>3673</v>
      </c>
      <c r="B3674" s="1">
        <v>45943</v>
      </c>
      <c r="C3674">
        <v>1282</v>
      </c>
      <c r="D3674" t="s">
        <v>32</v>
      </c>
      <c r="E3674" t="s">
        <v>36</v>
      </c>
      <c r="F3674" t="s">
        <v>17</v>
      </c>
      <c r="G3674">
        <v>1</v>
      </c>
      <c r="H3674">
        <v>0</v>
      </c>
      <c r="I3674" t="s">
        <v>18</v>
      </c>
      <c r="J3674" t="s">
        <v>37</v>
      </c>
      <c r="K3674" t="s">
        <v>40</v>
      </c>
      <c r="L3674">
        <v>9</v>
      </c>
      <c r="M3674">
        <v>1</v>
      </c>
      <c r="N3674">
        <v>1</v>
      </c>
      <c r="O3674" t="s">
        <v>27</v>
      </c>
      <c r="P3674" t="str">
        <f>TEXT(Table1[[#This Row],[order_date]],"yyyy-mm")</f>
        <v>2025-10</v>
      </c>
      <c r="Q3674">
        <f>WEEKNUM(Table1[[#This Row],[order_date]])</f>
        <v>42</v>
      </c>
      <c r="R3674">
        <f>IF(Table1[[#This Row],[order_status]]="completed",1,0)</f>
        <v>0</v>
      </c>
    </row>
    <row r="3675" spans="1:18" x14ac:dyDescent="0.35">
      <c r="A3675">
        <v>3674</v>
      </c>
      <c r="B3675" s="1">
        <v>46013</v>
      </c>
      <c r="C3675">
        <v>1338</v>
      </c>
      <c r="D3675" t="s">
        <v>15</v>
      </c>
      <c r="E3675" t="s">
        <v>16</v>
      </c>
      <c r="F3675" t="s">
        <v>24</v>
      </c>
      <c r="G3675">
        <v>2</v>
      </c>
      <c r="H3675">
        <v>2094</v>
      </c>
      <c r="I3675" t="s">
        <v>39</v>
      </c>
      <c r="J3675" t="s">
        <v>19</v>
      </c>
      <c r="K3675" t="s">
        <v>26</v>
      </c>
      <c r="L3675">
        <v>5</v>
      </c>
      <c r="M3675">
        <v>1</v>
      </c>
      <c r="N3675">
        <v>0</v>
      </c>
      <c r="O3675" t="s">
        <v>27</v>
      </c>
      <c r="P3675" t="str">
        <f>TEXT(Table1[[#This Row],[order_date]],"yyyy-mm")</f>
        <v>2025-12</v>
      </c>
      <c r="Q3675">
        <f>WEEKNUM(Table1[[#This Row],[order_date]])</f>
        <v>52</v>
      </c>
      <c r="R3675">
        <f>IF(Table1[[#This Row],[order_status]]="completed",1,0)</f>
        <v>1</v>
      </c>
    </row>
    <row r="3676" spans="1:18" x14ac:dyDescent="0.35">
      <c r="A3676">
        <v>3675</v>
      </c>
      <c r="B3676" s="1">
        <v>45907</v>
      </c>
      <c r="C3676">
        <v>1744</v>
      </c>
      <c r="D3676" t="s">
        <v>41</v>
      </c>
      <c r="E3676" t="s">
        <v>29</v>
      </c>
      <c r="F3676" t="s">
        <v>30</v>
      </c>
      <c r="G3676">
        <v>5</v>
      </c>
      <c r="H3676">
        <v>0</v>
      </c>
      <c r="I3676" t="s">
        <v>39</v>
      </c>
      <c r="J3676" t="s">
        <v>37</v>
      </c>
      <c r="K3676" t="s">
        <v>40</v>
      </c>
      <c r="L3676">
        <v>4</v>
      </c>
      <c r="M3676">
        <v>0</v>
      </c>
      <c r="N3676">
        <v>1</v>
      </c>
      <c r="O3676" t="s">
        <v>27</v>
      </c>
      <c r="P3676" t="str">
        <f>TEXT(Table1[[#This Row],[order_date]],"yyyy-mm")</f>
        <v>2025-09</v>
      </c>
      <c r="Q3676">
        <f>WEEKNUM(Table1[[#This Row],[order_date]])</f>
        <v>37</v>
      </c>
      <c r="R3676">
        <f>IF(Table1[[#This Row],[order_status]]="completed",1,0)</f>
        <v>0</v>
      </c>
    </row>
    <row r="3677" spans="1:18" x14ac:dyDescent="0.35">
      <c r="A3677">
        <v>3676</v>
      </c>
      <c r="B3677" s="1">
        <v>45950</v>
      </c>
      <c r="C3677">
        <v>1322</v>
      </c>
      <c r="D3677" t="s">
        <v>15</v>
      </c>
      <c r="E3677" t="s">
        <v>23</v>
      </c>
      <c r="F3677" t="s">
        <v>24</v>
      </c>
      <c r="G3677">
        <v>1</v>
      </c>
      <c r="H3677">
        <v>0</v>
      </c>
      <c r="I3677" t="s">
        <v>35</v>
      </c>
      <c r="J3677" t="s">
        <v>31</v>
      </c>
      <c r="K3677" t="s">
        <v>40</v>
      </c>
      <c r="L3677">
        <v>6</v>
      </c>
      <c r="M3677">
        <v>1</v>
      </c>
      <c r="N3677">
        <v>0</v>
      </c>
      <c r="O3677" t="s">
        <v>21</v>
      </c>
      <c r="P3677" t="str">
        <f>TEXT(Table1[[#This Row],[order_date]],"yyyy-mm")</f>
        <v>2025-10</v>
      </c>
      <c r="Q3677">
        <f>WEEKNUM(Table1[[#This Row],[order_date]])</f>
        <v>43</v>
      </c>
      <c r="R3677">
        <f>IF(Table1[[#This Row],[order_status]]="completed",1,0)</f>
        <v>0</v>
      </c>
    </row>
    <row r="3678" spans="1:18" x14ac:dyDescent="0.35">
      <c r="A3678">
        <v>3677</v>
      </c>
      <c r="B3678" s="1">
        <v>45857</v>
      </c>
      <c r="C3678">
        <v>1468</v>
      </c>
      <c r="D3678" t="s">
        <v>22</v>
      </c>
      <c r="E3678" t="s">
        <v>33</v>
      </c>
      <c r="F3678" t="s">
        <v>17</v>
      </c>
      <c r="G3678">
        <v>4</v>
      </c>
      <c r="H3678">
        <v>0</v>
      </c>
      <c r="I3678" t="s">
        <v>35</v>
      </c>
      <c r="J3678" t="s">
        <v>37</v>
      </c>
      <c r="K3678" t="s">
        <v>38</v>
      </c>
      <c r="L3678">
        <v>10</v>
      </c>
      <c r="M3678">
        <v>1</v>
      </c>
      <c r="N3678">
        <v>0</v>
      </c>
      <c r="O3678" t="s">
        <v>27</v>
      </c>
      <c r="P3678" t="str">
        <f>TEXT(Table1[[#This Row],[order_date]],"yyyy-mm")</f>
        <v>2025-07</v>
      </c>
      <c r="Q3678">
        <f>WEEKNUM(Table1[[#This Row],[order_date]])</f>
        <v>29</v>
      </c>
      <c r="R3678">
        <f>IF(Table1[[#This Row],[order_status]]="completed",1,0)</f>
        <v>0</v>
      </c>
    </row>
    <row r="3679" spans="1:18" x14ac:dyDescent="0.35">
      <c r="A3679">
        <v>3678</v>
      </c>
      <c r="B3679" s="1">
        <v>45874</v>
      </c>
      <c r="C3679">
        <v>2000</v>
      </c>
      <c r="D3679" t="s">
        <v>41</v>
      </c>
      <c r="E3679" t="s">
        <v>23</v>
      </c>
      <c r="F3679" t="s">
        <v>34</v>
      </c>
      <c r="G3679">
        <v>3</v>
      </c>
      <c r="H3679">
        <v>0</v>
      </c>
      <c r="I3679" t="s">
        <v>35</v>
      </c>
      <c r="J3679" t="s">
        <v>37</v>
      </c>
      <c r="K3679" t="s">
        <v>26</v>
      </c>
      <c r="L3679">
        <v>7</v>
      </c>
      <c r="M3679">
        <v>0</v>
      </c>
      <c r="N3679">
        <v>0</v>
      </c>
      <c r="O3679" t="s">
        <v>27</v>
      </c>
      <c r="P3679" t="str">
        <f>TEXT(Table1[[#This Row],[order_date]],"yyyy-mm")</f>
        <v>2025-08</v>
      </c>
      <c r="Q3679">
        <f>WEEKNUM(Table1[[#This Row],[order_date]])</f>
        <v>32</v>
      </c>
      <c r="R3679">
        <f>IF(Table1[[#This Row],[order_status]]="completed",1,0)</f>
        <v>0</v>
      </c>
    </row>
    <row r="3680" spans="1:18" x14ac:dyDescent="0.35">
      <c r="A3680">
        <v>3679</v>
      </c>
      <c r="B3680" s="1">
        <v>45955</v>
      </c>
      <c r="C3680">
        <v>1927</v>
      </c>
      <c r="D3680" t="s">
        <v>15</v>
      </c>
      <c r="E3680" t="s">
        <v>36</v>
      </c>
      <c r="F3680" t="s">
        <v>24</v>
      </c>
      <c r="G3680">
        <v>1</v>
      </c>
      <c r="H3680">
        <v>2786</v>
      </c>
      <c r="I3680" t="s">
        <v>18</v>
      </c>
      <c r="J3680" t="s">
        <v>19</v>
      </c>
      <c r="K3680" t="s">
        <v>38</v>
      </c>
      <c r="L3680">
        <v>3</v>
      </c>
      <c r="M3680">
        <v>1</v>
      </c>
      <c r="N3680">
        <v>1</v>
      </c>
      <c r="O3680" t="s">
        <v>27</v>
      </c>
      <c r="P3680" t="str">
        <f>TEXT(Table1[[#This Row],[order_date]],"yyyy-mm")</f>
        <v>2025-10</v>
      </c>
      <c r="Q3680">
        <f>WEEKNUM(Table1[[#This Row],[order_date]])</f>
        <v>43</v>
      </c>
      <c r="R3680">
        <f>IF(Table1[[#This Row],[order_status]]="completed",1,0)</f>
        <v>1</v>
      </c>
    </row>
    <row r="3681" spans="1:18" x14ac:dyDescent="0.35">
      <c r="A3681">
        <v>3680</v>
      </c>
      <c r="B3681" s="1">
        <v>46006</v>
      </c>
      <c r="C3681">
        <v>1785</v>
      </c>
      <c r="D3681" t="s">
        <v>41</v>
      </c>
      <c r="E3681" t="s">
        <v>29</v>
      </c>
      <c r="F3681" t="s">
        <v>34</v>
      </c>
      <c r="G3681">
        <v>5</v>
      </c>
      <c r="H3681">
        <v>0</v>
      </c>
      <c r="I3681" t="s">
        <v>39</v>
      </c>
      <c r="J3681" t="s">
        <v>37</v>
      </c>
      <c r="K3681" t="s">
        <v>20</v>
      </c>
      <c r="L3681">
        <v>8</v>
      </c>
      <c r="M3681">
        <v>1</v>
      </c>
      <c r="N3681">
        <v>1</v>
      </c>
      <c r="O3681" t="s">
        <v>27</v>
      </c>
      <c r="P3681" t="str">
        <f>TEXT(Table1[[#This Row],[order_date]],"yyyy-mm")</f>
        <v>2025-12</v>
      </c>
      <c r="Q3681">
        <f>WEEKNUM(Table1[[#This Row],[order_date]])</f>
        <v>51</v>
      </c>
      <c r="R3681">
        <f>IF(Table1[[#This Row],[order_status]]="completed",1,0)</f>
        <v>0</v>
      </c>
    </row>
    <row r="3682" spans="1:18" x14ac:dyDescent="0.35">
      <c r="A3682">
        <v>3681</v>
      </c>
      <c r="B3682" s="1">
        <v>45925</v>
      </c>
      <c r="C3682">
        <v>1070</v>
      </c>
      <c r="D3682" t="s">
        <v>22</v>
      </c>
      <c r="E3682" t="s">
        <v>23</v>
      </c>
      <c r="F3682" t="s">
        <v>30</v>
      </c>
      <c r="G3682">
        <v>1</v>
      </c>
      <c r="H3682">
        <v>0</v>
      </c>
      <c r="I3682" t="s">
        <v>25</v>
      </c>
      <c r="J3682" t="s">
        <v>31</v>
      </c>
      <c r="K3682" t="s">
        <v>38</v>
      </c>
      <c r="L3682">
        <v>9</v>
      </c>
      <c r="M3682">
        <v>1</v>
      </c>
      <c r="N3682">
        <v>1</v>
      </c>
      <c r="O3682" t="s">
        <v>27</v>
      </c>
      <c r="P3682" t="str">
        <f>TEXT(Table1[[#This Row],[order_date]],"yyyy-mm")</f>
        <v>2025-09</v>
      </c>
      <c r="Q3682">
        <f>WEEKNUM(Table1[[#This Row],[order_date]])</f>
        <v>39</v>
      </c>
      <c r="R3682">
        <f>IF(Table1[[#This Row],[order_status]]="completed",1,0)</f>
        <v>0</v>
      </c>
    </row>
    <row r="3683" spans="1:18" x14ac:dyDescent="0.35">
      <c r="A3683">
        <v>3682</v>
      </c>
      <c r="B3683" s="1">
        <v>45883</v>
      </c>
      <c r="C3683">
        <v>1292</v>
      </c>
      <c r="D3683" t="s">
        <v>15</v>
      </c>
      <c r="E3683" t="s">
        <v>36</v>
      </c>
      <c r="F3683" t="s">
        <v>34</v>
      </c>
      <c r="G3683">
        <v>5</v>
      </c>
      <c r="H3683">
        <v>0</v>
      </c>
      <c r="I3683" t="s">
        <v>39</v>
      </c>
      <c r="J3683" t="s">
        <v>37</v>
      </c>
      <c r="K3683" t="s">
        <v>38</v>
      </c>
      <c r="L3683">
        <v>8</v>
      </c>
      <c r="M3683">
        <v>0</v>
      </c>
      <c r="N3683">
        <v>0</v>
      </c>
      <c r="O3683" t="s">
        <v>27</v>
      </c>
      <c r="P3683" t="str">
        <f>TEXT(Table1[[#This Row],[order_date]],"yyyy-mm")</f>
        <v>2025-08</v>
      </c>
      <c r="Q3683">
        <f>WEEKNUM(Table1[[#This Row],[order_date]])</f>
        <v>33</v>
      </c>
      <c r="R3683">
        <f>IF(Table1[[#This Row],[order_status]]="completed",1,0)</f>
        <v>0</v>
      </c>
    </row>
    <row r="3684" spans="1:18" x14ac:dyDescent="0.35">
      <c r="A3684">
        <v>3683</v>
      </c>
      <c r="B3684" s="1">
        <v>45980</v>
      </c>
      <c r="C3684">
        <v>1945</v>
      </c>
      <c r="D3684" t="s">
        <v>32</v>
      </c>
      <c r="E3684" t="s">
        <v>36</v>
      </c>
      <c r="F3684" t="s">
        <v>24</v>
      </c>
      <c r="G3684">
        <v>4</v>
      </c>
      <c r="H3684">
        <v>17888</v>
      </c>
      <c r="I3684" t="s">
        <v>25</v>
      </c>
      <c r="J3684" t="s">
        <v>19</v>
      </c>
      <c r="K3684" t="s">
        <v>26</v>
      </c>
      <c r="L3684">
        <v>10</v>
      </c>
      <c r="M3684">
        <v>0</v>
      </c>
      <c r="N3684">
        <v>1</v>
      </c>
      <c r="O3684" t="s">
        <v>21</v>
      </c>
      <c r="P3684" t="str">
        <f>TEXT(Table1[[#This Row],[order_date]],"yyyy-mm")</f>
        <v>2025-11</v>
      </c>
      <c r="Q3684">
        <f>WEEKNUM(Table1[[#This Row],[order_date]])</f>
        <v>47</v>
      </c>
      <c r="R3684">
        <f>IF(Table1[[#This Row],[order_status]]="completed",1,0)</f>
        <v>1</v>
      </c>
    </row>
    <row r="3685" spans="1:18" x14ac:dyDescent="0.35">
      <c r="A3685">
        <v>3684</v>
      </c>
      <c r="B3685" s="1">
        <v>45946</v>
      </c>
      <c r="C3685">
        <v>1710</v>
      </c>
      <c r="D3685" t="s">
        <v>22</v>
      </c>
      <c r="E3685" t="s">
        <v>16</v>
      </c>
      <c r="F3685" t="s">
        <v>30</v>
      </c>
      <c r="G3685">
        <v>4</v>
      </c>
      <c r="H3685">
        <v>0</v>
      </c>
      <c r="I3685" t="s">
        <v>35</v>
      </c>
      <c r="J3685" t="s">
        <v>37</v>
      </c>
      <c r="K3685" t="s">
        <v>40</v>
      </c>
      <c r="L3685">
        <v>2</v>
      </c>
      <c r="M3685">
        <v>1</v>
      </c>
      <c r="N3685">
        <v>0</v>
      </c>
      <c r="O3685" t="s">
        <v>21</v>
      </c>
      <c r="P3685" t="str">
        <f>TEXT(Table1[[#This Row],[order_date]],"yyyy-mm")</f>
        <v>2025-10</v>
      </c>
      <c r="Q3685">
        <f>WEEKNUM(Table1[[#This Row],[order_date]])</f>
        <v>42</v>
      </c>
      <c r="R3685">
        <f>IF(Table1[[#This Row],[order_status]]="completed",1,0)</f>
        <v>0</v>
      </c>
    </row>
    <row r="3686" spans="1:18" x14ac:dyDescent="0.35">
      <c r="A3686">
        <v>3685</v>
      </c>
      <c r="B3686" s="1">
        <v>45963</v>
      </c>
      <c r="C3686">
        <v>1885</v>
      </c>
      <c r="D3686" t="s">
        <v>32</v>
      </c>
      <c r="E3686" t="s">
        <v>23</v>
      </c>
      <c r="F3686" t="s">
        <v>34</v>
      </c>
      <c r="G3686">
        <v>4</v>
      </c>
      <c r="H3686">
        <v>0</v>
      </c>
      <c r="I3686" t="s">
        <v>39</v>
      </c>
      <c r="J3686" t="s">
        <v>31</v>
      </c>
      <c r="K3686" t="s">
        <v>20</v>
      </c>
      <c r="L3686">
        <v>1</v>
      </c>
      <c r="M3686">
        <v>0</v>
      </c>
      <c r="N3686">
        <v>0</v>
      </c>
      <c r="O3686" t="s">
        <v>27</v>
      </c>
      <c r="P3686" t="str">
        <f>TEXT(Table1[[#This Row],[order_date]],"yyyy-mm")</f>
        <v>2025-11</v>
      </c>
      <c r="Q3686">
        <f>WEEKNUM(Table1[[#This Row],[order_date]])</f>
        <v>45</v>
      </c>
      <c r="R3686">
        <f>IF(Table1[[#This Row],[order_status]]="completed",1,0)</f>
        <v>0</v>
      </c>
    </row>
    <row r="3687" spans="1:18" x14ac:dyDescent="0.35">
      <c r="A3687">
        <v>3686</v>
      </c>
      <c r="B3687" s="1">
        <v>45994</v>
      </c>
      <c r="C3687">
        <v>1554</v>
      </c>
      <c r="D3687" t="s">
        <v>32</v>
      </c>
      <c r="E3687" t="s">
        <v>16</v>
      </c>
      <c r="F3687" t="s">
        <v>30</v>
      </c>
      <c r="G3687">
        <v>1</v>
      </c>
      <c r="H3687">
        <v>0</v>
      </c>
      <c r="I3687" t="s">
        <v>35</v>
      </c>
      <c r="J3687" t="s">
        <v>31</v>
      </c>
      <c r="K3687" t="s">
        <v>40</v>
      </c>
      <c r="L3687">
        <v>1</v>
      </c>
      <c r="M3687">
        <v>0</v>
      </c>
      <c r="N3687">
        <v>0</v>
      </c>
      <c r="O3687" t="s">
        <v>21</v>
      </c>
      <c r="P3687" t="str">
        <f>TEXT(Table1[[#This Row],[order_date]],"yyyy-mm")</f>
        <v>2025-12</v>
      </c>
      <c r="Q3687">
        <f>WEEKNUM(Table1[[#This Row],[order_date]])</f>
        <v>49</v>
      </c>
      <c r="R3687">
        <f>IF(Table1[[#This Row],[order_status]]="completed",1,0)</f>
        <v>0</v>
      </c>
    </row>
    <row r="3688" spans="1:18" x14ac:dyDescent="0.35">
      <c r="A3688">
        <v>3687</v>
      </c>
      <c r="B3688" s="1">
        <v>45986</v>
      </c>
      <c r="C3688">
        <v>1671</v>
      </c>
      <c r="D3688" t="s">
        <v>41</v>
      </c>
      <c r="E3688" t="s">
        <v>23</v>
      </c>
      <c r="F3688" t="s">
        <v>24</v>
      </c>
      <c r="G3688">
        <v>2</v>
      </c>
      <c r="H3688">
        <v>0</v>
      </c>
      <c r="I3688" t="s">
        <v>35</v>
      </c>
      <c r="J3688" t="s">
        <v>31</v>
      </c>
      <c r="K3688" t="s">
        <v>40</v>
      </c>
      <c r="L3688">
        <v>3</v>
      </c>
      <c r="M3688">
        <v>1</v>
      </c>
      <c r="N3688">
        <v>0</v>
      </c>
      <c r="O3688" t="s">
        <v>27</v>
      </c>
      <c r="P3688" t="str">
        <f>TEXT(Table1[[#This Row],[order_date]],"yyyy-mm")</f>
        <v>2025-11</v>
      </c>
      <c r="Q3688">
        <f>WEEKNUM(Table1[[#This Row],[order_date]])</f>
        <v>48</v>
      </c>
      <c r="R3688">
        <f>IF(Table1[[#This Row],[order_status]]="completed",1,0)</f>
        <v>0</v>
      </c>
    </row>
    <row r="3689" spans="1:18" x14ac:dyDescent="0.35">
      <c r="A3689">
        <v>3688</v>
      </c>
      <c r="B3689" s="1">
        <v>45875</v>
      </c>
      <c r="C3689">
        <v>1922</v>
      </c>
      <c r="D3689" t="s">
        <v>15</v>
      </c>
      <c r="E3689" t="s">
        <v>23</v>
      </c>
      <c r="F3689" t="s">
        <v>30</v>
      </c>
      <c r="G3689">
        <v>4</v>
      </c>
      <c r="H3689">
        <v>0</v>
      </c>
      <c r="I3689" t="s">
        <v>35</v>
      </c>
      <c r="J3689" t="s">
        <v>31</v>
      </c>
      <c r="K3689" t="s">
        <v>20</v>
      </c>
      <c r="L3689">
        <v>5</v>
      </c>
      <c r="M3689">
        <v>0</v>
      </c>
      <c r="N3689">
        <v>0</v>
      </c>
      <c r="O3689" t="s">
        <v>21</v>
      </c>
      <c r="P3689" t="str">
        <f>TEXT(Table1[[#This Row],[order_date]],"yyyy-mm")</f>
        <v>2025-08</v>
      </c>
      <c r="Q3689">
        <f>WEEKNUM(Table1[[#This Row],[order_date]])</f>
        <v>32</v>
      </c>
      <c r="R3689">
        <f>IF(Table1[[#This Row],[order_status]]="completed",1,0)</f>
        <v>0</v>
      </c>
    </row>
    <row r="3690" spans="1:18" x14ac:dyDescent="0.35">
      <c r="A3690">
        <v>3689</v>
      </c>
      <c r="B3690" s="1">
        <v>45941</v>
      </c>
      <c r="C3690">
        <v>1803</v>
      </c>
      <c r="D3690" t="s">
        <v>28</v>
      </c>
      <c r="E3690" t="s">
        <v>33</v>
      </c>
      <c r="F3690" t="s">
        <v>24</v>
      </c>
      <c r="G3690">
        <v>1</v>
      </c>
      <c r="H3690">
        <v>0</v>
      </c>
      <c r="I3690" t="s">
        <v>18</v>
      </c>
      <c r="J3690" t="s">
        <v>37</v>
      </c>
      <c r="K3690" t="s">
        <v>26</v>
      </c>
      <c r="L3690">
        <v>7</v>
      </c>
      <c r="M3690">
        <v>0</v>
      </c>
      <c r="N3690">
        <v>1</v>
      </c>
      <c r="O3690" t="s">
        <v>27</v>
      </c>
      <c r="P3690" t="str">
        <f>TEXT(Table1[[#This Row],[order_date]],"yyyy-mm")</f>
        <v>2025-10</v>
      </c>
      <c r="Q3690">
        <f>WEEKNUM(Table1[[#This Row],[order_date]])</f>
        <v>41</v>
      </c>
      <c r="R3690">
        <f>IF(Table1[[#This Row],[order_status]]="completed",1,0)</f>
        <v>0</v>
      </c>
    </row>
    <row r="3691" spans="1:18" x14ac:dyDescent="0.35">
      <c r="A3691">
        <v>3690</v>
      </c>
      <c r="B3691" s="1">
        <v>45869</v>
      </c>
      <c r="C3691">
        <v>1986</v>
      </c>
      <c r="D3691" t="s">
        <v>22</v>
      </c>
      <c r="E3691" t="s">
        <v>36</v>
      </c>
      <c r="F3691" t="s">
        <v>30</v>
      </c>
      <c r="G3691">
        <v>3</v>
      </c>
      <c r="H3691">
        <v>0</v>
      </c>
      <c r="I3691" t="s">
        <v>35</v>
      </c>
      <c r="J3691" t="s">
        <v>31</v>
      </c>
      <c r="K3691" t="s">
        <v>20</v>
      </c>
      <c r="L3691">
        <v>10</v>
      </c>
      <c r="M3691">
        <v>1</v>
      </c>
      <c r="N3691">
        <v>0</v>
      </c>
      <c r="O3691" t="s">
        <v>27</v>
      </c>
      <c r="P3691" t="str">
        <f>TEXT(Table1[[#This Row],[order_date]],"yyyy-mm")</f>
        <v>2025-07</v>
      </c>
      <c r="Q3691">
        <f>WEEKNUM(Table1[[#This Row],[order_date]])</f>
        <v>31</v>
      </c>
      <c r="R3691">
        <f>IF(Table1[[#This Row],[order_status]]="completed",1,0)</f>
        <v>0</v>
      </c>
    </row>
    <row r="3692" spans="1:18" x14ac:dyDescent="0.35">
      <c r="A3692">
        <v>3691</v>
      </c>
      <c r="B3692" s="1">
        <v>45872</v>
      </c>
      <c r="C3692">
        <v>1038</v>
      </c>
      <c r="D3692" t="s">
        <v>41</v>
      </c>
      <c r="E3692" t="s">
        <v>33</v>
      </c>
      <c r="F3692" t="s">
        <v>17</v>
      </c>
      <c r="G3692">
        <v>5</v>
      </c>
      <c r="H3692">
        <v>0</v>
      </c>
      <c r="I3692" t="s">
        <v>39</v>
      </c>
      <c r="J3692" t="s">
        <v>31</v>
      </c>
      <c r="K3692" t="s">
        <v>40</v>
      </c>
      <c r="L3692">
        <v>5</v>
      </c>
      <c r="M3692">
        <v>0</v>
      </c>
      <c r="N3692">
        <v>1</v>
      </c>
      <c r="O3692" t="s">
        <v>27</v>
      </c>
      <c r="P3692" t="str">
        <f>TEXT(Table1[[#This Row],[order_date]],"yyyy-mm")</f>
        <v>2025-08</v>
      </c>
      <c r="Q3692">
        <f>WEEKNUM(Table1[[#This Row],[order_date]])</f>
        <v>32</v>
      </c>
      <c r="R3692">
        <f>IF(Table1[[#This Row],[order_status]]="completed",1,0)</f>
        <v>0</v>
      </c>
    </row>
    <row r="3693" spans="1:18" x14ac:dyDescent="0.35">
      <c r="A3693">
        <v>3692</v>
      </c>
      <c r="B3693" s="1">
        <v>45895</v>
      </c>
      <c r="C3693">
        <v>1463</v>
      </c>
      <c r="D3693" t="s">
        <v>15</v>
      </c>
      <c r="E3693" t="s">
        <v>36</v>
      </c>
      <c r="F3693" t="s">
        <v>30</v>
      </c>
      <c r="G3693">
        <v>5</v>
      </c>
      <c r="H3693">
        <v>20500</v>
      </c>
      <c r="I3693" t="s">
        <v>25</v>
      </c>
      <c r="J3693" t="s">
        <v>19</v>
      </c>
      <c r="K3693" t="s">
        <v>20</v>
      </c>
      <c r="L3693">
        <v>4</v>
      </c>
      <c r="M3693">
        <v>1</v>
      </c>
      <c r="N3693">
        <v>0</v>
      </c>
      <c r="O3693" t="s">
        <v>27</v>
      </c>
      <c r="P3693" t="str">
        <f>TEXT(Table1[[#This Row],[order_date]],"yyyy-mm")</f>
        <v>2025-08</v>
      </c>
      <c r="Q3693">
        <f>WEEKNUM(Table1[[#This Row],[order_date]])</f>
        <v>35</v>
      </c>
      <c r="R3693">
        <f>IF(Table1[[#This Row],[order_status]]="completed",1,0)</f>
        <v>1</v>
      </c>
    </row>
    <row r="3694" spans="1:18" x14ac:dyDescent="0.35">
      <c r="A3694">
        <v>3693</v>
      </c>
      <c r="B3694" s="1">
        <v>45855</v>
      </c>
      <c r="C3694">
        <v>1142</v>
      </c>
      <c r="D3694" t="s">
        <v>15</v>
      </c>
      <c r="E3694" t="s">
        <v>16</v>
      </c>
      <c r="F3694" t="s">
        <v>24</v>
      </c>
      <c r="G3694">
        <v>5</v>
      </c>
      <c r="H3694">
        <v>0</v>
      </c>
      <c r="I3694" t="s">
        <v>35</v>
      </c>
      <c r="J3694" t="s">
        <v>37</v>
      </c>
      <c r="K3694" t="s">
        <v>40</v>
      </c>
      <c r="L3694">
        <v>3</v>
      </c>
      <c r="M3694">
        <v>0</v>
      </c>
      <c r="N3694">
        <v>0</v>
      </c>
      <c r="O3694" t="s">
        <v>21</v>
      </c>
      <c r="P3694" t="str">
        <f>TEXT(Table1[[#This Row],[order_date]],"yyyy-mm")</f>
        <v>2025-07</v>
      </c>
      <c r="Q3694">
        <f>WEEKNUM(Table1[[#This Row],[order_date]])</f>
        <v>29</v>
      </c>
      <c r="R3694">
        <f>IF(Table1[[#This Row],[order_status]]="completed",1,0)</f>
        <v>0</v>
      </c>
    </row>
    <row r="3695" spans="1:18" x14ac:dyDescent="0.35">
      <c r="A3695">
        <v>3694</v>
      </c>
      <c r="B3695" s="1">
        <v>46002</v>
      </c>
      <c r="C3695">
        <v>1087</v>
      </c>
      <c r="D3695" t="s">
        <v>28</v>
      </c>
      <c r="E3695" t="s">
        <v>29</v>
      </c>
      <c r="F3695" t="s">
        <v>30</v>
      </c>
      <c r="G3695">
        <v>2</v>
      </c>
      <c r="H3695">
        <v>0</v>
      </c>
      <c r="I3695" t="s">
        <v>18</v>
      </c>
      <c r="J3695" t="s">
        <v>31</v>
      </c>
      <c r="K3695" t="s">
        <v>40</v>
      </c>
      <c r="L3695">
        <v>8</v>
      </c>
      <c r="M3695">
        <v>0</v>
      </c>
      <c r="N3695">
        <v>1</v>
      </c>
      <c r="O3695" t="s">
        <v>21</v>
      </c>
      <c r="P3695" t="str">
        <f>TEXT(Table1[[#This Row],[order_date]],"yyyy-mm")</f>
        <v>2025-12</v>
      </c>
      <c r="Q3695">
        <f>WEEKNUM(Table1[[#This Row],[order_date]])</f>
        <v>50</v>
      </c>
      <c r="R3695">
        <f>IF(Table1[[#This Row],[order_status]]="completed",1,0)</f>
        <v>0</v>
      </c>
    </row>
    <row r="3696" spans="1:18" x14ac:dyDescent="0.35">
      <c r="A3696">
        <v>3695</v>
      </c>
      <c r="B3696" s="1">
        <v>46006</v>
      </c>
      <c r="C3696">
        <v>1855</v>
      </c>
      <c r="D3696" t="s">
        <v>15</v>
      </c>
      <c r="E3696" t="s">
        <v>36</v>
      </c>
      <c r="F3696" t="s">
        <v>17</v>
      </c>
      <c r="G3696">
        <v>1</v>
      </c>
      <c r="H3696">
        <v>1148</v>
      </c>
      <c r="I3696" t="s">
        <v>35</v>
      </c>
      <c r="J3696" t="s">
        <v>19</v>
      </c>
      <c r="K3696" t="s">
        <v>26</v>
      </c>
      <c r="L3696">
        <v>10</v>
      </c>
      <c r="M3696">
        <v>0</v>
      </c>
      <c r="N3696">
        <v>1</v>
      </c>
      <c r="O3696" t="s">
        <v>27</v>
      </c>
      <c r="P3696" t="str">
        <f>TEXT(Table1[[#This Row],[order_date]],"yyyy-mm")</f>
        <v>2025-12</v>
      </c>
      <c r="Q3696">
        <f>WEEKNUM(Table1[[#This Row],[order_date]])</f>
        <v>51</v>
      </c>
      <c r="R3696">
        <f>IF(Table1[[#This Row],[order_status]]="completed",1,0)</f>
        <v>1</v>
      </c>
    </row>
    <row r="3697" spans="1:18" x14ac:dyDescent="0.35">
      <c r="A3697">
        <v>3696</v>
      </c>
      <c r="B3697" s="1">
        <v>45909</v>
      </c>
      <c r="C3697">
        <v>1028</v>
      </c>
      <c r="D3697" t="s">
        <v>15</v>
      </c>
      <c r="E3697" t="s">
        <v>16</v>
      </c>
      <c r="F3697" t="s">
        <v>30</v>
      </c>
      <c r="G3697">
        <v>2</v>
      </c>
      <c r="H3697">
        <v>0</v>
      </c>
      <c r="I3697" t="s">
        <v>18</v>
      </c>
      <c r="J3697" t="s">
        <v>37</v>
      </c>
      <c r="K3697" t="s">
        <v>20</v>
      </c>
      <c r="L3697">
        <v>3</v>
      </c>
      <c r="M3697">
        <v>1</v>
      </c>
      <c r="N3697">
        <v>0</v>
      </c>
      <c r="O3697" t="s">
        <v>21</v>
      </c>
      <c r="P3697" t="str">
        <f>TEXT(Table1[[#This Row],[order_date]],"yyyy-mm")</f>
        <v>2025-09</v>
      </c>
      <c r="Q3697">
        <f>WEEKNUM(Table1[[#This Row],[order_date]])</f>
        <v>37</v>
      </c>
      <c r="R3697">
        <f>IF(Table1[[#This Row],[order_status]]="completed",1,0)</f>
        <v>0</v>
      </c>
    </row>
    <row r="3698" spans="1:18" x14ac:dyDescent="0.35">
      <c r="A3698">
        <v>3697</v>
      </c>
      <c r="B3698" s="1">
        <v>45882</v>
      </c>
      <c r="C3698">
        <v>1808</v>
      </c>
      <c r="D3698" t="s">
        <v>22</v>
      </c>
      <c r="E3698" t="s">
        <v>29</v>
      </c>
      <c r="F3698" t="s">
        <v>30</v>
      </c>
      <c r="G3698">
        <v>2</v>
      </c>
      <c r="H3698">
        <v>0</v>
      </c>
      <c r="I3698" t="s">
        <v>25</v>
      </c>
      <c r="J3698" t="s">
        <v>31</v>
      </c>
      <c r="K3698" t="s">
        <v>40</v>
      </c>
      <c r="L3698">
        <v>10</v>
      </c>
      <c r="M3698">
        <v>1</v>
      </c>
      <c r="N3698">
        <v>1</v>
      </c>
      <c r="O3698" t="s">
        <v>21</v>
      </c>
      <c r="P3698" t="str">
        <f>TEXT(Table1[[#This Row],[order_date]],"yyyy-mm")</f>
        <v>2025-08</v>
      </c>
      <c r="Q3698">
        <f>WEEKNUM(Table1[[#This Row],[order_date]])</f>
        <v>33</v>
      </c>
      <c r="R3698">
        <f>IF(Table1[[#This Row],[order_status]]="completed",1,0)</f>
        <v>0</v>
      </c>
    </row>
    <row r="3699" spans="1:18" x14ac:dyDescent="0.35">
      <c r="A3699">
        <v>3698</v>
      </c>
      <c r="B3699" s="1">
        <v>46024</v>
      </c>
      <c r="C3699">
        <v>1948</v>
      </c>
      <c r="D3699" t="s">
        <v>28</v>
      </c>
      <c r="E3699" t="s">
        <v>29</v>
      </c>
      <c r="F3699" t="s">
        <v>17</v>
      </c>
      <c r="G3699">
        <v>3</v>
      </c>
      <c r="H3699">
        <v>4707</v>
      </c>
      <c r="I3699" t="s">
        <v>18</v>
      </c>
      <c r="J3699" t="s">
        <v>19</v>
      </c>
      <c r="K3699" t="s">
        <v>38</v>
      </c>
      <c r="L3699">
        <v>6</v>
      </c>
      <c r="M3699">
        <v>1</v>
      </c>
      <c r="N3699">
        <v>1</v>
      </c>
      <c r="O3699" t="s">
        <v>21</v>
      </c>
      <c r="P3699" t="str">
        <f>TEXT(Table1[[#This Row],[order_date]],"yyyy-mm")</f>
        <v>2026-01</v>
      </c>
      <c r="Q3699">
        <f>WEEKNUM(Table1[[#This Row],[order_date]])</f>
        <v>1</v>
      </c>
      <c r="R3699">
        <f>IF(Table1[[#This Row],[order_status]]="completed",1,0)</f>
        <v>1</v>
      </c>
    </row>
    <row r="3700" spans="1:18" x14ac:dyDescent="0.35">
      <c r="A3700">
        <v>3699</v>
      </c>
      <c r="B3700" s="1">
        <v>45939</v>
      </c>
      <c r="C3700">
        <v>1202</v>
      </c>
      <c r="D3700" t="s">
        <v>28</v>
      </c>
      <c r="E3700" t="s">
        <v>33</v>
      </c>
      <c r="F3700" t="s">
        <v>34</v>
      </c>
      <c r="G3700">
        <v>1</v>
      </c>
      <c r="H3700">
        <v>0</v>
      </c>
      <c r="I3700" t="s">
        <v>25</v>
      </c>
      <c r="J3700" t="s">
        <v>37</v>
      </c>
      <c r="K3700" t="s">
        <v>40</v>
      </c>
      <c r="L3700">
        <v>8</v>
      </c>
      <c r="M3700">
        <v>0</v>
      </c>
      <c r="N3700">
        <v>0</v>
      </c>
      <c r="O3700" t="s">
        <v>27</v>
      </c>
      <c r="P3700" t="str">
        <f>TEXT(Table1[[#This Row],[order_date]],"yyyy-mm")</f>
        <v>2025-10</v>
      </c>
      <c r="Q3700">
        <f>WEEKNUM(Table1[[#This Row],[order_date]])</f>
        <v>41</v>
      </c>
      <c r="R3700">
        <f>IF(Table1[[#This Row],[order_status]]="completed",1,0)</f>
        <v>0</v>
      </c>
    </row>
    <row r="3701" spans="1:18" x14ac:dyDescent="0.35">
      <c r="A3701">
        <v>3700</v>
      </c>
      <c r="B3701" s="1">
        <v>45990</v>
      </c>
      <c r="C3701">
        <v>1091</v>
      </c>
      <c r="D3701" t="s">
        <v>15</v>
      </c>
      <c r="E3701" t="s">
        <v>29</v>
      </c>
      <c r="F3701" t="s">
        <v>17</v>
      </c>
      <c r="G3701">
        <v>4</v>
      </c>
      <c r="H3701">
        <v>0</v>
      </c>
      <c r="I3701" t="s">
        <v>39</v>
      </c>
      <c r="J3701" t="s">
        <v>37</v>
      </c>
      <c r="K3701" t="s">
        <v>40</v>
      </c>
      <c r="L3701">
        <v>1</v>
      </c>
      <c r="M3701">
        <v>1</v>
      </c>
      <c r="N3701">
        <v>0</v>
      </c>
      <c r="O3701" t="s">
        <v>27</v>
      </c>
      <c r="P3701" t="str">
        <f>TEXT(Table1[[#This Row],[order_date]],"yyyy-mm")</f>
        <v>2025-11</v>
      </c>
      <c r="Q3701">
        <f>WEEKNUM(Table1[[#This Row],[order_date]])</f>
        <v>48</v>
      </c>
      <c r="R3701">
        <f>IF(Table1[[#This Row],[order_status]]="completed",1,0)</f>
        <v>0</v>
      </c>
    </row>
    <row r="3702" spans="1:18" x14ac:dyDescent="0.35">
      <c r="A3702">
        <v>3701</v>
      </c>
      <c r="B3702" s="1">
        <v>45865</v>
      </c>
      <c r="C3702">
        <v>1964</v>
      </c>
      <c r="D3702" t="s">
        <v>15</v>
      </c>
      <c r="E3702" t="s">
        <v>33</v>
      </c>
      <c r="F3702" t="s">
        <v>24</v>
      </c>
      <c r="G3702">
        <v>5</v>
      </c>
      <c r="H3702">
        <v>0</v>
      </c>
      <c r="I3702" t="s">
        <v>18</v>
      </c>
      <c r="J3702" t="s">
        <v>37</v>
      </c>
      <c r="K3702" t="s">
        <v>26</v>
      </c>
      <c r="L3702">
        <v>6</v>
      </c>
      <c r="M3702">
        <v>1</v>
      </c>
      <c r="N3702">
        <v>1</v>
      </c>
      <c r="O3702" t="s">
        <v>27</v>
      </c>
      <c r="P3702" t="str">
        <f>TEXT(Table1[[#This Row],[order_date]],"yyyy-mm")</f>
        <v>2025-07</v>
      </c>
      <c r="Q3702">
        <f>WEEKNUM(Table1[[#This Row],[order_date]])</f>
        <v>31</v>
      </c>
      <c r="R3702">
        <f>IF(Table1[[#This Row],[order_status]]="completed",1,0)</f>
        <v>0</v>
      </c>
    </row>
    <row r="3703" spans="1:18" x14ac:dyDescent="0.35">
      <c r="A3703">
        <v>3702</v>
      </c>
      <c r="B3703" s="1">
        <v>45885</v>
      </c>
      <c r="C3703">
        <v>1637</v>
      </c>
      <c r="D3703" t="s">
        <v>22</v>
      </c>
      <c r="E3703" t="s">
        <v>16</v>
      </c>
      <c r="F3703" t="s">
        <v>34</v>
      </c>
      <c r="G3703">
        <v>2</v>
      </c>
      <c r="H3703">
        <v>0</v>
      </c>
      <c r="I3703" t="s">
        <v>39</v>
      </c>
      <c r="J3703" t="s">
        <v>31</v>
      </c>
      <c r="K3703" t="s">
        <v>40</v>
      </c>
      <c r="L3703">
        <v>5</v>
      </c>
      <c r="M3703">
        <v>0</v>
      </c>
      <c r="N3703">
        <v>1</v>
      </c>
      <c r="O3703" t="s">
        <v>27</v>
      </c>
      <c r="P3703" t="str">
        <f>TEXT(Table1[[#This Row],[order_date]],"yyyy-mm")</f>
        <v>2025-08</v>
      </c>
      <c r="Q3703">
        <f>WEEKNUM(Table1[[#This Row],[order_date]])</f>
        <v>33</v>
      </c>
      <c r="R3703">
        <f>IF(Table1[[#This Row],[order_status]]="completed",1,0)</f>
        <v>0</v>
      </c>
    </row>
    <row r="3704" spans="1:18" x14ac:dyDescent="0.35">
      <c r="A3704">
        <v>3703</v>
      </c>
      <c r="B3704" s="1">
        <v>45907</v>
      </c>
      <c r="C3704">
        <v>1266</v>
      </c>
      <c r="D3704" t="s">
        <v>15</v>
      </c>
      <c r="E3704" t="s">
        <v>16</v>
      </c>
      <c r="F3704" t="s">
        <v>30</v>
      </c>
      <c r="G3704">
        <v>3</v>
      </c>
      <c r="H3704">
        <v>0</v>
      </c>
      <c r="I3704" t="s">
        <v>25</v>
      </c>
      <c r="J3704" t="s">
        <v>31</v>
      </c>
      <c r="K3704" t="s">
        <v>38</v>
      </c>
      <c r="L3704">
        <v>10</v>
      </c>
      <c r="M3704">
        <v>0</v>
      </c>
      <c r="N3704">
        <v>0</v>
      </c>
      <c r="O3704" t="s">
        <v>21</v>
      </c>
      <c r="P3704" t="str">
        <f>TEXT(Table1[[#This Row],[order_date]],"yyyy-mm")</f>
        <v>2025-09</v>
      </c>
      <c r="Q3704">
        <f>WEEKNUM(Table1[[#This Row],[order_date]])</f>
        <v>37</v>
      </c>
      <c r="R3704">
        <f>IF(Table1[[#This Row],[order_status]]="completed",1,0)</f>
        <v>0</v>
      </c>
    </row>
    <row r="3705" spans="1:18" x14ac:dyDescent="0.35">
      <c r="A3705">
        <v>3704</v>
      </c>
      <c r="B3705" s="1">
        <v>45891</v>
      </c>
      <c r="C3705">
        <v>1107</v>
      </c>
      <c r="D3705" t="s">
        <v>41</v>
      </c>
      <c r="E3705" t="s">
        <v>36</v>
      </c>
      <c r="F3705" t="s">
        <v>34</v>
      </c>
      <c r="G3705">
        <v>5</v>
      </c>
      <c r="H3705">
        <v>0</v>
      </c>
      <c r="I3705" t="s">
        <v>35</v>
      </c>
      <c r="J3705" t="s">
        <v>31</v>
      </c>
      <c r="K3705" t="s">
        <v>26</v>
      </c>
      <c r="L3705">
        <v>6</v>
      </c>
      <c r="M3705">
        <v>1</v>
      </c>
      <c r="N3705">
        <v>0</v>
      </c>
      <c r="O3705" t="s">
        <v>21</v>
      </c>
      <c r="P3705" t="str">
        <f>TEXT(Table1[[#This Row],[order_date]],"yyyy-mm")</f>
        <v>2025-08</v>
      </c>
      <c r="Q3705">
        <f>WEEKNUM(Table1[[#This Row],[order_date]])</f>
        <v>34</v>
      </c>
      <c r="R3705">
        <f>IF(Table1[[#This Row],[order_status]]="completed",1,0)</f>
        <v>0</v>
      </c>
    </row>
    <row r="3706" spans="1:18" x14ac:dyDescent="0.35">
      <c r="A3706">
        <v>3705</v>
      </c>
      <c r="B3706" s="1">
        <v>45959</v>
      </c>
      <c r="C3706">
        <v>1108</v>
      </c>
      <c r="D3706" t="s">
        <v>15</v>
      </c>
      <c r="E3706" t="s">
        <v>33</v>
      </c>
      <c r="F3706" t="s">
        <v>34</v>
      </c>
      <c r="G3706">
        <v>2</v>
      </c>
      <c r="H3706">
        <v>0</v>
      </c>
      <c r="I3706" t="s">
        <v>18</v>
      </c>
      <c r="J3706" t="s">
        <v>37</v>
      </c>
      <c r="K3706" t="s">
        <v>38</v>
      </c>
      <c r="L3706">
        <v>3</v>
      </c>
      <c r="M3706">
        <v>1</v>
      </c>
      <c r="N3706">
        <v>0</v>
      </c>
      <c r="O3706" t="s">
        <v>27</v>
      </c>
      <c r="P3706" t="str">
        <f>TEXT(Table1[[#This Row],[order_date]],"yyyy-mm")</f>
        <v>2025-10</v>
      </c>
      <c r="Q3706">
        <f>WEEKNUM(Table1[[#This Row],[order_date]])</f>
        <v>44</v>
      </c>
      <c r="R3706">
        <f>IF(Table1[[#This Row],[order_status]]="completed",1,0)</f>
        <v>0</v>
      </c>
    </row>
    <row r="3707" spans="1:18" x14ac:dyDescent="0.35">
      <c r="A3707">
        <v>3706</v>
      </c>
      <c r="B3707" s="1">
        <v>45900</v>
      </c>
      <c r="C3707">
        <v>1553</v>
      </c>
      <c r="D3707" t="s">
        <v>41</v>
      </c>
      <c r="E3707" t="s">
        <v>23</v>
      </c>
      <c r="F3707" t="s">
        <v>24</v>
      </c>
      <c r="G3707">
        <v>5</v>
      </c>
      <c r="H3707">
        <v>0</v>
      </c>
      <c r="I3707" t="s">
        <v>35</v>
      </c>
      <c r="J3707" t="s">
        <v>31</v>
      </c>
      <c r="K3707" t="s">
        <v>26</v>
      </c>
      <c r="L3707">
        <v>2</v>
      </c>
      <c r="M3707">
        <v>0</v>
      </c>
      <c r="N3707">
        <v>1</v>
      </c>
      <c r="O3707" t="s">
        <v>27</v>
      </c>
      <c r="P3707" t="str">
        <f>TEXT(Table1[[#This Row],[order_date]],"yyyy-mm")</f>
        <v>2025-08</v>
      </c>
      <c r="Q3707">
        <f>WEEKNUM(Table1[[#This Row],[order_date]])</f>
        <v>36</v>
      </c>
      <c r="R3707">
        <f>IF(Table1[[#This Row],[order_status]]="completed",1,0)</f>
        <v>0</v>
      </c>
    </row>
    <row r="3708" spans="1:18" x14ac:dyDescent="0.35">
      <c r="A3708">
        <v>3707</v>
      </c>
      <c r="B3708" s="1">
        <v>46018</v>
      </c>
      <c r="C3708">
        <v>1832</v>
      </c>
      <c r="D3708" t="s">
        <v>28</v>
      </c>
      <c r="E3708" t="s">
        <v>23</v>
      </c>
      <c r="F3708" t="s">
        <v>24</v>
      </c>
      <c r="G3708">
        <v>2</v>
      </c>
      <c r="H3708">
        <v>4398</v>
      </c>
      <c r="I3708" t="s">
        <v>35</v>
      </c>
      <c r="J3708" t="s">
        <v>19</v>
      </c>
      <c r="K3708" t="s">
        <v>38</v>
      </c>
      <c r="L3708">
        <v>6</v>
      </c>
      <c r="M3708">
        <v>1</v>
      </c>
      <c r="N3708">
        <v>0</v>
      </c>
      <c r="O3708" t="s">
        <v>27</v>
      </c>
      <c r="P3708" t="str">
        <f>TEXT(Table1[[#This Row],[order_date]],"yyyy-mm")</f>
        <v>2025-12</v>
      </c>
      <c r="Q3708">
        <f>WEEKNUM(Table1[[#This Row],[order_date]])</f>
        <v>52</v>
      </c>
      <c r="R3708">
        <f>IF(Table1[[#This Row],[order_status]]="completed",1,0)</f>
        <v>1</v>
      </c>
    </row>
    <row r="3709" spans="1:18" x14ac:dyDescent="0.35">
      <c r="A3709">
        <v>3708</v>
      </c>
      <c r="B3709" s="1">
        <v>46019</v>
      </c>
      <c r="C3709">
        <v>1667</v>
      </c>
      <c r="D3709" t="s">
        <v>28</v>
      </c>
      <c r="E3709" t="s">
        <v>16</v>
      </c>
      <c r="F3709" t="s">
        <v>30</v>
      </c>
      <c r="G3709">
        <v>4</v>
      </c>
      <c r="H3709">
        <v>0</v>
      </c>
      <c r="I3709" t="s">
        <v>35</v>
      </c>
      <c r="J3709" t="s">
        <v>37</v>
      </c>
      <c r="K3709" t="s">
        <v>38</v>
      </c>
      <c r="L3709">
        <v>4</v>
      </c>
      <c r="M3709">
        <v>0</v>
      </c>
      <c r="N3709">
        <v>0</v>
      </c>
      <c r="O3709" t="s">
        <v>27</v>
      </c>
      <c r="P3709" t="str">
        <f>TEXT(Table1[[#This Row],[order_date]],"yyyy-mm")</f>
        <v>2025-12</v>
      </c>
      <c r="Q3709">
        <f>WEEKNUM(Table1[[#This Row],[order_date]])</f>
        <v>53</v>
      </c>
      <c r="R3709">
        <f>IF(Table1[[#This Row],[order_status]]="completed",1,0)</f>
        <v>0</v>
      </c>
    </row>
    <row r="3710" spans="1:18" x14ac:dyDescent="0.35">
      <c r="A3710">
        <v>3709</v>
      </c>
      <c r="B3710" s="1">
        <v>45867</v>
      </c>
      <c r="C3710">
        <v>1087</v>
      </c>
      <c r="D3710" t="s">
        <v>41</v>
      </c>
      <c r="E3710" t="s">
        <v>23</v>
      </c>
      <c r="F3710" t="s">
        <v>34</v>
      </c>
      <c r="G3710">
        <v>2</v>
      </c>
      <c r="H3710">
        <v>0</v>
      </c>
      <c r="I3710" t="s">
        <v>35</v>
      </c>
      <c r="J3710" t="s">
        <v>31</v>
      </c>
      <c r="K3710" t="s">
        <v>26</v>
      </c>
      <c r="L3710">
        <v>5</v>
      </c>
      <c r="M3710">
        <v>0</v>
      </c>
      <c r="N3710">
        <v>1</v>
      </c>
      <c r="O3710" t="s">
        <v>21</v>
      </c>
      <c r="P3710" t="str">
        <f>TEXT(Table1[[#This Row],[order_date]],"yyyy-mm")</f>
        <v>2025-07</v>
      </c>
      <c r="Q3710">
        <f>WEEKNUM(Table1[[#This Row],[order_date]])</f>
        <v>31</v>
      </c>
      <c r="R3710">
        <f>IF(Table1[[#This Row],[order_status]]="completed",1,0)</f>
        <v>0</v>
      </c>
    </row>
    <row r="3711" spans="1:18" x14ac:dyDescent="0.35">
      <c r="A3711">
        <v>3710</v>
      </c>
      <c r="B3711" s="1">
        <v>45979</v>
      </c>
      <c r="C3711">
        <v>1008</v>
      </c>
      <c r="D3711" t="s">
        <v>28</v>
      </c>
      <c r="E3711" t="s">
        <v>29</v>
      </c>
      <c r="F3711" t="s">
        <v>34</v>
      </c>
      <c r="G3711">
        <v>1</v>
      </c>
      <c r="H3711">
        <v>0</v>
      </c>
      <c r="I3711" t="s">
        <v>39</v>
      </c>
      <c r="J3711" t="s">
        <v>37</v>
      </c>
      <c r="K3711" t="s">
        <v>20</v>
      </c>
      <c r="L3711">
        <v>7</v>
      </c>
      <c r="M3711">
        <v>0</v>
      </c>
      <c r="N3711">
        <v>1</v>
      </c>
      <c r="O3711" t="s">
        <v>27</v>
      </c>
      <c r="P3711" t="str">
        <f>TEXT(Table1[[#This Row],[order_date]],"yyyy-mm")</f>
        <v>2025-11</v>
      </c>
      <c r="Q3711">
        <f>WEEKNUM(Table1[[#This Row],[order_date]])</f>
        <v>47</v>
      </c>
      <c r="R3711">
        <f>IF(Table1[[#This Row],[order_status]]="completed",1,0)</f>
        <v>0</v>
      </c>
    </row>
    <row r="3712" spans="1:18" x14ac:dyDescent="0.35">
      <c r="A3712">
        <v>3711</v>
      </c>
      <c r="B3712" s="1">
        <v>45859</v>
      </c>
      <c r="C3712">
        <v>1798</v>
      </c>
      <c r="D3712" t="s">
        <v>41</v>
      </c>
      <c r="E3712" t="s">
        <v>29</v>
      </c>
      <c r="F3712" t="s">
        <v>24</v>
      </c>
      <c r="G3712">
        <v>5</v>
      </c>
      <c r="H3712">
        <v>0</v>
      </c>
      <c r="I3712" t="s">
        <v>25</v>
      </c>
      <c r="J3712" t="s">
        <v>37</v>
      </c>
      <c r="K3712" t="s">
        <v>26</v>
      </c>
      <c r="L3712">
        <v>2</v>
      </c>
      <c r="M3712">
        <v>1</v>
      </c>
      <c r="N3712">
        <v>0</v>
      </c>
      <c r="O3712" t="s">
        <v>27</v>
      </c>
      <c r="P3712" t="str">
        <f>TEXT(Table1[[#This Row],[order_date]],"yyyy-mm")</f>
        <v>2025-07</v>
      </c>
      <c r="Q3712">
        <f>WEEKNUM(Table1[[#This Row],[order_date]])</f>
        <v>30</v>
      </c>
      <c r="R3712">
        <f>IF(Table1[[#This Row],[order_status]]="completed",1,0)</f>
        <v>0</v>
      </c>
    </row>
    <row r="3713" spans="1:18" x14ac:dyDescent="0.35">
      <c r="A3713">
        <v>3712</v>
      </c>
      <c r="B3713" s="1">
        <v>46026</v>
      </c>
      <c r="C3713">
        <v>1104</v>
      </c>
      <c r="D3713" t="s">
        <v>41</v>
      </c>
      <c r="E3713" t="s">
        <v>23</v>
      </c>
      <c r="F3713" t="s">
        <v>30</v>
      </c>
      <c r="G3713">
        <v>3</v>
      </c>
      <c r="H3713">
        <v>9057</v>
      </c>
      <c r="I3713" t="s">
        <v>18</v>
      </c>
      <c r="J3713" t="s">
        <v>19</v>
      </c>
      <c r="K3713" t="s">
        <v>40</v>
      </c>
      <c r="L3713">
        <v>1</v>
      </c>
      <c r="M3713">
        <v>0</v>
      </c>
      <c r="N3713">
        <v>1</v>
      </c>
      <c r="O3713" t="s">
        <v>27</v>
      </c>
      <c r="P3713" t="str">
        <f>TEXT(Table1[[#This Row],[order_date]],"yyyy-mm")</f>
        <v>2026-01</v>
      </c>
      <c r="Q3713">
        <f>WEEKNUM(Table1[[#This Row],[order_date]])</f>
        <v>2</v>
      </c>
      <c r="R3713">
        <f>IF(Table1[[#This Row],[order_status]]="completed",1,0)</f>
        <v>1</v>
      </c>
    </row>
    <row r="3714" spans="1:18" x14ac:dyDescent="0.35">
      <c r="A3714">
        <v>3713</v>
      </c>
      <c r="B3714" s="1">
        <v>45981</v>
      </c>
      <c r="C3714">
        <v>1085</v>
      </c>
      <c r="D3714" t="s">
        <v>22</v>
      </c>
      <c r="E3714" t="s">
        <v>23</v>
      </c>
      <c r="F3714" t="s">
        <v>24</v>
      </c>
      <c r="G3714">
        <v>4</v>
      </c>
      <c r="H3714">
        <v>14532</v>
      </c>
      <c r="I3714" t="s">
        <v>25</v>
      </c>
      <c r="J3714" t="s">
        <v>19</v>
      </c>
      <c r="K3714" t="s">
        <v>20</v>
      </c>
      <c r="L3714">
        <v>7</v>
      </c>
      <c r="M3714">
        <v>0</v>
      </c>
      <c r="N3714">
        <v>0</v>
      </c>
      <c r="O3714" t="s">
        <v>27</v>
      </c>
      <c r="P3714" t="str">
        <f>TEXT(Table1[[#This Row],[order_date]],"yyyy-mm")</f>
        <v>2025-11</v>
      </c>
      <c r="Q3714">
        <f>WEEKNUM(Table1[[#This Row],[order_date]])</f>
        <v>47</v>
      </c>
      <c r="R3714">
        <f>IF(Table1[[#This Row],[order_status]]="completed",1,0)</f>
        <v>1</v>
      </c>
    </row>
    <row r="3715" spans="1:18" x14ac:dyDescent="0.35">
      <c r="A3715">
        <v>3714</v>
      </c>
      <c r="B3715" s="1">
        <v>45985</v>
      </c>
      <c r="C3715">
        <v>1959</v>
      </c>
      <c r="D3715" t="s">
        <v>15</v>
      </c>
      <c r="E3715" t="s">
        <v>36</v>
      </c>
      <c r="F3715" t="s">
        <v>24</v>
      </c>
      <c r="G3715">
        <v>3</v>
      </c>
      <c r="H3715">
        <v>0</v>
      </c>
      <c r="I3715" t="s">
        <v>35</v>
      </c>
      <c r="J3715" t="s">
        <v>31</v>
      </c>
      <c r="K3715" t="s">
        <v>38</v>
      </c>
      <c r="L3715">
        <v>9</v>
      </c>
      <c r="M3715">
        <v>0</v>
      </c>
      <c r="N3715">
        <v>0</v>
      </c>
      <c r="O3715" t="s">
        <v>21</v>
      </c>
      <c r="P3715" t="str">
        <f>TEXT(Table1[[#This Row],[order_date]],"yyyy-mm")</f>
        <v>2025-11</v>
      </c>
      <c r="Q3715">
        <f>WEEKNUM(Table1[[#This Row],[order_date]])</f>
        <v>48</v>
      </c>
      <c r="R3715">
        <f>IF(Table1[[#This Row],[order_status]]="completed",1,0)</f>
        <v>0</v>
      </c>
    </row>
    <row r="3716" spans="1:18" x14ac:dyDescent="0.35">
      <c r="A3716">
        <v>3715</v>
      </c>
      <c r="B3716" s="1">
        <v>45909</v>
      </c>
      <c r="C3716">
        <v>1861</v>
      </c>
      <c r="D3716" t="s">
        <v>41</v>
      </c>
      <c r="E3716" t="s">
        <v>33</v>
      </c>
      <c r="F3716" t="s">
        <v>17</v>
      </c>
      <c r="G3716">
        <v>1</v>
      </c>
      <c r="H3716">
        <v>0</v>
      </c>
      <c r="I3716" t="s">
        <v>18</v>
      </c>
      <c r="J3716" t="s">
        <v>31</v>
      </c>
      <c r="K3716" t="s">
        <v>40</v>
      </c>
      <c r="L3716">
        <v>1</v>
      </c>
      <c r="M3716">
        <v>0</v>
      </c>
      <c r="N3716">
        <v>1</v>
      </c>
      <c r="O3716" t="s">
        <v>21</v>
      </c>
      <c r="P3716" t="str">
        <f>TEXT(Table1[[#This Row],[order_date]],"yyyy-mm")</f>
        <v>2025-09</v>
      </c>
      <c r="Q3716">
        <f>WEEKNUM(Table1[[#This Row],[order_date]])</f>
        <v>37</v>
      </c>
      <c r="R3716">
        <f>IF(Table1[[#This Row],[order_status]]="completed",1,0)</f>
        <v>0</v>
      </c>
    </row>
    <row r="3717" spans="1:18" x14ac:dyDescent="0.35">
      <c r="A3717">
        <v>3716</v>
      </c>
      <c r="B3717" s="1">
        <v>45921</v>
      </c>
      <c r="C3717">
        <v>1629</v>
      </c>
      <c r="D3717" t="s">
        <v>41</v>
      </c>
      <c r="E3717" t="s">
        <v>36</v>
      </c>
      <c r="F3717" t="s">
        <v>34</v>
      </c>
      <c r="G3717">
        <v>5</v>
      </c>
      <c r="H3717">
        <v>4110</v>
      </c>
      <c r="I3717" t="s">
        <v>39</v>
      </c>
      <c r="J3717" t="s">
        <v>19</v>
      </c>
      <c r="K3717" t="s">
        <v>38</v>
      </c>
      <c r="L3717">
        <v>1</v>
      </c>
      <c r="M3717">
        <v>1</v>
      </c>
      <c r="N3717">
        <v>0</v>
      </c>
      <c r="O3717" t="s">
        <v>27</v>
      </c>
      <c r="P3717" t="str">
        <f>TEXT(Table1[[#This Row],[order_date]],"yyyy-mm")</f>
        <v>2025-09</v>
      </c>
      <c r="Q3717">
        <f>WEEKNUM(Table1[[#This Row],[order_date]])</f>
        <v>39</v>
      </c>
      <c r="R3717">
        <f>IF(Table1[[#This Row],[order_status]]="completed",1,0)</f>
        <v>1</v>
      </c>
    </row>
    <row r="3718" spans="1:18" x14ac:dyDescent="0.35">
      <c r="A3718">
        <v>3717</v>
      </c>
      <c r="B3718" s="1">
        <v>45864</v>
      </c>
      <c r="C3718">
        <v>1442</v>
      </c>
      <c r="D3718" t="s">
        <v>41</v>
      </c>
      <c r="E3718" t="s">
        <v>36</v>
      </c>
      <c r="F3718" t="s">
        <v>30</v>
      </c>
      <c r="G3718">
        <v>5</v>
      </c>
      <c r="H3718">
        <v>0</v>
      </c>
      <c r="I3718" t="s">
        <v>35</v>
      </c>
      <c r="J3718" t="s">
        <v>37</v>
      </c>
      <c r="K3718" t="s">
        <v>38</v>
      </c>
      <c r="L3718">
        <v>9</v>
      </c>
      <c r="M3718">
        <v>0</v>
      </c>
      <c r="N3718">
        <v>1</v>
      </c>
      <c r="O3718" t="s">
        <v>21</v>
      </c>
      <c r="P3718" t="str">
        <f>TEXT(Table1[[#This Row],[order_date]],"yyyy-mm")</f>
        <v>2025-07</v>
      </c>
      <c r="Q3718">
        <f>WEEKNUM(Table1[[#This Row],[order_date]])</f>
        <v>30</v>
      </c>
      <c r="R3718">
        <f>IF(Table1[[#This Row],[order_status]]="completed",1,0)</f>
        <v>0</v>
      </c>
    </row>
    <row r="3719" spans="1:18" x14ac:dyDescent="0.35">
      <c r="A3719">
        <v>3718</v>
      </c>
      <c r="B3719" s="1">
        <v>45886</v>
      </c>
      <c r="C3719">
        <v>1079</v>
      </c>
      <c r="D3719" t="s">
        <v>32</v>
      </c>
      <c r="E3719" t="s">
        <v>16</v>
      </c>
      <c r="F3719" t="s">
        <v>34</v>
      </c>
      <c r="G3719">
        <v>4</v>
      </c>
      <c r="H3719">
        <v>0</v>
      </c>
      <c r="I3719" t="s">
        <v>18</v>
      </c>
      <c r="J3719" t="s">
        <v>37</v>
      </c>
      <c r="K3719" t="s">
        <v>38</v>
      </c>
      <c r="L3719">
        <v>8</v>
      </c>
      <c r="M3719">
        <v>0</v>
      </c>
      <c r="N3719">
        <v>1</v>
      </c>
      <c r="O3719" t="s">
        <v>21</v>
      </c>
      <c r="P3719" t="str">
        <f>TEXT(Table1[[#This Row],[order_date]],"yyyy-mm")</f>
        <v>2025-08</v>
      </c>
      <c r="Q3719">
        <f>WEEKNUM(Table1[[#This Row],[order_date]])</f>
        <v>34</v>
      </c>
      <c r="R3719">
        <f>IF(Table1[[#This Row],[order_status]]="completed",1,0)</f>
        <v>0</v>
      </c>
    </row>
    <row r="3720" spans="1:18" x14ac:dyDescent="0.35">
      <c r="A3720">
        <v>3719</v>
      </c>
      <c r="B3720" s="1">
        <v>46017</v>
      </c>
      <c r="C3720">
        <v>1735</v>
      </c>
      <c r="D3720" t="s">
        <v>28</v>
      </c>
      <c r="E3720" t="s">
        <v>23</v>
      </c>
      <c r="F3720" t="s">
        <v>24</v>
      </c>
      <c r="G3720">
        <v>3</v>
      </c>
      <c r="H3720">
        <v>10497</v>
      </c>
      <c r="I3720" t="s">
        <v>18</v>
      </c>
      <c r="J3720" t="s">
        <v>19</v>
      </c>
      <c r="K3720" t="s">
        <v>38</v>
      </c>
      <c r="L3720">
        <v>1</v>
      </c>
      <c r="M3720">
        <v>0</v>
      </c>
      <c r="N3720">
        <v>0</v>
      </c>
      <c r="O3720" t="s">
        <v>27</v>
      </c>
      <c r="P3720" t="str">
        <f>TEXT(Table1[[#This Row],[order_date]],"yyyy-mm")</f>
        <v>2025-12</v>
      </c>
      <c r="Q3720">
        <f>WEEKNUM(Table1[[#This Row],[order_date]])</f>
        <v>52</v>
      </c>
      <c r="R3720">
        <f>IF(Table1[[#This Row],[order_status]]="completed",1,0)</f>
        <v>1</v>
      </c>
    </row>
    <row r="3721" spans="1:18" x14ac:dyDescent="0.35">
      <c r="A3721">
        <v>3720</v>
      </c>
      <c r="B3721" s="1">
        <v>45916</v>
      </c>
      <c r="C3721">
        <v>1111</v>
      </c>
      <c r="D3721" t="s">
        <v>41</v>
      </c>
      <c r="E3721" t="s">
        <v>16</v>
      </c>
      <c r="F3721" t="s">
        <v>17</v>
      </c>
      <c r="G3721">
        <v>5</v>
      </c>
      <c r="H3721">
        <v>0</v>
      </c>
      <c r="I3721" t="s">
        <v>39</v>
      </c>
      <c r="J3721" t="s">
        <v>37</v>
      </c>
      <c r="K3721" t="s">
        <v>26</v>
      </c>
      <c r="L3721">
        <v>10</v>
      </c>
      <c r="M3721">
        <v>1</v>
      </c>
      <c r="N3721">
        <v>0</v>
      </c>
      <c r="O3721" t="s">
        <v>21</v>
      </c>
      <c r="P3721" t="str">
        <f>TEXT(Table1[[#This Row],[order_date]],"yyyy-mm")</f>
        <v>2025-09</v>
      </c>
      <c r="Q3721">
        <f>WEEKNUM(Table1[[#This Row],[order_date]])</f>
        <v>38</v>
      </c>
      <c r="R3721">
        <f>IF(Table1[[#This Row],[order_status]]="completed",1,0)</f>
        <v>0</v>
      </c>
    </row>
    <row r="3722" spans="1:18" x14ac:dyDescent="0.35">
      <c r="A3722">
        <v>3721</v>
      </c>
      <c r="B3722" s="1">
        <v>46019</v>
      </c>
      <c r="C3722">
        <v>1058</v>
      </c>
      <c r="D3722" t="s">
        <v>15</v>
      </c>
      <c r="E3722" t="s">
        <v>23</v>
      </c>
      <c r="F3722" t="s">
        <v>34</v>
      </c>
      <c r="G3722">
        <v>4</v>
      </c>
      <c r="H3722">
        <v>0</v>
      </c>
      <c r="I3722" t="s">
        <v>35</v>
      </c>
      <c r="J3722" t="s">
        <v>37</v>
      </c>
      <c r="K3722" t="s">
        <v>26</v>
      </c>
      <c r="L3722">
        <v>1</v>
      </c>
      <c r="M3722">
        <v>1</v>
      </c>
      <c r="N3722">
        <v>1</v>
      </c>
      <c r="O3722" t="s">
        <v>21</v>
      </c>
      <c r="P3722" t="str">
        <f>TEXT(Table1[[#This Row],[order_date]],"yyyy-mm")</f>
        <v>2025-12</v>
      </c>
      <c r="Q3722">
        <f>WEEKNUM(Table1[[#This Row],[order_date]])</f>
        <v>53</v>
      </c>
      <c r="R3722">
        <f>IF(Table1[[#This Row],[order_status]]="completed",1,0)</f>
        <v>0</v>
      </c>
    </row>
    <row r="3723" spans="1:18" x14ac:dyDescent="0.35">
      <c r="A3723">
        <v>3722</v>
      </c>
      <c r="B3723" s="1">
        <v>46012</v>
      </c>
      <c r="C3723">
        <v>1420</v>
      </c>
      <c r="D3723" t="s">
        <v>15</v>
      </c>
      <c r="E3723" t="s">
        <v>36</v>
      </c>
      <c r="F3723" t="s">
        <v>34</v>
      </c>
      <c r="G3723">
        <v>2</v>
      </c>
      <c r="H3723">
        <v>0</v>
      </c>
      <c r="I3723" t="s">
        <v>18</v>
      </c>
      <c r="J3723" t="s">
        <v>31</v>
      </c>
      <c r="K3723" t="s">
        <v>40</v>
      </c>
      <c r="L3723">
        <v>3</v>
      </c>
      <c r="M3723">
        <v>1</v>
      </c>
      <c r="N3723">
        <v>1</v>
      </c>
      <c r="O3723" t="s">
        <v>21</v>
      </c>
      <c r="P3723" t="str">
        <f>TEXT(Table1[[#This Row],[order_date]],"yyyy-mm")</f>
        <v>2025-12</v>
      </c>
      <c r="Q3723">
        <f>WEEKNUM(Table1[[#This Row],[order_date]])</f>
        <v>52</v>
      </c>
      <c r="R3723">
        <f>IF(Table1[[#This Row],[order_status]]="completed",1,0)</f>
        <v>0</v>
      </c>
    </row>
    <row r="3724" spans="1:18" x14ac:dyDescent="0.35">
      <c r="A3724">
        <v>3723</v>
      </c>
      <c r="B3724" s="1">
        <v>45892</v>
      </c>
      <c r="C3724">
        <v>1156</v>
      </c>
      <c r="D3724" t="s">
        <v>28</v>
      </c>
      <c r="E3724" t="s">
        <v>23</v>
      </c>
      <c r="F3724" t="s">
        <v>30</v>
      </c>
      <c r="G3724">
        <v>1</v>
      </c>
      <c r="H3724">
        <v>3474</v>
      </c>
      <c r="I3724" t="s">
        <v>35</v>
      </c>
      <c r="J3724" t="s">
        <v>19</v>
      </c>
      <c r="K3724" t="s">
        <v>38</v>
      </c>
      <c r="L3724">
        <v>3</v>
      </c>
      <c r="M3724">
        <v>1</v>
      </c>
      <c r="N3724">
        <v>0</v>
      </c>
      <c r="O3724" t="s">
        <v>27</v>
      </c>
      <c r="P3724" t="str">
        <f>TEXT(Table1[[#This Row],[order_date]],"yyyy-mm")</f>
        <v>2025-08</v>
      </c>
      <c r="Q3724">
        <f>WEEKNUM(Table1[[#This Row],[order_date]])</f>
        <v>34</v>
      </c>
      <c r="R3724">
        <f>IF(Table1[[#This Row],[order_status]]="completed",1,0)</f>
        <v>1</v>
      </c>
    </row>
    <row r="3725" spans="1:18" x14ac:dyDescent="0.35">
      <c r="A3725">
        <v>3724</v>
      </c>
      <c r="B3725" s="1">
        <v>45995</v>
      </c>
      <c r="C3725">
        <v>1816</v>
      </c>
      <c r="D3725" t="s">
        <v>22</v>
      </c>
      <c r="E3725" t="s">
        <v>29</v>
      </c>
      <c r="F3725" t="s">
        <v>17</v>
      </c>
      <c r="G3725">
        <v>1</v>
      </c>
      <c r="H3725">
        <v>0</v>
      </c>
      <c r="I3725" t="s">
        <v>39</v>
      </c>
      <c r="J3725" t="s">
        <v>31</v>
      </c>
      <c r="K3725" t="s">
        <v>38</v>
      </c>
      <c r="L3725">
        <v>4</v>
      </c>
      <c r="M3725">
        <v>0</v>
      </c>
      <c r="N3725">
        <v>1</v>
      </c>
      <c r="O3725" t="s">
        <v>27</v>
      </c>
      <c r="P3725" t="str">
        <f>TEXT(Table1[[#This Row],[order_date]],"yyyy-mm")</f>
        <v>2025-12</v>
      </c>
      <c r="Q3725">
        <f>WEEKNUM(Table1[[#This Row],[order_date]])</f>
        <v>49</v>
      </c>
      <c r="R3725">
        <f>IF(Table1[[#This Row],[order_status]]="completed",1,0)</f>
        <v>0</v>
      </c>
    </row>
    <row r="3726" spans="1:18" x14ac:dyDescent="0.35">
      <c r="A3726">
        <v>3725</v>
      </c>
      <c r="B3726" s="1">
        <v>45906</v>
      </c>
      <c r="C3726">
        <v>1171</v>
      </c>
      <c r="D3726" t="s">
        <v>22</v>
      </c>
      <c r="E3726" t="s">
        <v>23</v>
      </c>
      <c r="F3726" t="s">
        <v>17</v>
      </c>
      <c r="G3726">
        <v>4</v>
      </c>
      <c r="H3726">
        <v>0</v>
      </c>
      <c r="I3726" t="s">
        <v>25</v>
      </c>
      <c r="J3726" t="s">
        <v>31</v>
      </c>
      <c r="K3726" t="s">
        <v>38</v>
      </c>
      <c r="L3726">
        <v>3</v>
      </c>
      <c r="M3726">
        <v>1</v>
      </c>
      <c r="N3726">
        <v>1</v>
      </c>
      <c r="O3726" t="s">
        <v>27</v>
      </c>
      <c r="P3726" t="str">
        <f>TEXT(Table1[[#This Row],[order_date]],"yyyy-mm")</f>
        <v>2025-09</v>
      </c>
      <c r="Q3726">
        <f>WEEKNUM(Table1[[#This Row],[order_date]])</f>
        <v>36</v>
      </c>
      <c r="R3726">
        <f>IF(Table1[[#This Row],[order_status]]="completed",1,0)</f>
        <v>0</v>
      </c>
    </row>
    <row r="3727" spans="1:18" x14ac:dyDescent="0.35">
      <c r="A3727">
        <v>3726</v>
      </c>
      <c r="B3727" s="1">
        <v>45984</v>
      </c>
      <c r="C3727">
        <v>1876</v>
      </c>
      <c r="D3727" t="s">
        <v>22</v>
      </c>
      <c r="E3727" t="s">
        <v>33</v>
      </c>
      <c r="F3727" t="s">
        <v>30</v>
      </c>
      <c r="G3727">
        <v>5</v>
      </c>
      <c r="H3727">
        <v>0</v>
      </c>
      <c r="I3727" t="s">
        <v>18</v>
      </c>
      <c r="J3727" t="s">
        <v>31</v>
      </c>
      <c r="K3727" t="s">
        <v>26</v>
      </c>
      <c r="L3727">
        <v>7</v>
      </c>
      <c r="M3727">
        <v>0</v>
      </c>
      <c r="N3727">
        <v>0</v>
      </c>
      <c r="O3727" t="s">
        <v>27</v>
      </c>
      <c r="P3727" t="str">
        <f>TEXT(Table1[[#This Row],[order_date]],"yyyy-mm")</f>
        <v>2025-11</v>
      </c>
      <c r="Q3727">
        <f>WEEKNUM(Table1[[#This Row],[order_date]])</f>
        <v>48</v>
      </c>
      <c r="R3727">
        <f>IF(Table1[[#This Row],[order_status]]="completed",1,0)</f>
        <v>0</v>
      </c>
    </row>
    <row r="3728" spans="1:18" x14ac:dyDescent="0.35">
      <c r="A3728">
        <v>3727</v>
      </c>
      <c r="B3728" s="1">
        <v>46020</v>
      </c>
      <c r="C3728">
        <v>1602</v>
      </c>
      <c r="D3728" t="s">
        <v>22</v>
      </c>
      <c r="E3728" t="s">
        <v>23</v>
      </c>
      <c r="F3728" t="s">
        <v>30</v>
      </c>
      <c r="G3728">
        <v>3</v>
      </c>
      <c r="H3728">
        <v>14964</v>
      </c>
      <c r="I3728" t="s">
        <v>25</v>
      </c>
      <c r="J3728" t="s">
        <v>19</v>
      </c>
      <c r="K3728" t="s">
        <v>26</v>
      </c>
      <c r="L3728">
        <v>8</v>
      </c>
      <c r="M3728">
        <v>0</v>
      </c>
      <c r="N3728">
        <v>1</v>
      </c>
      <c r="O3728" t="s">
        <v>21</v>
      </c>
      <c r="P3728" t="str">
        <f>TEXT(Table1[[#This Row],[order_date]],"yyyy-mm")</f>
        <v>2025-12</v>
      </c>
      <c r="Q3728">
        <f>WEEKNUM(Table1[[#This Row],[order_date]])</f>
        <v>53</v>
      </c>
      <c r="R3728">
        <f>IF(Table1[[#This Row],[order_status]]="completed",1,0)</f>
        <v>1</v>
      </c>
    </row>
    <row r="3729" spans="1:18" x14ac:dyDescent="0.35">
      <c r="A3729">
        <v>3728</v>
      </c>
      <c r="B3729" s="1">
        <v>45870</v>
      </c>
      <c r="C3729">
        <v>1167</v>
      </c>
      <c r="D3729" t="s">
        <v>28</v>
      </c>
      <c r="E3729" t="s">
        <v>33</v>
      </c>
      <c r="F3729" t="s">
        <v>24</v>
      </c>
      <c r="G3729">
        <v>5</v>
      </c>
      <c r="H3729">
        <v>0</v>
      </c>
      <c r="I3729" t="s">
        <v>35</v>
      </c>
      <c r="J3729" t="s">
        <v>37</v>
      </c>
      <c r="K3729" t="s">
        <v>40</v>
      </c>
      <c r="L3729">
        <v>4</v>
      </c>
      <c r="M3729">
        <v>0</v>
      </c>
      <c r="N3729">
        <v>1</v>
      </c>
      <c r="O3729" t="s">
        <v>21</v>
      </c>
      <c r="P3729" t="str">
        <f>TEXT(Table1[[#This Row],[order_date]],"yyyy-mm")</f>
        <v>2025-08</v>
      </c>
      <c r="Q3729">
        <f>WEEKNUM(Table1[[#This Row],[order_date]])</f>
        <v>31</v>
      </c>
      <c r="R3729">
        <f>IF(Table1[[#This Row],[order_status]]="completed",1,0)</f>
        <v>0</v>
      </c>
    </row>
    <row r="3730" spans="1:18" x14ac:dyDescent="0.35">
      <c r="A3730">
        <v>3729</v>
      </c>
      <c r="B3730" s="1">
        <v>45907</v>
      </c>
      <c r="C3730">
        <v>1490</v>
      </c>
      <c r="D3730" t="s">
        <v>28</v>
      </c>
      <c r="E3730" t="s">
        <v>33</v>
      </c>
      <c r="F3730" t="s">
        <v>24</v>
      </c>
      <c r="G3730">
        <v>2</v>
      </c>
      <c r="H3730">
        <v>0</v>
      </c>
      <c r="I3730" t="s">
        <v>39</v>
      </c>
      <c r="J3730" t="s">
        <v>31</v>
      </c>
      <c r="K3730" t="s">
        <v>26</v>
      </c>
      <c r="L3730">
        <v>8</v>
      </c>
      <c r="M3730">
        <v>1</v>
      </c>
      <c r="N3730">
        <v>1</v>
      </c>
      <c r="O3730" t="s">
        <v>21</v>
      </c>
      <c r="P3730" t="str">
        <f>TEXT(Table1[[#This Row],[order_date]],"yyyy-mm")</f>
        <v>2025-09</v>
      </c>
      <c r="Q3730">
        <f>WEEKNUM(Table1[[#This Row],[order_date]])</f>
        <v>37</v>
      </c>
      <c r="R3730">
        <f>IF(Table1[[#This Row],[order_status]]="completed",1,0)</f>
        <v>0</v>
      </c>
    </row>
    <row r="3731" spans="1:18" x14ac:dyDescent="0.35">
      <c r="A3731">
        <v>3730</v>
      </c>
      <c r="B3731" s="1">
        <v>45860</v>
      </c>
      <c r="C3731">
        <v>1904</v>
      </c>
      <c r="D3731" t="s">
        <v>15</v>
      </c>
      <c r="E3731" t="s">
        <v>16</v>
      </c>
      <c r="F3731" t="s">
        <v>17</v>
      </c>
      <c r="G3731">
        <v>2</v>
      </c>
      <c r="H3731">
        <v>0</v>
      </c>
      <c r="I3731" t="s">
        <v>35</v>
      </c>
      <c r="J3731" t="s">
        <v>31</v>
      </c>
      <c r="K3731" t="s">
        <v>26</v>
      </c>
      <c r="L3731">
        <v>3</v>
      </c>
      <c r="M3731">
        <v>0</v>
      </c>
      <c r="N3731">
        <v>0</v>
      </c>
      <c r="O3731" t="s">
        <v>21</v>
      </c>
      <c r="P3731" t="str">
        <f>TEXT(Table1[[#This Row],[order_date]],"yyyy-mm")</f>
        <v>2025-07</v>
      </c>
      <c r="Q3731">
        <f>WEEKNUM(Table1[[#This Row],[order_date]])</f>
        <v>30</v>
      </c>
      <c r="R3731">
        <f>IF(Table1[[#This Row],[order_status]]="completed",1,0)</f>
        <v>0</v>
      </c>
    </row>
    <row r="3732" spans="1:18" x14ac:dyDescent="0.35">
      <c r="A3732">
        <v>3731</v>
      </c>
      <c r="B3732" s="1">
        <v>45883</v>
      </c>
      <c r="C3732">
        <v>1952</v>
      </c>
      <c r="D3732" t="s">
        <v>28</v>
      </c>
      <c r="E3732" t="s">
        <v>16</v>
      </c>
      <c r="F3732" t="s">
        <v>24</v>
      </c>
      <c r="G3732">
        <v>2</v>
      </c>
      <c r="H3732">
        <v>0</v>
      </c>
      <c r="I3732" t="s">
        <v>25</v>
      </c>
      <c r="J3732" t="s">
        <v>31</v>
      </c>
      <c r="K3732" t="s">
        <v>26</v>
      </c>
      <c r="L3732">
        <v>7</v>
      </c>
      <c r="M3732">
        <v>0</v>
      </c>
      <c r="N3732">
        <v>0</v>
      </c>
      <c r="O3732" t="s">
        <v>21</v>
      </c>
      <c r="P3732" t="str">
        <f>TEXT(Table1[[#This Row],[order_date]],"yyyy-mm")</f>
        <v>2025-08</v>
      </c>
      <c r="Q3732">
        <f>WEEKNUM(Table1[[#This Row],[order_date]])</f>
        <v>33</v>
      </c>
      <c r="R3732">
        <f>IF(Table1[[#This Row],[order_status]]="completed",1,0)</f>
        <v>0</v>
      </c>
    </row>
    <row r="3733" spans="1:18" x14ac:dyDescent="0.35">
      <c r="A3733">
        <v>3732</v>
      </c>
      <c r="B3733" s="1">
        <v>45944</v>
      </c>
      <c r="C3733">
        <v>1354</v>
      </c>
      <c r="D3733" t="s">
        <v>32</v>
      </c>
      <c r="E3733" t="s">
        <v>16</v>
      </c>
      <c r="F3733" t="s">
        <v>17</v>
      </c>
      <c r="G3733">
        <v>3</v>
      </c>
      <c r="H3733">
        <v>0</v>
      </c>
      <c r="I3733" t="s">
        <v>18</v>
      </c>
      <c r="J3733" t="s">
        <v>37</v>
      </c>
      <c r="K3733" t="s">
        <v>38</v>
      </c>
      <c r="L3733">
        <v>7</v>
      </c>
      <c r="M3733">
        <v>1</v>
      </c>
      <c r="N3733">
        <v>0</v>
      </c>
      <c r="O3733" t="s">
        <v>21</v>
      </c>
      <c r="P3733" t="str">
        <f>TEXT(Table1[[#This Row],[order_date]],"yyyy-mm")</f>
        <v>2025-10</v>
      </c>
      <c r="Q3733">
        <f>WEEKNUM(Table1[[#This Row],[order_date]])</f>
        <v>42</v>
      </c>
      <c r="R3733">
        <f>IF(Table1[[#This Row],[order_status]]="completed",1,0)</f>
        <v>0</v>
      </c>
    </row>
    <row r="3734" spans="1:18" x14ac:dyDescent="0.35">
      <c r="A3734">
        <v>3733</v>
      </c>
      <c r="B3734" s="1">
        <v>45862</v>
      </c>
      <c r="C3734">
        <v>1443</v>
      </c>
      <c r="D3734" t="s">
        <v>22</v>
      </c>
      <c r="E3734" t="s">
        <v>33</v>
      </c>
      <c r="F3734" t="s">
        <v>34</v>
      </c>
      <c r="G3734">
        <v>3</v>
      </c>
      <c r="H3734">
        <v>0</v>
      </c>
      <c r="I3734" t="s">
        <v>25</v>
      </c>
      <c r="J3734" t="s">
        <v>37</v>
      </c>
      <c r="K3734" t="s">
        <v>26</v>
      </c>
      <c r="L3734">
        <v>2</v>
      </c>
      <c r="M3734">
        <v>0</v>
      </c>
      <c r="N3734">
        <v>1</v>
      </c>
      <c r="O3734" t="s">
        <v>27</v>
      </c>
      <c r="P3734" t="str">
        <f>TEXT(Table1[[#This Row],[order_date]],"yyyy-mm")</f>
        <v>2025-07</v>
      </c>
      <c r="Q3734">
        <f>WEEKNUM(Table1[[#This Row],[order_date]])</f>
        <v>30</v>
      </c>
      <c r="R3734">
        <f>IF(Table1[[#This Row],[order_status]]="completed",1,0)</f>
        <v>0</v>
      </c>
    </row>
    <row r="3735" spans="1:18" x14ac:dyDescent="0.35">
      <c r="A3735">
        <v>3734</v>
      </c>
      <c r="B3735" s="1">
        <v>45868</v>
      </c>
      <c r="C3735">
        <v>1600</v>
      </c>
      <c r="D3735" t="s">
        <v>28</v>
      </c>
      <c r="E3735" t="s">
        <v>33</v>
      </c>
      <c r="F3735" t="s">
        <v>17</v>
      </c>
      <c r="G3735">
        <v>3</v>
      </c>
      <c r="H3735">
        <v>0</v>
      </c>
      <c r="I3735" t="s">
        <v>25</v>
      </c>
      <c r="J3735" t="s">
        <v>37</v>
      </c>
      <c r="K3735" t="s">
        <v>38</v>
      </c>
      <c r="L3735">
        <v>4</v>
      </c>
      <c r="M3735">
        <v>0</v>
      </c>
      <c r="N3735">
        <v>0</v>
      </c>
      <c r="O3735" t="s">
        <v>21</v>
      </c>
      <c r="P3735" t="str">
        <f>TEXT(Table1[[#This Row],[order_date]],"yyyy-mm")</f>
        <v>2025-07</v>
      </c>
      <c r="Q3735">
        <f>WEEKNUM(Table1[[#This Row],[order_date]])</f>
        <v>31</v>
      </c>
      <c r="R3735">
        <f>IF(Table1[[#This Row],[order_status]]="completed",1,0)</f>
        <v>0</v>
      </c>
    </row>
    <row r="3736" spans="1:18" x14ac:dyDescent="0.35">
      <c r="A3736">
        <v>3735</v>
      </c>
      <c r="B3736" s="1">
        <v>45929</v>
      </c>
      <c r="C3736">
        <v>1862</v>
      </c>
      <c r="D3736" t="s">
        <v>22</v>
      </c>
      <c r="E3736" t="s">
        <v>16</v>
      </c>
      <c r="F3736" t="s">
        <v>24</v>
      </c>
      <c r="G3736">
        <v>5</v>
      </c>
      <c r="H3736">
        <v>0</v>
      </c>
      <c r="I3736" t="s">
        <v>25</v>
      </c>
      <c r="J3736" t="s">
        <v>37</v>
      </c>
      <c r="K3736" t="s">
        <v>20</v>
      </c>
      <c r="L3736">
        <v>5</v>
      </c>
      <c r="M3736">
        <v>0</v>
      </c>
      <c r="N3736">
        <v>0</v>
      </c>
      <c r="O3736" t="s">
        <v>21</v>
      </c>
      <c r="P3736" t="str">
        <f>TEXT(Table1[[#This Row],[order_date]],"yyyy-mm")</f>
        <v>2025-09</v>
      </c>
      <c r="Q3736">
        <f>WEEKNUM(Table1[[#This Row],[order_date]])</f>
        <v>40</v>
      </c>
      <c r="R3736">
        <f>IF(Table1[[#This Row],[order_status]]="completed",1,0)</f>
        <v>0</v>
      </c>
    </row>
    <row r="3737" spans="1:18" x14ac:dyDescent="0.35">
      <c r="A3737">
        <v>3736</v>
      </c>
      <c r="B3737" s="1">
        <v>45996</v>
      </c>
      <c r="C3737">
        <v>1635</v>
      </c>
      <c r="D3737" t="s">
        <v>22</v>
      </c>
      <c r="E3737" t="s">
        <v>23</v>
      </c>
      <c r="F3737" t="s">
        <v>34</v>
      </c>
      <c r="G3737">
        <v>5</v>
      </c>
      <c r="H3737">
        <v>1010</v>
      </c>
      <c r="I3737" t="s">
        <v>25</v>
      </c>
      <c r="J3737" t="s">
        <v>19</v>
      </c>
      <c r="K3737" t="s">
        <v>20</v>
      </c>
      <c r="L3737">
        <v>3</v>
      </c>
      <c r="M3737">
        <v>0</v>
      </c>
      <c r="N3737">
        <v>1</v>
      </c>
      <c r="O3737" t="s">
        <v>21</v>
      </c>
      <c r="P3737" t="str">
        <f>TEXT(Table1[[#This Row],[order_date]],"yyyy-mm")</f>
        <v>2025-12</v>
      </c>
      <c r="Q3737">
        <f>WEEKNUM(Table1[[#This Row],[order_date]])</f>
        <v>49</v>
      </c>
      <c r="R3737">
        <f>IF(Table1[[#This Row],[order_status]]="completed",1,0)</f>
        <v>1</v>
      </c>
    </row>
    <row r="3738" spans="1:18" x14ac:dyDescent="0.35">
      <c r="A3738">
        <v>3737</v>
      </c>
      <c r="B3738" s="1">
        <v>45970</v>
      </c>
      <c r="C3738">
        <v>1520</v>
      </c>
      <c r="D3738" t="s">
        <v>28</v>
      </c>
      <c r="E3738" t="s">
        <v>36</v>
      </c>
      <c r="F3738" t="s">
        <v>24</v>
      </c>
      <c r="G3738">
        <v>4</v>
      </c>
      <c r="H3738">
        <v>9032</v>
      </c>
      <c r="I3738" t="s">
        <v>18</v>
      </c>
      <c r="J3738" t="s">
        <v>19</v>
      </c>
      <c r="K3738" t="s">
        <v>20</v>
      </c>
      <c r="L3738">
        <v>9</v>
      </c>
      <c r="M3738">
        <v>1</v>
      </c>
      <c r="N3738">
        <v>0</v>
      </c>
      <c r="O3738" t="s">
        <v>27</v>
      </c>
      <c r="P3738" t="str">
        <f>TEXT(Table1[[#This Row],[order_date]],"yyyy-mm")</f>
        <v>2025-11</v>
      </c>
      <c r="Q3738">
        <f>WEEKNUM(Table1[[#This Row],[order_date]])</f>
        <v>46</v>
      </c>
      <c r="R3738">
        <f>IF(Table1[[#This Row],[order_status]]="completed",1,0)</f>
        <v>1</v>
      </c>
    </row>
    <row r="3739" spans="1:18" x14ac:dyDescent="0.35">
      <c r="A3739">
        <v>3738</v>
      </c>
      <c r="B3739" s="1">
        <v>46026</v>
      </c>
      <c r="C3739">
        <v>1192</v>
      </c>
      <c r="D3739" t="s">
        <v>15</v>
      </c>
      <c r="E3739" t="s">
        <v>23</v>
      </c>
      <c r="F3739" t="s">
        <v>30</v>
      </c>
      <c r="G3739">
        <v>5</v>
      </c>
      <c r="H3739">
        <v>4220</v>
      </c>
      <c r="I3739" t="s">
        <v>18</v>
      </c>
      <c r="J3739" t="s">
        <v>19</v>
      </c>
      <c r="K3739" t="s">
        <v>20</v>
      </c>
      <c r="L3739">
        <v>1</v>
      </c>
      <c r="M3739">
        <v>0</v>
      </c>
      <c r="N3739">
        <v>0</v>
      </c>
      <c r="O3739" t="s">
        <v>27</v>
      </c>
      <c r="P3739" t="str">
        <f>TEXT(Table1[[#This Row],[order_date]],"yyyy-mm")</f>
        <v>2026-01</v>
      </c>
      <c r="Q3739">
        <f>WEEKNUM(Table1[[#This Row],[order_date]])</f>
        <v>2</v>
      </c>
      <c r="R3739">
        <f>IF(Table1[[#This Row],[order_status]]="completed",1,0)</f>
        <v>1</v>
      </c>
    </row>
    <row r="3740" spans="1:18" x14ac:dyDescent="0.35">
      <c r="A3740">
        <v>3739</v>
      </c>
      <c r="B3740" s="1">
        <v>45911</v>
      </c>
      <c r="C3740">
        <v>1285</v>
      </c>
      <c r="D3740" t="s">
        <v>15</v>
      </c>
      <c r="E3740" t="s">
        <v>23</v>
      </c>
      <c r="F3740" t="s">
        <v>30</v>
      </c>
      <c r="G3740">
        <v>5</v>
      </c>
      <c r="H3740">
        <v>0</v>
      </c>
      <c r="I3740" t="s">
        <v>18</v>
      </c>
      <c r="J3740" t="s">
        <v>37</v>
      </c>
      <c r="K3740" t="s">
        <v>26</v>
      </c>
      <c r="L3740">
        <v>5</v>
      </c>
      <c r="M3740">
        <v>0</v>
      </c>
      <c r="N3740">
        <v>0</v>
      </c>
      <c r="O3740" t="s">
        <v>27</v>
      </c>
      <c r="P3740" t="str">
        <f>TEXT(Table1[[#This Row],[order_date]],"yyyy-mm")</f>
        <v>2025-09</v>
      </c>
      <c r="Q3740">
        <f>WEEKNUM(Table1[[#This Row],[order_date]])</f>
        <v>37</v>
      </c>
      <c r="R3740">
        <f>IF(Table1[[#This Row],[order_status]]="completed",1,0)</f>
        <v>0</v>
      </c>
    </row>
    <row r="3741" spans="1:18" x14ac:dyDescent="0.35">
      <c r="A3741">
        <v>3740</v>
      </c>
      <c r="B3741" s="1">
        <v>45924</v>
      </c>
      <c r="C3741">
        <v>1630</v>
      </c>
      <c r="D3741" t="s">
        <v>41</v>
      </c>
      <c r="E3741" t="s">
        <v>36</v>
      </c>
      <c r="F3741" t="s">
        <v>17</v>
      </c>
      <c r="G3741">
        <v>4</v>
      </c>
      <c r="H3741">
        <v>13956</v>
      </c>
      <c r="I3741" t="s">
        <v>18</v>
      </c>
      <c r="J3741" t="s">
        <v>19</v>
      </c>
      <c r="K3741" t="s">
        <v>20</v>
      </c>
      <c r="L3741">
        <v>3</v>
      </c>
      <c r="M3741">
        <v>0</v>
      </c>
      <c r="N3741">
        <v>1</v>
      </c>
      <c r="O3741" t="s">
        <v>21</v>
      </c>
      <c r="P3741" t="str">
        <f>TEXT(Table1[[#This Row],[order_date]],"yyyy-mm")</f>
        <v>2025-09</v>
      </c>
      <c r="Q3741">
        <f>WEEKNUM(Table1[[#This Row],[order_date]])</f>
        <v>39</v>
      </c>
      <c r="R3741">
        <f>IF(Table1[[#This Row],[order_status]]="completed",1,0)</f>
        <v>1</v>
      </c>
    </row>
    <row r="3742" spans="1:18" x14ac:dyDescent="0.35">
      <c r="A3742">
        <v>3741</v>
      </c>
      <c r="B3742" s="1">
        <v>45910</v>
      </c>
      <c r="C3742">
        <v>1788</v>
      </c>
      <c r="D3742" t="s">
        <v>15</v>
      </c>
      <c r="E3742" t="s">
        <v>29</v>
      </c>
      <c r="F3742" t="s">
        <v>24</v>
      </c>
      <c r="G3742">
        <v>1</v>
      </c>
      <c r="H3742">
        <v>0</v>
      </c>
      <c r="I3742" t="s">
        <v>18</v>
      </c>
      <c r="J3742" t="s">
        <v>31</v>
      </c>
      <c r="K3742" t="s">
        <v>38</v>
      </c>
      <c r="L3742">
        <v>10</v>
      </c>
      <c r="M3742">
        <v>1</v>
      </c>
      <c r="N3742">
        <v>0</v>
      </c>
      <c r="O3742" t="s">
        <v>21</v>
      </c>
      <c r="P3742" t="str">
        <f>TEXT(Table1[[#This Row],[order_date]],"yyyy-mm")</f>
        <v>2025-09</v>
      </c>
      <c r="Q3742">
        <f>WEEKNUM(Table1[[#This Row],[order_date]])</f>
        <v>37</v>
      </c>
      <c r="R3742">
        <f>IF(Table1[[#This Row],[order_status]]="completed",1,0)</f>
        <v>0</v>
      </c>
    </row>
    <row r="3743" spans="1:18" x14ac:dyDescent="0.35">
      <c r="A3743">
        <v>3742</v>
      </c>
      <c r="B3743" s="1">
        <v>45876</v>
      </c>
      <c r="C3743">
        <v>1223</v>
      </c>
      <c r="D3743" t="s">
        <v>41</v>
      </c>
      <c r="E3743" t="s">
        <v>29</v>
      </c>
      <c r="F3743" t="s">
        <v>24</v>
      </c>
      <c r="G3743">
        <v>3</v>
      </c>
      <c r="H3743">
        <v>0</v>
      </c>
      <c r="I3743" t="s">
        <v>35</v>
      </c>
      <c r="J3743" t="s">
        <v>31</v>
      </c>
      <c r="K3743" t="s">
        <v>20</v>
      </c>
      <c r="L3743">
        <v>7</v>
      </c>
      <c r="M3743">
        <v>0</v>
      </c>
      <c r="N3743">
        <v>1</v>
      </c>
      <c r="O3743" t="s">
        <v>27</v>
      </c>
      <c r="P3743" t="str">
        <f>TEXT(Table1[[#This Row],[order_date]],"yyyy-mm")</f>
        <v>2025-08</v>
      </c>
      <c r="Q3743">
        <f>WEEKNUM(Table1[[#This Row],[order_date]])</f>
        <v>32</v>
      </c>
      <c r="R3743">
        <f>IF(Table1[[#This Row],[order_status]]="completed",1,0)</f>
        <v>0</v>
      </c>
    </row>
    <row r="3744" spans="1:18" x14ac:dyDescent="0.35">
      <c r="A3744">
        <v>3743</v>
      </c>
      <c r="B3744" s="1">
        <v>45965</v>
      </c>
      <c r="C3744">
        <v>1152</v>
      </c>
      <c r="D3744" t="s">
        <v>28</v>
      </c>
      <c r="E3744" t="s">
        <v>36</v>
      </c>
      <c r="F3744" t="s">
        <v>34</v>
      </c>
      <c r="G3744">
        <v>3</v>
      </c>
      <c r="H3744">
        <v>12657</v>
      </c>
      <c r="I3744" t="s">
        <v>18</v>
      </c>
      <c r="J3744" t="s">
        <v>19</v>
      </c>
      <c r="K3744" t="s">
        <v>20</v>
      </c>
      <c r="L3744">
        <v>4</v>
      </c>
      <c r="M3744">
        <v>0</v>
      </c>
      <c r="N3744">
        <v>0</v>
      </c>
      <c r="O3744" t="s">
        <v>21</v>
      </c>
      <c r="P3744" t="str">
        <f>TEXT(Table1[[#This Row],[order_date]],"yyyy-mm")</f>
        <v>2025-11</v>
      </c>
      <c r="Q3744">
        <f>WEEKNUM(Table1[[#This Row],[order_date]])</f>
        <v>45</v>
      </c>
      <c r="R3744">
        <f>IF(Table1[[#This Row],[order_status]]="completed",1,0)</f>
        <v>1</v>
      </c>
    </row>
    <row r="3745" spans="1:18" x14ac:dyDescent="0.35">
      <c r="A3745">
        <v>3744</v>
      </c>
      <c r="B3745" s="1">
        <v>45942</v>
      </c>
      <c r="C3745">
        <v>1206</v>
      </c>
      <c r="D3745" t="s">
        <v>41</v>
      </c>
      <c r="E3745" t="s">
        <v>33</v>
      </c>
      <c r="F3745" t="s">
        <v>30</v>
      </c>
      <c r="G3745">
        <v>1</v>
      </c>
      <c r="H3745">
        <v>0</v>
      </c>
      <c r="I3745" t="s">
        <v>18</v>
      </c>
      <c r="J3745" t="s">
        <v>37</v>
      </c>
      <c r="K3745" t="s">
        <v>40</v>
      </c>
      <c r="L3745">
        <v>4</v>
      </c>
      <c r="M3745">
        <v>0</v>
      </c>
      <c r="N3745">
        <v>1</v>
      </c>
      <c r="O3745" t="s">
        <v>27</v>
      </c>
      <c r="P3745" t="str">
        <f>TEXT(Table1[[#This Row],[order_date]],"yyyy-mm")</f>
        <v>2025-10</v>
      </c>
      <c r="Q3745">
        <f>WEEKNUM(Table1[[#This Row],[order_date]])</f>
        <v>42</v>
      </c>
      <c r="R3745">
        <f>IF(Table1[[#This Row],[order_status]]="completed",1,0)</f>
        <v>0</v>
      </c>
    </row>
    <row r="3746" spans="1:18" x14ac:dyDescent="0.35">
      <c r="A3746">
        <v>3745</v>
      </c>
      <c r="B3746" s="1">
        <v>45912</v>
      </c>
      <c r="C3746">
        <v>1506</v>
      </c>
      <c r="D3746" t="s">
        <v>22</v>
      </c>
      <c r="E3746" t="s">
        <v>16</v>
      </c>
      <c r="F3746" t="s">
        <v>34</v>
      </c>
      <c r="G3746">
        <v>1</v>
      </c>
      <c r="H3746">
        <v>0</v>
      </c>
      <c r="I3746" t="s">
        <v>25</v>
      </c>
      <c r="J3746" t="s">
        <v>37</v>
      </c>
      <c r="K3746" t="s">
        <v>26</v>
      </c>
      <c r="L3746">
        <v>10</v>
      </c>
      <c r="M3746">
        <v>1</v>
      </c>
      <c r="N3746">
        <v>1</v>
      </c>
      <c r="O3746" t="s">
        <v>27</v>
      </c>
      <c r="P3746" t="str">
        <f>TEXT(Table1[[#This Row],[order_date]],"yyyy-mm")</f>
        <v>2025-09</v>
      </c>
      <c r="Q3746">
        <f>WEEKNUM(Table1[[#This Row],[order_date]])</f>
        <v>37</v>
      </c>
      <c r="R3746">
        <f>IF(Table1[[#This Row],[order_status]]="completed",1,0)</f>
        <v>0</v>
      </c>
    </row>
    <row r="3747" spans="1:18" x14ac:dyDescent="0.35">
      <c r="A3747">
        <v>3746</v>
      </c>
      <c r="B3747" s="1">
        <v>45861</v>
      </c>
      <c r="C3747">
        <v>1063</v>
      </c>
      <c r="D3747" t="s">
        <v>22</v>
      </c>
      <c r="E3747" t="s">
        <v>29</v>
      </c>
      <c r="F3747" t="s">
        <v>17</v>
      </c>
      <c r="G3747">
        <v>2</v>
      </c>
      <c r="H3747">
        <v>9018</v>
      </c>
      <c r="I3747" t="s">
        <v>39</v>
      </c>
      <c r="J3747" t="s">
        <v>19</v>
      </c>
      <c r="K3747" t="s">
        <v>38</v>
      </c>
      <c r="L3747">
        <v>8</v>
      </c>
      <c r="M3747">
        <v>0</v>
      </c>
      <c r="N3747">
        <v>1</v>
      </c>
      <c r="O3747" t="s">
        <v>27</v>
      </c>
      <c r="P3747" t="str">
        <f>TEXT(Table1[[#This Row],[order_date]],"yyyy-mm")</f>
        <v>2025-07</v>
      </c>
      <c r="Q3747">
        <f>WEEKNUM(Table1[[#This Row],[order_date]])</f>
        <v>30</v>
      </c>
      <c r="R3747">
        <f>IF(Table1[[#This Row],[order_status]]="completed",1,0)</f>
        <v>1</v>
      </c>
    </row>
    <row r="3748" spans="1:18" x14ac:dyDescent="0.35">
      <c r="A3748">
        <v>3747</v>
      </c>
      <c r="B3748" s="1">
        <v>45989</v>
      </c>
      <c r="C3748">
        <v>1436</v>
      </c>
      <c r="D3748" t="s">
        <v>32</v>
      </c>
      <c r="E3748" t="s">
        <v>23</v>
      </c>
      <c r="F3748" t="s">
        <v>17</v>
      </c>
      <c r="G3748">
        <v>4</v>
      </c>
      <c r="H3748">
        <v>0</v>
      </c>
      <c r="I3748" t="s">
        <v>35</v>
      </c>
      <c r="J3748" t="s">
        <v>31</v>
      </c>
      <c r="K3748" t="s">
        <v>26</v>
      </c>
      <c r="L3748">
        <v>4</v>
      </c>
      <c r="M3748">
        <v>1</v>
      </c>
      <c r="N3748">
        <v>1</v>
      </c>
      <c r="O3748" t="s">
        <v>21</v>
      </c>
      <c r="P3748" t="str">
        <f>TEXT(Table1[[#This Row],[order_date]],"yyyy-mm")</f>
        <v>2025-11</v>
      </c>
      <c r="Q3748">
        <f>WEEKNUM(Table1[[#This Row],[order_date]])</f>
        <v>48</v>
      </c>
      <c r="R3748">
        <f>IF(Table1[[#This Row],[order_status]]="completed",1,0)</f>
        <v>0</v>
      </c>
    </row>
    <row r="3749" spans="1:18" x14ac:dyDescent="0.35">
      <c r="A3749">
        <v>3748</v>
      </c>
      <c r="B3749" s="1">
        <v>45865</v>
      </c>
      <c r="C3749">
        <v>1339</v>
      </c>
      <c r="D3749" t="s">
        <v>41</v>
      </c>
      <c r="E3749" t="s">
        <v>29</v>
      </c>
      <c r="F3749" t="s">
        <v>34</v>
      </c>
      <c r="G3749">
        <v>3</v>
      </c>
      <c r="H3749">
        <v>0</v>
      </c>
      <c r="I3749" t="s">
        <v>39</v>
      </c>
      <c r="J3749" t="s">
        <v>37</v>
      </c>
      <c r="K3749" t="s">
        <v>20</v>
      </c>
      <c r="L3749">
        <v>8</v>
      </c>
      <c r="M3749">
        <v>0</v>
      </c>
      <c r="N3749">
        <v>1</v>
      </c>
      <c r="O3749" t="s">
        <v>21</v>
      </c>
      <c r="P3749" t="str">
        <f>TEXT(Table1[[#This Row],[order_date]],"yyyy-mm")</f>
        <v>2025-07</v>
      </c>
      <c r="Q3749">
        <f>WEEKNUM(Table1[[#This Row],[order_date]])</f>
        <v>31</v>
      </c>
      <c r="R3749">
        <f>IF(Table1[[#This Row],[order_status]]="completed",1,0)</f>
        <v>0</v>
      </c>
    </row>
    <row r="3750" spans="1:18" x14ac:dyDescent="0.35">
      <c r="A3750">
        <v>3749</v>
      </c>
      <c r="B3750" s="1">
        <v>45859</v>
      </c>
      <c r="C3750">
        <v>1156</v>
      </c>
      <c r="D3750" t="s">
        <v>32</v>
      </c>
      <c r="E3750" t="s">
        <v>33</v>
      </c>
      <c r="F3750" t="s">
        <v>34</v>
      </c>
      <c r="G3750">
        <v>5</v>
      </c>
      <c r="H3750">
        <v>0</v>
      </c>
      <c r="I3750" t="s">
        <v>25</v>
      </c>
      <c r="J3750" t="s">
        <v>37</v>
      </c>
      <c r="K3750" t="s">
        <v>38</v>
      </c>
      <c r="L3750">
        <v>5</v>
      </c>
      <c r="M3750">
        <v>0</v>
      </c>
      <c r="N3750">
        <v>1</v>
      </c>
      <c r="O3750" t="s">
        <v>27</v>
      </c>
      <c r="P3750" t="str">
        <f>TEXT(Table1[[#This Row],[order_date]],"yyyy-mm")</f>
        <v>2025-07</v>
      </c>
      <c r="Q3750">
        <f>WEEKNUM(Table1[[#This Row],[order_date]])</f>
        <v>30</v>
      </c>
      <c r="R3750">
        <f>IF(Table1[[#This Row],[order_status]]="completed",1,0)</f>
        <v>0</v>
      </c>
    </row>
    <row r="3751" spans="1:18" x14ac:dyDescent="0.35">
      <c r="A3751">
        <v>3750</v>
      </c>
      <c r="B3751" s="1">
        <v>45983</v>
      </c>
      <c r="C3751">
        <v>1941</v>
      </c>
      <c r="D3751" t="s">
        <v>28</v>
      </c>
      <c r="E3751" t="s">
        <v>33</v>
      </c>
      <c r="F3751" t="s">
        <v>17</v>
      </c>
      <c r="G3751">
        <v>2</v>
      </c>
      <c r="H3751">
        <v>0</v>
      </c>
      <c r="I3751" t="s">
        <v>35</v>
      </c>
      <c r="J3751" t="s">
        <v>31</v>
      </c>
      <c r="K3751" t="s">
        <v>40</v>
      </c>
      <c r="L3751">
        <v>5</v>
      </c>
      <c r="M3751">
        <v>1</v>
      </c>
      <c r="N3751">
        <v>0</v>
      </c>
      <c r="O3751" t="s">
        <v>27</v>
      </c>
      <c r="P3751" t="str">
        <f>TEXT(Table1[[#This Row],[order_date]],"yyyy-mm")</f>
        <v>2025-11</v>
      </c>
      <c r="Q3751">
        <f>WEEKNUM(Table1[[#This Row],[order_date]])</f>
        <v>47</v>
      </c>
      <c r="R3751">
        <f>IF(Table1[[#This Row],[order_status]]="completed",1,0)</f>
        <v>0</v>
      </c>
    </row>
    <row r="3752" spans="1:18" x14ac:dyDescent="0.35">
      <c r="A3752">
        <v>3751</v>
      </c>
      <c r="B3752" s="1">
        <v>45967</v>
      </c>
      <c r="C3752">
        <v>1646</v>
      </c>
      <c r="D3752" t="s">
        <v>32</v>
      </c>
      <c r="E3752" t="s">
        <v>36</v>
      </c>
      <c r="F3752" t="s">
        <v>34</v>
      </c>
      <c r="G3752">
        <v>5</v>
      </c>
      <c r="H3752">
        <v>9820</v>
      </c>
      <c r="I3752" t="s">
        <v>18</v>
      </c>
      <c r="J3752" t="s">
        <v>19</v>
      </c>
      <c r="K3752" t="s">
        <v>40</v>
      </c>
      <c r="L3752">
        <v>6</v>
      </c>
      <c r="M3752">
        <v>1</v>
      </c>
      <c r="N3752">
        <v>1</v>
      </c>
      <c r="O3752" t="s">
        <v>21</v>
      </c>
      <c r="P3752" t="str">
        <f>TEXT(Table1[[#This Row],[order_date]],"yyyy-mm")</f>
        <v>2025-11</v>
      </c>
      <c r="Q3752">
        <f>WEEKNUM(Table1[[#This Row],[order_date]])</f>
        <v>45</v>
      </c>
      <c r="R3752">
        <f>IF(Table1[[#This Row],[order_status]]="completed",1,0)</f>
        <v>1</v>
      </c>
    </row>
    <row r="3753" spans="1:18" x14ac:dyDescent="0.35">
      <c r="A3753">
        <v>3752</v>
      </c>
      <c r="B3753" s="1">
        <v>45893</v>
      </c>
      <c r="C3753">
        <v>1958</v>
      </c>
      <c r="D3753" t="s">
        <v>22</v>
      </c>
      <c r="E3753" t="s">
        <v>16</v>
      </c>
      <c r="F3753" t="s">
        <v>24</v>
      </c>
      <c r="G3753">
        <v>2</v>
      </c>
      <c r="H3753">
        <v>0</v>
      </c>
      <c r="I3753" t="s">
        <v>18</v>
      </c>
      <c r="J3753" t="s">
        <v>37</v>
      </c>
      <c r="K3753" t="s">
        <v>38</v>
      </c>
      <c r="L3753">
        <v>3</v>
      </c>
      <c r="M3753">
        <v>0</v>
      </c>
      <c r="N3753">
        <v>1</v>
      </c>
      <c r="O3753" t="s">
        <v>27</v>
      </c>
      <c r="P3753" t="str">
        <f>TEXT(Table1[[#This Row],[order_date]],"yyyy-mm")</f>
        <v>2025-08</v>
      </c>
      <c r="Q3753">
        <f>WEEKNUM(Table1[[#This Row],[order_date]])</f>
        <v>35</v>
      </c>
      <c r="R3753">
        <f>IF(Table1[[#This Row],[order_status]]="completed",1,0)</f>
        <v>0</v>
      </c>
    </row>
    <row r="3754" spans="1:18" x14ac:dyDescent="0.35">
      <c r="A3754">
        <v>3753</v>
      </c>
      <c r="B3754" s="1">
        <v>46012</v>
      </c>
      <c r="C3754">
        <v>1943</v>
      </c>
      <c r="D3754" t="s">
        <v>22</v>
      </c>
      <c r="E3754" t="s">
        <v>29</v>
      </c>
      <c r="F3754" t="s">
        <v>34</v>
      </c>
      <c r="G3754">
        <v>2</v>
      </c>
      <c r="H3754">
        <v>5262</v>
      </c>
      <c r="I3754" t="s">
        <v>35</v>
      </c>
      <c r="J3754" t="s">
        <v>19</v>
      </c>
      <c r="K3754" t="s">
        <v>26</v>
      </c>
      <c r="L3754">
        <v>10</v>
      </c>
      <c r="M3754">
        <v>1</v>
      </c>
      <c r="N3754">
        <v>0</v>
      </c>
      <c r="O3754" t="s">
        <v>21</v>
      </c>
      <c r="P3754" t="str">
        <f>TEXT(Table1[[#This Row],[order_date]],"yyyy-mm")</f>
        <v>2025-12</v>
      </c>
      <c r="Q3754">
        <f>WEEKNUM(Table1[[#This Row],[order_date]])</f>
        <v>52</v>
      </c>
      <c r="R3754">
        <f>IF(Table1[[#This Row],[order_status]]="completed",1,0)</f>
        <v>1</v>
      </c>
    </row>
    <row r="3755" spans="1:18" x14ac:dyDescent="0.35">
      <c r="A3755">
        <v>3754</v>
      </c>
      <c r="B3755" s="1">
        <v>45879</v>
      </c>
      <c r="C3755">
        <v>1583</v>
      </c>
      <c r="D3755" t="s">
        <v>22</v>
      </c>
      <c r="E3755" t="s">
        <v>29</v>
      </c>
      <c r="F3755" t="s">
        <v>34</v>
      </c>
      <c r="G3755">
        <v>3</v>
      </c>
      <c r="H3755">
        <v>12300</v>
      </c>
      <c r="I3755" t="s">
        <v>25</v>
      </c>
      <c r="J3755" t="s">
        <v>19</v>
      </c>
      <c r="K3755" t="s">
        <v>40</v>
      </c>
      <c r="L3755">
        <v>9</v>
      </c>
      <c r="M3755">
        <v>0</v>
      </c>
      <c r="N3755">
        <v>0</v>
      </c>
      <c r="O3755" t="s">
        <v>21</v>
      </c>
      <c r="P3755" t="str">
        <f>TEXT(Table1[[#This Row],[order_date]],"yyyy-mm")</f>
        <v>2025-08</v>
      </c>
      <c r="Q3755">
        <f>WEEKNUM(Table1[[#This Row],[order_date]])</f>
        <v>33</v>
      </c>
      <c r="R3755">
        <f>IF(Table1[[#This Row],[order_status]]="completed",1,0)</f>
        <v>1</v>
      </c>
    </row>
    <row r="3756" spans="1:18" x14ac:dyDescent="0.35">
      <c r="A3756">
        <v>3755</v>
      </c>
      <c r="B3756" s="1">
        <v>45948</v>
      </c>
      <c r="C3756">
        <v>1758</v>
      </c>
      <c r="D3756" t="s">
        <v>32</v>
      </c>
      <c r="E3756" t="s">
        <v>36</v>
      </c>
      <c r="F3756" t="s">
        <v>24</v>
      </c>
      <c r="G3756">
        <v>1</v>
      </c>
      <c r="H3756">
        <v>0</v>
      </c>
      <c r="I3756" t="s">
        <v>18</v>
      </c>
      <c r="J3756" t="s">
        <v>37</v>
      </c>
      <c r="K3756" t="s">
        <v>20</v>
      </c>
      <c r="L3756">
        <v>7</v>
      </c>
      <c r="M3756">
        <v>0</v>
      </c>
      <c r="N3756">
        <v>1</v>
      </c>
      <c r="O3756" t="s">
        <v>21</v>
      </c>
      <c r="P3756" t="str">
        <f>TEXT(Table1[[#This Row],[order_date]],"yyyy-mm")</f>
        <v>2025-10</v>
      </c>
      <c r="Q3756">
        <f>WEEKNUM(Table1[[#This Row],[order_date]])</f>
        <v>42</v>
      </c>
      <c r="R3756">
        <f>IF(Table1[[#This Row],[order_status]]="completed",1,0)</f>
        <v>0</v>
      </c>
    </row>
    <row r="3757" spans="1:18" x14ac:dyDescent="0.35">
      <c r="A3757">
        <v>3756</v>
      </c>
      <c r="B3757" s="1">
        <v>45923</v>
      </c>
      <c r="C3757">
        <v>1411</v>
      </c>
      <c r="D3757" t="s">
        <v>15</v>
      </c>
      <c r="E3757" t="s">
        <v>36</v>
      </c>
      <c r="F3757" t="s">
        <v>24</v>
      </c>
      <c r="G3757">
        <v>3</v>
      </c>
      <c r="H3757">
        <v>0</v>
      </c>
      <c r="I3757" t="s">
        <v>18</v>
      </c>
      <c r="J3757" t="s">
        <v>31</v>
      </c>
      <c r="K3757" t="s">
        <v>38</v>
      </c>
      <c r="L3757">
        <v>3</v>
      </c>
      <c r="M3757">
        <v>0</v>
      </c>
      <c r="N3757">
        <v>1</v>
      </c>
      <c r="O3757" t="s">
        <v>21</v>
      </c>
      <c r="P3757" t="str">
        <f>TEXT(Table1[[#This Row],[order_date]],"yyyy-mm")</f>
        <v>2025-09</v>
      </c>
      <c r="Q3757">
        <f>WEEKNUM(Table1[[#This Row],[order_date]])</f>
        <v>39</v>
      </c>
      <c r="R3757">
        <f>IF(Table1[[#This Row],[order_status]]="completed",1,0)</f>
        <v>0</v>
      </c>
    </row>
    <row r="3758" spans="1:18" x14ac:dyDescent="0.35">
      <c r="A3758">
        <v>3757</v>
      </c>
      <c r="B3758" s="1">
        <v>45884</v>
      </c>
      <c r="C3758">
        <v>1126</v>
      </c>
      <c r="D3758" t="s">
        <v>32</v>
      </c>
      <c r="E3758" t="s">
        <v>36</v>
      </c>
      <c r="F3758" t="s">
        <v>17</v>
      </c>
      <c r="G3758">
        <v>4</v>
      </c>
      <c r="H3758">
        <v>0</v>
      </c>
      <c r="I3758" t="s">
        <v>18</v>
      </c>
      <c r="J3758" t="s">
        <v>37</v>
      </c>
      <c r="K3758" t="s">
        <v>40</v>
      </c>
      <c r="L3758">
        <v>7</v>
      </c>
      <c r="M3758">
        <v>1</v>
      </c>
      <c r="N3758">
        <v>0</v>
      </c>
      <c r="O3758" t="s">
        <v>21</v>
      </c>
      <c r="P3758" t="str">
        <f>TEXT(Table1[[#This Row],[order_date]],"yyyy-mm")</f>
        <v>2025-08</v>
      </c>
      <c r="Q3758">
        <f>WEEKNUM(Table1[[#This Row],[order_date]])</f>
        <v>33</v>
      </c>
      <c r="R3758">
        <f>IF(Table1[[#This Row],[order_status]]="completed",1,0)</f>
        <v>0</v>
      </c>
    </row>
    <row r="3759" spans="1:18" x14ac:dyDescent="0.35">
      <c r="A3759">
        <v>3758</v>
      </c>
      <c r="B3759" s="1">
        <v>45962</v>
      </c>
      <c r="C3759">
        <v>1145</v>
      </c>
      <c r="D3759" t="s">
        <v>15</v>
      </c>
      <c r="E3759" t="s">
        <v>23</v>
      </c>
      <c r="F3759" t="s">
        <v>34</v>
      </c>
      <c r="G3759">
        <v>5</v>
      </c>
      <c r="H3759">
        <v>17100</v>
      </c>
      <c r="I3759" t="s">
        <v>35</v>
      </c>
      <c r="J3759" t="s">
        <v>19</v>
      </c>
      <c r="K3759" t="s">
        <v>26</v>
      </c>
      <c r="L3759">
        <v>8</v>
      </c>
      <c r="M3759">
        <v>1</v>
      </c>
      <c r="N3759">
        <v>1</v>
      </c>
      <c r="O3759" t="s">
        <v>21</v>
      </c>
      <c r="P3759" t="str">
        <f>TEXT(Table1[[#This Row],[order_date]],"yyyy-mm")</f>
        <v>2025-11</v>
      </c>
      <c r="Q3759">
        <f>WEEKNUM(Table1[[#This Row],[order_date]])</f>
        <v>44</v>
      </c>
      <c r="R3759">
        <f>IF(Table1[[#This Row],[order_status]]="completed",1,0)</f>
        <v>1</v>
      </c>
    </row>
    <row r="3760" spans="1:18" x14ac:dyDescent="0.35">
      <c r="A3760">
        <v>3759</v>
      </c>
      <c r="B3760" s="1">
        <v>45938</v>
      </c>
      <c r="C3760">
        <v>1996</v>
      </c>
      <c r="D3760" t="s">
        <v>22</v>
      </c>
      <c r="E3760" t="s">
        <v>16</v>
      </c>
      <c r="F3760" t="s">
        <v>17</v>
      </c>
      <c r="G3760">
        <v>3</v>
      </c>
      <c r="H3760">
        <v>0</v>
      </c>
      <c r="I3760" t="s">
        <v>39</v>
      </c>
      <c r="J3760" t="s">
        <v>37</v>
      </c>
      <c r="K3760" t="s">
        <v>20</v>
      </c>
      <c r="L3760">
        <v>3</v>
      </c>
      <c r="M3760">
        <v>0</v>
      </c>
      <c r="N3760">
        <v>1</v>
      </c>
      <c r="O3760" t="s">
        <v>21</v>
      </c>
      <c r="P3760" t="str">
        <f>TEXT(Table1[[#This Row],[order_date]],"yyyy-mm")</f>
        <v>2025-10</v>
      </c>
      <c r="Q3760">
        <f>WEEKNUM(Table1[[#This Row],[order_date]])</f>
        <v>41</v>
      </c>
      <c r="R3760">
        <f>IF(Table1[[#This Row],[order_status]]="completed",1,0)</f>
        <v>0</v>
      </c>
    </row>
    <row r="3761" spans="1:18" x14ac:dyDescent="0.35">
      <c r="A3761">
        <v>3760</v>
      </c>
      <c r="B3761" s="1">
        <v>45961</v>
      </c>
      <c r="C3761">
        <v>1737</v>
      </c>
      <c r="D3761" t="s">
        <v>15</v>
      </c>
      <c r="E3761" t="s">
        <v>33</v>
      </c>
      <c r="F3761" t="s">
        <v>30</v>
      </c>
      <c r="G3761">
        <v>1</v>
      </c>
      <c r="H3761">
        <v>0</v>
      </c>
      <c r="I3761" t="s">
        <v>35</v>
      </c>
      <c r="J3761" t="s">
        <v>37</v>
      </c>
      <c r="K3761" t="s">
        <v>38</v>
      </c>
      <c r="L3761">
        <v>3</v>
      </c>
      <c r="M3761">
        <v>1</v>
      </c>
      <c r="N3761">
        <v>0</v>
      </c>
      <c r="O3761" t="s">
        <v>21</v>
      </c>
      <c r="P3761" t="str">
        <f>TEXT(Table1[[#This Row],[order_date]],"yyyy-mm")</f>
        <v>2025-10</v>
      </c>
      <c r="Q3761">
        <f>WEEKNUM(Table1[[#This Row],[order_date]])</f>
        <v>44</v>
      </c>
      <c r="R3761">
        <f>IF(Table1[[#This Row],[order_status]]="completed",1,0)</f>
        <v>0</v>
      </c>
    </row>
    <row r="3762" spans="1:18" x14ac:dyDescent="0.35">
      <c r="A3762">
        <v>3761</v>
      </c>
      <c r="B3762" s="1">
        <v>45861</v>
      </c>
      <c r="C3762">
        <v>1910</v>
      </c>
      <c r="D3762" t="s">
        <v>32</v>
      </c>
      <c r="E3762" t="s">
        <v>23</v>
      </c>
      <c r="F3762" t="s">
        <v>17</v>
      </c>
      <c r="G3762">
        <v>1</v>
      </c>
      <c r="H3762">
        <v>0</v>
      </c>
      <c r="I3762" t="s">
        <v>25</v>
      </c>
      <c r="J3762" t="s">
        <v>31</v>
      </c>
      <c r="K3762" t="s">
        <v>38</v>
      </c>
      <c r="L3762">
        <v>2</v>
      </c>
      <c r="M3762">
        <v>1</v>
      </c>
      <c r="N3762">
        <v>0</v>
      </c>
      <c r="O3762" t="s">
        <v>21</v>
      </c>
      <c r="P3762" t="str">
        <f>TEXT(Table1[[#This Row],[order_date]],"yyyy-mm")</f>
        <v>2025-07</v>
      </c>
      <c r="Q3762">
        <f>WEEKNUM(Table1[[#This Row],[order_date]])</f>
        <v>30</v>
      </c>
      <c r="R3762">
        <f>IF(Table1[[#This Row],[order_status]]="completed",1,0)</f>
        <v>0</v>
      </c>
    </row>
    <row r="3763" spans="1:18" x14ac:dyDescent="0.35">
      <c r="A3763">
        <v>3762</v>
      </c>
      <c r="B3763" s="1">
        <v>46016</v>
      </c>
      <c r="C3763">
        <v>1248</v>
      </c>
      <c r="D3763" t="s">
        <v>41</v>
      </c>
      <c r="E3763" t="s">
        <v>29</v>
      </c>
      <c r="F3763" t="s">
        <v>34</v>
      </c>
      <c r="G3763">
        <v>1</v>
      </c>
      <c r="H3763">
        <v>2579</v>
      </c>
      <c r="I3763" t="s">
        <v>18</v>
      </c>
      <c r="J3763" t="s">
        <v>19</v>
      </c>
      <c r="K3763" t="s">
        <v>20</v>
      </c>
      <c r="L3763">
        <v>7</v>
      </c>
      <c r="M3763">
        <v>1</v>
      </c>
      <c r="N3763">
        <v>1</v>
      </c>
      <c r="O3763" t="s">
        <v>27</v>
      </c>
      <c r="P3763" t="str">
        <f>TEXT(Table1[[#This Row],[order_date]],"yyyy-mm")</f>
        <v>2025-12</v>
      </c>
      <c r="Q3763">
        <f>WEEKNUM(Table1[[#This Row],[order_date]])</f>
        <v>52</v>
      </c>
      <c r="R3763">
        <f>IF(Table1[[#This Row],[order_status]]="completed",1,0)</f>
        <v>1</v>
      </c>
    </row>
    <row r="3764" spans="1:18" x14ac:dyDescent="0.35">
      <c r="A3764">
        <v>3763</v>
      </c>
      <c r="B3764" s="1">
        <v>45852</v>
      </c>
      <c r="C3764">
        <v>1424</v>
      </c>
      <c r="D3764" t="s">
        <v>28</v>
      </c>
      <c r="E3764" t="s">
        <v>33</v>
      </c>
      <c r="F3764" t="s">
        <v>34</v>
      </c>
      <c r="G3764">
        <v>5</v>
      </c>
      <c r="H3764">
        <v>0</v>
      </c>
      <c r="I3764" t="s">
        <v>18</v>
      </c>
      <c r="J3764" t="s">
        <v>37</v>
      </c>
      <c r="K3764" t="s">
        <v>20</v>
      </c>
      <c r="L3764">
        <v>7</v>
      </c>
      <c r="M3764">
        <v>1</v>
      </c>
      <c r="N3764">
        <v>1</v>
      </c>
      <c r="O3764" t="s">
        <v>21</v>
      </c>
      <c r="P3764" t="str">
        <f>TEXT(Table1[[#This Row],[order_date]],"yyyy-mm")</f>
        <v>2025-07</v>
      </c>
      <c r="Q3764">
        <f>WEEKNUM(Table1[[#This Row],[order_date]])</f>
        <v>29</v>
      </c>
      <c r="R3764">
        <f>IF(Table1[[#This Row],[order_status]]="completed",1,0)</f>
        <v>0</v>
      </c>
    </row>
    <row r="3765" spans="1:18" x14ac:dyDescent="0.35">
      <c r="A3765">
        <v>3764</v>
      </c>
      <c r="B3765" s="1">
        <v>45944</v>
      </c>
      <c r="C3765">
        <v>1534</v>
      </c>
      <c r="D3765" t="s">
        <v>22</v>
      </c>
      <c r="E3765" t="s">
        <v>16</v>
      </c>
      <c r="F3765" t="s">
        <v>30</v>
      </c>
      <c r="G3765">
        <v>3</v>
      </c>
      <c r="H3765">
        <v>0</v>
      </c>
      <c r="I3765" t="s">
        <v>35</v>
      </c>
      <c r="J3765" t="s">
        <v>37</v>
      </c>
      <c r="K3765" t="s">
        <v>26</v>
      </c>
      <c r="L3765">
        <v>7</v>
      </c>
      <c r="M3765">
        <v>1</v>
      </c>
      <c r="N3765">
        <v>0</v>
      </c>
      <c r="O3765" t="s">
        <v>21</v>
      </c>
      <c r="P3765" t="str">
        <f>TEXT(Table1[[#This Row],[order_date]],"yyyy-mm")</f>
        <v>2025-10</v>
      </c>
      <c r="Q3765">
        <f>WEEKNUM(Table1[[#This Row],[order_date]])</f>
        <v>42</v>
      </c>
      <c r="R3765">
        <f>IF(Table1[[#This Row],[order_status]]="completed",1,0)</f>
        <v>0</v>
      </c>
    </row>
    <row r="3766" spans="1:18" x14ac:dyDescent="0.35">
      <c r="A3766">
        <v>3765</v>
      </c>
      <c r="B3766" s="1">
        <v>45894</v>
      </c>
      <c r="C3766">
        <v>1453</v>
      </c>
      <c r="D3766" t="s">
        <v>41</v>
      </c>
      <c r="E3766" t="s">
        <v>29</v>
      </c>
      <c r="F3766" t="s">
        <v>30</v>
      </c>
      <c r="G3766">
        <v>3</v>
      </c>
      <c r="H3766">
        <v>0</v>
      </c>
      <c r="I3766" t="s">
        <v>25</v>
      </c>
      <c r="J3766" t="s">
        <v>31</v>
      </c>
      <c r="K3766" t="s">
        <v>40</v>
      </c>
      <c r="L3766">
        <v>3</v>
      </c>
      <c r="M3766">
        <v>0</v>
      </c>
      <c r="N3766">
        <v>1</v>
      </c>
      <c r="O3766" t="s">
        <v>21</v>
      </c>
      <c r="P3766" t="str">
        <f>TEXT(Table1[[#This Row],[order_date]],"yyyy-mm")</f>
        <v>2025-08</v>
      </c>
      <c r="Q3766">
        <f>WEEKNUM(Table1[[#This Row],[order_date]])</f>
        <v>35</v>
      </c>
      <c r="R3766">
        <f>IF(Table1[[#This Row],[order_status]]="completed",1,0)</f>
        <v>0</v>
      </c>
    </row>
    <row r="3767" spans="1:18" x14ac:dyDescent="0.35">
      <c r="A3767">
        <v>3766</v>
      </c>
      <c r="B3767" s="1">
        <v>46023</v>
      </c>
      <c r="C3767">
        <v>1173</v>
      </c>
      <c r="D3767" t="s">
        <v>15</v>
      </c>
      <c r="E3767" t="s">
        <v>36</v>
      </c>
      <c r="F3767" t="s">
        <v>30</v>
      </c>
      <c r="G3767">
        <v>2</v>
      </c>
      <c r="H3767">
        <v>0</v>
      </c>
      <c r="I3767" t="s">
        <v>35</v>
      </c>
      <c r="J3767" t="s">
        <v>37</v>
      </c>
      <c r="K3767" t="s">
        <v>38</v>
      </c>
      <c r="L3767">
        <v>6</v>
      </c>
      <c r="M3767">
        <v>1</v>
      </c>
      <c r="N3767">
        <v>1</v>
      </c>
      <c r="O3767" t="s">
        <v>21</v>
      </c>
      <c r="P3767" t="str">
        <f>TEXT(Table1[[#This Row],[order_date]],"yyyy-mm")</f>
        <v>2026-01</v>
      </c>
      <c r="Q3767">
        <f>WEEKNUM(Table1[[#This Row],[order_date]])</f>
        <v>1</v>
      </c>
      <c r="R3767">
        <f>IF(Table1[[#This Row],[order_status]]="completed",1,0)</f>
        <v>0</v>
      </c>
    </row>
    <row r="3768" spans="1:18" x14ac:dyDescent="0.35">
      <c r="A3768">
        <v>3767</v>
      </c>
      <c r="B3768" s="1">
        <v>46022</v>
      </c>
      <c r="C3768">
        <v>1931</v>
      </c>
      <c r="D3768" t="s">
        <v>22</v>
      </c>
      <c r="E3768" t="s">
        <v>23</v>
      </c>
      <c r="F3768" t="s">
        <v>17</v>
      </c>
      <c r="G3768">
        <v>2</v>
      </c>
      <c r="H3768">
        <v>8288</v>
      </c>
      <c r="I3768" t="s">
        <v>39</v>
      </c>
      <c r="J3768" t="s">
        <v>19</v>
      </c>
      <c r="K3768" t="s">
        <v>40</v>
      </c>
      <c r="L3768">
        <v>10</v>
      </c>
      <c r="M3768">
        <v>1</v>
      </c>
      <c r="N3768">
        <v>1</v>
      </c>
      <c r="O3768" t="s">
        <v>21</v>
      </c>
      <c r="P3768" t="str">
        <f>TEXT(Table1[[#This Row],[order_date]],"yyyy-mm")</f>
        <v>2025-12</v>
      </c>
      <c r="Q3768">
        <f>WEEKNUM(Table1[[#This Row],[order_date]])</f>
        <v>53</v>
      </c>
      <c r="R3768">
        <f>IF(Table1[[#This Row],[order_status]]="completed",1,0)</f>
        <v>1</v>
      </c>
    </row>
    <row r="3769" spans="1:18" x14ac:dyDescent="0.35">
      <c r="A3769">
        <v>3768</v>
      </c>
      <c r="B3769" s="1">
        <v>45952</v>
      </c>
      <c r="C3769">
        <v>1575</v>
      </c>
      <c r="D3769" t="s">
        <v>41</v>
      </c>
      <c r="E3769" t="s">
        <v>16</v>
      </c>
      <c r="F3769" t="s">
        <v>30</v>
      </c>
      <c r="G3769">
        <v>5</v>
      </c>
      <c r="H3769">
        <v>0</v>
      </c>
      <c r="I3769" t="s">
        <v>39</v>
      </c>
      <c r="J3769" t="s">
        <v>37</v>
      </c>
      <c r="K3769" t="s">
        <v>38</v>
      </c>
      <c r="L3769">
        <v>1</v>
      </c>
      <c r="M3769">
        <v>0</v>
      </c>
      <c r="N3769">
        <v>0</v>
      </c>
      <c r="O3769" t="s">
        <v>27</v>
      </c>
      <c r="P3769" t="str">
        <f>TEXT(Table1[[#This Row],[order_date]],"yyyy-mm")</f>
        <v>2025-10</v>
      </c>
      <c r="Q3769">
        <f>WEEKNUM(Table1[[#This Row],[order_date]])</f>
        <v>43</v>
      </c>
      <c r="R3769">
        <f>IF(Table1[[#This Row],[order_status]]="completed",1,0)</f>
        <v>0</v>
      </c>
    </row>
    <row r="3770" spans="1:18" x14ac:dyDescent="0.35">
      <c r="A3770">
        <v>3769</v>
      </c>
      <c r="B3770" s="1">
        <v>45883</v>
      </c>
      <c r="C3770">
        <v>1982</v>
      </c>
      <c r="D3770" t="s">
        <v>41</v>
      </c>
      <c r="E3770" t="s">
        <v>33</v>
      </c>
      <c r="F3770" t="s">
        <v>34</v>
      </c>
      <c r="G3770">
        <v>4</v>
      </c>
      <c r="H3770">
        <v>13308</v>
      </c>
      <c r="I3770" t="s">
        <v>25</v>
      </c>
      <c r="J3770" t="s">
        <v>19</v>
      </c>
      <c r="K3770" t="s">
        <v>20</v>
      </c>
      <c r="L3770">
        <v>4</v>
      </c>
      <c r="M3770">
        <v>0</v>
      </c>
      <c r="N3770">
        <v>0</v>
      </c>
      <c r="O3770" t="s">
        <v>21</v>
      </c>
      <c r="P3770" t="str">
        <f>TEXT(Table1[[#This Row],[order_date]],"yyyy-mm")</f>
        <v>2025-08</v>
      </c>
      <c r="Q3770">
        <f>WEEKNUM(Table1[[#This Row],[order_date]])</f>
        <v>33</v>
      </c>
      <c r="R3770">
        <f>IF(Table1[[#This Row],[order_status]]="completed",1,0)</f>
        <v>1</v>
      </c>
    </row>
    <row r="3771" spans="1:18" x14ac:dyDescent="0.35">
      <c r="A3771">
        <v>3770</v>
      </c>
      <c r="B3771" s="1">
        <v>45949</v>
      </c>
      <c r="C3771">
        <v>1650</v>
      </c>
      <c r="D3771" t="s">
        <v>28</v>
      </c>
      <c r="E3771" t="s">
        <v>29</v>
      </c>
      <c r="F3771" t="s">
        <v>34</v>
      </c>
      <c r="G3771">
        <v>4</v>
      </c>
      <c r="H3771">
        <v>0</v>
      </c>
      <c r="I3771" t="s">
        <v>18</v>
      </c>
      <c r="J3771" t="s">
        <v>31</v>
      </c>
      <c r="K3771" t="s">
        <v>38</v>
      </c>
      <c r="L3771">
        <v>5</v>
      </c>
      <c r="M3771">
        <v>0</v>
      </c>
      <c r="N3771">
        <v>1</v>
      </c>
      <c r="O3771" t="s">
        <v>27</v>
      </c>
      <c r="P3771" t="str">
        <f>TEXT(Table1[[#This Row],[order_date]],"yyyy-mm")</f>
        <v>2025-10</v>
      </c>
      <c r="Q3771">
        <f>WEEKNUM(Table1[[#This Row],[order_date]])</f>
        <v>43</v>
      </c>
      <c r="R3771">
        <f>IF(Table1[[#This Row],[order_status]]="completed",1,0)</f>
        <v>0</v>
      </c>
    </row>
    <row r="3772" spans="1:18" x14ac:dyDescent="0.35">
      <c r="A3772">
        <v>3771</v>
      </c>
      <c r="B3772" s="1">
        <v>45905</v>
      </c>
      <c r="C3772">
        <v>1445</v>
      </c>
      <c r="D3772" t="s">
        <v>15</v>
      </c>
      <c r="E3772" t="s">
        <v>23</v>
      </c>
      <c r="F3772" t="s">
        <v>30</v>
      </c>
      <c r="G3772">
        <v>3</v>
      </c>
      <c r="H3772">
        <v>0</v>
      </c>
      <c r="I3772" t="s">
        <v>35</v>
      </c>
      <c r="J3772" t="s">
        <v>31</v>
      </c>
      <c r="K3772" t="s">
        <v>20</v>
      </c>
      <c r="L3772">
        <v>3</v>
      </c>
      <c r="M3772">
        <v>0</v>
      </c>
      <c r="N3772">
        <v>1</v>
      </c>
      <c r="O3772" t="s">
        <v>27</v>
      </c>
      <c r="P3772" t="str">
        <f>TEXT(Table1[[#This Row],[order_date]],"yyyy-mm")</f>
        <v>2025-09</v>
      </c>
      <c r="Q3772">
        <f>WEEKNUM(Table1[[#This Row],[order_date]])</f>
        <v>36</v>
      </c>
      <c r="R3772">
        <f>IF(Table1[[#This Row],[order_status]]="completed",1,0)</f>
        <v>0</v>
      </c>
    </row>
    <row r="3773" spans="1:18" x14ac:dyDescent="0.35">
      <c r="A3773">
        <v>3772</v>
      </c>
      <c r="B3773" s="1">
        <v>46005</v>
      </c>
      <c r="C3773">
        <v>1561</v>
      </c>
      <c r="D3773" t="s">
        <v>32</v>
      </c>
      <c r="E3773" t="s">
        <v>36</v>
      </c>
      <c r="F3773" t="s">
        <v>30</v>
      </c>
      <c r="G3773">
        <v>2</v>
      </c>
      <c r="H3773">
        <v>0</v>
      </c>
      <c r="I3773" t="s">
        <v>25</v>
      </c>
      <c r="J3773" t="s">
        <v>37</v>
      </c>
      <c r="K3773" t="s">
        <v>38</v>
      </c>
      <c r="L3773">
        <v>1</v>
      </c>
      <c r="M3773">
        <v>1</v>
      </c>
      <c r="N3773">
        <v>0</v>
      </c>
      <c r="O3773" t="s">
        <v>27</v>
      </c>
      <c r="P3773" t="str">
        <f>TEXT(Table1[[#This Row],[order_date]],"yyyy-mm")</f>
        <v>2025-12</v>
      </c>
      <c r="Q3773">
        <f>WEEKNUM(Table1[[#This Row],[order_date]])</f>
        <v>51</v>
      </c>
      <c r="R3773">
        <f>IF(Table1[[#This Row],[order_status]]="completed",1,0)</f>
        <v>0</v>
      </c>
    </row>
    <row r="3774" spans="1:18" x14ac:dyDescent="0.35">
      <c r="A3774">
        <v>3773</v>
      </c>
      <c r="B3774" s="1">
        <v>45892</v>
      </c>
      <c r="C3774">
        <v>1043</v>
      </c>
      <c r="D3774" t="s">
        <v>15</v>
      </c>
      <c r="E3774" t="s">
        <v>29</v>
      </c>
      <c r="F3774" t="s">
        <v>34</v>
      </c>
      <c r="G3774">
        <v>1</v>
      </c>
      <c r="H3774">
        <v>2682</v>
      </c>
      <c r="I3774" t="s">
        <v>18</v>
      </c>
      <c r="J3774" t="s">
        <v>19</v>
      </c>
      <c r="K3774" t="s">
        <v>40</v>
      </c>
      <c r="L3774">
        <v>1</v>
      </c>
      <c r="M3774">
        <v>0</v>
      </c>
      <c r="N3774">
        <v>1</v>
      </c>
      <c r="O3774" t="s">
        <v>27</v>
      </c>
      <c r="P3774" t="str">
        <f>TEXT(Table1[[#This Row],[order_date]],"yyyy-mm")</f>
        <v>2025-08</v>
      </c>
      <c r="Q3774">
        <f>WEEKNUM(Table1[[#This Row],[order_date]])</f>
        <v>34</v>
      </c>
      <c r="R3774">
        <f>IF(Table1[[#This Row],[order_status]]="completed",1,0)</f>
        <v>1</v>
      </c>
    </row>
    <row r="3775" spans="1:18" x14ac:dyDescent="0.35">
      <c r="A3775">
        <v>3774</v>
      </c>
      <c r="B3775" s="1">
        <v>45917</v>
      </c>
      <c r="C3775">
        <v>1390</v>
      </c>
      <c r="D3775" t="s">
        <v>28</v>
      </c>
      <c r="E3775" t="s">
        <v>23</v>
      </c>
      <c r="F3775" t="s">
        <v>34</v>
      </c>
      <c r="G3775">
        <v>3</v>
      </c>
      <c r="H3775">
        <v>0</v>
      </c>
      <c r="I3775" t="s">
        <v>25</v>
      </c>
      <c r="J3775" t="s">
        <v>31</v>
      </c>
      <c r="K3775" t="s">
        <v>40</v>
      </c>
      <c r="L3775">
        <v>1</v>
      </c>
      <c r="M3775">
        <v>0</v>
      </c>
      <c r="N3775">
        <v>0</v>
      </c>
      <c r="O3775" t="s">
        <v>27</v>
      </c>
      <c r="P3775" t="str">
        <f>TEXT(Table1[[#This Row],[order_date]],"yyyy-mm")</f>
        <v>2025-09</v>
      </c>
      <c r="Q3775">
        <f>WEEKNUM(Table1[[#This Row],[order_date]])</f>
        <v>38</v>
      </c>
      <c r="R3775">
        <f>IF(Table1[[#This Row],[order_status]]="completed",1,0)</f>
        <v>0</v>
      </c>
    </row>
    <row r="3776" spans="1:18" x14ac:dyDescent="0.35">
      <c r="A3776">
        <v>3775</v>
      </c>
      <c r="B3776" s="1">
        <v>46021</v>
      </c>
      <c r="C3776">
        <v>1065</v>
      </c>
      <c r="D3776" t="s">
        <v>41</v>
      </c>
      <c r="E3776" t="s">
        <v>36</v>
      </c>
      <c r="F3776" t="s">
        <v>24</v>
      </c>
      <c r="G3776">
        <v>3</v>
      </c>
      <c r="H3776">
        <v>0</v>
      </c>
      <c r="I3776" t="s">
        <v>35</v>
      </c>
      <c r="J3776" t="s">
        <v>37</v>
      </c>
      <c r="K3776" t="s">
        <v>20</v>
      </c>
      <c r="L3776">
        <v>2</v>
      </c>
      <c r="M3776">
        <v>1</v>
      </c>
      <c r="N3776">
        <v>1</v>
      </c>
      <c r="O3776" t="s">
        <v>21</v>
      </c>
      <c r="P3776" t="str">
        <f>TEXT(Table1[[#This Row],[order_date]],"yyyy-mm")</f>
        <v>2025-12</v>
      </c>
      <c r="Q3776">
        <f>WEEKNUM(Table1[[#This Row],[order_date]])</f>
        <v>53</v>
      </c>
      <c r="R3776">
        <f>IF(Table1[[#This Row],[order_status]]="completed",1,0)</f>
        <v>0</v>
      </c>
    </row>
    <row r="3777" spans="1:18" x14ac:dyDescent="0.35">
      <c r="A3777">
        <v>3776</v>
      </c>
      <c r="B3777" s="1">
        <v>46027</v>
      </c>
      <c r="C3777">
        <v>1010</v>
      </c>
      <c r="D3777" t="s">
        <v>32</v>
      </c>
      <c r="E3777" t="s">
        <v>23</v>
      </c>
      <c r="F3777" t="s">
        <v>34</v>
      </c>
      <c r="G3777">
        <v>2</v>
      </c>
      <c r="H3777">
        <v>0</v>
      </c>
      <c r="I3777" t="s">
        <v>18</v>
      </c>
      <c r="J3777" t="s">
        <v>37</v>
      </c>
      <c r="K3777" t="s">
        <v>40</v>
      </c>
      <c r="L3777">
        <v>7</v>
      </c>
      <c r="M3777">
        <v>0</v>
      </c>
      <c r="N3777">
        <v>1</v>
      </c>
      <c r="O3777" t="s">
        <v>27</v>
      </c>
      <c r="P3777" t="str">
        <f>TEXT(Table1[[#This Row],[order_date]],"yyyy-mm")</f>
        <v>2026-01</v>
      </c>
      <c r="Q3777">
        <f>WEEKNUM(Table1[[#This Row],[order_date]])</f>
        <v>2</v>
      </c>
      <c r="R3777">
        <f>IF(Table1[[#This Row],[order_status]]="completed",1,0)</f>
        <v>0</v>
      </c>
    </row>
    <row r="3778" spans="1:18" x14ac:dyDescent="0.35">
      <c r="A3778">
        <v>3777</v>
      </c>
      <c r="B3778" s="1">
        <v>45990</v>
      </c>
      <c r="C3778">
        <v>1679</v>
      </c>
      <c r="D3778" t="s">
        <v>22</v>
      </c>
      <c r="E3778" t="s">
        <v>16</v>
      </c>
      <c r="F3778" t="s">
        <v>30</v>
      </c>
      <c r="G3778">
        <v>4</v>
      </c>
      <c r="H3778">
        <v>0</v>
      </c>
      <c r="I3778" t="s">
        <v>25</v>
      </c>
      <c r="J3778" t="s">
        <v>31</v>
      </c>
      <c r="K3778" t="s">
        <v>38</v>
      </c>
      <c r="L3778">
        <v>2</v>
      </c>
      <c r="M3778">
        <v>0</v>
      </c>
      <c r="N3778">
        <v>0</v>
      </c>
      <c r="O3778" t="s">
        <v>21</v>
      </c>
      <c r="P3778" t="str">
        <f>TEXT(Table1[[#This Row],[order_date]],"yyyy-mm")</f>
        <v>2025-11</v>
      </c>
      <c r="Q3778">
        <f>WEEKNUM(Table1[[#This Row],[order_date]])</f>
        <v>48</v>
      </c>
      <c r="R3778">
        <f>IF(Table1[[#This Row],[order_status]]="completed",1,0)</f>
        <v>0</v>
      </c>
    </row>
    <row r="3779" spans="1:18" x14ac:dyDescent="0.35">
      <c r="A3779">
        <v>3778</v>
      </c>
      <c r="B3779" s="1">
        <v>45976</v>
      </c>
      <c r="C3779">
        <v>1621</v>
      </c>
      <c r="D3779" t="s">
        <v>32</v>
      </c>
      <c r="E3779" t="s">
        <v>16</v>
      </c>
      <c r="F3779" t="s">
        <v>24</v>
      </c>
      <c r="G3779">
        <v>2</v>
      </c>
      <c r="H3779">
        <v>0</v>
      </c>
      <c r="I3779" t="s">
        <v>39</v>
      </c>
      <c r="J3779" t="s">
        <v>37</v>
      </c>
      <c r="K3779" t="s">
        <v>20</v>
      </c>
      <c r="L3779">
        <v>7</v>
      </c>
      <c r="M3779">
        <v>1</v>
      </c>
      <c r="N3779">
        <v>0</v>
      </c>
      <c r="O3779" t="s">
        <v>21</v>
      </c>
      <c r="P3779" t="str">
        <f>TEXT(Table1[[#This Row],[order_date]],"yyyy-mm")</f>
        <v>2025-11</v>
      </c>
      <c r="Q3779">
        <f>WEEKNUM(Table1[[#This Row],[order_date]])</f>
        <v>46</v>
      </c>
      <c r="R3779">
        <f>IF(Table1[[#This Row],[order_status]]="completed",1,0)</f>
        <v>0</v>
      </c>
    </row>
    <row r="3780" spans="1:18" x14ac:dyDescent="0.35">
      <c r="A3780">
        <v>3779</v>
      </c>
      <c r="B3780" s="1">
        <v>46028</v>
      </c>
      <c r="C3780">
        <v>1691</v>
      </c>
      <c r="D3780" t="s">
        <v>41</v>
      </c>
      <c r="E3780" t="s">
        <v>23</v>
      </c>
      <c r="F3780" t="s">
        <v>30</v>
      </c>
      <c r="G3780">
        <v>2</v>
      </c>
      <c r="H3780">
        <v>0</v>
      </c>
      <c r="I3780" t="s">
        <v>18</v>
      </c>
      <c r="J3780" t="s">
        <v>31</v>
      </c>
      <c r="K3780" t="s">
        <v>38</v>
      </c>
      <c r="L3780">
        <v>10</v>
      </c>
      <c r="M3780">
        <v>1</v>
      </c>
      <c r="N3780">
        <v>0</v>
      </c>
      <c r="O3780" t="s">
        <v>21</v>
      </c>
      <c r="P3780" t="str">
        <f>TEXT(Table1[[#This Row],[order_date]],"yyyy-mm")</f>
        <v>2026-01</v>
      </c>
      <c r="Q3780">
        <f>WEEKNUM(Table1[[#This Row],[order_date]])</f>
        <v>2</v>
      </c>
      <c r="R3780">
        <f>IF(Table1[[#This Row],[order_status]]="completed",1,0)</f>
        <v>0</v>
      </c>
    </row>
    <row r="3781" spans="1:18" x14ac:dyDescent="0.35">
      <c r="A3781">
        <v>3780</v>
      </c>
      <c r="B3781" s="1">
        <v>45953</v>
      </c>
      <c r="C3781">
        <v>1151</v>
      </c>
      <c r="D3781" t="s">
        <v>15</v>
      </c>
      <c r="E3781" t="s">
        <v>36</v>
      </c>
      <c r="F3781" t="s">
        <v>30</v>
      </c>
      <c r="G3781">
        <v>1</v>
      </c>
      <c r="H3781">
        <v>0</v>
      </c>
      <c r="I3781" t="s">
        <v>35</v>
      </c>
      <c r="J3781" t="s">
        <v>31</v>
      </c>
      <c r="K3781" t="s">
        <v>20</v>
      </c>
      <c r="L3781">
        <v>9</v>
      </c>
      <c r="M3781">
        <v>1</v>
      </c>
      <c r="N3781">
        <v>1</v>
      </c>
      <c r="O3781" t="s">
        <v>27</v>
      </c>
      <c r="P3781" t="str">
        <f>TEXT(Table1[[#This Row],[order_date]],"yyyy-mm")</f>
        <v>2025-10</v>
      </c>
      <c r="Q3781">
        <f>WEEKNUM(Table1[[#This Row],[order_date]])</f>
        <v>43</v>
      </c>
      <c r="R3781">
        <f>IF(Table1[[#This Row],[order_status]]="completed",1,0)</f>
        <v>0</v>
      </c>
    </row>
    <row r="3782" spans="1:18" x14ac:dyDescent="0.35">
      <c r="A3782">
        <v>3781</v>
      </c>
      <c r="B3782" s="1">
        <v>45971</v>
      </c>
      <c r="C3782">
        <v>1489</v>
      </c>
      <c r="D3782" t="s">
        <v>41</v>
      </c>
      <c r="E3782" t="s">
        <v>33</v>
      </c>
      <c r="F3782" t="s">
        <v>24</v>
      </c>
      <c r="G3782">
        <v>4</v>
      </c>
      <c r="H3782">
        <v>0</v>
      </c>
      <c r="I3782" t="s">
        <v>39</v>
      </c>
      <c r="J3782" t="s">
        <v>37</v>
      </c>
      <c r="K3782" t="s">
        <v>38</v>
      </c>
      <c r="L3782">
        <v>9</v>
      </c>
      <c r="M3782">
        <v>0</v>
      </c>
      <c r="N3782">
        <v>0</v>
      </c>
      <c r="O3782" t="s">
        <v>21</v>
      </c>
      <c r="P3782" t="str">
        <f>TEXT(Table1[[#This Row],[order_date]],"yyyy-mm")</f>
        <v>2025-11</v>
      </c>
      <c r="Q3782">
        <f>WEEKNUM(Table1[[#This Row],[order_date]])</f>
        <v>46</v>
      </c>
      <c r="R3782">
        <f>IF(Table1[[#This Row],[order_status]]="completed",1,0)</f>
        <v>0</v>
      </c>
    </row>
    <row r="3783" spans="1:18" x14ac:dyDescent="0.35">
      <c r="A3783">
        <v>3782</v>
      </c>
      <c r="B3783" s="1">
        <v>45936</v>
      </c>
      <c r="C3783">
        <v>1125</v>
      </c>
      <c r="D3783" t="s">
        <v>22</v>
      </c>
      <c r="E3783" t="s">
        <v>33</v>
      </c>
      <c r="F3783" t="s">
        <v>24</v>
      </c>
      <c r="G3783">
        <v>3</v>
      </c>
      <c r="H3783">
        <v>0</v>
      </c>
      <c r="I3783" t="s">
        <v>25</v>
      </c>
      <c r="J3783" t="s">
        <v>31</v>
      </c>
      <c r="K3783" t="s">
        <v>20</v>
      </c>
      <c r="L3783">
        <v>6</v>
      </c>
      <c r="M3783">
        <v>0</v>
      </c>
      <c r="N3783">
        <v>0</v>
      </c>
      <c r="O3783" t="s">
        <v>21</v>
      </c>
      <c r="P3783" t="str">
        <f>TEXT(Table1[[#This Row],[order_date]],"yyyy-mm")</f>
        <v>2025-10</v>
      </c>
      <c r="Q3783">
        <f>WEEKNUM(Table1[[#This Row],[order_date]])</f>
        <v>41</v>
      </c>
      <c r="R3783">
        <f>IF(Table1[[#This Row],[order_status]]="completed",1,0)</f>
        <v>0</v>
      </c>
    </row>
    <row r="3784" spans="1:18" x14ac:dyDescent="0.35">
      <c r="A3784">
        <v>3783</v>
      </c>
      <c r="B3784" s="1">
        <v>45955</v>
      </c>
      <c r="C3784">
        <v>1094</v>
      </c>
      <c r="D3784" t="s">
        <v>22</v>
      </c>
      <c r="E3784" t="s">
        <v>23</v>
      </c>
      <c r="F3784" t="s">
        <v>17</v>
      </c>
      <c r="G3784">
        <v>5</v>
      </c>
      <c r="H3784">
        <v>0</v>
      </c>
      <c r="I3784" t="s">
        <v>39</v>
      </c>
      <c r="J3784" t="s">
        <v>31</v>
      </c>
      <c r="K3784" t="s">
        <v>20</v>
      </c>
      <c r="L3784">
        <v>7</v>
      </c>
      <c r="M3784">
        <v>1</v>
      </c>
      <c r="N3784">
        <v>1</v>
      </c>
      <c r="O3784" t="s">
        <v>21</v>
      </c>
      <c r="P3784" t="str">
        <f>TEXT(Table1[[#This Row],[order_date]],"yyyy-mm")</f>
        <v>2025-10</v>
      </c>
      <c r="Q3784">
        <f>WEEKNUM(Table1[[#This Row],[order_date]])</f>
        <v>43</v>
      </c>
      <c r="R3784">
        <f>IF(Table1[[#This Row],[order_status]]="completed",1,0)</f>
        <v>0</v>
      </c>
    </row>
    <row r="3785" spans="1:18" x14ac:dyDescent="0.35">
      <c r="A3785">
        <v>3784</v>
      </c>
      <c r="B3785" s="1">
        <v>45933</v>
      </c>
      <c r="C3785">
        <v>1527</v>
      </c>
      <c r="D3785" t="s">
        <v>41</v>
      </c>
      <c r="E3785" t="s">
        <v>36</v>
      </c>
      <c r="F3785" t="s">
        <v>30</v>
      </c>
      <c r="G3785">
        <v>3</v>
      </c>
      <c r="H3785">
        <v>0</v>
      </c>
      <c r="I3785" t="s">
        <v>18</v>
      </c>
      <c r="J3785" t="s">
        <v>31</v>
      </c>
      <c r="K3785" t="s">
        <v>38</v>
      </c>
      <c r="L3785">
        <v>4</v>
      </c>
      <c r="M3785">
        <v>0</v>
      </c>
      <c r="N3785">
        <v>0</v>
      </c>
      <c r="O3785" t="s">
        <v>27</v>
      </c>
      <c r="P3785" t="str">
        <f>TEXT(Table1[[#This Row],[order_date]],"yyyy-mm")</f>
        <v>2025-10</v>
      </c>
      <c r="Q3785">
        <f>WEEKNUM(Table1[[#This Row],[order_date]])</f>
        <v>40</v>
      </c>
      <c r="R3785">
        <f>IF(Table1[[#This Row],[order_status]]="completed",1,0)</f>
        <v>0</v>
      </c>
    </row>
    <row r="3786" spans="1:18" x14ac:dyDescent="0.35">
      <c r="A3786">
        <v>3785</v>
      </c>
      <c r="B3786" s="1">
        <v>45868</v>
      </c>
      <c r="C3786">
        <v>1707</v>
      </c>
      <c r="D3786" t="s">
        <v>32</v>
      </c>
      <c r="E3786" t="s">
        <v>29</v>
      </c>
      <c r="F3786" t="s">
        <v>17</v>
      </c>
      <c r="G3786">
        <v>5</v>
      </c>
      <c r="H3786">
        <v>24255</v>
      </c>
      <c r="I3786" t="s">
        <v>25</v>
      </c>
      <c r="J3786" t="s">
        <v>19</v>
      </c>
      <c r="K3786" t="s">
        <v>20</v>
      </c>
      <c r="L3786">
        <v>1</v>
      </c>
      <c r="M3786">
        <v>1</v>
      </c>
      <c r="N3786">
        <v>1</v>
      </c>
      <c r="O3786" t="s">
        <v>21</v>
      </c>
      <c r="P3786" t="str">
        <f>TEXT(Table1[[#This Row],[order_date]],"yyyy-mm")</f>
        <v>2025-07</v>
      </c>
      <c r="Q3786">
        <f>WEEKNUM(Table1[[#This Row],[order_date]])</f>
        <v>31</v>
      </c>
      <c r="R3786">
        <f>IF(Table1[[#This Row],[order_status]]="completed",1,0)</f>
        <v>1</v>
      </c>
    </row>
    <row r="3787" spans="1:18" x14ac:dyDescent="0.35">
      <c r="A3787">
        <v>3786</v>
      </c>
      <c r="B3787" s="1">
        <v>45999</v>
      </c>
      <c r="C3787">
        <v>1966</v>
      </c>
      <c r="D3787" t="s">
        <v>28</v>
      </c>
      <c r="E3787" t="s">
        <v>29</v>
      </c>
      <c r="F3787" t="s">
        <v>30</v>
      </c>
      <c r="G3787">
        <v>5</v>
      </c>
      <c r="H3787">
        <v>0</v>
      </c>
      <c r="I3787" t="s">
        <v>39</v>
      </c>
      <c r="J3787" t="s">
        <v>37</v>
      </c>
      <c r="K3787" t="s">
        <v>38</v>
      </c>
      <c r="L3787">
        <v>8</v>
      </c>
      <c r="M3787">
        <v>0</v>
      </c>
      <c r="N3787">
        <v>0</v>
      </c>
      <c r="O3787" t="s">
        <v>21</v>
      </c>
      <c r="P3787" t="str">
        <f>TEXT(Table1[[#This Row],[order_date]],"yyyy-mm")</f>
        <v>2025-12</v>
      </c>
      <c r="Q3787">
        <f>WEEKNUM(Table1[[#This Row],[order_date]])</f>
        <v>50</v>
      </c>
      <c r="R3787">
        <f>IF(Table1[[#This Row],[order_status]]="completed",1,0)</f>
        <v>0</v>
      </c>
    </row>
    <row r="3788" spans="1:18" x14ac:dyDescent="0.35">
      <c r="A3788">
        <v>3787</v>
      </c>
      <c r="B3788" s="1">
        <v>46008</v>
      </c>
      <c r="C3788">
        <v>1465</v>
      </c>
      <c r="D3788" t="s">
        <v>41</v>
      </c>
      <c r="E3788" t="s">
        <v>29</v>
      </c>
      <c r="F3788" t="s">
        <v>30</v>
      </c>
      <c r="G3788">
        <v>3</v>
      </c>
      <c r="H3788">
        <v>0</v>
      </c>
      <c r="I3788" t="s">
        <v>35</v>
      </c>
      <c r="J3788" t="s">
        <v>31</v>
      </c>
      <c r="K3788" t="s">
        <v>20</v>
      </c>
      <c r="L3788">
        <v>9</v>
      </c>
      <c r="M3788">
        <v>0</v>
      </c>
      <c r="N3788">
        <v>0</v>
      </c>
      <c r="O3788" t="s">
        <v>21</v>
      </c>
      <c r="P3788" t="str">
        <f>TEXT(Table1[[#This Row],[order_date]],"yyyy-mm")</f>
        <v>2025-12</v>
      </c>
      <c r="Q3788">
        <f>WEEKNUM(Table1[[#This Row],[order_date]])</f>
        <v>51</v>
      </c>
      <c r="R3788">
        <f>IF(Table1[[#This Row],[order_status]]="completed",1,0)</f>
        <v>0</v>
      </c>
    </row>
    <row r="3789" spans="1:18" x14ac:dyDescent="0.35">
      <c r="A3789">
        <v>3788</v>
      </c>
      <c r="B3789" s="1">
        <v>45898</v>
      </c>
      <c r="C3789">
        <v>1945</v>
      </c>
      <c r="D3789" t="s">
        <v>22</v>
      </c>
      <c r="E3789" t="s">
        <v>36</v>
      </c>
      <c r="F3789" t="s">
        <v>34</v>
      </c>
      <c r="G3789">
        <v>1</v>
      </c>
      <c r="H3789">
        <v>0</v>
      </c>
      <c r="I3789" t="s">
        <v>35</v>
      </c>
      <c r="J3789" t="s">
        <v>31</v>
      </c>
      <c r="K3789" t="s">
        <v>40</v>
      </c>
      <c r="L3789">
        <v>3</v>
      </c>
      <c r="M3789">
        <v>0</v>
      </c>
      <c r="N3789">
        <v>0</v>
      </c>
      <c r="O3789" t="s">
        <v>27</v>
      </c>
      <c r="P3789" t="str">
        <f>TEXT(Table1[[#This Row],[order_date]],"yyyy-mm")</f>
        <v>2025-08</v>
      </c>
      <c r="Q3789">
        <f>WEEKNUM(Table1[[#This Row],[order_date]])</f>
        <v>35</v>
      </c>
      <c r="R3789">
        <f>IF(Table1[[#This Row],[order_status]]="completed",1,0)</f>
        <v>0</v>
      </c>
    </row>
    <row r="3790" spans="1:18" x14ac:dyDescent="0.35">
      <c r="A3790">
        <v>3789</v>
      </c>
      <c r="B3790" s="1">
        <v>45989</v>
      </c>
      <c r="C3790">
        <v>1988</v>
      </c>
      <c r="D3790" t="s">
        <v>15</v>
      </c>
      <c r="E3790" t="s">
        <v>36</v>
      </c>
      <c r="F3790" t="s">
        <v>34</v>
      </c>
      <c r="G3790">
        <v>3</v>
      </c>
      <c r="H3790">
        <v>4863</v>
      </c>
      <c r="I3790" t="s">
        <v>25</v>
      </c>
      <c r="J3790" t="s">
        <v>19</v>
      </c>
      <c r="K3790" t="s">
        <v>26</v>
      </c>
      <c r="L3790">
        <v>8</v>
      </c>
      <c r="M3790">
        <v>0</v>
      </c>
      <c r="N3790">
        <v>1</v>
      </c>
      <c r="O3790" t="s">
        <v>27</v>
      </c>
      <c r="P3790" t="str">
        <f>TEXT(Table1[[#This Row],[order_date]],"yyyy-mm")</f>
        <v>2025-11</v>
      </c>
      <c r="Q3790">
        <f>WEEKNUM(Table1[[#This Row],[order_date]])</f>
        <v>48</v>
      </c>
      <c r="R3790">
        <f>IF(Table1[[#This Row],[order_status]]="completed",1,0)</f>
        <v>1</v>
      </c>
    </row>
    <row r="3791" spans="1:18" x14ac:dyDescent="0.35">
      <c r="A3791">
        <v>3790</v>
      </c>
      <c r="B3791" s="1">
        <v>45927</v>
      </c>
      <c r="C3791">
        <v>1587</v>
      </c>
      <c r="D3791" t="s">
        <v>15</v>
      </c>
      <c r="E3791" t="s">
        <v>36</v>
      </c>
      <c r="F3791" t="s">
        <v>34</v>
      </c>
      <c r="G3791">
        <v>2</v>
      </c>
      <c r="H3791">
        <v>0</v>
      </c>
      <c r="I3791" t="s">
        <v>18</v>
      </c>
      <c r="J3791" t="s">
        <v>31</v>
      </c>
      <c r="K3791" t="s">
        <v>20</v>
      </c>
      <c r="L3791">
        <v>5</v>
      </c>
      <c r="M3791">
        <v>1</v>
      </c>
      <c r="N3791">
        <v>0</v>
      </c>
      <c r="O3791" t="s">
        <v>21</v>
      </c>
      <c r="P3791" t="str">
        <f>TEXT(Table1[[#This Row],[order_date]],"yyyy-mm")</f>
        <v>2025-09</v>
      </c>
      <c r="Q3791">
        <f>WEEKNUM(Table1[[#This Row],[order_date]])</f>
        <v>39</v>
      </c>
      <c r="R3791">
        <f>IF(Table1[[#This Row],[order_status]]="completed",1,0)</f>
        <v>0</v>
      </c>
    </row>
    <row r="3792" spans="1:18" x14ac:dyDescent="0.35">
      <c r="A3792">
        <v>3791</v>
      </c>
      <c r="B3792" s="1">
        <v>46013</v>
      </c>
      <c r="C3792">
        <v>1015</v>
      </c>
      <c r="D3792" t="s">
        <v>28</v>
      </c>
      <c r="E3792" t="s">
        <v>33</v>
      </c>
      <c r="F3792" t="s">
        <v>34</v>
      </c>
      <c r="G3792">
        <v>5</v>
      </c>
      <c r="H3792">
        <v>0</v>
      </c>
      <c r="I3792" t="s">
        <v>18</v>
      </c>
      <c r="J3792" t="s">
        <v>31</v>
      </c>
      <c r="K3792" t="s">
        <v>26</v>
      </c>
      <c r="L3792">
        <v>9</v>
      </c>
      <c r="M3792">
        <v>1</v>
      </c>
      <c r="N3792">
        <v>1</v>
      </c>
      <c r="O3792" t="s">
        <v>27</v>
      </c>
      <c r="P3792" t="str">
        <f>TEXT(Table1[[#This Row],[order_date]],"yyyy-mm")</f>
        <v>2025-12</v>
      </c>
      <c r="Q3792">
        <f>WEEKNUM(Table1[[#This Row],[order_date]])</f>
        <v>52</v>
      </c>
      <c r="R3792">
        <f>IF(Table1[[#This Row],[order_status]]="completed",1,0)</f>
        <v>0</v>
      </c>
    </row>
    <row r="3793" spans="1:18" x14ac:dyDescent="0.35">
      <c r="A3793">
        <v>3792</v>
      </c>
      <c r="B3793" s="1">
        <v>46013</v>
      </c>
      <c r="C3793">
        <v>1651</v>
      </c>
      <c r="D3793" t="s">
        <v>28</v>
      </c>
      <c r="E3793" t="s">
        <v>29</v>
      </c>
      <c r="F3793" t="s">
        <v>24</v>
      </c>
      <c r="G3793">
        <v>1</v>
      </c>
      <c r="H3793">
        <v>0</v>
      </c>
      <c r="I3793" t="s">
        <v>18</v>
      </c>
      <c r="J3793" t="s">
        <v>37</v>
      </c>
      <c r="K3793" t="s">
        <v>20</v>
      </c>
      <c r="L3793">
        <v>7</v>
      </c>
      <c r="M3793">
        <v>0</v>
      </c>
      <c r="N3793">
        <v>1</v>
      </c>
      <c r="O3793" t="s">
        <v>27</v>
      </c>
      <c r="P3793" t="str">
        <f>TEXT(Table1[[#This Row],[order_date]],"yyyy-mm")</f>
        <v>2025-12</v>
      </c>
      <c r="Q3793">
        <f>WEEKNUM(Table1[[#This Row],[order_date]])</f>
        <v>52</v>
      </c>
      <c r="R3793">
        <f>IF(Table1[[#This Row],[order_status]]="completed",1,0)</f>
        <v>0</v>
      </c>
    </row>
    <row r="3794" spans="1:18" x14ac:dyDescent="0.35">
      <c r="A3794">
        <v>3793</v>
      </c>
      <c r="B3794" s="1">
        <v>45922</v>
      </c>
      <c r="C3794">
        <v>1479</v>
      </c>
      <c r="D3794" t="s">
        <v>32</v>
      </c>
      <c r="E3794" t="s">
        <v>16</v>
      </c>
      <c r="F3794" t="s">
        <v>17</v>
      </c>
      <c r="G3794">
        <v>4</v>
      </c>
      <c r="H3794">
        <v>0</v>
      </c>
      <c r="I3794" t="s">
        <v>39</v>
      </c>
      <c r="J3794" t="s">
        <v>37</v>
      </c>
      <c r="K3794" t="s">
        <v>26</v>
      </c>
      <c r="L3794">
        <v>2</v>
      </c>
      <c r="M3794">
        <v>1</v>
      </c>
      <c r="N3794">
        <v>1</v>
      </c>
      <c r="O3794" t="s">
        <v>21</v>
      </c>
      <c r="P3794" t="str">
        <f>TEXT(Table1[[#This Row],[order_date]],"yyyy-mm")</f>
        <v>2025-09</v>
      </c>
      <c r="Q3794">
        <f>WEEKNUM(Table1[[#This Row],[order_date]])</f>
        <v>39</v>
      </c>
      <c r="R3794">
        <f>IF(Table1[[#This Row],[order_status]]="completed",1,0)</f>
        <v>0</v>
      </c>
    </row>
    <row r="3795" spans="1:18" x14ac:dyDescent="0.35">
      <c r="A3795">
        <v>3794</v>
      </c>
      <c r="B3795" s="1">
        <v>46001</v>
      </c>
      <c r="C3795">
        <v>1204</v>
      </c>
      <c r="D3795" t="s">
        <v>32</v>
      </c>
      <c r="E3795" t="s">
        <v>29</v>
      </c>
      <c r="F3795" t="s">
        <v>24</v>
      </c>
      <c r="G3795">
        <v>4</v>
      </c>
      <c r="H3795">
        <v>0</v>
      </c>
      <c r="I3795" t="s">
        <v>39</v>
      </c>
      <c r="J3795" t="s">
        <v>37</v>
      </c>
      <c r="K3795" t="s">
        <v>38</v>
      </c>
      <c r="L3795">
        <v>8</v>
      </c>
      <c r="M3795">
        <v>0</v>
      </c>
      <c r="N3795">
        <v>1</v>
      </c>
      <c r="O3795" t="s">
        <v>21</v>
      </c>
      <c r="P3795" t="str">
        <f>TEXT(Table1[[#This Row],[order_date]],"yyyy-mm")</f>
        <v>2025-12</v>
      </c>
      <c r="Q3795">
        <f>WEEKNUM(Table1[[#This Row],[order_date]])</f>
        <v>50</v>
      </c>
      <c r="R3795">
        <f>IF(Table1[[#This Row],[order_status]]="completed",1,0)</f>
        <v>0</v>
      </c>
    </row>
    <row r="3796" spans="1:18" x14ac:dyDescent="0.35">
      <c r="A3796">
        <v>3795</v>
      </c>
      <c r="B3796" s="1">
        <v>45978</v>
      </c>
      <c r="C3796">
        <v>1835</v>
      </c>
      <c r="D3796" t="s">
        <v>32</v>
      </c>
      <c r="E3796" t="s">
        <v>16</v>
      </c>
      <c r="F3796" t="s">
        <v>17</v>
      </c>
      <c r="G3796">
        <v>1</v>
      </c>
      <c r="H3796">
        <v>0</v>
      </c>
      <c r="I3796" t="s">
        <v>25</v>
      </c>
      <c r="J3796" t="s">
        <v>31</v>
      </c>
      <c r="K3796" t="s">
        <v>26</v>
      </c>
      <c r="L3796">
        <v>3</v>
      </c>
      <c r="M3796">
        <v>1</v>
      </c>
      <c r="N3796">
        <v>1</v>
      </c>
      <c r="O3796" t="s">
        <v>27</v>
      </c>
      <c r="P3796" t="str">
        <f>TEXT(Table1[[#This Row],[order_date]],"yyyy-mm")</f>
        <v>2025-11</v>
      </c>
      <c r="Q3796">
        <f>WEEKNUM(Table1[[#This Row],[order_date]])</f>
        <v>47</v>
      </c>
      <c r="R3796">
        <f>IF(Table1[[#This Row],[order_status]]="completed",1,0)</f>
        <v>0</v>
      </c>
    </row>
    <row r="3797" spans="1:18" x14ac:dyDescent="0.35">
      <c r="A3797">
        <v>3796</v>
      </c>
      <c r="B3797" s="1">
        <v>45939</v>
      </c>
      <c r="C3797">
        <v>1879</v>
      </c>
      <c r="D3797" t="s">
        <v>32</v>
      </c>
      <c r="E3797" t="s">
        <v>16</v>
      </c>
      <c r="F3797" t="s">
        <v>30</v>
      </c>
      <c r="G3797">
        <v>5</v>
      </c>
      <c r="H3797">
        <v>0</v>
      </c>
      <c r="I3797" t="s">
        <v>35</v>
      </c>
      <c r="J3797" t="s">
        <v>37</v>
      </c>
      <c r="K3797" t="s">
        <v>20</v>
      </c>
      <c r="L3797">
        <v>5</v>
      </c>
      <c r="M3797">
        <v>0</v>
      </c>
      <c r="N3797">
        <v>1</v>
      </c>
      <c r="O3797" t="s">
        <v>27</v>
      </c>
      <c r="P3797" t="str">
        <f>TEXT(Table1[[#This Row],[order_date]],"yyyy-mm")</f>
        <v>2025-10</v>
      </c>
      <c r="Q3797">
        <f>WEEKNUM(Table1[[#This Row],[order_date]])</f>
        <v>41</v>
      </c>
      <c r="R3797">
        <f>IF(Table1[[#This Row],[order_status]]="completed",1,0)</f>
        <v>0</v>
      </c>
    </row>
    <row r="3798" spans="1:18" x14ac:dyDescent="0.35">
      <c r="A3798">
        <v>3797</v>
      </c>
      <c r="B3798" s="1">
        <v>45888</v>
      </c>
      <c r="C3798">
        <v>1698</v>
      </c>
      <c r="D3798" t="s">
        <v>28</v>
      </c>
      <c r="E3798" t="s">
        <v>23</v>
      </c>
      <c r="F3798" t="s">
        <v>34</v>
      </c>
      <c r="G3798">
        <v>1</v>
      </c>
      <c r="H3798">
        <v>2266</v>
      </c>
      <c r="I3798" t="s">
        <v>35</v>
      </c>
      <c r="J3798" t="s">
        <v>19</v>
      </c>
      <c r="K3798" t="s">
        <v>40</v>
      </c>
      <c r="L3798">
        <v>1</v>
      </c>
      <c r="M3798">
        <v>1</v>
      </c>
      <c r="N3798">
        <v>0</v>
      </c>
      <c r="O3798" t="s">
        <v>27</v>
      </c>
      <c r="P3798" t="str">
        <f>TEXT(Table1[[#This Row],[order_date]],"yyyy-mm")</f>
        <v>2025-08</v>
      </c>
      <c r="Q3798">
        <f>WEEKNUM(Table1[[#This Row],[order_date]])</f>
        <v>34</v>
      </c>
      <c r="R3798">
        <f>IF(Table1[[#This Row],[order_status]]="completed",1,0)</f>
        <v>1</v>
      </c>
    </row>
    <row r="3799" spans="1:18" x14ac:dyDescent="0.35">
      <c r="A3799">
        <v>3798</v>
      </c>
      <c r="B3799" s="1">
        <v>45919</v>
      </c>
      <c r="C3799">
        <v>1646</v>
      </c>
      <c r="D3799" t="s">
        <v>32</v>
      </c>
      <c r="E3799" t="s">
        <v>33</v>
      </c>
      <c r="F3799" t="s">
        <v>34</v>
      </c>
      <c r="G3799">
        <v>1</v>
      </c>
      <c r="H3799">
        <v>0</v>
      </c>
      <c r="I3799" t="s">
        <v>35</v>
      </c>
      <c r="J3799" t="s">
        <v>31</v>
      </c>
      <c r="K3799" t="s">
        <v>38</v>
      </c>
      <c r="L3799">
        <v>3</v>
      </c>
      <c r="M3799">
        <v>1</v>
      </c>
      <c r="N3799">
        <v>1</v>
      </c>
      <c r="O3799" t="s">
        <v>27</v>
      </c>
      <c r="P3799" t="str">
        <f>TEXT(Table1[[#This Row],[order_date]],"yyyy-mm")</f>
        <v>2025-09</v>
      </c>
      <c r="Q3799">
        <f>WEEKNUM(Table1[[#This Row],[order_date]])</f>
        <v>38</v>
      </c>
      <c r="R3799">
        <f>IF(Table1[[#This Row],[order_status]]="completed",1,0)</f>
        <v>0</v>
      </c>
    </row>
    <row r="3800" spans="1:18" x14ac:dyDescent="0.35">
      <c r="A3800">
        <v>3799</v>
      </c>
      <c r="B3800" s="1">
        <v>45936</v>
      </c>
      <c r="C3800">
        <v>1084</v>
      </c>
      <c r="D3800" t="s">
        <v>28</v>
      </c>
      <c r="E3800" t="s">
        <v>23</v>
      </c>
      <c r="F3800" t="s">
        <v>17</v>
      </c>
      <c r="G3800">
        <v>4</v>
      </c>
      <c r="H3800">
        <v>0</v>
      </c>
      <c r="I3800" t="s">
        <v>39</v>
      </c>
      <c r="J3800" t="s">
        <v>37</v>
      </c>
      <c r="K3800" t="s">
        <v>26</v>
      </c>
      <c r="L3800">
        <v>4</v>
      </c>
      <c r="M3800">
        <v>1</v>
      </c>
      <c r="N3800">
        <v>0</v>
      </c>
      <c r="O3800" t="s">
        <v>27</v>
      </c>
      <c r="P3800" t="str">
        <f>TEXT(Table1[[#This Row],[order_date]],"yyyy-mm")</f>
        <v>2025-10</v>
      </c>
      <c r="Q3800">
        <f>WEEKNUM(Table1[[#This Row],[order_date]])</f>
        <v>41</v>
      </c>
      <c r="R3800">
        <f>IF(Table1[[#This Row],[order_status]]="completed",1,0)</f>
        <v>0</v>
      </c>
    </row>
    <row r="3801" spans="1:18" x14ac:dyDescent="0.35">
      <c r="A3801">
        <v>3800</v>
      </c>
      <c r="B3801" s="1">
        <v>45858</v>
      </c>
      <c r="C3801">
        <v>1185</v>
      </c>
      <c r="D3801" t="s">
        <v>28</v>
      </c>
      <c r="E3801" t="s">
        <v>23</v>
      </c>
      <c r="F3801" t="s">
        <v>17</v>
      </c>
      <c r="G3801">
        <v>1</v>
      </c>
      <c r="H3801">
        <v>0</v>
      </c>
      <c r="I3801" t="s">
        <v>35</v>
      </c>
      <c r="J3801" t="s">
        <v>31</v>
      </c>
      <c r="K3801" t="s">
        <v>20</v>
      </c>
      <c r="L3801">
        <v>1</v>
      </c>
      <c r="M3801">
        <v>0</v>
      </c>
      <c r="N3801">
        <v>1</v>
      </c>
      <c r="O3801" t="s">
        <v>27</v>
      </c>
      <c r="P3801" t="str">
        <f>TEXT(Table1[[#This Row],[order_date]],"yyyy-mm")</f>
        <v>2025-07</v>
      </c>
      <c r="Q3801">
        <f>WEEKNUM(Table1[[#This Row],[order_date]])</f>
        <v>30</v>
      </c>
      <c r="R3801">
        <f>IF(Table1[[#This Row],[order_status]]="completed",1,0)</f>
        <v>0</v>
      </c>
    </row>
    <row r="3802" spans="1:18" x14ac:dyDescent="0.35">
      <c r="A3802">
        <v>3801</v>
      </c>
      <c r="B3802" s="1">
        <v>45936</v>
      </c>
      <c r="C3802">
        <v>1614</v>
      </c>
      <c r="D3802" t="s">
        <v>22</v>
      </c>
      <c r="E3802" t="s">
        <v>16</v>
      </c>
      <c r="F3802" t="s">
        <v>24</v>
      </c>
      <c r="G3802">
        <v>3</v>
      </c>
      <c r="H3802">
        <v>9297</v>
      </c>
      <c r="I3802" t="s">
        <v>35</v>
      </c>
      <c r="J3802" t="s">
        <v>19</v>
      </c>
      <c r="K3802" t="s">
        <v>40</v>
      </c>
      <c r="L3802">
        <v>9</v>
      </c>
      <c r="M3802">
        <v>1</v>
      </c>
      <c r="N3802">
        <v>0</v>
      </c>
      <c r="O3802" t="s">
        <v>21</v>
      </c>
      <c r="P3802" t="str">
        <f>TEXT(Table1[[#This Row],[order_date]],"yyyy-mm")</f>
        <v>2025-10</v>
      </c>
      <c r="Q3802">
        <f>WEEKNUM(Table1[[#This Row],[order_date]])</f>
        <v>41</v>
      </c>
      <c r="R3802">
        <f>IF(Table1[[#This Row],[order_status]]="completed",1,0)</f>
        <v>1</v>
      </c>
    </row>
    <row r="3803" spans="1:18" x14ac:dyDescent="0.35">
      <c r="A3803">
        <v>3802</v>
      </c>
      <c r="B3803" s="1">
        <v>45959</v>
      </c>
      <c r="C3803">
        <v>1222</v>
      </c>
      <c r="D3803" t="s">
        <v>41</v>
      </c>
      <c r="E3803" t="s">
        <v>23</v>
      </c>
      <c r="F3803" t="s">
        <v>34</v>
      </c>
      <c r="G3803">
        <v>4</v>
      </c>
      <c r="H3803">
        <v>0</v>
      </c>
      <c r="I3803" t="s">
        <v>39</v>
      </c>
      <c r="J3803" t="s">
        <v>31</v>
      </c>
      <c r="K3803" t="s">
        <v>26</v>
      </c>
      <c r="L3803">
        <v>3</v>
      </c>
      <c r="M3803">
        <v>1</v>
      </c>
      <c r="N3803">
        <v>0</v>
      </c>
      <c r="O3803" t="s">
        <v>27</v>
      </c>
      <c r="P3803" t="str">
        <f>TEXT(Table1[[#This Row],[order_date]],"yyyy-mm")</f>
        <v>2025-10</v>
      </c>
      <c r="Q3803">
        <f>WEEKNUM(Table1[[#This Row],[order_date]])</f>
        <v>44</v>
      </c>
      <c r="R3803">
        <f>IF(Table1[[#This Row],[order_status]]="completed",1,0)</f>
        <v>0</v>
      </c>
    </row>
    <row r="3804" spans="1:18" x14ac:dyDescent="0.35">
      <c r="A3804">
        <v>3803</v>
      </c>
      <c r="B3804" s="1">
        <v>45858</v>
      </c>
      <c r="C3804">
        <v>1277</v>
      </c>
      <c r="D3804" t="s">
        <v>32</v>
      </c>
      <c r="E3804" t="s">
        <v>16</v>
      </c>
      <c r="F3804" t="s">
        <v>34</v>
      </c>
      <c r="G3804">
        <v>3</v>
      </c>
      <c r="H3804">
        <v>6162</v>
      </c>
      <c r="I3804" t="s">
        <v>39</v>
      </c>
      <c r="J3804" t="s">
        <v>19</v>
      </c>
      <c r="K3804" t="s">
        <v>20</v>
      </c>
      <c r="L3804">
        <v>5</v>
      </c>
      <c r="M3804">
        <v>1</v>
      </c>
      <c r="N3804">
        <v>0</v>
      </c>
      <c r="O3804" t="s">
        <v>27</v>
      </c>
      <c r="P3804" t="str">
        <f>TEXT(Table1[[#This Row],[order_date]],"yyyy-mm")</f>
        <v>2025-07</v>
      </c>
      <c r="Q3804">
        <f>WEEKNUM(Table1[[#This Row],[order_date]])</f>
        <v>30</v>
      </c>
      <c r="R3804">
        <f>IF(Table1[[#This Row],[order_status]]="completed",1,0)</f>
        <v>1</v>
      </c>
    </row>
    <row r="3805" spans="1:18" x14ac:dyDescent="0.35">
      <c r="A3805">
        <v>3804</v>
      </c>
      <c r="B3805" s="1">
        <v>45998</v>
      </c>
      <c r="C3805">
        <v>1808</v>
      </c>
      <c r="D3805" t="s">
        <v>41</v>
      </c>
      <c r="E3805" t="s">
        <v>23</v>
      </c>
      <c r="F3805" t="s">
        <v>30</v>
      </c>
      <c r="G3805">
        <v>1</v>
      </c>
      <c r="H3805">
        <v>0</v>
      </c>
      <c r="I3805" t="s">
        <v>39</v>
      </c>
      <c r="J3805" t="s">
        <v>37</v>
      </c>
      <c r="K3805" t="s">
        <v>20</v>
      </c>
      <c r="L3805">
        <v>8</v>
      </c>
      <c r="M3805">
        <v>0</v>
      </c>
      <c r="N3805">
        <v>0</v>
      </c>
      <c r="O3805" t="s">
        <v>27</v>
      </c>
      <c r="P3805" t="str">
        <f>TEXT(Table1[[#This Row],[order_date]],"yyyy-mm")</f>
        <v>2025-12</v>
      </c>
      <c r="Q3805">
        <f>WEEKNUM(Table1[[#This Row],[order_date]])</f>
        <v>50</v>
      </c>
      <c r="R3805">
        <f>IF(Table1[[#This Row],[order_status]]="completed",1,0)</f>
        <v>0</v>
      </c>
    </row>
    <row r="3806" spans="1:18" x14ac:dyDescent="0.35">
      <c r="A3806">
        <v>3805</v>
      </c>
      <c r="B3806" s="1">
        <v>46009</v>
      </c>
      <c r="C3806">
        <v>1717</v>
      </c>
      <c r="D3806" t="s">
        <v>32</v>
      </c>
      <c r="E3806" t="s">
        <v>33</v>
      </c>
      <c r="F3806" t="s">
        <v>17</v>
      </c>
      <c r="G3806">
        <v>3</v>
      </c>
      <c r="H3806">
        <v>0</v>
      </c>
      <c r="I3806" t="s">
        <v>25</v>
      </c>
      <c r="J3806" t="s">
        <v>37</v>
      </c>
      <c r="K3806" t="s">
        <v>26</v>
      </c>
      <c r="L3806">
        <v>9</v>
      </c>
      <c r="M3806">
        <v>0</v>
      </c>
      <c r="N3806">
        <v>0</v>
      </c>
      <c r="O3806" t="s">
        <v>21</v>
      </c>
      <c r="P3806" t="str">
        <f>TEXT(Table1[[#This Row],[order_date]],"yyyy-mm")</f>
        <v>2025-12</v>
      </c>
      <c r="Q3806">
        <f>WEEKNUM(Table1[[#This Row],[order_date]])</f>
        <v>51</v>
      </c>
      <c r="R3806">
        <f>IF(Table1[[#This Row],[order_status]]="completed",1,0)</f>
        <v>0</v>
      </c>
    </row>
    <row r="3807" spans="1:18" x14ac:dyDescent="0.35">
      <c r="A3807">
        <v>3806</v>
      </c>
      <c r="B3807" s="1">
        <v>45896</v>
      </c>
      <c r="C3807">
        <v>1804</v>
      </c>
      <c r="D3807" t="s">
        <v>15</v>
      </c>
      <c r="E3807" t="s">
        <v>36</v>
      </c>
      <c r="F3807" t="s">
        <v>17</v>
      </c>
      <c r="G3807">
        <v>1</v>
      </c>
      <c r="H3807">
        <v>0</v>
      </c>
      <c r="I3807" t="s">
        <v>25</v>
      </c>
      <c r="J3807" t="s">
        <v>37</v>
      </c>
      <c r="K3807" t="s">
        <v>38</v>
      </c>
      <c r="L3807">
        <v>2</v>
      </c>
      <c r="M3807">
        <v>1</v>
      </c>
      <c r="N3807">
        <v>1</v>
      </c>
      <c r="O3807" t="s">
        <v>27</v>
      </c>
      <c r="P3807" t="str">
        <f>TEXT(Table1[[#This Row],[order_date]],"yyyy-mm")</f>
        <v>2025-08</v>
      </c>
      <c r="Q3807">
        <f>WEEKNUM(Table1[[#This Row],[order_date]])</f>
        <v>35</v>
      </c>
      <c r="R3807">
        <f>IF(Table1[[#This Row],[order_status]]="completed",1,0)</f>
        <v>0</v>
      </c>
    </row>
    <row r="3808" spans="1:18" x14ac:dyDescent="0.35">
      <c r="A3808">
        <v>3807</v>
      </c>
      <c r="B3808" s="1">
        <v>45988</v>
      </c>
      <c r="C3808">
        <v>1526</v>
      </c>
      <c r="D3808" t="s">
        <v>15</v>
      </c>
      <c r="E3808" t="s">
        <v>16</v>
      </c>
      <c r="F3808" t="s">
        <v>30</v>
      </c>
      <c r="G3808">
        <v>5</v>
      </c>
      <c r="H3808">
        <v>9055</v>
      </c>
      <c r="I3808" t="s">
        <v>35</v>
      </c>
      <c r="J3808" t="s">
        <v>19</v>
      </c>
      <c r="K3808" t="s">
        <v>20</v>
      </c>
      <c r="L3808">
        <v>1</v>
      </c>
      <c r="M3808">
        <v>0</v>
      </c>
      <c r="N3808">
        <v>0</v>
      </c>
      <c r="O3808" t="s">
        <v>21</v>
      </c>
      <c r="P3808" t="str">
        <f>TEXT(Table1[[#This Row],[order_date]],"yyyy-mm")</f>
        <v>2025-11</v>
      </c>
      <c r="Q3808">
        <f>WEEKNUM(Table1[[#This Row],[order_date]])</f>
        <v>48</v>
      </c>
      <c r="R3808">
        <f>IF(Table1[[#This Row],[order_status]]="completed",1,0)</f>
        <v>1</v>
      </c>
    </row>
    <row r="3809" spans="1:18" x14ac:dyDescent="0.35">
      <c r="A3809">
        <v>3808</v>
      </c>
      <c r="B3809" s="1">
        <v>45858</v>
      </c>
      <c r="C3809">
        <v>1337</v>
      </c>
      <c r="D3809" t="s">
        <v>22</v>
      </c>
      <c r="E3809" t="s">
        <v>23</v>
      </c>
      <c r="F3809" t="s">
        <v>17</v>
      </c>
      <c r="G3809">
        <v>5</v>
      </c>
      <c r="H3809">
        <v>0</v>
      </c>
      <c r="I3809" t="s">
        <v>25</v>
      </c>
      <c r="J3809" t="s">
        <v>37</v>
      </c>
      <c r="K3809" t="s">
        <v>26</v>
      </c>
      <c r="L3809">
        <v>8</v>
      </c>
      <c r="M3809">
        <v>1</v>
      </c>
      <c r="N3809">
        <v>0</v>
      </c>
      <c r="O3809" t="s">
        <v>27</v>
      </c>
      <c r="P3809" t="str">
        <f>TEXT(Table1[[#This Row],[order_date]],"yyyy-mm")</f>
        <v>2025-07</v>
      </c>
      <c r="Q3809">
        <f>WEEKNUM(Table1[[#This Row],[order_date]])</f>
        <v>30</v>
      </c>
      <c r="R3809">
        <f>IF(Table1[[#This Row],[order_status]]="completed",1,0)</f>
        <v>0</v>
      </c>
    </row>
    <row r="3810" spans="1:18" x14ac:dyDescent="0.35">
      <c r="A3810">
        <v>3809</v>
      </c>
      <c r="B3810" s="1">
        <v>45938</v>
      </c>
      <c r="C3810">
        <v>1085</v>
      </c>
      <c r="D3810" t="s">
        <v>15</v>
      </c>
      <c r="E3810" t="s">
        <v>29</v>
      </c>
      <c r="F3810" t="s">
        <v>24</v>
      </c>
      <c r="G3810">
        <v>3</v>
      </c>
      <c r="H3810">
        <v>14712</v>
      </c>
      <c r="I3810" t="s">
        <v>25</v>
      </c>
      <c r="J3810" t="s">
        <v>19</v>
      </c>
      <c r="K3810" t="s">
        <v>40</v>
      </c>
      <c r="L3810">
        <v>3</v>
      </c>
      <c r="M3810">
        <v>0</v>
      </c>
      <c r="N3810">
        <v>0</v>
      </c>
      <c r="O3810" t="s">
        <v>21</v>
      </c>
      <c r="P3810" t="str">
        <f>TEXT(Table1[[#This Row],[order_date]],"yyyy-mm")</f>
        <v>2025-10</v>
      </c>
      <c r="Q3810">
        <f>WEEKNUM(Table1[[#This Row],[order_date]])</f>
        <v>41</v>
      </c>
      <c r="R3810">
        <f>IF(Table1[[#This Row],[order_status]]="completed",1,0)</f>
        <v>1</v>
      </c>
    </row>
    <row r="3811" spans="1:18" x14ac:dyDescent="0.35">
      <c r="A3811">
        <v>3810</v>
      </c>
      <c r="B3811" s="1">
        <v>45898</v>
      </c>
      <c r="C3811">
        <v>1730</v>
      </c>
      <c r="D3811" t="s">
        <v>41</v>
      </c>
      <c r="E3811" t="s">
        <v>33</v>
      </c>
      <c r="F3811" t="s">
        <v>34</v>
      </c>
      <c r="G3811">
        <v>1</v>
      </c>
      <c r="H3811">
        <v>0</v>
      </c>
      <c r="I3811" t="s">
        <v>18</v>
      </c>
      <c r="J3811" t="s">
        <v>37</v>
      </c>
      <c r="K3811" t="s">
        <v>26</v>
      </c>
      <c r="L3811">
        <v>2</v>
      </c>
      <c r="M3811">
        <v>1</v>
      </c>
      <c r="N3811">
        <v>1</v>
      </c>
      <c r="O3811" t="s">
        <v>21</v>
      </c>
      <c r="P3811" t="str">
        <f>TEXT(Table1[[#This Row],[order_date]],"yyyy-mm")</f>
        <v>2025-08</v>
      </c>
      <c r="Q3811">
        <f>WEEKNUM(Table1[[#This Row],[order_date]])</f>
        <v>35</v>
      </c>
      <c r="R3811">
        <f>IF(Table1[[#This Row],[order_status]]="completed",1,0)</f>
        <v>0</v>
      </c>
    </row>
    <row r="3812" spans="1:18" x14ac:dyDescent="0.35">
      <c r="A3812">
        <v>3811</v>
      </c>
      <c r="B3812" s="1">
        <v>45874</v>
      </c>
      <c r="C3812">
        <v>1172</v>
      </c>
      <c r="D3812" t="s">
        <v>32</v>
      </c>
      <c r="E3812" t="s">
        <v>23</v>
      </c>
      <c r="F3812" t="s">
        <v>24</v>
      </c>
      <c r="G3812">
        <v>4</v>
      </c>
      <c r="H3812">
        <v>0</v>
      </c>
      <c r="I3812" t="s">
        <v>18</v>
      </c>
      <c r="J3812" t="s">
        <v>37</v>
      </c>
      <c r="K3812" t="s">
        <v>26</v>
      </c>
      <c r="L3812">
        <v>2</v>
      </c>
      <c r="M3812">
        <v>1</v>
      </c>
      <c r="N3812">
        <v>0</v>
      </c>
      <c r="O3812" t="s">
        <v>21</v>
      </c>
      <c r="P3812" t="str">
        <f>TEXT(Table1[[#This Row],[order_date]],"yyyy-mm")</f>
        <v>2025-08</v>
      </c>
      <c r="Q3812">
        <f>WEEKNUM(Table1[[#This Row],[order_date]])</f>
        <v>32</v>
      </c>
      <c r="R3812">
        <f>IF(Table1[[#This Row],[order_status]]="completed",1,0)</f>
        <v>0</v>
      </c>
    </row>
    <row r="3813" spans="1:18" x14ac:dyDescent="0.35">
      <c r="A3813">
        <v>3812</v>
      </c>
      <c r="B3813" s="1">
        <v>45911</v>
      </c>
      <c r="C3813">
        <v>1141</v>
      </c>
      <c r="D3813" t="s">
        <v>22</v>
      </c>
      <c r="E3813" t="s">
        <v>23</v>
      </c>
      <c r="F3813" t="s">
        <v>17</v>
      </c>
      <c r="G3813">
        <v>5</v>
      </c>
      <c r="H3813">
        <v>0</v>
      </c>
      <c r="I3813" t="s">
        <v>35</v>
      </c>
      <c r="J3813" t="s">
        <v>37</v>
      </c>
      <c r="K3813" t="s">
        <v>38</v>
      </c>
      <c r="L3813">
        <v>5</v>
      </c>
      <c r="M3813">
        <v>0</v>
      </c>
      <c r="N3813">
        <v>0</v>
      </c>
      <c r="O3813" t="s">
        <v>21</v>
      </c>
      <c r="P3813" t="str">
        <f>TEXT(Table1[[#This Row],[order_date]],"yyyy-mm")</f>
        <v>2025-09</v>
      </c>
      <c r="Q3813">
        <f>WEEKNUM(Table1[[#This Row],[order_date]])</f>
        <v>37</v>
      </c>
      <c r="R3813">
        <f>IF(Table1[[#This Row],[order_status]]="completed",1,0)</f>
        <v>0</v>
      </c>
    </row>
    <row r="3814" spans="1:18" x14ac:dyDescent="0.35">
      <c r="A3814">
        <v>3813</v>
      </c>
      <c r="B3814" s="1">
        <v>45853</v>
      </c>
      <c r="C3814">
        <v>1801</v>
      </c>
      <c r="D3814" t="s">
        <v>41</v>
      </c>
      <c r="E3814" t="s">
        <v>33</v>
      </c>
      <c r="F3814" t="s">
        <v>34</v>
      </c>
      <c r="G3814">
        <v>1</v>
      </c>
      <c r="H3814">
        <v>0</v>
      </c>
      <c r="I3814" t="s">
        <v>39</v>
      </c>
      <c r="J3814" t="s">
        <v>37</v>
      </c>
      <c r="K3814" t="s">
        <v>26</v>
      </c>
      <c r="L3814">
        <v>7</v>
      </c>
      <c r="M3814">
        <v>1</v>
      </c>
      <c r="N3814">
        <v>0</v>
      </c>
      <c r="O3814" t="s">
        <v>21</v>
      </c>
      <c r="P3814" t="str">
        <f>TEXT(Table1[[#This Row],[order_date]],"yyyy-mm")</f>
        <v>2025-07</v>
      </c>
      <c r="Q3814">
        <f>WEEKNUM(Table1[[#This Row],[order_date]])</f>
        <v>29</v>
      </c>
      <c r="R3814">
        <f>IF(Table1[[#This Row],[order_status]]="completed",1,0)</f>
        <v>0</v>
      </c>
    </row>
    <row r="3815" spans="1:18" x14ac:dyDescent="0.35">
      <c r="A3815">
        <v>3814</v>
      </c>
      <c r="B3815" s="1">
        <v>45971</v>
      </c>
      <c r="C3815">
        <v>1778</v>
      </c>
      <c r="D3815" t="s">
        <v>32</v>
      </c>
      <c r="E3815" t="s">
        <v>23</v>
      </c>
      <c r="F3815" t="s">
        <v>30</v>
      </c>
      <c r="G3815">
        <v>4</v>
      </c>
      <c r="H3815">
        <v>0</v>
      </c>
      <c r="I3815" t="s">
        <v>35</v>
      </c>
      <c r="J3815" t="s">
        <v>31</v>
      </c>
      <c r="K3815" t="s">
        <v>38</v>
      </c>
      <c r="L3815">
        <v>6</v>
      </c>
      <c r="M3815">
        <v>1</v>
      </c>
      <c r="N3815">
        <v>0</v>
      </c>
      <c r="O3815" t="s">
        <v>21</v>
      </c>
      <c r="P3815" t="str">
        <f>TEXT(Table1[[#This Row],[order_date]],"yyyy-mm")</f>
        <v>2025-11</v>
      </c>
      <c r="Q3815">
        <f>WEEKNUM(Table1[[#This Row],[order_date]])</f>
        <v>46</v>
      </c>
      <c r="R3815">
        <f>IF(Table1[[#This Row],[order_status]]="completed",1,0)</f>
        <v>0</v>
      </c>
    </row>
    <row r="3816" spans="1:18" x14ac:dyDescent="0.35">
      <c r="A3816">
        <v>3815</v>
      </c>
      <c r="B3816" s="1">
        <v>45910</v>
      </c>
      <c r="C3816">
        <v>1462</v>
      </c>
      <c r="D3816" t="s">
        <v>15</v>
      </c>
      <c r="E3816" t="s">
        <v>36</v>
      </c>
      <c r="F3816" t="s">
        <v>34</v>
      </c>
      <c r="G3816">
        <v>4</v>
      </c>
      <c r="H3816">
        <v>2924</v>
      </c>
      <c r="I3816" t="s">
        <v>35</v>
      </c>
      <c r="J3816" t="s">
        <v>19</v>
      </c>
      <c r="K3816" t="s">
        <v>38</v>
      </c>
      <c r="L3816">
        <v>1</v>
      </c>
      <c r="M3816">
        <v>0</v>
      </c>
      <c r="N3816">
        <v>1</v>
      </c>
      <c r="O3816" t="s">
        <v>27</v>
      </c>
      <c r="P3816" t="str">
        <f>TEXT(Table1[[#This Row],[order_date]],"yyyy-mm")</f>
        <v>2025-09</v>
      </c>
      <c r="Q3816">
        <f>WEEKNUM(Table1[[#This Row],[order_date]])</f>
        <v>37</v>
      </c>
      <c r="R3816">
        <f>IF(Table1[[#This Row],[order_status]]="completed",1,0)</f>
        <v>1</v>
      </c>
    </row>
    <row r="3817" spans="1:18" x14ac:dyDescent="0.35">
      <c r="A3817">
        <v>3816</v>
      </c>
      <c r="B3817" s="1">
        <v>45987</v>
      </c>
      <c r="C3817">
        <v>1242</v>
      </c>
      <c r="D3817" t="s">
        <v>32</v>
      </c>
      <c r="E3817" t="s">
        <v>16</v>
      </c>
      <c r="F3817" t="s">
        <v>24</v>
      </c>
      <c r="G3817">
        <v>5</v>
      </c>
      <c r="H3817">
        <v>0</v>
      </c>
      <c r="I3817" t="s">
        <v>35</v>
      </c>
      <c r="J3817" t="s">
        <v>37</v>
      </c>
      <c r="K3817" t="s">
        <v>40</v>
      </c>
      <c r="L3817">
        <v>7</v>
      </c>
      <c r="M3817">
        <v>0</v>
      </c>
      <c r="N3817">
        <v>1</v>
      </c>
      <c r="O3817" t="s">
        <v>27</v>
      </c>
      <c r="P3817" t="str">
        <f>TEXT(Table1[[#This Row],[order_date]],"yyyy-mm")</f>
        <v>2025-11</v>
      </c>
      <c r="Q3817">
        <f>WEEKNUM(Table1[[#This Row],[order_date]])</f>
        <v>48</v>
      </c>
      <c r="R3817">
        <f>IF(Table1[[#This Row],[order_status]]="completed",1,0)</f>
        <v>0</v>
      </c>
    </row>
    <row r="3818" spans="1:18" x14ac:dyDescent="0.35">
      <c r="A3818">
        <v>3817</v>
      </c>
      <c r="B3818" s="1">
        <v>45952</v>
      </c>
      <c r="C3818">
        <v>1197</v>
      </c>
      <c r="D3818" t="s">
        <v>22</v>
      </c>
      <c r="E3818" t="s">
        <v>36</v>
      </c>
      <c r="F3818" t="s">
        <v>17</v>
      </c>
      <c r="G3818">
        <v>3</v>
      </c>
      <c r="H3818">
        <v>0</v>
      </c>
      <c r="I3818" t="s">
        <v>35</v>
      </c>
      <c r="J3818" t="s">
        <v>37</v>
      </c>
      <c r="K3818" t="s">
        <v>40</v>
      </c>
      <c r="L3818">
        <v>4</v>
      </c>
      <c r="M3818">
        <v>1</v>
      </c>
      <c r="N3818">
        <v>0</v>
      </c>
      <c r="O3818" t="s">
        <v>27</v>
      </c>
      <c r="P3818" t="str">
        <f>TEXT(Table1[[#This Row],[order_date]],"yyyy-mm")</f>
        <v>2025-10</v>
      </c>
      <c r="Q3818">
        <f>WEEKNUM(Table1[[#This Row],[order_date]])</f>
        <v>43</v>
      </c>
      <c r="R3818">
        <f>IF(Table1[[#This Row],[order_status]]="completed",1,0)</f>
        <v>0</v>
      </c>
    </row>
    <row r="3819" spans="1:18" x14ac:dyDescent="0.35">
      <c r="A3819">
        <v>3818</v>
      </c>
      <c r="B3819" s="1">
        <v>46010</v>
      </c>
      <c r="C3819">
        <v>1681</v>
      </c>
      <c r="D3819" t="s">
        <v>41</v>
      </c>
      <c r="E3819" t="s">
        <v>16</v>
      </c>
      <c r="F3819" t="s">
        <v>24</v>
      </c>
      <c r="G3819">
        <v>2</v>
      </c>
      <c r="H3819">
        <v>0</v>
      </c>
      <c r="I3819" t="s">
        <v>35</v>
      </c>
      <c r="J3819" t="s">
        <v>31</v>
      </c>
      <c r="K3819" t="s">
        <v>26</v>
      </c>
      <c r="L3819">
        <v>10</v>
      </c>
      <c r="M3819">
        <v>1</v>
      </c>
      <c r="N3819">
        <v>0</v>
      </c>
      <c r="O3819" t="s">
        <v>21</v>
      </c>
      <c r="P3819" t="str">
        <f>TEXT(Table1[[#This Row],[order_date]],"yyyy-mm")</f>
        <v>2025-12</v>
      </c>
      <c r="Q3819">
        <f>WEEKNUM(Table1[[#This Row],[order_date]])</f>
        <v>51</v>
      </c>
      <c r="R3819">
        <f>IF(Table1[[#This Row],[order_status]]="completed",1,0)</f>
        <v>0</v>
      </c>
    </row>
    <row r="3820" spans="1:18" x14ac:dyDescent="0.35">
      <c r="A3820">
        <v>3819</v>
      </c>
      <c r="B3820" s="1">
        <v>45994</v>
      </c>
      <c r="C3820">
        <v>1117</v>
      </c>
      <c r="D3820" t="s">
        <v>28</v>
      </c>
      <c r="E3820" t="s">
        <v>23</v>
      </c>
      <c r="F3820" t="s">
        <v>24</v>
      </c>
      <c r="G3820">
        <v>1</v>
      </c>
      <c r="H3820">
        <v>758</v>
      </c>
      <c r="I3820" t="s">
        <v>35</v>
      </c>
      <c r="J3820" t="s">
        <v>19</v>
      </c>
      <c r="K3820" t="s">
        <v>26</v>
      </c>
      <c r="L3820">
        <v>2</v>
      </c>
      <c r="M3820">
        <v>1</v>
      </c>
      <c r="N3820">
        <v>1</v>
      </c>
      <c r="O3820" t="s">
        <v>21</v>
      </c>
      <c r="P3820" t="str">
        <f>TEXT(Table1[[#This Row],[order_date]],"yyyy-mm")</f>
        <v>2025-12</v>
      </c>
      <c r="Q3820">
        <f>WEEKNUM(Table1[[#This Row],[order_date]])</f>
        <v>49</v>
      </c>
      <c r="R3820">
        <f>IF(Table1[[#This Row],[order_status]]="completed",1,0)</f>
        <v>1</v>
      </c>
    </row>
    <row r="3821" spans="1:18" x14ac:dyDescent="0.35">
      <c r="A3821">
        <v>3820</v>
      </c>
      <c r="B3821" s="1">
        <v>45968</v>
      </c>
      <c r="C3821">
        <v>1381</v>
      </c>
      <c r="D3821" t="s">
        <v>22</v>
      </c>
      <c r="E3821" t="s">
        <v>29</v>
      </c>
      <c r="F3821" t="s">
        <v>34</v>
      </c>
      <c r="G3821">
        <v>5</v>
      </c>
      <c r="H3821">
        <v>0</v>
      </c>
      <c r="I3821" t="s">
        <v>18</v>
      </c>
      <c r="J3821" t="s">
        <v>37</v>
      </c>
      <c r="K3821" t="s">
        <v>20</v>
      </c>
      <c r="L3821">
        <v>1</v>
      </c>
      <c r="M3821">
        <v>1</v>
      </c>
      <c r="N3821">
        <v>1</v>
      </c>
      <c r="O3821" t="s">
        <v>21</v>
      </c>
      <c r="P3821" t="str">
        <f>TEXT(Table1[[#This Row],[order_date]],"yyyy-mm")</f>
        <v>2025-11</v>
      </c>
      <c r="Q3821">
        <f>WEEKNUM(Table1[[#This Row],[order_date]])</f>
        <v>45</v>
      </c>
      <c r="R3821">
        <f>IF(Table1[[#This Row],[order_status]]="completed",1,0)</f>
        <v>0</v>
      </c>
    </row>
    <row r="3822" spans="1:18" x14ac:dyDescent="0.35">
      <c r="A3822">
        <v>3821</v>
      </c>
      <c r="B3822" s="1">
        <v>45927</v>
      </c>
      <c r="C3822">
        <v>1311</v>
      </c>
      <c r="D3822" t="s">
        <v>28</v>
      </c>
      <c r="E3822" t="s">
        <v>29</v>
      </c>
      <c r="F3822" t="s">
        <v>17</v>
      </c>
      <c r="G3822">
        <v>3</v>
      </c>
      <c r="H3822">
        <v>0</v>
      </c>
      <c r="I3822" t="s">
        <v>39</v>
      </c>
      <c r="J3822" t="s">
        <v>37</v>
      </c>
      <c r="K3822" t="s">
        <v>26</v>
      </c>
      <c r="L3822">
        <v>1</v>
      </c>
      <c r="M3822">
        <v>0</v>
      </c>
      <c r="N3822">
        <v>1</v>
      </c>
      <c r="O3822" t="s">
        <v>21</v>
      </c>
      <c r="P3822" t="str">
        <f>TEXT(Table1[[#This Row],[order_date]],"yyyy-mm")</f>
        <v>2025-09</v>
      </c>
      <c r="Q3822">
        <f>WEEKNUM(Table1[[#This Row],[order_date]])</f>
        <v>39</v>
      </c>
      <c r="R3822">
        <f>IF(Table1[[#This Row],[order_status]]="completed",1,0)</f>
        <v>0</v>
      </c>
    </row>
    <row r="3823" spans="1:18" x14ac:dyDescent="0.35">
      <c r="A3823">
        <v>3822</v>
      </c>
      <c r="B3823" s="1">
        <v>45974</v>
      </c>
      <c r="C3823">
        <v>1275</v>
      </c>
      <c r="D3823" t="s">
        <v>15</v>
      </c>
      <c r="E3823" t="s">
        <v>16</v>
      </c>
      <c r="F3823" t="s">
        <v>30</v>
      </c>
      <c r="G3823">
        <v>2</v>
      </c>
      <c r="H3823">
        <v>0</v>
      </c>
      <c r="I3823" t="s">
        <v>25</v>
      </c>
      <c r="J3823" t="s">
        <v>31</v>
      </c>
      <c r="K3823" t="s">
        <v>20</v>
      </c>
      <c r="L3823">
        <v>1</v>
      </c>
      <c r="M3823">
        <v>0</v>
      </c>
      <c r="N3823">
        <v>0</v>
      </c>
      <c r="O3823" t="s">
        <v>27</v>
      </c>
      <c r="P3823" t="str">
        <f>TEXT(Table1[[#This Row],[order_date]],"yyyy-mm")</f>
        <v>2025-11</v>
      </c>
      <c r="Q3823">
        <f>WEEKNUM(Table1[[#This Row],[order_date]])</f>
        <v>46</v>
      </c>
      <c r="R3823">
        <f>IF(Table1[[#This Row],[order_status]]="completed",1,0)</f>
        <v>0</v>
      </c>
    </row>
    <row r="3824" spans="1:18" x14ac:dyDescent="0.35">
      <c r="A3824">
        <v>3823</v>
      </c>
      <c r="B3824" s="1">
        <v>45970</v>
      </c>
      <c r="C3824">
        <v>1113</v>
      </c>
      <c r="D3824" t="s">
        <v>32</v>
      </c>
      <c r="E3824" t="s">
        <v>23</v>
      </c>
      <c r="F3824" t="s">
        <v>30</v>
      </c>
      <c r="G3824">
        <v>3</v>
      </c>
      <c r="H3824">
        <v>13617</v>
      </c>
      <c r="I3824" t="s">
        <v>18</v>
      </c>
      <c r="J3824" t="s">
        <v>19</v>
      </c>
      <c r="K3824" t="s">
        <v>26</v>
      </c>
      <c r="L3824">
        <v>3</v>
      </c>
      <c r="M3824">
        <v>1</v>
      </c>
      <c r="N3824">
        <v>0</v>
      </c>
      <c r="O3824" t="s">
        <v>21</v>
      </c>
      <c r="P3824" t="str">
        <f>TEXT(Table1[[#This Row],[order_date]],"yyyy-mm")</f>
        <v>2025-11</v>
      </c>
      <c r="Q3824">
        <f>WEEKNUM(Table1[[#This Row],[order_date]])</f>
        <v>46</v>
      </c>
      <c r="R3824">
        <f>IF(Table1[[#This Row],[order_status]]="completed",1,0)</f>
        <v>1</v>
      </c>
    </row>
    <row r="3825" spans="1:18" x14ac:dyDescent="0.35">
      <c r="A3825">
        <v>3824</v>
      </c>
      <c r="B3825" s="1">
        <v>45978</v>
      </c>
      <c r="C3825">
        <v>1782</v>
      </c>
      <c r="D3825" t="s">
        <v>22</v>
      </c>
      <c r="E3825" t="s">
        <v>29</v>
      </c>
      <c r="F3825" t="s">
        <v>34</v>
      </c>
      <c r="G3825">
        <v>1</v>
      </c>
      <c r="H3825">
        <v>0</v>
      </c>
      <c r="I3825" t="s">
        <v>35</v>
      </c>
      <c r="J3825" t="s">
        <v>37</v>
      </c>
      <c r="K3825" t="s">
        <v>40</v>
      </c>
      <c r="L3825">
        <v>7</v>
      </c>
      <c r="M3825">
        <v>0</v>
      </c>
      <c r="N3825">
        <v>0</v>
      </c>
      <c r="O3825" t="s">
        <v>27</v>
      </c>
      <c r="P3825" t="str">
        <f>TEXT(Table1[[#This Row],[order_date]],"yyyy-mm")</f>
        <v>2025-11</v>
      </c>
      <c r="Q3825">
        <f>WEEKNUM(Table1[[#This Row],[order_date]])</f>
        <v>47</v>
      </c>
      <c r="R3825">
        <f>IF(Table1[[#This Row],[order_status]]="completed",1,0)</f>
        <v>0</v>
      </c>
    </row>
    <row r="3826" spans="1:18" x14ac:dyDescent="0.35">
      <c r="A3826">
        <v>3825</v>
      </c>
      <c r="B3826" s="1">
        <v>45930</v>
      </c>
      <c r="C3826">
        <v>1886</v>
      </c>
      <c r="D3826" t="s">
        <v>32</v>
      </c>
      <c r="E3826" t="s">
        <v>36</v>
      </c>
      <c r="F3826" t="s">
        <v>24</v>
      </c>
      <c r="G3826">
        <v>5</v>
      </c>
      <c r="H3826">
        <v>1725</v>
      </c>
      <c r="I3826" t="s">
        <v>18</v>
      </c>
      <c r="J3826" t="s">
        <v>19</v>
      </c>
      <c r="K3826" t="s">
        <v>40</v>
      </c>
      <c r="L3826">
        <v>5</v>
      </c>
      <c r="M3826">
        <v>0</v>
      </c>
      <c r="N3826">
        <v>0</v>
      </c>
      <c r="O3826" t="s">
        <v>21</v>
      </c>
      <c r="P3826" t="str">
        <f>TEXT(Table1[[#This Row],[order_date]],"yyyy-mm")</f>
        <v>2025-09</v>
      </c>
      <c r="Q3826">
        <f>WEEKNUM(Table1[[#This Row],[order_date]])</f>
        <v>40</v>
      </c>
      <c r="R3826">
        <f>IF(Table1[[#This Row],[order_status]]="completed",1,0)</f>
        <v>1</v>
      </c>
    </row>
    <row r="3827" spans="1:18" x14ac:dyDescent="0.35">
      <c r="A3827">
        <v>3826</v>
      </c>
      <c r="B3827" s="1">
        <v>45920</v>
      </c>
      <c r="C3827">
        <v>1892</v>
      </c>
      <c r="D3827" t="s">
        <v>28</v>
      </c>
      <c r="E3827" t="s">
        <v>23</v>
      </c>
      <c r="F3827" t="s">
        <v>24</v>
      </c>
      <c r="G3827">
        <v>2</v>
      </c>
      <c r="H3827">
        <v>3978</v>
      </c>
      <c r="I3827" t="s">
        <v>39</v>
      </c>
      <c r="J3827" t="s">
        <v>19</v>
      </c>
      <c r="K3827" t="s">
        <v>20</v>
      </c>
      <c r="L3827">
        <v>3</v>
      </c>
      <c r="M3827">
        <v>1</v>
      </c>
      <c r="N3827">
        <v>0</v>
      </c>
      <c r="O3827" t="s">
        <v>21</v>
      </c>
      <c r="P3827" t="str">
        <f>TEXT(Table1[[#This Row],[order_date]],"yyyy-mm")</f>
        <v>2025-09</v>
      </c>
      <c r="Q3827">
        <f>WEEKNUM(Table1[[#This Row],[order_date]])</f>
        <v>38</v>
      </c>
      <c r="R3827">
        <f>IF(Table1[[#This Row],[order_status]]="completed",1,0)</f>
        <v>1</v>
      </c>
    </row>
    <row r="3828" spans="1:18" x14ac:dyDescent="0.35">
      <c r="A3828">
        <v>3827</v>
      </c>
      <c r="B3828" s="1">
        <v>45902</v>
      </c>
      <c r="C3828">
        <v>1884</v>
      </c>
      <c r="D3828" t="s">
        <v>22</v>
      </c>
      <c r="E3828" t="s">
        <v>29</v>
      </c>
      <c r="F3828" t="s">
        <v>24</v>
      </c>
      <c r="G3828">
        <v>4</v>
      </c>
      <c r="H3828">
        <v>0</v>
      </c>
      <c r="I3828" t="s">
        <v>18</v>
      </c>
      <c r="J3828" t="s">
        <v>31</v>
      </c>
      <c r="K3828" t="s">
        <v>38</v>
      </c>
      <c r="L3828">
        <v>3</v>
      </c>
      <c r="M3828">
        <v>1</v>
      </c>
      <c r="N3828">
        <v>1</v>
      </c>
      <c r="O3828" t="s">
        <v>21</v>
      </c>
      <c r="P3828" t="str">
        <f>TEXT(Table1[[#This Row],[order_date]],"yyyy-mm")</f>
        <v>2025-09</v>
      </c>
      <c r="Q3828">
        <f>WEEKNUM(Table1[[#This Row],[order_date]])</f>
        <v>36</v>
      </c>
      <c r="R3828">
        <f>IF(Table1[[#This Row],[order_status]]="completed",1,0)</f>
        <v>0</v>
      </c>
    </row>
    <row r="3829" spans="1:18" x14ac:dyDescent="0.35">
      <c r="A3829">
        <v>3828</v>
      </c>
      <c r="B3829" s="1">
        <v>46020</v>
      </c>
      <c r="C3829">
        <v>1910</v>
      </c>
      <c r="D3829" t="s">
        <v>22</v>
      </c>
      <c r="E3829" t="s">
        <v>33</v>
      </c>
      <c r="F3829" t="s">
        <v>24</v>
      </c>
      <c r="G3829">
        <v>4</v>
      </c>
      <c r="H3829">
        <v>0</v>
      </c>
      <c r="I3829" t="s">
        <v>25</v>
      </c>
      <c r="J3829" t="s">
        <v>31</v>
      </c>
      <c r="K3829" t="s">
        <v>40</v>
      </c>
      <c r="L3829">
        <v>4</v>
      </c>
      <c r="M3829">
        <v>0</v>
      </c>
      <c r="N3829">
        <v>0</v>
      </c>
      <c r="O3829" t="s">
        <v>27</v>
      </c>
      <c r="P3829" t="str">
        <f>TEXT(Table1[[#This Row],[order_date]],"yyyy-mm")</f>
        <v>2025-12</v>
      </c>
      <c r="Q3829">
        <f>WEEKNUM(Table1[[#This Row],[order_date]])</f>
        <v>53</v>
      </c>
      <c r="R3829">
        <f>IF(Table1[[#This Row],[order_status]]="completed",1,0)</f>
        <v>0</v>
      </c>
    </row>
    <row r="3830" spans="1:18" x14ac:dyDescent="0.35">
      <c r="A3830">
        <v>3829</v>
      </c>
      <c r="B3830" s="1">
        <v>45851</v>
      </c>
      <c r="C3830">
        <v>1812</v>
      </c>
      <c r="D3830" t="s">
        <v>15</v>
      </c>
      <c r="E3830" t="s">
        <v>29</v>
      </c>
      <c r="F3830" t="s">
        <v>17</v>
      </c>
      <c r="G3830">
        <v>5</v>
      </c>
      <c r="H3830">
        <v>0</v>
      </c>
      <c r="I3830" t="s">
        <v>35</v>
      </c>
      <c r="J3830" t="s">
        <v>31</v>
      </c>
      <c r="K3830" t="s">
        <v>38</v>
      </c>
      <c r="L3830">
        <v>6</v>
      </c>
      <c r="M3830">
        <v>0</v>
      </c>
      <c r="N3830">
        <v>0</v>
      </c>
      <c r="O3830" t="s">
        <v>21</v>
      </c>
      <c r="P3830" t="str">
        <f>TEXT(Table1[[#This Row],[order_date]],"yyyy-mm")</f>
        <v>2025-07</v>
      </c>
      <c r="Q3830">
        <f>WEEKNUM(Table1[[#This Row],[order_date]])</f>
        <v>29</v>
      </c>
      <c r="R3830">
        <f>IF(Table1[[#This Row],[order_status]]="completed",1,0)</f>
        <v>0</v>
      </c>
    </row>
    <row r="3831" spans="1:18" x14ac:dyDescent="0.35">
      <c r="A3831">
        <v>3830</v>
      </c>
      <c r="B3831" s="1">
        <v>45970</v>
      </c>
      <c r="C3831">
        <v>1386</v>
      </c>
      <c r="D3831" t="s">
        <v>22</v>
      </c>
      <c r="E3831" t="s">
        <v>33</v>
      </c>
      <c r="F3831" t="s">
        <v>30</v>
      </c>
      <c r="G3831">
        <v>3</v>
      </c>
      <c r="H3831">
        <v>0</v>
      </c>
      <c r="I3831" t="s">
        <v>39</v>
      </c>
      <c r="J3831" t="s">
        <v>31</v>
      </c>
      <c r="K3831" t="s">
        <v>20</v>
      </c>
      <c r="L3831">
        <v>7</v>
      </c>
      <c r="M3831">
        <v>1</v>
      </c>
      <c r="N3831">
        <v>1</v>
      </c>
      <c r="O3831" t="s">
        <v>27</v>
      </c>
      <c r="P3831" t="str">
        <f>TEXT(Table1[[#This Row],[order_date]],"yyyy-mm")</f>
        <v>2025-11</v>
      </c>
      <c r="Q3831">
        <f>WEEKNUM(Table1[[#This Row],[order_date]])</f>
        <v>46</v>
      </c>
      <c r="R3831">
        <f>IF(Table1[[#This Row],[order_status]]="completed",1,0)</f>
        <v>0</v>
      </c>
    </row>
    <row r="3832" spans="1:18" x14ac:dyDescent="0.35">
      <c r="A3832">
        <v>3831</v>
      </c>
      <c r="B3832" s="1">
        <v>45909</v>
      </c>
      <c r="C3832">
        <v>1133</v>
      </c>
      <c r="D3832" t="s">
        <v>28</v>
      </c>
      <c r="E3832" t="s">
        <v>23</v>
      </c>
      <c r="F3832" t="s">
        <v>34</v>
      </c>
      <c r="G3832">
        <v>3</v>
      </c>
      <c r="H3832">
        <v>0</v>
      </c>
      <c r="I3832" t="s">
        <v>39</v>
      </c>
      <c r="J3832" t="s">
        <v>31</v>
      </c>
      <c r="K3832" t="s">
        <v>40</v>
      </c>
      <c r="L3832">
        <v>2</v>
      </c>
      <c r="M3832">
        <v>1</v>
      </c>
      <c r="N3832">
        <v>0</v>
      </c>
      <c r="O3832" t="s">
        <v>27</v>
      </c>
      <c r="P3832" t="str">
        <f>TEXT(Table1[[#This Row],[order_date]],"yyyy-mm")</f>
        <v>2025-09</v>
      </c>
      <c r="Q3832">
        <f>WEEKNUM(Table1[[#This Row],[order_date]])</f>
        <v>37</v>
      </c>
      <c r="R3832">
        <f>IF(Table1[[#This Row],[order_status]]="completed",1,0)</f>
        <v>0</v>
      </c>
    </row>
    <row r="3833" spans="1:18" x14ac:dyDescent="0.35">
      <c r="A3833">
        <v>3832</v>
      </c>
      <c r="B3833" s="1">
        <v>45853</v>
      </c>
      <c r="C3833">
        <v>1076</v>
      </c>
      <c r="D3833" t="s">
        <v>32</v>
      </c>
      <c r="E3833" t="s">
        <v>36</v>
      </c>
      <c r="F3833" t="s">
        <v>17</v>
      </c>
      <c r="G3833">
        <v>5</v>
      </c>
      <c r="H3833">
        <v>17555</v>
      </c>
      <c r="I3833" t="s">
        <v>25</v>
      </c>
      <c r="J3833" t="s">
        <v>19</v>
      </c>
      <c r="K3833" t="s">
        <v>26</v>
      </c>
      <c r="L3833">
        <v>10</v>
      </c>
      <c r="M3833">
        <v>1</v>
      </c>
      <c r="N3833">
        <v>1</v>
      </c>
      <c r="O3833" t="s">
        <v>27</v>
      </c>
      <c r="P3833" t="str">
        <f>TEXT(Table1[[#This Row],[order_date]],"yyyy-mm")</f>
        <v>2025-07</v>
      </c>
      <c r="Q3833">
        <f>WEEKNUM(Table1[[#This Row],[order_date]])</f>
        <v>29</v>
      </c>
      <c r="R3833">
        <f>IF(Table1[[#This Row],[order_status]]="completed",1,0)</f>
        <v>1</v>
      </c>
    </row>
    <row r="3834" spans="1:18" x14ac:dyDescent="0.35">
      <c r="A3834">
        <v>3833</v>
      </c>
      <c r="B3834" s="1">
        <v>45952</v>
      </c>
      <c r="C3834">
        <v>1145</v>
      </c>
      <c r="D3834" t="s">
        <v>32</v>
      </c>
      <c r="E3834" t="s">
        <v>16</v>
      </c>
      <c r="F3834" t="s">
        <v>34</v>
      </c>
      <c r="G3834">
        <v>5</v>
      </c>
      <c r="H3834">
        <v>0</v>
      </c>
      <c r="I3834" t="s">
        <v>35</v>
      </c>
      <c r="J3834" t="s">
        <v>37</v>
      </c>
      <c r="K3834" t="s">
        <v>40</v>
      </c>
      <c r="L3834">
        <v>6</v>
      </c>
      <c r="M3834">
        <v>1</v>
      </c>
      <c r="N3834">
        <v>0</v>
      </c>
      <c r="O3834" t="s">
        <v>27</v>
      </c>
      <c r="P3834" t="str">
        <f>TEXT(Table1[[#This Row],[order_date]],"yyyy-mm")</f>
        <v>2025-10</v>
      </c>
      <c r="Q3834">
        <f>WEEKNUM(Table1[[#This Row],[order_date]])</f>
        <v>43</v>
      </c>
      <c r="R3834">
        <f>IF(Table1[[#This Row],[order_status]]="completed",1,0)</f>
        <v>0</v>
      </c>
    </row>
    <row r="3835" spans="1:18" x14ac:dyDescent="0.35">
      <c r="A3835">
        <v>3834</v>
      </c>
      <c r="B3835" s="1">
        <v>45871</v>
      </c>
      <c r="C3835">
        <v>1298</v>
      </c>
      <c r="D3835" t="s">
        <v>28</v>
      </c>
      <c r="E3835" t="s">
        <v>23</v>
      </c>
      <c r="F3835" t="s">
        <v>17</v>
      </c>
      <c r="G3835">
        <v>3</v>
      </c>
      <c r="H3835">
        <v>0</v>
      </c>
      <c r="I3835" t="s">
        <v>25</v>
      </c>
      <c r="J3835" t="s">
        <v>37</v>
      </c>
      <c r="K3835" t="s">
        <v>20</v>
      </c>
      <c r="L3835">
        <v>3</v>
      </c>
      <c r="M3835">
        <v>0</v>
      </c>
      <c r="N3835">
        <v>1</v>
      </c>
      <c r="O3835" t="s">
        <v>21</v>
      </c>
      <c r="P3835" t="str">
        <f>TEXT(Table1[[#This Row],[order_date]],"yyyy-mm")</f>
        <v>2025-08</v>
      </c>
      <c r="Q3835">
        <f>WEEKNUM(Table1[[#This Row],[order_date]])</f>
        <v>31</v>
      </c>
      <c r="R3835">
        <f>IF(Table1[[#This Row],[order_status]]="completed",1,0)</f>
        <v>0</v>
      </c>
    </row>
    <row r="3836" spans="1:18" x14ac:dyDescent="0.35">
      <c r="A3836">
        <v>3835</v>
      </c>
      <c r="B3836" s="1">
        <v>45900</v>
      </c>
      <c r="C3836">
        <v>1278</v>
      </c>
      <c r="D3836" t="s">
        <v>41</v>
      </c>
      <c r="E3836" t="s">
        <v>29</v>
      </c>
      <c r="F3836" t="s">
        <v>24</v>
      </c>
      <c r="G3836">
        <v>4</v>
      </c>
      <c r="H3836">
        <v>0</v>
      </c>
      <c r="I3836" t="s">
        <v>39</v>
      </c>
      <c r="J3836" t="s">
        <v>31</v>
      </c>
      <c r="K3836" t="s">
        <v>26</v>
      </c>
      <c r="L3836">
        <v>3</v>
      </c>
      <c r="M3836">
        <v>1</v>
      </c>
      <c r="N3836">
        <v>1</v>
      </c>
      <c r="O3836" t="s">
        <v>27</v>
      </c>
      <c r="P3836" t="str">
        <f>TEXT(Table1[[#This Row],[order_date]],"yyyy-mm")</f>
        <v>2025-08</v>
      </c>
      <c r="Q3836">
        <f>WEEKNUM(Table1[[#This Row],[order_date]])</f>
        <v>36</v>
      </c>
      <c r="R3836">
        <f>IF(Table1[[#This Row],[order_status]]="completed",1,0)</f>
        <v>0</v>
      </c>
    </row>
    <row r="3837" spans="1:18" x14ac:dyDescent="0.35">
      <c r="A3837">
        <v>3836</v>
      </c>
      <c r="B3837" s="1">
        <v>45948</v>
      </c>
      <c r="C3837">
        <v>1906</v>
      </c>
      <c r="D3837" t="s">
        <v>32</v>
      </c>
      <c r="E3837" t="s">
        <v>36</v>
      </c>
      <c r="F3837" t="s">
        <v>24</v>
      </c>
      <c r="G3837">
        <v>3</v>
      </c>
      <c r="H3837">
        <v>0</v>
      </c>
      <c r="I3837" t="s">
        <v>39</v>
      </c>
      <c r="J3837" t="s">
        <v>37</v>
      </c>
      <c r="K3837" t="s">
        <v>26</v>
      </c>
      <c r="L3837">
        <v>9</v>
      </c>
      <c r="M3837">
        <v>1</v>
      </c>
      <c r="N3837">
        <v>1</v>
      </c>
      <c r="O3837" t="s">
        <v>27</v>
      </c>
      <c r="P3837" t="str">
        <f>TEXT(Table1[[#This Row],[order_date]],"yyyy-mm")</f>
        <v>2025-10</v>
      </c>
      <c r="Q3837">
        <f>WEEKNUM(Table1[[#This Row],[order_date]])</f>
        <v>42</v>
      </c>
      <c r="R3837">
        <f>IF(Table1[[#This Row],[order_status]]="completed",1,0)</f>
        <v>0</v>
      </c>
    </row>
    <row r="3838" spans="1:18" x14ac:dyDescent="0.35">
      <c r="A3838">
        <v>3837</v>
      </c>
      <c r="B3838" s="1">
        <v>45935</v>
      </c>
      <c r="C3838">
        <v>1984</v>
      </c>
      <c r="D3838" t="s">
        <v>15</v>
      </c>
      <c r="E3838" t="s">
        <v>16</v>
      </c>
      <c r="F3838" t="s">
        <v>34</v>
      </c>
      <c r="G3838">
        <v>2</v>
      </c>
      <c r="H3838">
        <v>0</v>
      </c>
      <c r="I3838" t="s">
        <v>25</v>
      </c>
      <c r="J3838" t="s">
        <v>37</v>
      </c>
      <c r="K3838" t="s">
        <v>26</v>
      </c>
      <c r="L3838">
        <v>9</v>
      </c>
      <c r="M3838">
        <v>0</v>
      </c>
      <c r="N3838">
        <v>0</v>
      </c>
      <c r="O3838" t="s">
        <v>27</v>
      </c>
      <c r="P3838" t="str">
        <f>TEXT(Table1[[#This Row],[order_date]],"yyyy-mm")</f>
        <v>2025-10</v>
      </c>
      <c r="Q3838">
        <f>WEEKNUM(Table1[[#This Row],[order_date]])</f>
        <v>41</v>
      </c>
      <c r="R3838">
        <f>IF(Table1[[#This Row],[order_status]]="completed",1,0)</f>
        <v>0</v>
      </c>
    </row>
    <row r="3839" spans="1:18" x14ac:dyDescent="0.35">
      <c r="A3839">
        <v>3838</v>
      </c>
      <c r="B3839" s="1">
        <v>45908</v>
      </c>
      <c r="C3839">
        <v>1375</v>
      </c>
      <c r="D3839" t="s">
        <v>15</v>
      </c>
      <c r="E3839" t="s">
        <v>29</v>
      </c>
      <c r="F3839" t="s">
        <v>24</v>
      </c>
      <c r="G3839">
        <v>5</v>
      </c>
      <c r="H3839">
        <v>2325</v>
      </c>
      <c r="I3839" t="s">
        <v>35</v>
      </c>
      <c r="J3839" t="s">
        <v>19</v>
      </c>
      <c r="K3839" t="s">
        <v>38</v>
      </c>
      <c r="L3839">
        <v>10</v>
      </c>
      <c r="M3839">
        <v>0</v>
      </c>
      <c r="N3839">
        <v>1</v>
      </c>
      <c r="O3839" t="s">
        <v>27</v>
      </c>
      <c r="P3839" t="str">
        <f>TEXT(Table1[[#This Row],[order_date]],"yyyy-mm")</f>
        <v>2025-09</v>
      </c>
      <c r="Q3839">
        <f>WEEKNUM(Table1[[#This Row],[order_date]])</f>
        <v>37</v>
      </c>
      <c r="R3839">
        <f>IF(Table1[[#This Row],[order_status]]="completed",1,0)</f>
        <v>1</v>
      </c>
    </row>
    <row r="3840" spans="1:18" x14ac:dyDescent="0.35">
      <c r="A3840">
        <v>3839</v>
      </c>
      <c r="B3840" s="1">
        <v>45983</v>
      </c>
      <c r="C3840">
        <v>1066</v>
      </c>
      <c r="D3840" t="s">
        <v>28</v>
      </c>
      <c r="E3840" t="s">
        <v>36</v>
      </c>
      <c r="F3840" t="s">
        <v>34</v>
      </c>
      <c r="G3840">
        <v>3</v>
      </c>
      <c r="H3840">
        <v>12234</v>
      </c>
      <c r="I3840" t="s">
        <v>18</v>
      </c>
      <c r="J3840" t="s">
        <v>19</v>
      </c>
      <c r="K3840" t="s">
        <v>38</v>
      </c>
      <c r="L3840">
        <v>1</v>
      </c>
      <c r="M3840">
        <v>0</v>
      </c>
      <c r="N3840">
        <v>0</v>
      </c>
      <c r="O3840" t="s">
        <v>27</v>
      </c>
      <c r="P3840" t="str">
        <f>TEXT(Table1[[#This Row],[order_date]],"yyyy-mm")</f>
        <v>2025-11</v>
      </c>
      <c r="Q3840">
        <f>WEEKNUM(Table1[[#This Row],[order_date]])</f>
        <v>47</v>
      </c>
      <c r="R3840">
        <f>IF(Table1[[#This Row],[order_status]]="completed",1,0)</f>
        <v>1</v>
      </c>
    </row>
    <row r="3841" spans="1:18" x14ac:dyDescent="0.35">
      <c r="A3841">
        <v>3840</v>
      </c>
      <c r="B3841" s="1">
        <v>45904</v>
      </c>
      <c r="C3841">
        <v>1154</v>
      </c>
      <c r="D3841" t="s">
        <v>15</v>
      </c>
      <c r="E3841" t="s">
        <v>29</v>
      </c>
      <c r="F3841" t="s">
        <v>24</v>
      </c>
      <c r="G3841">
        <v>1</v>
      </c>
      <c r="H3841">
        <v>3436</v>
      </c>
      <c r="I3841" t="s">
        <v>18</v>
      </c>
      <c r="J3841" t="s">
        <v>19</v>
      </c>
      <c r="K3841" t="s">
        <v>38</v>
      </c>
      <c r="L3841">
        <v>8</v>
      </c>
      <c r="M3841">
        <v>0</v>
      </c>
      <c r="N3841">
        <v>0</v>
      </c>
      <c r="O3841" t="s">
        <v>21</v>
      </c>
      <c r="P3841" t="str">
        <f>TEXT(Table1[[#This Row],[order_date]],"yyyy-mm")</f>
        <v>2025-09</v>
      </c>
      <c r="Q3841">
        <f>WEEKNUM(Table1[[#This Row],[order_date]])</f>
        <v>36</v>
      </c>
      <c r="R3841">
        <f>IF(Table1[[#This Row],[order_status]]="completed",1,0)</f>
        <v>1</v>
      </c>
    </row>
    <row r="3842" spans="1:18" x14ac:dyDescent="0.35">
      <c r="A3842">
        <v>3841</v>
      </c>
      <c r="B3842" s="1">
        <v>45990</v>
      </c>
      <c r="C3842">
        <v>1914</v>
      </c>
      <c r="D3842" t="s">
        <v>41</v>
      </c>
      <c r="E3842" t="s">
        <v>16</v>
      </c>
      <c r="F3842" t="s">
        <v>34</v>
      </c>
      <c r="G3842">
        <v>2</v>
      </c>
      <c r="H3842">
        <v>8956</v>
      </c>
      <c r="I3842" t="s">
        <v>18</v>
      </c>
      <c r="J3842" t="s">
        <v>19</v>
      </c>
      <c r="K3842" t="s">
        <v>26</v>
      </c>
      <c r="L3842">
        <v>6</v>
      </c>
      <c r="M3842">
        <v>0</v>
      </c>
      <c r="N3842">
        <v>1</v>
      </c>
      <c r="O3842" t="s">
        <v>27</v>
      </c>
      <c r="P3842" t="str">
        <f>TEXT(Table1[[#This Row],[order_date]],"yyyy-mm")</f>
        <v>2025-11</v>
      </c>
      <c r="Q3842">
        <f>WEEKNUM(Table1[[#This Row],[order_date]])</f>
        <v>48</v>
      </c>
      <c r="R3842">
        <f>IF(Table1[[#This Row],[order_status]]="completed",1,0)</f>
        <v>1</v>
      </c>
    </row>
    <row r="3843" spans="1:18" x14ac:dyDescent="0.35">
      <c r="A3843">
        <v>3842</v>
      </c>
      <c r="B3843" s="1">
        <v>45856</v>
      </c>
      <c r="C3843">
        <v>1741</v>
      </c>
      <c r="D3843" t="s">
        <v>32</v>
      </c>
      <c r="E3843" t="s">
        <v>33</v>
      </c>
      <c r="F3843" t="s">
        <v>24</v>
      </c>
      <c r="G3843">
        <v>4</v>
      </c>
      <c r="H3843">
        <v>0</v>
      </c>
      <c r="I3843" t="s">
        <v>35</v>
      </c>
      <c r="J3843" t="s">
        <v>37</v>
      </c>
      <c r="K3843" t="s">
        <v>40</v>
      </c>
      <c r="L3843">
        <v>7</v>
      </c>
      <c r="M3843">
        <v>0</v>
      </c>
      <c r="N3843">
        <v>0</v>
      </c>
      <c r="O3843" t="s">
        <v>21</v>
      </c>
      <c r="P3843" t="str">
        <f>TEXT(Table1[[#This Row],[order_date]],"yyyy-mm")</f>
        <v>2025-07</v>
      </c>
      <c r="Q3843">
        <f>WEEKNUM(Table1[[#This Row],[order_date]])</f>
        <v>29</v>
      </c>
      <c r="R3843">
        <f>IF(Table1[[#This Row],[order_status]]="completed",1,0)</f>
        <v>0</v>
      </c>
    </row>
    <row r="3844" spans="1:18" x14ac:dyDescent="0.35">
      <c r="A3844">
        <v>3843</v>
      </c>
      <c r="B3844" s="1">
        <v>45985</v>
      </c>
      <c r="C3844">
        <v>1732</v>
      </c>
      <c r="D3844" t="s">
        <v>28</v>
      </c>
      <c r="E3844" t="s">
        <v>23</v>
      </c>
      <c r="F3844" t="s">
        <v>34</v>
      </c>
      <c r="G3844">
        <v>1</v>
      </c>
      <c r="H3844">
        <v>0</v>
      </c>
      <c r="I3844" t="s">
        <v>39</v>
      </c>
      <c r="J3844" t="s">
        <v>37</v>
      </c>
      <c r="K3844" t="s">
        <v>20</v>
      </c>
      <c r="L3844">
        <v>6</v>
      </c>
      <c r="M3844">
        <v>1</v>
      </c>
      <c r="N3844">
        <v>1</v>
      </c>
      <c r="O3844" t="s">
        <v>27</v>
      </c>
      <c r="P3844" t="str">
        <f>TEXT(Table1[[#This Row],[order_date]],"yyyy-mm")</f>
        <v>2025-11</v>
      </c>
      <c r="Q3844">
        <f>WEEKNUM(Table1[[#This Row],[order_date]])</f>
        <v>48</v>
      </c>
      <c r="R3844">
        <f>IF(Table1[[#This Row],[order_status]]="completed",1,0)</f>
        <v>0</v>
      </c>
    </row>
    <row r="3845" spans="1:18" x14ac:dyDescent="0.35">
      <c r="A3845">
        <v>3844</v>
      </c>
      <c r="B3845" s="1">
        <v>45960</v>
      </c>
      <c r="C3845">
        <v>1011</v>
      </c>
      <c r="D3845" t="s">
        <v>41</v>
      </c>
      <c r="E3845" t="s">
        <v>33</v>
      </c>
      <c r="F3845" t="s">
        <v>17</v>
      </c>
      <c r="G3845">
        <v>2</v>
      </c>
      <c r="H3845">
        <v>0</v>
      </c>
      <c r="I3845" t="s">
        <v>35</v>
      </c>
      <c r="J3845" t="s">
        <v>37</v>
      </c>
      <c r="K3845" t="s">
        <v>26</v>
      </c>
      <c r="L3845">
        <v>2</v>
      </c>
      <c r="M3845">
        <v>1</v>
      </c>
      <c r="N3845">
        <v>1</v>
      </c>
      <c r="O3845" t="s">
        <v>27</v>
      </c>
      <c r="P3845" t="str">
        <f>TEXT(Table1[[#This Row],[order_date]],"yyyy-mm")</f>
        <v>2025-10</v>
      </c>
      <c r="Q3845">
        <f>WEEKNUM(Table1[[#This Row],[order_date]])</f>
        <v>44</v>
      </c>
      <c r="R3845">
        <f>IF(Table1[[#This Row],[order_status]]="completed",1,0)</f>
        <v>0</v>
      </c>
    </row>
    <row r="3846" spans="1:18" x14ac:dyDescent="0.35">
      <c r="A3846">
        <v>3845</v>
      </c>
      <c r="B3846" s="1">
        <v>45856</v>
      </c>
      <c r="C3846">
        <v>1980</v>
      </c>
      <c r="D3846" t="s">
        <v>15</v>
      </c>
      <c r="E3846" t="s">
        <v>23</v>
      </c>
      <c r="F3846" t="s">
        <v>34</v>
      </c>
      <c r="G3846">
        <v>4</v>
      </c>
      <c r="H3846">
        <v>0</v>
      </c>
      <c r="I3846" t="s">
        <v>18</v>
      </c>
      <c r="J3846" t="s">
        <v>37</v>
      </c>
      <c r="K3846" t="s">
        <v>40</v>
      </c>
      <c r="L3846">
        <v>2</v>
      </c>
      <c r="M3846">
        <v>0</v>
      </c>
      <c r="N3846">
        <v>1</v>
      </c>
      <c r="O3846" t="s">
        <v>27</v>
      </c>
      <c r="P3846" t="str">
        <f>TEXT(Table1[[#This Row],[order_date]],"yyyy-mm")</f>
        <v>2025-07</v>
      </c>
      <c r="Q3846">
        <f>WEEKNUM(Table1[[#This Row],[order_date]])</f>
        <v>29</v>
      </c>
      <c r="R3846">
        <f>IF(Table1[[#This Row],[order_status]]="completed",1,0)</f>
        <v>0</v>
      </c>
    </row>
    <row r="3847" spans="1:18" x14ac:dyDescent="0.35">
      <c r="A3847">
        <v>3846</v>
      </c>
      <c r="B3847" s="1">
        <v>45941</v>
      </c>
      <c r="C3847">
        <v>1259</v>
      </c>
      <c r="D3847" t="s">
        <v>15</v>
      </c>
      <c r="E3847" t="s">
        <v>23</v>
      </c>
      <c r="F3847" t="s">
        <v>24</v>
      </c>
      <c r="G3847">
        <v>5</v>
      </c>
      <c r="H3847">
        <v>3345</v>
      </c>
      <c r="I3847" t="s">
        <v>25</v>
      </c>
      <c r="J3847" t="s">
        <v>19</v>
      </c>
      <c r="K3847" t="s">
        <v>38</v>
      </c>
      <c r="L3847">
        <v>3</v>
      </c>
      <c r="M3847">
        <v>1</v>
      </c>
      <c r="N3847">
        <v>1</v>
      </c>
      <c r="O3847" t="s">
        <v>21</v>
      </c>
      <c r="P3847" t="str">
        <f>TEXT(Table1[[#This Row],[order_date]],"yyyy-mm")</f>
        <v>2025-10</v>
      </c>
      <c r="Q3847">
        <f>WEEKNUM(Table1[[#This Row],[order_date]])</f>
        <v>41</v>
      </c>
      <c r="R3847">
        <f>IF(Table1[[#This Row],[order_status]]="completed",1,0)</f>
        <v>1</v>
      </c>
    </row>
    <row r="3848" spans="1:18" x14ac:dyDescent="0.35">
      <c r="A3848">
        <v>3847</v>
      </c>
      <c r="B3848" s="1">
        <v>45915</v>
      </c>
      <c r="C3848">
        <v>1170</v>
      </c>
      <c r="D3848" t="s">
        <v>22</v>
      </c>
      <c r="E3848" t="s">
        <v>23</v>
      </c>
      <c r="F3848" t="s">
        <v>17</v>
      </c>
      <c r="G3848">
        <v>1</v>
      </c>
      <c r="H3848">
        <v>1338</v>
      </c>
      <c r="I3848" t="s">
        <v>35</v>
      </c>
      <c r="J3848" t="s">
        <v>19</v>
      </c>
      <c r="K3848" t="s">
        <v>26</v>
      </c>
      <c r="L3848">
        <v>9</v>
      </c>
      <c r="M3848">
        <v>0</v>
      </c>
      <c r="N3848">
        <v>0</v>
      </c>
      <c r="O3848" t="s">
        <v>21</v>
      </c>
      <c r="P3848" t="str">
        <f>TEXT(Table1[[#This Row],[order_date]],"yyyy-mm")</f>
        <v>2025-09</v>
      </c>
      <c r="Q3848">
        <f>WEEKNUM(Table1[[#This Row],[order_date]])</f>
        <v>38</v>
      </c>
      <c r="R3848">
        <f>IF(Table1[[#This Row],[order_status]]="completed",1,0)</f>
        <v>1</v>
      </c>
    </row>
    <row r="3849" spans="1:18" x14ac:dyDescent="0.35">
      <c r="A3849">
        <v>3848</v>
      </c>
      <c r="B3849" s="1">
        <v>45946</v>
      </c>
      <c r="C3849">
        <v>1573</v>
      </c>
      <c r="D3849" t="s">
        <v>22</v>
      </c>
      <c r="E3849" t="s">
        <v>23</v>
      </c>
      <c r="F3849" t="s">
        <v>17</v>
      </c>
      <c r="G3849">
        <v>1</v>
      </c>
      <c r="H3849">
        <v>1643</v>
      </c>
      <c r="I3849" t="s">
        <v>18</v>
      </c>
      <c r="J3849" t="s">
        <v>19</v>
      </c>
      <c r="K3849" t="s">
        <v>26</v>
      </c>
      <c r="L3849">
        <v>9</v>
      </c>
      <c r="M3849">
        <v>0</v>
      </c>
      <c r="N3849">
        <v>0</v>
      </c>
      <c r="O3849" t="s">
        <v>21</v>
      </c>
      <c r="P3849" t="str">
        <f>TEXT(Table1[[#This Row],[order_date]],"yyyy-mm")</f>
        <v>2025-10</v>
      </c>
      <c r="Q3849">
        <f>WEEKNUM(Table1[[#This Row],[order_date]])</f>
        <v>42</v>
      </c>
      <c r="R3849">
        <f>IF(Table1[[#This Row],[order_status]]="completed",1,0)</f>
        <v>1</v>
      </c>
    </row>
    <row r="3850" spans="1:18" x14ac:dyDescent="0.35">
      <c r="A3850">
        <v>3849</v>
      </c>
      <c r="B3850" s="1">
        <v>46001</v>
      </c>
      <c r="C3850">
        <v>1514</v>
      </c>
      <c r="D3850" t="s">
        <v>32</v>
      </c>
      <c r="E3850" t="s">
        <v>29</v>
      </c>
      <c r="F3850" t="s">
        <v>17</v>
      </c>
      <c r="G3850">
        <v>4</v>
      </c>
      <c r="H3850">
        <v>0</v>
      </c>
      <c r="I3850" t="s">
        <v>25</v>
      </c>
      <c r="J3850" t="s">
        <v>31</v>
      </c>
      <c r="K3850" t="s">
        <v>20</v>
      </c>
      <c r="L3850">
        <v>10</v>
      </c>
      <c r="M3850">
        <v>1</v>
      </c>
      <c r="N3850">
        <v>1</v>
      </c>
      <c r="O3850" t="s">
        <v>21</v>
      </c>
      <c r="P3850" t="str">
        <f>TEXT(Table1[[#This Row],[order_date]],"yyyy-mm")</f>
        <v>2025-12</v>
      </c>
      <c r="Q3850">
        <f>WEEKNUM(Table1[[#This Row],[order_date]])</f>
        <v>50</v>
      </c>
      <c r="R3850">
        <f>IF(Table1[[#This Row],[order_status]]="completed",1,0)</f>
        <v>0</v>
      </c>
    </row>
    <row r="3851" spans="1:18" x14ac:dyDescent="0.35">
      <c r="A3851">
        <v>3850</v>
      </c>
      <c r="B3851" s="1">
        <v>45959</v>
      </c>
      <c r="C3851">
        <v>1715</v>
      </c>
      <c r="D3851" t="s">
        <v>41</v>
      </c>
      <c r="E3851" t="s">
        <v>29</v>
      </c>
      <c r="F3851" t="s">
        <v>24</v>
      </c>
      <c r="G3851">
        <v>5</v>
      </c>
      <c r="H3851">
        <v>7370</v>
      </c>
      <c r="I3851" t="s">
        <v>25</v>
      </c>
      <c r="J3851" t="s">
        <v>19</v>
      </c>
      <c r="K3851" t="s">
        <v>20</v>
      </c>
      <c r="L3851">
        <v>3</v>
      </c>
      <c r="M3851">
        <v>0</v>
      </c>
      <c r="N3851">
        <v>0</v>
      </c>
      <c r="O3851" t="s">
        <v>21</v>
      </c>
      <c r="P3851" t="str">
        <f>TEXT(Table1[[#This Row],[order_date]],"yyyy-mm")</f>
        <v>2025-10</v>
      </c>
      <c r="Q3851">
        <f>WEEKNUM(Table1[[#This Row],[order_date]])</f>
        <v>44</v>
      </c>
      <c r="R3851">
        <f>IF(Table1[[#This Row],[order_status]]="completed",1,0)</f>
        <v>1</v>
      </c>
    </row>
    <row r="3852" spans="1:18" x14ac:dyDescent="0.35">
      <c r="A3852">
        <v>3851</v>
      </c>
      <c r="B3852" s="1">
        <v>45893</v>
      </c>
      <c r="C3852">
        <v>1419</v>
      </c>
      <c r="D3852" t="s">
        <v>41</v>
      </c>
      <c r="E3852" t="s">
        <v>23</v>
      </c>
      <c r="F3852" t="s">
        <v>24</v>
      </c>
      <c r="G3852">
        <v>2</v>
      </c>
      <c r="H3852">
        <v>0</v>
      </c>
      <c r="I3852" t="s">
        <v>25</v>
      </c>
      <c r="J3852" t="s">
        <v>37</v>
      </c>
      <c r="K3852" t="s">
        <v>26</v>
      </c>
      <c r="L3852">
        <v>5</v>
      </c>
      <c r="M3852">
        <v>0</v>
      </c>
      <c r="N3852">
        <v>1</v>
      </c>
      <c r="O3852" t="s">
        <v>27</v>
      </c>
      <c r="P3852" t="str">
        <f>TEXT(Table1[[#This Row],[order_date]],"yyyy-mm")</f>
        <v>2025-08</v>
      </c>
      <c r="Q3852">
        <f>WEEKNUM(Table1[[#This Row],[order_date]])</f>
        <v>35</v>
      </c>
      <c r="R3852">
        <f>IF(Table1[[#This Row],[order_status]]="completed",1,0)</f>
        <v>0</v>
      </c>
    </row>
    <row r="3853" spans="1:18" x14ac:dyDescent="0.35">
      <c r="A3853">
        <v>3852</v>
      </c>
      <c r="B3853" s="1">
        <v>45977</v>
      </c>
      <c r="C3853">
        <v>1457</v>
      </c>
      <c r="D3853" t="s">
        <v>22</v>
      </c>
      <c r="E3853" t="s">
        <v>33</v>
      </c>
      <c r="F3853" t="s">
        <v>30</v>
      </c>
      <c r="G3853">
        <v>1</v>
      </c>
      <c r="H3853">
        <v>2544</v>
      </c>
      <c r="I3853" t="s">
        <v>39</v>
      </c>
      <c r="J3853" t="s">
        <v>19</v>
      </c>
      <c r="K3853" t="s">
        <v>26</v>
      </c>
      <c r="L3853">
        <v>10</v>
      </c>
      <c r="M3853">
        <v>0</v>
      </c>
      <c r="N3853">
        <v>1</v>
      </c>
      <c r="O3853" t="s">
        <v>27</v>
      </c>
      <c r="P3853" t="str">
        <f>TEXT(Table1[[#This Row],[order_date]],"yyyy-mm")</f>
        <v>2025-11</v>
      </c>
      <c r="Q3853">
        <f>WEEKNUM(Table1[[#This Row],[order_date]])</f>
        <v>47</v>
      </c>
      <c r="R3853">
        <f>IF(Table1[[#This Row],[order_status]]="completed",1,0)</f>
        <v>1</v>
      </c>
    </row>
    <row r="3854" spans="1:18" x14ac:dyDescent="0.35">
      <c r="A3854">
        <v>3853</v>
      </c>
      <c r="B3854" s="1">
        <v>46007</v>
      </c>
      <c r="C3854">
        <v>1380</v>
      </c>
      <c r="D3854" t="s">
        <v>15</v>
      </c>
      <c r="E3854" t="s">
        <v>23</v>
      </c>
      <c r="F3854" t="s">
        <v>30</v>
      </c>
      <c r="G3854">
        <v>1</v>
      </c>
      <c r="H3854">
        <v>2303</v>
      </c>
      <c r="I3854" t="s">
        <v>18</v>
      </c>
      <c r="J3854" t="s">
        <v>19</v>
      </c>
      <c r="K3854" t="s">
        <v>40</v>
      </c>
      <c r="L3854">
        <v>1</v>
      </c>
      <c r="M3854">
        <v>1</v>
      </c>
      <c r="N3854">
        <v>1</v>
      </c>
      <c r="O3854" t="s">
        <v>27</v>
      </c>
      <c r="P3854" t="str">
        <f>TEXT(Table1[[#This Row],[order_date]],"yyyy-mm")</f>
        <v>2025-12</v>
      </c>
      <c r="Q3854">
        <f>WEEKNUM(Table1[[#This Row],[order_date]])</f>
        <v>51</v>
      </c>
      <c r="R3854">
        <f>IF(Table1[[#This Row],[order_status]]="completed",1,0)</f>
        <v>1</v>
      </c>
    </row>
    <row r="3855" spans="1:18" x14ac:dyDescent="0.35">
      <c r="A3855">
        <v>3854</v>
      </c>
      <c r="B3855" s="1">
        <v>45995</v>
      </c>
      <c r="C3855">
        <v>1971</v>
      </c>
      <c r="D3855" t="s">
        <v>15</v>
      </c>
      <c r="E3855" t="s">
        <v>16</v>
      </c>
      <c r="F3855" t="s">
        <v>24</v>
      </c>
      <c r="G3855">
        <v>4</v>
      </c>
      <c r="H3855">
        <v>0</v>
      </c>
      <c r="I3855" t="s">
        <v>25</v>
      </c>
      <c r="J3855" t="s">
        <v>31</v>
      </c>
      <c r="K3855" t="s">
        <v>38</v>
      </c>
      <c r="L3855">
        <v>10</v>
      </c>
      <c r="M3855">
        <v>1</v>
      </c>
      <c r="N3855">
        <v>0</v>
      </c>
      <c r="O3855" t="s">
        <v>27</v>
      </c>
      <c r="P3855" t="str">
        <f>TEXT(Table1[[#This Row],[order_date]],"yyyy-mm")</f>
        <v>2025-12</v>
      </c>
      <c r="Q3855">
        <f>WEEKNUM(Table1[[#This Row],[order_date]])</f>
        <v>49</v>
      </c>
      <c r="R3855">
        <f>IF(Table1[[#This Row],[order_status]]="completed",1,0)</f>
        <v>0</v>
      </c>
    </row>
    <row r="3856" spans="1:18" x14ac:dyDescent="0.35">
      <c r="A3856">
        <v>3855</v>
      </c>
      <c r="B3856" s="1">
        <v>45890</v>
      </c>
      <c r="C3856">
        <v>1702</v>
      </c>
      <c r="D3856" t="s">
        <v>15</v>
      </c>
      <c r="E3856" t="s">
        <v>29</v>
      </c>
      <c r="F3856" t="s">
        <v>17</v>
      </c>
      <c r="G3856">
        <v>3</v>
      </c>
      <c r="H3856">
        <v>5733</v>
      </c>
      <c r="I3856" t="s">
        <v>39</v>
      </c>
      <c r="J3856" t="s">
        <v>19</v>
      </c>
      <c r="K3856" t="s">
        <v>26</v>
      </c>
      <c r="L3856">
        <v>4</v>
      </c>
      <c r="M3856">
        <v>0</v>
      </c>
      <c r="N3856">
        <v>0</v>
      </c>
      <c r="O3856" t="s">
        <v>27</v>
      </c>
      <c r="P3856" t="str">
        <f>TEXT(Table1[[#This Row],[order_date]],"yyyy-mm")</f>
        <v>2025-08</v>
      </c>
      <c r="Q3856">
        <f>WEEKNUM(Table1[[#This Row],[order_date]])</f>
        <v>34</v>
      </c>
      <c r="R3856">
        <f>IF(Table1[[#This Row],[order_status]]="completed",1,0)</f>
        <v>1</v>
      </c>
    </row>
    <row r="3857" spans="1:18" x14ac:dyDescent="0.35">
      <c r="A3857">
        <v>3856</v>
      </c>
      <c r="B3857" s="1">
        <v>45986</v>
      </c>
      <c r="C3857">
        <v>1414</v>
      </c>
      <c r="D3857" t="s">
        <v>22</v>
      </c>
      <c r="E3857" t="s">
        <v>16</v>
      </c>
      <c r="F3857" t="s">
        <v>30</v>
      </c>
      <c r="G3857">
        <v>3</v>
      </c>
      <c r="H3857">
        <v>4065</v>
      </c>
      <c r="I3857" t="s">
        <v>18</v>
      </c>
      <c r="J3857" t="s">
        <v>19</v>
      </c>
      <c r="K3857" t="s">
        <v>38</v>
      </c>
      <c r="L3857">
        <v>6</v>
      </c>
      <c r="M3857">
        <v>1</v>
      </c>
      <c r="N3857">
        <v>1</v>
      </c>
      <c r="O3857" t="s">
        <v>21</v>
      </c>
      <c r="P3857" t="str">
        <f>TEXT(Table1[[#This Row],[order_date]],"yyyy-mm")</f>
        <v>2025-11</v>
      </c>
      <c r="Q3857">
        <f>WEEKNUM(Table1[[#This Row],[order_date]])</f>
        <v>48</v>
      </c>
      <c r="R3857">
        <f>IF(Table1[[#This Row],[order_status]]="completed",1,0)</f>
        <v>1</v>
      </c>
    </row>
    <row r="3858" spans="1:18" x14ac:dyDescent="0.35">
      <c r="A3858">
        <v>3857</v>
      </c>
      <c r="B3858" s="1">
        <v>45938</v>
      </c>
      <c r="C3858">
        <v>1635</v>
      </c>
      <c r="D3858" t="s">
        <v>22</v>
      </c>
      <c r="E3858" t="s">
        <v>36</v>
      </c>
      <c r="F3858" t="s">
        <v>30</v>
      </c>
      <c r="G3858">
        <v>1</v>
      </c>
      <c r="H3858">
        <v>0</v>
      </c>
      <c r="I3858" t="s">
        <v>35</v>
      </c>
      <c r="J3858" t="s">
        <v>37</v>
      </c>
      <c r="K3858" t="s">
        <v>40</v>
      </c>
      <c r="L3858">
        <v>10</v>
      </c>
      <c r="M3858">
        <v>0</v>
      </c>
      <c r="N3858">
        <v>1</v>
      </c>
      <c r="O3858" t="s">
        <v>27</v>
      </c>
      <c r="P3858" t="str">
        <f>TEXT(Table1[[#This Row],[order_date]],"yyyy-mm")</f>
        <v>2025-10</v>
      </c>
      <c r="Q3858">
        <f>WEEKNUM(Table1[[#This Row],[order_date]])</f>
        <v>41</v>
      </c>
      <c r="R3858">
        <f>IF(Table1[[#This Row],[order_status]]="completed",1,0)</f>
        <v>0</v>
      </c>
    </row>
    <row r="3859" spans="1:18" x14ac:dyDescent="0.35">
      <c r="A3859">
        <v>3858</v>
      </c>
      <c r="B3859" s="1">
        <v>45947</v>
      </c>
      <c r="C3859">
        <v>1915</v>
      </c>
      <c r="D3859" t="s">
        <v>15</v>
      </c>
      <c r="E3859" t="s">
        <v>16</v>
      </c>
      <c r="F3859" t="s">
        <v>24</v>
      </c>
      <c r="G3859">
        <v>2</v>
      </c>
      <c r="H3859">
        <v>0</v>
      </c>
      <c r="I3859" t="s">
        <v>39</v>
      </c>
      <c r="J3859" t="s">
        <v>37</v>
      </c>
      <c r="K3859" t="s">
        <v>40</v>
      </c>
      <c r="L3859">
        <v>3</v>
      </c>
      <c r="M3859">
        <v>0</v>
      </c>
      <c r="N3859">
        <v>0</v>
      </c>
      <c r="O3859" t="s">
        <v>27</v>
      </c>
      <c r="P3859" t="str">
        <f>TEXT(Table1[[#This Row],[order_date]],"yyyy-mm")</f>
        <v>2025-10</v>
      </c>
      <c r="Q3859">
        <f>WEEKNUM(Table1[[#This Row],[order_date]])</f>
        <v>42</v>
      </c>
      <c r="R3859">
        <f>IF(Table1[[#This Row],[order_status]]="completed",1,0)</f>
        <v>0</v>
      </c>
    </row>
    <row r="3860" spans="1:18" x14ac:dyDescent="0.35">
      <c r="A3860">
        <v>3859</v>
      </c>
      <c r="B3860" s="1">
        <v>45861</v>
      </c>
      <c r="C3860">
        <v>1115</v>
      </c>
      <c r="D3860" t="s">
        <v>32</v>
      </c>
      <c r="E3860" t="s">
        <v>29</v>
      </c>
      <c r="F3860" t="s">
        <v>24</v>
      </c>
      <c r="G3860">
        <v>1</v>
      </c>
      <c r="H3860">
        <v>0</v>
      </c>
      <c r="I3860" t="s">
        <v>18</v>
      </c>
      <c r="J3860" t="s">
        <v>37</v>
      </c>
      <c r="K3860" t="s">
        <v>26</v>
      </c>
      <c r="L3860">
        <v>2</v>
      </c>
      <c r="M3860">
        <v>1</v>
      </c>
      <c r="N3860">
        <v>0</v>
      </c>
      <c r="O3860" t="s">
        <v>27</v>
      </c>
      <c r="P3860" t="str">
        <f>TEXT(Table1[[#This Row],[order_date]],"yyyy-mm")</f>
        <v>2025-07</v>
      </c>
      <c r="Q3860">
        <f>WEEKNUM(Table1[[#This Row],[order_date]])</f>
        <v>30</v>
      </c>
      <c r="R3860">
        <f>IF(Table1[[#This Row],[order_status]]="completed",1,0)</f>
        <v>0</v>
      </c>
    </row>
    <row r="3861" spans="1:18" x14ac:dyDescent="0.35">
      <c r="A3861">
        <v>3860</v>
      </c>
      <c r="B3861" s="1">
        <v>45897</v>
      </c>
      <c r="C3861">
        <v>1537</v>
      </c>
      <c r="D3861" t="s">
        <v>28</v>
      </c>
      <c r="E3861" t="s">
        <v>33</v>
      </c>
      <c r="F3861" t="s">
        <v>30</v>
      </c>
      <c r="G3861">
        <v>2</v>
      </c>
      <c r="H3861">
        <v>7874</v>
      </c>
      <c r="I3861" t="s">
        <v>25</v>
      </c>
      <c r="J3861" t="s">
        <v>19</v>
      </c>
      <c r="K3861" t="s">
        <v>38</v>
      </c>
      <c r="L3861">
        <v>4</v>
      </c>
      <c r="M3861">
        <v>0</v>
      </c>
      <c r="N3861">
        <v>0</v>
      </c>
      <c r="O3861" t="s">
        <v>27</v>
      </c>
      <c r="P3861" t="str">
        <f>TEXT(Table1[[#This Row],[order_date]],"yyyy-mm")</f>
        <v>2025-08</v>
      </c>
      <c r="Q3861">
        <f>WEEKNUM(Table1[[#This Row],[order_date]])</f>
        <v>35</v>
      </c>
      <c r="R3861">
        <f>IF(Table1[[#This Row],[order_status]]="completed",1,0)</f>
        <v>1</v>
      </c>
    </row>
    <row r="3862" spans="1:18" x14ac:dyDescent="0.35">
      <c r="A3862">
        <v>3861</v>
      </c>
      <c r="B3862" s="1">
        <v>46022</v>
      </c>
      <c r="C3862">
        <v>1382</v>
      </c>
      <c r="D3862" t="s">
        <v>15</v>
      </c>
      <c r="E3862" t="s">
        <v>33</v>
      </c>
      <c r="F3862" t="s">
        <v>30</v>
      </c>
      <c r="G3862">
        <v>2</v>
      </c>
      <c r="H3862">
        <v>9428</v>
      </c>
      <c r="I3862" t="s">
        <v>35</v>
      </c>
      <c r="J3862" t="s">
        <v>19</v>
      </c>
      <c r="K3862" t="s">
        <v>40</v>
      </c>
      <c r="L3862">
        <v>6</v>
      </c>
      <c r="M3862">
        <v>1</v>
      </c>
      <c r="N3862">
        <v>0</v>
      </c>
      <c r="O3862" t="s">
        <v>27</v>
      </c>
      <c r="P3862" t="str">
        <f>TEXT(Table1[[#This Row],[order_date]],"yyyy-mm")</f>
        <v>2025-12</v>
      </c>
      <c r="Q3862">
        <f>WEEKNUM(Table1[[#This Row],[order_date]])</f>
        <v>53</v>
      </c>
      <c r="R3862">
        <f>IF(Table1[[#This Row],[order_status]]="completed",1,0)</f>
        <v>1</v>
      </c>
    </row>
    <row r="3863" spans="1:18" x14ac:dyDescent="0.35">
      <c r="A3863">
        <v>3862</v>
      </c>
      <c r="B3863" s="1">
        <v>45976</v>
      </c>
      <c r="C3863">
        <v>1480</v>
      </c>
      <c r="D3863" t="s">
        <v>28</v>
      </c>
      <c r="E3863" t="s">
        <v>16</v>
      </c>
      <c r="F3863" t="s">
        <v>24</v>
      </c>
      <c r="G3863">
        <v>1</v>
      </c>
      <c r="H3863">
        <v>1597</v>
      </c>
      <c r="I3863" t="s">
        <v>35</v>
      </c>
      <c r="J3863" t="s">
        <v>19</v>
      </c>
      <c r="K3863" t="s">
        <v>20</v>
      </c>
      <c r="L3863">
        <v>5</v>
      </c>
      <c r="M3863">
        <v>1</v>
      </c>
      <c r="N3863">
        <v>0</v>
      </c>
      <c r="O3863" t="s">
        <v>21</v>
      </c>
      <c r="P3863" t="str">
        <f>TEXT(Table1[[#This Row],[order_date]],"yyyy-mm")</f>
        <v>2025-11</v>
      </c>
      <c r="Q3863">
        <f>WEEKNUM(Table1[[#This Row],[order_date]])</f>
        <v>46</v>
      </c>
      <c r="R3863">
        <f>IF(Table1[[#This Row],[order_status]]="completed",1,0)</f>
        <v>1</v>
      </c>
    </row>
    <row r="3864" spans="1:18" x14ac:dyDescent="0.35">
      <c r="A3864">
        <v>3863</v>
      </c>
      <c r="B3864" s="1">
        <v>45861</v>
      </c>
      <c r="C3864">
        <v>1790</v>
      </c>
      <c r="D3864" t="s">
        <v>28</v>
      </c>
      <c r="E3864" t="s">
        <v>23</v>
      </c>
      <c r="F3864" t="s">
        <v>17</v>
      </c>
      <c r="G3864">
        <v>1</v>
      </c>
      <c r="H3864">
        <v>0</v>
      </c>
      <c r="I3864" t="s">
        <v>18</v>
      </c>
      <c r="J3864" t="s">
        <v>31</v>
      </c>
      <c r="K3864" t="s">
        <v>40</v>
      </c>
      <c r="L3864">
        <v>4</v>
      </c>
      <c r="M3864">
        <v>0</v>
      </c>
      <c r="N3864">
        <v>0</v>
      </c>
      <c r="O3864" t="s">
        <v>21</v>
      </c>
      <c r="P3864" t="str">
        <f>TEXT(Table1[[#This Row],[order_date]],"yyyy-mm")</f>
        <v>2025-07</v>
      </c>
      <c r="Q3864">
        <f>WEEKNUM(Table1[[#This Row],[order_date]])</f>
        <v>30</v>
      </c>
      <c r="R3864">
        <f>IF(Table1[[#This Row],[order_status]]="completed",1,0)</f>
        <v>0</v>
      </c>
    </row>
    <row r="3865" spans="1:18" x14ac:dyDescent="0.35">
      <c r="A3865">
        <v>3864</v>
      </c>
      <c r="B3865" s="1">
        <v>45981</v>
      </c>
      <c r="C3865">
        <v>1696</v>
      </c>
      <c r="D3865" t="s">
        <v>41</v>
      </c>
      <c r="E3865" t="s">
        <v>33</v>
      </c>
      <c r="F3865" t="s">
        <v>34</v>
      </c>
      <c r="G3865">
        <v>4</v>
      </c>
      <c r="H3865">
        <v>0</v>
      </c>
      <c r="I3865" t="s">
        <v>35</v>
      </c>
      <c r="J3865" t="s">
        <v>31</v>
      </c>
      <c r="K3865" t="s">
        <v>26</v>
      </c>
      <c r="L3865">
        <v>1</v>
      </c>
      <c r="M3865">
        <v>0</v>
      </c>
      <c r="N3865">
        <v>1</v>
      </c>
      <c r="O3865" t="s">
        <v>21</v>
      </c>
      <c r="P3865" t="str">
        <f>TEXT(Table1[[#This Row],[order_date]],"yyyy-mm")</f>
        <v>2025-11</v>
      </c>
      <c r="Q3865">
        <f>WEEKNUM(Table1[[#This Row],[order_date]])</f>
        <v>47</v>
      </c>
      <c r="R3865">
        <f>IF(Table1[[#This Row],[order_status]]="completed",1,0)</f>
        <v>0</v>
      </c>
    </row>
    <row r="3866" spans="1:18" x14ac:dyDescent="0.35">
      <c r="A3866">
        <v>3865</v>
      </c>
      <c r="B3866" s="1">
        <v>45918</v>
      </c>
      <c r="C3866">
        <v>1477</v>
      </c>
      <c r="D3866" t="s">
        <v>22</v>
      </c>
      <c r="E3866" t="s">
        <v>33</v>
      </c>
      <c r="F3866" t="s">
        <v>17</v>
      </c>
      <c r="G3866">
        <v>2</v>
      </c>
      <c r="H3866">
        <v>0</v>
      </c>
      <c r="I3866" t="s">
        <v>39</v>
      </c>
      <c r="J3866" t="s">
        <v>37</v>
      </c>
      <c r="K3866" t="s">
        <v>40</v>
      </c>
      <c r="L3866">
        <v>5</v>
      </c>
      <c r="M3866">
        <v>0</v>
      </c>
      <c r="N3866">
        <v>1</v>
      </c>
      <c r="O3866" t="s">
        <v>21</v>
      </c>
      <c r="P3866" t="str">
        <f>TEXT(Table1[[#This Row],[order_date]],"yyyy-mm")</f>
        <v>2025-09</v>
      </c>
      <c r="Q3866">
        <f>WEEKNUM(Table1[[#This Row],[order_date]])</f>
        <v>38</v>
      </c>
      <c r="R3866">
        <f>IF(Table1[[#This Row],[order_status]]="completed",1,0)</f>
        <v>0</v>
      </c>
    </row>
    <row r="3867" spans="1:18" x14ac:dyDescent="0.35">
      <c r="A3867">
        <v>3866</v>
      </c>
      <c r="B3867" s="1">
        <v>45952</v>
      </c>
      <c r="C3867">
        <v>1175</v>
      </c>
      <c r="D3867" t="s">
        <v>15</v>
      </c>
      <c r="E3867" t="s">
        <v>23</v>
      </c>
      <c r="F3867" t="s">
        <v>24</v>
      </c>
      <c r="G3867">
        <v>2</v>
      </c>
      <c r="H3867">
        <v>7882</v>
      </c>
      <c r="I3867" t="s">
        <v>35</v>
      </c>
      <c r="J3867" t="s">
        <v>19</v>
      </c>
      <c r="K3867" t="s">
        <v>26</v>
      </c>
      <c r="L3867">
        <v>6</v>
      </c>
      <c r="M3867">
        <v>0</v>
      </c>
      <c r="N3867">
        <v>1</v>
      </c>
      <c r="O3867" t="s">
        <v>27</v>
      </c>
      <c r="P3867" t="str">
        <f>TEXT(Table1[[#This Row],[order_date]],"yyyy-mm")</f>
        <v>2025-10</v>
      </c>
      <c r="Q3867">
        <f>WEEKNUM(Table1[[#This Row],[order_date]])</f>
        <v>43</v>
      </c>
      <c r="R3867">
        <f>IF(Table1[[#This Row],[order_status]]="completed",1,0)</f>
        <v>1</v>
      </c>
    </row>
    <row r="3868" spans="1:18" x14ac:dyDescent="0.35">
      <c r="A3868">
        <v>3867</v>
      </c>
      <c r="B3868" s="1">
        <v>45915</v>
      </c>
      <c r="C3868">
        <v>1666</v>
      </c>
      <c r="D3868" t="s">
        <v>32</v>
      </c>
      <c r="E3868" t="s">
        <v>29</v>
      </c>
      <c r="F3868" t="s">
        <v>24</v>
      </c>
      <c r="G3868">
        <v>4</v>
      </c>
      <c r="H3868">
        <v>15468</v>
      </c>
      <c r="I3868" t="s">
        <v>35</v>
      </c>
      <c r="J3868" t="s">
        <v>19</v>
      </c>
      <c r="K3868" t="s">
        <v>20</v>
      </c>
      <c r="L3868">
        <v>4</v>
      </c>
      <c r="M3868">
        <v>1</v>
      </c>
      <c r="N3868">
        <v>1</v>
      </c>
      <c r="O3868" t="s">
        <v>21</v>
      </c>
      <c r="P3868" t="str">
        <f>TEXT(Table1[[#This Row],[order_date]],"yyyy-mm")</f>
        <v>2025-09</v>
      </c>
      <c r="Q3868">
        <f>WEEKNUM(Table1[[#This Row],[order_date]])</f>
        <v>38</v>
      </c>
      <c r="R3868">
        <f>IF(Table1[[#This Row],[order_status]]="completed",1,0)</f>
        <v>1</v>
      </c>
    </row>
    <row r="3869" spans="1:18" x14ac:dyDescent="0.35">
      <c r="A3869">
        <v>3868</v>
      </c>
      <c r="B3869" s="1">
        <v>45937</v>
      </c>
      <c r="C3869">
        <v>1016</v>
      </c>
      <c r="D3869" t="s">
        <v>15</v>
      </c>
      <c r="E3869" t="s">
        <v>33</v>
      </c>
      <c r="F3869" t="s">
        <v>24</v>
      </c>
      <c r="G3869">
        <v>4</v>
      </c>
      <c r="H3869">
        <v>11652</v>
      </c>
      <c r="I3869" t="s">
        <v>39</v>
      </c>
      <c r="J3869" t="s">
        <v>19</v>
      </c>
      <c r="K3869" t="s">
        <v>20</v>
      </c>
      <c r="L3869">
        <v>6</v>
      </c>
      <c r="M3869">
        <v>1</v>
      </c>
      <c r="N3869">
        <v>0</v>
      </c>
      <c r="O3869" t="s">
        <v>27</v>
      </c>
      <c r="P3869" t="str">
        <f>TEXT(Table1[[#This Row],[order_date]],"yyyy-mm")</f>
        <v>2025-10</v>
      </c>
      <c r="Q3869">
        <f>WEEKNUM(Table1[[#This Row],[order_date]])</f>
        <v>41</v>
      </c>
      <c r="R3869">
        <f>IF(Table1[[#This Row],[order_status]]="completed",1,0)</f>
        <v>1</v>
      </c>
    </row>
    <row r="3870" spans="1:18" x14ac:dyDescent="0.35">
      <c r="A3870">
        <v>3869</v>
      </c>
      <c r="B3870" s="1">
        <v>46017</v>
      </c>
      <c r="C3870">
        <v>1495</v>
      </c>
      <c r="D3870" t="s">
        <v>41</v>
      </c>
      <c r="E3870" t="s">
        <v>33</v>
      </c>
      <c r="F3870" t="s">
        <v>24</v>
      </c>
      <c r="G3870">
        <v>2</v>
      </c>
      <c r="H3870">
        <v>5756</v>
      </c>
      <c r="I3870" t="s">
        <v>39</v>
      </c>
      <c r="J3870" t="s">
        <v>19</v>
      </c>
      <c r="K3870" t="s">
        <v>38</v>
      </c>
      <c r="L3870">
        <v>7</v>
      </c>
      <c r="M3870">
        <v>1</v>
      </c>
      <c r="N3870">
        <v>1</v>
      </c>
      <c r="O3870" t="s">
        <v>21</v>
      </c>
      <c r="P3870" t="str">
        <f>TEXT(Table1[[#This Row],[order_date]],"yyyy-mm")</f>
        <v>2025-12</v>
      </c>
      <c r="Q3870">
        <f>WEEKNUM(Table1[[#This Row],[order_date]])</f>
        <v>52</v>
      </c>
      <c r="R3870">
        <f>IF(Table1[[#This Row],[order_status]]="completed",1,0)</f>
        <v>1</v>
      </c>
    </row>
    <row r="3871" spans="1:18" x14ac:dyDescent="0.35">
      <c r="A3871">
        <v>3870</v>
      </c>
      <c r="B3871" s="1">
        <v>45981</v>
      </c>
      <c r="C3871">
        <v>1864</v>
      </c>
      <c r="D3871" t="s">
        <v>41</v>
      </c>
      <c r="E3871" t="s">
        <v>36</v>
      </c>
      <c r="F3871" t="s">
        <v>30</v>
      </c>
      <c r="G3871">
        <v>5</v>
      </c>
      <c r="H3871">
        <v>0</v>
      </c>
      <c r="I3871" t="s">
        <v>18</v>
      </c>
      <c r="J3871" t="s">
        <v>31</v>
      </c>
      <c r="K3871" t="s">
        <v>26</v>
      </c>
      <c r="L3871">
        <v>10</v>
      </c>
      <c r="M3871">
        <v>0</v>
      </c>
      <c r="N3871">
        <v>1</v>
      </c>
      <c r="O3871" t="s">
        <v>27</v>
      </c>
      <c r="P3871" t="str">
        <f>TEXT(Table1[[#This Row],[order_date]],"yyyy-mm")</f>
        <v>2025-11</v>
      </c>
      <c r="Q3871">
        <f>WEEKNUM(Table1[[#This Row],[order_date]])</f>
        <v>47</v>
      </c>
      <c r="R3871">
        <f>IF(Table1[[#This Row],[order_status]]="completed",1,0)</f>
        <v>0</v>
      </c>
    </row>
    <row r="3872" spans="1:18" x14ac:dyDescent="0.35">
      <c r="A3872">
        <v>3871</v>
      </c>
      <c r="B3872" s="1">
        <v>45950</v>
      </c>
      <c r="C3872">
        <v>1748</v>
      </c>
      <c r="D3872" t="s">
        <v>15</v>
      </c>
      <c r="E3872" t="s">
        <v>33</v>
      </c>
      <c r="F3872" t="s">
        <v>34</v>
      </c>
      <c r="G3872">
        <v>3</v>
      </c>
      <c r="H3872">
        <v>0</v>
      </c>
      <c r="I3872" t="s">
        <v>39</v>
      </c>
      <c r="J3872" t="s">
        <v>37</v>
      </c>
      <c r="K3872" t="s">
        <v>20</v>
      </c>
      <c r="L3872">
        <v>5</v>
      </c>
      <c r="M3872">
        <v>0</v>
      </c>
      <c r="N3872">
        <v>1</v>
      </c>
      <c r="O3872" t="s">
        <v>21</v>
      </c>
      <c r="P3872" t="str">
        <f>TEXT(Table1[[#This Row],[order_date]],"yyyy-mm")</f>
        <v>2025-10</v>
      </c>
      <c r="Q3872">
        <f>WEEKNUM(Table1[[#This Row],[order_date]])</f>
        <v>43</v>
      </c>
      <c r="R3872">
        <f>IF(Table1[[#This Row],[order_status]]="completed",1,0)</f>
        <v>0</v>
      </c>
    </row>
    <row r="3873" spans="1:18" x14ac:dyDescent="0.35">
      <c r="A3873">
        <v>3872</v>
      </c>
      <c r="B3873" s="1">
        <v>45958</v>
      </c>
      <c r="C3873">
        <v>1510</v>
      </c>
      <c r="D3873" t="s">
        <v>32</v>
      </c>
      <c r="E3873" t="s">
        <v>36</v>
      </c>
      <c r="F3873" t="s">
        <v>34</v>
      </c>
      <c r="G3873">
        <v>1</v>
      </c>
      <c r="H3873">
        <v>0</v>
      </c>
      <c r="I3873" t="s">
        <v>25</v>
      </c>
      <c r="J3873" t="s">
        <v>37</v>
      </c>
      <c r="K3873" t="s">
        <v>20</v>
      </c>
      <c r="L3873">
        <v>10</v>
      </c>
      <c r="M3873">
        <v>0</v>
      </c>
      <c r="N3873">
        <v>0</v>
      </c>
      <c r="O3873" t="s">
        <v>27</v>
      </c>
      <c r="P3873" t="str">
        <f>TEXT(Table1[[#This Row],[order_date]],"yyyy-mm")</f>
        <v>2025-10</v>
      </c>
      <c r="Q3873">
        <f>WEEKNUM(Table1[[#This Row],[order_date]])</f>
        <v>44</v>
      </c>
      <c r="R3873">
        <f>IF(Table1[[#This Row],[order_status]]="completed",1,0)</f>
        <v>0</v>
      </c>
    </row>
    <row r="3874" spans="1:18" x14ac:dyDescent="0.35">
      <c r="A3874">
        <v>3873</v>
      </c>
      <c r="B3874" s="1">
        <v>45982</v>
      </c>
      <c r="C3874">
        <v>1104</v>
      </c>
      <c r="D3874" t="s">
        <v>32</v>
      </c>
      <c r="E3874" t="s">
        <v>33</v>
      </c>
      <c r="F3874" t="s">
        <v>34</v>
      </c>
      <c r="G3874">
        <v>3</v>
      </c>
      <c r="H3874">
        <v>0</v>
      </c>
      <c r="I3874" t="s">
        <v>39</v>
      </c>
      <c r="J3874" t="s">
        <v>31</v>
      </c>
      <c r="K3874" t="s">
        <v>40</v>
      </c>
      <c r="L3874">
        <v>7</v>
      </c>
      <c r="M3874">
        <v>1</v>
      </c>
      <c r="N3874">
        <v>0</v>
      </c>
      <c r="O3874" t="s">
        <v>21</v>
      </c>
      <c r="P3874" t="str">
        <f>TEXT(Table1[[#This Row],[order_date]],"yyyy-mm")</f>
        <v>2025-11</v>
      </c>
      <c r="Q3874">
        <f>WEEKNUM(Table1[[#This Row],[order_date]])</f>
        <v>47</v>
      </c>
      <c r="R3874">
        <f>IF(Table1[[#This Row],[order_status]]="completed",1,0)</f>
        <v>0</v>
      </c>
    </row>
    <row r="3875" spans="1:18" x14ac:dyDescent="0.35">
      <c r="A3875">
        <v>3874</v>
      </c>
      <c r="B3875" s="1">
        <v>45952</v>
      </c>
      <c r="C3875">
        <v>1848</v>
      </c>
      <c r="D3875" t="s">
        <v>22</v>
      </c>
      <c r="E3875" t="s">
        <v>29</v>
      </c>
      <c r="F3875" t="s">
        <v>30</v>
      </c>
      <c r="G3875">
        <v>3</v>
      </c>
      <c r="H3875">
        <v>0</v>
      </c>
      <c r="I3875" t="s">
        <v>39</v>
      </c>
      <c r="J3875" t="s">
        <v>37</v>
      </c>
      <c r="K3875" t="s">
        <v>40</v>
      </c>
      <c r="L3875">
        <v>2</v>
      </c>
      <c r="M3875">
        <v>1</v>
      </c>
      <c r="N3875">
        <v>1</v>
      </c>
      <c r="O3875" t="s">
        <v>27</v>
      </c>
      <c r="P3875" t="str">
        <f>TEXT(Table1[[#This Row],[order_date]],"yyyy-mm")</f>
        <v>2025-10</v>
      </c>
      <c r="Q3875">
        <f>WEEKNUM(Table1[[#This Row],[order_date]])</f>
        <v>43</v>
      </c>
      <c r="R3875">
        <f>IF(Table1[[#This Row],[order_status]]="completed",1,0)</f>
        <v>0</v>
      </c>
    </row>
    <row r="3876" spans="1:18" x14ac:dyDescent="0.35">
      <c r="A3876">
        <v>3875</v>
      </c>
      <c r="B3876" s="1">
        <v>45870</v>
      </c>
      <c r="C3876">
        <v>1741</v>
      </c>
      <c r="D3876" t="s">
        <v>22</v>
      </c>
      <c r="E3876" t="s">
        <v>29</v>
      </c>
      <c r="F3876" t="s">
        <v>34</v>
      </c>
      <c r="G3876">
        <v>4</v>
      </c>
      <c r="H3876">
        <v>0</v>
      </c>
      <c r="I3876" t="s">
        <v>18</v>
      </c>
      <c r="J3876" t="s">
        <v>37</v>
      </c>
      <c r="K3876" t="s">
        <v>20</v>
      </c>
      <c r="L3876">
        <v>7</v>
      </c>
      <c r="M3876">
        <v>1</v>
      </c>
      <c r="N3876">
        <v>0</v>
      </c>
      <c r="O3876" t="s">
        <v>21</v>
      </c>
      <c r="P3876" t="str">
        <f>TEXT(Table1[[#This Row],[order_date]],"yyyy-mm")</f>
        <v>2025-08</v>
      </c>
      <c r="Q3876">
        <f>WEEKNUM(Table1[[#This Row],[order_date]])</f>
        <v>31</v>
      </c>
      <c r="R3876">
        <f>IF(Table1[[#This Row],[order_status]]="completed",1,0)</f>
        <v>0</v>
      </c>
    </row>
    <row r="3877" spans="1:18" x14ac:dyDescent="0.35">
      <c r="A3877">
        <v>3876</v>
      </c>
      <c r="B3877" s="1">
        <v>46002</v>
      </c>
      <c r="C3877">
        <v>1686</v>
      </c>
      <c r="D3877" t="s">
        <v>22</v>
      </c>
      <c r="E3877" t="s">
        <v>33</v>
      </c>
      <c r="F3877" t="s">
        <v>24</v>
      </c>
      <c r="G3877">
        <v>4</v>
      </c>
      <c r="H3877">
        <v>0</v>
      </c>
      <c r="I3877" t="s">
        <v>35</v>
      </c>
      <c r="J3877" t="s">
        <v>37</v>
      </c>
      <c r="K3877" t="s">
        <v>26</v>
      </c>
      <c r="L3877">
        <v>1</v>
      </c>
      <c r="M3877">
        <v>1</v>
      </c>
      <c r="N3877">
        <v>1</v>
      </c>
      <c r="O3877" t="s">
        <v>27</v>
      </c>
      <c r="P3877" t="str">
        <f>TEXT(Table1[[#This Row],[order_date]],"yyyy-mm")</f>
        <v>2025-12</v>
      </c>
      <c r="Q3877">
        <f>WEEKNUM(Table1[[#This Row],[order_date]])</f>
        <v>50</v>
      </c>
      <c r="R3877">
        <f>IF(Table1[[#This Row],[order_status]]="completed",1,0)</f>
        <v>0</v>
      </c>
    </row>
    <row r="3878" spans="1:18" x14ac:dyDescent="0.35">
      <c r="A3878">
        <v>3877</v>
      </c>
      <c r="B3878" s="1">
        <v>45994</v>
      </c>
      <c r="C3878">
        <v>1299</v>
      </c>
      <c r="D3878" t="s">
        <v>28</v>
      </c>
      <c r="E3878" t="s">
        <v>33</v>
      </c>
      <c r="F3878" t="s">
        <v>24</v>
      </c>
      <c r="G3878">
        <v>3</v>
      </c>
      <c r="H3878">
        <v>0</v>
      </c>
      <c r="I3878" t="s">
        <v>18</v>
      </c>
      <c r="J3878" t="s">
        <v>31</v>
      </c>
      <c r="K3878" t="s">
        <v>40</v>
      </c>
      <c r="L3878">
        <v>4</v>
      </c>
      <c r="M3878">
        <v>0</v>
      </c>
      <c r="N3878">
        <v>1</v>
      </c>
      <c r="O3878" t="s">
        <v>27</v>
      </c>
      <c r="P3878" t="str">
        <f>TEXT(Table1[[#This Row],[order_date]],"yyyy-mm")</f>
        <v>2025-12</v>
      </c>
      <c r="Q3878">
        <f>WEEKNUM(Table1[[#This Row],[order_date]])</f>
        <v>49</v>
      </c>
      <c r="R3878">
        <f>IF(Table1[[#This Row],[order_status]]="completed",1,0)</f>
        <v>0</v>
      </c>
    </row>
    <row r="3879" spans="1:18" x14ac:dyDescent="0.35">
      <c r="A3879">
        <v>3878</v>
      </c>
      <c r="B3879" s="1">
        <v>45976</v>
      </c>
      <c r="C3879">
        <v>1875</v>
      </c>
      <c r="D3879" t="s">
        <v>22</v>
      </c>
      <c r="E3879" t="s">
        <v>16</v>
      </c>
      <c r="F3879" t="s">
        <v>17</v>
      </c>
      <c r="G3879">
        <v>4</v>
      </c>
      <c r="H3879">
        <v>14672</v>
      </c>
      <c r="I3879" t="s">
        <v>39</v>
      </c>
      <c r="J3879" t="s">
        <v>19</v>
      </c>
      <c r="K3879" t="s">
        <v>40</v>
      </c>
      <c r="L3879">
        <v>7</v>
      </c>
      <c r="M3879">
        <v>1</v>
      </c>
      <c r="N3879">
        <v>1</v>
      </c>
      <c r="O3879" t="s">
        <v>27</v>
      </c>
      <c r="P3879" t="str">
        <f>TEXT(Table1[[#This Row],[order_date]],"yyyy-mm")</f>
        <v>2025-11</v>
      </c>
      <c r="Q3879">
        <f>WEEKNUM(Table1[[#This Row],[order_date]])</f>
        <v>46</v>
      </c>
      <c r="R3879">
        <f>IF(Table1[[#This Row],[order_status]]="completed",1,0)</f>
        <v>1</v>
      </c>
    </row>
    <row r="3880" spans="1:18" x14ac:dyDescent="0.35">
      <c r="A3880">
        <v>3879</v>
      </c>
      <c r="B3880" s="1">
        <v>45937</v>
      </c>
      <c r="C3880">
        <v>1688</v>
      </c>
      <c r="D3880" t="s">
        <v>22</v>
      </c>
      <c r="E3880" t="s">
        <v>33</v>
      </c>
      <c r="F3880" t="s">
        <v>24</v>
      </c>
      <c r="G3880">
        <v>4</v>
      </c>
      <c r="H3880">
        <v>0</v>
      </c>
      <c r="I3880" t="s">
        <v>39</v>
      </c>
      <c r="J3880" t="s">
        <v>37</v>
      </c>
      <c r="K3880" t="s">
        <v>20</v>
      </c>
      <c r="L3880">
        <v>5</v>
      </c>
      <c r="M3880">
        <v>1</v>
      </c>
      <c r="N3880">
        <v>0</v>
      </c>
      <c r="O3880" t="s">
        <v>27</v>
      </c>
      <c r="P3880" t="str">
        <f>TEXT(Table1[[#This Row],[order_date]],"yyyy-mm")</f>
        <v>2025-10</v>
      </c>
      <c r="Q3880">
        <f>WEEKNUM(Table1[[#This Row],[order_date]])</f>
        <v>41</v>
      </c>
      <c r="R3880">
        <f>IF(Table1[[#This Row],[order_status]]="completed",1,0)</f>
        <v>0</v>
      </c>
    </row>
    <row r="3881" spans="1:18" x14ac:dyDescent="0.35">
      <c r="A3881">
        <v>3880</v>
      </c>
      <c r="B3881" s="1">
        <v>45940</v>
      </c>
      <c r="C3881">
        <v>1314</v>
      </c>
      <c r="D3881" t="s">
        <v>15</v>
      </c>
      <c r="E3881" t="s">
        <v>23</v>
      </c>
      <c r="F3881" t="s">
        <v>34</v>
      </c>
      <c r="G3881">
        <v>2</v>
      </c>
      <c r="H3881">
        <v>0</v>
      </c>
      <c r="I3881" t="s">
        <v>35</v>
      </c>
      <c r="J3881" t="s">
        <v>31</v>
      </c>
      <c r="K3881" t="s">
        <v>20</v>
      </c>
      <c r="L3881">
        <v>6</v>
      </c>
      <c r="M3881">
        <v>1</v>
      </c>
      <c r="N3881">
        <v>0</v>
      </c>
      <c r="O3881" t="s">
        <v>27</v>
      </c>
      <c r="P3881" t="str">
        <f>TEXT(Table1[[#This Row],[order_date]],"yyyy-mm")</f>
        <v>2025-10</v>
      </c>
      <c r="Q3881">
        <f>WEEKNUM(Table1[[#This Row],[order_date]])</f>
        <v>41</v>
      </c>
      <c r="R3881">
        <f>IF(Table1[[#This Row],[order_status]]="completed",1,0)</f>
        <v>0</v>
      </c>
    </row>
    <row r="3882" spans="1:18" x14ac:dyDescent="0.35">
      <c r="A3882">
        <v>3881</v>
      </c>
      <c r="B3882" s="1">
        <v>45883</v>
      </c>
      <c r="C3882">
        <v>1969</v>
      </c>
      <c r="D3882" t="s">
        <v>22</v>
      </c>
      <c r="E3882" t="s">
        <v>36</v>
      </c>
      <c r="F3882" t="s">
        <v>34</v>
      </c>
      <c r="G3882">
        <v>4</v>
      </c>
      <c r="H3882">
        <v>0</v>
      </c>
      <c r="I3882" t="s">
        <v>18</v>
      </c>
      <c r="J3882" t="s">
        <v>31</v>
      </c>
      <c r="K3882" t="s">
        <v>40</v>
      </c>
      <c r="L3882">
        <v>8</v>
      </c>
      <c r="M3882">
        <v>0</v>
      </c>
      <c r="N3882">
        <v>1</v>
      </c>
      <c r="O3882" t="s">
        <v>27</v>
      </c>
      <c r="P3882" t="str">
        <f>TEXT(Table1[[#This Row],[order_date]],"yyyy-mm")</f>
        <v>2025-08</v>
      </c>
      <c r="Q3882">
        <f>WEEKNUM(Table1[[#This Row],[order_date]])</f>
        <v>33</v>
      </c>
      <c r="R3882">
        <f>IF(Table1[[#This Row],[order_status]]="completed",1,0)</f>
        <v>0</v>
      </c>
    </row>
    <row r="3883" spans="1:18" x14ac:dyDescent="0.35">
      <c r="A3883">
        <v>3882</v>
      </c>
      <c r="B3883" s="1">
        <v>45936</v>
      </c>
      <c r="C3883">
        <v>1122</v>
      </c>
      <c r="D3883" t="s">
        <v>28</v>
      </c>
      <c r="E3883" t="s">
        <v>33</v>
      </c>
      <c r="F3883" t="s">
        <v>17</v>
      </c>
      <c r="G3883">
        <v>3</v>
      </c>
      <c r="H3883">
        <v>0</v>
      </c>
      <c r="I3883" t="s">
        <v>39</v>
      </c>
      <c r="J3883" t="s">
        <v>31</v>
      </c>
      <c r="K3883" t="s">
        <v>20</v>
      </c>
      <c r="L3883">
        <v>4</v>
      </c>
      <c r="M3883">
        <v>1</v>
      </c>
      <c r="N3883">
        <v>1</v>
      </c>
      <c r="O3883" t="s">
        <v>21</v>
      </c>
      <c r="P3883" t="str">
        <f>TEXT(Table1[[#This Row],[order_date]],"yyyy-mm")</f>
        <v>2025-10</v>
      </c>
      <c r="Q3883">
        <f>WEEKNUM(Table1[[#This Row],[order_date]])</f>
        <v>41</v>
      </c>
      <c r="R3883">
        <f>IF(Table1[[#This Row],[order_status]]="completed",1,0)</f>
        <v>0</v>
      </c>
    </row>
    <row r="3884" spans="1:18" x14ac:dyDescent="0.35">
      <c r="A3884">
        <v>3883</v>
      </c>
      <c r="B3884" s="1">
        <v>45873</v>
      </c>
      <c r="C3884">
        <v>1757</v>
      </c>
      <c r="D3884" t="s">
        <v>22</v>
      </c>
      <c r="E3884" t="s">
        <v>23</v>
      </c>
      <c r="F3884" t="s">
        <v>30</v>
      </c>
      <c r="G3884">
        <v>5</v>
      </c>
      <c r="H3884">
        <v>7555</v>
      </c>
      <c r="I3884" t="s">
        <v>25</v>
      </c>
      <c r="J3884" t="s">
        <v>19</v>
      </c>
      <c r="K3884" t="s">
        <v>40</v>
      </c>
      <c r="L3884">
        <v>2</v>
      </c>
      <c r="M3884">
        <v>0</v>
      </c>
      <c r="N3884">
        <v>1</v>
      </c>
      <c r="O3884" t="s">
        <v>27</v>
      </c>
      <c r="P3884" t="str">
        <f>TEXT(Table1[[#This Row],[order_date]],"yyyy-mm")</f>
        <v>2025-08</v>
      </c>
      <c r="Q3884">
        <f>WEEKNUM(Table1[[#This Row],[order_date]])</f>
        <v>32</v>
      </c>
      <c r="R3884">
        <f>IF(Table1[[#This Row],[order_status]]="completed",1,0)</f>
        <v>1</v>
      </c>
    </row>
    <row r="3885" spans="1:18" x14ac:dyDescent="0.35">
      <c r="A3885">
        <v>3884</v>
      </c>
      <c r="B3885" s="1">
        <v>45960</v>
      </c>
      <c r="C3885">
        <v>1841</v>
      </c>
      <c r="D3885" t="s">
        <v>41</v>
      </c>
      <c r="E3885" t="s">
        <v>36</v>
      </c>
      <c r="F3885" t="s">
        <v>17</v>
      </c>
      <c r="G3885">
        <v>1</v>
      </c>
      <c r="H3885">
        <v>0</v>
      </c>
      <c r="I3885" t="s">
        <v>35</v>
      </c>
      <c r="J3885" t="s">
        <v>31</v>
      </c>
      <c r="K3885" t="s">
        <v>40</v>
      </c>
      <c r="L3885">
        <v>6</v>
      </c>
      <c r="M3885">
        <v>0</v>
      </c>
      <c r="N3885">
        <v>0</v>
      </c>
      <c r="O3885" t="s">
        <v>21</v>
      </c>
      <c r="P3885" t="str">
        <f>TEXT(Table1[[#This Row],[order_date]],"yyyy-mm")</f>
        <v>2025-10</v>
      </c>
      <c r="Q3885">
        <f>WEEKNUM(Table1[[#This Row],[order_date]])</f>
        <v>44</v>
      </c>
      <c r="R3885">
        <f>IF(Table1[[#This Row],[order_status]]="completed",1,0)</f>
        <v>0</v>
      </c>
    </row>
    <row r="3886" spans="1:18" x14ac:dyDescent="0.35">
      <c r="A3886">
        <v>3885</v>
      </c>
      <c r="B3886" s="1">
        <v>45940</v>
      </c>
      <c r="C3886">
        <v>1363</v>
      </c>
      <c r="D3886" t="s">
        <v>41</v>
      </c>
      <c r="E3886" t="s">
        <v>33</v>
      </c>
      <c r="F3886" t="s">
        <v>17</v>
      </c>
      <c r="G3886">
        <v>5</v>
      </c>
      <c r="H3886">
        <v>0</v>
      </c>
      <c r="I3886" t="s">
        <v>18</v>
      </c>
      <c r="J3886" t="s">
        <v>37</v>
      </c>
      <c r="K3886" t="s">
        <v>40</v>
      </c>
      <c r="L3886">
        <v>8</v>
      </c>
      <c r="M3886">
        <v>1</v>
      </c>
      <c r="N3886">
        <v>1</v>
      </c>
      <c r="O3886" t="s">
        <v>21</v>
      </c>
      <c r="P3886" t="str">
        <f>TEXT(Table1[[#This Row],[order_date]],"yyyy-mm")</f>
        <v>2025-10</v>
      </c>
      <c r="Q3886">
        <f>WEEKNUM(Table1[[#This Row],[order_date]])</f>
        <v>41</v>
      </c>
      <c r="R3886">
        <f>IF(Table1[[#This Row],[order_status]]="completed",1,0)</f>
        <v>0</v>
      </c>
    </row>
    <row r="3887" spans="1:18" x14ac:dyDescent="0.35">
      <c r="A3887">
        <v>3886</v>
      </c>
      <c r="B3887" s="1">
        <v>45891</v>
      </c>
      <c r="C3887">
        <v>1815</v>
      </c>
      <c r="D3887" t="s">
        <v>22</v>
      </c>
      <c r="E3887" t="s">
        <v>33</v>
      </c>
      <c r="F3887" t="s">
        <v>30</v>
      </c>
      <c r="G3887">
        <v>4</v>
      </c>
      <c r="H3887">
        <v>0</v>
      </c>
      <c r="I3887" t="s">
        <v>39</v>
      </c>
      <c r="J3887" t="s">
        <v>37</v>
      </c>
      <c r="K3887" t="s">
        <v>38</v>
      </c>
      <c r="L3887">
        <v>2</v>
      </c>
      <c r="M3887">
        <v>0</v>
      </c>
      <c r="N3887">
        <v>1</v>
      </c>
      <c r="O3887" t="s">
        <v>21</v>
      </c>
      <c r="P3887" t="str">
        <f>TEXT(Table1[[#This Row],[order_date]],"yyyy-mm")</f>
        <v>2025-08</v>
      </c>
      <c r="Q3887">
        <f>WEEKNUM(Table1[[#This Row],[order_date]])</f>
        <v>34</v>
      </c>
      <c r="R3887">
        <f>IF(Table1[[#This Row],[order_status]]="completed",1,0)</f>
        <v>0</v>
      </c>
    </row>
    <row r="3888" spans="1:18" x14ac:dyDescent="0.35">
      <c r="A3888">
        <v>3887</v>
      </c>
      <c r="B3888" s="1">
        <v>45892</v>
      </c>
      <c r="C3888">
        <v>1281</v>
      </c>
      <c r="D3888" t="s">
        <v>32</v>
      </c>
      <c r="E3888" t="s">
        <v>16</v>
      </c>
      <c r="F3888" t="s">
        <v>34</v>
      </c>
      <c r="G3888">
        <v>2</v>
      </c>
      <c r="H3888">
        <v>0</v>
      </c>
      <c r="I3888" t="s">
        <v>25</v>
      </c>
      <c r="J3888" t="s">
        <v>37</v>
      </c>
      <c r="K3888" t="s">
        <v>38</v>
      </c>
      <c r="L3888">
        <v>10</v>
      </c>
      <c r="M3888">
        <v>1</v>
      </c>
      <c r="N3888">
        <v>1</v>
      </c>
      <c r="O3888" t="s">
        <v>27</v>
      </c>
      <c r="P3888" t="str">
        <f>TEXT(Table1[[#This Row],[order_date]],"yyyy-mm")</f>
        <v>2025-08</v>
      </c>
      <c r="Q3888">
        <f>WEEKNUM(Table1[[#This Row],[order_date]])</f>
        <v>34</v>
      </c>
      <c r="R3888">
        <f>IF(Table1[[#This Row],[order_status]]="completed",1,0)</f>
        <v>0</v>
      </c>
    </row>
    <row r="3889" spans="1:18" x14ac:dyDescent="0.35">
      <c r="A3889">
        <v>3888</v>
      </c>
      <c r="B3889" s="1">
        <v>45900</v>
      </c>
      <c r="C3889">
        <v>1921</v>
      </c>
      <c r="D3889" t="s">
        <v>28</v>
      </c>
      <c r="E3889" t="s">
        <v>33</v>
      </c>
      <c r="F3889" t="s">
        <v>17</v>
      </c>
      <c r="G3889">
        <v>2</v>
      </c>
      <c r="H3889">
        <v>0</v>
      </c>
      <c r="I3889" t="s">
        <v>39</v>
      </c>
      <c r="J3889" t="s">
        <v>37</v>
      </c>
      <c r="K3889" t="s">
        <v>40</v>
      </c>
      <c r="L3889">
        <v>1</v>
      </c>
      <c r="M3889">
        <v>0</v>
      </c>
      <c r="N3889">
        <v>0</v>
      </c>
      <c r="O3889" t="s">
        <v>21</v>
      </c>
      <c r="P3889" t="str">
        <f>TEXT(Table1[[#This Row],[order_date]],"yyyy-mm")</f>
        <v>2025-08</v>
      </c>
      <c r="Q3889">
        <f>WEEKNUM(Table1[[#This Row],[order_date]])</f>
        <v>36</v>
      </c>
      <c r="R3889">
        <f>IF(Table1[[#This Row],[order_status]]="completed",1,0)</f>
        <v>0</v>
      </c>
    </row>
    <row r="3890" spans="1:18" x14ac:dyDescent="0.35">
      <c r="A3890">
        <v>3889</v>
      </c>
      <c r="B3890" s="1">
        <v>45864</v>
      </c>
      <c r="C3890">
        <v>1533</v>
      </c>
      <c r="D3890" t="s">
        <v>15</v>
      </c>
      <c r="E3890" t="s">
        <v>33</v>
      </c>
      <c r="F3890" t="s">
        <v>17</v>
      </c>
      <c r="G3890">
        <v>5</v>
      </c>
      <c r="H3890">
        <v>0</v>
      </c>
      <c r="I3890" t="s">
        <v>18</v>
      </c>
      <c r="J3890" t="s">
        <v>31</v>
      </c>
      <c r="K3890" t="s">
        <v>26</v>
      </c>
      <c r="L3890">
        <v>3</v>
      </c>
      <c r="M3890">
        <v>0</v>
      </c>
      <c r="N3890">
        <v>0</v>
      </c>
      <c r="O3890" t="s">
        <v>27</v>
      </c>
      <c r="P3890" t="str">
        <f>TEXT(Table1[[#This Row],[order_date]],"yyyy-mm")</f>
        <v>2025-07</v>
      </c>
      <c r="Q3890">
        <f>WEEKNUM(Table1[[#This Row],[order_date]])</f>
        <v>30</v>
      </c>
      <c r="R3890">
        <f>IF(Table1[[#This Row],[order_status]]="completed",1,0)</f>
        <v>0</v>
      </c>
    </row>
    <row r="3891" spans="1:18" x14ac:dyDescent="0.35">
      <c r="A3891">
        <v>3890</v>
      </c>
      <c r="B3891" s="1">
        <v>46014</v>
      </c>
      <c r="C3891">
        <v>1616</v>
      </c>
      <c r="D3891" t="s">
        <v>41</v>
      </c>
      <c r="E3891" t="s">
        <v>29</v>
      </c>
      <c r="F3891" t="s">
        <v>30</v>
      </c>
      <c r="G3891">
        <v>5</v>
      </c>
      <c r="H3891">
        <v>0</v>
      </c>
      <c r="I3891" t="s">
        <v>25</v>
      </c>
      <c r="J3891" t="s">
        <v>37</v>
      </c>
      <c r="K3891" t="s">
        <v>20</v>
      </c>
      <c r="L3891">
        <v>5</v>
      </c>
      <c r="M3891">
        <v>1</v>
      </c>
      <c r="N3891">
        <v>0</v>
      </c>
      <c r="O3891" t="s">
        <v>21</v>
      </c>
      <c r="P3891" t="str">
        <f>TEXT(Table1[[#This Row],[order_date]],"yyyy-mm")</f>
        <v>2025-12</v>
      </c>
      <c r="Q3891">
        <f>WEEKNUM(Table1[[#This Row],[order_date]])</f>
        <v>52</v>
      </c>
      <c r="R3891">
        <f>IF(Table1[[#This Row],[order_status]]="completed",1,0)</f>
        <v>0</v>
      </c>
    </row>
    <row r="3892" spans="1:18" x14ac:dyDescent="0.35">
      <c r="A3892">
        <v>3891</v>
      </c>
      <c r="B3892" s="1">
        <v>45964</v>
      </c>
      <c r="C3892">
        <v>1641</v>
      </c>
      <c r="D3892" t="s">
        <v>28</v>
      </c>
      <c r="E3892" t="s">
        <v>36</v>
      </c>
      <c r="F3892" t="s">
        <v>34</v>
      </c>
      <c r="G3892">
        <v>5</v>
      </c>
      <c r="H3892">
        <v>0</v>
      </c>
      <c r="I3892" t="s">
        <v>25</v>
      </c>
      <c r="J3892" t="s">
        <v>31</v>
      </c>
      <c r="K3892" t="s">
        <v>40</v>
      </c>
      <c r="L3892">
        <v>10</v>
      </c>
      <c r="M3892">
        <v>0</v>
      </c>
      <c r="N3892">
        <v>1</v>
      </c>
      <c r="O3892" t="s">
        <v>27</v>
      </c>
      <c r="P3892" t="str">
        <f>TEXT(Table1[[#This Row],[order_date]],"yyyy-mm")</f>
        <v>2025-11</v>
      </c>
      <c r="Q3892">
        <f>WEEKNUM(Table1[[#This Row],[order_date]])</f>
        <v>45</v>
      </c>
      <c r="R3892">
        <f>IF(Table1[[#This Row],[order_status]]="completed",1,0)</f>
        <v>0</v>
      </c>
    </row>
    <row r="3893" spans="1:18" x14ac:dyDescent="0.35">
      <c r="A3893">
        <v>3892</v>
      </c>
      <c r="B3893" s="1">
        <v>45959</v>
      </c>
      <c r="C3893">
        <v>1013</v>
      </c>
      <c r="D3893" t="s">
        <v>15</v>
      </c>
      <c r="E3893" t="s">
        <v>23</v>
      </c>
      <c r="F3893" t="s">
        <v>34</v>
      </c>
      <c r="G3893">
        <v>2</v>
      </c>
      <c r="H3893">
        <v>9728</v>
      </c>
      <c r="I3893" t="s">
        <v>39</v>
      </c>
      <c r="J3893" t="s">
        <v>19</v>
      </c>
      <c r="K3893" t="s">
        <v>26</v>
      </c>
      <c r="L3893">
        <v>1</v>
      </c>
      <c r="M3893">
        <v>1</v>
      </c>
      <c r="N3893">
        <v>1</v>
      </c>
      <c r="O3893" t="s">
        <v>27</v>
      </c>
      <c r="P3893" t="str">
        <f>TEXT(Table1[[#This Row],[order_date]],"yyyy-mm")</f>
        <v>2025-10</v>
      </c>
      <c r="Q3893">
        <f>WEEKNUM(Table1[[#This Row],[order_date]])</f>
        <v>44</v>
      </c>
      <c r="R3893">
        <f>IF(Table1[[#This Row],[order_status]]="completed",1,0)</f>
        <v>1</v>
      </c>
    </row>
    <row r="3894" spans="1:18" x14ac:dyDescent="0.35">
      <c r="A3894">
        <v>3893</v>
      </c>
      <c r="B3894" s="1">
        <v>45898</v>
      </c>
      <c r="C3894">
        <v>1531</v>
      </c>
      <c r="D3894" t="s">
        <v>15</v>
      </c>
      <c r="E3894" t="s">
        <v>36</v>
      </c>
      <c r="F3894" t="s">
        <v>17</v>
      </c>
      <c r="G3894">
        <v>2</v>
      </c>
      <c r="H3894">
        <v>5340</v>
      </c>
      <c r="I3894" t="s">
        <v>35</v>
      </c>
      <c r="J3894" t="s">
        <v>19</v>
      </c>
      <c r="K3894" t="s">
        <v>20</v>
      </c>
      <c r="L3894">
        <v>6</v>
      </c>
      <c r="M3894">
        <v>1</v>
      </c>
      <c r="N3894">
        <v>0</v>
      </c>
      <c r="O3894" t="s">
        <v>27</v>
      </c>
      <c r="P3894" t="str">
        <f>TEXT(Table1[[#This Row],[order_date]],"yyyy-mm")</f>
        <v>2025-08</v>
      </c>
      <c r="Q3894">
        <f>WEEKNUM(Table1[[#This Row],[order_date]])</f>
        <v>35</v>
      </c>
      <c r="R3894">
        <f>IF(Table1[[#This Row],[order_status]]="completed",1,0)</f>
        <v>1</v>
      </c>
    </row>
    <row r="3895" spans="1:18" x14ac:dyDescent="0.35">
      <c r="A3895">
        <v>3894</v>
      </c>
      <c r="B3895" s="1">
        <v>45962</v>
      </c>
      <c r="C3895">
        <v>1992</v>
      </c>
      <c r="D3895" t="s">
        <v>22</v>
      </c>
      <c r="E3895" t="s">
        <v>16</v>
      </c>
      <c r="F3895" t="s">
        <v>17</v>
      </c>
      <c r="G3895">
        <v>4</v>
      </c>
      <c r="H3895">
        <v>7424</v>
      </c>
      <c r="I3895" t="s">
        <v>35</v>
      </c>
      <c r="J3895" t="s">
        <v>19</v>
      </c>
      <c r="K3895" t="s">
        <v>38</v>
      </c>
      <c r="L3895">
        <v>9</v>
      </c>
      <c r="M3895">
        <v>0</v>
      </c>
      <c r="N3895">
        <v>0</v>
      </c>
      <c r="O3895" t="s">
        <v>27</v>
      </c>
      <c r="P3895" t="str">
        <f>TEXT(Table1[[#This Row],[order_date]],"yyyy-mm")</f>
        <v>2025-11</v>
      </c>
      <c r="Q3895">
        <f>WEEKNUM(Table1[[#This Row],[order_date]])</f>
        <v>44</v>
      </c>
      <c r="R3895">
        <f>IF(Table1[[#This Row],[order_status]]="completed",1,0)</f>
        <v>1</v>
      </c>
    </row>
    <row r="3896" spans="1:18" x14ac:dyDescent="0.35">
      <c r="A3896">
        <v>3895</v>
      </c>
      <c r="B3896" s="1">
        <v>45963</v>
      </c>
      <c r="C3896">
        <v>1402</v>
      </c>
      <c r="D3896" t="s">
        <v>41</v>
      </c>
      <c r="E3896" t="s">
        <v>23</v>
      </c>
      <c r="F3896" t="s">
        <v>24</v>
      </c>
      <c r="G3896">
        <v>1</v>
      </c>
      <c r="H3896">
        <v>0</v>
      </c>
      <c r="I3896" t="s">
        <v>35</v>
      </c>
      <c r="J3896" t="s">
        <v>37</v>
      </c>
      <c r="K3896" t="s">
        <v>38</v>
      </c>
      <c r="L3896">
        <v>8</v>
      </c>
      <c r="M3896">
        <v>0</v>
      </c>
      <c r="N3896">
        <v>0</v>
      </c>
      <c r="O3896" t="s">
        <v>27</v>
      </c>
      <c r="P3896" t="str">
        <f>TEXT(Table1[[#This Row],[order_date]],"yyyy-mm")</f>
        <v>2025-11</v>
      </c>
      <c r="Q3896">
        <f>WEEKNUM(Table1[[#This Row],[order_date]])</f>
        <v>45</v>
      </c>
      <c r="R3896">
        <f>IF(Table1[[#This Row],[order_status]]="completed",1,0)</f>
        <v>0</v>
      </c>
    </row>
    <row r="3897" spans="1:18" x14ac:dyDescent="0.35">
      <c r="A3897">
        <v>3896</v>
      </c>
      <c r="B3897" s="1">
        <v>46010</v>
      </c>
      <c r="C3897">
        <v>1489</v>
      </c>
      <c r="D3897" t="s">
        <v>28</v>
      </c>
      <c r="E3897" t="s">
        <v>33</v>
      </c>
      <c r="F3897" t="s">
        <v>17</v>
      </c>
      <c r="G3897">
        <v>4</v>
      </c>
      <c r="H3897">
        <v>0</v>
      </c>
      <c r="I3897" t="s">
        <v>25</v>
      </c>
      <c r="J3897" t="s">
        <v>31</v>
      </c>
      <c r="K3897" t="s">
        <v>26</v>
      </c>
      <c r="L3897">
        <v>3</v>
      </c>
      <c r="M3897">
        <v>0</v>
      </c>
      <c r="N3897">
        <v>0</v>
      </c>
      <c r="O3897" t="s">
        <v>21</v>
      </c>
      <c r="P3897" t="str">
        <f>TEXT(Table1[[#This Row],[order_date]],"yyyy-mm")</f>
        <v>2025-12</v>
      </c>
      <c r="Q3897">
        <f>WEEKNUM(Table1[[#This Row],[order_date]])</f>
        <v>51</v>
      </c>
      <c r="R3897">
        <f>IF(Table1[[#This Row],[order_status]]="completed",1,0)</f>
        <v>0</v>
      </c>
    </row>
    <row r="3898" spans="1:18" x14ac:dyDescent="0.35">
      <c r="A3898">
        <v>3897</v>
      </c>
      <c r="B3898" s="1">
        <v>45851</v>
      </c>
      <c r="C3898">
        <v>1806</v>
      </c>
      <c r="D3898" t="s">
        <v>32</v>
      </c>
      <c r="E3898" t="s">
        <v>33</v>
      </c>
      <c r="F3898" t="s">
        <v>34</v>
      </c>
      <c r="G3898">
        <v>5</v>
      </c>
      <c r="H3898">
        <v>0</v>
      </c>
      <c r="I3898" t="s">
        <v>25</v>
      </c>
      <c r="J3898" t="s">
        <v>37</v>
      </c>
      <c r="K3898" t="s">
        <v>26</v>
      </c>
      <c r="L3898">
        <v>7</v>
      </c>
      <c r="M3898">
        <v>1</v>
      </c>
      <c r="N3898">
        <v>1</v>
      </c>
      <c r="O3898" t="s">
        <v>27</v>
      </c>
      <c r="P3898" t="str">
        <f>TEXT(Table1[[#This Row],[order_date]],"yyyy-mm")</f>
        <v>2025-07</v>
      </c>
      <c r="Q3898">
        <f>WEEKNUM(Table1[[#This Row],[order_date]])</f>
        <v>29</v>
      </c>
      <c r="R3898">
        <f>IF(Table1[[#This Row],[order_status]]="completed",1,0)</f>
        <v>0</v>
      </c>
    </row>
    <row r="3899" spans="1:18" x14ac:dyDescent="0.35">
      <c r="A3899">
        <v>3898</v>
      </c>
      <c r="B3899" s="1">
        <v>45925</v>
      </c>
      <c r="C3899">
        <v>1747</v>
      </c>
      <c r="D3899" t="s">
        <v>41</v>
      </c>
      <c r="E3899" t="s">
        <v>16</v>
      </c>
      <c r="F3899" t="s">
        <v>24</v>
      </c>
      <c r="G3899">
        <v>1</v>
      </c>
      <c r="H3899">
        <v>3097</v>
      </c>
      <c r="I3899" t="s">
        <v>39</v>
      </c>
      <c r="J3899" t="s">
        <v>19</v>
      </c>
      <c r="K3899" t="s">
        <v>26</v>
      </c>
      <c r="L3899">
        <v>5</v>
      </c>
      <c r="M3899">
        <v>0</v>
      </c>
      <c r="N3899">
        <v>1</v>
      </c>
      <c r="O3899" t="s">
        <v>27</v>
      </c>
      <c r="P3899" t="str">
        <f>TEXT(Table1[[#This Row],[order_date]],"yyyy-mm")</f>
        <v>2025-09</v>
      </c>
      <c r="Q3899">
        <f>WEEKNUM(Table1[[#This Row],[order_date]])</f>
        <v>39</v>
      </c>
      <c r="R3899">
        <f>IF(Table1[[#This Row],[order_status]]="completed",1,0)</f>
        <v>1</v>
      </c>
    </row>
    <row r="3900" spans="1:18" x14ac:dyDescent="0.35">
      <c r="A3900">
        <v>3899</v>
      </c>
      <c r="B3900" s="1">
        <v>45904</v>
      </c>
      <c r="C3900">
        <v>1576</v>
      </c>
      <c r="D3900" t="s">
        <v>28</v>
      </c>
      <c r="E3900" t="s">
        <v>29</v>
      </c>
      <c r="F3900" t="s">
        <v>34</v>
      </c>
      <c r="G3900">
        <v>3</v>
      </c>
      <c r="H3900">
        <v>12516</v>
      </c>
      <c r="I3900" t="s">
        <v>39</v>
      </c>
      <c r="J3900" t="s">
        <v>19</v>
      </c>
      <c r="K3900" t="s">
        <v>26</v>
      </c>
      <c r="L3900">
        <v>2</v>
      </c>
      <c r="M3900">
        <v>0</v>
      </c>
      <c r="N3900">
        <v>0</v>
      </c>
      <c r="O3900" t="s">
        <v>21</v>
      </c>
      <c r="P3900" t="str">
        <f>TEXT(Table1[[#This Row],[order_date]],"yyyy-mm")</f>
        <v>2025-09</v>
      </c>
      <c r="Q3900">
        <f>WEEKNUM(Table1[[#This Row],[order_date]])</f>
        <v>36</v>
      </c>
      <c r="R3900">
        <f>IF(Table1[[#This Row],[order_status]]="completed",1,0)</f>
        <v>1</v>
      </c>
    </row>
    <row r="3901" spans="1:18" x14ac:dyDescent="0.35">
      <c r="A3901">
        <v>3900</v>
      </c>
      <c r="B3901" s="1">
        <v>46020</v>
      </c>
      <c r="C3901">
        <v>1412</v>
      </c>
      <c r="D3901" t="s">
        <v>28</v>
      </c>
      <c r="E3901" t="s">
        <v>16</v>
      </c>
      <c r="F3901" t="s">
        <v>24</v>
      </c>
      <c r="G3901">
        <v>5</v>
      </c>
      <c r="H3901">
        <v>4380</v>
      </c>
      <c r="I3901" t="s">
        <v>35</v>
      </c>
      <c r="J3901" t="s">
        <v>19</v>
      </c>
      <c r="K3901" t="s">
        <v>38</v>
      </c>
      <c r="L3901">
        <v>8</v>
      </c>
      <c r="M3901">
        <v>0</v>
      </c>
      <c r="N3901">
        <v>0</v>
      </c>
      <c r="O3901" t="s">
        <v>21</v>
      </c>
      <c r="P3901" t="str">
        <f>TEXT(Table1[[#This Row],[order_date]],"yyyy-mm")</f>
        <v>2025-12</v>
      </c>
      <c r="Q3901">
        <f>WEEKNUM(Table1[[#This Row],[order_date]])</f>
        <v>53</v>
      </c>
      <c r="R3901">
        <f>IF(Table1[[#This Row],[order_status]]="completed",1,0)</f>
        <v>1</v>
      </c>
    </row>
    <row r="3902" spans="1:18" x14ac:dyDescent="0.35">
      <c r="A3902">
        <v>3901</v>
      </c>
      <c r="B3902" s="1">
        <v>45888</v>
      </c>
      <c r="C3902">
        <v>1348</v>
      </c>
      <c r="D3902" t="s">
        <v>22</v>
      </c>
      <c r="E3902" t="s">
        <v>29</v>
      </c>
      <c r="F3902" t="s">
        <v>24</v>
      </c>
      <c r="G3902">
        <v>3</v>
      </c>
      <c r="H3902">
        <v>14553</v>
      </c>
      <c r="I3902" t="s">
        <v>18</v>
      </c>
      <c r="J3902" t="s">
        <v>19</v>
      </c>
      <c r="K3902" t="s">
        <v>20</v>
      </c>
      <c r="L3902">
        <v>4</v>
      </c>
      <c r="M3902">
        <v>1</v>
      </c>
      <c r="N3902">
        <v>0</v>
      </c>
      <c r="O3902" t="s">
        <v>21</v>
      </c>
      <c r="P3902" t="str">
        <f>TEXT(Table1[[#This Row],[order_date]],"yyyy-mm")</f>
        <v>2025-08</v>
      </c>
      <c r="Q3902">
        <f>WEEKNUM(Table1[[#This Row],[order_date]])</f>
        <v>34</v>
      </c>
      <c r="R3902">
        <f>IF(Table1[[#This Row],[order_status]]="completed",1,0)</f>
        <v>1</v>
      </c>
    </row>
    <row r="3903" spans="1:18" x14ac:dyDescent="0.35">
      <c r="A3903">
        <v>3902</v>
      </c>
      <c r="B3903" s="1">
        <v>45960</v>
      </c>
      <c r="C3903">
        <v>1516</v>
      </c>
      <c r="D3903" t="s">
        <v>28</v>
      </c>
      <c r="E3903" t="s">
        <v>16</v>
      </c>
      <c r="F3903" t="s">
        <v>24</v>
      </c>
      <c r="G3903">
        <v>2</v>
      </c>
      <c r="H3903">
        <v>0</v>
      </c>
      <c r="I3903" t="s">
        <v>39</v>
      </c>
      <c r="J3903" t="s">
        <v>37</v>
      </c>
      <c r="K3903" t="s">
        <v>26</v>
      </c>
      <c r="L3903">
        <v>2</v>
      </c>
      <c r="M3903">
        <v>0</v>
      </c>
      <c r="N3903">
        <v>0</v>
      </c>
      <c r="O3903" t="s">
        <v>27</v>
      </c>
      <c r="P3903" t="str">
        <f>TEXT(Table1[[#This Row],[order_date]],"yyyy-mm")</f>
        <v>2025-10</v>
      </c>
      <c r="Q3903">
        <f>WEEKNUM(Table1[[#This Row],[order_date]])</f>
        <v>44</v>
      </c>
      <c r="R3903">
        <f>IF(Table1[[#This Row],[order_status]]="completed",1,0)</f>
        <v>0</v>
      </c>
    </row>
    <row r="3904" spans="1:18" x14ac:dyDescent="0.35">
      <c r="A3904">
        <v>3903</v>
      </c>
      <c r="B3904" s="1">
        <v>45871</v>
      </c>
      <c r="C3904">
        <v>1631</v>
      </c>
      <c r="D3904" t="s">
        <v>41</v>
      </c>
      <c r="E3904" t="s">
        <v>33</v>
      </c>
      <c r="F3904" t="s">
        <v>17</v>
      </c>
      <c r="G3904">
        <v>1</v>
      </c>
      <c r="H3904">
        <v>0</v>
      </c>
      <c r="I3904" t="s">
        <v>18</v>
      </c>
      <c r="J3904" t="s">
        <v>37</v>
      </c>
      <c r="K3904" t="s">
        <v>40</v>
      </c>
      <c r="L3904">
        <v>1</v>
      </c>
      <c r="M3904">
        <v>1</v>
      </c>
      <c r="N3904">
        <v>0</v>
      </c>
      <c r="O3904" t="s">
        <v>21</v>
      </c>
      <c r="P3904" t="str">
        <f>TEXT(Table1[[#This Row],[order_date]],"yyyy-mm")</f>
        <v>2025-08</v>
      </c>
      <c r="Q3904">
        <f>WEEKNUM(Table1[[#This Row],[order_date]])</f>
        <v>31</v>
      </c>
      <c r="R3904">
        <f>IF(Table1[[#This Row],[order_status]]="completed",1,0)</f>
        <v>0</v>
      </c>
    </row>
    <row r="3905" spans="1:18" x14ac:dyDescent="0.35">
      <c r="A3905">
        <v>3904</v>
      </c>
      <c r="B3905" s="1">
        <v>45902</v>
      </c>
      <c r="C3905">
        <v>1367</v>
      </c>
      <c r="D3905" t="s">
        <v>41</v>
      </c>
      <c r="E3905" t="s">
        <v>33</v>
      </c>
      <c r="F3905" t="s">
        <v>17</v>
      </c>
      <c r="G3905">
        <v>3</v>
      </c>
      <c r="H3905">
        <v>0</v>
      </c>
      <c r="I3905" t="s">
        <v>18</v>
      </c>
      <c r="J3905" t="s">
        <v>31</v>
      </c>
      <c r="K3905" t="s">
        <v>40</v>
      </c>
      <c r="L3905">
        <v>6</v>
      </c>
      <c r="M3905">
        <v>1</v>
      </c>
      <c r="N3905">
        <v>0</v>
      </c>
      <c r="O3905" t="s">
        <v>21</v>
      </c>
      <c r="P3905" t="str">
        <f>TEXT(Table1[[#This Row],[order_date]],"yyyy-mm")</f>
        <v>2025-09</v>
      </c>
      <c r="Q3905">
        <f>WEEKNUM(Table1[[#This Row],[order_date]])</f>
        <v>36</v>
      </c>
      <c r="R3905">
        <f>IF(Table1[[#This Row],[order_status]]="completed",1,0)</f>
        <v>0</v>
      </c>
    </row>
    <row r="3906" spans="1:18" x14ac:dyDescent="0.35">
      <c r="A3906">
        <v>3905</v>
      </c>
      <c r="B3906" s="1">
        <v>46029</v>
      </c>
      <c r="C3906">
        <v>1891</v>
      </c>
      <c r="D3906" t="s">
        <v>22</v>
      </c>
      <c r="E3906" t="s">
        <v>36</v>
      </c>
      <c r="F3906" t="s">
        <v>30</v>
      </c>
      <c r="G3906">
        <v>4</v>
      </c>
      <c r="H3906">
        <v>5796</v>
      </c>
      <c r="I3906" t="s">
        <v>35</v>
      </c>
      <c r="J3906" t="s">
        <v>19</v>
      </c>
      <c r="K3906" t="s">
        <v>38</v>
      </c>
      <c r="L3906">
        <v>3</v>
      </c>
      <c r="M3906">
        <v>0</v>
      </c>
      <c r="N3906">
        <v>1</v>
      </c>
      <c r="O3906" t="s">
        <v>27</v>
      </c>
      <c r="P3906" t="str">
        <f>TEXT(Table1[[#This Row],[order_date]],"yyyy-mm")</f>
        <v>2026-01</v>
      </c>
      <c r="Q3906">
        <f>WEEKNUM(Table1[[#This Row],[order_date]])</f>
        <v>2</v>
      </c>
      <c r="R3906">
        <f>IF(Table1[[#This Row],[order_status]]="completed",1,0)</f>
        <v>1</v>
      </c>
    </row>
    <row r="3907" spans="1:18" x14ac:dyDescent="0.35">
      <c r="A3907">
        <v>3906</v>
      </c>
      <c r="B3907" s="1">
        <v>45891</v>
      </c>
      <c r="C3907">
        <v>1806</v>
      </c>
      <c r="D3907" t="s">
        <v>15</v>
      </c>
      <c r="E3907" t="s">
        <v>33</v>
      </c>
      <c r="F3907" t="s">
        <v>34</v>
      </c>
      <c r="G3907">
        <v>4</v>
      </c>
      <c r="H3907">
        <v>0</v>
      </c>
      <c r="I3907" t="s">
        <v>18</v>
      </c>
      <c r="J3907" t="s">
        <v>37</v>
      </c>
      <c r="K3907" t="s">
        <v>40</v>
      </c>
      <c r="L3907">
        <v>7</v>
      </c>
      <c r="M3907">
        <v>0</v>
      </c>
      <c r="N3907">
        <v>0</v>
      </c>
      <c r="O3907" t="s">
        <v>27</v>
      </c>
      <c r="P3907" t="str">
        <f>TEXT(Table1[[#This Row],[order_date]],"yyyy-mm")</f>
        <v>2025-08</v>
      </c>
      <c r="Q3907">
        <f>WEEKNUM(Table1[[#This Row],[order_date]])</f>
        <v>34</v>
      </c>
      <c r="R3907">
        <f>IF(Table1[[#This Row],[order_status]]="completed",1,0)</f>
        <v>0</v>
      </c>
    </row>
    <row r="3908" spans="1:18" x14ac:dyDescent="0.35">
      <c r="A3908">
        <v>3907</v>
      </c>
      <c r="B3908" s="1">
        <v>46003</v>
      </c>
      <c r="C3908">
        <v>1684</v>
      </c>
      <c r="D3908" t="s">
        <v>22</v>
      </c>
      <c r="E3908" t="s">
        <v>33</v>
      </c>
      <c r="F3908" t="s">
        <v>24</v>
      </c>
      <c r="G3908">
        <v>5</v>
      </c>
      <c r="H3908">
        <v>23885</v>
      </c>
      <c r="I3908" t="s">
        <v>18</v>
      </c>
      <c r="J3908" t="s">
        <v>19</v>
      </c>
      <c r="K3908" t="s">
        <v>26</v>
      </c>
      <c r="L3908">
        <v>3</v>
      </c>
      <c r="M3908">
        <v>1</v>
      </c>
      <c r="N3908">
        <v>0</v>
      </c>
      <c r="O3908" t="s">
        <v>27</v>
      </c>
      <c r="P3908" t="str">
        <f>TEXT(Table1[[#This Row],[order_date]],"yyyy-mm")</f>
        <v>2025-12</v>
      </c>
      <c r="Q3908">
        <f>WEEKNUM(Table1[[#This Row],[order_date]])</f>
        <v>50</v>
      </c>
      <c r="R3908">
        <f>IF(Table1[[#This Row],[order_status]]="completed",1,0)</f>
        <v>1</v>
      </c>
    </row>
    <row r="3909" spans="1:18" x14ac:dyDescent="0.35">
      <c r="A3909">
        <v>3908</v>
      </c>
      <c r="B3909" s="1">
        <v>45911</v>
      </c>
      <c r="C3909">
        <v>1682</v>
      </c>
      <c r="D3909" t="s">
        <v>22</v>
      </c>
      <c r="E3909" t="s">
        <v>36</v>
      </c>
      <c r="F3909" t="s">
        <v>17</v>
      </c>
      <c r="G3909">
        <v>1</v>
      </c>
      <c r="H3909">
        <v>1955</v>
      </c>
      <c r="I3909" t="s">
        <v>35</v>
      </c>
      <c r="J3909" t="s">
        <v>19</v>
      </c>
      <c r="K3909" t="s">
        <v>40</v>
      </c>
      <c r="L3909">
        <v>9</v>
      </c>
      <c r="M3909">
        <v>1</v>
      </c>
      <c r="N3909">
        <v>1</v>
      </c>
      <c r="O3909" t="s">
        <v>21</v>
      </c>
      <c r="P3909" t="str">
        <f>TEXT(Table1[[#This Row],[order_date]],"yyyy-mm")</f>
        <v>2025-09</v>
      </c>
      <c r="Q3909">
        <f>WEEKNUM(Table1[[#This Row],[order_date]])</f>
        <v>37</v>
      </c>
      <c r="R3909">
        <f>IF(Table1[[#This Row],[order_status]]="completed",1,0)</f>
        <v>1</v>
      </c>
    </row>
    <row r="3910" spans="1:18" x14ac:dyDescent="0.35">
      <c r="A3910">
        <v>3909</v>
      </c>
      <c r="B3910" s="1">
        <v>45895</v>
      </c>
      <c r="C3910">
        <v>1611</v>
      </c>
      <c r="D3910" t="s">
        <v>15</v>
      </c>
      <c r="E3910" t="s">
        <v>36</v>
      </c>
      <c r="F3910" t="s">
        <v>30</v>
      </c>
      <c r="G3910">
        <v>1</v>
      </c>
      <c r="H3910">
        <v>461</v>
      </c>
      <c r="I3910" t="s">
        <v>39</v>
      </c>
      <c r="J3910" t="s">
        <v>19</v>
      </c>
      <c r="K3910" t="s">
        <v>38</v>
      </c>
      <c r="L3910">
        <v>2</v>
      </c>
      <c r="M3910">
        <v>0</v>
      </c>
      <c r="N3910">
        <v>0</v>
      </c>
      <c r="O3910" t="s">
        <v>21</v>
      </c>
      <c r="P3910" t="str">
        <f>TEXT(Table1[[#This Row],[order_date]],"yyyy-mm")</f>
        <v>2025-08</v>
      </c>
      <c r="Q3910">
        <f>WEEKNUM(Table1[[#This Row],[order_date]])</f>
        <v>35</v>
      </c>
      <c r="R3910">
        <f>IF(Table1[[#This Row],[order_status]]="completed",1,0)</f>
        <v>1</v>
      </c>
    </row>
    <row r="3911" spans="1:18" x14ac:dyDescent="0.35">
      <c r="A3911">
        <v>3910</v>
      </c>
      <c r="B3911" s="1">
        <v>45987</v>
      </c>
      <c r="C3911">
        <v>1614</v>
      </c>
      <c r="D3911" t="s">
        <v>32</v>
      </c>
      <c r="E3911" t="s">
        <v>33</v>
      </c>
      <c r="F3911" t="s">
        <v>34</v>
      </c>
      <c r="G3911">
        <v>1</v>
      </c>
      <c r="H3911">
        <v>0</v>
      </c>
      <c r="I3911" t="s">
        <v>35</v>
      </c>
      <c r="J3911" t="s">
        <v>31</v>
      </c>
      <c r="K3911" t="s">
        <v>40</v>
      </c>
      <c r="L3911">
        <v>7</v>
      </c>
      <c r="M3911">
        <v>1</v>
      </c>
      <c r="N3911">
        <v>1</v>
      </c>
      <c r="O3911" t="s">
        <v>27</v>
      </c>
      <c r="P3911" t="str">
        <f>TEXT(Table1[[#This Row],[order_date]],"yyyy-mm")</f>
        <v>2025-11</v>
      </c>
      <c r="Q3911">
        <f>WEEKNUM(Table1[[#This Row],[order_date]])</f>
        <v>48</v>
      </c>
      <c r="R3911">
        <f>IF(Table1[[#This Row],[order_status]]="completed",1,0)</f>
        <v>0</v>
      </c>
    </row>
    <row r="3912" spans="1:18" x14ac:dyDescent="0.35">
      <c r="A3912">
        <v>3911</v>
      </c>
      <c r="B3912" s="1">
        <v>45934</v>
      </c>
      <c r="C3912">
        <v>1980</v>
      </c>
      <c r="D3912" t="s">
        <v>15</v>
      </c>
      <c r="E3912" t="s">
        <v>33</v>
      </c>
      <c r="F3912" t="s">
        <v>17</v>
      </c>
      <c r="G3912">
        <v>5</v>
      </c>
      <c r="H3912">
        <v>14950</v>
      </c>
      <c r="I3912" t="s">
        <v>39</v>
      </c>
      <c r="J3912" t="s">
        <v>19</v>
      </c>
      <c r="K3912" t="s">
        <v>38</v>
      </c>
      <c r="L3912">
        <v>9</v>
      </c>
      <c r="M3912">
        <v>0</v>
      </c>
      <c r="N3912">
        <v>1</v>
      </c>
      <c r="O3912" t="s">
        <v>21</v>
      </c>
      <c r="P3912" t="str">
        <f>TEXT(Table1[[#This Row],[order_date]],"yyyy-mm")</f>
        <v>2025-10</v>
      </c>
      <c r="Q3912">
        <f>WEEKNUM(Table1[[#This Row],[order_date]])</f>
        <v>40</v>
      </c>
      <c r="R3912">
        <f>IF(Table1[[#This Row],[order_status]]="completed",1,0)</f>
        <v>1</v>
      </c>
    </row>
    <row r="3913" spans="1:18" x14ac:dyDescent="0.35">
      <c r="A3913">
        <v>3912</v>
      </c>
      <c r="B3913" s="1">
        <v>45881</v>
      </c>
      <c r="C3913">
        <v>1883</v>
      </c>
      <c r="D3913" t="s">
        <v>22</v>
      </c>
      <c r="E3913" t="s">
        <v>29</v>
      </c>
      <c r="F3913" t="s">
        <v>30</v>
      </c>
      <c r="G3913">
        <v>1</v>
      </c>
      <c r="H3913">
        <v>0</v>
      </c>
      <c r="I3913" t="s">
        <v>39</v>
      </c>
      <c r="J3913" t="s">
        <v>37</v>
      </c>
      <c r="K3913" t="s">
        <v>38</v>
      </c>
      <c r="L3913">
        <v>1</v>
      </c>
      <c r="M3913">
        <v>0</v>
      </c>
      <c r="N3913">
        <v>0</v>
      </c>
      <c r="O3913" t="s">
        <v>27</v>
      </c>
      <c r="P3913" t="str">
        <f>TEXT(Table1[[#This Row],[order_date]],"yyyy-mm")</f>
        <v>2025-08</v>
      </c>
      <c r="Q3913">
        <f>WEEKNUM(Table1[[#This Row],[order_date]])</f>
        <v>33</v>
      </c>
      <c r="R3913">
        <f>IF(Table1[[#This Row],[order_status]]="completed",1,0)</f>
        <v>0</v>
      </c>
    </row>
    <row r="3914" spans="1:18" x14ac:dyDescent="0.35">
      <c r="A3914">
        <v>3913</v>
      </c>
      <c r="B3914" s="1">
        <v>45854</v>
      </c>
      <c r="C3914">
        <v>1185</v>
      </c>
      <c r="D3914" t="s">
        <v>28</v>
      </c>
      <c r="E3914" t="s">
        <v>23</v>
      </c>
      <c r="F3914" t="s">
        <v>34</v>
      </c>
      <c r="G3914">
        <v>1</v>
      </c>
      <c r="H3914">
        <v>0</v>
      </c>
      <c r="I3914" t="s">
        <v>39</v>
      </c>
      <c r="J3914" t="s">
        <v>37</v>
      </c>
      <c r="K3914" t="s">
        <v>40</v>
      </c>
      <c r="L3914">
        <v>7</v>
      </c>
      <c r="M3914">
        <v>1</v>
      </c>
      <c r="N3914">
        <v>1</v>
      </c>
      <c r="O3914" t="s">
        <v>27</v>
      </c>
      <c r="P3914" t="str">
        <f>TEXT(Table1[[#This Row],[order_date]],"yyyy-mm")</f>
        <v>2025-07</v>
      </c>
      <c r="Q3914">
        <f>WEEKNUM(Table1[[#This Row],[order_date]])</f>
        <v>29</v>
      </c>
      <c r="R3914">
        <f>IF(Table1[[#This Row],[order_status]]="completed",1,0)</f>
        <v>0</v>
      </c>
    </row>
    <row r="3915" spans="1:18" x14ac:dyDescent="0.35">
      <c r="A3915">
        <v>3914</v>
      </c>
      <c r="B3915" s="1">
        <v>45887</v>
      </c>
      <c r="C3915">
        <v>1120</v>
      </c>
      <c r="D3915" t="s">
        <v>15</v>
      </c>
      <c r="E3915" t="s">
        <v>36</v>
      </c>
      <c r="F3915" t="s">
        <v>17</v>
      </c>
      <c r="G3915">
        <v>3</v>
      </c>
      <c r="H3915">
        <v>0</v>
      </c>
      <c r="I3915" t="s">
        <v>35</v>
      </c>
      <c r="J3915" t="s">
        <v>37</v>
      </c>
      <c r="K3915" t="s">
        <v>20</v>
      </c>
      <c r="L3915">
        <v>2</v>
      </c>
      <c r="M3915">
        <v>0</v>
      </c>
      <c r="N3915">
        <v>1</v>
      </c>
      <c r="O3915" t="s">
        <v>27</v>
      </c>
      <c r="P3915" t="str">
        <f>TEXT(Table1[[#This Row],[order_date]],"yyyy-mm")</f>
        <v>2025-08</v>
      </c>
      <c r="Q3915">
        <f>WEEKNUM(Table1[[#This Row],[order_date]])</f>
        <v>34</v>
      </c>
      <c r="R3915">
        <f>IF(Table1[[#This Row],[order_status]]="completed",1,0)</f>
        <v>0</v>
      </c>
    </row>
    <row r="3916" spans="1:18" x14ac:dyDescent="0.35">
      <c r="A3916">
        <v>3915</v>
      </c>
      <c r="B3916" s="1">
        <v>45947</v>
      </c>
      <c r="C3916">
        <v>1729</v>
      </c>
      <c r="D3916" t="s">
        <v>22</v>
      </c>
      <c r="E3916" t="s">
        <v>16</v>
      </c>
      <c r="F3916" t="s">
        <v>30</v>
      </c>
      <c r="G3916">
        <v>5</v>
      </c>
      <c r="H3916">
        <v>0</v>
      </c>
      <c r="I3916" t="s">
        <v>35</v>
      </c>
      <c r="J3916" t="s">
        <v>31</v>
      </c>
      <c r="K3916" t="s">
        <v>40</v>
      </c>
      <c r="L3916">
        <v>6</v>
      </c>
      <c r="M3916">
        <v>0</v>
      </c>
      <c r="N3916">
        <v>0</v>
      </c>
      <c r="O3916" t="s">
        <v>27</v>
      </c>
      <c r="P3916" t="str">
        <f>TEXT(Table1[[#This Row],[order_date]],"yyyy-mm")</f>
        <v>2025-10</v>
      </c>
      <c r="Q3916">
        <f>WEEKNUM(Table1[[#This Row],[order_date]])</f>
        <v>42</v>
      </c>
      <c r="R3916">
        <f>IF(Table1[[#This Row],[order_status]]="completed",1,0)</f>
        <v>0</v>
      </c>
    </row>
    <row r="3917" spans="1:18" x14ac:dyDescent="0.35">
      <c r="A3917">
        <v>3916</v>
      </c>
      <c r="B3917" s="1">
        <v>45966</v>
      </c>
      <c r="C3917">
        <v>1995</v>
      </c>
      <c r="D3917" t="s">
        <v>22</v>
      </c>
      <c r="E3917" t="s">
        <v>36</v>
      </c>
      <c r="F3917" t="s">
        <v>34</v>
      </c>
      <c r="G3917">
        <v>2</v>
      </c>
      <c r="H3917">
        <v>0</v>
      </c>
      <c r="I3917" t="s">
        <v>25</v>
      </c>
      <c r="J3917" t="s">
        <v>31</v>
      </c>
      <c r="K3917" t="s">
        <v>38</v>
      </c>
      <c r="L3917">
        <v>8</v>
      </c>
      <c r="M3917">
        <v>1</v>
      </c>
      <c r="N3917">
        <v>0</v>
      </c>
      <c r="O3917" t="s">
        <v>21</v>
      </c>
      <c r="P3917" t="str">
        <f>TEXT(Table1[[#This Row],[order_date]],"yyyy-mm")</f>
        <v>2025-11</v>
      </c>
      <c r="Q3917">
        <f>WEEKNUM(Table1[[#This Row],[order_date]])</f>
        <v>45</v>
      </c>
      <c r="R3917">
        <f>IF(Table1[[#This Row],[order_status]]="completed",1,0)</f>
        <v>0</v>
      </c>
    </row>
    <row r="3918" spans="1:18" x14ac:dyDescent="0.35">
      <c r="A3918">
        <v>3917</v>
      </c>
      <c r="B3918" s="1">
        <v>45936</v>
      </c>
      <c r="C3918">
        <v>1120</v>
      </c>
      <c r="D3918" t="s">
        <v>32</v>
      </c>
      <c r="E3918" t="s">
        <v>36</v>
      </c>
      <c r="F3918" t="s">
        <v>30</v>
      </c>
      <c r="G3918">
        <v>4</v>
      </c>
      <c r="H3918">
        <v>10204</v>
      </c>
      <c r="I3918" t="s">
        <v>39</v>
      </c>
      <c r="J3918" t="s">
        <v>19</v>
      </c>
      <c r="K3918" t="s">
        <v>20</v>
      </c>
      <c r="L3918">
        <v>10</v>
      </c>
      <c r="M3918">
        <v>1</v>
      </c>
      <c r="N3918">
        <v>0</v>
      </c>
      <c r="O3918" t="s">
        <v>21</v>
      </c>
      <c r="P3918" t="str">
        <f>TEXT(Table1[[#This Row],[order_date]],"yyyy-mm")</f>
        <v>2025-10</v>
      </c>
      <c r="Q3918">
        <f>WEEKNUM(Table1[[#This Row],[order_date]])</f>
        <v>41</v>
      </c>
      <c r="R3918">
        <f>IF(Table1[[#This Row],[order_status]]="completed",1,0)</f>
        <v>1</v>
      </c>
    </row>
    <row r="3919" spans="1:18" x14ac:dyDescent="0.35">
      <c r="A3919">
        <v>3918</v>
      </c>
      <c r="B3919" s="1">
        <v>46005</v>
      </c>
      <c r="C3919">
        <v>1656</v>
      </c>
      <c r="D3919" t="s">
        <v>41</v>
      </c>
      <c r="E3919" t="s">
        <v>33</v>
      </c>
      <c r="F3919" t="s">
        <v>34</v>
      </c>
      <c r="G3919">
        <v>1</v>
      </c>
      <c r="H3919">
        <v>0</v>
      </c>
      <c r="I3919" t="s">
        <v>25</v>
      </c>
      <c r="J3919" t="s">
        <v>37</v>
      </c>
      <c r="K3919" t="s">
        <v>40</v>
      </c>
      <c r="L3919">
        <v>2</v>
      </c>
      <c r="M3919">
        <v>1</v>
      </c>
      <c r="N3919">
        <v>1</v>
      </c>
      <c r="O3919" t="s">
        <v>21</v>
      </c>
      <c r="P3919" t="str">
        <f>TEXT(Table1[[#This Row],[order_date]],"yyyy-mm")</f>
        <v>2025-12</v>
      </c>
      <c r="Q3919">
        <f>WEEKNUM(Table1[[#This Row],[order_date]])</f>
        <v>51</v>
      </c>
      <c r="R3919">
        <f>IF(Table1[[#This Row],[order_status]]="completed",1,0)</f>
        <v>0</v>
      </c>
    </row>
    <row r="3920" spans="1:18" x14ac:dyDescent="0.35">
      <c r="A3920">
        <v>3919</v>
      </c>
      <c r="B3920" s="1">
        <v>45863</v>
      </c>
      <c r="C3920">
        <v>1208</v>
      </c>
      <c r="D3920" t="s">
        <v>41</v>
      </c>
      <c r="E3920" t="s">
        <v>23</v>
      </c>
      <c r="F3920" t="s">
        <v>24</v>
      </c>
      <c r="G3920">
        <v>3</v>
      </c>
      <c r="H3920">
        <v>6747</v>
      </c>
      <c r="I3920" t="s">
        <v>39</v>
      </c>
      <c r="J3920" t="s">
        <v>19</v>
      </c>
      <c r="K3920" t="s">
        <v>40</v>
      </c>
      <c r="L3920">
        <v>2</v>
      </c>
      <c r="M3920">
        <v>1</v>
      </c>
      <c r="N3920">
        <v>0</v>
      </c>
      <c r="O3920" t="s">
        <v>27</v>
      </c>
      <c r="P3920" t="str">
        <f>TEXT(Table1[[#This Row],[order_date]],"yyyy-mm")</f>
        <v>2025-07</v>
      </c>
      <c r="Q3920">
        <f>WEEKNUM(Table1[[#This Row],[order_date]])</f>
        <v>30</v>
      </c>
      <c r="R3920">
        <f>IF(Table1[[#This Row],[order_status]]="completed",1,0)</f>
        <v>1</v>
      </c>
    </row>
    <row r="3921" spans="1:18" x14ac:dyDescent="0.35">
      <c r="A3921">
        <v>3920</v>
      </c>
      <c r="B3921" s="1">
        <v>45861</v>
      </c>
      <c r="C3921">
        <v>1671</v>
      </c>
      <c r="D3921" t="s">
        <v>41</v>
      </c>
      <c r="E3921" t="s">
        <v>33</v>
      </c>
      <c r="F3921" t="s">
        <v>30</v>
      </c>
      <c r="G3921">
        <v>5</v>
      </c>
      <c r="H3921">
        <v>23290</v>
      </c>
      <c r="I3921" t="s">
        <v>25</v>
      </c>
      <c r="J3921" t="s">
        <v>19</v>
      </c>
      <c r="K3921" t="s">
        <v>26</v>
      </c>
      <c r="L3921">
        <v>1</v>
      </c>
      <c r="M3921">
        <v>0</v>
      </c>
      <c r="N3921">
        <v>1</v>
      </c>
      <c r="O3921" t="s">
        <v>27</v>
      </c>
      <c r="P3921" t="str">
        <f>TEXT(Table1[[#This Row],[order_date]],"yyyy-mm")</f>
        <v>2025-07</v>
      </c>
      <c r="Q3921">
        <f>WEEKNUM(Table1[[#This Row],[order_date]])</f>
        <v>30</v>
      </c>
      <c r="R3921">
        <f>IF(Table1[[#This Row],[order_status]]="completed",1,0)</f>
        <v>1</v>
      </c>
    </row>
    <row r="3922" spans="1:18" x14ac:dyDescent="0.35">
      <c r="A3922">
        <v>3921</v>
      </c>
      <c r="B3922" s="1">
        <v>46002</v>
      </c>
      <c r="C3922">
        <v>1850</v>
      </c>
      <c r="D3922" t="s">
        <v>32</v>
      </c>
      <c r="E3922" t="s">
        <v>33</v>
      </c>
      <c r="F3922" t="s">
        <v>17</v>
      </c>
      <c r="G3922">
        <v>3</v>
      </c>
      <c r="H3922">
        <v>0</v>
      </c>
      <c r="I3922" t="s">
        <v>35</v>
      </c>
      <c r="J3922" t="s">
        <v>31</v>
      </c>
      <c r="K3922" t="s">
        <v>38</v>
      </c>
      <c r="L3922">
        <v>5</v>
      </c>
      <c r="M3922">
        <v>1</v>
      </c>
      <c r="N3922">
        <v>1</v>
      </c>
      <c r="O3922" t="s">
        <v>27</v>
      </c>
      <c r="P3922" t="str">
        <f>TEXT(Table1[[#This Row],[order_date]],"yyyy-mm")</f>
        <v>2025-12</v>
      </c>
      <c r="Q3922">
        <f>WEEKNUM(Table1[[#This Row],[order_date]])</f>
        <v>50</v>
      </c>
      <c r="R3922">
        <f>IF(Table1[[#This Row],[order_status]]="completed",1,0)</f>
        <v>0</v>
      </c>
    </row>
    <row r="3923" spans="1:18" x14ac:dyDescent="0.35">
      <c r="A3923">
        <v>3922</v>
      </c>
      <c r="B3923" s="1">
        <v>46024</v>
      </c>
      <c r="C3923">
        <v>1133</v>
      </c>
      <c r="D3923" t="s">
        <v>22</v>
      </c>
      <c r="E3923" t="s">
        <v>16</v>
      </c>
      <c r="F3923" t="s">
        <v>30</v>
      </c>
      <c r="G3923">
        <v>3</v>
      </c>
      <c r="H3923">
        <v>0</v>
      </c>
      <c r="I3923" t="s">
        <v>25</v>
      </c>
      <c r="J3923" t="s">
        <v>31</v>
      </c>
      <c r="K3923" t="s">
        <v>40</v>
      </c>
      <c r="L3923">
        <v>10</v>
      </c>
      <c r="M3923">
        <v>0</v>
      </c>
      <c r="N3923">
        <v>1</v>
      </c>
      <c r="O3923" t="s">
        <v>27</v>
      </c>
      <c r="P3923" t="str">
        <f>TEXT(Table1[[#This Row],[order_date]],"yyyy-mm")</f>
        <v>2026-01</v>
      </c>
      <c r="Q3923">
        <f>WEEKNUM(Table1[[#This Row],[order_date]])</f>
        <v>1</v>
      </c>
      <c r="R3923">
        <f>IF(Table1[[#This Row],[order_status]]="completed",1,0)</f>
        <v>0</v>
      </c>
    </row>
    <row r="3924" spans="1:18" x14ac:dyDescent="0.35">
      <c r="A3924">
        <v>3923</v>
      </c>
      <c r="B3924" s="1">
        <v>45911</v>
      </c>
      <c r="C3924">
        <v>1337</v>
      </c>
      <c r="D3924" t="s">
        <v>41</v>
      </c>
      <c r="E3924" t="s">
        <v>16</v>
      </c>
      <c r="F3924" t="s">
        <v>34</v>
      </c>
      <c r="G3924">
        <v>1</v>
      </c>
      <c r="H3924">
        <v>0</v>
      </c>
      <c r="I3924" t="s">
        <v>18</v>
      </c>
      <c r="J3924" t="s">
        <v>31</v>
      </c>
      <c r="K3924" t="s">
        <v>26</v>
      </c>
      <c r="L3924">
        <v>5</v>
      </c>
      <c r="M3924">
        <v>0</v>
      </c>
      <c r="N3924">
        <v>1</v>
      </c>
      <c r="O3924" t="s">
        <v>21</v>
      </c>
      <c r="P3924" t="str">
        <f>TEXT(Table1[[#This Row],[order_date]],"yyyy-mm")</f>
        <v>2025-09</v>
      </c>
      <c r="Q3924">
        <f>WEEKNUM(Table1[[#This Row],[order_date]])</f>
        <v>37</v>
      </c>
      <c r="R3924">
        <f>IF(Table1[[#This Row],[order_status]]="completed",1,0)</f>
        <v>0</v>
      </c>
    </row>
    <row r="3925" spans="1:18" x14ac:dyDescent="0.35">
      <c r="A3925">
        <v>3924</v>
      </c>
      <c r="B3925" s="1">
        <v>45926</v>
      </c>
      <c r="C3925">
        <v>1353</v>
      </c>
      <c r="D3925" t="s">
        <v>15</v>
      </c>
      <c r="E3925" t="s">
        <v>16</v>
      </c>
      <c r="F3925" t="s">
        <v>34</v>
      </c>
      <c r="G3925">
        <v>1</v>
      </c>
      <c r="H3925">
        <v>0</v>
      </c>
      <c r="I3925" t="s">
        <v>39</v>
      </c>
      <c r="J3925" t="s">
        <v>31</v>
      </c>
      <c r="K3925" t="s">
        <v>38</v>
      </c>
      <c r="L3925">
        <v>7</v>
      </c>
      <c r="M3925">
        <v>0</v>
      </c>
      <c r="N3925">
        <v>1</v>
      </c>
      <c r="O3925" t="s">
        <v>27</v>
      </c>
      <c r="P3925" t="str">
        <f>TEXT(Table1[[#This Row],[order_date]],"yyyy-mm")</f>
        <v>2025-09</v>
      </c>
      <c r="Q3925">
        <f>WEEKNUM(Table1[[#This Row],[order_date]])</f>
        <v>39</v>
      </c>
      <c r="R3925">
        <f>IF(Table1[[#This Row],[order_status]]="completed",1,0)</f>
        <v>0</v>
      </c>
    </row>
    <row r="3926" spans="1:18" x14ac:dyDescent="0.35">
      <c r="A3926">
        <v>3925</v>
      </c>
      <c r="B3926" s="1">
        <v>45947</v>
      </c>
      <c r="C3926">
        <v>1595</v>
      </c>
      <c r="D3926" t="s">
        <v>32</v>
      </c>
      <c r="E3926" t="s">
        <v>33</v>
      </c>
      <c r="F3926" t="s">
        <v>24</v>
      </c>
      <c r="G3926">
        <v>4</v>
      </c>
      <c r="H3926">
        <v>0</v>
      </c>
      <c r="I3926" t="s">
        <v>25</v>
      </c>
      <c r="J3926" t="s">
        <v>31</v>
      </c>
      <c r="K3926" t="s">
        <v>38</v>
      </c>
      <c r="L3926">
        <v>8</v>
      </c>
      <c r="M3926">
        <v>1</v>
      </c>
      <c r="N3926">
        <v>0</v>
      </c>
      <c r="O3926" t="s">
        <v>21</v>
      </c>
      <c r="P3926" t="str">
        <f>TEXT(Table1[[#This Row],[order_date]],"yyyy-mm")</f>
        <v>2025-10</v>
      </c>
      <c r="Q3926">
        <f>WEEKNUM(Table1[[#This Row],[order_date]])</f>
        <v>42</v>
      </c>
      <c r="R3926">
        <f>IF(Table1[[#This Row],[order_status]]="completed",1,0)</f>
        <v>0</v>
      </c>
    </row>
    <row r="3927" spans="1:18" x14ac:dyDescent="0.35">
      <c r="A3927">
        <v>3926</v>
      </c>
      <c r="B3927" s="1">
        <v>45904</v>
      </c>
      <c r="C3927">
        <v>1892</v>
      </c>
      <c r="D3927" t="s">
        <v>15</v>
      </c>
      <c r="E3927" t="s">
        <v>29</v>
      </c>
      <c r="F3927" t="s">
        <v>17</v>
      </c>
      <c r="G3927">
        <v>1</v>
      </c>
      <c r="H3927">
        <v>0</v>
      </c>
      <c r="I3927" t="s">
        <v>39</v>
      </c>
      <c r="J3927" t="s">
        <v>37</v>
      </c>
      <c r="K3927" t="s">
        <v>38</v>
      </c>
      <c r="L3927">
        <v>1</v>
      </c>
      <c r="M3927">
        <v>1</v>
      </c>
      <c r="N3927">
        <v>0</v>
      </c>
      <c r="O3927" t="s">
        <v>27</v>
      </c>
      <c r="P3927" t="str">
        <f>TEXT(Table1[[#This Row],[order_date]],"yyyy-mm")</f>
        <v>2025-09</v>
      </c>
      <c r="Q3927">
        <f>WEEKNUM(Table1[[#This Row],[order_date]])</f>
        <v>36</v>
      </c>
      <c r="R3927">
        <f>IF(Table1[[#This Row],[order_status]]="completed",1,0)</f>
        <v>0</v>
      </c>
    </row>
    <row r="3928" spans="1:18" x14ac:dyDescent="0.35">
      <c r="A3928">
        <v>3927</v>
      </c>
      <c r="B3928" s="1">
        <v>45985</v>
      </c>
      <c r="C3928">
        <v>1909</v>
      </c>
      <c r="D3928" t="s">
        <v>28</v>
      </c>
      <c r="E3928" t="s">
        <v>29</v>
      </c>
      <c r="F3928" t="s">
        <v>17</v>
      </c>
      <c r="G3928">
        <v>2</v>
      </c>
      <c r="H3928">
        <v>0</v>
      </c>
      <c r="I3928" t="s">
        <v>25</v>
      </c>
      <c r="J3928" t="s">
        <v>37</v>
      </c>
      <c r="K3928" t="s">
        <v>26</v>
      </c>
      <c r="L3928">
        <v>9</v>
      </c>
      <c r="M3928">
        <v>0</v>
      </c>
      <c r="N3928">
        <v>0</v>
      </c>
      <c r="O3928" t="s">
        <v>21</v>
      </c>
      <c r="P3928" t="str">
        <f>TEXT(Table1[[#This Row],[order_date]],"yyyy-mm")</f>
        <v>2025-11</v>
      </c>
      <c r="Q3928">
        <f>WEEKNUM(Table1[[#This Row],[order_date]])</f>
        <v>48</v>
      </c>
      <c r="R3928">
        <f>IF(Table1[[#This Row],[order_status]]="completed",1,0)</f>
        <v>0</v>
      </c>
    </row>
    <row r="3929" spans="1:18" x14ac:dyDescent="0.35">
      <c r="A3929">
        <v>3928</v>
      </c>
      <c r="B3929" s="1">
        <v>45856</v>
      </c>
      <c r="C3929">
        <v>1626</v>
      </c>
      <c r="D3929" t="s">
        <v>32</v>
      </c>
      <c r="E3929" t="s">
        <v>29</v>
      </c>
      <c r="F3929" t="s">
        <v>34</v>
      </c>
      <c r="G3929">
        <v>2</v>
      </c>
      <c r="H3929">
        <v>0</v>
      </c>
      <c r="I3929" t="s">
        <v>39</v>
      </c>
      <c r="J3929" t="s">
        <v>31</v>
      </c>
      <c r="K3929" t="s">
        <v>38</v>
      </c>
      <c r="L3929">
        <v>7</v>
      </c>
      <c r="M3929">
        <v>0</v>
      </c>
      <c r="N3929">
        <v>1</v>
      </c>
      <c r="O3929" t="s">
        <v>27</v>
      </c>
      <c r="P3929" t="str">
        <f>TEXT(Table1[[#This Row],[order_date]],"yyyy-mm")</f>
        <v>2025-07</v>
      </c>
      <c r="Q3929">
        <f>WEEKNUM(Table1[[#This Row],[order_date]])</f>
        <v>29</v>
      </c>
      <c r="R3929">
        <f>IF(Table1[[#This Row],[order_status]]="completed",1,0)</f>
        <v>0</v>
      </c>
    </row>
    <row r="3930" spans="1:18" x14ac:dyDescent="0.35">
      <c r="A3930">
        <v>3929</v>
      </c>
      <c r="B3930" s="1">
        <v>45900</v>
      </c>
      <c r="C3930">
        <v>1985</v>
      </c>
      <c r="D3930" t="s">
        <v>28</v>
      </c>
      <c r="E3930" t="s">
        <v>36</v>
      </c>
      <c r="F3930" t="s">
        <v>24</v>
      </c>
      <c r="G3930">
        <v>1</v>
      </c>
      <c r="H3930">
        <v>0</v>
      </c>
      <c r="I3930" t="s">
        <v>18</v>
      </c>
      <c r="J3930" t="s">
        <v>31</v>
      </c>
      <c r="K3930" t="s">
        <v>26</v>
      </c>
      <c r="L3930">
        <v>9</v>
      </c>
      <c r="M3930">
        <v>1</v>
      </c>
      <c r="N3930">
        <v>1</v>
      </c>
      <c r="O3930" t="s">
        <v>27</v>
      </c>
      <c r="P3930" t="str">
        <f>TEXT(Table1[[#This Row],[order_date]],"yyyy-mm")</f>
        <v>2025-08</v>
      </c>
      <c r="Q3930">
        <f>WEEKNUM(Table1[[#This Row],[order_date]])</f>
        <v>36</v>
      </c>
      <c r="R3930">
        <f>IF(Table1[[#This Row],[order_status]]="completed",1,0)</f>
        <v>0</v>
      </c>
    </row>
    <row r="3931" spans="1:18" x14ac:dyDescent="0.35">
      <c r="A3931">
        <v>3930</v>
      </c>
      <c r="B3931" s="1">
        <v>45944</v>
      </c>
      <c r="C3931">
        <v>1817</v>
      </c>
      <c r="D3931" t="s">
        <v>15</v>
      </c>
      <c r="E3931" t="s">
        <v>16</v>
      </c>
      <c r="F3931" t="s">
        <v>34</v>
      </c>
      <c r="G3931">
        <v>4</v>
      </c>
      <c r="H3931">
        <v>0</v>
      </c>
      <c r="I3931" t="s">
        <v>18</v>
      </c>
      <c r="J3931" t="s">
        <v>37</v>
      </c>
      <c r="K3931" t="s">
        <v>26</v>
      </c>
      <c r="L3931">
        <v>2</v>
      </c>
      <c r="M3931">
        <v>0</v>
      </c>
      <c r="N3931">
        <v>1</v>
      </c>
      <c r="O3931" t="s">
        <v>21</v>
      </c>
      <c r="P3931" t="str">
        <f>TEXT(Table1[[#This Row],[order_date]],"yyyy-mm")</f>
        <v>2025-10</v>
      </c>
      <c r="Q3931">
        <f>WEEKNUM(Table1[[#This Row],[order_date]])</f>
        <v>42</v>
      </c>
      <c r="R3931">
        <f>IF(Table1[[#This Row],[order_status]]="completed",1,0)</f>
        <v>0</v>
      </c>
    </row>
    <row r="3932" spans="1:18" x14ac:dyDescent="0.35">
      <c r="A3932">
        <v>3931</v>
      </c>
      <c r="B3932" s="1">
        <v>45939</v>
      </c>
      <c r="C3932">
        <v>1656</v>
      </c>
      <c r="D3932" t="s">
        <v>32</v>
      </c>
      <c r="E3932" t="s">
        <v>29</v>
      </c>
      <c r="F3932" t="s">
        <v>17</v>
      </c>
      <c r="G3932">
        <v>4</v>
      </c>
      <c r="H3932">
        <v>4660</v>
      </c>
      <c r="I3932" t="s">
        <v>18</v>
      </c>
      <c r="J3932" t="s">
        <v>19</v>
      </c>
      <c r="K3932" t="s">
        <v>38</v>
      </c>
      <c r="L3932">
        <v>10</v>
      </c>
      <c r="M3932">
        <v>1</v>
      </c>
      <c r="N3932">
        <v>1</v>
      </c>
      <c r="O3932" t="s">
        <v>21</v>
      </c>
      <c r="P3932" t="str">
        <f>TEXT(Table1[[#This Row],[order_date]],"yyyy-mm")</f>
        <v>2025-10</v>
      </c>
      <c r="Q3932">
        <f>WEEKNUM(Table1[[#This Row],[order_date]])</f>
        <v>41</v>
      </c>
      <c r="R3932">
        <f>IF(Table1[[#This Row],[order_status]]="completed",1,0)</f>
        <v>1</v>
      </c>
    </row>
    <row r="3933" spans="1:18" x14ac:dyDescent="0.35">
      <c r="A3933">
        <v>3932</v>
      </c>
      <c r="B3933" s="1">
        <v>45917</v>
      </c>
      <c r="C3933">
        <v>1703</v>
      </c>
      <c r="D3933" t="s">
        <v>32</v>
      </c>
      <c r="E3933" t="s">
        <v>29</v>
      </c>
      <c r="F3933" t="s">
        <v>24</v>
      </c>
      <c r="G3933">
        <v>4</v>
      </c>
      <c r="H3933">
        <v>0</v>
      </c>
      <c r="I3933" t="s">
        <v>25</v>
      </c>
      <c r="J3933" t="s">
        <v>31</v>
      </c>
      <c r="K3933" t="s">
        <v>38</v>
      </c>
      <c r="L3933">
        <v>4</v>
      </c>
      <c r="M3933">
        <v>0</v>
      </c>
      <c r="N3933">
        <v>1</v>
      </c>
      <c r="O3933" t="s">
        <v>21</v>
      </c>
      <c r="P3933" t="str">
        <f>TEXT(Table1[[#This Row],[order_date]],"yyyy-mm")</f>
        <v>2025-09</v>
      </c>
      <c r="Q3933">
        <f>WEEKNUM(Table1[[#This Row],[order_date]])</f>
        <v>38</v>
      </c>
      <c r="R3933">
        <f>IF(Table1[[#This Row],[order_status]]="completed",1,0)</f>
        <v>0</v>
      </c>
    </row>
    <row r="3934" spans="1:18" x14ac:dyDescent="0.35">
      <c r="A3934">
        <v>3933</v>
      </c>
      <c r="B3934" s="1">
        <v>45880</v>
      </c>
      <c r="C3934">
        <v>1450</v>
      </c>
      <c r="D3934" t="s">
        <v>32</v>
      </c>
      <c r="E3934" t="s">
        <v>36</v>
      </c>
      <c r="F3934" t="s">
        <v>30</v>
      </c>
      <c r="G3934">
        <v>4</v>
      </c>
      <c r="H3934">
        <v>0</v>
      </c>
      <c r="I3934" t="s">
        <v>25</v>
      </c>
      <c r="J3934" t="s">
        <v>31</v>
      </c>
      <c r="K3934" t="s">
        <v>38</v>
      </c>
      <c r="L3934">
        <v>3</v>
      </c>
      <c r="M3934">
        <v>0</v>
      </c>
      <c r="N3934">
        <v>0</v>
      </c>
      <c r="O3934" t="s">
        <v>27</v>
      </c>
      <c r="P3934" t="str">
        <f>TEXT(Table1[[#This Row],[order_date]],"yyyy-mm")</f>
        <v>2025-08</v>
      </c>
      <c r="Q3934">
        <f>WEEKNUM(Table1[[#This Row],[order_date]])</f>
        <v>33</v>
      </c>
      <c r="R3934">
        <f>IF(Table1[[#This Row],[order_status]]="completed",1,0)</f>
        <v>0</v>
      </c>
    </row>
    <row r="3935" spans="1:18" x14ac:dyDescent="0.35">
      <c r="A3935">
        <v>3934</v>
      </c>
      <c r="B3935" s="1">
        <v>45934</v>
      </c>
      <c r="C3935">
        <v>1260</v>
      </c>
      <c r="D3935" t="s">
        <v>15</v>
      </c>
      <c r="E3935" t="s">
        <v>29</v>
      </c>
      <c r="F3935" t="s">
        <v>17</v>
      </c>
      <c r="G3935">
        <v>1</v>
      </c>
      <c r="H3935">
        <v>0</v>
      </c>
      <c r="I3935" t="s">
        <v>18</v>
      </c>
      <c r="J3935" t="s">
        <v>37</v>
      </c>
      <c r="K3935" t="s">
        <v>26</v>
      </c>
      <c r="L3935">
        <v>9</v>
      </c>
      <c r="M3935">
        <v>0</v>
      </c>
      <c r="N3935">
        <v>0</v>
      </c>
      <c r="O3935" t="s">
        <v>27</v>
      </c>
      <c r="P3935" t="str">
        <f>TEXT(Table1[[#This Row],[order_date]],"yyyy-mm")</f>
        <v>2025-10</v>
      </c>
      <c r="Q3935">
        <f>WEEKNUM(Table1[[#This Row],[order_date]])</f>
        <v>40</v>
      </c>
      <c r="R3935">
        <f>IF(Table1[[#This Row],[order_status]]="completed",1,0)</f>
        <v>0</v>
      </c>
    </row>
    <row r="3936" spans="1:18" x14ac:dyDescent="0.35">
      <c r="A3936">
        <v>3935</v>
      </c>
      <c r="B3936" s="1">
        <v>45998</v>
      </c>
      <c r="C3936">
        <v>1327</v>
      </c>
      <c r="D3936" t="s">
        <v>22</v>
      </c>
      <c r="E3936" t="s">
        <v>33</v>
      </c>
      <c r="F3936" t="s">
        <v>30</v>
      </c>
      <c r="G3936">
        <v>4</v>
      </c>
      <c r="H3936">
        <v>0</v>
      </c>
      <c r="I3936" t="s">
        <v>35</v>
      </c>
      <c r="J3936" t="s">
        <v>37</v>
      </c>
      <c r="K3936" t="s">
        <v>40</v>
      </c>
      <c r="L3936">
        <v>7</v>
      </c>
      <c r="M3936">
        <v>1</v>
      </c>
      <c r="N3936">
        <v>0</v>
      </c>
      <c r="O3936" t="s">
        <v>27</v>
      </c>
      <c r="P3936" t="str">
        <f>TEXT(Table1[[#This Row],[order_date]],"yyyy-mm")</f>
        <v>2025-12</v>
      </c>
      <c r="Q3936">
        <f>WEEKNUM(Table1[[#This Row],[order_date]])</f>
        <v>50</v>
      </c>
      <c r="R3936">
        <f>IF(Table1[[#This Row],[order_status]]="completed",1,0)</f>
        <v>0</v>
      </c>
    </row>
    <row r="3937" spans="1:18" x14ac:dyDescent="0.35">
      <c r="A3937">
        <v>3936</v>
      </c>
      <c r="B3937" s="1">
        <v>46031</v>
      </c>
      <c r="C3937">
        <v>1851</v>
      </c>
      <c r="D3937" t="s">
        <v>15</v>
      </c>
      <c r="E3937" t="s">
        <v>16</v>
      </c>
      <c r="F3937" t="s">
        <v>30</v>
      </c>
      <c r="G3937">
        <v>2</v>
      </c>
      <c r="H3937">
        <v>0</v>
      </c>
      <c r="I3937" t="s">
        <v>25</v>
      </c>
      <c r="J3937" t="s">
        <v>31</v>
      </c>
      <c r="K3937" t="s">
        <v>40</v>
      </c>
      <c r="L3937">
        <v>4</v>
      </c>
      <c r="M3937">
        <v>1</v>
      </c>
      <c r="N3937">
        <v>0</v>
      </c>
      <c r="O3937" t="s">
        <v>27</v>
      </c>
      <c r="P3937" t="str">
        <f>TEXT(Table1[[#This Row],[order_date]],"yyyy-mm")</f>
        <v>2026-01</v>
      </c>
      <c r="Q3937">
        <f>WEEKNUM(Table1[[#This Row],[order_date]])</f>
        <v>2</v>
      </c>
      <c r="R3937">
        <f>IF(Table1[[#This Row],[order_status]]="completed",1,0)</f>
        <v>0</v>
      </c>
    </row>
    <row r="3938" spans="1:18" x14ac:dyDescent="0.35">
      <c r="A3938">
        <v>3937</v>
      </c>
      <c r="B3938" s="1">
        <v>46027</v>
      </c>
      <c r="C3938">
        <v>1582</v>
      </c>
      <c r="D3938" t="s">
        <v>15</v>
      </c>
      <c r="E3938" t="s">
        <v>29</v>
      </c>
      <c r="F3938" t="s">
        <v>24</v>
      </c>
      <c r="G3938">
        <v>2</v>
      </c>
      <c r="H3938">
        <v>0</v>
      </c>
      <c r="I3938" t="s">
        <v>39</v>
      </c>
      <c r="J3938" t="s">
        <v>31</v>
      </c>
      <c r="K3938" t="s">
        <v>38</v>
      </c>
      <c r="L3938">
        <v>1</v>
      </c>
      <c r="M3938">
        <v>1</v>
      </c>
      <c r="N3938">
        <v>1</v>
      </c>
      <c r="O3938" t="s">
        <v>21</v>
      </c>
      <c r="P3938" t="str">
        <f>TEXT(Table1[[#This Row],[order_date]],"yyyy-mm")</f>
        <v>2026-01</v>
      </c>
      <c r="Q3938">
        <f>WEEKNUM(Table1[[#This Row],[order_date]])</f>
        <v>2</v>
      </c>
      <c r="R3938">
        <f>IF(Table1[[#This Row],[order_status]]="completed",1,0)</f>
        <v>0</v>
      </c>
    </row>
    <row r="3939" spans="1:18" x14ac:dyDescent="0.35">
      <c r="A3939">
        <v>3938</v>
      </c>
      <c r="B3939" s="1">
        <v>46022</v>
      </c>
      <c r="C3939">
        <v>1902</v>
      </c>
      <c r="D3939" t="s">
        <v>22</v>
      </c>
      <c r="E3939" t="s">
        <v>33</v>
      </c>
      <c r="F3939" t="s">
        <v>34</v>
      </c>
      <c r="G3939">
        <v>4</v>
      </c>
      <c r="H3939">
        <v>17848</v>
      </c>
      <c r="I3939" t="s">
        <v>18</v>
      </c>
      <c r="J3939" t="s">
        <v>19</v>
      </c>
      <c r="K3939" t="s">
        <v>26</v>
      </c>
      <c r="L3939">
        <v>2</v>
      </c>
      <c r="M3939">
        <v>1</v>
      </c>
      <c r="N3939">
        <v>0</v>
      </c>
      <c r="O3939" t="s">
        <v>21</v>
      </c>
      <c r="P3939" t="str">
        <f>TEXT(Table1[[#This Row],[order_date]],"yyyy-mm")</f>
        <v>2025-12</v>
      </c>
      <c r="Q3939">
        <f>WEEKNUM(Table1[[#This Row],[order_date]])</f>
        <v>53</v>
      </c>
      <c r="R3939">
        <f>IF(Table1[[#This Row],[order_status]]="completed",1,0)</f>
        <v>1</v>
      </c>
    </row>
    <row r="3940" spans="1:18" x14ac:dyDescent="0.35">
      <c r="A3940">
        <v>3939</v>
      </c>
      <c r="B3940" s="1">
        <v>45870</v>
      </c>
      <c r="C3940">
        <v>1344</v>
      </c>
      <c r="D3940" t="s">
        <v>41</v>
      </c>
      <c r="E3940" t="s">
        <v>23</v>
      </c>
      <c r="F3940" t="s">
        <v>24</v>
      </c>
      <c r="G3940">
        <v>3</v>
      </c>
      <c r="H3940">
        <v>0</v>
      </c>
      <c r="I3940" t="s">
        <v>35</v>
      </c>
      <c r="J3940" t="s">
        <v>37</v>
      </c>
      <c r="K3940" t="s">
        <v>20</v>
      </c>
      <c r="L3940">
        <v>9</v>
      </c>
      <c r="M3940">
        <v>1</v>
      </c>
      <c r="N3940">
        <v>1</v>
      </c>
      <c r="O3940" t="s">
        <v>21</v>
      </c>
      <c r="P3940" t="str">
        <f>TEXT(Table1[[#This Row],[order_date]],"yyyy-mm")</f>
        <v>2025-08</v>
      </c>
      <c r="Q3940">
        <f>WEEKNUM(Table1[[#This Row],[order_date]])</f>
        <v>31</v>
      </c>
      <c r="R3940">
        <f>IF(Table1[[#This Row],[order_status]]="completed",1,0)</f>
        <v>0</v>
      </c>
    </row>
    <row r="3941" spans="1:18" x14ac:dyDescent="0.35">
      <c r="A3941">
        <v>3940</v>
      </c>
      <c r="B3941" s="1">
        <v>45946</v>
      </c>
      <c r="C3941">
        <v>1964</v>
      </c>
      <c r="D3941" t="s">
        <v>32</v>
      </c>
      <c r="E3941" t="s">
        <v>23</v>
      </c>
      <c r="F3941" t="s">
        <v>24</v>
      </c>
      <c r="G3941">
        <v>5</v>
      </c>
      <c r="H3941">
        <v>0</v>
      </c>
      <c r="I3941" t="s">
        <v>18</v>
      </c>
      <c r="J3941" t="s">
        <v>37</v>
      </c>
      <c r="K3941" t="s">
        <v>38</v>
      </c>
      <c r="L3941">
        <v>1</v>
      </c>
      <c r="M3941">
        <v>0</v>
      </c>
      <c r="N3941">
        <v>0</v>
      </c>
      <c r="O3941" t="s">
        <v>21</v>
      </c>
      <c r="P3941" t="str">
        <f>TEXT(Table1[[#This Row],[order_date]],"yyyy-mm")</f>
        <v>2025-10</v>
      </c>
      <c r="Q3941">
        <f>WEEKNUM(Table1[[#This Row],[order_date]])</f>
        <v>42</v>
      </c>
      <c r="R3941">
        <f>IF(Table1[[#This Row],[order_status]]="completed",1,0)</f>
        <v>0</v>
      </c>
    </row>
    <row r="3942" spans="1:18" x14ac:dyDescent="0.35">
      <c r="A3942">
        <v>3941</v>
      </c>
      <c r="B3942" s="1">
        <v>45944</v>
      </c>
      <c r="C3942">
        <v>1068</v>
      </c>
      <c r="D3942" t="s">
        <v>28</v>
      </c>
      <c r="E3942" t="s">
        <v>29</v>
      </c>
      <c r="F3942" t="s">
        <v>17</v>
      </c>
      <c r="G3942">
        <v>1</v>
      </c>
      <c r="H3942">
        <v>0</v>
      </c>
      <c r="I3942" t="s">
        <v>35</v>
      </c>
      <c r="J3942" t="s">
        <v>37</v>
      </c>
      <c r="K3942" t="s">
        <v>20</v>
      </c>
      <c r="L3942">
        <v>2</v>
      </c>
      <c r="M3942">
        <v>1</v>
      </c>
      <c r="N3942">
        <v>0</v>
      </c>
      <c r="O3942" t="s">
        <v>27</v>
      </c>
      <c r="P3942" t="str">
        <f>TEXT(Table1[[#This Row],[order_date]],"yyyy-mm")</f>
        <v>2025-10</v>
      </c>
      <c r="Q3942">
        <f>WEEKNUM(Table1[[#This Row],[order_date]])</f>
        <v>42</v>
      </c>
      <c r="R3942">
        <f>IF(Table1[[#This Row],[order_status]]="completed",1,0)</f>
        <v>0</v>
      </c>
    </row>
    <row r="3943" spans="1:18" x14ac:dyDescent="0.35">
      <c r="A3943">
        <v>3942</v>
      </c>
      <c r="B3943" s="1">
        <v>45882</v>
      </c>
      <c r="C3943">
        <v>1591</v>
      </c>
      <c r="D3943" t="s">
        <v>32</v>
      </c>
      <c r="E3943" t="s">
        <v>36</v>
      </c>
      <c r="F3943" t="s">
        <v>17</v>
      </c>
      <c r="G3943">
        <v>1</v>
      </c>
      <c r="H3943">
        <v>0</v>
      </c>
      <c r="I3943" t="s">
        <v>18</v>
      </c>
      <c r="J3943" t="s">
        <v>37</v>
      </c>
      <c r="K3943" t="s">
        <v>26</v>
      </c>
      <c r="L3943">
        <v>9</v>
      </c>
      <c r="M3943">
        <v>1</v>
      </c>
      <c r="N3943">
        <v>0</v>
      </c>
      <c r="O3943" t="s">
        <v>21</v>
      </c>
      <c r="P3943" t="str">
        <f>TEXT(Table1[[#This Row],[order_date]],"yyyy-mm")</f>
        <v>2025-08</v>
      </c>
      <c r="Q3943">
        <f>WEEKNUM(Table1[[#This Row],[order_date]])</f>
        <v>33</v>
      </c>
      <c r="R3943">
        <f>IF(Table1[[#This Row],[order_status]]="completed",1,0)</f>
        <v>0</v>
      </c>
    </row>
    <row r="3944" spans="1:18" x14ac:dyDescent="0.35">
      <c r="A3944">
        <v>3943</v>
      </c>
      <c r="B3944" s="1">
        <v>45906</v>
      </c>
      <c r="C3944">
        <v>1333</v>
      </c>
      <c r="D3944" t="s">
        <v>15</v>
      </c>
      <c r="E3944" t="s">
        <v>36</v>
      </c>
      <c r="F3944" t="s">
        <v>17</v>
      </c>
      <c r="G3944">
        <v>5</v>
      </c>
      <c r="H3944">
        <v>15230</v>
      </c>
      <c r="I3944" t="s">
        <v>18</v>
      </c>
      <c r="J3944" t="s">
        <v>19</v>
      </c>
      <c r="K3944" t="s">
        <v>40</v>
      </c>
      <c r="L3944">
        <v>5</v>
      </c>
      <c r="M3944">
        <v>1</v>
      </c>
      <c r="N3944">
        <v>1</v>
      </c>
      <c r="O3944" t="s">
        <v>21</v>
      </c>
      <c r="P3944" t="str">
        <f>TEXT(Table1[[#This Row],[order_date]],"yyyy-mm")</f>
        <v>2025-09</v>
      </c>
      <c r="Q3944">
        <f>WEEKNUM(Table1[[#This Row],[order_date]])</f>
        <v>36</v>
      </c>
      <c r="R3944">
        <f>IF(Table1[[#This Row],[order_status]]="completed",1,0)</f>
        <v>1</v>
      </c>
    </row>
    <row r="3945" spans="1:18" x14ac:dyDescent="0.35">
      <c r="A3945">
        <v>3944</v>
      </c>
      <c r="B3945" s="1">
        <v>45886</v>
      </c>
      <c r="C3945">
        <v>1663</v>
      </c>
      <c r="D3945" t="s">
        <v>41</v>
      </c>
      <c r="E3945" t="s">
        <v>16</v>
      </c>
      <c r="F3945" t="s">
        <v>34</v>
      </c>
      <c r="G3945">
        <v>5</v>
      </c>
      <c r="H3945">
        <v>0</v>
      </c>
      <c r="I3945" t="s">
        <v>39</v>
      </c>
      <c r="J3945" t="s">
        <v>37</v>
      </c>
      <c r="K3945" t="s">
        <v>40</v>
      </c>
      <c r="L3945">
        <v>2</v>
      </c>
      <c r="M3945">
        <v>0</v>
      </c>
      <c r="N3945">
        <v>1</v>
      </c>
      <c r="O3945" t="s">
        <v>21</v>
      </c>
      <c r="P3945" t="str">
        <f>TEXT(Table1[[#This Row],[order_date]],"yyyy-mm")</f>
        <v>2025-08</v>
      </c>
      <c r="Q3945">
        <f>WEEKNUM(Table1[[#This Row],[order_date]])</f>
        <v>34</v>
      </c>
      <c r="R3945">
        <f>IF(Table1[[#This Row],[order_status]]="completed",1,0)</f>
        <v>0</v>
      </c>
    </row>
    <row r="3946" spans="1:18" x14ac:dyDescent="0.35">
      <c r="A3946">
        <v>3945</v>
      </c>
      <c r="B3946" s="1">
        <v>46009</v>
      </c>
      <c r="C3946">
        <v>1641</v>
      </c>
      <c r="D3946" t="s">
        <v>28</v>
      </c>
      <c r="E3946" t="s">
        <v>29</v>
      </c>
      <c r="F3946" t="s">
        <v>17</v>
      </c>
      <c r="G3946">
        <v>2</v>
      </c>
      <c r="H3946">
        <v>4830</v>
      </c>
      <c r="I3946" t="s">
        <v>39</v>
      </c>
      <c r="J3946" t="s">
        <v>19</v>
      </c>
      <c r="K3946" t="s">
        <v>20</v>
      </c>
      <c r="L3946">
        <v>8</v>
      </c>
      <c r="M3946">
        <v>1</v>
      </c>
      <c r="N3946">
        <v>0</v>
      </c>
      <c r="O3946" t="s">
        <v>27</v>
      </c>
      <c r="P3946" t="str">
        <f>TEXT(Table1[[#This Row],[order_date]],"yyyy-mm")</f>
        <v>2025-12</v>
      </c>
      <c r="Q3946">
        <f>WEEKNUM(Table1[[#This Row],[order_date]])</f>
        <v>51</v>
      </c>
      <c r="R3946">
        <f>IF(Table1[[#This Row],[order_status]]="completed",1,0)</f>
        <v>1</v>
      </c>
    </row>
    <row r="3947" spans="1:18" x14ac:dyDescent="0.35">
      <c r="A3947">
        <v>3946</v>
      </c>
      <c r="B3947" s="1">
        <v>46011</v>
      </c>
      <c r="C3947">
        <v>1782</v>
      </c>
      <c r="D3947" t="s">
        <v>22</v>
      </c>
      <c r="E3947" t="s">
        <v>16</v>
      </c>
      <c r="F3947" t="s">
        <v>17</v>
      </c>
      <c r="G3947">
        <v>2</v>
      </c>
      <c r="H3947">
        <v>0</v>
      </c>
      <c r="I3947" t="s">
        <v>35</v>
      </c>
      <c r="J3947" t="s">
        <v>37</v>
      </c>
      <c r="K3947" t="s">
        <v>26</v>
      </c>
      <c r="L3947">
        <v>5</v>
      </c>
      <c r="M3947">
        <v>0</v>
      </c>
      <c r="N3947">
        <v>0</v>
      </c>
      <c r="O3947" t="s">
        <v>21</v>
      </c>
      <c r="P3947" t="str">
        <f>TEXT(Table1[[#This Row],[order_date]],"yyyy-mm")</f>
        <v>2025-12</v>
      </c>
      <c r="Q3947">
        <f>WEEKNUM(Table1[[#This Row],[order_date]])</f>
        <v>51</v>
      </c>
      <c r="R3947">
        <f>IF(Table1[[#This Row],[order_status]]="completed",1,0)</f>
        <v>0</v>
      </c>
    </row>
    <row r="3948" spans="1:18" x14ac:dyDescent="0.35">
      <c r="A3948">
        <v>3947</v>
      </c>
      <c r="B3948" s="1">
        <v>46029</v>
      </c>
      <c r="C3948">
        <v>1268</v>
      </c>
      <c r="D3948" t="s">
        <v>28</v>
      </c>
      <c r="E3948" t="s">
        <v>16</v>
      </c>
      <c r="F3948" t="s">
        <v>17</v>
      </c>
      <c r="G3948">
        <v>1</v>
      </c>
      <c r="H3948">
        <v>0</v>
      </c>
      <c r="I3948" t="s">
        <v>39</v>
      </c>
      <c r="J3948" t="s">
        <v>37</v>
      </c>
      <c r="K3948" t="s">
        <v>26</v>
      </c>
      <c r="L3948">
        <v>10</v>
      </c>
      <c r="M3948">
        <v>0</v>
      </c>
      <c r="N3948">
        <v>1</v>
      </c>
      <c r="O3948" t="s">
        <v>21</v>
      </c>
      <c r="P3948" t="str">
        <f>TEXT(Table1[[#This Row],[order_date]],"yyyy-mm")</f>
        <v>2026-01</v>
      </c>
      <c r="Q3948">
        <f>WEEKNUM(Table1[[#This Row],[order_date]])</f>
        <v>2</v>
      </c>
      <c r="R3948">
        <f>IF(Table1[[#This Row],[order_status]]="completed",1,0)</f>
        <v>0</v>
      </c>
    </row>
    <row r="3949" spans="1:18" x14ac:dyDescent="0.35">
      <c r="A3949">
        <v>3948</v>
      </c>
      <c r="B3949" s="1">
        <v>46020</v>
      </c>
      <c r="C3949">
        <v>1697</v>
      </c>
      <c r="D3949" t="s">
        <v>32</v>
      </c>
      <c r="E3949" t="s">
        <v>16</v>
      </c>
      <c r="F3949" t="s">
        <v>17</v>
      </c>
      <c r="G3949">
        <v>3</v>
      </c>
      <c r="H3949">
        <v>0</v>
      </c>
      <c r="I3949" t="s">
        <v>39</v>
      </c>
      <c r="J3949" t="s">
        <v>31</v>
      </c>
      <c r="K3949" t="s">
        <v>40</v>
      </c>
      <c r="L3949">
        <v>3</v>
      </c>
      <c r="M3949">
        <v>1</v>
      </c>
      <c r="N3949">
        <v>0</v>
      </c>
      <c r="O3949" t="s">
        <v>27</v>
      </c>
      <c r="P3949" t="str">
        <f>TEXT(Table1[[#This Row],[order_date]],"yyyy-mm")</f>
        <v>2025-12</v>
      </c>
      <c r="Q3949">
        <f>WEEKNUM(Table1[[#This Row],[order_date]])</f>
        <v>53</v>
      </c>
      <c r="R3949">
        <f>IF(Table1[[#This Row],[order_status]]="completed",1,0)</f>
        <v>0</v>
      </c>
    </row>
    <row r="3950" spans="1:18" x14ac:dyDescent="0.35">
      <c r="A3950">
        <v>3949</v>
      </c>
      <c r="B3950" s="1">
        <v>45991</v>
      </c>
      <c r="C3950">
        <v>1241</v>
      </c>
      <c r="D3950" t="s">
        <v>15</v>
      </c>
      <c r="E3950" t="s">
        <v>23</v>
      </c>
      <c r="F3950" t="s">
        <v>34</v>
      </c>
      <c r="G3950">
        <v>4</v>
      </c>
      <c r="H3950">
        <v>0</v>
      </c>
      <c r="I3950" t="s">
        <v>39</v>
      </c>
      <c r="J3950" t="s">
        <v>37</v>
      </c>
      <c r="K3950" t="s">
        <v>20</v>
      </c>
      <c r="L3950">
        <v>6</v>
      </c>
      <c r="M3950">
        <v>0</v>
      </c>
      <c r="N3950">
        <v>1</v>
      </c>
      <c r="O3950" t="s">
        <v>21</v>
      </c>
      <c r="P3950" t="str">
        <f>TEXT(Table1[[#This Row],[order_date]],"yyyy-mm")</f>
        <v>2025-11</v>
      </c>
      <c r="Q3950">
        <f>WEEKNUM(Table1[[#This Row],[order_date]])</f>
        <v>49</v>
      </c>
      <c r="R3950">
        <f>IF(Table1[[#This Row],[order_status]]="completed",1,0)</f>
        <v>0</v>
      </c>
    </row>
    <row r="3951" spans="1:18" x14ac:dyDescent="0.35">
      <c r="A3951">
        <v>3950</v>
      </c>
      <c r="B3951" s="1">
        <v>45881</v>
      </c>
      <c r="C3951">
        <v>1955</v>
      </c>
      <c r="D3951" t="s">
        <v>15</v>
      </c>
      <c r="E3951" t="s">
        <v>23</v>
      </c>
      <c r="F3951" t="s">
        <v>34</v>
      </c>
      <c r="G3951">
        <v>2</v>
      </c>
      <c r="H3951">
        <v>4448</v>
      </c>
      <c r="I3951" t="s">
        <v>39</v>
      </c>
      <c r="J3951" t="s">
        <v>19</v>
      </c>
      <c r="K3951" t="s">
        <v>38</v>
      </c>
      <c r="L3951">
        <v>4</v>
      </c>
      <c r="M3951">
        <v>1</v>
      </c>
      <c r="N3951">
        <v>1</v>
      </c>
      <c r="O3951" t="s">
        <v>21</v>
      </c>
      <c r="P3951" t="str">
        <f>TEXT(Table1[[#This Row],[order_date]],"yyyy-mm")</f>
        <v>2025-08</v>
      </c>
      <c r="Q3951">
        <f>WEEKNUM(Table1[[#This Row],[order_date]])</f>
        <v>33</v>
      </c>
      <c r="R3951">
        <f>IF(Table1[[#This Row],[order_status]]="completed",1,0)</f>
        <v>1</v>
      </c>
    </row>
    <row r="3952" spans="1:18" x14ac:dyDescent="0.35">
      <c r="A3952">
        <v>3951</v>
      </c>
      <c r="B3952" s="1">
        <v>45918</v>
      </c>
      <c r="C3952">
        <v>1550</v>
      </c>
      <c r="D3952" t="s">
        <v>15</v>
      </c>
      <c r="E3952" t="s">
        <v>33</v>
      </c>
      <c r="F3952" t="s">
        <v>17</v>
      </c>
      <c r="G3952">
        <v>1</v>
      </c>
      <c r="H3952">
        <v>1978</v>
      </c>
      <c r="I3952" t="s">
        <v>18</v>
      </c>
      <c r="J3952" t="s">
        <v>19</v>
      </c>
      <c r="K3952" t="s">
        <v>26</v>
      </c>
      <c r="L3952">
        <v>3</v>
      </c>
      <c r="M3952">
        <v>0</v>
      </c>
      <c r="N3952">
        <v>1</v>
      </c>
      <c r="O3952" t="s">
        <v>21</v>
      </c>
      <c r="P3952" t="str">
        <f>TEXT(Table1[[#This Row],[order_date]],"yyyy-mm")</f>
        <v>2025-09</v>
      </c>
      <c r="Q3952">
        <f>WEEKNUM(Table1[[#This Row],[order_date]])</f>
        <v>38</v>
      </c>
      <c r="R3952">
        <f>IF(Table1[[#This Row],[order_status]]="completed",1,0)</f>
        <v>1</v>
      </c>
    </row>
    <row r="3953" spans="1:18" x14ac:dyDescent="0.35">
      <c r="A3953">
        <v>3952</v>
      </c>
      <c r="B3953" s="1">
        <v>45920</v>
      </c>
      <c r="C3953">
        <v>1004</v>
      </c>
      <c r="D3953" t="s">
        <v>28</v>
      </c>
      <c r="E3953" t="s">
        <v>29</v>
      </c>
      <c r="F3953" t="s">
        <v>17</v>
      </c>
      <c r="G3953">
        <v>5</v>
      </c>
      <c r="H3953">
        <v>0</v>
      </c>
      <c r="I3953" t="s">
        <v>39</v>
      </c>
      <c r="J3953" t="s">
        <v>37</v>
      </c>
      <c r="K3953" t="s">
        <v>26</v>
      </c>
      <c r="L3953">
        <v>7</v>
      </c>
      <c r="M3953">
        <v>0</v>
      </c>
      <c r="N3953">
        <v>1</v>
      </c>
      <c r="O3953" t="s">
        <v>27</v>
      </c>
      <c r="P3953" t="str">
        <f>TEXT(Table1[[#This Row],[order_date]],"yyyy-mm")</f>
        <v>2025-09</v>
      </c>
      <c r="Q3953">
        <f>WEEKNUM(Table1[[#This Row],[order_date]])</f>
        <v>38</v>
      </c>
      <c r="R3953">
        <f>IF(Table1[[#This Row],[order_status]]="completed",1,0)</f>
        <v>0</v>
      </c>
    </row>
    <row r="3954" spans="1:18" x14ac:dyDescent="0.35">
      <c r="A3954">
        <v>3953</v>
      </c>
      <c r="B3954" s="1">
        <v>45949</v>
      </c>
      <c r="C3954">
        <v>1414</v>
      </c>
      <c r="D3954" t="s">
        <v>41</v>
      </c>
      <c r="E3954" t="s">
        <v>36</v>
      </c>
      <c r="F3954" t="s">
        <v>34</v>
      </c>
      <c r="G3954">
        <v>4</v>
      </c>
      <c r="H3954">
        <v>11900</v>
      </c>
      <c r="I3954" t="s">
        <v>25</v>
      </c>
      <c r="J3954" t="s">
        <v>19</v>
      </c>
      <c r="K3954" t="s">
        <v>20</v>
      </c>
      <c r="L3954">
        <v>2</v>
      </c>
      <c r="M3954">
        <v>0</v>
      </c>
      <c r="N3954">
        <v>1</v>
      </c>
      <c r="O3954" t="s">
        <v>21</v>
      </c>
      <c r="P3954" t="str">
        <f>TEXT(Table1[[#This Row],[order_date]],"yyyy-mm")</f>
        <v>2025-10</v>
      </c>
      <c r="Q3954">
        <f>WEEKNUM(Table1[[#This Row],[order_date]])</f>
        <v>43</v>
      </c>
      <c r="R3954">
        <f>IF(Table1[[#This Row],[order_status]]="completed",1,0)</f>
        <v>1</v>
      </c>
    </row>
    <row r="3955" spans="1:18" x14ac:dyDescent="0.35">
      <c r="A3955">
        <v>3954</v>
      </c>
      <c r="B3955" s="1">
        <v>45938</v>
      </c>
      <c r="C3955">
        <v>1308</v>
      </c>
      <c r="D3955" t="s">
        <v>15</v>
      </c>
      <c r="E3955" t="s">
        <v>23</v>
      </c>
      <c r="F3955" t="s">
        <v>24</v>
      </c>
      <c r="G3955">
        <v>2</v>
      </c>
      <c r="H3955">
        <v>0</v>
      </c>
      <c r="I3955" t="s">
        <v>39</v>
      </c>
      <c r="J3955" t="s">
        <v>31</v>
      </c>
      <c r="K3955" t="s">
        <v>38</v>
      </c>
      <c r="L3955">
        <v>3</v>
      </c>
      <c r="M3955">
        <v>0</v>
      </c>
      <c r="N3955">
        <v>1</v>
      </c>
      <c r="O3955" t="s">
        <v>21</v>
      </c>
      <c r="P3955" t="str">
        <f>TEXT(Table1[[#This Row],[order_date]],"yyyy-mm")</f>
        <v>2025-10</v>
      </c>
      <c r="Q3955">
        <f>WEEKNUM(Table1[[#This Row],[order_date]])</f>
        <v>41</v>
      </c>
      <c r="R3955">
        <f>IF(Table1[[#This Row],[order_status]]="completed",1,0)</f>
        <v>0</v>
      </c>
    </row>
    <row r="3956" spans="1:18" x14ac:dyDescent="0.35">
      <c r="A3956">
        <v>3955</v>
      </c>
      <c r="B3956" s="1">
        <v>45918</v>
      </c>
      <c r="C3956">
        <v>1484</v>
      </c>
      <c r="D3956" t="s">
        <v>32</v>
      </c>
      <c r="E3956" t="s">
        <v>16</v>
      </c>
      <c r="F3956" t="s">
        <v>24</v>
      </c>
      <c r="G3956">
        <v>4</v>
      </c>
      <c r="H3956">
        <v>0</v>
      </c>
      <c r="I3956" t="s">
        <v>25</v>
      </c>
      <c r="J3956" t="s">
        <v>31</v>
      </c>
      <c r="K3956" t="s">
        <v>20</v>
      </c>
      <c r="L3956">
        <v>6</v>
      </c>
      <c r="M3956">
        <v>1</v>
      </c>
      <c r="N3956">
        <v>1</v>
      </c>
      <c r="O3956" t="s">
        <v>21</v>
      </c>
      <c r="P3956" t="str">
        <f>TEXT(Table1[[#This Row],[order_date]],"yyyy-mm")</f>
        <v>2025-09</v>
      </c>
      <c r="Q3956">
        <f>WEEKNUM(Table1[[#This Row],[order_date]])</f>
        <v>38</v>
      </c>
      <c r="R3956">
        <f>IF(Table1[[#This Row],[order_status]]="completed",1,0)</f>
        <v>0</v>
      </c>
    </row>
    <row r="3957" spans="1:18" x14ac:dyDescent="0.35">
      <c r="A3957">
        <v>3956</v>
      </c>
      <c r="B3957" s="1">
        <v>45988</v>
      </c>
      <c r="C3957">
        <v>1736</v>
      </c>
      <c r="D3957" t="s">
        <v>15</v>
      </c>
      <c r="E3957" t="s">
        <v>36</v>
      </c>
      <c r="F3957" t="s">
        <v>30</v>
      </c>
      <c r="G3957">
        <v>4</v>
      </c>
      <c r="H3957">
        <v>0</v>
      </c>
      <c r="I3957" t="s">
        <v>25</v>
      </c>
      <c r="J3957" t="s">
        <v>37</v>
      </c>
      <c r="K3957" t="s">
        <v>38</v>
      </c>
      <c r="L3957">
        <v>3</v>
      </c>
      <c r="M3957">
        <v>0</v>
      </c>
      <c r="N3957">
        <v>1</v>
      </c>
      <c r="O3957" t="s">
        <v>27</v>
      </c>
      <c r="P3957" t="str">
        <f>TEXT(Table1[[#This Row],[order_date]],"yyyy-mm")</f>
        <v>2025-11</v>
      </c>
      <c r="Q3957">
        <f>WEEKNUM(Table1[[#This Row],[order_date]])</f>
        <v>48</v>
      </c>
      <c r="R3957">
        <f>IF(Table1[[#This Row],[order_status]]="completed",1,0)</f>
        <v>0</v>
      </c>
    </row>
    <row r="3958" spans="1:18" x14ac:dyDescent="0.35">
      <c r="A3958">
        <v>3957</v>
      </c>
      <c r="B3958" s="1">
        <v>45935</v>
      </c>
      <c r="C3958">
        <v>1937</v>
      </c>
      <c r="D3958" t="s">
        <v>28</v>
      </c>
      <c r="E3958" t="s">
        <v>29</v>
      </c>
      <c r="F3958" t="s">
        <v>24</v>
      </c>
      <c r="G3958">
        <v>2</v>
      </c>
      <c r="H3958">
        <v>0</v>
      </c>
      <c r="I3958" t="s">
        <v>18</v>
      </c>
      <c r="J3958" t="s">
        <v>31</v>
      </c>
      <c r="K3958" t="s">
        <v>26</v>
      </c>
      <c r="L3958">
        <v>7</v>
      </c>
      <c r="M3958">
        <v>0</v>
      </c>
      <c r="N3958">
        <v>1</v>
      </c>
      <c r="O3958" t="s">
        <v>21</v>
      </c>
      <c r="P3958" t="str">
        <f>TEXT(Table1[[#This Row],[order_date]],"yyyy-mm")</f>
        <v>2025-10</v>
      </c>
      <c r="Q3958">
        <f>WEEKNUM(Table1[[#This Row],[order_date]])</f>
        <v>41</v>
      </c>
      <c r="R3958">
        <f>IF(Table1[[#This Row],[order_status]]="completed",1,0)</f>
        <v>0</v>
      </c>
    </row>
    <row r="3959" spans="1:18" x14ac:dyDescent="0.35">
      <c r="A3959">
        <v>3958</v>
      </c>
      <c r="B3959" s="1">
        <v>46020</v>
      </c>
      <c r="C3959">
        <v>1983</v>
      </c>
      <c r="D3959" t="s">
        <v>28</v>
      </c>
      <c r="E3959" t="s">
        <v>16</v>
      </c>
      <c r="F3959" t="s">
        <v>30</v>
      </c>
      <c r="G3959">
        <v>4</v>
      </c>
      <c r="H3959">
        <v>18432</v>
      </c>
      <c r="I3959" t="s">
        <v>39</v>
      </c>
      <c r="J3959" t="s">
        <v>19</v>
      </c>
      <c r="K3959" t="s">
        <v>38</v>
      </c>
      <c r="L3959">
        <v>4</v>
      </c>
      <c r="M3959">
        <v>0</v>
      </c>
      <c r="N3959">
        <v>1</v>
      </c>
      <c r="O3959" t="s">
        <v>21</v>
      </c>
      <c r="P3959" t="str">
        <f>TEXT(Table1[[#This Row],[order_date]],"yyyy-mm")</f>
        <v>2025-12</v>
      </c>
      <c r="Q3959">
        <f>WEEKNUM(Table1[[#This Row],[order_date]])</f>
        <v>53</v>
      </c>
      <c r="R3959">
        <f>IF(Table1[[#This Row],[order_status]]="completed",1,0)</f>
        <v>1</v>
      </c>
    </row>
    <row r="3960" spans="1:18" x14ac:dyDescent="0.35">
      <c r="A3960">
        <v>3959</v>
      </c>
      <c r="B3960" s="1">
        <v>45902</v>
      </c>
      <c r="C3960">
        <v>1163</v>
      </c>
      <c r="D3960" t="s">
        <v>41</v>
      </c>
      <c r="E3960" t="s">
        <v>23</v>
      </c>
      <c r="F3960" t="s">
        <v>30</v>
      </c>
      <c r="G3960">
        <v>5</v>
      </c>
      <c r="H3960">
        <v>0</v>
      </c>
      <c r="I3960" t="s">
        <v>18</v>
      </c>
      <c r="J3960" t="s">
        <v>37</v>
      </c>
      <c r="K3960" t="s">
        <v>26</v>
      </c>
      <c r="L3960">
        <v>3</v>
      </c>
      <c r="M3960">
        <v>0</v>
      </c>
      <c r="N3960">
        <v>1</v>
      </c>
      <c r="O3960" t="s">
        <v>21</v>
      </c>
      <c r="P3960" t="str">
        <f>TEXT(Table1[[#This Row],[order_date]],"yyyy-mm")</f>
        <v>2025-09</v>
      </c>
      <c r="Q3960">
        <f>WEEKNUM(Table1[[#This Row],[order_date]])</f>
        <v>36</v>
      </c>
      <c r="R3960">
        <f>IF(Table1[[#This Row],[order_status]]="completed",1,0)</f>
        <v>0</v>
      </c>
    </row>
    <row r="3961" spans="1:18" x14ac:dyDescent="0.35">
      <c r="A3961">
        <v>3960</v>
      </c>
      <c r="B3961" s="1">
        <v>45896</v>
      </c>
      <c r="C3961">
        <v>1334</v>
      </c>
      <c r="D3961" t="s">
        <v>15</v>
      </c>
      <c r="E3961" t="s">
        <v>16</v>
      </c>
      <c r="F3961" t="s">
        <v>34</v>
      </c>
      <c r="G3961">
        <v>2</v>
      </c>
      <c r="H3961">
        <v>0</v>
      </c>
      <c r="I3961" t="s">
        <v>35</v>
      </c>
      <c r="J3961" t="s">
        <v>31</v>
      </c>
      <c r="K3961" t="s">
        <v>38</v>
      </c>
      <c r="L3961">
        <v>8</v>
      </c>
      <c r="M3961">
        <v>0</v>
      </c>
      <c r="N3961">
        <v>1</v>
      </c>
      <c r="O3961" t="s">
        <v>21</v>
      </c>
      <c r="P3961" t="str">
        <f>TEXT(Table1[[#This Row],[order_date]],"yyyy-mm")</f>
        <v>2025-08</v>
      </c>
      <c r="Q3961">
        <f>WEEKNUM(Table1[[#This Row],[order_date]])</f>
        <v>35</v>
      </c>
      <c r="R3961">
        <f>IF(Table1[[#This Row],[order_status]]="completed",1,0)</f>
        <v>0</v>
      </c>
    </row>
    <row r="3962" spans="1:18" x14ac:dyDescent="0.35">
      <c r="A3962">
        <v>3961</v>
      </c>
      <c r="B3962" s="1">
        <v>45908</v>
      </c>
      <c r="C3962">
        <v>1046</v>
      </c>
      <c r="D3962" t="s">
        <v>32</v>
      </c>
      <c r="E3962" t="s">
        <v>33</v>
      </c>
      <c r="F3962" t="s">
        <v>24</v>
      </c>
      <c r="G3962">
        <v>4</v>
      </c>
      <c r="H3962">
        <v>0</v>
      </c>
      <c r="I3962" t="s">
        <v>35</v>
      </c>
      <c r="J3962" t="s">
        <v>37</v>
      </c>
      <c r="K3962" t="s">
        <v>20</v>
      </c>
      <c r="L3962">
        <v>6</v>
      </c>
      <c r="M3962">
        <v>0</v>
      </c>
      <c r="N3962">
        <v>0</v>
      </c>
      <c r="O3962" t="s">
        <v>27</v>
      </c>
      <c r="P3962" t="str">
        <f>TEXT(Table1[[#This Row],[order_date]],"yyyy-mm")</f>
        <v>2025-09</v>
      </c>
      <c r="Q3962">
        <f>WEEKNUM(Table1[[#This Row],[order_date]])</f>
        <v>37</v>
      </c>
      <c r="R3962">
        <f>IF(Table1[[#This Row],[order_status]]="completed",1,0)</f>
        <v>0</v>
      </c>
    </row>
    <row r="3963" spans="1:18" x14ac:dyDescent="0.35">
      <c r="A3963">
        <v>3962</v>
      </c>
      <c r="B3963" s="1">
        <v>45990</v>
      </c>
      <c r="C3963">
        <v>1605</v>
      </c>
      <c r="D3963" t="s">
        <v>28</v>
      </c>
      <c r="E3963" t="s">
        <v>36</v>
      </c>
      <c r="F3963" t="s">
        <v>17</v>
      </c>
      <c r="G3963">
        <v>2</v>
      </c>
      <c r="H3963">
        <v>0</v>
      </c>
      <c r="I3963" t="s">
        <v>25</v>
      </c>
      <c r="J3963" t="s">
        <v>31</v>
      </c>
      <c r="K3963" t="s">
        <v>20</v>
      </c>
      <c r="L3963">
        <v>10</v>
      </c>
      <c r="M3963">
        <v>1</v>
      </c>
      <c r="N3963">
        <v>0</v>
      </c>
      <c r="O3963" t="s">
        <v>21</v>
      </c>
      <c r="P3963" t="str">
        <f>TEXT(Table1[[#This Row],[order_date]],"yyyy-mm")</f>
        <v>2025-11</v>
      </c>
      <c r="Q3963">
        <f>WEEKNUM(Table1[[#This Row],[order_date]])</f>
        <v>48</v>
      </c>
      <c r="R3963">
        <f>IF(Table1[[#This Row],[order_status]]="completed",1,0)</f>
        <v>0</v>
      </c>
    </row>
    <row r="3964" spans="1:18" x14ac:dyDescent="0.35">
      <c r="A3964">
        <v>3963</v>
      </c>
      <c r="B3964" s="1">
        <v>45939</v>
      </c>
      <c r="C3964">
        <v>1105</v>
      </c>
      <c r="D3964" t="s">
        <v>32</v>
      </c>
      <c r="E3964" t="s">
        <v>29</v>
      </c>
      <c r="F3964" t="s">
        <v>30</v>
      </c>
      <c r="G3964">
        <v>3</v>
      </c>
      <c r="H3964">
        <v>5517</v>
      </c>
      <c r="I3964" t="s">
        <v>39</v>
      </c>
      <c r="J3964" t="s">
        <v>19</v>
      </c>
      <c r="K3964" t="s">
        <v>38</v>
      </c>
      <c r="L3964">
        <v>9</v>
      </c>
      <c r="M3964">
        <v>1</v>
      </c>
      <c r="N3964">
        <v>0</v>
      </c>
      <c r="O3964" t="s">
        <v>21</v>
      </c>
      <c r="P3964" t="str">
        <f>TEXT(Table1[[#This Row],[order_date]],"yyyy-mm")</f>
        <v>2025-10</v>
      </c>
      <c r="Q3964">
        <f>WEEKNUM(Table1[[#This Row],[order_date]])</f>
        <v>41</v>
      </c>
      <c r="R3964">
        <f>IF(Table1[[#This Row],[order_status]]="completed",1,0)</f>
        <v>1</v>
      </c>
    </row>
    <row r="3965" spans="1:18" x14ac:dyDescent="0.35">
      <c r="A3965">
        <v>3964</v>
      </c>
      <c r="B3965" s="1">
        <v>45864</v>
      </c>
      <c r="C3965">
        <v>1722</v>
      </c>
      <c r="D3965" t="s">
        <v>28</v>
      </c>
      <c r="E3965" t="s">
        <v>23</v>
      </c>
      <c r="F3965" t="s">
        <v>34</v>
      </c>
      <c r="G3965">
        <v>3</v>
      </c>
      <c r="H3965">
        <v>0</v>
      </c>
      <c r="I3965" t="s">
        <v>25</v>
      </c>
      <c r="J3965" t="s">
        <v>31</v>
      </c>
      <c r="K3965" t="s">
        <v>38</v>
      </c>
      <c r="L3965">
        <v>1</v>
      </c>
      <c r="M3965">
        <v>0</v>
      </c>
      <c r="N3965">
        <v>1</v>
      </c>
      <c r="O3965" t="s">
        <v>21</v>
      </c>
      <c r="P3965" t="str">
        <f>TEXT(Table1[[#This Row],[order_date]],"yyyy-mm")</f>
        <v>2025-07</v>
      </c>
      <c r="Q3965">
        <f>WEEKNUM(Table1[[#This Row],[order_date]])</f>
        <v>30</v>
      </c>
      <c r="R3965">
        <f>IF(Table1[[#This Row],[order_status]]="completed",1,0)</f>
        <v>0</v>
      </c>
    </row>
    <row r="3966" spans="1:18" x14ac:dyDescent="0.35">
      <c r="A3966">
        <v>3965</v>
      </c>
      <c r="B3966" s="1">
        <v>45998</v>
      </c>
      <c r="C3966">
        <v>1134</v>
      </c>
      <c r="D3966" t="s">
        <v>32</v>
      </c>
      <c r="E3966" t="s">
        <v>36</v>
      </c>
      <c r="F3966" t="s">
        <v>30</v>
      </c>
      <c r="G3966">
        <v>3</v>
      </c>
      <c r="H3966">
        <v>0</v>
      </c>
      <c r="I3966" t="s">
        <v>25</v>
      </c>
      <c r="J3966" t="s">
        <v>31</v>
      </c>
      <c r="K3966" t="s">
        <v>38</v>
      </c>
      <c r="L3966">
        <v>7</v>
      </c>
      <c r="M3966">
        <v>0</v>
      </c>
      <c r="N3966">
        <v>0</v>
      </c>
      <c r="O3966" t="s">
        <v>27</v>
      </c>
      <c r="P3966" t="str">
        <f>TEXT(Table1[[#This Row],[order_date]],"yyyy-mm")</f>
        <v>2025-12</v>
      </c>
      <c r="Q3966">
        <f>WEEKNUM(Table1[[#This Row],[order_date]])</f>
        <v>50</v>
      </c>
      <c r="R3966">
        <f>IF(Table1[[#This Row],[order_status]]="completed",1,0)</f>
        <v>0</v>
      </c>
    </row>
    <row r="3967" spans="1:18" x14ac:dyDescent="0.35">
      <c r="A3967">
        <v>3966</v>
      </c>
      <c r="B3967" s="1">
        <v>45926</v>
      </c>
      <c r="C3967">
        <v>1954</v>
      </c>
      <c r="D3967" t="s">
        <v>28</v>
      </c>
      <c r="E3967" t="s">
        <v>23</v>
      </c>
      <c r="F3967" t="s">
        <v>34</v>
      </c>
      <c r="G3967">
        <v>5</v>
      </c>
      <c r="H3967">
        <v>0</v>
      </c>
      <c r="I3967" t="s">
        <v>25</v>
      </c>
      <c r="J3967" t="s">
        <v>37</v>
      </c>
      <c r="K3967" t="s">
        <v>40</v>
      </c>
      <c r="L3967">
        <v>4</v>
      </c>
      <c r="M3967">
        <v>0</v>
      </c>
      <c r="N3967">
        <v>0</v>
      </c>
      <c r="O3967" t="s">
        <v>27</v>
      </c>
      <c r="P3967" t="str">
        <f>TEXT(Table1[[#This Row],[order_date]],"yyyy-mm")</f>
        <v>2025-09</v>
      </c>
      <c r="Q3967">
        <f>WEEKNUM(Table1[[#This Row],[order_date]])</f>
        <v>39</v>
      </c>
      <c r="R3967">
        <f>IF(Table1[[#This Row],[order_status]]="completed",1,0)</f>
        <v>0</v>
      </c>
    </row>
    <row r="3968" spans="1:18" x14ac:dyDescent="0.35">
      <c r="A3968">
        <v>3967</v>
      </c>
      <c r="B3968" s="1">
        <v>45892</v>
      </c>
      <c r="C3968">
        <v>1736</v>
      </c>
      <c r="D3968" t="s">
        <v>15</v>
      </c>
      <c r="E3968" t="s">
        <v>33</v>
      </c>
      <c r="F3968" t="s">
        <v>24</v>
      </c>
      <c r="G3968">
        <v>1</v>
      </c>
      <c r="H3968">
        <v>2212</v>
      </c>
      <c r="I3968" t="s">
        <v>18</v>
      </c>
      <c r="J3968" t="s">
        <v>19</v>
      </c>
      <c r="K3968" t="s">
        <v>38</v>
      </c>
      <c r="L3968">
        <v>4</v>
      </c>
      <c r="M3968">
        <v>1</v>
      </c>
      <c r="N3968">
        <v>1</v>
      </c>
      <c r="O3968" t="s">
        <v>21</v>
      </c>
      <c r="P3968" t="str">
        <f>TEXT(Table1[[#This Row],[order_date]],"yyyy-mm")</f>
        <v>2025-08</v>
      </c>
      <c r="Q3968">
        <f>WEEKNUM(Table1[[#This Row],[order_date]])</f>
        <v>34</v>
      </c>
      <c r="R3968">
        <f>IF(Table1[[#This Row],[order_status]]="completed",1,0)</f>
        <v>1</v>
      </c>
    </row>
    <row r="3969" spans="1:18" x14ac:dyDescent="0.35">
      <c r="A3969">
        <v>3968</v>
      </c>
      <c r="B3969" s="1">
        <v>45930</v>
      </c>
      <c r="C3969">
        <v>1389</v>
      </c>
      <c r="D3969" t="s">
        <v>22</v>
      </c>
      <c r="E3969" t="s">
        <v>29</v>
      </c>
      <c r="F3969" t="s">
        <v>17</v>
      </c>
      <c r="G3969">
        <v>5</v>
      </c>
      <c r="H3969">
        <v>0</v>
      </c>
      <c r="I3969" t="s">
        <v>18</v>
      </c>
      <c r="J3969" t="s">
        <v>37</v>
      </c>
      <c r="K3969" t="s">
        <v>40</v>
      </c>
      <c r="L3969">
        <v>10</v>
      </c>
      <c r="M3969">
        <v>1</v>
      </c>
      <c r="N3969">
        <v>0</v>
      </c>
      <c r="O3969" t="s">
        <v>21</v>
      </c>
      <c r="P3969" t="str">
        <f>TEXT(Table1[[#This Row],[order_date]],"yyyy-mm")</f>
        <v>2025-09</v>
      </c>
      <c r="Q3969">
        <f>WEEKNUM(Table1[[#This Row],[order_date]])</f>
        <v>40</v>
      </c>
      <c r="R3969">
        <f>IF(Table1[[#This Row],[order_status]]="completed",1,0)</f>
        <v>0</v>
      </c>
    </row>
    <row r="3970" spans="1:18" x14ac:dyDescent="0.35">
      <c r="A3970">
        <v>3969</v>
      </c>
      <c r="B3970" s="1">
        <v>46019</v>
      </c>
      <c r="C3970">
        <v>1966</v>
      </c>
      <c r="D3970" t="s">
        <v>32</v>
      </c>
      <c r="E3970" t="s">
        <v>29</v>
      </c>
      <c r="F3970" t="s">
        <v>34</v>
      </c>
      <c r="G3970">
        <v>5</v>
      </c>
      <c r="H3970">
        <v>0</v>
      </c>
      <c r="I3970" t="s">
        <v>39</v>
      </c>
      <c r="J3970" t="s">
        <v>37</v>
      </c>
      <c r="K3970" t="s">
        <v>40</v>
      </c>
      <c r="L3970">
        <v>4</v>
      </c>
      <c r="M3970">
        <v>0</v>
      </c>
      <c r="N3970">
        <v>0</v>
      </c>
      <c r="O3970" t="s">
        <v>21</v>
      </c>
      <c r="P3970" t="str">
        <f>TEXT(Table1[[#This Row],[order_date]],"yyyy-mm")</f>
        <v>2025-12</v>
      </c>
      <c r="Q3970">
        <f>WEEKNUM(Table1[[#This Row],[order_date]])</f>
        <v>53</v>
      </c>
      <c r="R3970">
        <f>IF(Table1[[#This Row],[order_status]]="completed",1,0)</f>
        <v>0</v>
      </c>
    </row>
    <row r="3971" spans="1:18" x14ac:dyDescent="0.35">
      <c r="A3971">
        <v>3970</v>
      </c>
      <c r="B3971" s="1">
        <v>45927</v>
      </c>
      <c r="C3971">
        <v>1545</v>
      </c>
      <c r="D3971" t="s">
        <v>32</v>
      </c>
      <c r="E3971" t="s">
        <v>29</v>
      </c>
      <c r="F3971" t="s">
        <v>24</v>
      </c>
      <c r="G3971">
        <v>2</v>
      </c>
      <c r="H3971">
        <v>0</v>
      </c>
      <c r="I3971" t="s">
        <v>39</v>
      </c>
      <c r="J3971" t="s">
        <v>37</v>
      </c>
      <c r="K3971" t="s">
        <v>38</v>
      </c>
      <c r="L3971">
        <v>2</v>
      </c>
      <c r="M3971">
        <v>1</v>
      </c>
      <c r="N3971">
        <v>0</v>
      </c>
      <c r="O3971" t="s">
        <v>27</v>
      </c>
      <c r="P3971" t="str">
        <f>TEXT(Table1[[#This Row],[order_date]],"yyyy-mm")</f>
        <v>2025-09</v>
      </c>
      <c r="Q3971">
        <f>WEEKNUM(Table1[[#This Row],[order_date]])</f>
        <v>39</v>
      </c>
      <c r="R3971">
        <f>IF(Table1[[#This Row],[order_status]]="completed",1,0)</f>
        <v>0</v>
      </c>
    </row>
    <row r="3972" spans="1:18" x14ac:dyDescent="0.35">
      <c r="A3972">
        <v>3971</v>
      </c>
      <c r="B3972" s="1">
        <v>46004</v>
      </c>
      <c r="C3972">
        <v>1576</v>
      </c>
      <c r="D3972" t="s">
        <v>41</v>
      </c>
      <c r="E3972" t="s">
        <v>36</v>
      </c>
      <c r="F3972" t="s">
        <v>24</v>
      </c>
      <c r="G3972">
        <v>1</v>
      </c>
      <c r="H3972">
        <v>0</v>
      </c>
      <c r="I3972" t="s">
        <v>39</v>
      </c>
      <c r="J3972" t="s">
        <v>37</v>
      </c>
      <c r="K3972" t="s">
        <v>38</v>
      </c>
      <c r="L3972">
        <v>7</v>
      </c>
      <c r="M3972">
        <v>1</v>
      </c>
      <c r="N3972">
        <v>0</v>
      </c>
      <c r="O3972" t="s">
        <v>27</v>
      </c>
      <c r="P3972" t="str">
        <f>TEXT(Table1[[#This Row],[order_date]],"yyyy-mm")</f>
        <v>2025-12</v>
      </c>
      <c r="Q3972">
        <f>WEEKNUM(Table1[[#This Row],[order_date]])</f>
        <v>50</v>
      </c>
      <c r="R3972">
        <f>IF(Table1[[#This Row],[order_status]]="completed",1,0)</f>
        <v>0</v>
      </c>
    </row>
    <row r="3973" spans="1:18" x14ac:dyDescent="0.35">
      <c r="A3973">
        <v>3972</v>
      </c>
      <c r="B3973" s="1">
        <v>45986</v>
      </c>
      <c r="C3973">
        <v>1022</v>
      </c>
      <c r="D3973" t="s">
        <v>41</v>
      </c>
      <c r="E3973" t="s">
        <v>29</v>
      </c>
      <c r="F3973" t="s">
        <v>17</v>
      </c>
      <c r="G3973">
        <v>2</v>
      </c>
      <c r="H3973">
        <v>0</v>
      </c>
      <c r="I3973" t="s">
        <v>18</v>
      </c>
      <c r="J3973" t="s">
        <v>37</v>
      </c>
      <c r="K3973" t="s">
        <v>40</v>
      </c>
      <c r="L3973">
        <v>1</v>
      </c>
      <c r="M3973">
        <v>0</v>
      </c>
      <c r="N3973">
        <v>0</v>
      </c>
      <c r="O3973" t="s">
        <v>27</v>
      </c>
      <c r="P3973" t="str">
        <f>TEXT(Table1[[#This Row],[order_date]],"yyyy-mm")</f>
        <v>2025-11</v>
      </c>
      <c r="Q3973">
        <f>WEEKNUM(Table1[[#This Row],[order_date]])</f>
        <v>48</v>
      </c>
      <c r="R3973">
        <f>IF(Table1[[#This Row],[order_status]]="completed",1,0)</f>
        <v>0</v>
      </c>
    </row>
    <row r="3974" spans="1:18" x14ac:dyDescent="0.35">
      <c r="A3974">
        <v>3973</v>
      </c>
      <c r="B3974" s="1">
        <v>45969</v>
      </c>
      <c r="C3974">
        <v>1290</v>
      </c>
      <c r="D3974" t="s">
        <v>15</v>
      </c>
      <c r="E3974" t="s">
        <v>16</v>
      </c>
      <c r="F3974" t="s">
        <v>30</v>
      </c>
      <c r="G3974">
        <v>3</v>
      </c>
      <c r="H3974">
        <v>0</v>
      </c>
      <c r="I3974" t="s">
        <v>25</v>
      </c>
      <c r="J3974" t="s">
        <v>31</v>
      </c>
      <c r="K3974" t="s">
        <v>26</v>
      </c>
      <c r="L3974">
        <v>2</v>
      </c>
      <c r="M3974">
        <v>0</v>
      </c>
      <c r="N3974">
        <v>0</v>
      </c>
      <c r="O3974" t="s">
        <v>27</v>
      </c>
      <c r="P3974" t="str">
        <f>TEXT(Table1[[#This Row],[order_date]],"yyyy-mm")</f>
        <v>2025-11</v>
      </c>
      <c r="Q3974">
        <f>WEEKNUM(Table1[[#This Row],[order_date]])</f>
        <v>45</v>
      </c>
      <c r="R3974">
        <f>IF(Table1[[#This Row],[order_status]]="completed",1,0)</f>
        <v>0</v>
      </c>
    </row>
    <row r="3975" spans="1:18" x14ac:dyDescent="0.35">
      <c r="A3975">
        <v>3974</v>
      </c>
      <c r="B3975" s="1">
        <v>45961</v>
      </c>
      <c r="C3975">
        <v>1531</v>
      </c>
      <c r="D3975" t="s">
        <v>22</v>
      </c>
      <c r="E3975" t="s">
        <v>36</v>
      </c>
      <c r="F3975" t="s">
        <v>24</v>
      </c>
      <c r="G3975">
        <v>5</v>
      </c>
      <c r="H3975">
        <v>0</v>
      </c>
      <c r="I3975" t="s">
        <v>39</v>
      </c>
      <c r="J3975" t="s">
        <v>31</v>
      </c>
      <c r="K3975" t="s">
        <v>38</v>
      </c>
      <c r="L3975">
        <v>6</v>
      </c>
      <c r="M3975">
        <v>1</v>
      </c>
      <c r="N3975">
        <v>0</v>
      </c>
      <c r="O3975" t="s">
        <v>21</v>
      </c>
      <c r="P3975" t="str">
        <f>TEXT(Table1[[#This Row],[order_date]],"yyyy-mm")</f>
        <v>2025-10</v>
      </c>
      <c r="Q3975">
        <f>WEEKNUM(Table1[[#This Row],[order_date]])</f>
        <v>44</v>
      </c>
      <c r="R3975">
        <f>IF(Table1[[#This Row],[order_status]]="completed",1,0)</f>
        <v>0</v>
      </c>
    </row>
    <row r="3976" spans="1:18" x14ac:dyDescent="0.35">
      <c r="A3976">
        <v>3975</v>
      </c>
      <c r="B3976" s="1">
        <v>45898</v>
      </c>
      <c r="C3976">
        <v>1822</v>
      </c>
      <c r="D3976" t="s">
        <v>41</v>
      </c>
      <c r="E3976" t="s">
        <v>36</v>
      </c>
      <c r="F3976" t="s">
        <v>17</v>
      </c>
      <c r="G3976">
        <v>5</v>
      </c>
      <c r="H3976">
        <v>0</v>
      </c>
      <c r="I3976" t="s">
        <v>18</v>
      </c>
      <c r="J3976" t="s">
        <v>37</v>
      </c>
      <c r="K3976" t="s">
        <v>26</v>
      </c>
      <c r="L3976">
        <v>10</v>
      </c>
      <c r="M3976">
        <v>1</v>
      </c>
      <c r="N3976">
        <v>0</v>
      </c>
      <c r="O3976" t="s">
        <v>27</v>
      </c>
      <c r="P3976" t="str">
        <f>TEXT(Table1[[#This Row],[order_date]],"yyyy-mm")</f>
        <v>2025-08</v>
      </c>
      <c r="Q3976">
        <f>WEEKNUM(Table1[[#This Row],[order_date]])</f>
        <v>35</v>
      </c>
      <c r="R3976">
        <f>IF(Table1[[#This Row],[order_status]]="completed",1,0)</f>
        <v>0</v>
      </c>
    </row>
    <row r="3977" spans="1:18" x14ac:dyDescent="0.35">
      <c r="A3977">
        <v>3976</v>
      </c>
      <c r="B3977" s="1">
        <v>45888</v>
      </c>
      <c r="C3977">
        <v>1924</v>
      </c>
      <c r="D3977" t="s">
        <v>41</v>
      </c>
      <c r="E3977" t="s">
        <v>16</v>
      </c>
      <c r="F3977" t="s">
        <v>30</v>
      </c>
      <c r="G3977">
        <v>5</v>
      </c>
      <c r="H3977">
        <v>0</v>
      </c>
      <c r="I3977" t="s">
        <v>25</v>
      </c>
      <c r="J3977" t="s">
        <v>31</v>
      </c>
      <c r="K3977" t="s">
        <v>20</v>
      </c>
      <c r="L3977">
        <v>4</v>
      </c>
      <c r="M3977">
        <v>1</v>
      </c>
      <c r="N3977">
        <v>1</v>
      </c>
      <c r="O3977" t="s">
        <v>21</v>
      </c>
      <c r="P3977" t="str">
        <f>TEXT(Table1[[#This Row],[order_date]],"yyyy-mm")</f>
        <v>2025-08</v>
      </c>
      <c r="Q3977">
        <f>WEEKNUM(Table1[[#This Row],[order_date]])</f>
        <v>34</v>
      </c>
      <c r="R3977">
        <f>IF(Table1[[#This Row],[order_status]]="completed",1,0)</f>
        <v>0</v>
      </c>
    </row>
    <row r="3978" spans="1:18" x14ac:dyDescent="0.35">
      <c r="A3978">
        <v>3977</v>
      </c>
      <c r="B3978" s="1">
        <v>45963</v>
      </c>
      <c r="C3978">
        <v>1281</v>
      </c>
      <c r="D3978" t="s">
        <v>22</v>
      </c>
      <c r="E3978" t="s">
        <v>23</v>
      </c>
      <c r="F3978" t="s">
        <v>17</v>
      </c>
      <c r="G3978">
        <v>4</v>
      </c>
      <c r="H3978">
        <v>0</v>
      </c>
      <c r="I3978" t="s">
        <v>25</v>
      </c>
      <c r="J3978" t="s">
        <v>31</v>
      </c>
      <c r="K3978" t="s">
        <v>38</v>
      </c>
      <c r="L3978">
        <v>8</v>
      </c>
      <c r="M3978">
        <v>0</v>
      </c>
      <c r="N3978">
        <v>1</v>
      </c>
      <c r="O3978" t="s">
        <v>21</v>
      </c>
      <c r="P3978" t="str">
        <f>TEXT(Table1[[#This Row],[order_date]],"yyyy-mm")</f>
        <v>2025-11</v>
      </c>
      <c r="Q3978">
        <f>WEEKNUM(Table1[[#This Row],[order_date]])</f>
        <v>45</v>
      </c>
      <c r="R3978">
        <f>IF(Table1[[#This Row],[order_status]]="completed",1,0)</f>
        <v>0</v>
      </c>
    </row>
    <row r="3979" spans="1:18" x14ac:dyDescent="0.35">
      <c r="A3979">
        <v>3978</v>
      </c>
      <c r="B3979" s="1">
        <v>45964</v>
      </c>
      <c r="C3979">
        <v>1422</v>
      </c>
      <c r="D3979" t="s">
        <v>22</v>
      </c>
      <c r="E3979" t="s">
        <v>23</v>
      </c>
      <c r="F3979" t="s">
        <v>24</v>
      </c>
      <c r="G3979">
        <v>2</v>
      </c>
      <c r="H3979">
        <v>6488</v>
      </c>
      <c r="I3979" t="s">
        <v>18</v>
      </c>
      <c r="J3979" t="s">
        <v>19</v>
      </c>
      <c r="K3979" t="s">
        <v>40</v>
      </c>
      <c r="L3979">
        <v>2</v>
      </c>
      <c r="M3979">
        <v>1</v>
      </c>
      <c r="N3979">
        <v>1</v>
      </c>
      <c r="O3979" t="s">
        <v>27</v>
      </c>
      <c r="P3979" t="str">
        <f>TEXT(Table1[[#This Row],[order_date]],"yyyy-mm")</f>
        <v>2025-11</v>
      </c>
      <c r="Q3979">
        <f>WEEKNUM(Table1[[#This Row],[order_date]])</f>
        <v>45</v>
      </c>
      <c r="R3979">
        <f>IF(Table1[[#This Row],[order_status]]="completed",1,0)</f>
        <v>1</v>
      </c>
    </row>
    <row r="3980" spans="1:18" x14ac:dyDescent="0.35">
      <c r="A3980">
        <v>3979</v>
      </c>
      <c r="B3980" s="1">
        <v>45909</v>
      </c>
      <c r="C3980">
        <v>1656</v>
      </c>
      <c r="D3980" t="s">
        <v>41</v>
      </c>
      <c r="E3980" t="s">
        <v>36</v>
      </c>
      <c r="F3980" t="s">
        <v>17</v>
      </c>
      <c r="G3980">
        <v>3</v>
      </c>
      <c r="H3980">
        <v>0</v>
      </c>
      <c r="I3980" t="s">
        <v>39</v>
      </c>
      <c r="J3980" t="s">
        <v>37</v>
      </c>
      <c r="K3980" t="s">
        <v>38</v>
      </c>
      <c r="L3980">
        <v>5</v>
      </c>
      <c r="M3980">
        <v>0</v>
      </c>
      <c r="N3980">
        <v>1</v>
      </c>
      <c r="O3980" t="s">
        <v>27</v>
      </c>
      <c r="P3980" t="str">
        <f>TEXT(Table1[[#This Row],[order_date]],"yyyy-mm")</f>
        <v>2025-09</v>
      </c>
      <c r="Q3980">
        <f>WEEKNUM(Table1[[#This Row],[order_date]])</f>
        <v>37</v>
      </c>
      <c r="R3980">
        <f>IF(Table1[[#This Row],[order_status]]="completed",1,0)</f>
        <v>0</v>
      </c>
    </row>
    <row r="3981" spans="1:18" x14ac:dyDescent="0.35">
      <c r="A3981">
        <v>3980</v>
      </c>
      <c r="B3981" s="1">
        <v>45924</v>
      </c>
      <c r="C3981">
        <v>1515</v>
      </c>
      <c r="D3981" t="s">
        <v>41</v>
      </c>
      <c r="E3981" t="s">
        <v>23</v>
      </c>
      <c r="F3981" t="s">
        <v>30</v>
      </c>
      <c r="G3981">
        <v>3</v>
      </c>
      <c r="H3981">
        <v>0</v>
      </c>
      <c r="I3981" t="s">
        <v>18</v>
      </c>
      <c r="J3981" t="s">
        <v>37</v>
      </c>
      <c r="K3981" t="s">
        <v>26</v>
      </c>
      <c r="L3981">
        <v>1</v>
      </c>
      <c r="M3981">
        <v>1</v>
      </c>
      <c r="N3981">
        <v>1</v>
      </c>
      <c r="O3981" t="s">
        <v>21</v>
      </c>
      <c r="P3981" t="str">
        <f>TEXT(Table1[[#This Row],[order_date]],"yyyy-mm")</f>
        <v>2025-09</v>
      </c>
      <c r="Q3981">
        <f>WEEKNUM(Table1[[#This Row],[order_date]])</f>
        <v>39</v>
      </c>
      <c r="R3981">
        <f>IF(Table1[[#This Row],[order_status]]="completed",1,0)</f>
        <v>0</v>
      </c>
    </row>
    <row r="3982" spans="1:18" x14ac:dyDescent="0.35">
      <c r="A3982">
        <v>3981</v>
      </c>
      <c r="B3982" s="1">
        <v>45931</v>
      </c>
      <c r="C3982">
        <v>1172</v>
      </c>
      <c r="D3982" t="s">
        <v>28</v>
      </c>
      <c r="E3982" t="s">
        <v>33</v>
      </c>
      <c r="F3982" t="s">
        <v>30</v>
      </c>
      <c r="G3982">
        <v>1</v>
      </c>
      <c r="H3982">
        <v>0</v>
      </c>
      <c r="I3982" t="s">
        <v>39</v>
      </c>
      <c r="J3982" t="s">
        <v>31</v>
      </c>
      <c r="K3982" t="s">
        <v>40</v>
      </c>
      <c r="L3982">
        <v>2</v>
      </c>
      <c r="M3982">
        <v>0</v>
      </c>
      <c r="N3982">
        <v>0</v>
      </c>
      <c r="O3982" t="s">
        <v>21</v>
      </c>
      <c r="P3982" t="str">
        <f>TEXT(Table1[[#This Row],[order_date]],"yyyy-mm")</f>
        <v>2025-10</v>
      </c>
      <c r="Q3982">
        <f>WEEKNUM(Table1[[#This Row],[order_date]])</f>
        <v>40</v>
      </c>
      <c r="R3982">
        <f>IF(Table1[[#This Row],[order_status]]="completed",1,0)</f>
        <v>0</v>
      </c>
    </row>
    <row r="3983" spans="1:18" x14ac:dyDescent="0.35">
      <c r="A3983">
        <v>3982</v>
      </c>
      <c r="B3983" s="1">
        <v>45859</v>
      </c>
      <c r="C3983">
        <v>1565</v>
      </c>
      <c r="D3983" t="s">
        <v>32</v>
      </c>
      <c r="E3983" t="s">
        <v>33</v>
      </c>
      <c r="F3983" t="s">
        <v>30</v>
      </c>
      <c r="G3983">
        <v>5</v>
      </c>
      <c r="H3983">
        <v>0</v>
      </c>
      <c r="I3983" t="s">
        <v>25</v>
      </c>
      <c r="J3983" t="s">
        <v>37</v>
      </c>
      <c r="K3983" t="s">
        <v>26</v>
      </c>
      <c r="L3983">
        <v>3</v>
      </c>
      <c r="M3983">
        <v>0</v>
      </c>
      <c r="N3983">
        <v>0</v>
      </c>
      <c r="O3983" t="s">
        <v>27</v>
      </c>
      <c r="P3983" t="str">
        <f>TEXT(Table1[[#This Row],[order_date]],"yyyy-mm")</f>
        <v>2025-07</v>
      </c>
      <c r="Q3983">
        <f>WEEKNUM(Table1[[#This Row],[order_date]])</f>
        <v>30</v>
      </c>
      <c r="R3983">
        <f>IF(Table1[[#This Row],[order_status]]="completed",1,0)</f>
        <v>0</v>
      </c>
    </row>
    <row r="3984" spans="1:18" x14ac:dyDescent="0.35">
      <c r="A3984">
        <v>3983</v>
      </c>
      <c r="B3984" s="1">
        <v>45954</v>
      </c>
      <c r="C3984">
        <v>1990</v>
      </c>
      <c r="D3984" t="s">
        <v>41</v>
      </c>
      <c r="E3984" t="s">
        <v>29</v>
      </c>
      <c r="F3984" t="s">
        <v>17</v>
      </c>
      <c r="G3984">
        <v>3</v>
      </c>
      <c r="H3984">
        <v>0</v>
      </c>
      <c r="I3984" t="s">
        <v>25</v>
      </c>
      <c r="J3984" t="s">
        <v>31</v>
      </c>
      <c r="K3984" t="s">
        <v>26</v>
      </c>
      <c r="L3984">
        <v>5</v>
      </c>
      <c r="M3984">
        <v>1</v>
      </c>
      <c r="N3984">
        <v>1</v>
      </c>
      <c r="O3984" t="s">
        <v>21</v>
      </c>
      <c r="P3984" t="str">
        <f>TEXT(Table1[[#This Row],[order_date]],"yyyy-mm")</f>
        <v>2025-10</v>
      </c>
      <c r="Q3984">
        <f>WEEKNUM(Table1[[#This Row],[order_date]])</f>
        <v>43</v>
      </c>
      <c r="R3984">
        <f>IF(Table1[[#This Row],[order_status]]="completed",1,0)</f>
        <v>0</v>
      </c>
    </row>
    <row r="3985" spans="1:18" x14ac:dyDescent="0.35">
      <c r="A3985">
        <v>3984</v>
      </c>
      <c r="B3985" s="1">
        <v>45981</v>
      </c>
      <c r="C3985">
        <v>1775</v>
      </c>
      <c r="D3985" t="s">
        <v>15</v>
      </c>
      <c r="E3985" t="s">
        <v>33</v>
      </c>
      <c r="F3985" t="s">
        <v>30</v>
      </c>
      <c r="G3985">
        <v>1</v>
      </c>
      <c r="H3985">
        <v>0</v>
      </c>
      <c r="I3985" t="s">
        <v>39</v>
      </c>
      <c r="J3985" t="s">
        <v>31</v>
      </c>
      <c r="K3985" t="s">
        <v>38</v>
      </c>
      <c r="L3985">
        <v>10</v>
      </c>
      <c r="M3985">
        <v>1</v>
      </c>
      <c r="N3985">
        <v>1</v>
      </c>
      <c r="O3985" t="s">
        <v>27</v>
      </c>
      <c r="P3985" t="str">
        <f>TEXT(Table1[[#This Row],[order_date]],"yyyy-mm")</f>
        <v>2025-11</v>
      </c>
      <c r="Q3985">
        <f>WEEKNUM(Table1[[#This Row],[order_date]])</f>
        <v>47</v>
      </c>
      <c r="R3985">
        <f>IF(Table1[[#This Row],[order_status]]="completed",1,0)</f>
        <v>0</v>
      </c>
    </row>
    <row r="3986" spans="1:18" x14ac:dyDescent="0.35">
      <c r="A3986">
        <v>3985</v>
      </c>
      <c r="B3986" s="1">
        <v>45932</v>
      </c>
      <c r="C3986">
        <v>1429</v>
      </c>
      <c r="D3986" t="s">
        <v>32</v>
      </c>
      <c r="E3986" t="s">
        <v>16</v>
      </c>
      <c r="F3986" t="s">
        <v>17</v>
      </c>
      <c r="G3986">
        <v>1</v>
      </c>
      <c r="H3986">
        <v>0</v>
      </c>
      <c r="I3986" t="s">
        <v>25</v>
      </c>
      <c r="J3986" t="s">
        <v>37</v>
      </c>
      <c r="K3986" t="s">
        <v>20</v>
      </c>
      <c r="L3986">
        <v>9</v>
      </c>
      <c r="M3986">
        <v>1</v>
      </c>
      <c r="N3986">
        <v>0</v>
      </c>
      <c r="O3986" t="s">
        <v>21</v>
      </c>
      <c r="P3986" t="str">
        <f>TEXT(Table1[[#This Row],[order_date]],"yyyy-mm")</f>
        <v>2025-10</v>
      </c>
      <c r="Q3986">
        <f>WEEKNUM(Table1[[#This Row],[order_date]])</f>
        <v>40</v>
      </c>
      <c r="R3986">
        <f>IF(Table1[[#This Row],[order_status]]="completed",1,0)</f>
        <v>0</v>
      </c>
    </row>
    <row r="3987" spans="1:18" x14ac:dyDescent="0.35">
      <c r="A3987">
        <v>3986</v>
      </c>
      <c r="B3987" s="1">
        <v>45963</v>
      </c>
      <c r="C3987">
        <v>1079</v>
      </c>
      <c r="D3987" t="s">
        <v>28</v>
      </c>
      <c r="E3987" t="s">
        <v>33</v>
      </c>
      <c r="F3987" t="s">
        <v>34</v>
      </c>
      <c r="G3987">
        <v>1</v>
      </c>
      <c r="H3987">
        <v>0</v>
      </c>
      <c r="I3987" t="s">
        <v>25</v>
      </c>
      <c r="J3987" t="s">
        <v>31</v>
      </c>
      <c r="K3987" t="s">
        <v>26</v>
      </c>
      <c r="L3987">
        <v>3</v>
      </c>
      <c r="M3987">
        <v>1</v>
      </c>
      <c r="N3987">
        <v>0</v>
      </c>
      <c r="O3987" t="s">
        <v>21</v>
      </c>
      <c r="P3987" t="str">
        <f>TEXT(Table1[[#This Row],[order_date]],"yyyy-mm")</f>
        <v>2025-11</v>
      </c>
      <c r="Q3987">
        <f>WEEKNUM(Table1[[#This Row],[order_date]])</f>
        <v>45</v>
      </c>
      <c r="R3987">
        <f>IF(Table1[[#This Row],[order_status]]="completed",1,0)</f>
        <v>0</v>
      </c>
    </row>
    <row r="3988" spans="1:18" x14ac:dyDescent="0.35">
      <c r="A3988">
        <v>3987</v>
      </c>
      <c r="B3988" s="1">
        <v>46025</v>
      </c>
      <c r="C3988">
        <v>1078</v>
      </c>
      <c r="D3988" t="s">
        <v>22</v>
      </c>
      <c r="E3988" t="s">
        <v>29</v>
      </c>
      <c r="F3988" t="s">
        <v>24</v>
      </c>
      <c r="G3988">
        <v>1</v>
      </c>
      <c r="H3988">
        <v>4433</v>
      </c>
      <c r="I3988" t="s">
        <v>25</v>
      </c>
      <c r="J3988" t="s">
        <v>19</v>
      </c>
      <c r="K3988" t="s">
        <v>40</v>
      </c>
      <c r="L3988">
        <v>6</v>
      </c>
      <c r="M3988">
        <v>1</v>
      </c>
      <c r="N3988">
        <v>1</v>
      </c>
      <c r="O3988" t="s">
        <v>27</v>
      </c>
      <c r="P3988" t="str">
        <f>TEXT(Table1[[#This Row],[order_date]],"yyyy-mm")</f>
        <v>2026-01</v>
      </c>
      <c r="Q3988">
        <f>WEEKNUM(Table1[[#This Row],[order_date]])</f>
        <v>1</v>
      </c>
      <c r="R3988">
        <f>IF(Table1[[#This Row],[order_status]]="completed",1,0)</f>
        <v>1</v>
      </c>
    </row>
    <row r="3989" spans="1:18" x14ac:dyDescent="0.35">
      <c r="A3989">
        <v>3988</v>
      </c>
      <c r="B3989" s="1">
        <v>45851</v>
      </c>
      <c r="C3989">
        <v>1280</v>
      </c>
      <c r="D3989" t="s">
        <v>28</v>
      </c>
      <c r="E3989" t="s">
        <v>33</v>
      </c>
      <c r="F3989" t="s">
        <v>24</v>
      </c>
      <c r="G3989">
        <v>1</v>
      </c>
      <c r="H3989">
        <v>3257</v>
      </c>
      <c r="I3989" t="s">
        <v>39</v>
      </c>
      <c r="J3989" t="s">
        <v>19</v>
      </c>
      <c r="K3989" t="s">
        <v>20</v>
      </c>
      <c r="L3989">
        <v>8</v>
      </c>
      <c r="M3989">
        <v>0</v>
      </c>
      <c r="N3989">
        <v>0</v>
      </c>
      <c r="O3989" t="s">
        <v>21</v>
      </c>
      <c r="P3989" t="str">
        <f>TEXT(Table1[[#This Row],[order_date]],"yyyy-mm")</f>
        <v>2025-07</v>
      </c>
      <c r="Q3989">
        <f>WEEKNUM(Table1[[#This Row],[order_date]])</f>
        <v>29</v>
      </c>
      <c r="R3989">
        <f>IF(Table1[[#This Row],[order_status]]="completed",1,0)</f>
        <v>1</v>
      </c>
    </row>
    <row r="3990" spans="1:18" x14ac:dyDescent="0.35">
      <c r="A3990">
        <v>3989</v>
      </c>
      <c r="B3990" s="1">
        <v>45961</v>
      </c>
      <c r="C3990">
        <v>1398</v>
      </c>
      <c r="D3990" t="s">
        <v>28</v>
      </c>
      <c r="E3990" t="s">
        <v>16</v>
      </c>
      <c r="F3990" t="s">
        <v>34</v>
      </c>
      <c r="G3990">
        <v>2</v>
      </c>
      <c r="H3990">
        <v>0</v>
      </c>
      <c r="I3990" t="s">
        <v>39</v>
      </c>
      <c r="J3990" t="s">
        <v>31</v>
      </c>
      <c r="K3990" t="s">
        <v>38</v>
      </c>
      <c r="L3990">
        <v>7</v>
      </c>
      <c r="M3990">
        <v>1</v>
      </c>
      <c r="N3990">
        <v>1</v>
      </c>
      <c r="O3990" t="s">
        <v>21</v>
      </c>
      <c r="P3990" t="str">
        <f>TEXT(Table1[[#This Row],[order_date]],"yyyy-mm")</f>
        <v>2025-10</v>
      </c>
      <c r="Q3990">
        <f>WEEKNUM(Table1[[#This Row],[order_date]])</f>
        <v>44</v>
      </c>
      <c r="R3990">
        <f>IF(Table1[[#This Row],[order_status]]="completed",1,0)</f>
        <v>0</v>
      </c>
    </row>
    <row r="3991" spans="1:18" x14ac:dyDescent="0.35">
      <c r="A3991">
        <v>3990</v>
      </c>
      <c r="B3991" s="1">
        <v>45936</v>
      </c>
      <c r="C3991">
        <v>1284</v>
      </c>
      <c r="D3991" t="s">
        <v>41</v>
      </c>
      <c r="E3991" t="s">
        <v>16</v>
      </c>
      <c r="F3991" t="s">
        <v>34</v>
      </c>
      <c r="G3991">
        <v>5</v>
      </c>
      <c r="H3991">
        <v>0</v>
      </c>
      <c r="I3991" t="s">
        <v>39</v>
      </c>
      <c r="J3991" t="s">
        <v>37</v>
      </c>
      <c r="K3991" t="s">
        <v>20</v>
      </c>
      <c r="L3991">
        <v>10</v>
      </c>
      <c r="M3991">
        <v>0</v>
      </c>
      <c r="N3991">
        <v>0</v>
      </c>
      <c r="O3991" t="s">
        <v>21</v>
      </c>
      <c r="P3991" t="str">
        <f>TEXT(Table1[[#This Row],[order_date]],"yyyy-mm")</f>
        <v>2025-10</v>
      </c>
      <c r="Q3991">
        <f>WEEKNUM(Table1[[#This Row],[order_date]])</f>
        <v>41</v>
      </c>
      <c r="R3991">
        <f>IF(Table1[[#This Row],[order_status]]="completed",1,0)</f>
        <v>0</v>
      </c>
    </row>
    <row r="3992" spans="1:18" x14ac:dyDescent="0.35">
      <c r="A3992">
        <v>3991</v>
      </c>
      <c r="B3992" s="1">
        <v>45880</v>
      </c>
      <c r="C3992">
        <v>1844</v>
      </c>
      <c r="D3992" t="s">
        <v>41</v>
      </c>
      <c r="E3992" t="s">
        <v>23</v>
      </c>
      <c r="F3992" t="s">
        <v>34</v>
      </c>
      <c r="G3992">
        <v>5</v>
      </c>
      <c r="H3992">
        <v>6710</v>
      </c>
      <c r="I3992" t="s">
        <v>39</v>
      </c>
      <c r="J3992" t="s">
        <v>19</v>
      </c>
      <c r="K3992" t="s">
        <v>26</v>
      </c>
      <c r="L3992">
        <v>4</v>
      </c>
      <c r="M3992">
        <v>0</v>
      </c>
      <c r="N3992">
        <v>1</v>
      </c>
      <c r="O3992" t="s">
        <v>27</v>
      </c>
      <c r="P3992" t="str">
        <f>TEXT(Table1[[#This Row],[order_date]],"yyyy-mm")</f>
        <v>2025-08</v>
      </c>
      <c r="Q3992">
        <f>WEEKNUM(Table1[[#This Row],[order_date]])</f>
        <v>33</v>
      </c>
      <c r="R3992">
        <f>IF(Table1[[#This Row],[order_status]]="completed",1,0)</f>
        <v>1</v>
      </c>
    </row>
    <row r="3993" spans="1:18" x14ac:dyDescent="0.35">
      <c r="A3993">
        <v>3992</v>
      </c>
      <c r="B3993" s="1">
        <v>45912</v>
      </c>
      <c r="C3993">
        <v>1869</v>
      </c>
      <c r="D3993" t="s">
        <v>32</v>
      </c>
      <c r="E3993" t="s">
        <v>36</v>
      </c>
      <c r="F3993" t="s">
        <v>30</v>
      </c>
      <c r="G3993">
        <v>4</v>
      </c>
      <c r="H3993">
        <v>0</v>
      </c>
      <c r="I3993" t="s">
        <v>35</v>
      </c>
      <c r="J3993" t="s">
        <v>31</v>
      </c>
      <c r="K3993" t="s">
        <v>20</v>
      </c>
      <c r="L3993">
        <v>3</v>
      </c>
      <c r="M3993">
        <v>1</v>
      </c>
      <c r="N3993">
        <v>0</v>
      </c>
      <c r="O3993" t="s">
        <v>27</v>
      </c>
      <c r="P3993" t="str">
        <f>TEXT(Table1[[#This Row],[order_date]],"yyyy-mm")</f>
        <v>2025-09</v>
      </c>
      <c r="Q3993">
        <f>WEEKNUM(Table1[[#This Row],[order_date]])</f>
        <v>37</v>
      </c>
      <c r="R3993">
        <f>IF(Table1[[#This Row],[order_status]]="completed",1,0)</f>
        <v>0</v>
      </c>
    </row>
    <row r="3994" spans="1:18" x14ac:dyDescent="0.35">
      <c r="A3994">
        <v>3993</v>
      </c>
      <c r="B3994" s="1">
        <v>46025</v>
      </c>
      <c r="C3994">
        <v>1316</v>
      </c>
      <c r="D3994" t="s">
        <v>22</v>
      </c>
      <c r="E3994" t="s">
        <v>33</v>
      </c>
      <c r="F3994" t="s">
        <v>17</v>
      </c>
      <c r="G3994">
        <v>1</v>
      </c>
      <c r="H3994">
        <v>0</v>
      </c>
      <c r="I3994" t="s">
        <v>18</v>
      </c>
      <c r="J3994" t="s">
        <v>37</v>
      </c>
      <c r="K3994" t="s">
        <v>26</v>
      </c>
      <c r="L3994">
        <v>9</v>
      </c>
      <c r="M3994">
        <v>0</v>
      </c>
      <c r="N3994">
        <v>0</v>
      </c>
      <c r="O3994" t="s">
        <v>21</v>
      </c>
      <c r="P3994" t="str">
        <f>TEXT(Table1[[#This Row],[order_date]],"yyyy-mm")</f>
        <v>2026-01</v>
      </c>
      <c r="Q3994">
        <f>WEEKNUM(Table1[[#This Row],[order_date]])</f>
        <v>1</v>
      </c>
      <c r="R3994">
        <f>IF(Table1[[#This Row],[order_status]]="completed",1,0)</f>
        <v>0</v>
      </c>
    </row>
    <row r="3995" spans="1:18" x14ac:dyDescent="0.35">
      <c r="A3995">
        <v>3994</v>
      </c>
      <c r="B3995" s="1">
        <v>45874</v>
      </c>
      <c r="C3995">
        <v>1446</v>
      </c>
      <c r="D3995" t="s">
        <v>41</v>
      </c>
      <c r="E3995" t="s">
        <v>36</v>
      </c>
      <c r="F3995" t="s">
        <v>24</v>
      </c>
      <c r="G3995">
        <v>1</v>
      </c>
      <c r="H3995">
        <v>0</v>
      </c>
      <c r="I3995" t="s">
        <v>18</v>
      </c>
      <c r="J3995" t="s">
        <v>31</v>
      </c>
      <c r="K3995" t="s">
        <v>26</v>
      </c>
      <c r="L3995">
        <v>10</v>
      </c>
      <c r="M3995">
        <v>1</v>
      </c>
      <c r="N3995">
        <v>0</v>
      </c>
      <c r="O3995" t="s">
        <v>27</v>
      </c>
      <c r="P3995" t="str">
        <f>TEXT(Table1[[#This Row],[order_date]],"yyyy-mm")</f>
        <v>2025-08</v>
      </c>
      <c r="Q3995">
        <f>WEEKNUM(Table1[[#This Row],[order_date]])</f>
        <v>32</v>
      </c>
      <c r="R3995">
        <f>IF(Table1[[#This Row],[order_status]]="completed",1,0)</f>
        <v>0</v>
      </c>
    </row>
    <row r="3996" spans="1:18" x14ac:dyDescent="0.35">
      <c r="A3996">
        <v>3995</v>
      </c>
      <c r="B3996" s="1">
        <v>45907</v>
      </c>
      <c r="C3996">
        <v>1081</v>
      </c>
      <c r="D3996" t="s">
        <v>15</v>
      </c>
      <c r="E3996" t="s">
        <v>29</v>
      </c>
      <c r="F3996" t="s">
        <v>34</v>
      </c>
      <c r="G3996">
        <v>5</v>
      </c>
      <c r="H3996">
        <v>0</v>
      </c>
      <c r="I3996" t="s">
        <v>18</v>
      </c>
      <c r="J3996" t="s">
        <v>31</v>
      </c>
      <c r="K3996" t="s">
        <v>40</v>
      </c>
      <c r="L3996">
        <v>9</v>
      </c>
      <c r="M3996">
        <v>0</v>
      </c>
      <c r="N3996">
        <v>0</v>
      </c>
      <c r="O3996" t="s">
        <v>21</v>
      </c>
      <c r="P3996" t="str">
        <f>TEXT(Table1[[#This Row],[order_date]],"yyyy-mm")</f>
        <v>2025-09</v>
      </c>
      <c r="Q3996">
        <f>WEEKNUM(Table1[[#This Row],[order_date]])</f>
        <v>37</v>
      </c>
      <c r="R3996">
        <f>IF(Table1[[#This Row],[order_status]]="completed",1,0)</f>
        <v>0</v>
      </c>
    </row>
    <row r="3997" spans="1:18" x14ac:dyDescent="0.35">
      <c r="A3997">
        <v>3996</v>
      </c>
      <c r="B3997" s="1">
        <v>45971</v>
      </c>
      <c r="C3997">
        <v>1810</v>
      </c>
      <c r="D3997" t="s">
        <v>15</v>
      </c>
      <c r="E3997" t="s">
        <v>29</v>
      </c>
      <c r="F3997" t="s">
        <v>34</v>
      </c>
      <c r="G3997">
        <v>5</v>
      </c>
      <c r="H3997">
        <v>0</v>
      </c>
      <c r="I3997" t="s">
        <v>35</v>
      </c>
      <c r="J3997" t="s">
        <v>31</v>
      </c>
      <c r="K3997" t="s">
        <v>40</v>
      </c>
      <c r="L3997">
        <v>4</v>
      </c>
      <c r="M3997">
        <v>0</v>
      </c>
      <c r="N3997">
        <v>0</v>
      </c>
      <c r="O3997" t="s">
        <v>21</v>
      </c>
      <c r="P3997" t="str">
        <f>TEXT(Table1[[#This Row],[order_date]],"yyyy-mm")</f>
        <v>2025-11</v>
      </c>
      <c r="Q3997">
        <f>WEEKNUM(Table1[[#This Row],[order_date]])</f>
        <v>46</v>
      </c>
      <c r="R3997">
        <f>IF(Table1[[#This Row],[order_status]]="completed",1,0)</f>
        <v>0</v>
      </c>
    </row>
    <row r="3998" spans="1:18" x14ac:dyDescent="0.35">
      <c r="A3998">
        <v>3997</v>
      </c>
      <c r="B3998" s="1">
        <v>45946</v>
      </c>
      <c r="C3998">
        <v>1440</v>
      </c>
      <c r="D3998" t="s">
        <v>41</v>
      </c>
      <c r="E3998" t="s">
        <v>33</v>
      </c>
      <c r="F3998" t="s">
        <v>24</v>
      </c>
      <c r="G3998">
        <v>5</v>
      </c>
      <c r="H3998">
        <v>0</v>
      </c>
      <c r="I3998" t="s">
        <v>18</v>
      </c>
      <c r="J3998" t="s">
        <v>37</v>
      </c>
      <c r="K3998" t="s">
        <v>26</v>
      </c>
      <c r="L3998">
        <v>6</v>
      </c>
      <c r="M3998">
        <v>0</v>
      </c>
      <c r="N3998">
        <v>0</v>
      </c>
      <c r="O3998" t="s">
        <v>27</v>
      </c>
      <c r="P3998" t="str">
        <f>TEXT(Table1[[#This Row],[order_date]],"yyyy-mm")</f>
        <v>2025-10</v>
      </c>
      <c r="Q3998">
        <f>WEEKNUM(Table1[[#This Row],[order_date]])</f>
        <v>42</v>
      </c>
      <c r="R3998">
        <f>IF(Table1[[#This Row],[order_status]]="completed",1,0)</f>
        <v>0</v>
      </c>
    </row>
    <row r="3999" spans="1:18" x14ac:dyDescent="0.35">
      <c r="A3999">
        <v>3998</v>
      </c>
      <c r="B3999" s="1">
        <v>45981</v>
      </c>
      <c r="C3999">
        <v>1377</v>
      </c>
      <c r="D3999" t="s">
        <v>32</v>
      </c>
      <c r="E3999" t="s">
        <v>16</v>
      </c>
      <c r="F3999" t="s">
        <v>30</v>
      </c>
      <c r="G3999">
        <v>4</v>
      </c>
      <c r="H3999">
        <v>18860</v>
      </c>
      <c r="I3999" t="s">
        <v>25</v>
      </c>
      <c r="J3999" t="s">
        <v>19</v>
      </c>
      <c r="K3999" t="s">
        <v>20</v>
      </c>
      <c r="L3999">
        <v>9</v>
      </c>
      <c r="M3999">
        <v>1</v>
      </c>
      <c r="N3999">
        <v>0</v>
      </c>
      <c r="O3999" t="s">
        <v>21</v>
      </c>
      <c r="P3999" t="str">
        <f>TEXT(Table1[[#This Row],[order_date]],"yyyy-mm")</f>
        <v>2025-11</v>
      </c>
      <c r="Q3999">
        <f>WEEKNUM(Table1[[#This Row],[order_date]])</f>
        <v>47</v>
      </c>
      <c r="R3999">
        <f>IF(Table1[[#This Row],[order_status]]="completed",1,0)</f>
        <v>1</v>
      </c>
    </row>
    <row r="4000" spans="1:18" x14ac:dyDescent="0.35">
      <c r="A4000">
        <v>3999</v>
      </c>
      <c r="B4000" s="1">
        <v>46007</v>
      </c>
      <c r="C4000">
        <v>1169</v>
      </c>
      <c r="D4000" t="s">
        <v>15</v>
      </c>
      <c r="E4000" t="s">
        <v>36</v>
      </c>
      <c r="F4000" t="s">
        <v>17</v>
      </c>
      <c r="G4000">
        <v>2</v>
      </c>
      <c r="H4000">
        <v>3116</v>
      </c>
      <c r="I4000" t="s">
        <v>18</v>
      </c>
      <c r="J4000" t="s">
        <v>19</v>
      </c>
      <c r="K4000" t="s">
        <v>38</v>
      </c>
      <c r="L4000">
        <v>2</v>
      </c>
      <c r="M4000">
        <v>1</v>
      </c>
      <c r="N4000">
        <v>1</v>
      </c>
      <c r="O4000" t="s">
        <v>21</v>
      </c>
      <c r="P4000" t="str">
        <f>TEXT(Table1[[#This Row],[order_date]],"yyyy-mm")</f>
        <v>2025-12</v>
      </c>
      <c r="Q4000">
        <f>WEEKNUM(Table1[[#This Row],[order_date]])</f>
        <v>51</v>
      </c>
      <c r="R4000">
        <f>IF(Table1[[#This Row],[order_status]]="completed",1,0)</f>
        <v>1</v>
      </c>
    </row>
    <row r="4001" spans="1:18" x14ac:dyDescent="0.35">
      <c r="A4001">
        <v>4000</v>
      </c>
      <c r="B4001" s="1">
        <v>46019</v>
      </c>
      <c r="C4001">
        <v>1285</v>
      </c>
      <c r="D4001" t="s">
        <v>15</v>
      </c>
      <c r="E4001" t="s">
        <v>36</v>
      </c>
      <c r="F4001" t="s">
        <v>34</v>
      </c>
      <c r="G4001">
        <v>4</v>
      </c>
      <c r="H4001">
        <v>15888</v>
      </c>
      <c r="I4001" t="s">
        <v>39</v>
      </c>
      <c r="J4001" t="s">
        <v>19</v>
      </c>
      <c r="K4001" t="s">
        <v>40</v>
      </c>
      <c r="L4001">
        <v>2</v>
      </c>
      <c r="M4001">
        <v>0</v>
      </c>
      <c r="N4001">
        <v>0</v>
      </c>
      <c r="O4001" t="s">
        <v>21</v>
      </c>
      <c r="P4001" t="str">
        <f>TEXT(Table1[[#This Row],[order_date]],"yyyy-mm")</f>
        <v>2025-12</v>
      </c>
      <c r="Q4001">
        <f>WEEKNUM(Table1[[#This Row],[order_date]])</f>
        <v>53</v>
      </c>
      <c r="R4001">
        <f>IF(Table1[[#This Row],[order_status]]="completed",1,0)</f>
        <v>1</v>
      </c>
    </row>
    <row r="4002" spans="1:18" x14ac:dyDescent="0.35">
      <c r="A4002">
        <v>4001</v>
      </c>
      <c r="B4002" s="1">
        <v>45871</v>
      </c>
      <c r="C4002">
        <v>1995</v>
      </c>
      <c r="D4002" t="s">
        <v>32</v>
      </c>
      <c r="E4002" t="s">
        <v>29</v>
      </c>
      <c r="F4002" t="s">
        <v>24</v>
      </c>
      <c r="G4002">
        <v>1</v>
      </c>
      <c r="H4002">
        <v>0</v>
      </c>
      <c r="I4002" t="s">
        <v>25</v>
      </c>
      <c r="J4002" t="s">
        <v>37</v>
      </c>
      <c r="K4002" t="s">
        <v>38</v>
      </c>
      <c r="L4002">
        <v>3</v>
      </c>
      <c r="M4002">
        <v>0</v>
      </c>
      <c r="N4002">
        <v>1</v>
      </c>
      <c r="O4002" t="s">
        <v>27</v>
      </c>
      <c r="P4002" t="str">
        <f>TEXT(Table1[[#This Row],[order_date]],"yyyy-mm")</f>
        <v>2025-08</v>
      </c>
      <c r="Q4002">
        <f>WEEKNUM(Table1[[#This Row],[order_date]])</f>
        <v>31</v>
      </c>
      <c r="R4002">
        <f>IF(Table1[[#This Row],[order_status]]="completed",1,0)</f>
        <v>0</v>
      </c>
    </row>
    <row r="4003" spans="1:18" x14ac:dyDescent="0.35">
      <c r="A4003">
        <v>4002</v>
      </c>
      <c r="B4003" s="1">
        <v>45925</v>
      </c>
      <c r="C4003">
        <v>1621</v>
      </c>
      <c r="D4003" t="s">
        <v>28</v>
      </c>
      <c r="E4003" t="s">
        <v>33</v>
      </c>
      <c r="F4003" t="s">
        <v>24</v>
      </c>
      <c r="G4003">
        <v>2</v>
      </c>
      <c r="H4003">
        <v>0</v>
      </c>
      <c r="I4003" t="s">
        <v>35</v>
      </c>
      <c r="J4003" t="s">
        <v>37</v>
      </c>
      <c r="K4003" t="s">
        <v>20</v>
      </c>
      <c r="L4003">
        <v>4</v>
      </c>
      <c r="M4003">
        <v>1</v>
      </c>
      <c r="N4003">
        <v>1</v>
      </c>
      <c r="O4003" t="s">
        <v>27</v>
      </c>
      <c r="P4003" t="str">
        <f>TEXT(Table1[[#This Row],[order_date]],"yyyy-mm")</f>
        <v>2025-09</v>
      </c>
      <c r="Q4003">
        <f>WEEKNUM(Table1[[#This Row],[order_date]])</f>
        <v>39</v>
      </c>
      <c r="R4003">
        <f>IF(Table1[[#This Row],[order_status]]="completed",1,0)</f>
        <v>0</v>
      </c>
    </row>
    <row r="4004" spans="1:18" x14ac:dyDescent="0.35">
      <c r="A4004">
        <v>4003</v>
      </c>
      <c r="B4004" s="1">
        <v>46010</v>
      </c>
      <c r="C4004">
        <v>1117</v>
      </c>
      <c r="D4004" t="s">
        <v>32</v>
      </c>
      <c r="E4004" t="s">
        <v>36</v>
      </c>
      <c r="F4004" t="s">
        <v>17</v>
      </c>
      <c r="G4004">
        <v>5</v>
      </c>
      <c r="H4004">
        <v>4910</v>
      </c>
      <c r="I4004" t="s">
        <v>25</v>
      </c>
      <c r="J4004" t="s">
        <v>19</v>
      </c>
      <c r="K4004" t="s">
        <v>20</v>
      </c>
      <c r="L4004">
        <v>3</v>
      </c>
      <c r="M4004">
        <v>0</v>
      </c>
      <c r="N4004">
        <v>0</v>
      </c>
      <c r="O4004" t="s">
        <v>21</v>
      </c>
      <c r="P4004" t="str">
        <f>TEXT(Table1[[#This Row],[order_date]],"yyyy-mm")</f>
        <v>2025-12</v>
      </c>
      <c r="Q4004">
        <f>WEEKNUM(Table1[[#This Row],[order_date]])</f>
        <v>51</v>
      </c>
      <c r="R4004">
        <f>IF(Table1[[#This Row],[order_status]]="completed",1,0)</f>
        <v>1</v>
      </c>
    </row>
    <row r="4005" spans="1:18" x14ac:dyDescent="0.35">
      <c r="A4005">
        <v>4004</v>
      </c>
      <c r="B4005" s="1">
        <v>45940</v>
      </c>
      <c r="C4005">
        <v>1411</v>
      </c>
      <c r="D4005" t="s">
        <v>32</v>
      </c>
      <c r="E4005" t="s">
        <v>29</v>
      </c>
      <c r="F4005" t="s">
        <v>24</v>
      </c>
      <c r="G4005">
        <v>4</v>
      </c>
      <c r="H4005">
        <v>0</v>
      </c>
      <c r="I4005" t="s">
        <v>25</v>
      </c>
      <c r="J4005" t="s">
        <v>31</v>
      </c>
      <c r="K4005" t="s">
        <v>26</v>
      </c>
      <c r="L4005">
        <v>7</v>
      </c>
      <c r="M4005">
        <v>0</v>
      </c>
      <c r="N4005">
        <v>1</v>
      </c>
      <c r="O4005" t="s">
        <v>27</v>
      </c>
      <c r="P4005" t="str">
        <f>TEXT(Table1[[#This Row],[order_date]],"yyyy-mm")</f>
        <v>2025-10</v>
      </c>
      <c r="Q4005">
        <f>WEEKNUM(Table1[[#This Row],[order_date]])</f>
        <v>41</v>
      </c>
      <c r="R4005">
        <f>IF(Table1[[#This Row],[order_status]]="completed",1,0)</f>
        <v>0</v>
      </c>
    </row>
    <row r="4006" spans="1:18" x14ac:dyDescent="0.35">
      <c r="A4006">
        <v>4005</v>
      </c>
      <c r="B4006" s="1">
        <v>45889</v>
      </c>
      <c r="C4006">
        <v>1411</v>
      </c>
      <c r="D4006" t="s">
        <v>32</v>
      </c>
      <c r="E4006" t="s">
        <v>23</v>
      </c>
      <c r="F4006" t="s">
        <v>24</v>
      </c>
      <c r="G4006">
        <v>1</v>
      </c>
      <c r="H4006">
        <v>1877</v>
      </c>
      <c r="I4006" t="s">
        <v>18</v>
      </c>
      <c r="J4006" t="s">
        <v>19</v>
      </c>
      <c r="K4006" t="s">
        <v>26</v>
      </c>
      <c r="L4006">
        <v>9</v>
      </c>
      <c r="M4006">
        <v>1</v>
      </c>
      <c r="N4006">
        <v>1</v>
      </c>
      <c r="O4006" t="s">
        <v>21</v>
      </c>
      <c r="P4006" t="str">
        <f>TEXT(Table1[[#This Row],[order_date]],"yyyy-mm")</f>
        <v>2025-08</v>
      </c>
      <c r="Q4006">
        <f>WEEKNUM(Table1[[#This Row],[order_date]])</f>
        <v>34</v>
      </c>
      <c r="R4006">
        <f>IF(Table1[[#This Row],[order_status]]="completed",1,0)</f>
        <v>1</v>
      </c>
    </row>
    <row r="4007" spans="1:18" x14ac:dyDescent="0.35">
      <c r="A4007">
        <v>4006</v>
      </c>
      <c r="B4007" s="1">
        <v>45919</v>
      </c>
      <c r="C4007">
        <v>1656</v>
      </c>
      <c r="D4007" t="s">
        <v>15</v>
      </c>
      <c r="E4007" t="s">
        <v>29</v>
      </c>
      <c r="F4007" t="s">
        <v>17</v>
      </c>
      <c r="G4007">
        <v>1</v>
      </c>
      <c r="H4007">
        <v>0</v>
      </c>
      <c r="I4007" t="s">
        <v>18</v>
      </c>
      <c r="J4007" t="s">
        <v>37</v>
      </c>
      <c r="K4007" t="s">
        <v>26</v>
      </c>
      <c r="L4007">
        <v>5</v>
      </c>
      <c r="M4007">
        <v>1</v>
      </c>
      <c r="N4007">
        <v>1</v>
      </c>
      <c r="O4007" t="s">
        <v>21</v>
      </c>
      <c r="P4007" t="str">
        <f>TEXT(Table1[[#This Row],[order_date]],"yyyy-mm")</f>
        <v>2025-09</v>
      </c>
      <c r="Q4007">
        <f>WEEKNUM(Table1[[#This Row],[order_date]])</f>
        <v>38</v>
      </c>
      <c r="R4007">
        <f>IF(Table1[[#This Row],[order_status]]="completed",1,0)</f>
        <v>0</v>
      </c>
    </row>
    <row r="4008" spans="1:18" x14ac:dyDescent="0.35">
      <c r="A4008">
        <v>4007</v>
      </c>
      <c r="B4008" s="1">
        <v>45881</v>
      </c>
      <c r="C4008">
        <v>1187</v>
      </c>
      <c r="D4008" t="s">
        <v>15</v>
      </c>
      <c r="E4008" t="s">
        <v>33</v>
      </c>
      <c r="F4008" t="s">
        <v>17</v>
      </c>
      <c r="G4008">
        <v>2</v>
      </c>
      <c r="H4008">
        <v>5302</v>
      </c>
      <c r="I4008" t="s">
        <v>25</v>
      </c>
      <c r="J4008" t="s">
        <v>19</v>
      </c>
      <c r="K4008" t="s">
        <v>40</v>
      </c>
      <c r="L4008">
        <v>10</v>
      </c>
      <c r="M4008">
        <v>0</v>
      </c>
      <c r="N4008">
        <v>0</v>
      </c>
      <c r="O4008" t="s">
        <v>21</v>
      </c>
      <c r="P4008" t="str">
        <f>TEXT(Table1[[#This Row],[order_date]],"yyyy-mm")</f>
        <v>2025-08</v>
      </c>
      <c r="Q4008">
        <f>WEEKNUM(Table1[[#This Row],[order_date]])</f>
        <v>33</v>
      </c>
      <c r="R4008">
        <f>IF(Table1[[#This Row],[order_status]]="completed",1,0)</f>
        <v>1</v>
      </c>
    </row>
    <row r="4009" spans="1:18" x14ac:dyDescent="0.35">
      <c r="A4009">
        <v>4008</v>
      </c>
      <c r="B4009" s="1">
        <v>46009</v>
      </c>
      <c r="C4009">
        <v>1121</v>
      </c>
      <c r="D4009" t="s">
        <v>41</v>
      </c>
      <c r="E4009" t="s">
        <v>16</v>
      </c>
      <c r="F4009" t="s">
        <v>24</v>
      </c>
      <c r="G4009">
        <v>2</v>
      </c>
      <c r="H4009">
        <v>0</v>
      </c>
      <c r="I4009" t="s">
        <v>25</v>
      </c>
      <c r="J4009" t="s">
        <v>31</v>
      </c>
      <c r="K4009" t="s">
        <v>26</v>
      </c>
      <c r="L4009">
        <v>6</v>
      </c>
      <c r="M4009">
        <v>0</v>
      </c>
      <c r="N4009">
        <v>0</v>
      </c>
      <c r="O4009" t="s">
        <v>27</v>
      </c>
      <c r="P4009" t="str">
        <f>TEXT(Table1[[#This Row],[order_date]],"yyyy-mm")</f>
        <v>2025-12</v>
      </c>
      <c r="Q4009">
        <f>WEEKNUM(Table1[[#This Row],[order_date]])</f>
        <v>51</v>
      </c>
      <c r="R4009">
        <f>IF(Table1[[#This Row],[order_status]]="completed",1,0)</f>
        <v>0</v>
      </c>
    </row>
    <row r="4010" spans="1:18" x14ac:dyDescent="0.35">
      <c r="A4010">
        <v>4009</v>
      </c>
      <c r="B4010" s="1">
        <v>45956</v>
      </c>
      <c r="C4010">
        <v>1367</v>
      </c>
      <c r="D4010" t="s">
        <v>22</v>
      </c>
      <c r="E4010" t="s">
        <v>16</v>
      </c>
      <c r="F4010" t="s">
        <v>34</v>
      </c>
      <c r="G4010">
        <v>4</v>
      </c>
      <c r="H4010">
        <v>0</v>
      </c>
      <c r="I4010" t="s">
        <v>39</v>
      </c>
      <c r="J4010" t="s">
        <v>31</v>
      </c>
      <c r="K4010" t="s">
        <v>26</v>
      </c>
      <c r="L4010">
        <v>3</v>
      </c>
      <c r="M4010">
        <v>0</v>
      </c>
      <c r="N4010">
        <v>1</v>
      </c>
      <c r="O4010" t="s">
        <v>21</v>
      </c>
      <c r="P4010" t="str">
        <f>TEXT(Table1[[#This Row],[order_date]],"yyyy-mm")</f>
        <v>2025-10</v>
      </c>
      <c r="Q4010">
        <f>WEEKNUM(Table1[[#This Row],[order_date]])</f>
        <v>44</v>
      </c>
      <c r="R4010">
        <f>IF(Table1[[#This Row],[order_status]]="completed",1,0)</f>
        <v>0</v>
      </c>
    </row>
    <row r="4011" spans="1:18" x14ac:dyDescent="0.35">
      <c r="A4011">
        <v>4010</v>
      </c>
      <c r="B4011" s="1">
        <v>45902</v>
      </c>
      <c r="C4011">
        <v>1240</v>
      </c>
      <c r="D4011" t="s">
        <v>41</v>
      </c>
      <c r="E4011" t="s">
        <v>29</v>
      </c>
      <c r="F4011" t="s">
        <v>24</v>
      </c>
      <c r="G4011">
        <v>2</v>
      </c>
      <c r="H4011">
        <v>0</v>
      </c>
      <c r="I4011" t="s">
        <v>25</v>
      </c>
      <c r="J4011" t="s">
        <v>31</v>
      </c>
      <c r="K4011" t="s">
        <v>20</v>
      </c>
      <c r="L4011">
        <v>8</v>
      </c>
      <c r="M4011">
        <v>1</v>
      </c>
      <c r="N4011">
        <v>1</v>
      </c>
      <c r="O4011" t="s">
        <v>21</v>
      </c>
      <c r="P4011" t="str">
        <f>TEXT(Table1[[#This Row],[order_date]],"yyyy-mm")</f>
        <v>2025-09</v>
      </c>
      <c r="Q4011">
        <f>WEEKNUM(Table1[[#This Row],[order_date]])</f>
        <v>36</v>
      </c>
      <c r="R4011">
        <f>IF(Table1[[#This Row],[order_status]]="completed",1,0)</f>
        <v>0</v>
      </c>
    </row>
    <row r="4012" spans="1:18" x14ac:dyDescent="0.35">
      <c r="A4012">
        <v>4011</v>
      </c>
      <c r="B4012" s="1">
        <v>45993</v>
      </c>
      <c r="C4012">
        <v>1937</v>
      </c>
      <c r="D4012" t="s">
        <v>15</v>
      </c>
      <c r="E4012" t="s">
        <v>23</v>
      </c>
      <c r="F4012" t="s">
        <v>34</v>
      </c>
      <c r="G4012">
        <v>3</v>
      </c>
      <c r="H4012">
        <v>0</v>
      </c>
      <c r="I4012" t="s">
        <v>39</v>
      </c>
      <c r="J4012" t="s">
        <v>31</v>
      </c>
      <c r="K4012" t="s">
        <v>20</v>
      </c>
      <c r="L4012">
        <v>2</v>
      </c>
      <c r="M4012">
        <v>0</v>
      </c>
      <c r="N4012">
        <v>1</v>
      </c>
      <c r="O4012" t="s">
        <v>27</v>
      </c>
      <c r="P4012" t="str">
        <f>TEXT(Table1[[#This Row],[order_date]],"yyyy-mm")</f>
        <v>2025-12</v>
      </c>
      <c r="Q4012">
        <f>WEEKNUM(Table1[[#This Row],[order_date]])</f>
        <v>49</v>
      </c>
      <c r="R4012">
        <f>IF(Table1[[#This Row],[order_status]]="completed",1,0)</f>
        <v>0</v>
      </c>
    </row>
    <row r="4013" spans="1:18" x14ac:dyDescent="0.35">
      <c r="A4013">
        <v>4012</v>
      </c>
      <c r="B4013" s="1">
        <v>45944</v>
      </c>
      <c r="C4013">
        <v>1937</v>
      </c>
      <c r="D4013" t="s">
        <v>28</v>
      </c>
      <c r="E4013" t="s">
        <v>29</v>
      </c>
      <c r="F4013" t="s">
        <v>24</v>
      </c>
      <c r="G4013">
        <v>5</v>
      </c>
      <c r="H4013">
        <v>14590</v>
      </c>
      <c r="I4013" t="s">
        <v>18</v>
      </c>
      <c r="J4013" t="s">
        <v>19</v>
      </c>
      <c r="K4013" t="s">
        <v>26</v>
      </c>
      <c r="L4013">
        <v>4</v>
      </c>
      <c r="M4013">
        <v>0</v>
      </c>
      <c r="N4013">
        <v>1</v>
      </c>
      <c r="O4013" t="s">
        <v>27</v>
      </c>
      <c r="P4013" t="str">
        <f>TEXT(Table1[[#This Row],[order_date]],"yyyy-mm")</f>
        <v>2025-10</v>
      </c>
      <c r="Q4013">
        <f>WEEKNUM(Table1[[#This Row],[order_date]])</f>
        <v>42</v>
      </c>
      <c r="R4013">
        <f>IF(Table1[[#This Row],[order_status]]="completed",1,0)</f>
        <v>1</v>
      </c>
    </row>
    <row r="4014" spans="1:18" x14ac:dyDescent="0.35">
      <c r="A4014">
        <v>4013</v>
      </c>
      <c r="B4014" s="1">
        <v>45943</v>
      </c>
      <c r="C4014">
        <v>1278</v>
      </c>
      <c r="D4014" t="s">
        <v>41</v>
      </c>
      <c r="E4014" t="s">
        <v>33</v>
      </c>
      <c r="F4014" t="s">
        <v>30</v>
      </c>
      <c r="G4014">
        <v>2</v>
      </c>
      <c r="H4014">
        <v>0</v>
      </c>
      <c r="I4014" t="s">
        <v>18</v>
      </c>
      <c r="J4014" t="s">
        <v>31</v>
      </c>
      <c r="K4014" t="s">
        <v>26</v>
      </c>
      <c r="L4014">
        <v>1</v>
      </c>
      <c r="M4014">
        <v>1</v>
      </c>
      <c r="N4014">
        <v>1</v>
      </c>
      <c r="O4014" t="s">
        <v>27</v>
      </c>
      <c r="P4014" t="str">
        <f>TEXT(Table1[[#This Row],[order_date]],"yyyy-mm")</f>
        <v>2025-10</v>
      </c>
      <c r="Q4014">
        <f>WEEKNUM(Table1[[#This Row],[order_date]])</f>
        <v>42</v>
      </c>
      <c r="R4014">
        <f>IF(Table1[[#This Row],[order_status]]="completed",1,0)</f>
        <v>0</v>
      </c>
    </row>
    <row r="4015" spans="1:18" x14ac:dyDescent="0.35">
      <c r="A4015">
        <v>4014</v>
      </c>
      <c r="B4015" s="1">
        <v>45872</v>
      </c>
      <c r="C4015">
        <v>1296</v>
      </c>
      <c r="D4015" t="s">
        <v>41</v>
      </c>
      <c r="E4015" t="s">
        <v>36</v>
      </c>
      <c r="F4015" t="s">
        <v>30</v>
      </c>
      <c r="G4015">
        <v>1</v>
      </c>
      <c r="H4015">
        <v>0</v>
      </c>
      <c r="I4015" t="s">
        <v>25</v>
      </c>
      <c r="J4015" t="s">
        <v>37</v>
      </c>
      <c r="K4015" t="s">
        <v>40</v>
      </c>
      <c r="L4015">
        <v>6</v>
      </c>
      <c r="M4015">
        <v>0</v>
      </c>
      <c r="N4015">
        <v>0</v>
      </c>
      <c r="O4015" t="s">
        <v>27</v>
      </c>
      <c r="P4015" t="str">
        <f>TEXT(Table1[[#This Row],[order_date]],"yyyy-mm")</f>
        <v>2025-08</v>
      </c>
      <c r="Q4015">
        <f>WEEKNUM(Table1[[#This Row],[order_date]])</f>
        <v>32</v>
      </c>
      <c r="R4015">
        <f>IF(Table1[[#This Row],[order_status]]="completed",1,0)</f>
        <v>0</v>
      </c>
    </row>
    <row r="4016" spans="1:18" x14ac:dyDescent="0.35">
      <c r="A4016">
        <v>4015</v>
      </c>
      <c r="B4016" s="1">
        <v>45976</v>
      </c>
      <c r="C4016">
        <v>1094</v>
      </c>
      <c r="D4016" t="s">
        <v>22</v>
      </c>
      <c r="E4016" t="s">
        <v>23</v>
      </c>
      <c r="F4016" t="s">
        <v>17</v>
      </c>
      <c r="G4016">
        <v>2</v>
      </c>
      <c r="H4016">
        <v>0</v>
      </c>
      <c r="I4016" t="s">
        <v>25</v>
      </c>
      <c r="J4016" t="s">
        <v>31</v>
      </c>
      <c r="K4016" t="s">
        <v>20</v>
      </c>
      <c r="L4016">
        <v>10</v>
      </c>
      <c r="M4016">
        <v>0</v>
      </c>
      <c r="N4016">
        <v>1</v>
      </c>
      <c r="O4016" t="s">
        <v>27</v>
      </c>
      <c r="P4016" t="str">
        <f>TEXT(Table1[[#This Row],[order_date]],"yyyy-mm")</f>
        <v>2025-11</v>
      </c>
      <c r="Q4016">
        <f>WEEKNUM(Table1[[#This Row],[order_date]])</f>
        <v>46</v>
      </c>
      <c r="R4016">
        <f>IF(Table1[[#This Row],[order_status]]="completed",1,0)</f>
        <v>0</v>
      </c>
    </row>
    <row r="4017" spans="1:18" x14ac:dyDescent="0.35">
      <c r="A4017">
        <v>4016</v>
      </c>
      <c r="B4017" s="1">
        <v>45972</v>
      </c>
      <c r="C4017">
        <v>1444</v>
      </c>
      <c r="D4017" t="s">
        <v>15</v>
      </c>
      <c r="E4017" t="s">
        <v>33</v>
      </c>
      <c r="F4017" t="s">
        <v>30</v>
      </c>
      <c r="G4017">
        <v>3</v>
      </c>
      <c r="H4017">
        <v>10392</v>
      </c>
      <c r="I4017" t="s">
        <v>35</v>
      </c>
      <c r="J4017" t="s">
        <v>19</v>
      </c>
      <c r="K4017" t="s">
        <v>20</v>
      </c>
      <c r="L4017">
        <v>10</v>
      </c>
      <c r="M4017">
        <v>1</v>
      </c>
      <c r="N4017">
        <v>1</v>
      </c>
      <c r="O4017" t="s">
        <v>21</v>
      </c>
      <c r="P4017" t="str">
        <f>TEXT(Table1[[#This Row],[order_date]],"yyyy-mm")</f>
        <v>2025-11</v>
      </c>
      <c r="Q4017">
        <f>WEEKNUM(Table1[[#This Row],[order_date]])</f>
        <v>46</v>
      </c>
      <c r="R4017">
        <f>IF(Table1[[#This Row],[order_status]]="completed",1,0)</f>
        <v>1</v>
      </c>
    </row>
    <row r="4018" spans="1:18" x14ac:dyDescent="0.35">
      <c r="A4018">
        <v>4017</v>
      </c>
      <c r="B4018" s="1">
        <v>46009</v>
      </c>
      <c r="C4018">
        <v>1431</v>
      </c>
      <c r="D4018" t="s">
        <v>28</v>
      </c>
      <c r="E4018" t="s">
        <v>33</v>
      </c>
      <c r="F4018" t="s">
        <v>30</v>
      </c>
      <c r="G4018">
        <v>4</v>
      </c>
      <c r="H4018">
        <v>4124</v>
      </c>
      <c r="I4018" t="s">
        <v>25</v>
      </c>
      <c r="J4018" t="s">
        <v>19</v>
      </c>
      <c r="K4018" t="s">
        <v>38</v>
      </c>
      <c r="L4018">
        <v>5</v>
      </c>
      <c r="M4018">
        <v>0</v>
      </c>
      <c r="N4018">
        <v>1</v>
      </c>
      <c r="O4018" t="s">
        <v>27</v>
      </c>
      <c r="P4018" t="str">
        <f>TEXT(Table1[[#This Row],[order_date]],"yyyy-mm")</f>
        <v>2025-12</v>
      </c>
      <c r="Q4018">
        <f>WEEKNUM(Table1[[#This Row],[order_date]])</f>
        <v>51</v>
      </c>
      <c r="R4018">
        <f>IF(Table1[[#This Row],[order_status]]="completed",1,0)</f>
        <v>1</v>
      </c>
    </row>
    <row r="4019" spans="1:18" x14ac:dyDescent="0.35">
      <c r="A4019">
        <v>4018</v>
      </c>
      <c r="B4019" s="1">
        <v>45949</v>
      </c>
      <c r="C4019">
        <v>1934</v>
      </c>
      <c r="D4019" t="s">
        <v>41</v>
      </c>
      <c r="E4019" t="s">
        <v>23</v>
      </c>
      <c r="F4019" t="s">
        <v>34</v>
      </c>
      <c r="G4019">
        <v>3</v>
      </c>
      <c r="H4019">
        <v>0</v>
      </c>
      <c r="I4019" t="s">
        <v>35</v>
      </c>
      <c r="J4019" t="s">
        <v>31</v>
      </c>
      <c r="K4019" t="s">
        <v>20</v>
      </c>
      <c r="L4019">
        <v>9</v>
      </c>
      <c r="M4019">
        <v>0</v>
      </c>
      <c r="N4019">
        <v>1</v>
      </c>
      <c r="O4019" t="s">
        <v>27</v>
      </c>
      <c r="P4019" t="str">
        <f>TEXT(Table1[[#This Row],[order_date]],"yyyy-mm")</f>
        <v>2025-10</v>
      </c>
      <c r="Q4019">
        <f>WEEKNUM(Table1[[#This Row],[order_date]])</f>
        <v>43</v>
      </c>
      <c r="R4019">
        <f>IF(Table1[[#This Row],[order_status]]="completed",1,0)</f>
        <v>0</v>
      </c>
    </row>
    <row r="4020" spans="1:18" x14ac:dyDescent="0.35">
      <c r="A4020">
        <v>4019</v>
      </c>
      <c r="B4020" s="1">
        <v>45978</v>
      </c>
      <c r="C4020">
        <v>1202</v>
      </c>
      <c r="D4020" t="s">
        <v>15</v>
      </c>
      <c r="E4020" t="s">
        <v>23</v>
      </c>
      <c r="F4020" t="s">
        <v>24</v>
      </c>
      <c r="G4020">
        <v>4</v>
      </c>
      <c r="H4020">
        <v>0</v>
      </c>
      <c r="I4020" t="s">
        <v>25</v>
      </c>
      <c r="J4020" t="s">
        <v>37</v>
      </c>
      <c r="K4020" t="s">
        <v>40</v>
      </c>
      <c r="L4020">
        <v>10</v>
      </c>
      <c r="M4020">
        <v>1</v>
      </c>
      <c r="N4020">
        <v>1</v>
      </c>
      <c r="O4020" t="s">
        <v>21</v>
      </c>
      <c r="P4020" t="str">
        <f>TEXT(Table1[[#This Row],[order_date]],"yyyy-mm")</f>
        <v>2025-11</v>
      </c>
      <c r="Q4020">
        <f>WEEKNUM(Table1[[#This Row],[order_date]])</f>
        <v>47</v>
      </c>
      <c r="R4020">
        <f>IF(Table1[[#This Row],[order_status]]="completed",1,0)</f>
        <v>0</v>
      </c>
    </row>
    <row r="4021" spans="1:18" x14ac:dyDescent="0.35">
      <c r="A4021">
        <v>4020</v>
      </c>
      <c r="B4021" s="1">
        <v>45870</v>
      </c>
      <c r="C4021">
        <v>1768</v>
      </c>
      <c r="D4021" t="s">
        <v>22</v>
      </c>
      <c r="E4021" t="s">
        <v>29</v>
      </c>
      <c r="F4021" t="s">
        <v>34</v>
      </c>
      <c r="G4021">
        <v>2</v>
      </c>
      <c r="H4021">
        <v>0</v>
      </c>
      <c r="I4021" t="s">
        <v>39</v>
      </c>
      <c r="J4021" t="s">
        <v>37</v>
      </c>
      <c r="K4021" t="s">
        <v>20</v>
      </c>
      <c r="L4021">
        <v>5</v>
      </c>
      <c r="M4021">
        <v>0</v>
      </c>
      <c r="N4021">
        <v>1</v>
      </c>
      <c r="O4021" t="s">
        <v>21</v>
      </c>
      <c r="P4021" t="str">
        <f>TEXT(Table1[[#This Row],[order_date]],"yyyy-mm")</f>
        <v>2025-08</v>
      </c>
      <c r="Q4021">
        <f>WEEKNUM(Table1[[#This Row],[order_date]])</f>
        <v>31</v>
      </c>
      <c r="R4021">
        <f>IF(Table1[[#This Row],[order_status]]="completed",1,0)</f>
        <v>0</v>
      </c>
    </row>
    <row r="4022" spans="1:18" x14ac:dyDescent="0.35">
      <c r="A4022">
        <v>4021</v>
      </c>
      <c r="B4022" s="1">
        <v>45877</v>
      </c>
      <c r="C4022">
        <v>1393</v>
      </c>
      <c r="D4022" t="s">
        <v>32</v>
      </c>
      <c r="E4022" t="s">
        <v>29</v>
      </c>
      <c r="F4022" t="s">
        <v>34</v>
      </c>
      <c r="G4022">
        <v>4</v>
      </c>
      <c r="H4022">
        <v>0</v>
      </c>
      <c r="I4022" t="s">
        <v>39</v>
      </c>
      <c r="J4022" t="s">
        <v>31</v>
      </c>
      <c r="K4022" t="s">
        <v>26</v>
      </c>
      <c r="L4022">
        <v>9</v>
      </c>
      <c r="M4022">
        <v>1</v>
      </c>
      <c r="N4022">
        <v>0</v>
      </c>
      <c r="O4022" t="s">
        <v>21</v>
      </c>
      <c r="P4022" t="str">
        <f>TEXT(Table1[[#This Row],[order_date]],"yyyy-mm")</f>
        <v>2025-08</v>
      </c>
      <c r="Q4022">
        <f>WEEKNUM(Table1[[#This Row],[order_date]])</f>
        <v>32</v>
      </c>
      <c r="R4022">
        <f>IF(Table1[[#This Row],[order_status]]="completed",1,0)</f>
        <v>0</v>
      </c>
    </row>
    <row r="4023" spans="1:18" x14ac:dyDescent="0.35">
      <c r="A4023">
        <v>4022</v>
      </c>
      <c r="B4023" s="1">
        <v>45985</v>
      </c>
      <c r="C4023">
        <v>1890</v>
      </c>
      <c r="D4023" t="s">
        <v>32</v>
      </c>
      <c r="E4023" t="s">
        <v>36</v>
      </c>
      <c r="F4023" t="s">
        <v>17</v>
      </c>
      <c r="G4023">
        <v>4</v>
      </c>
      <c r="H4023">
        <v>0</v>
      </c>
      <c r="I4023" t="s">
        <v>35</v>
      </c>
      <c r="J4023" t="s">
        <v>31</v>
      </c>
      <c r="K4023" t="s">
        <v>26</v>
      </c>
      <c r="L4023">
        <v>8</v>
      </c>
      <c r="M4023">
        <v>0</v>
      </c>
      <c r="N4023">
        <v>1</v>
      </c>
      <c r="O4023" t="s">
        <v>27</v>
      </c>
      <c r="P4023" t="str">
        <f>TEXT(Table1[[#This Row],[order_date]],"yyyy-mm")</f>
        <v>2025-11</v>
      </c>
      <c r="Q4023">
        <f>WEEKNUM(Table1[[#This Row],[order_date]])</f>
        <v>48</v>
      </c>
      <c r="R4023">
        <f>IF(Table1[[#This Row],[order_status]]="completed",1,0)</f>
        <v>0</v>
      </c>
    </row>
    <row r="4024" spans="1:18" x14ac:dyDescent="0.35">
      <c r="A4024">
        <v>4023</v>
      </c>
      <c r="B4024" s="1">
        <v>45971</v>
      </c>
      <c r="C4024">
        <v>1908</v>
      </c>
      <c r="D4024" t="s">
        <v>32</v>
      </c>
      <c r="E4024" t="s">
        <v>33</v>
      </c>
      <c r="F4024" t="s">
        <v>17</v>
      </c>
      <c r="G4024">
        <v>2</v>
      </c>
      <c r="H4024">
        <v>0</v>
      </c>
      <c r="I4024" t="s">
        <v>18</v>
      </c>
      <c r="J4024" t="s">
        <v>31</v>
      </c>
      <c r="K4024" t="s">
        <v>26</v>
      </c>
      <c r="L4024">
        <v>4</v>
      </c>
      <c r="M4024">
        <v>0</v>
      </c>
      <c r="N4024">
        <v>0</v>
      </c>
      <c r="O4024" t="s">
        <v>21</v>
      </c>
      <c r="P4024" t="str">
        <f>TEXT(Table1[[#This Row],[order_date]],"yyyy-mm")</f>
        <v>2025-11</v>
      </c>
      <c r="Q4024">
        <f>WEEKNUM(Table1[[#This Row],[order_date]])</f>
        <v>46</v>
      </c>
      <c r="R4024">
        <f>IF(Table1[[#This Row],[order_status]]="completed",1,0)</f>
        <v>0</v>
      </c>
    </row>
    <row r="4025" spans="1:18" x14ac:dyDescent="0.35">
      <c r="A4025">
        <v>4024</v>
      </c>
      <c r="B4025" s="1">
        <v>45910</v>
      </c>
      <c r="C4025">
        <v>1607</v>
      </c>
      <c r="D4025" t="s">
        <v>28</v>
      </c>
      <c r="E4025" t="s">
        <v>16</v>
      </c>
      <c r="F4025" t="s">
        <v>17</v>
      </c>
      <c r="G4025">
        <v>5</v>
      </c>
      <c r="H4025">
        <v>14010</v>
      </c>
      <c r="I4025" t="s">
        <v>18</v>
      </c>
      <c r="J4025" t="s">
        <v>19</v>
      </c>
      <c r="K4025" t="s">
        <v>20</v>
      </c>
      <c r="L4025">
        <v>6</v>
      </c>
      <c r="M4025">
        <v>0</v>
      </c>
      <c r="N4025">
        <v>1</v>
      </c>
      <c r="O4025" t="s">
        <v>21</v>
      </c>
      <c r="P4025" t="str">
        <f>TEXT(Table1[[#This Row],[order_date]],"yyyy-mm")</f>
        <v>2025-09</v>
      </c>
      <c r="Q4025">
        <f>WEEKNUM(Table1[[#This Row],[order_date]])</f>
        <v>37</v>
      </c>
      <c r="R4025">
        <f>IF(Table1[[#This Row],[order_status]]="completed",1,0)</f>
        <v>1</v>
      </c>
    </row>
    <row r="4026" spans="1:18" x14ac:dyDescent="0.35">
      <c r="A4026">
        <v>4025</v>
      </c>
      <c r="B4026" s="1">
        <v>45880</v>
      </c>
      <c r="C4026">
        <v>1772</v>
      </c>
      <c r="D4026" t="s">
        <v>32</v>
      </c>
      <c r="E4026" t="s">
        <v>36</v>
      </c>
      <c r="F4026" t="s">
        <v>30</v>
      </c>
      <c r="G4026">
        <v>2</v>
      </c>
      <c r="H4026">
        <v>0</v>
      </c>
      <c r="I4026" t="s">
        <v>35</v>
      </c>
      <c r="J4026" t="s">
        <v>37</v>
      </c>
      <c r="K4026" t="s">
        <v>20</v>
      </c>
      <c r="L4026">
        <v>1</v>
      </c>
      <c r="M4026">
        <v>0</v>
      </c>
      <c r="N4026">
        <v>1</v>
      </c>
      <c r="O4026" t="s">
        <v>27</v>
      </c>
      <c r="P4026" t="str">
        <f>TEXT(Table1[[#This Row],[order_date]],"yyyy-mm")</f>
        <v>2025-08</v>
      </c>
      <c r="Q4026">
        <f>WEEKNUM(Table1[[#This Row],[order_date]])</f>
        <v>33</v>
      </c>
      <c r="R4026">
        <f>IF(Table1[[#This Row],[order_status]]="completed",1,0)</f>
        <v>0</v>
      </c>
    </row>
    <row r="4027" spans="1:18" x14ac:dyDescent="0.35">
      <c r="A4027">
        <v>4026</v>
      </c>
      <c r="B4027" s="1">
        <v>45909</v>
      </c>
      <c r="C4027">
        <v>1643</v>
      </c>
      <c r="D4027" t="s">
        <v>15</v>
      </c>
      <c r="E4027" t="s">
        <v>16</v>
      </c>
      <c r="F4027" t="s">
        <v>17</v>
      </c>
      <c r="G4027">
        <v>2</v>
      </c>
      <c r="H4027">
        <v>0</v>
      </c>
      <c r="I4027" t="s">
        <v>35</v>
      </c>
      <c r="J4027" t="s">
        <v>37</v>
      </c>
      <c r="K4027" t="s">
        <v>26</v>
      </c>
      <c r="L4027">
        <v>9</v>
      </c>
      <c r="M4027">
        <v>0</v>
      </c>
      <c r="N4027">
        <v>0</v>
      </c>
      <c r="O4027" t="s">
        <v>21</v>
      </c>
      <c r="P4027" t="str">
        <f>TEXT(Table1[[#This Row],[order_date]],"yyyy-mm")</f>
        <v>2025-09</v>
      </c>
      <c r="Q4027">
        <f>WEEKNUM(Table1[[#This Row],[order_date]])</f>
        <v>37</v>
      </c>
      <c r="R4027">
        <f>IF(Table1[[#This Row],[order_status]]="completed",1,0)</f>
        <v>0</v>
      </c>
    </row>
    <row r="4028" spans="1:18" x14ac:dyDescent="0.35">
      <c r="A4028">
        <v>4027</v>
      </c>
      <c r="B4028" s="1">
        <v>45862</v>
      </c>
      <c r="C4028">
        <v>1900</v>
      </c>
      <c r="D4028" t="s">
        <v>41</v>
      </c>
      <c r="E4028" t="s">
        <v>33</v>
      </c>
      <c r="F4028" t="s">
        <v>17</v>
      </c>
      <c r="G4028">
        <v>3</v>
      </c>
      <c r="H4028">
        <v>0</v>
      </c>
      <c r="I4028" t="s">
        <v>18</v>
      </c>
      <c r="J4028" t="s">
        <v>37</v>
      </c>
      <c r="K4028" t="s">
        <v>40</v>
      </c>
      <c r="L4028">
        <v>6</v>
      </c>
      <c r="M4028">
        <v>1</v>
      </c>
      <c r="N4028">
        <v>1</v>
      </c>
      <c r="O4028" t="s">
        <v>21</v>
      </c>
      <c r="P4028" t="str">
        <f>TEXT(Table1[[#This Row],[order_date]],"yyyy-mm")</f>
        <v>2025-07</v>
      </c>
      <c r="Q4028">
        <f>WEEKNUM(Table1[[#This Row],[order_date]])</f>
        <v>30</v>
      </c>
      <c r="R4028">
        <f>IF(Table1[[#This Row],[order_status]]="completed",1,0)</f>
        <v>0</v>
      </c>
    </row>
    <row r="4029" spans="1:18" x14ac:dyDescent="0.35">
      <c r="A4029">
        <v>4028</v>
      </c>
      <c r="B4029" s="1">
        <v>45914</v>
      </c>
      <c r="C4029">
        <v>1201</v>
      </c>
      <c r="D4029" t="s">
        <v>41</v>
      </c>
      <c r="E4029" t="s">
        <v>36</v>
      </c>
      <c r="F4029" t="s">
        <v>17</v>
      </c>
      <c r="G4029">
        <v>4</v>
      </c>
      <c r="H4029">
        <v>6520</v>
      </c>
      <c r="I4029" t="s">
        <v>39</v>
      </c>
      <c r="J4029" t="s">
        <v>19</v>
      </c>
      <c r="K4029" t="s">
        <v>40</v>
      </c>
      <c r="L4029">
        <v>9</v>
      </c>
      <c r="M4029">
        <v>0</v>
      </c>
      <c r="N4029">
        <v>1</v>
      </c>
      <c r="O4029" t="s">
        <v>27</v>
      </c>
      <c r="P4029" t="str">
        <f>TEXT(Table1[[#This Row],[order_date]],"yyyy-mm")</f>
        <v>2025-09</v>
      </c>
      <c r="Q4029">
        <f>WEEKNUM(Table1[[#This Row],[order_date]])</f>
        <v>38</v>
      </c>
      <c r="R4029">
        <f>IF(Table1[[#This Row],[order_status]]="completed",1,0)</f>
        <v>1</v>
      </c>
    </row>
    <row r="4030" spans="1:18" x14ac:dyDescent="0.35">
      <c r="A4030">
        <v>4029</v>
      </c>
      <c r="B4030" s="1">
        <v>45919</v>
      </c>
      <c r="C4030">
        <v>1098</v>
      </c>
      <c r="D4030" t="s">
        <v>22</v>
      </c>
      <c r="E4030" t="s">
        <v>16</v>
      </c>
      <c r="F4030" t="s">
        <v>30</v>
      </c>
      <c r="G4030">
        <v>2</v>
      </c>
      <c r="H4030">
        <v>2108</v>
      </c>
      <c r="I4030" t="s">
        <v>35</v>
      </c>
      <c r="J4030" t="s">
        <v>19</v>
      </c>
      <c r="K4030" t="s">
        <v>40</v>
      </c>
      <c r="L4030">
        <v>7</v>
      </c>
      <c r="M4030">
        <v>0</v>
      </c>
      <c r="N4030">
        <v>0</v>
      </c>
      <c r="O4030" t="s">
        <v>27</v>
      </c>
      <c r="P4030" t="str">
        <f>TEXT(Table1[[#This Row],[order_date]],"yyyy-mm")</f>
        <v>2025-09</v>
      </c>
      <c r="Q4030">
        <f>WEEKNUM(Table1[[#This Row],[order_date]])</f>
        <v>38</v>
      </c>
      <c r="R4030">
        <f>IF(Table1[[#This Row],[order_status]]="completed",1,0)</f>
        <v>1</v>
      </c>
    </row>
    <row r="4031" spans="1:18" x14ac:dyDescent="0.35">
      <c r="A4031">
        <v>4030</v>
      </c>
      <c r="B4031" s="1">
        <v>45935</v>
      </c>
      <c r="C4031">
        <v>1111</v>
      </c>
      <c r="D4031" t="s">
        <v>32</v>
      </c>
      <c r="E4031" t="s">
        <v>16</v>
      </c>
      <c r="F4031" t="s">
        <v>17</v>
      </c>
      <c r="G4031">
        <v>5</v>
      </c>
      <c r="H4031">
        <v>0</v>
      </c>
      <c r="I4031" t="s">
        <v>25</v>
      </c>
      <c r="J4031" t="s">
        <v>31</v>
      </c>
      <c r="K4031" t="s">
        <v>26</v>
      </c>
      <c r="L4031">
        <v>4</v>
      </c>
      <c r="M4031">
        <v>1</v>
      </c>
      <c r="N4031">
        <v>1</v>
      </c>
      <c r="O4031" t="s">
        <v>21</v>
      </c>
      <c r="P4031" t="str">
        <f>TEXT(Table1[[#This Row],[order_date]],"yyyy-mm")</f>
        <v>2025-10</v>
      </c>
      <c r="Q4031">
        <f>WEEKNUM(Table1[[#This Row],[order_date]])</f>
        <v>41</v>
      </c>
      <c r="R4031">
        <f>IF(Table1[[#This Row],[order_status]]="completed",1,0)</f>
        <v>0</v>
      </c>
    </row>
    <row r="4032" spans="1:18" x14ac:dyDescent="0.35">
      <c r="A4032">
        <v>4031</v>
      </c>
      <c r="B4032" s="1">
        <v>45989</v>
      </c>
      <c r="C4032">
        <v>1647</v>
      </c>
      <c r="D4032" t="s">
        <v>32</v>
      </c>
      <c r="E4032" t="s">
        <v>33</v>
      </c>
      <c r="F4032" t="s">
        <v>24</v>
      </c>
      <c r="G4032">
        <v>5</v>
      </c>
      <c r="H4032">
        <v>0</v>
      </c>
      <c r="I4032" t="s">
        <v>25</v>
      </c>
      <c r="J4032" t="s">
        <v>31</v>
      </c>
      <c r="K4032" t="s">
        <v>20</v>
      </c>
      <c r="L4032">
        <v>10</v>
      </c>
      <c r="M4032">
        <v>1</v>
      </c>
      <c r="N4032">
        <v>0</v>
      </c>
      <c r="O4032" t="s">
        <v>21</v>
      </c>
      <c r="P4032" t="str">
        <f>TEXT(Table1[[#This Row],[order_date]],"yyyy-mm")</f>
        <v>2025-11</v>
      </c>
      <c r="Q4032">
        <f>WEEKNUM(Table1[[#This Row],[order_date]])</f>
        <v>48</v>
      </c>
      <c r="R4032">
        <f>IF(Table1[[#This Row],[order_status]]="completed",1,0)</f>
        <v>0</v>
      </c>
    </row>
    <row r="4033" spans="1:18" x14ac:dyDescent="0.35">
      <c r="A4033">
        <v>4032</v>
      </c>
      <c r="B4033" s="1">
        <v>45903</v>
      </c>
      <c r="C4033">
        <v>1937</v>
      </c>
      <c r="D4033" t="s">
        <v>15</v>
      </c>
      <c r="E4033" t="s">
        <v>16</v>
      </c>
      <c r="F4033" t="s">
        <v>34</v>
      </c>
      <c r="G4033">
        <v>4</v>
      </c>
      <c r="H4033">
        <v>0</v>
      </c>
      <c r="I4033" t="s">
        <v>25</v>
      </c>
      <c r="J4033" t="s">
        <v>37</v>
      </c>
      <c r="K4033" t="s">
        <v>40</v>
      </c>
      <c r="L4033">
        <v>4</v>
      </c>
      <c r="M4033">
        <v>1</v>
      </c>
      <c r="N4033">
        <v>1</v>
      </c>
      <c r="O4033" t="s">
        <v>21</v>
      </c>
      <c r="P4033" t="str">
        <f>TEXT(Table1[[#This Row],[order_date]],"yyyy-mm")</f>
        <v>2025-09</v>
      </c>
      <c r="Q4033">
        <f>WEEKNUM(Table1[[#This Row],[order_date]])</f>
        <v>36</v>
      </c>
      <c r="R4033">
        <f>IF(Table1[[#This Row],[order_status]]="completed",1,0)</f>
        <v>0</v>
      </c>
    </row>
    <row r="4034" spans="1:18" x14ac:dyDescent="0.35">
      <c r="A4034">
        <v>4033</v>
      </c>
      <c r="B4034" s="1">
        <v>45980</v>
      </c>
      <c r="C4034">
        <v>1485</v>
      </c>
      <c r="D4034" t="s">
        <v>32</v>
      </c>
      <c r="E4034" t="s">
        <v>16</v>
      </c>
      <c r="F4034" t="s">
        <v>24</v>
      </c>
      <c r="G4034">
        <v>1</v>
      </c>
      <c r="H4034">
        <v>0</v>
      </c>
      <c r="I4034" t="s">
        <v>25</v>
      </c>
      <c r="J4034" t="s">
        <v>37</v>
      </c>
      <c r="K4034" t="s">
        <v>20</v>
      </c>
      <c r="L4034">
        <v>2</v>
      </c>
      <c r="M4034">
        <v>1</v>
      </c>
      <c r="N4034">
        <v>0</v>
      </c>
      <c r="O4034" t="s">
        <v>21</v>
      </c>
      <c r="P4034" t="str">
        <f>TEXT(Table1[[#This Row],[order_date]],"yyyy-mm")</f>
        <v>2025-11</v>
      </c>
      <c r="Q4034">
        <f>WEEKNUM(Table1[[#This Row],[order_date]])</f>
        <v>47</v>
      </c>
      <c r="R4034">
        <f>IF(Table1[[#This Row],[order_status]]="completed",1,0)</f>
        <v>0</v>
      </c>
    </row>
    <row r="4035" spans="1:18" x14ac:dyDescent="0.35">
      <c r="A4035">
        <v>4034</v>
      </c>
      <c r="B4035" s="1">
        <v>45995</v>
      </c>
      <c r="C4035">
        <v>1501</v>
      </c>
      <c r="D4035" t="s">
        <v>15</v>
      </c>
      <c r="E4035" t="s">
        <v>29</v>
      </c>
      <c r="F4035" t="s">
        <v>30</v>
      </c>
      <c r="G4035">
        <v>3</v>
      </c>
      <c r="H4035">
        <v>0</v>
      </c>
      <c r="I4035" t="s">
        <v>18</v>
      </c>
      <c r="J4035" t="s">
        <v>37</v>
      </c>
      <c r="K4035" t="s">
        <v>20</v>
      </c>
      <c r="L4035">
        <v>3</v>
      </c>
      <c r="M4035">
        <v>0</v>
      </c>
      <c r="N4035">
        <v>1</v>
      </c>
      <c r="O4035" t="s">
        <v>21</v>
      </c>
      <c r="P4035" t="str">
        <f>TEXT(Table1[[#This Row],[order_date]],"yyyy-mm")</f>
        <v>2025-12</v>
      </c>
      <c r="Q4035">
        <f>WEEKNUM(Table1[[#This Row],[order_date]])</f>
        <v>49</v>
      </c>
      <c r="R4035">
        <f>IF(Table1[[#This Row],[order_status]]="completed",1,0)</f>
        <v>0</v>
      </c>
    </row>
    <row r="4036" spans="1:18" x14ac:dyDescent="0.35">
      <c r="A4036">
        <v>4035</v>
      </c>
      <c r="B4036" s="1">
        <v>45885</v>
      </c>
      <c r="C4036">
        <v>1406</v>
      </c>
      <c r="D4036" t="s">
        <v>32</v>
      </c>
      <c r="E4036" t="s">
        <v>33</v>
      </c>
      <c r="F4036" t="s">
        <v>34</v>
      </c>
      <c r="G4036">
        <v>2</v>
      </c>
      <c r="H4036">
        <v>1800</v>
      </c>
      <c r="I4036" t="s">
        <v>18</v>
      </c>
      <c r="J4036" t="s">
        <v>19</v>
      </c>
      <c r="K4036" t="s">
        <v>40</v>
      </c>
      <c r="L4036">
        <v>10</v>
      </c>
      <c r="M4036">
        <v>0</v>
      </c>
      <c r="N4036">
        <v>1</v>
      </c>
      <c r="O4036" t="s">
        <v>21</v>
      </c>
      <c r="P4036" t="str">
        <f>TEXT(Table1[[#This Row],[order_date]],"yyyy-mm")</f>
        <v>2025-08</v>
      </c>
      <c r="Q4036">
        <f>WEEKNUM(Table1[[#This Row],[order_date]])</f>
        <v>33</v>
      </c>
      <c r="R4036">
        <f>IF(Table1[[#This Row],[order_status]]="completed",1,0)</f>
        <v>1</v>
      </c>
    </row>
    <row r="4037" spans="1:18" x14ac:dyDescent="0.35">
      <c r="A4037">
        <v>4036</v>
      </c>
      <c r="B4037" s="1">
        <v>45933</v>
      </c>
      <c r="C4037">
        <v>1536</v>
      </c>
      <c r="D4037" t="s">
        <v>41</v>
      </c>
      <c r="E4037" t="s">
        <v>23</v>
      </c>
      <c r="F4037" t="s">
        <v>24</v>
      </c>
      <c r="G4037">
        <v>4</v>
      </c>
      <c r="H4037">
        <v>0</v>
      </c>
      <c r="I4037" t="s">
        <v>18</v>
      </c>
      <c r="J4037" t="s">
        <v>31</v>
      </c>
      <c r="K4037" t="s">
        <v>26</v>
      </c>
      <c r="L4037">
        <v>6</v>
      </c>
      <c r="M4037">
        <v>0</v>
      </c>
      <c r="N4037">
        <v>0</v>
      </c>
      <c r="O4037" t="s">
        <v>21</v>
      </c>
      <c r="P4037" t="str">
        <f>TEXT(Table1[[#This Row],[order_date]],"yyyy-mm")</f>
        <v>2025-10</v>
      </c>
      <c r="Q4037">
        <f>WEEKNUM(Table1[[#This Row],[order_date]])</f>
        <v>40</v>
      </c>
      <c r="R4037">
        <f>IF(Table1[[#This Row],[order_status]]="completed",1,0)</f>
        <v>0</v>
      </c>
    </row>
    <row r="4038" spans="1:18" x14ac:dyDescent="0.35">
      <c r="A4038">
        <v>4037</v>
      </c>
      <c r="B4038" s="1">
        <v>45916</v>
      </c>
      <c r="C4038">
        <v>1742</v>
      </c>
      <c r="D4038" t="s">
        <v>22</v>
      </c>
      <c r="E4038" t="s">
        <v>16</v>
      </c>
      <c r="F4038" t="s">
        <v>30</v>
      </c>
      <c r="G4038">
        <v>3</v>
      </c>
      <c r="H4038">
        <v>0</v>
      </c>
      <c r="I4038" t="s">
        <v>39</v>
      </c>
      <c r="J4038" t="s">
        <v>37</v>
      </c>
      <c r="K4038" t="s">
        <v>40</v>
      </c>
      <c r="L4038">
        <v>6</v>
      </c>
      <c r="M4038">
        <v>0</v>
      </c>
      <c r="N4038">
        <v>1</v>
      </c>
      <c r="O4038" t="s">
        <v>21</v>
      </c>
      <c r="P4038" t="str">
        <f>TEXT(Table1[[#This Row],[order_date]],"yyyy-mm")</f>
        <v>2025-09</v>
      </c>
      <c r="Q4038">
        <f>WEEKNUM(Table1[[#This Row],[order_date]])</f>
        <v>38</v>
      </c>
      <c r="R4038">
        <f>IF(Table1[[#This Row],[order_status]]="completed",1,0)</f>
        <v>0</v>
      </c>
    </row>
    <row r="4039" spans="1:18" x14ac:dyDescent="0.35">
      <c r="A4039">
        <v>4038</v>
      </c>
      <c r="B4039" s="1">
        <v>45922</v>
      </c>
      <c r="C4039">
        <v>1887</v>
      </c>
      <c r="D4039" t="s">
        <v>41</v>
      </c>
      <c r="E4039" t="s">
        <v>36</v>
      </c>
      <c r="F4039" t="s">
        <v>24</v>
      </c>
      <c r="G4039">
        <v>2</v>
      </c>
      <c r="H4039">
        <v>9438</v>
      </c>
      <c r="I4039" t="s">
        <v>18</v>
      </c>
      <c r="J4039" t="s">
        <v>19</v>
      </c>
      <c r="K4039" t="s">
        <v>20</v>
      </c>
      <c r="L4039">
        <v>3</v>
      </c>
      <c r="M4039">
        <v>1</v>
      </c>
      <c r="N4039">
        <v>1</v>
      </c>
      <c r="O4039" t="s">
        <v>21</v>
      </c>
      <c r="P4039" t="str">
        <f>TEXT(Table1[[#This Row],[order_date]],"yyyy-mm")</f>
        <v>2025-09</v>
      </c>
      <c r="Q4039">
        <f>WEEKNUM(Table1[[#This Row],[order_date]])</f>
        <v>39</v>
      </c>
      <c r="R4039">
        <f>IF(Table1[[#This Row],[order_status]]="completed",1,0)</f>
        <v>1</v>
      </c>
    </row>
    <row r="4040" spans="1:18" x14ac:dyDescent="0.35">
      <c r="A4040">
        <v>4039</v>
      </c>
      <c r="B4040" s="1">
        <v>46027</v>
      </c>
      <c r="C4040">
        <v>1086</v>
      </c>
      <c r="D4040" t="s">
        <v>22</v>
      </c>
      <c r="E4040" t="s">
        <v>33</v>
      </c>
      <c r="F4040" t="s">
        <v>30</v>
      </c>
      <c r="G4040">
        <v>3</v>
      </c>
      <c r="H4040">
        <v>7896</v>
      </c>
      <c r="I4040" t="s">
        <v>18</v>
      </c>
      <c r="J4040" t="s">
        <v>19</v>
      </c>
      <c r="K4040" t="s">
        <v>26</v>
      </c>
      <c r="L4040">
        <v>2</v>
      </c>
      <c r="M4040">
        <v>0</v>
      </c>
      <c r="N4040">
        <v>0</v>
      </c>
      <c r="O4040" t="s">
        <v>27</v>
      </c>
      <c r="P4040" t="str">
        <f>TEXT(Table1[[#This Row],[order_date]],"yyyy-mm")</f>
        <v>2026-01</v>
      </c>
      <c r="Q4040">
        <f>WEEKNUM(Table1[[#This Row],[order_date]])</f>
        <v>2</v>
      </c>
      <c r="R4040">
        <f>IF(Table1[[#This Row],[order_status]]="completed",1,0)</f>
        <v>1</v>
      </c>
    </row>
    <row r="4041" spans="1:18" x14ac:dyDescent="0.35">
      <c r="A4041">
        <v>4040</v>
      </c>
      <c r="B4041" s="1">
        <v>45954</v>
      </c>
      <c r="C4041">
        <v>1598</v>
      </c>
      <c r="D4041" t="s">
        <v>32</v>
      </c>
      <c r="E4041" t="s">
        <v>36</v>
      </c>
      <c r="F4041" t="s">
        <v>34</v>
      </c>
      <c r="G4041">
        <v>4</v>
      </c>
      <c r="H4041">
        <v>19940</v>
      </c>
      <c r="I4041" t="s">
        <v>35</v>
      </c>
      <c r="J4041" t="s">
        <v>19</v>
      </c>
      <c r="K4041" t="s">
        <v>38</v>
      </c>
      <c r="L4041">
        <v>9</v>
      </c>
      <c r="M4041">
        <v>1</v>
      </c>
      <c r="N4041">
        <v>1</v>
      </c>
      <c r="O4041" t="s">
        <v>27</v>
      </c>
      <c r="P4041" t="str">
        <f>TEXT(Table1[[#This Row],[order_date]],"yyyy-mm")</f>
        <v>2025-10</v>
      </c>
      <c r="Q4041">
        <f>WEEKNUM(Table1[[#This Row],[order_date]])</f>
        <v>43</v>
      </c>
      <c r="R4041">
        <f>IF(Table1[[#This Row],[order_status]]="completed",1,0)</f>
        <v>1</v>
      </c>
    </row>
    <row r="4042" spans="1:18" x14ac:dyDescent="0.35">
      <c r="A4042">
        <v>4041</v>
      </c>
      <c r="B4042" s="1">
        <v>45917</v>
      </c>
      <c r="C4042">
        <v>1329</v>
      </c>
      <c r="D4042" t="s">
        <v>15</v>
      </c>
      <c r="E4042" t="s">
        <v>29</v>
      </c>
      <c r="F4042" t="s">
        <v>17</v>
      </c>
      <c r="G4042">
        <v>3</v>
      </c>
      <c r="H4042">
        <v>6129</v>
      </c>
      <c r="I4042" t="s">
        <v>39</v>
      </c>
      <c r="J4042" t="s">
        <v>19</v>
      </c>
      <c r="K4042" t="s">
        <v>20</v>
      </c>
      <c r="L4042">
        <v>7</v>
      </c>
      <c r="M4042">
        <v>1</v>
      </c>
      <c r="N4042">
        <v>0</v>
      </c>
      <c r="O4042" t="s">
        <v>27</v>
      </c>
      <c r="P4042" t="str">
        <f>TEXT(Table1[[#This Row],[order_date]],"yyyy-mm")</f>
        <v>2025-09</v>
      </c>
      <c r="Q4042">
        <f>WEEKNUM(Table1[[#This Row],[order_date]])</f>
        <v>38</v>
      </c>
      <c r="R4042">
        <f>IF(Table1[[#This Row],[order_status]]="completed",1,0)</f>
        <v>1</v>
      </c>
    </row>
    <row r="4043" spans="1:18" x14ac:dyDescent="0.35">
      <c r="A4043">
        <v>4042</v>
      </c>
      <c r="B4043" s="1">
        <v>45920</v>
      </c>
      <c r="C4043">
        <v>1340</v>
      </c>
      <c r="D4043" t="s">
        <v>32</v>
      </c>
      <c r="E4043" t="s">
        <v>16</v>
      </c>
      <c r="F4043" t="s">
        <v>24</v>
      </c>
      <c r="G4043">
        <v>3</v>
      </c>
      <c r="H4043">
        <v>11016</v>
      </c>
      <c r="I4043" t="s">
        <v>35</v>
      </c>
      <c r="J4043" t="s">
        <v>19</v>
      </c>
      <c r="K4043" t="s">
        <v>40</v>
      </c>
      <c r="L4043">
        <v>3</v>
      </c>
      <c r="M4043">
        <v>0</v>
      </c>
      <c r="N4043">
        <v>1</v>
      </c>
      <c r="O4043" t="s">
        <v>21</v>
      </c>
      <c r="P4043" t="str">
        <f>TEXT(Table1[[#This Row],[order_date]],"yyyy-mm")</f>
        <v>2025-09</v>
      </c>
      <c r="Q4043">
        <f>WEEKNUM(Table1[[#This Row],[order_date]])</f>
        <v>38</v>
      </c>
      <c r="R4043">
        <f>IF(Table1[[#This Row],[order_status]]="completed",1,0)</f>
        <v>1</v>
      </c>
    </row>
    <row r="4044" spans="1:18" x14ac:dyDescent="0.35">
      <c r="A4044">
        <v>4043</v>
      </c>
      <c r="B4044" s="1">
        <v>46001</v>
      </c>
      <c r="C4044">
        <v>1399</v>
      </c>
      <c r="D4044" t="s">
        <v>28</v>
      </c>
      <c r="E4044" t="s">
        <v>29</v>
      </c>
      <c r="F4044" t="s">
        <v>30</v>
      </c>
      <c r="G4044">
        <v>4</v>
      </c>
      <c r="H4044">
        <v>0</v>
      </c>
      <c r="I4044" t="s">
        <v>39</v>
      </c>
      <c r="J4044" t="s">
        <v>37</v>
      </c>
      <c r="K4044" t="s">
        <v>26</v>
      </c>
      <c r="L4044">
        <v>8</v>
      </c>
      <c r="M4044">
        <v>1</v>
      </c>
      <c r="N4044">
        <v>0</v>
      </c>
      <c r="O4044" t="s">
        <v>27</v>
      </c>
      <c r="P4044" t="str">
        <f>TEXT(Table1[[#This Row],[order_date]],"yyyy-mm")</f>
        <v>2025-12</v>
      </c>
      <c r="Q4044">
        <f>WEEKNUM(Table1[[#This Row],[order_date]])</f>
        <v>50</v>
      </c>
      <c r="R4044">
        <f>IF(Table1[[#This Row],[order_status]]="completed",1,0)</f>
        <v>0</v>
      </c>
    </row>
    <row r="4045" spans="1:18" x14ac:dyDescent="0.35">
      <c r="A4045">
        <v>4044</v>
      </c>
      <c r="B4045" s="1">
        <v>45857</v>
      </c>
      <c r="C4045">
        <v>1391</v>
      </c>
      <c r="D4045" t="s">
        <v>22</v>
      </c>
      <c r="E4045" t="s">
        <v>23</v>
      </c>
      <c r="F4045" t="s">
        <v>17</v>
      </c>
      <c r="G4045">
        <v>1</v>
      </c>
      <c r="H4045">
        <v>4736</v>
      </c>
      <c r="I4045" t="s">
        <v>35</v>
      </c>
      <c r="J4045" t="s">
        <v>19</v>
      </c>
      <c r="K4045" t="s">
        <v>20</v>
      </c>
      <c r="L4045">
        <v>7</v>
      </c>
      <c r="M4045">
        <v>0</v>
      </c>
      <c r="N4045">
        <v>0</v>
      </c>
      <c r="O4045" t="s">
        <v>27</v>
      </c>
      <c r="P4045" t="str">
        <f>TEXT(Table1[[#This Row],[order_date]],"yyyy-mm")</f>
        <v>2025-07</v>
      </c>
      <c r="Q4045">
        <f>WEEKNUM(Table1[[#This Row],[order_date]])</f>
        <v>29</v>
      </c>
      <c r="R4045">
        <f>IF(Table1[[#This Row],[order_status]]="completed",1,0)</f>
        <v>1</v>
      </c>
    </row>
    <row r="4046" spans="1:18" x14ac:dyDescent="0.35">
      <c r="A4046">
        <v>4045</v>
      </c>
      <c r="B4046" s="1">
        <v>45853</v>
      </c>
      <c r="C4046">
        <v>1777</v>
      </c>
      <c r="D4046" t="s">
        <v>28</v>
      </c>
      <c r="E4046" t="s">
        <v>23</v>
      </c>
      <c r="F4046" t="s">
        <v>34</v>
      </c>
      <c r="G4046">
        <v>4</v>
      </c>
      <c r="H4046">
        <v>0</v>
      </c>
      <c r="I4046" t="s">
        <v>39</v>
      </c>
      <c r="J4046" t="s">
        <v>31</v>
      </c>
      <c r="K4046" t="s">
        <v>38</v>
      </c>
      <c r="L4046">
        <v>8</v>
      </c>
      <c r="M4046">
        <v>0</v>
      </c>
      <c r="N4046">
        <v>0</v>
      </c>
      <c r="O4046" t="s">
        <v>27</v>
      </c>
      <c r="P4046" t="str">
        <f>TEXT(Table1[[#This Row],[order_date]],"yyyy-mm")</f>
        <v>2025-07</v>
      </c>
      <c r="Q4046">
        <f>WEEKNUM(Table1[[#This Row],[order_date]])</f>
        <v>29</v>
      </c>
      <c r="R4046">
        <f>IF(Table1[[#This Row],[order_status]]="completed",1,0)</f>
        <v>0</v>
      </c>
    </row>
    <row r="4047" spans="1:18" x14ac:dyDescent="0.35">
      <c r="A4047">
        <v>4046</v>
      </c>
      <c r="B4047" s="1">
        <v>45886</v>
      </c>
      <c r="C4047">
        <v>1103</v>
      </c>
      <c r="D4047" t="s">
        <v>15</v>
      </c>
      <c r="E4047" t="s">
        <v>29</v>
      </c>
      <c r="F4047" t="s">
        <v>24</v>
      </c>
      <c r="G4047">
        <v>1</v>
      </c>
      <c r="H4047">
        <v>3696</v>
      </c>
      <c r="I4047" t="s">
        <v>35</v>
      </c>
      <c r="J4047" t="s">
        <v>19</v>
      </c>
      <c r="K4047" t="s">
        <v>38</v>
      </c>
      <c r="L4047">
        <v>2</v>
      </c>
      <c r="M4047">
        <v>0</v>
      </c>
      <c r="N4047">
        <v>0</v>
      </c>
      <c r="O4047" t="s">
        <v>27</v>
      </c>
      <c r="P4047" t="str">
        <f>TEXT(Table1[[#This Row],[order_date]],"yyyy-mm")</f>
        <v>2025-08</v>
      </c>
      <c r="Q4047">
        <f>WEEKNUM(Table1[[#This Row],[order_date]])</f>
        <v>34</v>
      </c>
      <c r="R4047">
        <f>IF(Table1[[#This Row],[order_status]]="completed",1,0)</f>
        <v>1</v>
      </c>
    </row>
    <row r="4048" spans="1:18" x14ac:dyDescent="0.35">
      <c r="A4048">
        <v>4047</v>
      </c>
      <c r="B4048" s="1">
        <v>45855</v>
      </c>
      <c r="C4048">
        <v>1256</v>
      </c>
      <c r="D4048" t="s">
        <v>41</v>
      </c>
      <c r="E4048" t="s">
        <v>29</v>
      </c>
      <c r="F4048" t="s">
        <v>17</v>
      </c>
      <c r="G4048">
        <v>4</v>
      </c>
      <c r="H4048">
        <v>0</v>
      </c>
      <c r="I4048" t="s">
        <v>39</v>
      </c>
      <c r="J4048" t="s">
        <v>37</v>
      </c>
      <c r="K4048" t="s">
        <v>38</v>
      </c>
      <c r="L4048">
        <v>8</v>
      </c>
      <c r="M4048">
        <v>0</v>
      </c>
      <c r="N4048">
        <v>0</v>
      </c>
      <c r="O4048" t="s">
        <v>27</v>
      </c>
      <c r="P4048" t="str">
        <f>TEXT(Table1[[#This Row],[order_date]],"yyyy-mm")</f>
        <v>2025-07</v>
      </c>
      <c r="Q4048">
        <f>WEEKNUM(Table1[[#This Row],[order_date]])</f>
        <v>29</v>
      </c>
      <c r="R4048">
        <f>IF(Table1[[#This Row],[order_status]]="completed",1,0)</f>
        <v>0</v>
      </c>
    </row>
    <row r="4049" spans="1:18" x14ac:dyDescent="0.35">
      <c r="A4049">
        <v>4048</v>
      </c>
      <c r="B4049" s="1">
        <v>46003</v>
      </c>
      <c r="C4049">
        <v>1802</v>
      </c>
      <c r="D4049" t="s">
        <v>22</v>
      </c>
      <c r="E4049" t="s">
        <v>23</v>
      </c>
      <c r="F4049" t="s">
        <v>24</v>
      </c>
      <c r="G4049">
        <v>2</v>
      </c>
      <c r="H4049">
        <v>0</v>
      </c>
      <c r="I4049" t="s">
        <v>39</v>
      </c>
      <c r="J4049" t="s">
        <v>37</v>
      </c>
      <c r="K4049" t="s">
        <v>40</v>
      </c>
      <c r="L4049">
        <v>5</v>
      </c>
      <c r="M4049">
        <v>0</v>
      </c>
      <c r="N4049">
        <v>1</v>
      </c>
      <c r="O4049" t="s">
        <v>21</v>
      </c>
      <c r="P4049" t="str">
        <f>TEXT(Table1[[#This Row],[order_date]],"yyyy-mm")</f>
        <v>2025-12</v>
      </c>
      <c r="Q4049">
        <f>WEEKNUM(Table1[[#This Row],[order_date]])</f>
        <v>50</v>
      </c>
      <c r="R4049">
        <f>IF(Table1[[#This Row],[order_status]]="completed",1,0)</f>
        <v>0</v>
      </c>
    </row>
    <row r="4050" spans="1:18" x14ac:dyDescent="0.35">
      <c r="A4050">
        <v>4049</v>
      </c>
      <c r="B4050" s="1">
        <v>45891</v>
      </c>
      <c r="C4050">
        <v>1413</v>
      </c>
      <c r="D4050" t="s">
        <v>15</v>
      </c>
      <c r="E4050" t="s">
        <v>33</v>
      </c>
      <c r="F4050" t="s">
        <v>24</v>
      </c>
      <c r="G4050">
        <v>5</v>
      </c>
      <c r="H4050">
        <v>0</v>
      </c>
      <c r="I4050" t="s">
        <v>25</v>
      </c>
      <c r="J4050" t="s">
        <v>37</v>
      </c>
      <c r="K4050" t="s">
        <v>40</v>
      </c>
      <c r="L4050">
        <v>10</v>
      </c>
      <c r="M4050">
        <v>0</v>
      </c>
      <c r="N4050">
        <v>1</v>
      </c>
      <c r="O4050" t="s">
        <v>21</v>
      </c>
      <c r="P4050" t="str">
        <f>TEXT(Table1[[#This Row],[order_date]],"yyyy-mm")</f>
        <v>2025-08</v>
      </c>
      <c r="Q4050">
        <f>WEEKNUM(Table1[[#This Row],[order_date]])</f>
        <v>34</v>
      </c>
      <c r="R4050">
        <f>IF(Table1[[#This Row],[order_status]]="completed",1,0)</f>
        <v>0</v>
      </c>
    </row>
    <row r="4051" spans="1:18" x14ac:dyDescent="0.35">
      <c r="A4051">
        <v>4050</v>
      </c>
      <c r="B4051" s="1">
        <v>45890</v>
      </c>
      <c r="C4051">
        <v>1063</v>
      </c>
      <c r="D4051" t="s">
        <v>28</v>
      </c>
      <c r="E4051" t="s">
        <v>29</v>
      </c>
      <c r="F4051" t="s">
        <v>30</v>
      </c>
      <c r="G4051">
        <v>2</v>
      </c>
      <c r="H4051">
        <v>7938</v>
      </c>
      <c r="I4051" t="s">
        <v>25</v>
      </c>
      <c r="J4051" t="s">
        <v>19</v>
      </c>
      <c r="K4051" t="s">
        <v>26</v>
      </c>
      <c r="L4051">
        <v>1</v>
      </c>
      <c r="M4051">
        <v>1</v>
      </c>
      <c r="N4051">
        <v>1</v>
      </c>
      <c r="O4051" t="s">
        <v>21</v>
      </c>
      <c r="P4051" t="str">
        <f>TEXT(Table1[[#This Row],[order_date]],"yyyy-mm")</f>
        <v>2025-08</v>
      </c>
      <c r="Q4051">
        <f>WEEKNUM(Table1[[#This Row],[order_date]])</f>
        <v>34</v>
      </c>
      <c r="R4051">
        <f>IF(Table1[[#This Row],[order_status]]="completed",1,0)</f>
        <v>1</v>
      </c>
    </row>
    <row r="4052" spans="1:18" x14ac:dyDescent="0.35">
      <c r="A4052">
        <v>4051</v>
      </c>
      <c r="B4052" s="1">
        <v>46008</v>
      </c>
      <c r="C4052">
        <v>1361</v>
      </c>
      <c r="D4052" t="s">
        <v>28</v>
      </c>
      <c r="E4052" t="s">
        <v>16</v>
      </c>
      <c r="F4052" t="s">
        <v>30</v>
      </c>
      <c r="G4052">
        <v>5</v>
      </c>
      <c r="H4052">
        <v>24840</v>
      </c>
      <c r="I4052" t="s">
        <v>35</v>
      </c>
      <c r="J4052" t="s">
        <v>19</v>
      </c>
      <c r="K4052" t="s">
        <v>20</v>
      </c>
      <c r="L4052">
        <v>7</v>
      </c>
      <c r="M4052">
        <v>1</v>
      </c>
      <c r="N4052">
        <v>1</v>
      </c>
      <c r="O4052" t="s">
        <v>27</v>
      </c>
      <c r="P4052" t="str">
        <f>TEXT(Table1[[#This Row],[order_date]],"yyyy-mm")</f>
        <v>2025-12</v>
      </c>
      <c r="Q4052">
        <f>WEEKNUM(Table1[[#This Row],[order_date]])</f>
        <v>51</v>
      </c>
      <c r="R4052">
        <f>IF(Table1[[#This Row],[order_status]]="completed",1,0)</f>
        <v>1</v>
      </c>
    </row>
    <row r="4053" spans="1:18" x14ac:dyDescent="0.35">
      <c r="A4053">
        <v>4052</v>
      </c>
      <c r="B4053" s="1">
        <v>45855</v>
      </c>
      <c r="C4053">
        <v>1722</v>
      </c>
      <c r="D4053" t="s">
        <v>41</v>
      </c>
      <c r="E4053" t="s">
        <v>36</v>
      </c>
      <c r="F4053" t="s">
        <v>30</v>
      </c>
      <c r="G4053">
        <v>1</v>
      </c>
      <c r="H4053">
        <v>0</v>
      </c>
      <c r="I4053" t="s">
        <v>39</v>
      </c>
      <c r="J4053" t="s">
        <v>37</v>
      </c>
      <c r="K4053" t="s">
        <v>26</v>
      </c>
      <c r="L4053">
        <v>9</v>
      </c>
      <c r="M4053">
        <v>0</v>
      </c>
      <c r="N4053">
        <v>0</v>
      </c>
      <c r="O4053" t="s">
        <v>21</v>
      </c>
      <c r="P4053" t="str">
        <f>TEXT(Table1[[#This Row],[order_date]],"yyyy-mm")</f>
        <v>2025-07</v>
      </c>
      <c r="Q4053">
        <f>WEEKNUM(Table1[[#This Row],[order_date]])</f>
        <v>29</v>
      </c>
      <c r="R4053">
        <f>IF(Table1[[#This Row],[order_status]]="completed",1,0)</f>
        <v>0</v>
      </c>
    </row>
    <row r="4054" spans="1:18" x14ac:dyDescent="0.35">
      <c r="A4054">
        <v>4053</v>
      </c>
      <c r="B4054" s="1">
        <v>45874</v>
      </c>
      <c r="C4054">
        <v>1719</v>
      </c>
      <c r="D4054" t="s">
        <v>22</v>
      </c>
      <c r="E4054" t="s">
        <v>29</v>
      </c>
      <c r="F4054" t="s">
        <v>24</v>
      </c>
      <c r="G4054">
        <v>2</v>
      </c>
      <c r="H4054">
        <v>0</v>
      </c>
      <c r="I4054" t="s">
        <v>39</v>
      </c>
      <c r="J4054" t="s">
        <v>31</v>
      </c>
      <c r="K4054" t="s">
        <v>38</v>
      </c>
      <c r="L4054">
        <v>6</v>
      </c>
      <c r="M4054">
        <v>0</v>
      </c>
      <c r="N4054">
        <v>1</v>
      </c>
      <c r="O4054" t="s">
        <v>27</v>
      </c>
      <c r="P4054" t="str">
        <f>TEXT(Table1[[#This Row],[order_date]],"yyyy-mm")</f>
        <v>2025-08</v>
      </c>
      <c r="Q4054">
        <f>WEEKNUM(Table1[[#This Row],[order_date]])</f>
        <v>32</v>
      </c>
      <c r="R4054">
        <f>IF(Table1[[#This Row],[order_status]]="completed",1,0)</f>
        <v>0</v>
      </c>
    </row>
    <row r="4055" spans="1:18" x14ac:dyDescent="0.35">
      <c r="A4055">
        <v>4054</v>
      </c>
      <c r="B4055" s="1">
        <v>45859</v>
      </c>
      <c r="C4055">
        <v>1451</v>
      </c>
      <c r="D4055" t="s">
        <v>28</v>
      </c>
      <c r="E4055" t="s">
        <v>23</v>
      </c>
      <c r="F4055" t="s">
        <v>17</v>
      </c>
      <c r="G4055">
        <v>1</v>
      </c>
      <c r="H4055">
        <v>0</v>
      </c>
      <c r="I4055" t="s">
        <v>35</v>
      </c>
      <c r="J4055" t="s">
        <v>31</v>
      </c>
      <c r="K4055" t="s">
        <v>20</v>
      </c>
      <c r="L4055">
        <v>6</v>
      </c>
      <c r="M4055">
        <v>1</v>
      </c>
      <c r="N4055">
        <v>0</v>
      </c>
      <c r="O4055" t="s">
        <v>21</v>
      </c>
      <c r="P4055" t="str">
        <f>TEXT(Table1[[#This Row],[order_date]],"yyyy-mm")</f>
        <v>2025-07</v>
      </c>
      <c r="Q4055">
        <f>WEEKNUM(Table1[[#This Row],[order_date]])</f>
        <v>30</v>
      </c>
      <c r="R4055">
        <f>IF(Table1[[#This Row],[order_status]]="completed",1,0)</f>
        <v>0</v>
      </c>
    </row>
    <row r="4056" spans="1:18" x14ac:dyDescent="0.35">
      <c r="A4056">
        <v>4055</v>
      </c>
      <c r="B4056" s="1">
        <v>45931</v>
      </c>
      <c r="C4056">
        <v>1502</v>
      </c>
      <c r="D4056" t="s">
        <v>22</v>
      </c>
      <c r="E4056" t="s">
        <v>33</v>
      </c>
      <c r="F4056" t="s">
        <v>24</v>
      </c>
      <c r="G4056">
        <v>2</v>
      </c>
      <c r="H4056">
        <v>0</v>
      </c>
      <c r="I4056" t="s">
        <v>18</v>
      </c>
      <c r="J4056" t="s">
        <v>31</v>
      </c>
      <c r="K4056" t="s">
        <v>40</v>
      </c>
      <c r="L4056">
        <v>8</v>
      </c>
      <c r="M4056">
        <v>1</v>
      </c>
      <c r="N4056">
        <v>1</v>
      </c>
      <c r="O4056" t="s">
        <v>27</v>
      </c>
      <c r="P4056" t="str">
        <f>TEXT(Table1[[#This Row],[order_date]],"yyyy-mm")</f>
        <v>2025-10</v>
      </c>
      <c r="Q4056">
        <f>WEEKNUM(Table1[[#This Row],[order_date]])</f>
        <v>40</v>
      </c>
      <c r="R4056">
        <f>IF(Table1[[#This Row],[order_status]]="completed",1,0)</f>
        <v>0</v>
      </c>
    </row>
    <row r="4057" spans="1:18" x14ac:dyDescent="0.35">
      <c r="A4057">
        <v>4056</v>
      </c>
      <c r="B4057" s="1">
        <v>45855</v>
      </c>
      <c r="C4057">
        <v>1412</v>
      </c>
      <c r="D4057" t="s">
        <v>32</v>
      </c>
      <c r="E4057" t="s">
        <v>16</v>
      </c>
      <c r="F4057" t="s">
        <v>34</v>
      </c>
      <c r="G4057">
        <v>5</v>
      </c>
      <c r="H4057">
        <v>0</v>
      </c>
      <c r="I4057" t="s">
        <v>39</v>
      </c>
      <c r="J4057" t="s">
        <v>31</v>
      </c>
      <c r="K4057" t="s">
        <v>38</v>
      </c>
      <c r="L4057">
        <v>1</v>
      </c>
      <c r="M4057">
        <v>1</v>
      </c>
      <c r="N4057">
        <v>1</v>
      </c>
      <c r="O4057" t="s">
        <v>21</v>
      </c>
      <c r="P4057" t="str">
        <f>TEXT(Table1[[#This Row],[order_date]],"yyyy-mm")</f>
        <v>2025-07</v>
      </c>
      <c r="Q4057">
        <f>WEEKNUM(Table1[[#This Row],[order_date]])</f>
        <v>29</v>
      </c>
      <c r="R4057">
        <f>IF(Table1[[#This Row],[order_status]]="completed",1,0)</f>
        <v>0</v>
      </c>
    </row>
    <row r="4058" spans="1:18" x14ac:dyDescent="0.35">
      <c r="A4058">
        <v>4057</v>
      </c>
      <c r="B4058" s="1">
        <v>45999</v>
      </c>
      <c r="C4058">
        <v>1299</v>
      </c>
      <c r="D4058" t="s">
        <v>32</v>
      </c>
      <c r="E4058" t="s">
        <v>33</v>
      </c>
      <c r="F4058" t="s">
        <v>17</v>
      </c>
      <c r="G4058">
        <v>5</v>
      </c>
      <c r="H4058">
        <v>0</v>
      </c>
      <c r="I4058" t="s">
        <v>25</v>
      </c>
      <c r="J4058" t="s">
        <v>37</v>
      </c>
      <c r="K4058" t="s">
        <v>38</v>
      </c>
      <c r="L4058">
        <v>2</v>
      </c>
      <c r="M4058">
        <v>1</v>
      </c>
      <c r="N4058">
        <v>1</v>
      </c>
      <c r="O4058" t="s">
        <v>21</v>
      </c>
      <c r="P4058" t="str">
        <f>TEXT(Table1[[#This Row],[order_date]],"yyyy-mm")</f>
        <v>2025-12</v>
      </c>
      <c r="Q4058">
        <f>WEEKNUM(Table1[[#This Row],[order_date]])</f>
        <v>50</v>
      </c>
      <c r="R4058">
        <f>IF(Table1[[#This Row],[order_status]]="completed",1,0)</f>
        <v>0</v>
      </c>
    </row>
    <row r="4059" spans="1:18" x14ac:dyDescent="0.35">
      <c r="A4059">
        <v>4058</v>
      </c>
      <c r="B4059" s="1">
        <v>45881</v>
      </c>
      <c r="C4059">
        <v>1870</v>
      </c>
      <c r="D4059" t="s">
        <v>41</v>
      </c>
      <c r="E4059" t="s">
        <v>23</v>
      </c>
      <c r="F4059" t="s">
        <v>24</v>
      </c>
      <c r="G4059">
        <v>2</v>
      </c>
      <c r="H4059">
        <v>0</v>
      </c>
      <c r="I4059" t="s">
        <v>35</v>
      </c>
      <c r="J4059" t="s">
        <v>31</v>
      </c>
      <c r="K4059" t="s">
        <v>38</v>
      </c>
      <c r="L4059">
        <v>10</v>
      </c>
      <c r="M4059">
        <v>0</v>
      </c>
      <c r="N4059">
        <v>0</v>
      </c>
      <c r="O4059" t="s">
        <v>21</v>
      </c>
      <c r="P4059" t="str">
        <f>TEXT(Table1[[#This Row],[order_date]],"yyyy-mm")</f>
        <v>2025-08</v>
      </c>
      <c r="Q4059">
        <f>WEEKNUM(Table1[[#This Row],[order_date]])</f>
        <v>33</v>
      </c>
      <c r="R4059">
        <f>IF(Table1[[#This Row],[order_status]]="completed",1,0)</f>
        <v>0</v>
      </c>
    </row>
    <row r="4060" spans="1:18" x14ac:dyDescent="0.35">
      <c r="A4060">
        <v>4059</v>
      </c>
      <c r="B4060" s="1">
        <v>45897</v>
      </c>
      <c r="C4060">
        <v>1322</v>
      </c>
      <c r="D4060" t="s">
        <v>22</v>
      </c>
      <c r="E4060" t="s">
        <v>23</v>
      </c>
      <c r="F4060" t="s">
        <v>17</v>
      </c>
      <c r="G4060">
        <v>5</v>
      </c>
      <c r="H4060">
        <v>0</v>
      </c>
      <c r="I4060" t="s">
        <v>35</v>
      </c>
      <c r="J4060" t="s">
        <v>31</v>
      </c>
      <c r="K4060" t="s">
        <v>38</v>
      </c>
      <c r="L4060">
        <v>2</v>
      </c>
      <c r="M4060">
        <v>0</v>
      </c>
      <c r="N4060">
        <v>0</v>
      </c>
      <c r="O4060" t="s">
        <v>27</v>
      </c>
      <c r="P4060" t="str">
        <f>TEXT(Table1[[#This Row],[order_date]],"yyyy-mm")</f>
        <v>2025-08</v>
      </c>
      <c r="Q4060">
        <f>WEEKNUM(Table1[[#This Row],[order_date]])</f>
        <v>35</v>
      </c>
      <c r="R4060">
        <f>IF(Table1[[#This Row],[order_status]]="completed",1,0)</f>
        <v>0</v>
      </c>
    </row>
    <row r="4061" spans="1:18" x14ac:dyDescent="0.35">
      <c r="A4061">
        <v>4060</v>
      </c>
      <c r="B4061" s="1">
        <v>45895</v>
      </c>
      <c r="C4061">
        <v>1519</v>
      </c>
      <c r="D4061" t="s">
        <v>15</v>
      </c>
      <c r="E4061" t="s">
        <v>16</v>
      </c>
      <c r="F4061" t="s">
        <v>24</v>
      </c>
      <c r="G4061">
        <v>2</v>
      </c>
      <c r="H4061">
        <v>430</v>
      </c>
      <c r="I4061" t="s">
        <v>35</v>
      </c>
      <c r="J4061" t="s">
        <v>19</v>
      </c>
      <c r="K4061" t="s">
        <v>40</v>
      </c>
      <c r="L4061">
        <v>3</v>
      </c>
      <c r="M4061">
        <v>1</v>
      </c>
      <c r="N4061">
        <v>0</v>
      </c>
      <c r="O4061" t="s">
        <v>21</v>
      </c>
      <c r="P4061" t="str">
        <f>TEXT(Table1[[#This Row],[order_date]],"yyyy-mm")</f>
        <v>2025-08</v>
      </c>
      <c r="Q4061">
        <f>WEEKNUM(Table1[[#This Row],[order_date]])</f>
        <v>35</v>
      </c>
      <c r="R4061">
        <f>IF(Table1[[#This Row],[order_status]]="completed",1,0)</f>
        <v>1</v>
      </c>
    </row>
    <row r="4062" spans="1:18" x14ac:dyDescent="0.35">
      <c r="A4062">
        <v>4061</v>
      </c>
      <c r="B4062" s="1">
        <v>46017</v>
      </c>
      <c r="C4062">
        <v>1090</v>
      </c>
      <c r="D4062" t="s">
        <v>15</v>
      </c>
      <c r="E4062" t="s">
        <v>23</v>
      </c>
      <c r="F4062" t="s">
        <v>34</v>
      </c>
      <c r="G4062">
        <v>4</v>
      </c>
      <c r="H4062">
        <v>0</v>
      </c>
      <c r="I4062" t="s">
        <v>39</v>
      </c>
      <c r="J4062" t="s">
        <v>31</v>
      </c>
      <c r="K4062" t="s">
        <v>40</v>
      </c>
      <c r="L4062">
        <v>10</v>
      </c>
      <c r="M4062">
        <v>1</v>
      </c>
      <c r="N4062">
        <v>0</v>
      </c>
      <c r="O4062" t="s">
        <v>21</v>
      </c>
      <c r="P4062" t="str">
        <f>TEXT(Table1[[#This Row],[order_date]],"yyyy-mm")</f>
        <v>2025-12</v>
      </c>
      <c r="Q4062">
        <f>WEEKNUM(Table1[[#This Row],[order_date]])</f>
        <v>52</v>
      </c>
      <c r="R4062">
        <f>IF(Table1[[#This Row],[order_status]]="completed",1,0)</f>
        <v>0</v>
      </c>
    </row>
    <row r="4063" spans="1:18" x14ac:dyDescent="0.35">
      <c r="A4063">
        <v>4062</v>
      </c>
      <c r="B4063" s="1">
        <v>45937</v>
      </c>
      <c r="C4063">
        <v>1245</v>
      </c>
      <c r="D4063" t="s">
        <v>32</v>
      </c>
      <c r="E4063" t="s">
        <v>29</v>
      </c>
      <c r="F4063" t="s">
        <v>30</v>
      </c>
      <c r="G4063">
        <v>1</v>
      </c>
      <c r="H4063">
        <v>0</v>
      </c>
      <c r="I4063" t="s">
        <v>39</v>
      </c>
      <c r="J4063" t="s">
        <v>37</v>
      </c>
      <c r="K4063" t="s">
        <v>40</v>
      </c>
      <c r="L4063">
        <v>3</v>
      </c>
      <c r="M4063">
        <v>1</v>
      </c>
      <c r="N4063">
        <v>0</v>
      </c>
      <c r="O4063" t="s">
        <v>21</v>
      </c>
      <c r="P4063" t="str">
        <f>TEXT(Table1[[#This Row],[order_date]],"yyyy-mm")</f>
        <v>2025-10</v>
      </c>
      <c r="Q4063">
        <f>WEEKNUM(Table1[[#This Row],[order_date]])</f>
        <v>41</v>
      </c>
      <c r="R4063">
        <f>IF(Table1[[#This Row],[order_status]]="completed",1,0)</f>
        <v>0</v>
      </c>
    </row>
    <row r="4064" spans="1:18" x14ac:dyDescent="0.35">
      <c r="A4064">
        <v>4063</v>
      </c>
      <c r="B4064" s="1">
        <v>45871</v>
      </c>
      <c r="C4064">
        <v>1423</v>
      </c>
      <c r="D4064" t="s">
        <v>32</v>
      </c>
      <c r="E4064" t="s">
        <v>29</v>
      </c>
      <c r="F4064" t="s">
        <v>24</v>
      </c>
      <c r="G4064">
        <v>3</v>
      </c>
      <c r="H4064">
        <v>0</v>
      </c>
      <c r="I4064" t="s">
        <v>35</v>
      </c>
      <c r="J4064" t="s">
        <v>31</v>
      </c>
      <c r="K4064" t="s">
        <v>20</v>
      </c>
      <c r="L4064">
        <v>8</v>
      </c>
      <c r="M4064">
        <v>1</v>
      </c>
      <c r="N4064">
        <v>1</v>
      </c>
      <c r="O4064" t="s">
        <v>27</v>
      </c>
      <c r="P4064" t="str">
        <f>TEXT(Table1[[#This Row],[order_date]],"yyyy-mm")</f>
        <v>2025-08</v>
      </c>
      <c r="Q4064">
        <f>WEEKNUM(Table1[[#This Row],[order_date]])</f>
        <v>31</v>
      </c>
      <c r="R4064">
        <f>IF(Table1[[#This Row],[order_status]]="completed",1,0)</f>
        <v>0</v>
      </c>
    </row>
    <row r="4065" spans="1:18" x14ac:dyDescent="0.35">
      <c r="A4065">
        <v>4064</v>
      </c>
      <c r="B4065" s="1">
        <v>46027</v>
      </c>
      <c r="C4065">
        <v>1982</v>
      </c>
      <c r="D4065" t="s">
        <v>41</v>
      </c>
      <c r="E4065" t="s">
        <v>29</v>
      </c>
      <c r="F4065" t="s">
        <v>17</v>
      </c>
      <c r="G4065">
        <v>4</v>
      </c>
      <c r="H4065">
        <v>0</v>
      </c>
      <c r="I4065" t="s">
        <v>18</v>
      </c>
      <c r="J4065" t="s">
        <v>31</v>
      </c>
      <c r="K4065" t="s">
        <v>40</v>
      </c>
      <c r="L4065">
        <v>2</v>
      </c>
      <c r="M4065">
        <v>1</v>
      </c>
      <c r="N4065">
        <v>1</v>
      </c>
      <c r="O4065" t="s">
        <v>27</v>
      </c>
      <c r="P4065" t="str">
        <f>TEXT(Table1[[#This Row],[order_date]],"yyyy-mm")</f>
        <v>2026-01</v>
      </c>
      <c r="Q4065">
        <f>WEEKNUM(Table1[[#This Row],[order_date]])</f>
        <v>2</v>
      </c>
      <c r="R4065">
        <f>IF(Table1[[#This Row],[order_status]]="completed",1,0)</f>
        <v>0</v>
      </c>
    </row>
    <row r="4066" spans="1:18" x14ac:dyDescent="0.35">
      <c r="A4066">
        <v>4065</v>
      </c>
      <c r="B4066" s="1">
        <v>45924</v>
      </c>
      <c r="C4066">
        <v>1179</v>
      </c>
      <c r="D4066" t="s">
        <v>15</v>
      </c>
      <c r="E4066" t="s">
        <v>23</v>
      </c>
      <c r="F4066" t="s">
        <v>17</v>
      </c>
      <c r="G4066">
        <v>2</v>
      </c>
      <c r="H4066">
        <v>0</v>
      </c>
      <c r="I4066" t="s">
        <v>35</v>
      </c>
      <c r="J4066" t="s">
        <v>31</v>
      </c>
      <c r="K4066" t="s">
        <v>38</v>
      </c>
      <c r="L4066">
        <v>3</v>
      </c>
      <c r="M4066">
        <v>1</v>
      </c>
      <c r="N4066">
        <v>1</v>
      </c>
      <c r="O4066" t="s">
        <v>21</v>
      </c>
      <c r="P4066" t="str">
        <f>TEXT(Table1[[#This Row],[order_date]],"yyyy-mm")</f>
        <v>2025-09</v>
      </c>
      <c r="Q4066">
        <f>WEEKNUM(Table1[[#This Row],[order_date]])</f>
        <v>39</v>
      </c>
      <c r="R4066">
        <f>IF(Table1[[#This Row],[order_status]]="completed",1,0)</f>
        <v>0</v>
      </c>
    </row>
    <row r="4067" spans="1:18" x14ac:dyDescent="0.35">
      <c r="A4067">
        <v>4066</v>
      </c>
      <c r="B4067" s="1">
        <v>46008</v>
      </c>
      <c r="C4067">
        <v>1855</v>
      </c>
      <c r="D4067" t="s">
        <v>41</v>
      </c>
      <c r="E4067" t="s">
        <v>23</v>
      </c>
      <c r="F4067" t="s">
        <v>17</v>
      </c>
      <c r="G4067">
        <v>3</v>
      </c>
      <c r="H4067">
        <v>0</v>
      </c>
      <c r="I4067" t="s">
        <v>18</v>
      </c>
      <c r="J4067" t="s">
        <v>37</v>
      </c>
      <c r="K4067" t="s">
        <v>40</v>
      </c>
      <c r="L4067">
        <v>1</v>
      </c>
      <c r="M4067">
        <v>0</v>
      </c>
      <c r="N4067">
        <v>1</v>
      </c>
      <c r="O4067" t="s">
        <v>21</v>
      </c>
      <c r="P4067" t="str">
        <f>TEXT(Table1[[#This Row],[order_date]],"yyyy-mm")</f>
        <v>2025-12</v>
      </c>
      <c r="Q4067">
        <f>WEEKNUM(Table1[[#This Row],[order_date]])</f>
        <v>51</v>
      </c>
      <c r="R4067">
        <f>IF(Table1[[#This Row],[order_status]]="completed",1,0)</f>
        <v>0</v>
      </c>
    </row>
    <row r="4068" spans="1:18" x14ac:dyDescent="0.35">
      <c r="A4068">
        <v>4067</v>
      </c>
      <c r="B4068" s="1">
        <v>45990</v>
      </c>
      <c r="C4068">
        <v>1477</v>
      </c>
      <c r="D4068" t="s">
        <v>41</v>
      </c>
      <c r="E4068" t="s">
        <v>36</v>
      </c>
      <c r="F4068" t="s">
        <v>34</v>
      </c>
      <c r="G4068">
        <v>1</v>
      </c>
      <c r="H4068">
        <v>2947</v>
      </c>
      <c r="I4068" t="s">
        <v>25</v>
      </c>
      <c r="J4068" t="s">
        <v>19</v>
      </c>
      <c r="K4068" t="s">
        <v>40</v>
      </c>
      <c r="L4068">
        <v>5</v>
      </c>
      <c r="M4068">
        <v>0</v>
      </c>
      <c r="N4068">
        <v>1</v>
      </c>
      <c r="O4068" t="s">
        <v>21</v>
      </c>
      <c r="P4068" t="str">
        <f>TEXT(Table1[[#This Row],[order_date]],"yyyy-mm")</f>
        <v>2025-11</v>
      </c>
      <c r="Q4068">
        <f>WEEKNUM(Table1[[#This Row],[order_date]])</f>
        <v>48</v>
      </c>
      <c r="R4068">
        <f>IF(Table1[[#This Row],[order_status]]="completed",1,0)</f>
        <v>1</v>
      </c>
    </row>
    <row r="4069" spans="1:18" x14ac:dyDescent="0.35">
      <c r="A4069">
        <v>4068</v>
      </c>
      <c r="B4069" s="1">
        <v>45864</v>
      </c>
      <c r="C4069">
        <v>1174</v>
      </c>
      <c r="D4069" t="s">
        <v>22</v>
      </c>
      <c r="E4069" t="s">
        <v>23</v>
      </c>
      <c r="F4069" t="s">
        <v>34</v>
      </c>
      <c r="G4069">
        <v>3</v>
      </c>
      <c r="H4069">
        <v>8037</v>
      </c>
      <c r="I4069" t="s">
        <v>18</v>
      </c>
      <c r="J4069" t="s">
        <v>19</v>
      </c>
      <c r="K4069" t="s">
        <v>38</v>
      </c>
      <c r="L4069">
        <v>10</v>
      </c>
      <c r="M4069">
        <v>0</v>
      </c>
      <c r="N4069">
        <v>1</v>
      </c>
      <c r="O4069" t="s">
        <v>21</v>
      </c>
      <c r="P4069" t="str">
        <f>TEXT(Table1[[#This Row],[order_date]],"yyyy-mm")</f>
        <v>2025-07</v>
      </c>
      <c r="Q4069">
        <f>WEEKNUM(Table1[[#This Row],[order_date]])</f>
        <v>30</v>
      </c>
      <c r="R4069">
        <f>IF(Table1[[#This Row],[order_status]]="completed",1,0)</f>
        <v>1</v>
      </c>
    </row>
    <row r="4070" spans="1:18" x14ac:dyDescent="0.35">
      <c r="A4070">
        <v>4069</v>
      </c>
      <c r="B4070" s="1">
        <v>46001</v>
      </c>
      <c r="C4070">
        <v>1862</v>
      </c>
      <c r="D4070" t="s">
        <v>32</v>
      </c>
      <c r="E4070" t="s">
        <v>29</v>
      </c>
      <c r="F4070" t="s">
        <v>17</v>
      </c>
      <c r="G4070">
        <v>2</v>
      </c>
      <c r="H4070">
        <v>4226</v>
      </c>
      <c r="I4070" t="s">
        <v>18</v>
      </c>
      <c r="J4070" t="s">
        <v>19</v>
      </c>
      <c r="K4070" t="s">
        <v>40</v>
      </c>
      <c r="L4070">
        <v>4</v>
      </c>
      <c r="M4070">
        <v>1</v>
      </c>
      <c r="N4070">
        <v>0</v>
      </c>
      <c r="O4070" t="s">
        <v>21</v>
      </c>
      <c r="P4070" t="str">
        <f>TEXT(Table1[[#This Row],[order_date]],"yyyy-mm")</f>
        <v>2025-12</v>
      </c>
      <c r="Q4070">
        <f>WEEKNUM(Table1[[#This Row],[order_date]])</f>
        <v>50</v>
      </c>
      <c r="R4070">
        <f>IF(Table1[[#This Row],[order_status]]="completed",1,0)</f>
        <v>1</v>
      </c>
    </row>
    <row r="4071" spans="1:18" x14ac:dyDescent="0.35">
      <c r="A4071">
        <v>4070</v>
      </c>
      <c r="B4071" s="1">
        <v>45910</v>
      </c>
      <c r="C4071">
        <v>1142</v>
      </c>
      <c r="D4071" t="s">
        <v>28</v>
      </c>
      <c r="E4071" t="s">
        <v>29</v>
      </c>
      <c r="F4071" t="s">
        <v>30</v>
      </c>
      <c r="G4071">
        <v>3</v>
      </c>
      <c r="H4071">
        <v>0</v>
      </c>
      <c r="I4071" t="s">
        <v>39</v>
      </c>
      <c r="J4071" t="s">
        <v>31</v>
      </c>
      <c r="K4071" t="s">
        <v>20</v>
      </c>
      <c r="L4071">
        <v>8</v>
      </c>
      <c r="M4071">
        <v>0</v>
      </c>
      <c r="N4071">
        <v>1</v>
      </c>
      <c r="O4071" t="s">
        <v>21</v>
      </c>
      <c r="P4071" t="str">
        <f>TEXT(Table1[[#This Row],[order_date]],"yyyy-mm")</f>
        <v>2025-09</v>
      </c>
      <c r="Q4071">
        <f>WEEKNUM(Table1[[#This Row],[order_date]])</f>
        <v>37</v>
      </c>
      <c r="R4071">
        <f>IF(Table1[[#This Row],[order_status]]="completed",1,0)</f>
        <v>0</v>
      </c>
    </row>
    <row r="4072" spans="1:18" x14ac:dyDescent="0.35">
      <c r="A4072">
        <v>4071</v>
      </c>
      <c r="B4072" s="1">
        <v>45995</v>
      </c>
      <c r="C4072">
        <v>1395</v>
      </c>
      <c r="D4072" t="s">
        <v>41</v>
      </c>
      <c r="E4072" t="s">
        <v>33</v>
      </c>
      <c r="F4072" t="s">
        <v>24</v>
      </c>
      <c r="G4072">
        <v>3</v>
      </c>
      <c r="H4072">
        <v>0</v>
      </c>
      <c r="I4072" t="s">
        <v>35</v>
      </c>
      <c r="J4072" t="s">
        <v>31</v>
      </c>
      <c r="K4072" t="s">
        <v>40</v>
      </c>
      <c r="L4072">
        <v>3</v>
      </c>
      <c r="M4072">
        <v>1</v>
      </c>
      <c r="N4072">
        <v>1</v>
      </c>
      <c r="O4072" t="s">
        <v>27</v>
      </c>
      <c r="P4072" t="str">
        <f>TEXT(Table1[[#This Row],[order_date]],"yyyy-mm")</f>
        <v>2025-12</v>
      </c>
      <c r="Q4072">
        <f>WEEKNUM(Table1[[#This Row],[order_date]])</f>
        <v>49</v>
      </c>
      <c r="R4072">
        <f>IF(Table1[[#This Row],[order_status]]="completed",1,0)</f>
        <v>0</v>
      </c>
    </row>
    <row r="4073" spans="1:18" x14ac:dyDescent="0.35">
      <c r="A4073">
        <v>4072</v>
      </c>
      <c r="B4073" s="1">
        <v>45863</v>
      </c>
      <c r="C4073">
        <v>1567</v>
      </c>
      <c r="D4073" t="s">
        <v>41</v>
      </c>
      <c r="E4073" t="s">
        <v>33</v>
      </c>
      <c r="F4073" t="s">
        <v>17</v>
      </c>
      <c r="G4073">
        <v>1</v>
      </c>
      <c r="H4073">
        <v>0</v>
      </c>
      <c r="I4073" t="s">
        <v>18</v>
      </c>
      <c r="J4073" t="s">
        <v>37</v>
      </c>
      <c r="K4073" t="s">
        <v>26</v>
      </c>
      <c r="L4073">
        <v>9</v>
      </c>
      <c r="M4073">
        <v>1</v>
      </c>
      <c r="N4073">
        <v>0</v>
      </c>
      <c r="O4073" t="s">
        <v>27</v>
      </c>
      <c r="P4073" t="str">
        <f>TEXT(Table1[[#This Row],[order_date]],"yyyy-mm")</f>
        <v>2025-07</v>
      </c>
      <c r="Q4073">
        <f>WEEKNUM(Table1[[#This Row],[order_date]])</f>
        <v>30</v>
      </c>
      <c r="R4073">
        <f>IF(Table1[[#This Row],[order_status]]="completed",1,0)</f>
        <v>0</v>
      </c>
    </row>
    <row r="4074" spans="1:18" x14ac:dyDescent="0.35">
      <c r="A4074">
        <v>4073</v>
      </c>
      <c r="B4074" s="1">
        <v>45994</v>
      </c>
      <c r="C4074">
        <v>1608</v>
      </c>
      <c r="D4074" t="s">
        <v>15</v>
      </c>
      <c r="E4074" t="s">
        <v>16</v>
      </c>
      <c r="F4074" t="s">
        <v>34</v>
      </c>
      <c r="G4074">
        <v>4</v>
      </c>
      <c r="H4074">
        <v>14884</v>
      </c>
      <c r="I4074" t="s">
        <v>35</v>
      </c>
      <c r="J4074" t="s">
        <v>19</v>
      </c>
      <c r="K4074" t="s">
        <v>38</v>
      </c>
      <c r="L4074">
        <v>5</v>
      </c>
      <c r="M4074">
        <v>1</v>
      </c>
      <c r="N4074">
        <v>0</v>
      </c>
      <c r="O4074" t="s">
        <v>21</v>
      </c>
      <c r="P4074" t="str">
        <f>TEXT(Table1[[#This Row],[order_date]],"yyyy-mm")</f>
        <v>2025-12</v>
      </c>
      <c r="Q4074">
        <f>WEEKNUM(Table1[[#This Row],[order_date]])</f>
        <v>49</v>
      </c>
      <c r="R4074">
        <f>IF(Table1[[#This Row],[order_status]]="completed",1,0)</f>
        <v>1</v>
      </c>
    </row>
    <row r="4075" spans="1:18" x14ac:dyDescent="0.35">
      <c r="A4075">
        <v>4074</v>
      </c>
      <c r="B4075" s="1">
        <v>45923</v>
      </c>
      <c r="C4075">
        <v>1798</v>
      </c>
      <c r="D4075" t="s">
        <v>32</v>
      </c>
      <c r="E4075" t="s">
        <v>36</v>
      </c>
      <c r="F4075" t="s">
        <v>30</v>
      </c>
      <c r="G4075">
        <v>1</v>
      </c>
      <c r="H4075">
        <v>0</v>
      </c>
      <c r="I4075" t="s">
        <v>18</v>
      </c>
      <c r="J4075" t="s">
        <v>31</v>
      </c>
      <c r="K4075" t="s">
        <v>38</v>
      </c>
      <c r="L4075">
        <v>3</v>
      </c>
      <c r="M4075">
        <v>0</v>
      </c>
      <c r="N4075">
        <v>0</v>
      </c>
      <c r="O4075" t="s">
        <v>27</v>
      </c>
      <c r="P4075" t="str">
        <f>TEXT(Table1[[#This Row],[order_date]],"yyyy-mm")</f>
        <v>2025-09</v>
      </c>
      <c r="Q4075">
        <f>WEEKNUM(Table1[[#This Row],[order_date]])</f>
        <v>39</v>
      </c>
      <c r="R4075">
        <f>IF(Table1[[#This Row],[order_status]]="completed",1,0)</f>
        <v>0</v>
      </c>
    </row>
    <row r="4076" spans="1:18" x14ac:dyDescent="0.35">
      <c r="A4076">
        <v>4075</v>
      </c>
      <c r="B4076" s="1">
        <v>46029</v>
      </c>
      <c r="C4076">
        <v>1487</v>
      </c>
      <c r="D4076" t="s">
        <v>22</v>
      </c>
      <c r="E4076" t="s">
        <v>23</v>
      </c>
      <c r="F4076" t="s">
        <v>30</v>
      </c>
      <c r="G4076">
        <v>1</v>
      </c>
      <c r="H4076">
        <v>0</v>
      </c>
      <c r="I4076" t="s">
        <v>18</v>
      </c>
      <c r="J4076" t="s">
        <v>31</v>
      </c>
      <c r="K4076" t="s">
        <v>20</v>
      </c>
      <c r="L4076">
        <v>3</v>
      </c>
      <c r="M4076">
        <v>0</v>
      </c>
      <c r="N4076">
        <v>0</v>
      </c>
      <c r="O4076" t="s">
        <v>27</v>
      </c>
      <c r="P4076" t="str">
        <f>TEXT(Table1[[#This Row],[order_date]],"yyyy-mm")</f>
        <v>2026-01</v>
      </c>
      <c r="Q4076">
        <f>WEEKNUM(Table1[[#This Row],[order_date]])</f>
        <v>2</v>
      </c>
      <c r="R4076">
        <f>IF(Table1[[#This Row],[order_status]]="completed",1,0)</f>
        <v>0</v>
      </c>
    </row>
    <row r="4077" spans="1:18" x14ac:dyDescent="0.35">
      <c r="A4077">
        <v>4076</v>
      </c>
      <c r="B4077" s="1">
        <v>45936</v>
      </c>
      <c r="C4077">
        <v>1121</v>
      </c>
      <c r="D4077" t="s">
        <v>15</v>
      </c>
      <c r="E4077" t="s">
        <v>16</v>
      </c>
      <c r="F4077" t="s">
        <v>34</v>
      </c>
      <c r="G4077">
        <v>5</v>
      </c>
      <c r="H4077">
        <v>1820</v>
      </c>
      <c r="I4077" t="s">
        <v>39</v>
      </c>
      <c r="J4077" t="s">
        <v>19</v>
      </c>
      <c r="K4077" t="s">
        <v>26</v>
      </c>
      <c r="L4077">
        <v>1</v>
      </c>
      <c r="M4077">
        <v>0</v>
      </c>
      <c r="N4077">
        <v>0</v>
      </c>
      <c r="O4077" t="s">
        <v>27</v>
      </c>
      <c r="P4077" t="str">
        <f>TEXT(Table1[[#This Row],[order_date]],"yyyy-mm")</f>
        <v>2025-10</v>
      </c>
      <c r="Q4077">
        <f>WEEKNUM(Table1[[#This Row],[order_date]])</f>
        <v>41</v>
      </c>
      <c r="R4077">
        <f>IF(Table1[[#This Row],[order_status]]="completed",1,0)</f>
        <v>1</v>
      </c>
    </row>
    <row r="4078" spans="1:18" x14ac:dyDescent="0.35">
      <c r="A4078">
        <v>4077</v>
      </c>
      <c r="B4078" s="1">
        <v>45873</v>
      </c>
      <c r="C4078">
        <v>1877</v>
      </c>
      <c r="D4078" t="s">
        <v>15</v>
      </c>
      <c r="E4078" t="s">
        <v>33</v>
      </c>
      <c r="F4078" t="s">
        <v>34</v>
      </c>
      <c r="G4078">
        <v>2</v>
      </c>
      <c r="H4078">
        <v>9282</v>
      </c>
      <c r="I4078" t="s">
        <v>25</v>
      </c>
      <c r="J4078" t="s">
        <v>19</v>
      </c>
      <c r="K4078" t="s">
        <v>38</v>
      </c>
      <c r="L4078">
        <v>10</v>
      </c>
      <c r="M4078">
        <v>1</v>
      </c>
      <c r="N4078">
        <v>0</v>
      </c>
      <c r="O4078" t="s">
        <v>27</v>
      </c>
      <c r="P4078" t="str">
        <f>TEXT(Table1[[#This Row],[order_date]],"yyyy-mm")</f>
        <v>2025-08</v>
      </c>
      <c r="Q4078">
        <f>WEEKNUM(Table1[[#This Row],[order_date]])</f>
        <v>32</v>
      </c>
      <c r="R4078">
        <f>IF(Table1[[#This Row],[order_status]]="completed",1,0)</f>
        <v>1</v>
      </c>
    </row>
    <row r="4079" spans="1:18" x14ac:dyDescent="0.35">
      <c r="A4079">
        <v>4078</v>
      </c>
      <c r="B4079" s="1">
        <v>46026</v>
      </c>
      <c r="C4079">
        <v>1347</v>
      </c>
      <c r="D4079" t="s">
        <v>41</v>
      </c>
      <c r="E4079" t="s">
        <v>23</v>
      </c>
      <c r="F4079" t="s">
        <v>17</v>
      </c>
      <c r="G4079">
        <v>4</v>
      </c>
      <c r="H4079">
        <v>0</v>
      </c>
      <c r="I4079" t="s">
        <v>18</v>
      </c>
      <c r="J4079" t="s">
        <v>31</v>
      </c>
      <c r="K4079" t="s">
        <v>26</v>
      </c>
      <c r="L4079">
        <v>6</v>
      </c>
      <c r="M4079">
        <v>0</v>
      </c>
      <c r="N4079">
        <v>0</v>
      </c>
      <c r="O4079" t="s">
        <v>21</v>
      </c>
      <c r="P4079" t="str">
        <f>TEXT(Table1[[#This Row],[order_date]],"yyyy-mm")</f>
        <v>2026-01</v>
      </c>
      <c r="Q4079">
        <f>WEEKNUM(Table1[[#This Row],[order_date]])</f>
        <v>2</v>
      </c>
      <c r="R4079">
        <f>IF(Table1[[#This Row],[order_status]]="completed",1,0)</f>
        <v>0</v>
      </c>
    </row>
    <row r="4080" spans="1:18" x14ac:dyDescent="0.35">
      <c r="A4080">
        <v>4079</v>
      </c>
      <c r="B4080" s="1">
        <v>45852</v>
      </c>
      <c r="C4080">
        <v>1642</v>
      </c>
      <c r="D4080" t="s">
        <v>15</v>
      </c>
      <c r="E4080" t="s">
        <v>33</v>
      </c>
      <c r="F4080" t="s">
        <v>34</v>
      </c>
      <c r="G4080">
        <v>2</v>
      </c>
      <c r="H4080">
        <v>0</v>
      </c>
      <c r="I4080" t="s">
        <v>39</v>
      </c>
      <c r="J4080" t="s">
        <v>31</v>
      </c>
      <c r="K4080" t="s">
        <v>40</v>
      </c>
      <c r="L4080">
        <v>7</v>
      </c>
      <c r="M4080">
        <v>1</v>
      </c>
      <c r="N4080">
        <v>1</v>
      </c>
      <c r="O4080" t="s">
        <v>21</v>
      </c>
      <c r="P4080" t="str">
        <f>TEXT(Table1[[#This Row],[order_date]],"yyyy-mm")</f>
        <v>2025-07</v>
      </c>
      <c r="Q4080">
        <f>WEEKNUM(Table1[[#This Row],[order_date]])</f>
        <v>29</v>
      </c>
      <c r="R4080">
        <f>IF(Table1[[#This Row],[order_status]]="completed",1,0)</f>
        <v>0</v>
      </c>
    </row>
    <row r="4081" spans="1:18" x14ac:dyDescent="0.35">
      <c r="A4081">
        <v>4080</v>
      </c>
      <c r="B4081" s="1">
        <v>45949</v>
      </c>
      <c r="C4081">
        <v>1831</v>
      </c>
      <c r="D4081" t="s">
        <v>28</v>
      </c>
      <c r="E4081" t="s">
        <v>23</v>
      </c>
      <c r="F4081" t="s">
        <v>24</v>
      </c>
      <c r="G4081">
        <v>1</v>
      </c>
      <c r="H4081">
        <v>0</v>
      </c>
      <c r="I4081" t="s">
        <v>18</v>
      </c>
      <c r="J4081" t="s">
        <v>31</v>
      </c>
      <c r="K4081" t="s">
        <v>26</v>
      </c>
      <c r="L4081">
        <v>7</v>
      </c>
      <c r="M4081">
        <v>1</v>
      </c>
      <c r="N4081">
        <v>0</v>
      </c>
      <c r="O4081" t="s">
        <v>27</v>
      </c>
      <c r="P4081" t="str">
        <f>TEXT(Table1[[#This Row],[order_date]],"yyyy-mm")</f>
        <v>2025-10</v>
      </c>
      <c r="Q4081">
        <f>WEEKNUM(Table1[[#This Row],[order_date]])</f>
        <v>43</v>
      </c>
      <c r="R4081">
        <f>IF(Table1[[#This Row],[order_status]]="completed",1,0)</f>
        <v>0</v>
      </c>
    </row>
    <row r="4082" spans="1:18" x14ac:dyDescent="0.35">
      <c r="A4082">
        <v>4081</v>
      </c>
      <c r="B4082" s="1">
        <v>46006</v>
      </c>
      <c r="C4082">
        <v>1516</v>
      </c>
      <c r="D4082" t="s">
        <v>15</v>
      </c>
      <c r="E4082" t="s">
        <v>16</v>
      </c>
      <c r="F4082" t="s">
        <v>17</v>
      </c>
      <c r="G4082">
        <v>4</v>
      </c>
      <c r="H4082">
        <v>11176</v>
      </c>
      <c r="I4082" t="s">
        <v>18</v>
      </c>
      <c r="J4082" t="s">
        <v>19</v>
      </c>
      <c r="K4082" t="s">
        <v>40</v>
      </c>
      <c r="L4082">
        <v>5</v>
      </c>
      <c r="M4082">
        <v>0</v>
      </c>
      <c r="N4082">
        <v>0</v>
      </c>
      <c r="O4082" t="s">
        <v>21</v>
      </c>
      <c r="P4082" t="str">
        <f>TEXT(Table1[[#This Row],[order_date]],"yyyy-mm")</f>
        <v>2025-12</v>
      </c>
      <c r="Q4082">
        <f>WEEKNUM(Table1[[#This Row],[order_date]])</f>
        <v>51</v>
      </c>
      <c r="R4082">
        <f>IF(Table1[[#This Row],[order_status]]="completed",1,0)</f>
        <v>1</v>
      </c>
    </row>
    <row r="4083" spans="1:18" x14ac:dyDescent="0.35">
      <c r="A4083">
        <v>4082</v>
      </c>
      <c r="B4083" s="1">
        <v>46020</v>
      </c>
      <c r="C4083">
        <v>1306</v>
      </c>
      <c r="D4083" t="s">
        <v>41</v>
      </c>
      <c r="E4083" t="s">
        <v>29</v>
      </c>
      <c r="F4083" t="s">
        <v>17</v>
      </c>
      <c r="G4083">
        <v>5</v>
      </c>
      <c r="H4083">
        <v>0</v>
      </c>
      <c r="I4083" t="s">
        <v>35</v>
      </c>
      <c r="J4083" t="s">
        <v>31</v>
      </c>
      <c r="K4083" t="s">
        <v>26</v>
      </c>
      <c r="L4083">
        <v>9</v>
      </c>
      <c r="M4083">
        <v>1</v>
      </c>
      <c r="N4083">
        <v>1</v>
      </c>
      <c r="O4083" t="s">
        <v>27</v>
      </c>
      <c r="P4083" t="str">
        <f>TEXT(Table1[[#This Row],[order_date]],"yyyy-mm")</f>
        <v>2025-12</v>
      </c>
      <c r="Q4083">
        <f>WEEKNUM(Table1[[#This Row],[order_date]])</f>
        <v>53</v>
      </c>
      <c r="R4083">
        <f>IF(Table1[[#This Row],[order_status]]="completed",1,0)</f>
        <v>0</v>
      </c>
    </row>
    <row r="4084" spans="1:18" x14ac:dyDescent="0.35">
      <c r="A4084">
        <v>4083</v>
      </c>
      <c r="B4084" s="1">
        <v>46002</v>
      </c>
      <c r="C4084">
        <v>1765</v>
      </c>
      <c r="D4084" t="s">
        <v>32</v>
      </c>
      <c r="E4084" t="s">
        <v>29</v>
      </c>
      <c r="F4084" t="s">
        <v>17</v>
      </c>
      <c r="G4084">
        <v>5</v>
      </c>
      <c r="H4084">
        <v>0</v>
      </c>
      <c r="I4084" t="s">
        <v>39</v>
      </c>
      <c r="J4084" t="s">
        <v>37</v>
      </c>
      <c r="K4084" t="s">
        <v>40</v>
      </c>
      <c r="L4084">
        <v>7</v>
      </c>
      <c r="M4084">
        <v>1</v>
      </c>
      <c r="N4084">
        <v>0</v>
      </c>
      <c r="O4084" t="s">
        <v>21</v>
      </c>
      <c r="P4084" t="str">
        <f>TEXT(Table1[[#This Row],[order_date]],"yyyy-mm")</f>
        <v>2025-12</v>
      </c>
      <c r="Q4084">
        <f>WEEKNUM(Table1[[#This Row],[order_date]])</f>
        <v>50</v>
      </c>
      <c r="R4084">
        <f>IF(Table1[[#This Row],[order_status]]="completed",1,0)</f>
        <v>0</v>
      </c>
    </row>
    <row r="4085" spans="1:18" x14ac:dyDescent="0.35">
      <c r="A4085">
        <v>4084</v>
      </c>
      <c r="B4085" s="1">
        <v>45990</v>
      </c>
      <c r="C4085">
        <v>1159</v>
      </c>
      <c r="D4085" t="s">
        <v>28</v>
      </c>
      <c r="E4085" t="s">
        <v>33</v>
      </c>
      <c r="F4085" t="s">
        <v>17</v>
      </c>
      <c r="G4085">
        <v>5</v>
      </c>
      <c r="H4085">
        <v>0</v>
      </c>
      <c r="I4085" t="s">
        <v>18</v>
      </c>
      <c r="J4085" t="s">
        <v>37</v>
      </c>
      <c r="K4085" t="s">
        <v>26</v>
      </c>
      <c r="L4085">
        <v>1</v>
      </c>
      <c r="M4085">
        <v>1</v>
      </c>
      <c r="N4085">
        <v>0</v>
      </c>
      <c r="O4085" t="s">
        <v>21</v>
      </c>
      <c r="P4085" t="str">
        <f>TEXT(Table1[[#This Row],[order_date]],"yyyy-mm")</f>
        <v>2025-11</v>
      </c>
      <c r="Q4085">
        <f>WEEKNUM(Table1[[#This Row],[order_date]])</f>
        <v>48</v>
      </c>
      <c r="R4085">
        <f>IF(Table1[[#This Row],[order_status]]="completed",1,0)</f>
        <v>0</v>
      </c>
    </row>
    <row r="4086" spans="1:18" x14ac:dyDescent="0.35">
      <c r="A4086">
        <v>4085</v>
      </c>
      <c r="B4086" s="1">
        <v>45900</v>
      </c>
      <c r="C4086">
        <v>1661</v>
      </c>
      <c r="D4086" t="s">
        <v>15</v>
      </c>
      <c r="E4086" t="s">
        <v>33</v>
      </c>
      <c r="F4086" t="s">
        <v>17</v>
      </c>
      <c r="G4086">
        <v>4</v>
      </c>
      <c r="H4086">
        <v>0</v>
      </c>
      <c r="I4086" t="s">
        <v>35</v>
      </c>
      <c r="J4086" t="s">
        <v>37</v>
      </c>
      <c r="K4086" t="s">
        <v>40</v>
      </c>
      <c r="L4086">
        <v>4</v>
      </c>
      <c r="M4086">
        <v>1</v>
      </c>
      <c r="N4086">
        <v>1</v>
      </c>
      <c r="O4086" t="s">
        <v>21</v>
      </c>
      <c r="P4086" t="str">
        <f>TEXT(Table1[[#This Row],[order_date]],"yyyy-mm")</f>
        <v>2025-08</v>
      </c>
      <c r="Q4086">
        <f>WEEKNUM(Table1[[#This Row],[order_date]])</f>
        <v>36</v>
      </c>
      <c r="R4086">
        <f>IF(Table1[[#This Row],[order_status]]="completed",1,0)</f>
        <v>0</v>
      </c>
    </row>
    <row r="4087" spans="1:18" x14ac:dyDescent="0.35">
      <c r="A4087">
        <v>4086</v>
      </c>
      <c r="B4087" s="1">
        <v>45858</v>
      </c>
      <c r="C4087">
        <v>1726</v>
      </c>
      <c r="D4087" t="s">
        <v>32</v>
      </c>
      <c r="E4087" t="s">
        <v>23</v>
      </c>
      <c r="F4087" t="s">
        <v>17</v>
      </c>
      <c r="G4087">
        <v>2</v>
      </c>
      <c r="H4087">
        <v>0</v>
      </c>
      <c r="I4087" t="s">
        <v>25</v>
      </c>
      <c r="J4087" t="s">
        <v>37</v>
      </c>
      <c r="K4087" t="s">
        <v>20</v>
      </c>
      <c r="L4087">
        <v>4</v>
      </c>
      <c r="M4087">
        <v>1</v>
      </c>
      <c r="N4087">
        <v>1</v>
      </c>
      <c r="O4087" t="s">
        <v>21</v>
      </c>
      <c r="P4087" t="str">
        <f>TEXT(Table1[[#This Row],[order_date]],"yyyy-mm")</f>
        <v>2025-07</v>
      </c>
      <c r="Q4087">
        <f>WEEKNUM(Table1[[#This Row],[order_date]])</f>
        <v>30</v>
      </c>
      <c r="R4087">
        <f>IF(Table1[[#This Row],[order_status]]="completed",1,0)</f>
        <v>0</v>
      </c>
    </row>
    <row r="4088" spans="1:18" x14ac:dyDescent="0.35">
      <c r="A4088">
        <v>4087</v>
      </c>
      <c r="B4088" s="1">
        <v>45921</v>
      </c>
      <c r="C4088">
        <v>1394</v>
      </c>
      <c r="D4088" t="s">
        <v>15</v>
      </c>
      <c r="E4088" t="s">
        <v>16</v>
      </c>
      <c r="F4088" t="s">
        <v>30</v>
      </c>
      <c r="G4088">
        <v>5</v>
      </c>
      <c r="H4088">
        <v>14780</v>
      </c>
      <c r="I4088" t="s">
        <v>18</v>
      </c>
      <c r="J4088" t="s">
        <v>19</v>
      </c>
      <c r="K4088" t="s">
        <v>40</v>
      </c>
      <c r="L4088">
        <v>6</v>
      </c>
      <c r="M4088">
        <v>0</v>
      </c>
      <c r="N4088">
        <v>1</v>
      </c>
      <c r="O4088" t="s">
        <v>21</v>
      </c>
      <c r="P4088" t="str">
        <f>TEXT(Table1[[#This Row],[order_date]],"yyyy-mm")</f>
        <v>2025-09</v>
      </c>
      <c r="Q4088">
        <f>WEEKNUM(Table1[[#This Row],[order_date]])</f>
        <v>39</v>
      </c>
      <c r="R4088">
        <f>IF(Table1[[#This Row],[order_status]]="completed",1,0)</f>
        <v>1</v>
      </c>
    </row>
    <row r="4089" spans="1:18" x14ac:dyDescent="0.35">
      <c r="A4089">
        <v>4088</v>
      </c>
      <c r="B4089" s="1">
        <v>45909</v>
      </c>
      <c r="C4089">
        <v>1600</v>
      </c>
      <c r="D4089" t="s">
        <v>41</v>
      </c>
      <c r="E4089" t="s">
        <v>16</v>
      </c>
      <c r="F4089" t="s">
        <v>34</v>
      </c>
      <c r="G4089">
        <v>2</v>
      </c>
      <c r="H4089">
        <v>6394</v>
      </c>
      <c r="I4089" t="s">
        <v>18</v>
      </c>
      <c r="J4089" t="s">
        <v>19</v>
      </c>
      <c r="K4089" t="s">
        <v>26</v>
      </c>
      <c r="L4089">
        <v>1</v>
      </c>
      <c r="M4089">
        <v>1</v>
      </c>
      <c r="N4089">
        <v>0</v>
      </c>
      <c r="O4089" t="s">
        <v>21</v>
      </c>
      <c r="P4089" t="str">
        <f>TEXT(Table1[[#This Row],[order_date]],"yyyy-mm")</f>
        <v>2025-09</v>
      </c>
      <c r="Q4089">
        <f>WEEKNUM(Table1[[#This Row],[order_date]])</f>
        <v>37</v>
      </c>
      <c r="R4089">
        <f>IF(Table1[[#This Row],[order_status]]="completed",1,0)</f>
        <v>1</v>
      </c>
    </row>
    <row r="4090" spans="1:18" x14ac:dyDescent="0.35">
      <c r="A4090">
        <v>4089</v>
      </c>
      <c r="B4090" s="1">
        <v>45973</v>
      </c>
      <c r="C4090">
        <v>1975</v>
      </c>
      <c r="D4090" t="s">
        <v>28</v>
      </c>
      <c r="E4090" t="s">
        <v>33</v>
      </c>
      <c r="F4090" t="s">
        <v>24</v>
      </c>
      <c r="G4090">
        <v>2</v>
      </c>
      <c r="H4090">
        <v>0</v>
      </c>
      <c r="I4090" t="s">
        <v>18</v>
      </c>
      <c r="J4090" t="s">
        <v>31</v>
      </c>
      <c r="K4090" t="s">
        <v>26</v>
      </c>
      <c r="L4090">
        <v>4</v>
      </c>
      <c r="M4090">
        <v>1</v>
      </c>
      <c r="N4090">
        <v>1</v>
      </c>
      <c r="O4090" t="s">
        <v>21</v>
      </c>
      <c r="P4090" t="str">
        <f>TEXT(Table1[[#This Row],[order_date]],"yyyy-mm")</f>
        <v>2025-11</v>
      </c>
      <c r="Q4090">
        <f>WEEKNUM(Table1[[#This Row],[order_date]])</f>
        <v>46</v>
      </c>
      <c r="R4090">
        <f>IF(Table1[[#This Row],[order_status]]="completed",1,0)</f>
        <v>0</v>
      </c>
    </row>
    <row r="4091" spans="1:18" x14ac:dyDescent="0.35">
      <c r="A4091">
        <v>4090</v>
      </c>
      <c r="B4091" s="1">
        <v>45896</v>
      </c>
      <c r="C4091">
        <v>1864</v>
      </c>
      <c r="D4091" t="s">
        <v>41</v>
      </c>
      <c r="E4091" t="s">
        <v>23</v>
      </c>
      <c r="F4091" t="s">
        <v>17</v>
      </c>
      <c r="G4091">
        <v>3</v>
      </c>
      <c r="H4091">
        <v>0</v>
      </c>
      <c r="I4091" t="s">
        <v>35</v>
      </c>
      <c r="J4091" t="s">
        <v>37</v>
      </c>
      <c r="K4091" t="s">
        <v>26</v>
      </c>
      <c r="L4091">
        <v>8</v>
      </c>
      <c r="M4091">
        <v>1</v>
      </c>
      <c r="N4091">
        <v>0</v>
      </c>
      <c r="O4091" t="s">
        <v>27</v>
      </c>
      <c r="P4091" t="str">
        <f>TEXT(Table1[[#This Row],[order_date]],"yyyy-mm")</f>
        <v>2025-08</v>
      </c>
      <c r="Q4091">
        <f>WEEKNUM(Table1[[#This Row],[order_date]])</f>
        <v>35</v>
      </c>
      <c r="R4091">
        <f>IF(Table1[[#This Row],[order_status]]="completed",1,0)</f>
        <v>0</v>
      </c>
    </row>
    <row r="4092" spans="1:18" x14ac:dyDescent="0.35">
      <c r="A4092">
        <v>4091</v>
      </c>
      <c r="B4092" s="1">
        <v>45944</v>
      </c>
      <c r="C4092">
        <v>1692</v>
      </c>
      <c r="D4092" t="s">
        <v>15</v>
      </c>
      <c r="E4092" t="s">
        <v>33</v>
      </c>
      <c r="F4092" t="s">
        <v>30</v>
      </c>
      <c r="G4092">
        <v>4</v>
      </c>
      <c r="H4092">
        <v>0</v>
      </c>
      <c r="I4092" t="s">
        <v>39</v>
      </c>
      <c r="J4092" t="s">
        <v>37</v>
      </c>
      <c r="K4092" t="s">
        <v>40</v>
      </c>
      <c r="L4092">
        <v>1</v>
      </c>
      <c r="M4092">
        <v>1</v>
      </c>
      <c r="N4092">
        <v>0</v>
      </c>
      <c r="O4092" t="s">
        <v>27</v>
      </c>
      <c r="P4092" t="str">
        <f>TEXT(Table1[[#This Row],[order_date]],"yyyy-mm")</f>
        <v>2025-10</v>
      </c>
      <c r="Q4092">
        <f>WEEKNUM(Table1[[#This Row],[order_date]])</f>
        <v>42</v>
      </c>
      <c r="R4092">
        <f>IF(Table1[[#This Row],[order_status]]="completed",1,0)</f>
        <v>0</v>
      </c>
    </row>
    <row r="4093" spans="1:18" x14ac:dyDescent="0.35">
      <c r="A4093">
        <v>4092</v>
      </c>
      <c r="B4093" s="1">
        <v>46015</v>
      </c>
      <c r="C4093">
        <v>1258</v>
      </c>
      <c r="D4093" t="s">
        <v>15</v>
      </c>
      <c r="E4093" t="s">
        <v>36</v>
      </c>
      <c r="F4093" t="s">
        <v>17</v>
      </c>
      <c r="G4093">
        <v>4</v>
      </c>
      <c r="H4093">
        <v>0</v>
      </c>
      <c r="I4093" t="s">
        <v>18</v>
      </c>
      <c r="J4093" t="s">
        <v>31</v>
      </c>
      <c r="K4093" t="s">
        <v>40</v>
      </c>
      <c r="L4093">
        <v>3</v>
      </c>
      <c r="M4093">
        <v>1</v>
      </c>
      <c r="N4093">
        <v>0</v>
      </c>
      <c r="O4093" t="s">
        <v>27</v>
      </c>
      <c r="P4093" t="str">
        <f>TEXT(Table1[[#This Row],[order_date]],"yyyy-mm")</f>
        <v>2025-12</v>
      </c>
      <c r="Q4093">
        <f>WEEKNUM(Table1[[#This Row],[order_date]])</f>
        <v>52</v>
      </c>
      <c r="R4093">
        <f>IF(Table1[[#This Row],[order_status]]="completed",1,0)</f>
        <v>0</v>
      </c>
    </row>
    <row r="4094" spans="1:18" x14ac:dyDescent="0.35">
      <c r="A4094">
        <v>4093</v>
      </c>
      <c r="B4094" s="1">
        <v>45883</v>
      </c>
      <c r="C4094">
        <v>1212</v>
      </c>
      <c r="D4094" t="s">
        <v>32</v>
      </c>
      <c r="E4094" t="s">
        <v>33</v>
      </c>
      <c r="F4094" t="s">
        <v>17</v>
      </c>
      <c r="G4094">
        <v>5</v>
      </c>
      <c r="H4094">
        <v>0</v>
      </c>
      <c r="I4094" t="s">
        <v>25</v>
      </c>
      <c r="J4094" t="s">
        <v>31</v>
      </c>
      <c r="K4094" t="s">
        <v>26</v>
      </c>
      <c r="L4094">
        <v>5</v>
      </c>
      <c r="M4094">
        <v>1</v>
      </c>
      <c r="N4094">
        <v>0</v>
      </c>
      <c r="O4094" t="s">
        <v>21</v>
      </c>
      <c r="P4094" t="str">
        <f>TEXT(Table1[[#This Row],[order_date]],"yyyy-mm")</f>
        <v>2025-08</v>
      </c>
      <c r="Q4094">
        <f>WEEKNUM(Table1[[#This Row],[order_date]])</f>
        <v>33</v>
      </c>
      <c r="R4094">
        <f>IF(Table1[[#This Row],[order_status]]="completed",1,0)</f>
        <v>0</v>
      </c>
    </row>
    <row r="4095" spans="1:18" x14ac:dyDescent="0.35">
      <c r="A4095">
        <v>4094</v>
      </c>
      <c r="B4095" s="1">
        <v>45893</v>
      </c>
      <c r="C4095">
        <v>1315</v>
      </c>
      <c r="D4095" t="s">
        <v>22</v>
      </c>
      <c r="E4095" t="s">
        <v>16</v>
      </c>
      <c r="F4095" t="s">
        <v>30</v>
      </c>
      <c r="G4095">
        <v>1</v>
      </c>
      <c r="H4095">
        <v>0</v>
      </c>
      <c r="I4095" t="s">
        <v>18</v>
      </c>
      <c r="J4095" t="s">
        <v>37</v>
      </c>
      <c r="K4095" t="s">
        <v>38</v>
      </c>
      <c r="L4095">
        <v>5</v>
      </c>
      <c r="M4095">
        <v>0</v>
      </c>
      <c r="N4095">
        <v>1</v>
      </c>
      <c r="O4095" t="s">
        <v>21</v>
      </c>
      <c r="P4095" t="str">
        <f>TEXT(Table1[[#This Row],[order_date]],"yyyy-mm")</f>
        <v>2025-08</v>
      </c>
      <c r="Q4095">
        <f>WEEKNUM(Table1[[#This Row],[order_date]])</f>
        <v>35</v>
      </c>
      <c r="R4095">
        <f>IF(Table1[[#This Row],[order_status]]="completed",1,0)</f>
        <v>0</v>
      </c>
    </row>
    <row r="4096" spans="1:18" x14ac:dyDescent="0.35">
      <c r="A4096">
        <v>4095</v>
      </c>
      <c r="B4096" s="1">
        <v>45992</v>
      </c>
      <c r="C4096">
        <v>1773</v>
      </c>
      <c r="D4096" t="s">
        <v>41</v>
      </c>
      <c r="E4096" t="s">
        <v>23</v>
      </c>
      <c r="F4096" t="s">
        <v>17</v>
      </c>
      <c r="G4096">
        <v>1</v>
      </c>
      <c r="H4096">
        <v>4999</v>
      </c>
      <c r="I4096" t="s">
        <v>25</v>
      </c>
      <c r="J4096" t="s">
        <v>19</v>
      </c>
      <c r="K4096" t="s">
        <v>26</v>
      </c>
      <c r="L4096">
        <v>7</v>
      </c>
      <c r="M4096">
        <v>0</v>
      </c>
      <c r="N4096">
        <v>1</v>
      </c>
      <c r="O4096" t="s">
        <v>21</v>
      </c>
      <c r="P4096" t="str">
        <f>TEXT(Table1[[#This Row],[order_date]],"yyyy-mm")</f>
        <v>2025-12</v>
      </c>
      <c r="Q4096">
        <f>WEEKNUM(Table1[[#This Row],[order_date]])</f>
        <v>49</v>
      </c>
      <c r="R4096">
        <f>IF(Table1[[#This Row],[order_status]]="completed",1,0)</f>
        <v>1</v>
      </c>
    </row>
    <row r="4097" spans="1:18" x14ac:dyDescent="0.35">
      <c r="A4097">
        <v>4096</v>
      </c>
      <c r="B4097" s="1">
        <v>45920</v>
      </c>
      <c r="C4097">
        <v>1008</v>
      </c>
      <c r="D4097" t="s">
        <v>32</v>
      </c>
      <c r="E4097" t="s">
        <v>36</v>
      </c>
      <c r="F4097" t="s">
        <v>30</v>
      </c>
      <c r="G4097">
        <v>4</v>
      </c>
      <c r="H4097">
        <v>0</v>
      </c>
      <c r="I4097" t="s">
        <v>25</v>
      </c>
      <c r="J4097" t="s">
        <v>31</v>
      </c>
      <c r="K4097" t="s">
        <v>26</v>
      </c>
      <c r="L4097">
        <v>1</v>
      </c>
      <c r="M4097">
        <v>0</v>
      </c>
      <c r="N4097">
        <v>0</v>
      </c>
      <c r="O4097" t="s">
        <v>21</v>
      </c>
      <c r="P4097" t="str">
        <f>TEXT(Table1[[#This Row],[order_date]],"yyyy-mm")</f>
        <v>2025-09</v>
      </c>
      <c r="Q4097">
        <f>WEEKNUM(Table1[[#This Row],[order_date]])</f>
        <v>38</v>
      </c>
      <c r="R4097">
        <f>IF(Table1[[#This Row],[order_status]]="completed",1,0)</f>
        <v>0</v>
      </c>
    </row>
    <row r="4098" spans="1:18" x14ac:dyDescent="0.35">
      <c r="A4098">
        <v>4097</v>
      </c>
      <c r="B4098" s="1">
        <v>46028</v>
      </c>
      <c r="C4098">
        <v>1318</v>
      </c>
      <c r="D4098" t="s">
        <v>15</v>
      </c>
      <c r="E4098" t="s">
        <v>33</v>
      </c>
      <c r="F4098" t="s">
        <v>30</v>
      </c>
      <c r="G4098">
        <v>4</v>
      </c>
      <c r="H4098">
        <v>19272</v>
      </c>
      <c r="I4098" t="s">
        <v>18</v>
      </c>
      <c r="J4098" t="s">
        <v>19</v>
      </c>
      <c r="K4098" t="s">
        <v>26</v>
      </c>
      <c r="L4098">
        <v>2</v>
      </c>
      <c r="M4098">
        <v>1</v>
      </c>
      <c r="N4098">
        <v>1</v>
      </c>
      <c r="O4098" t="s">
        <v>21</v>
      </c>
      <c r="P4098" t="str">
        <f>TEXT(Table1[[#This Row],[order_date]],"yyyy-mm")</f>
        <v>2026-01</v>
      </c>
      <c r="Q4098">
        <f>WEEKNUM(Table1[[#This Row],[order_date]])</f>
        <v>2</v>
      </c>
      <c r="R4098">
        <f>IF(Table1[[#This Row],[order_status]]="completed",1,0)</f>
        <v>1</v>
      </c>
    </row>
    <row r="4099" spans="1:18" x14ac:dyDescent="0.35">
      <c r="A4099">
        <v>4098</v>
      </c>
      <c r="B4099" s="1">
        <v>45976</v>
      </c>
      <c r="C4099">
        <v>1914</v>
      </c>
      <c r="D4099" t="s">
        <v>15</v>
      </c>
      <c r="E4099" t="s">
        <v>16</v>
      </c>
      <c r="F4099" t="s">
        <v>24</v>
      </c>
      <c r="G4099">
        <v>1</v>
      </c>
      <c r="H4099">
        <v>0</v>
      </c>
      <c r="I4099" t="s">
        <v>18</v>
      </c>
      <c r="J4099" t="s">
        <v>37</v>
      </c>
      <c r="K4099" t="s">
        <v>26</v>
      </c>
      <c r="L4099">
        <v>3</v>
      </c>
      <c r="M4099">
        <v>1</v>
      </c>
      <c r="N4099">
        <v>0</v>
      </c>
      <c r="O4099" t="s">
        <v>21</v>
      </c>
      <c r="P4099" t="str">
        <f>TEXT(Table1[[#This Row],[order_date]],"yyyy-mm")</f>
        <v>2025-11</v>
      </c>
      <c r="Q4099">
        <f>WEEKNUM(Table1[[#This Row],[order_date]])</f>
        <v>46</v>
      </c>
      <c r="R4099">
        <f>IF(Table1[[#This Row],[order_status]]="completed",1,0)</f>
        <v>0</v>
      </c>
    </row>
    <row r="4100" spans="1:18" x14ac:dyDescent="0.35">
      <c r="A4100">
        <v>4099</v>
      </c>
      <c r="B4100" s="1">
        <v>45955</v>
      </c>
      <c r="C4100">
        <v>1489</v>
      </c>
      <c r="D4100" t="s">
        <v>28</v>
      </c>
      <c r="E4100" t="s">
        <v>36</v>
      </c>
      <c r="F4100" t="s">
        <v>34</v>
      </c>
      <c r="G4100">
        <v>2</v>
      </c>
      <c r="H4100">
        <v>0</v>
      </c>
      <c r="I4100" t="s">
        <v>25</v>
      </c>
      <c r="J4100" t="s">
        <v>37</v>
      </c>
      <c r="K4100" t="s">
        <v>26</v>
      </c>
      <c r="L4100">
        <v>8</v>
      </c>
      <c r="M4100">
        <v>1</v>
      </c>
      <c r="N4100">
        <v>1</v>
      </c>
      <c r="O4100" t="s">
        <v>27</v>
      </c>
      <c r="P4100" t="str">
        <f>TEXT(Table1[[#This Row],[order_date]],"yyyy-mm")</f>
        <v>2025-10</v>
      </c>
      <c r="Q4100">
        <f>WEEKNUM(Table1[[#This Row],[order_date]])</f>
        <v>43</v>
      </c>
      <c r="R4100">
        <f>IF(Table1[[#This Row],[order_status]]="completed",1,0)</f>
        <v>0</v>
      </c>
    </row>
    <row r="4101" spans="1:18" x14ac:dyDescent="0.35">
      <c r="A4101">
        <v>4100</v>
      </c>
      <c r="B4101" s="1">
        <v>45886</v>
      </c>
      <c r="C4101">
        <v>1109</v>
      </c>
      <c r="D4101" t="s">
        <v>32</v>
      </c>
      <c r="E4101" t="s">
        <v>33</v>
      </c>
      <c r="F4101" t="s">
        <v>34</v>
      </c>
      <c r="G4101">
        <v>4</v>
      </c>
      <c r="H4101">
        <v>0</v>
      </c>
      <c r="I4101" t="s">
        <v>35</v>
      </c>
      <c r="J4101" t="s">
        <v>37</v>
      </c>
      <c r="K4101" t="s">
        <v>26</v>
      </c>
      <c r="L4101">
        <v>5</v>
      </c>
      <c r="M4101">
        <v>0</v>
      </c>
      <c r="N4101">
        <v>1</v>
      </c>
      <c r="O4101" t="s">
        <v>21</v>
      </c>
      <c r="P4101" t="str">
        <f>TEXT(Table1[[#This Row],[order_date]],"yyyy-mm")</f>
        <v>2025-08</v>
      </c>
      <c r="Q4101">
        <f>WEEKNUM(Table1[[#This Row],[order_date]])</f>
        <v>34</v>
      </c>
      <c r="R4101">
        <f>IF(Table1[[#This Row],[order_status]]="completed",1,0)</f>
        <v>0</v>
      </c>
    </row>
    <row r="4102" spans="1:18" x14ac:dyDescent="0.35">
      <c r="A4102">
        <v>4101</v>
      </c>
      <c r="B4102" s="1">
        <v>45865</v>
      </c>
      <c r="C4102">
        <v>1935</v>
      </c>
      <c r="D4102" t="s">
        <v>32</v>
      </c>
      <c r="E4102" t="s">
        <v>36</v>
      </c>
      <c r="F4102" t="s">
        <v>24</v>
      </c>
      <c r="G4102">
        <v>1</v>
      </c>
      <c r="H4102">
        <v>0</v>
      </c>
      <c r="I4102" t="s">
        <v>18</v>
      </c>
      <c r="J4102" t="s">
        <v>31</v>
      </c>
      <c r="K4102" t="s">
        <v>40</v>
      </c>
      <c r="L4102">
        <v>7</v>
      </c>
      <c r="M4102">
        <v>1</v>
      </c>
      <c r="N4102">
        <v>1</v>
      </c>
      <c r="O4102" t="s">
        <v>27</v>
      </c>
      <c r="P4102" t="str">
        <f>TEXT(Table1[[#This Row],[order_date]],"yyyy-mm")</f>
        <v>2025-07</v>
      </c>
      <c r="Q4102">
        <f>WEEKNUM(Table1[[#This Row],[order_date]])</f>
        <v>31</v>
      </c>
      <c r="R4102">
        <f>IF(Table1[[#This Row],[order_status]]="completed",1,0)</f>
        <v>0</v>
      </c>
    </row>
    <row r="4103" spans="1:18" x14ac:dyDescent="0.35">
      <c r="A4103">
        <v>4102</v>
      </c>
      <c r="B4103" s="1">
        <v>45990</v>
      </c>
      <c r="C4103">
        <v>1984</v>
      </c>
      <c r="D4103" t="s">
        <v>15</v>
      </c>
      <c r="E4103" t="s">
        <v>29</v>
      </c>
      <c r="F4103" t="s">
        <v>17</v>
      </c>
      <c r="G4103">
        <v>1</v>
      </c>
      <c r="H4103">
        <v>0</v>
      </c>
      <c r="I4103" t="s">
        <v>39</v>
      </c>
      <c r="J4103" t="s">
        <v>37</v>
      </c>
      <c r="K4103" t="s">
        <v>20</v>
      </c>
      <c r="L4103">
        <v>6</v>
      </c>
      <c r="M4103">
        <v>0</v>
      </c>
      <c r="N4103">
        <v>0</v>
      </c>
      <c r="O4103" t="s">
        <v>21</v>
      </c>
      <c r="P4103" t="str">
        <f>TEXT(Table1[[#This Row],[order_date]],"yyyy-mm")</f>
        <v>2025-11</v>
      </c>
      <c r="Q4103">
        <f>WEEKNUM(Table1[[#This Row],[order_date]])</f>
        <v>48</v>
      </c>
      <c r="R4103">
        <f>IF(Table1[[#This Row],[order_status]]="completed",1,0)</f>
        <v>0</v>
      </c>
    </row>
    <row r="4104" spans="1:18" x14ac:dyDescent="0.35">
      <c r="A4104">
        <v>4103</v>
      </c>
      <c r="B4104" s="1">
        <v>45899</v>
      </c>
      <c r="C4104">
        <v>1028</v>
      </c>
      <c r="D4104" t="s">
        <v>15</v>
      </c>
      <c r="E4104" t="s">
        <v>36</v>
      </c>
      <c r="F4104" t="s">
        <v>34</v>
      </c>
      <c r="G4104">
        <v>2</v>
      </c>
      <c r="H4104">
        <v>5060</v>
      </c>
      <c r="I4104" t="s">
        <v>18</v>
      </c>
      <c r="J4104" t="s">
        <v>19</v>
      </c>
      <c r="K4104" t="s">
        <v>40</v>
      </c>
      <c r="L4104">
        <v>3</v>
      </c>
      <c r="M4104">
        <v>0</v>
      </c>
      <c r="N4104">
        <v>0</v>
      </c>
      <c r="O4104" t="s">
        <v>27</v>
      </c>
      <c r="P4104" t="str">
        <f>TEXT(Table1[[#This Row],[order_date]],"yyyy-mm")</f>
        <v>2025-08</v>
      </c>
      <c r="Q4104">
        <f>WEEKNUM(Table1[[#This Row],[order_date]])</f>
        <v>35</v>
      </c>
      <c r="R4104">
        <f>IF(Table1[[#This Row],[order_status]]="completed",1,0)</f>
        <v>1</v>
      </c>
    </row>
    <row r="4105" spans="1:18" x14ac:dyDescent="0.35">
      <c r="A4105">
        <v>4104</v>
      </c>
      <c r="B4105" s="1">
        <v>45880</v>
      </c>
      <c r="C4105">
        <v>1923</v>
      </c>
      <c r="D4105" t="s">
        <v>28</v>
      </c>
      <c r="E4105" t="s">
        <v>16</v>
      </c>
      <c r="F4105" t="s">
        <v>34</v>
      </c>
      <c r="G4105">
        <v>4</v>
      </c>
      <c r="H4105">
        <v>0</v>
      </c>
      <c r="I4105" t="s">
        <v>18</v>
      </c>
      <c r="J4105" t="s">
        <v>37</v>
      </c>
      <c r="K4105" t="s">
        <v>26</v>
      </c>
      <c r="L4105">
        <v>1</v>
      </c>
      <c r="M4105">
        <v>0</v>
      </c>
      <c r="N4105">
        <v>0</v>
      </c>
      <c r="O4105" t="s">
        <v>21</v>
      </c>
      <c r="P4105" t="str">
        <f>TEXT(Table1[[#This Row],[order_date]],"yyyy-mm")</f>
        <v>2025-08</v>
      </c>
      <c r="Q4105">
        <f>WEEKNUM(Table1[[#This Row],[order_date]])</f>
        <v>33</v>
      </c>
      <c r="R4105">
        <f>IF(Table1[[#This Row],[order_status]]="completed",1,0)</f>
        <v>0</v>
      </c>
    </row>
    <row r="4106" spans="1:18" x14ac:dyDescent="0.35">
      <c r="A4106">
        <v>4105</v>
      </c>
      <c r="B4106" s="1">
        <v>45958</v>
      </c>
      <c r="C4106">
        <v>1515</v>
      </c>
      <c r="D4106" t="s">
        <v>28</v>
      </c>
      <c r="E4106" t="s">
        <v>23</v>
      </c>
      <c r="F4106" t="s">
        <v>17</v>
      </c>
      <c r="G4106">
        <v>3</v>
      </c>
      <c r="H4106">
        <v>14046</v>
      </c>
      <c r="I4106" t="s">
        <v>35</v>
      </c>
      <c r="J4106" t="s">
        <v>19</v>
      </c>
      <c r="K4106" t="s">
        <v>38</v>
      </c>
      <c r="L4106">
        <v>4</v>
      </c>
      <c r="M4106">
        <v>1</v>
      </c>
      <c r="N4106">
        <v>0</v>
      </c>
      <c r="O4106" t="s">
        <v>21</v>
      </c>
      <c r="P4106" t="str">
        <f>TEXT(Table1[[#This Row],[order_date]],"yyyy-mm")</f>
        <v>2025-10</v>
      </c>
      <c r="Q4106">
        <f>WEEKNUM(Table1[[#This Row],[order_date]])</f>
        <v>44</v>
      </c>
      <c r="R4106">
        <f>IF(Table1[[#This Row],[order_status]]="completed",1,0)</f>
        <v>1</v>
      </c>
    </row>
    <row r="4107" spans="1:18" x14ac:dyDescent="0.35">
      <c r="A4107">
        <v>4106</v>
      </c>
      <c r="B4107" s="1">
        <v>45945</v>
      </c>
      <c r="C4107">
        <v>1109</v>
      </c>
      <c r="D4107" t="s">
        <v>22</v>
      </c>
      <c r="E4107" t="s">
        <v>23</v>
      </c>
      <c r="F4107" t="s">
        <v>34</v>
      </c>
      <c r="G4107">
        <v>1</v>
      </c>
      <c r="H4107">
        <v>0</v>
      </c>
      <c r="I4107" t="s">
        <v>25</v>
      </c>
      <c r="J4107" t="s">
        <v>37</v>
      </c>
      <c r="K4107" t="s">
        <v>26</v>
      </c>
      <c r="L4107">
        <v>10</v>
      </c>
      <c r="M4107">
        <v>1</v>
      </c>
      <c r="N4107">
        <v>0</v>
      </c>
      <c r="O4107" t="s">
        <v>27</v>
      </c>
      <c r="P4107" t="str">
        <f>TEXT(Table1[[#This Row],[order_date]],"yyyy-mm")</f>
        <v>2025-10</v>
      </c>
      <c r="Q4107">
        <f>WEEKNUM(Table1[[#This Row],[order_date]])</f>
        <v>42</v>
      </c>
      <c r="R4107">
        <f>IF(Table1[[#This Row],[order_status]]="completed",1,0)</f>
        <v>0</v>
      </c>
    </row>
    <row r="4108" spans="1:18" x14ac:dyDescent="0.35">
      <c r="A4108">
        <v>4107</v>
      </c>
      <c r="B4108" s="1">
        <v>45931</v>
      </c>
      <c r="C4108">
        <v>1857</v>
      </c>
      <c r="D4108" t="s">
        <v>32</v>
      </c>
      <c r="E4108" t="s">
        <v>29</v>
      </c>
      <c r="F4108" t="s">
        <v>17</v>
      </c>
      <c r="G4108">
        <v>2</v>
      </c>
      <c r="H4108">
        <v>7180</v>
      </c>
      <c r="I4108" t="s">
        <v>35</v>
      </c>
      <c r="J4108" t="s">
        <v>19</v>
      </c>
      <c r="K4108" t="s">
        <v>38</v>
      </c>
      <c r="L4108">
        <v>3</v>
      </c>
      <c r="M4108">
        <v>0</v>
      </c>
      <c r="N4108">
        <v>0</v>
      </c>
      <c r="O4108" t="s">
        <v>21</v>
      </c>
      <c r="P4108" t="str">
        <f>TEXT(Table1[[#This Row],[order_date]],"yyyy-mm")</f>
        <v>2025-10</v>
      </c>
      <c r="Q4108">
        <f>WEEKNUM(Table1[[#This Row],[order_date]])</f>
        <v>40</v>
      </c>
      <c r="R4108">
        <f>IF(Table1[[#This Row],[order_status]]="completed",1,0)</f>
        <v>1</v>
      </c>
    </row>
    <row r="4109" spans="1:18" x14ac:dyDescent="0.35">
      <c r="A4109">
        <v>4108</v>
      </c>
      <c r="B4109" s="1">
        <v>45858</v>
      </c>
      <c r="C4109">
        <v>1375</v>
      </c>
      <c r="D4109" t="s">
        <v>41</v>
      </c>
      <c r="E4109" t="s">
        <v>36</v>
      </c>
      <c r="F4109" t="s">
        <v>24</v>
      </c>
      <c r="G4109">
        <v>5</v>
      </c>
      <c r="H4109">
        <v>0</v>
      </c>
      <c r="I4109" t="s">
        <v>18</v>
      </c>
      <c r="J4109" t="s">
        <v>37</v>
      </c>
      <c r="K4109" t="s">
        <v>38</v>
      </c>
      <c r="L4109">
        <v>9</v>
      </c>
      <c r="M4109">
        <v>0</v>
      </c>
      <c r="N4109">
        <v>0</v>
      </c>
      <c r="O4109" t="s">
        <v>27</v>
      </c>
      <c r="P4109" t="str">
        <f>TEXT(Table1[[#This Row],[order_date]],"yyyy-mm")</f>
        <v>2025-07</v>
      </c>
      <c r="Q4109">
        <f>WEEKNUM(Table1[[#This Row],[order_date]])</f>
        <v>30</v>
      </c>
      <c r="R4109">
        <f>IF(Table1[[#This Row],[order_status]]="completed",1,0)</f>
        <v>0</v>
      </c>
    </row>
    <row r="4110" spans="1:18" x14ac:dyDescent="0.35">
      <c r="A4110">
        <v>4109</v>
      </c>
      <c r="B4110" s="1">
        <v>45955</v>
      </c>
      <c r="C4110">
        <v>1478</v>
      </c>
      <c r="D4110" t="s">
        <v>22</v>
      </c>
      <c r="E4110" t="s">
        <v>29</v>
      </c>
      <c r="F4110" t="s">
        <v>24</v>
      </c>
      <c r="G4110">
        <v>4</v>
      </c>
      <c r="H4110">
        <v>0</v>
      </c>
      <c r="I4110" t="s">
        <v>18</v>
      </c>
      <c r="J4110" t="s">
        <v>31</v>
      </c>
      <c r="K4110" t="s">
        <v>40</v>
      </c>
      <c r="L4110">
        <v>9</v>
      </c>
      <c r="M4110">
        <v>1</v>
      </c>
      <c r="N4110">
        <v>0</v>
      </c>
      <c r="O4110" t="s">
        <v>21</v>
      </c>
      <c r="P4110" t="str">
        <f>TEXT(Table1[[#This Row],[order_date]],"yyyy-mm")</f>
        <v>2025-10</v>
      </c>
      <c r="Q4110">
        <f>WEEKNUM(Table1[[#This Row],[order_date]])</f>
        <v>43</v>
      </c>
      <c r="R4110">
        <f>IF(Table1[[#This Row],[order_status]]="completed",1,0)</f>
        <v>0</v>
      </c>
    </row>
    <row r="4111" spans="1:18" x14ac:dyDescent="0.35">
      <c r="A4111">
        <v>4110</v>
      </c>
      <c r="B4111" s="1">
        <v>45935</v>
      </c>
      <c r="C4111">
        <v>1380</v>
      </c>
      <c r="D4111" t="s">
        <v>41</v>
      </c>
      <c r="E4111" t="s">
        <v>29</v>
      </c>
      <c r="F4111" t="s">
        <v>30</v>
      </c>
      <c r="G4111">
        <v>1</v>
      </c>
      <c r="H4111">
        <v>636</v>
      </c>
      <c r="I4111" t="s">
        <v>25</v>
      </c>
      <c r="J4111" t="s">
        <v>19</v>
      </c>
      <c r="K4111" t="s">
        <v>26</v>
      </c>
      <c r="L4111">
        <v>4</v>
      </c>
      <c r="M4111">
        <v>0</v>
      </c>
      <c r="N4111">
        <v>1</v>
      </c>
      <c r="O4111" t="s">
        <v>27</v>
      </c>
      <c r="P4111" t="str">
        <f>TEXT(Table1[[#This Row],[order_date]],"yyyy-mm")</f>
        <v>2025-10</v>
      </c>
      <c r="Q4111">
        <f>WEEKNUM(Table1[[#This Row],[order_date]])</f>
        <v>41</v>
      </c>
      <c r="R4111">
        <f>IF(Table1[[#This Row],[order_status]]="completed",1,0)</f>
        <v>1</v>
      </c>
    </row>
    <row r="4112" spans="1:18" x14ac:dyDescent="0.35">
      <c r="A4112">
        <v>4111</v>
      </c>
      <c r="B4112" s="1">
        <v>45888</v>
      </c>
      <c r="C4112">
        <v>1270</v>
      </c>
      <c r="D4112" t="s">
        <v>15</v>
      </c>
      <c r="E4112" t="s">
        <v>36</v>
      </c>
      <c r="F4112" t="s">
        <v>17</v>
      </c>
      <c r="G4112">
        <v>4</v>
      </c>
      <c r="H4112">
        <v>18220</v>
      </c>
      <c r="I4112" t="s">
        <v>39</v>
      </c>
      <c r="J4112" t="s">
        <v>19</v>
      </c>
      <c r="K4112" t="s">
        <v>20</v>
      </c>
      <c r="L4112">
        <v>7</v>
      </c>
      <c r="M4112">
        <v>1</v>
      </c>
      <c r="N4112">
        <v>1</v>
      </c>
      <c r="O4112" t="s">
        <v>21</v>
      </c>
      <c r="P4112" t="str">
        <f>TEXT(Table1[[#This Row],[order_date]],"yyyy-mm")</f>
        <v>2025-08</v>
      </c>
      <c r="Q4112">
        <f>WEEKNUM(Table1[[#This Row],[order_date]])</f>
        <v>34</v>
      </c>
      <c r="R4112">
        <f>IF(Table1[[#This Row],[order_status]]="completed",1,0)</f>
        <v>1</v>
      </c>
    </row>
    <row r="4113" spans="1:18" x14ac:dyDescent="0.35">
      <c r="A4113">
        <v>4112</v>
      </c>
      <c r="B4113" s="1">
        <v>46002</v>
      </c>
      <c r="C4113">
        <v>1371</v>
      </c>
      <c r="D4113" t="s">
        <v>41</v>
      </c>
      <c r="E4113" t="s">
        <v>23</v>
      </c>
      <c r="F4113" t="s">
        <v>34</v>
      </c>
      <c r="G4113">
        <v>4</v>
      </c>
      <c r="H4113">
        <v>2644</v>
      </c>
      <c r="I4113" t="s">
        <v>25</v>
      </c>
      <c r="J4113" t="s">
        <v>19</v>
      </c>
      <c r="K4113" t="s">
        <v>26</v>
      </c>
      <c r="L4113">
        <v>9</v>
      </c>
      <c r="M4113">
        <v>1</v>
      </c>
      <c r="N4113">
        <v>1</v>
      </c>
      <c r="O4113" t="s">
        <v>27</v>
      </c>
      <c r="P4113" t="str">
        <f>TEXT(Table1[[#This Row],[order_date]],"yyyy-mm")</f>
        <v>2025-12</v>
      </c>
      <c r="Q4113">
        <f>WEEKNUM(Table1[[#This Row],[order_date]])</f>
        <v>50</v>
      </c>
      <c r="R4113">
        <f>IF(Table1[[#This Row],[order_status]]="completed",1,0)</f>
        <v>1</v>
      </c>
    </row>
    <row r="4114" spans="1:18" x14ac:dyDescent="0.35">
      <c r="A4114">
        <v>4113</v>
      </c>
      <c r="B4114" s="1">
        <v>45978</v>
      </c>
      <c r="C4114">
        <v>1438</v>
      </c>
      <c r="D4114" t="s">
        <v>15</v>
      </c>
      <c r="E4114" t="s">
        <v>36</v>
      </c>
      <c r="F4114" t="s">
        <v>34</v>
      </c>
      <c r="G4114">
        <v>2</v>
      </c>
      <c r="H4114">
        <v>9512</v>
      </c>
      <c r="I4114" t="s">
        <v>25</v>
      </c>
      <c r="J4114" t="s">
        <v>19</v>
      </c>
      <c r="K4114" t="s">
        <v>40</v>
      </c>
      <c r="L4114">
        <v>6</v>
      </c>
      <c r="M4114">
        <v>0</v>
      </c>
      <c r="N4114">
        <v>0</v>
      </c>
      <c r="O4114" t="s">
        <v>27</v>
      </c>
      <c r="P4114" t="str">
        <f>TEXT(Table1[[#This Row],[order_date]],"yyyy-mm")</f>
        <v>2025-11</v>
      </c>
      <c r="Q4114">
        <f>WEEKNUM(Table1[[#This Row],[order_date]])</f>
        <v>47</v>
      </c>
      <c r="R4114">
        <f>IF(Table1[[#This Row],[order_status]]="completed",1,0)</f>
        <v>1</v>
      </c>
    </row>
    <row r="4115" spans="1:18" x14ac:dyDescent="0.35">
      <c r="A4115">
        <v>4114</v>
      </c>
      <c r="B4115" s="1">
        <v>45978</v>
      </c>
      <c r="C4115">
        <v>1013</v>
      </c>
      <c r="D4115" t="s">
        <v>32</v>
      </c>
      <c r="E4115" t="s">
        <v>36</v>
      </c>
      <c r="F4115" t="s">
        <v>30</v>
      </c>
      <c r="G4115">
        <v>4</v>
      </c>
      <c r="H4115">
        <v>14328</v>
      </c>
      <c r="I4115" t="s">
        <v>39</v>
      </c>
      <c r="J4115" t="s">
        <v>19</v>
      </c>
      <c r="K4115" t="s">
        <v>20</v>
      </c>
      <c r="L4115">
        <v>7</v>
      </c>
      <c r="M4115">
        <v>1</v>
      </c>
      <c r="N4115">
        <v>0</v>
      </c>
      <c r="O4115" t="s">
        <v>27</v>
      </c>
      <c r="P4115" t="str">
        <f>TEXT(Table1[[#This Row],[order_date]],"yyyy-mm")</f>
        <v>2025-11</v>
      </c>
      <c r="Q4115">
        <f>WEEKNUM(Table1[[#This Row],[order_date]])</f>
        <v>47</v>
      </c>
      <c r="R4115">
        <f>IF(Table1[[#This Row],[order_status]]="completed",1,0)</f>
        <v>1</v>
      </c>
    </row>
    <row r="4116" spans="1:18" x14ac:dyDescent="0.35">
      <c r="A4116">
        <v>4115</v>
      </c>
      <c r="B4116" s="1">
        <v>45915</v>
      </c>
      <c r="C4116">
        <v>1738</v>
      </c>
      <c r="D4116" t="s">
        <v>32</v>
      </c>
      <c r="E4116" t="s">
        <v>23</v>
      </c>
      <c r="F4116" t="s">
        <v>24</v>
      </c>
      <c r="G4116">
        <v>2</v>
      </c>
      <c r="H4116">
        <v>0</v>
      </c>
      <c r="I4116" t="s">
        <v>39</v>
      </c>
      <c r="J4116" t="s">
        <v>37</v>
      </c>
      <c r="K4116" t="s">
        <v>20</v>
      </c>
      <c r="L4116">
        <v>1</v>
      </c>
      <c r="M4116">
        <v>0</v>
      </c>
      <c r="N4116">
        <v>1</v>
      </c>
      <c r="O4116" t="s">
        <v>27</v>
      </c>
      <c r="P4116" t="str">
        <f>TEXT(Table1[[#This Row],[order_date]],"yyyy-mm")</f>
        <v>2025-09</v>
      </c>
      <c r="Q4116">
        <f>WEEKNUM(Table1[[#This Row],[order_date]])</f>
        <v>38</v>
      </c>
      <c r="R4116">
        <f>IF(Table1[[#This Row],[order_status]]="completed",1,0)</f>
        <v>0</v>
      </c>
    </row>
    <row r="4117" spans="1:18" x14ac:dyDescent="0.35">
      <c r="A4117">
        <v>4116</v>
      </c>
      <c r="B4117" s="1">
        <v>45975</v>
      </c>
      <c r="C4117">
        <v>1676</v>
      </c>
      <c r="D4117" t="s">
        <v>15</v>
      </c>
      <c r="E4117" t="s">
        <v>23</v>
      </c>
      <c r="F4117" t="s">
        <v>24</v>
      </c>
      <c r="G4117">
        <v>4</v>
      </c>
      <c r="H4117">
        <v>0</v>
      </c>
      <c r="I4117" t="s">
        <v>39</v>
      </c>
      <c r="J4117" t="s">
        <v>37</v>
      </c>
      <c r="K4117" t="s">
        <v>40</v>
      </c>
      <c r="L4117">
        <v>3</v>
      </c>
      <c r="M4117">
        <v>0</v>
      </c>
      <c r="N4117">
        <v>0</v>
      </c>
      <c r="O4117" t="s">
        <v>27</v>
      </c>
      <c r="P4117" t="str">
        <f>TEXT(Table1[[#This Row],[order_date]],"yyyy-mm")</f>
        <v>2025-11</v>
      </c>
      <c r="Q4117">
        <f>WEEKNUM(Table1[[#This Row],[order_date]])</f>
        <v>46</v>
      </c>
      <c r="R4117">
        <f>IF(Table1[[#This Row],[order_status]]="completed",1,0)</f>
        <v>0</v>
      </c>
    </row>
    <row r="4118" spans="1:18" x14ac:dyDescent="0.35">
      <c r="A4118">
        <v>4117</v>
      </c>
      <c r="B4118" s="1">
        <v>45966</v>
      </c>
      <c r="C4118">
        <v>1229</v>
      </c>
      <c r="D4118" t="s">
        <v>15</v>
      </c>
      <c r="E4118" t="s">
        <v>33</v>
      </c>
      <c r="F4118" t="s">
        <v>30</v>
      </c>
      <c r="G4118">
        <v>1</v>
      </c>
      <c r="H4118">
        <v>266</v>
      </c>
      <c r="I4118" t="s">
        <v>35</v>
      </c>
      <c r="J4118" t="s">
        <v>19</v>
      </c>
      <c r="K4118" t="s">
        <v>20</v>
      </c>
      <c r="L4118">
        <v>8</v>
      </c>
      <c r="M4118">
        <v>1</v>
      </c>
      <c r="N4118">
        <v>1</v>
      </c>
      <c r="O4118" t="s">
        <v>27</v>
      </c>
      <c r="P4118" t="str">
        <f>TEXT(Table1[[#This Row],[order_date]],"yyyy-mm")</f>
        <v>2025-11</v>
      </c>
      <c r="Q4118">
        <f>WEEKNUM(Table1[[#This Row],[order_date]])</f>
        <v>45</v>
      </c>
      <c r="R4118">
        <f>IF(Table1[[#This Row],[order_status]]="completed",1,0)</f>
        <v>1</v>
      </c>
    </row>
    <row r="4119" spans="1:18" x14ac:dyDescent="0.35">
      <c r="A4119">
        <v>4118</v>
      </c>
      <c r="B4119" s="1">
        <v>45892</v>
      </c>
      <c r="C4119">
        <v>1511</v>
      </c>
      <c r="D4119" t="s">
        <v>15</v>
      </c>
      <c r="E4119" t="s">
        <v>23</v>
      </c>
      <c r="F4119" t="s">
        <v>17</v>
      </c>
      <c r="G4119">
        <v>5</v>
      </c>
      <c r="H4119">
        <v>0</v>
      </c>
      <c r="I4119" t="s">
        <v>25</v>
      </c>
      <c r="J4119" t="s">
        <v>31</v>
      </c>
      <c r="K4119" t="s">
        <v>20</v>
      </c>
      <c r="L4119">
        <v>4</v>
      </c>
      <c r="M4119">
        <v>1</v>
      </c>
      <c r="N4119">
        <v>1</v>
      </c>
      <c r="O4119" t="s">
        <v>27</v>
      </c>
      <c r="P4119" t="str">
        <f>TEXT(Table1[[#This Row],[order_date]],"yyyy-mm")</f>
        <v>2025-08</v>
      </c>
      <c r="Q4119">
        <f>WEEKNUM(Table1[[#This Row],[order_date]])</f>
        <v>34</v>
      </c>
      <c r="R4119">
        <f>IF(Table1[[#This Row],[order_status]]="completed",1,0)</f>
        <v>0</v>
      </c>
    </row>
    <row r="4120" spans="1:18" x14ac:dyDescent="0.35">
      <c r="A4120">
        <v>4119</v>
      </c>
      <c r="B4120" s="1">
        <v>45896</v>
      </c>
      <c r="C4120">
        <v>1234</v>
      </c>
      <c r="D4120" t="s">
        <v>28</v>
      </c>
      <c r="E4120" t="s">
        <v>23</v>
      </c>
      <c r="F4120" t="s">
        <v>34</v>
      </c>
      <c r="G4120">
        <v>4</v>
      </c>
      <c r="H4120">
        <v>0</v>
      </c>
      <c r="I4120" t="s">
        <v>25</v>
      </c>
      <c r="J4120" t="s">
        <v>31</v>
      </c>
      <c r="K4120" t="s">
        <v>20</v>
      </c>
      <c r="L4120">
        <v>4</v>
      </c>
      <c r="M4120">
        <v>0</v>
      </c>
      <c r="N4120">
        <v>1</v>
      </c>
      <c r="O4120" t="s">
        <v>21</v>
      </c>
      <c r="P4120" t="str">
        <f>TEXT(Table1[[#This Row],[order_date]],"yyyy-mm")</f>
        <v>2025-08</v>
      </c>
      <c r="Q4120">
        <f>WEEKNUM(Table1[[#This Row],[order_date]])</f>
        <v>35</v>
      </c>
      <c r="R4120">
        <f>IF(Table1[[#This Row],[order_status]]="completed",1,0)</f>
        <v>0</v>
      </c>
    </row>
    <row r="4121" spans="1:18" x14ac:dyDescent="0.35">
      <c r="A4121">
        <v>4120</v>
      </c>
      <c r="B4121" s="1">
        <v>45876</v>
      </c>
      <c r="C4121">
        <v>1272</v>
      </c>
      <c r="D4121" t="s">
        <v>15</v>
      </c>
      <c r="E4121" t="s">
        <v>16</v>
      </c>
      <c r="F4121" t="s">
        <v>34</v>
      </c>
      <c r="G4121">
        <v>2</v>
      </c>
      <c r="H4121">
        <v>7958</v>
      </c>
      <c r="I4121" t="s">
        <v>39</v>
      </c>
      <c r="J4121" t="s">
        <v>19</v>
      </c>
      <c r="K4121" t="s">
        <v>26</v>
      </c>
      <c r="L4121">
        <v>7</v>
      </c>
      <c r="M4121">
        <v>0</v>
      </c>
      <c r="N4121">
        <v>0</v>
      </c>
      <c r="O4121" t="s">
        <v>27</v>
      </c>
      <c r="P4121" t="str">
        <f>TEXT(Table1[[#This Row],[order_date]],"yyyy-mm")</f>
        <v>2025-08</v>
      </c>
      <c r="Q4121">
        <f>WEEKNUM(Table1[[#This Row],[order_date]])</f>
        <v>32</v>
      </c>
      <c r="R4121">
        <f>IF(Table1[[#This Row],[order_status]]="completed",1,0)</f>
        <v>1</v>
      </c>
    </row>
    <row r="4122" spans="1:18" x14ac:dyDescent="0.35">
      <c r="A4122">
        <v>4121</v>
      </c>
      <c r="B4122" s="1">
        <v>45927</v>
      </c>
      <c r="C4122">
        <v>1189</v>
      </c>
      <c r="D4122" t="s">
        <v>15</v>
      </c>
      <c r="E4122" t="s">
        <v>33</v>
      </c>
      <c r="F4122" t="s">
        <v>24</v>
      </c>
      <c r="G4122">
        <v>4</v>
      </c>
      <c r="H4122">
        <v>0</v>
      </c>
      <c r="I4122" t="s">
        <v>35</v>
      </c>
      <c r="J4122" t="s">
        <v>37</v>
      </c>
      <c r="K4122" t="s">
        <v>40</v>
      </c>
      <c r="L4122">
        <v>5</v>
      </c>
      <c r="M4122">
        <v>0</v>
      </c>
      <c r="N4122">
        <v>0</v>
      </c>
      <c r="O4122" t="s">
        <v>27</v>
      </c>
      <c r="P4122" t="str">
        <f>TEXT(Table1[[#This Row],[order_date]],"yyyy-mm")</f>
        <v>2025-09</v>
      </c>
      <c r="Q4122">
        <f>WEEKNUM(Table1[[#This Row],[order_date]])</f>
        <v>39</v>
      </c>
      <c r="R4122">
        <f>IF(Table1[[#This Row],[order_status]]="completed",1,0)</f>
        <v>0</v>
      </c>
    </row>
    <row r="4123" spans="1:18" x14ac:dyDescent="0.35">
      <c r="A4123">
        <v>4122</v>
      </c>
      <c r="B4123" s="1">
        <v>45992</v>
      </c>
      <c r="C4123">
        <v>1774</v>
      </c>
      <c r="D4123" t="s">
        <v>28</v>
      </c>
      <c r="E4123" t="s">
        <v>23</v>
      </c>
      <c r="F4123" t="s">
        <v>24</v>
      </c>
      <c r="G4123">
        <v>2</v>
      </c>
      <c r="H4123">
        <v>1444</v>
      </c>
      <c r="I4123" t="s">
        <v>25</v>
      </c>
      <c r="J4123" t="s">
        <v>19</v>
      </c>
      <c r="K4123" t="s">
        <v>26</v>
      </c>
      <c r="L4123">
        <v>1</v>
      </c>
      <c r="M4123">
        <v>0</v>
      </c>
      <c r="N4123">
        <v>1</v>
      </c>
      <c r="O4123" t="s">
        <v>21</v>
      </c>
      <c r="P4123" t="str">
        <f>TEXT(Table1[[#This Row],[order_date]],"yyyy-mm")</f>
        <v>2025-12</v>
      </c>
      <c r="Q4123">
        <f>WEEKNUM(Table1[[#This Row],[order_date]])</f>
        <v>49</v>
      </c>
      <c r="R4123">
        <f>IF(Table1[[#This Row],[order_status]]="completed",1,0)</f>
        <v>1</v>
      </c>
    </row>
    <row r="4124" spans="1:18" x14ac:dyDescent="0.35">
      <c r="A4124">
        <v>4123</v>
      </c>
      <c r="B4124" s="1">
        <v>45968</v>
      </c>
      <c r="C4124">
        <v>1409</v>
      </c>
      <c r="D4124" t="s">
        <v>15</v>
      </c>
      <c r="E4124" t="s">
        <v>36</v>
      </c>
      <c r="F4124" t="s">
        <v>24</v>
      </c>
      <c r="G4124">
        <v>2</v>
      </c>
      <c r="H4124">
        <v>9096</v>
      </c>
      <c r="I4124" t="s">
        <v>35</v>
      </c>
      <c r="J4124" t="s">
        <v>19</v>
      </c>
      <c r="K4124" t="s">
        <v>26</v>
      </c>
      <c r="L4124">
        <v>8</v>
      </c>
      <c r="M4124">
        <v>1</v>
      </c>
      <c r="N4124">
        <v>0</v>
      </c>
      <c r="O4124" t="s">
        <v>21</v>
      </c>
      <c r="P4124" t="str">
        <f>TEXT(Table1[[#This Row],[order_date]],"yyyy-mm")</f>
        <v>2025-11</v>
      </c>
      <c r="Q4124">
        <f>WEEKNUM(Table1[[#This Row],[order_date]])</f>
        <v>45</v>
      </c>
      <c r="R4124">
        <f>IF(Table1[[#This Row],[order_status]]="completed",1,0)</f>
        <v>1</v>
      </c>
    </row>
    <row r="4125" spans="1:18" x14ac:dyDescent="0.35">
      <c r="A4125">
        <v>4124</v>
      </c>
      <c r="B4125" s="1">
        <v>45980</v>
      </c>
      <c r="C4125">
        <v>1260</v>
      </c>
      <c r="D4125" t="s">
        <v>28</v>
      </c>
      <c r="E4125" t="s">
        <v>16</v>
      </c>
      <c r="F4125" t="s">
        <v>24</v>
      </c>
      <c r="G4125">
        <v>5</v>
      </c>
      <c r="H4125">
        <v>0</v>
      </c>
      <c r="I4125" t="s">
        <v>18</v>
      </c>
      <c r="J4125" t="s">
        <v>31</v>
      </c>
      <c r="K4125" t="s">
        <v>38</v>
      </c>
      <c r="L4125">
        <v>10</v>
      </c>
      <c r="M4125">
        <v>1</v>
      </c>
      <c r="N4125">
        <v>1</v>
      </c>
      <c r="O4125" t="s">
        <v>27</v>
      </c>
      <c r="P4125" t="str">
        <f>TEXT(Table1[[#This Row],[order_date]],"yyyy-mm")</f>
        <v>2025-11</v>
      </c>
      <c r="Q4125">
        <f>WEEKNUM(Table1[[#This Row],[order_date]])</f>
        <v>47</v>
      </c>
      <c r="R4125">
        <f>IF(Table1[[#This Row],[order_status]]="completed",1,0)</f>
        <v>0</v>
      </c>
    </row>
    <row r="4126" spans="1:18" x14ac:dyDescent="0.35">
      <c r="A4126">
        <v>4125</v>
      </c>
      <c r="B4126" s="1">
        <v>46028</v>
      </c>
      <c r="C4126">
        <v>1351</v>
      </c>
      <c r="D4126" t="s">
        <v>32</v>
      </c>
      <c r="E4126" t="s">
        <v>16</v>
      </c>
      <c r="F4126" t="s">
        <v>24</v>
      </c>
      <c r="G4126">
        <v>5</v>
      </c>
      <c r="H4126">
        <v>4090</v>
      </c>
      <c r="I4126" t="s">
        <v>25</v>
      </c>
      <c r="J4126" t="s">
        <v>19</v>
      </c>
      <c r="K4126" t="s">
        <v>20</v>
      </c>
      <c r="L4126">
        <v>8</v>
      </c>
      <c r="M4126">
        <v>0</v>
      </c>
      <c r="N4126">
        <v>1</v>
      </c>
      <c r="O4126" t="s">
        <v>21</v>
      </c>
      <c r="P4126" t="str">
        <f>TEXT(Table1[[#This Row],[order_date]],"yyyy-mm")</f>
        <v>2026-01</v>
      </c>
      <c r="Q4126">
        <f>WEEKNUM(Table1[[#This Row],[order_date]])</f>
        <v>2</v>
      </c>
      <c r="R4126">
        <f>IF(Table1[[#This Row],[order_status]]="completed",1,0)</f>
        <v>1</v>
      </c>
    </row>
    <row r="4127" spans="1:18" x14ac:dyDescent="0.35">
      <c r="A4127">
        <v>4126</v>
      </c>
      <c r="B4127" s="1">
        <v>45900</v>
      </c>
      <c r="C4127">
        <v>1020</v>
      </c>
      <c r="D4127" t="s">
        <v>22</v>
      </c>
      <c r="E4127" t="s">
        <v>33</v>
      </c>
      <c r="F4127" t="s">
        <v>17</v>
      </c>
      <c r="G4127">
        <v>1</v>
      </c>
      <c r="H4127">
        <v>0</v>
      </c>
      <c r="I4127" t="s">
        <v>18</v>
      </c>
      <c r="J4127" t="s">
        <v>37</v>
      </c>
      <c r="K4127" t="s">
        <v>40</v>
      </c>
      <c r="L4127">
        <v>6</v>
      </c>
      <c r="M4127">
        <v>1</v>
      </c>
      <c r="N4127">
        <v>1</v>
      </c>
      <c r="O4127" t="s">
        <v>27</v>
      </c>
      <c r="P4127" t="str">
        <f>TEXT(Table1[[#This Row],[order_date]],"yyyy-mm")</f>
        <v>2025-08</v>
      </c>
      <c r="Q4127">
        <f>WEEKNUM(Table1[[#This Row],[order_date]])</f>
        <v>36</v>
      </c>
      <c r="R4127">
        <f>IF(Table1[[#This Row],[order_status]]="completed",1,0)</f>
        <v>0</v>
      </c>
    </row>
    <row r="4128" spans="1:18" x14ac:dyDescent="0.35">
      <c r="A4128">
        <v>4127</v>
      </c>
      <c r="B4128" s="1">
        <v>45972</v>
      </c>
      <c r="C4128">
        <v>1329</v>
      </c>
      <c r="D4128" t="s">
        <v>32</v>
      </c>
      <c r="E4128" t="s">
        <v>23</v>
      </c>
      <c r="F4128" t="s">
        <v>17</v>
      </c>
      <c r="G4128">
        <v>3</v>
      </c>
      <c r="H4128">
        <v>6519</v>
      </c>
      <c r="I4128" t="s">
        <v>39</v>
      </c>
      <c r="J4128" t="s">
        <v>19</v>
      </c>
      <c r="K4128" t="s">
        <v>26</v>
      </c>
      <c r="L4128">
        <v>10</v>
      </c>
      <c r="M4128">
        <v>1</v>
      </c>
      <c r="N4128">
        <v>0</v>
      </c>
      <c r="O4128" t="s">
        <v>21</v>
      </c>
      <c r="P4128" t="str">
        <f>TEXT(Table1[[#This Row],[order_date]],"yyyy-mm")</f>
        <v>2025-11</v>
      </c>
      <c r="Q4128">
        <f>WEEKNUM(Table1[[#This Row],[order_date]])</f>
        <v>46</v>
      </c>
      <c r="R4128">
        <f>IF(Table1[[#This Row],[order_status]]="completed",1,0)</f>
        <v>1</v>
      </c>
    </row>
    <row r="4129" spans="1:18" x14ac:dyDescent="0.35">
      <c r="A4129">
        <v>4128</v>
      </c>
      <c r="B4129" s="1">
        <v>45911</v>
      </c>
      <c r="C4129">
        <v>1712</v>
      </c>
      <c r="D4129" t="s">
        <v>15</v>
      </c>
      <c r="E4129" t="s">
        <v>29</v>
      </c>
      <c r="F4129" t="s">
        <v>24</v>
      </c>
      <c r="G4129">
        <v>3</v>
      </c>
      <c r="H4129">
        <v>0</v>
      </c>
      <c r="I4129" t="s">
        <v>39</v>
      </c>
      <c r="J4129" t="s">
        <v>37</v>
      </c>
      <c r="K4129" t="s">
        <v>26</v>
      </c>
      <c r="L4129">
        <v>10</v>
      </c>
      <c r="M4129">
        <v>0</v>
      </c>
      <c r="N4129">
        <v>1</v>
      </c>
      <c r="O4129" t="s">
        <v>27</v>
      </c>
      <c r="P4129" t="str">
        <f>TEXT(Table1[[#This Row],[order_date]],"yyyy-mm")</f>
        <v>2025-09</v>
      </c>
      <c r="Q4129">
        <f>WEEKNUM(Table1[[#This Row],[order_date]])</f>
        <v>37</v>
      </c>
      <c r="R4129">
        <f>IF(Table1[[#This Row],[order_status]]="completed",1,0)</f>
        <v>0</v>
      </c>
    </row>
    <row r="4130" spans="1:18" x14ac:dyDescent="0.35">
      <c r="A4130">
        <v>4129</v>
      </c>
      <c r="B4130" s="1">
        <v>45989</v>
      </c>
      <c r="C4130">
        <v>1141</v>
      </c>
      <c r="D4130" t="s">
        <v>22</v>
      </c>
      <c r="E4130" t="s">
        <v>29</v>
      </c>
      <c r="F4130" t="s">
        <v>24</v>
      </c>
      <c r="G4130">
        <v>4</v>
      </c>
      <c r="H4130">
        <v>0</v>
      </c>
      <c r="I4130" t="s">
        <v>39</v>
      </c>
      <c r="J4130" t="s">
        <v>31</v>
      </c>
      <c r="K4130" t="s">
        <v>26</v>
      </c>
      <c r="L4130">
        <v>5</v>
      </c>
      <c r="M4130">
        <v>1</v>
      </c>
      <c r="N4130">
        <v>1</v>
      </c>
      <c r="O4130" t="s">
        <v>21</v>
      </c>
      <c r="P4130" t="str">
        <f>TEXT(Table1[[#This Row],[order_date]],"yyyy-mm")</f>
        <v>2025-11</v>
      </c>
      <c r="Q4130">
        <f>WEEKNUM(Table1[[#This Row],[order_date]])</f>
        <v>48</v>
      </c>
      <c r="R4130">
        <f>IF(Table1[[#This Row],[order_status]]="completed",1,0)</f>
        <v>0</v>
      </c>
    </row>
    <row r="4131" spans="1:18" x14ac:dyDescent="0.35">
      <c r="A4131">
        <v>4130</v>
      </c>
      <c r="B4131" s="1">
        <v>45982</v>
      </c>
      <c r="C4131">
        <v>1945</v>
      </c>
      <c r="D4131" t="s">
        <v>41</v>
      </c>
      <c r="E4131" t="s">
        <v>16</v>
      </c>
      <c r="F4131" t="s">
        <v>34</v>
      </c>
      <c r="G4131">
        <v>2</v>
      </c>
      <c r="H4131">
        <v>0</v>
      </c>
      <c r="I4131" t="s">
        <v>25</v>
      </c>
      <c r="J4131" t="s">
        <v>31</v>
      </c>
      <c r="K4131" t="s">
        <v>20</v>
      </c>
      <c r="L4131">
        <v>3</v>
      </c>
      <c r="M4131">
        <v>1</v>
      </c>
      <c r="N4131">
        <v>0</v>
      </c>
      <c r="O4131" t="s">
        <v>27</v>
      </c>
      <c r="P4131" t="str">
        <f>TEXT(Table1[[#This Row],[order_date]],"yyyy-mm")</f>
        <v>2025-11</v>
      </c>
      <c r="Q4131">
        <f>WEEKNUM(Table1[[#This Row],[order_date]])</f>
        <v>47</v>
      </c>
      <c r="R4131">
        <f>IF(Table1[[#This Row],[order_status]]="completed",1,0)</f>
        <v>0</v>
      </c>
    </row>
    <row r="4132" spans="1:18" x14ac:dyDescent="0.35">
      <c r="A4132">
        <v>4131</v>
      </c>
      <c r="B4132" s="1">
        <v>45903</v>
      </c>
      <c r="C4132">
        <v>1504</v>
      </c>
      <c r="D4132" t="s">
        <v>28</v>
      </c>
      <c r="E4132" t="s">
        <v>29</v>
      </c>
      <c r="F4132" t="s">
        <v>17</v>
      </c>
      <c r="G4132">
        <v>2</v>
      </c>
      <c r="H4132">
        <v>0</v>
      </c>
      <c r="I4132" t="s">
        <v>35</v>
      </c>
      <c r="J4132" t="s">
        <v>37</v>
      </c>
      <c r="K4132" t="s">
        <v>40</v>
      </c>
      <c r="L4132">
        <v>6</v>
      </c>
      <c r="M4132">
        <v>1</v>
      </c>
      <c r="N4132">
        <v>0</v>
      </c>
      <c r="O4132" t="s">
        <v>21</v>
      </c>
      <c r="P4132" t="str">
        <f>TEXT(Table1[[#This Row],[order_date]],"yyyy-mm")</f>
        <v>2025-09</v>
      </c>
      <c r="Q4132">
        <f>WEEKNUM(Table1[[#This Row],[order_date]])</f>
        <v>36</v>
      </c>
      <c r="R4132">
        <f>IF(Table1[[#This Row],[order_status]]="completed",1,0)</f>
        <v>0</v>
      </c>
    </row>
    <row r="4133" spans="1:18" x14ac:dyDescent="0.35">
      <c r="A4133">
        <v>4132</v>
      </c>
      <c r="B4133" s="1">
        <v>45934</v>
      </c>
      <c r="C4133">
        <v>1831</v>
      </c>
      <c r="D4133" t="s">
        <v>41</v>
      </c>
      <c r="E4133" t="s">
        <v>23</v>
      </c>
      <c r="F4133" t="s">
        <v>17</v>
      </c>
      <c r="G4133">
        <v>1</v>
      </c>
      <c r="H4133">
        <v>1928</v>
      </c>
      <c r="I4133" t="s">
        <v>18</v>
      </c>
      <c r="J4133" t="s">
        <v>19</v>
      </c>
      <c r="K4133" t="s">
        <v>20</v>
      </c>
      <c r="L4133">
        <v>4</v>
      </c>
      <c r="M4133">
        <v>0</v>
      </c>
      <c r="N4133">
        <v>1</v>
      </c>
      <c r="O4133" t="s">
        <v>27</v>
      </c>
      <c r="P4133" t="str">
        <f>TEXT(Table1[[#This Row],[order_date]],"yyyy-mm")</f>
        <v>2025-10</v>
      </c>
      <c r="Q4133">
        <f>WEEKNUM(Table1[[#This Row],[order_date]])</f>
        <v>40</v>
      </c>
      <c r="R4133">
        <f>IF(Table1[[#This Row],[order_status]]="completed",1,0)</f>
        <v>1</v>
      </c>
    </row>
    <row r="4134" spans="1:18" x14ac:dyDescent="0.35">
      <c r="A4134">
        <v>4133</v>
      </c>
      <c r="B4134" s="1">
        <v>45942</v>
      </c>
      <c r="C4134">
        <v>1367</v>
      </c>
      <c r="D4134" t="s">
        <v>28</v>
      </c>
      <c r="E4134" t="s">
        <v>16</v>
      </c>
      <c r="F4134" t="s">
        <v>24</v>
      </c>
      <c r="G4134">
        <v>1</v>
      </c>
      <c r="H4134">
        <v>0</v>
      </c>
      <c r="I4134" t="s">
        <v>18</v>
      </c>
      <c r="J4134" t="s">
        <v>31</v>
      </c>
      <c r="K4134" t="s">
        <v>38</v>
      </c>
      <c r="L4134">
        <v>5</v>
      </c>
      <c r="M4134">
        <v>0</v>
      </c>
      <c r="N4134">
        <v>0</v>
      </c>
      <c r="O4134" t="s">
        <v>21</v>
      </c>
      <c r="P4134" t="str">
        <f>TEXT(Table1[[#This Row],[order_date]],"yyyy-mm")</f>
        <v>2025-10</v>
      </c>
      <c r="Q4134">
        <f>WEEKNUM(Table1[[#This Row],[order_date]])</f>
        <v>42</v>
      </c>
      <c r="R4134">
        <f>IF(Table1[[#This Row],[order_status]]="completed",1,0)</f>
        <v>0</v>
      </c>
    </row>
    <row r="4135" spans="1:18" x14ac:dyDescent="0.35">
      <c r="A4135">
        <v>4134</v>
      </c>
      <c r="B4135" s="1">
        <v>45900</v>
      </c>
      <c r="C4135">
        <v>1187</v>
      </c>
      <c r="D4135" t="s">
        <v>22</v>
      </c>
      <c r="E4135" t="s">
        <v>29</v>
      </c>
      <c r="F4135" t="s">
        <v>30</v>
      </c>
      <c r="G4135">
        <v>3</v>
      </c>
      <c r="H4135">
        <v>0</v>
      </c>
      <c r="I4135" t="s">
        <v>18</v>
      </c>
      <c r="J4135" t="s">
        <v>37</v>
      </c>
      <c r="K4135" t="s">
        <v>38</v>
      </c>
      <c r="L4135">
        <v>5</v>
      </c>
      <c r="M4135">
        <v>1</v>
      </c>
      <c r="N4135">
        <v>1</v>
      </c>
      <c r="O4135" t="s">
        <v>27</v>
      </c>
      <c r="P4135" t="str">
        <f>TEXT(Table1[[#This Row],[order_date]],"yyyy-mm")</f>
        <v>2025-08</v>
      </c>
      <c r="Q4135">
        <f>WEEKNUM(Table1[[#This Row],[order_date]])</f>
        <v>36</v>
      </c>
      <c r="R4135">
        <f>IF(Table1[[#This Row],[order_status]]="completed",1,0)</f>
        <v>0</v>
      </c>
    </row>
    <row r="4136" spans="1:18" x14ac:dyDescent="0.35">
      <c r="A4136">
        <v>4135</v>
      </c>
      <c r="B4136" s="1">
        <v>45981</v>
      </c>
      <c r="C4136">
        <v>1395</v>
      </c>
      <c r="D4136" t="s">
        <v>32</v>
      </c>
      <c r="E4136" t="s">
        <v>16</v>
      </c>
      <c r="F4136" t="s">
        <v>34</v>
      </c>
      <c r="G4136">
        <v>1</v>
      </c>
      <c r="H4136">
        <v>0</v>
      </c>
      <c r="I4136" t="s">
        <v>18</v>
      </c>
      <c r="J4136" t="s">
        <v>31</v>
      </c>
      <c r="K4136" t="s">
        <v>20</v>
      </c>
      <c r="L4136">
        <v>8</v>
      </c>
      <c r="M4136">
        <v>1</v>
      </c>
      <c r="N4136">
        <v>1</v>
      </c>
      <c r="O4136" t="s">
        <v>21</v>
      </c>
      <c r="P4136" t="str">
        <f>TEXT(Table1[[#This Row],[order_date]],"yyyy-mm")</f>
        <v>2025-11</v>
      </c>
      <c r="Q4136">
        <f>WEEKNUM(Table1[[#This Row],[order_date]])</f>
        <v>47</v>
      </c>
      <c r="R4136">
        <f>IF(Table1[[#This Row],[order_status]]="completed",1,0)</f>
        <v>0</v>
      </c>
    </row>
    <row r="4137" spans="1:18" x14ac:dyDescent="0.35">
      <c r="A4137">
        <v>4136</v>
      </c>
      <c r="B4137" s="1">
        <v>45924</v>
      </c>
      <c r="C4137">
        <v>1249</v>
      </c>
      <c r="D4137" t="s">
        <v>15</v>
      </c>
      <c r="E4137" t="s">
        <v>29</v>
      </c>
      <c r="F4137" t="s">
        <v>30</v>
      </c>
      <c r="G4137">
        <v>3</v>
      </c>
      <c r="H4137">
        <v>0</v>
      </c>
      <c r="I4137" t="s">
        <v>39</v>
      </c>
      <c r="J4137" t="s">
        <v>37</v>
      </c>
      <c r="K4137" t="s">
        <v>40</v>
      </c>
      <c r="L4137">
        <v>7</v>
      </c>
      <c r="M4137">
        <v>1</v>
      </c>
      <c r="N4137">
        <v>0</v>
      </c>
      <c r="O4137" t="s">
        <v>21</v>
      </c>
      <c r="P4137" t="str">
        <f>TEXT(Table1[[#This Row],[order_date]],"yyyy-mm")</f>
        <v>2025-09</v>
      </c>
      <c r="Q4137">
        <f>WEEKNUM(Table1[[#This Row],[order_date]])</f>
        <v>39</v>
      </c>
      <c r="R4137">
        <f>IF(Table1[[#This Row],[order_status]]="completed",1,0)</f>
        <v>0</v>
      </c>
    </row>
    <row r="4138" spans="1:18" x14ac:dyDescent="0.35">
      <c r="A4138">
        <v>4137</v>
      </c>
      <c r="B4138" s="1">
        <v>45920</v>
      </c>
      <c r="C4138">
        <v>1126</v>
      </c>
      <c r="D4138" t="s">
        <v>22</v>
      </c>
      <c r="E4138" t="s">
        <v>23</v>
      </c>
      <c r="F4138" t="s">
        <v>24</v>
      </c>
      <c r="G4138">
        <v>2</v>
      </c>
      <c r="H4138">
        <v>1190</v>
      </c>
      <c r="I4138" t="s">
        <v>39</v>
      </c>
      <c r="J4138" t="s">
        <v>19</v>
      </c>
      <c r="K4138" t="s">
        <v>40</v>
      </c>
      <c r="L4138">
        <v>4</v>
      </c>
      <c r="M4138">
        <v>0</v>
      </c>
      <c r="N4138">
        <v>1</v>
      </c>
      <c r="O4138" t="s">
        <v>27</v>
      </c>
      <c r="P4138" t="str">
        <f>TEXT(Table1[[#This Row],[order_date]],"yyyy-mm")</f>
        <v>2025-09</v>
      </c>
      <c r="Q4138">
        <f>WEEKNUM(Table1[[#This Row],[order_date]])</f>
        <v>38</v>
      </c>
      <c r="R4138">
        <f>IF(Table1[[#This Row],[order_status]]="completed",1,0)</f>
        <v>1</v>
      </c>
    </row>
    <row r="4139" spans="1:18" x14ac:dyDescent="0.35">
      <c r="A4139">
        <v>4138</v>
      </c>
      <c r="B4139" s="1">
        <v>45884</v>
      </c>
      <c r="C4139">
        <v>1071</v>
      </c>
      <c r="D4139" t="s">
        <v>22</v>
      </c>
      <c r="E4139" t="s">
        <v>36</v>
      </c>
      <c r="F4139" t="s">
        <v>30</v>
      </c>
      <c r="G4139">
        <v>4</v>
      </c>
      <c r="H4139">
        <v>0</v>
      </c>
      <c r="I4139" t="s">
        <v>35</v>
      </c>
      <c r="J4139" t="s">
        <v>31</v>
      </c>
      <c r="K4139" t="s">
        <v>26</v>
      </c>
      <c r="L4139">
        <v>10</v>
      </c>
      <c r="M4139">
        <v>1</v>
      </c>
      <c r="N4139">
        <v>1</v>
      </c>
      <c r="O4139" t="s">
        <v>27</v>
      </c>
      <c r="P4139" t="str">
        <f>TEXT(Table1[[#This Row],[order_date]],"yyyy-mm")</f>
        <v>2025-08</v>
      </c>
      <c r="Q4139">
        <f>WEEKNUM(Table1[[#This Row],[order_date]])</f>
        <v>33</v>
      </c>
      <c r="R4139">
        <f>IF(Table1[[#This Row],[order_status]]="completed",1,0)</f>
        <v>0</v>
      </c>
    </row>
    <row r="4140" spans="1:18" x14ac:dyDescent="0.35">
      <c r="A4140">
        <v>4139</v>
      </c>
      <c r="B4140" s="1">
        <v>45985</v>
      </c>
      <c r="C4140">
        <v>1523</v>
      </c>
      <c r="D4140" t="s">
        <v>22</v>
      </c>
      <c r="E4140" t="s">
        <v>23</v>
      </c>
      <c r="F4140" t="s">
        <v>17</v>
      </c>
      <c r="G4140">
        <v>4</v>
      </c>
      <c r="H4140">
        <v>15948</v>
      </c>
      <c r="I4140" t="s">
        <v>18</v>
      </c>
      <c r="J4140" t="s">
        <v>19</v>
      </c>
      <c r="K4140" t="s">
        <v>26</v>
      </c>
      <c r="L4140">
        <v>7</v>
      </c>
      <c r="M4140">
        <v>0</v>
      </c>
      <c r="N4140">
        <v>1</v>
      </c>
      <c r="O4140" t="s">
        <v>21</v>
      </c>
      <c r="P4140" t="str">
        <f>TEXT(Table1[[#This Row],[order_date]],"yyyy-mm")</f>
        <v>2025-11</v>
      </c>
      <c r="Q4140">
        <f>WEEKNUM(Table1[[#This Row],[order_date]])</f>
        <v>48</v>
      </c>
      <c r="R4140">
        <f>IF(Table1[[#This Row],[order_status]]="completed",1,0)</f>
        <v>1</v>
      </c>
    </row>
    <row r="4141" spans="1:18" x14ac:dyDescent="0.35">
      <c r="A4141">
        <v>4140</v>
      </c>
      <c r="B4141" s="1">
        <v>46001</v>
      </c>
      <c r="C4141">
        <v>1161</v>
      </c>
      <c r="D4141" t="s">
        <v>41</v>
      </c>
      <c r="E4141" t="s">
        <v>33</v>
      </c>
      <c r="F4141" t="s">
        <v>30</v>
      </c>
      <c r="G4141">
        <v>1</v>
      </c>
      <c r="H4141">
        <v>0</v>
      </c>
      <c r="I4141" t="s">
        <v>18</v>
      </c>
      <c r="J4141" t="s">
        <v>31</v>
      </c>
      <c r="K4141" t="s">
        <v>38</v>
      </c>
      <c r="L4141">
        <v>9</v>
      </c>
      <c r="M4141">
        <v>1</v>
      </c>
      <c r="N4141">
        <v>0</v>
      </c>
      <c r="O4141" t="s">
        <v>27</v>
      </c>
      <c r="P4141" t="str">
        <f>TEXT(Table1[[#This Row],[order_date]],"yyyy-mm")</f>
        <v>2025-12</v>
      </c>
      <c r="Q4141">
        <f>WEEKNUM(Table1[[#This Row],[order_date]])</f>
        <v>50</v>
      </c>
      <c r="R4141">
        <f>IF(Table1[[#This Row],[order_status]]="completed",1,0)</f>
        <v>0</v>
      </c>
    </row>
    <row r="4142" spans="1:18" x14ac:dyDescent="0.35">
      <c r="A4142">
        <v>4141</v>
      </c>
      <c r="B4142" s="1">
        <v>45981</v>
      </c>
      <c r="C4142">
        <v>1074</v>
      </c>
      <c r="D4142" t="s">
        <v>32</v>
      </c>
      <c r="E4142" t="s">
        <v>36</v>
      </c>
      <c r="F4142" t="s">
        <v>34</v>
      </c>
      <c r="G4142">
        <v>1</v>
      </c>
      <c r="H4142">
        <v>0</v>
      </c>
      <c r="I4142" t="s">
        <v>18</v>
      </c>
      <c r="J4142" t="s">
        <v>31</v>
      </c>
      <c r="K4142" t="s">
        <v>20</v>
      </c>
      <c r="L4142">
        <v>3</v>
      </c>
      <c r="M4142">
        <v>0</v>
      </c>
      <c r="N4142">
        <v>0</v>
      </c>
      <c r="O4142" t="s">
        <v>27</v>
      </c>
      <c r="P4142" t="str">
        <f>TEXT(Table1[[#This Row],[order_date]],"yyyy-mm")</f>
        <v>2025-11</v>
      </c>
      <c r="Q4142">
        <f>WEEKNUM(Table1[[#This Row],[order_date]])</f>
        <v>47</v>
      </c>
      <c r="R4142">
        <f>IF(Table1[[#This Row],[order_status]]="completed",1,0)</f>
        <v>0</v>
      </c>
    </row>
    <row r="4143" spans="1:18" x14ac:dyDescent="0.35">
      <c r="A4143">
        <v>4142</v>
      </c>
      <c r="B4143" s="1">
        <v>45921</v>
      </c>
      <c r="C4143">
        <v>1277</v>
      </c>
      <c r="D4143" t="s">
        <v>41</v>
      </c>
      <c r="E4143" t="s">
        <v>29</v>
      </c>
      <c r="F4143" t="s">
        <v>24</v>
      </c>
      <c r="G4143">
        <v>5</v>
      </c>
      <c r="H4143">
        <v>8565</v>
      </c>
      <c r="I4143" t="s">
        <v>39</v>
      </c>
      <c r="J4143" t="s">
        <v>19</v>
      </c>
      <c r="K4143" t="s">
        <v>40</v>
      </c>
      <c r="L4143">
        <v>8</v>
      </c>
      <c r="M4143">
        <v>0</v>
      </c>
      <c r="N4143">
        <v>1</v>
      </c>
      <c r="O4143" t="s">
        <v>27</v>
      </c>
      <c r="P4143" t="str">
        <f>TEXT(Table1[[#This Row],[order_date]],"yyyy-mm")</f>
        <v>2025-09</v>
      </c>
      <c r="Q4143">
        <f>WEEKNUM(Table1[[#This Row],[order_date]])</f>
        <v>39</v>
      </c>
      <c r="R4143">
        <f>IF(Table1[[#This Row],[order_status]]="completed",1,0)</f>
        <v>1</v>
      </c>
    </row>
    <row r="4144" spans="1:18" x14ac:dyDescent="0.35">
      <c r="A4144">
        <v>4143</v>
      </c>
      <c r="B4144" s="1">
        <v>45903</v>
      </c>
      <c r="C4144">
        <v>1598</v>
      </c>
      <c r="D4144" t="s">
        <v>41</v>
      </c>
      <c r="E4144" t="s">
        <v>36</v>
      </c>
      <c r="F4144" t="s">
        <v>24</v>
      </c>
      <c r="G4144">
        <v>1</v>
      </c>
      <c r="H4144">
        <v>0</v>
      </c>
      <c r="I4144" t="s">
        <v>25</v>
      </c>
      <c r="J4144" t="s">
        <v>31</v>
      </c>
      <c r="K4144" t="s">
        <v>26</v>
      </c>
      <c r="L4144">
        <v>4</v>
      </c>
      <c r="M4144">
        <v>0</v>
      </c>
      <c r="N4144">
        <v>1</v>
      </c>
      <c r="O4144" t="s">
        <v>21</v>
      </c>
      <c r="P4144" t="str">
        <f>TEXT(Table1[[#This Row],[order_date]],"yyyy-mm")</f>
        <v>2025-09</v>
      </c>
      <c r="Q4144">
        <f>WEEKNUM(Table1[[#This Row],[order_date]])</f>
        <v>36</v>
      </c>
      <c r="R4144">
        <f>IF(Table1[[#This Row],[order_status]]="completed",1,0)</f>
        <v>0</v>
      </c>
    </row>
    <row r="4145" spans="1:18" x14ac:dyDescent="0.35">
      <c r="A4145">
        <v>4144</v>
      </c>
      <c r="B4145" s="1">
        <v>45986</v>
      </c>
      <c r="C4145">
        <v>1972</v>
      </c>
      <c r="D4145" t="s">
        <v>28</v>
      </c>
      <c r="E4145" t="s">
        <v>16</v>
      </c>
      <c r="F4145" t="s">
        <v>17</v>
      </c>
      <c r="G4145">
        <v>1</v>
      </c>
      <c r="H4145">
        <v>0</v>
      </c>
      <c r="I4145" t="s">
        <v>39</v>
      </c>
      <c r="J4145" t="s">
        <v>31</v>
      </c>
      <c r="K4145" t="s">
        <v>20</v>
      </c>
      <c r="L4145">
        <v>4</v>
      </c>
      <c r="M4145">
        <v>0</v>
      </c>
      <c r="N4145">
        <v>0</v>
      </c>
      <c r="O4145" t="s">
        <v>27</v>
      </c>
      <c r="P4145" t="str">
        <f>TEXT(Table1[[#This Row],[order_date]],"yyyy-mm")</f>
        <v>2025-11</v>
      </c>
      <c r="Q4145">
        <f>WEEKNUM(Table1[[#This Row],[order_date]])</f>
        <v>48</v>
      </c>
      <c r="R4145">
        <f>IF(Table1[[#This Row],[order_status]]="completed",1,0)</f>
        <v>0</v>
      </c>
    </row>
    <row r="4146" spans="1:18" x14ac:dyDescent="0.35">
      <c r="A4146">
        <v>4145</v>
      </c>
      <c r="B4146" s="1">
        <v>45855</v>
      </c>
      <c r="C4146">
        <v>1506</v>
      </c>
      <c r="D4146" t="s">
        <v>32</v>
      </c>
      <c r="E4146" t="s">
        <v>36</v>
      </c>
      <c r="F4146" t="s">
        <v>17</v>
      </c>
      <c r="G4146">
        <v>3</v>
      </c>
      <c r="H4146">
        <v>14043</v>
      </c>
      <c r="I4146" t="s">
        <v>35</v>
      </c>
      <c r="J4146" t="s">
        <v>19</v>
      </c>
      <c r="K4146" t="s">
        <v>40</v>
      </c>
      <c r="L4146">
        <v>5</v>
      </c>
      <c r="M4146">
        <v>0</v>
      </c>
      <c r="N4146">
        <v>1</v>
      </c>
      <c r="O4146" t="s">
        <v>27</v>
      </c>
      <c r="P4146" t="str">
        <f>TEXT(Table1[[#This Row],[order_date]],"yyyy-mm")</f>
        <v>2025-07</v>
      </c>
      <c r="Q4146">
        <f>WEEKNUM(Table1[[#This Row],[order_date]])</f>
        <v>29</v>
      </c>
      <c r="R4146">
        <f>IF(Table1[[#This Row],[order_status]]="completed",1,0)</f>
        <v>1</v>
      </c>
    </row>
    <row r="4147" spans="1:18" x14ac:dyDescent="0.35">
      <c r="A4147">
        <v>4146</v>
      </c>
      <c r="B4147" s="1">
        <v>46019</v>
      </c>
      <c r="C4147">
        <v>1213</v>
      </c>
      <c r="D4147" t="s">
        <v>22</v>
      </c>
      <c r="E4147" t="s">
        <v>23</v>
      </c>
      <c r="F4147" t="s">
        <v>34</v>
      </c>
      <c r="G4147">
        <v>3</v>
      </c>
      <c r="H4147">
        <v>0</v>
      </c>
      <c r="I4147" t="s">
        <v>39</v>
      </c>
      <c r="J4147" t="s">
        <v>31</v>
      </c>
      <c r="K4147" t="s">
        <v>20</v>
      </c>
      <c r="L4147">
        <v>5</v>
      </c>
      <c r="M4147">
        <v>0</v>
      </c>
      <c r="N4147">
        <v>0</v>
      </c>
      <c r="O4147" t="s">
        <v>27</v>
      </c>
      <c r="P4147" t="str">
        <f>TEXT(Table1[[#This Row],[order_date]],"yyyy-mm")</f>
        <v>2025-12</v>
      </c>
      <c r="Q4147">
        <f>WEEKNUM(Table1[[#This Row],[order_date]])</f>
        <v>53</v>
      </c>
      <c r="R4147">
        <f>IF(Table1[[#This Row],[order_status]]="completed",1,0)</f>
        <v>0</v>
      </c>
    </row>
    <row r="4148" spans="1:18" x14ac:dyDescent="0.35">
      <c r="A4148">
        <v>4147</v>
      </c>
      <c r="B4148" s="1">
        <v>45860</v>
      </c>
      <c r="C4148">
        <v>1123</v>
      </c>
      <c r="D4148" t="s">
        <v>32</v>
      </c>
      <c r="E4148" t="s">
        <v>33</v>
      </c>
      <c r="F4148" t="s">
        <v>34</v>
      </c>
      <c r="G4148">
        <v>2</v>
      </c>
      <c r="H4148">
        <v>0</v>
      </c>
      <c r="I4148" t="s">
        <v>39</v>
      </c>
      <c r="J4148" t="s">
        <v>31</v>
      </c>
      <c r="K4148" t="s">
        <v>38</v>
      </c>
      <c r="L4148">
        <v>10</v>
      </c>
      <c r="M4148">
        <v>0</v>
      </c>
      <c r="N4148">
        <v>1</v>
      </c>
      <c r="O4148" t="s">
        <v>21</v>
      </c>
      <c r="P4148" t="str">
        <f>TEXT(Table1[[#This Row],[order_date]],"yyyy-mm")</f>
        <v>2025-07</v>
      </c>
      <c r="Q4148">
        <f>WEEKNUM(Table1[[#This Row],[order_date]])</f>
        <v>30</v>
      </c>
      <c r="R4148">
        <f>IF(Table1[[#This Row],[order_status]]="completed",1,0)</f>
        <v>0</v>
      </c>
    </row>
    <row r="4149" spans="1:18" x14ac:dyDescent="0.35">
      <c r="A4149">
        <v>4148</v>
      </c>
      <c r="B4149" s="1">
        <v>45862</v>
      </c>
      <c r="C4149">
        <v>1883</v>
      </c>
      <c r="D4149" t="s">
        <v>15</v>
      </c>
      <c r="E4149" t="s">
        <v>29</v>
      </c>
      <c r="F4149" t="s">
        <v>34</v>
      </c>
      <c r="G4149">
        <v>4</v>
      </c>
      <c r="H4149">
        <v>0</v>
      </c>
      <c r="I4149" t="s">
        <v>39</v>
      </c>
      <c r="J4149" t="s">
        <v>31</v>
      </c>
      <c r="K4149" t="s">
        <v>26</v>
      </c>
      <c r="L4149">
        <v>10</v>
      </c>
      <c r="M4149">
        <v>1</v>
      </c>
      <c r="N4149">
        <v>1</v>
      </c>
      <c r="O4149" t="s">
        <v>21</v>
      </c>
      <c r="P4149" t="str">
        <f>TEXT(Table1[[#This Row],[order_date]],"yyyy-mm")</f>
        <v>2025-07</v>
      </c>
      <c r="Q4149">
        <f>WEEKNUM(Table1[[#This Row],[order_date]])</f>
        <v>30</v>
      </c>
      <c r="R4149">
        <f>IF(Table1[[#This Row],[order_status]]="completed",1,0)</f>
        <v>0</v>
      </c>
    </row>
    <row r="4150" spans="1:18" x14ac:dyDescent="0.35">
      <c r="A4150">
        <v>4149</v>
      </c>
      <c r="B4150" s="1">
        <v>45954</v>
      </c>
      <c r="C4150">
        <v>1416</v>
      </c>
      <c r="D4150" t="s">
        <v>22</v>
      </c>
      <c r="E4150" t="s">
        <v>33</v>
      </c>
      <c r="F4150" t="s">
        <v>34</v>
      </c>
      <c r="G4150">
        <v>5</v>
      </c>
      <c r="H4150">
        <v>15665</v>
      </c>
      <c r="I4150" t="s">
        <v>25</v>
      </c>
      <c r="J4150" t="s">
        <v>19</v>
      </c>
      <c r="K4150" t="s">
        <v>40</v>
      </c>
      <c r="L4150">
        <v>3</v>
      </c>
      <c r="M4150">
        <v>1</v>
      </c>
      <c r="N4150">
        <v>0</v>
      </c>
      <c r="O4150" t="s">
        <v>21</v>
      </c>
      <c r="P4150" t="str">
        <f>TEXT(Table1[[#This Row],[order_date]],"yyyy-mm")</f>
        <v>2025-10</v>
      </c>
      <c r="Q4150">
        <f>WEEKNUM(Table1[[#This Row],[order_date]])</f>
        <v>43</v>
      </c>
      <c r="R4150">
        <f>IF(Table1[[#This Row],[order_status]]="completed",1,0)</f>
        <v>1</v>
      </c>
    </row>
    <row r="4151" spans="1:18" x14ac:dyDescent="0.35">
      <c r="A4151">
        <v>4150</v>
      </c>
      <c r="B4151" s="1">
        <v>45887</v>
      </c>
      <c r="C4151">
        <v>1472</v>
      </c>
      <c r="D4151" t="s">
        <v>22</v>
      </c>
      <c r="E4151" t="s">
        <v>33</v>
      </c>
      <c r="F4151" t="s">
        <v>30</v>
      </c>
      <c r="G4151">
        <v>4</v>
      </c>
      <c r="H4151">
        <v>0</v>
      </c>
      <c r="I4151" t="s">
        <v>35</v>
      </c>
      <c r="J4151" t="s">
        <v>31</v>
      </c>
      <c r="K4151" t="s">
        <v>20</v>
      </c>
      <c r="L4151">
        <v>10</v>
      </c>
      <c r="M4151">
        <v>0</v>
      </c>
      <c r="N4151">
        <v>0</v>
      </c>
      <c r="O4151" t="s">
        <v>21</v>
      </c>
      <c r="P4151" t="str">
        <f>TEXT(Table1[[#This Row],[order_date]],"yyyy-mm")</f>
        <v>2025-08</v>
      </c>
      <c r="Q4151">
        <f>WEEKNUM(Table1[[#This Row],[order_date]])</f>
        <v>34</v>
      </c>
      <c r="R4151">
        <f>IF(Table1[[#This Row],[order_status]]="completed",1,0)</f>
        <v>0</v>
      </c>
    </row>
    <row r="4152" spans="1:18" x14ac:dyDescent="0.35">
      <c r="A4152">
        <v>4151</v>
      </c>
      <c r="B4152" s="1">
        <v>45927</v>
      </c>
      <c r="C4152">
        <v>1704</v>
      </c>
      <c r="D4152" t="s">
        <v>15</v>
      </c>
      <c r="E4152" t="s">
        <v>36</v>
      </c>
      <c r="F4152" t="s">
        <v>34</v>
      </c>
      <c r="G4152">
        <v>4</v>
      </c>
      <c r="H4152">
        <v>0</v>
      </c>
      <c r="I4152" t="s">
        <v>25</v>
      </c>
      <c r="J4152" t="s">
        <v>31</v>
      </c>
      <c r="K4152" t="s">
        <v>40</v>
      </c>
      <c r="L4152">
        <v>4</v>
      </c>
      <c r="M4152">
        <v>0</v>
      </c>
      <c r="N4152">
        <v>1</v>
      </c>
      <c r="O4152" t="s">
        <v>21</v>
      </c>
      <c r="P4152" t="str">
        <f>TEXT(Table1[[#This Row],[order_date]],"yyyy-mm")</f>
        <v>2025-09</v>
      </c>
      <c r="Q4152">
        <f>WEEKNUM(Table1[[#This Row],[order_date]])</f>
        <v>39</v>
      </c>
      <c r="R4152">
        <f>IF(Table1[[#This Row],[order_status]]="completed",1,0)</f>
        <v>0</v>
      </c>
    </row>
    <row r="4153" spans="1:18" x14ac:dyDescent="0.35">
      <c r="A4153">
        <v>4152</v>
      </c>
      <c r="B4153" s="1">
        <v>45974</v>
      </c>
      <c r="C4153">
        <v>1877</v>
      </c>
      <c r="D4153" t="s">
        <v>41</v>
      </c>
      <c r="E4153" t="s">
        <v>23</v>
      </c>
      <c r="F4153" t="s">
        <v>17</v>
      </c>
      <c r="G4153">
        <v>1</v>
      </c>
      <c r="H4153">
        <v>4253</v>
      </c>
      <c r="I4153" t="s">
        <v>39</v>
      </c>
      <c r="J4153" t="s">
        <v>19</v>
      </c>
      <c r="K4153" t="s">
        <v>26</v>
      </c>
      <c r="L4153">
        <v>7</v>
      </c>
      <c r="M4153">
        <v>1</v>
      </c>
      <c r="N4153">
        <v>0</v>
      </c>
      <c r="O4153" t="s">
        <v>27</v>
      </c>
      <c r="P4153" t="str">
        <f>TEXT(Table1[[#This Row],[order_date]],"yyyy-mm")</f>
        <v>2025-11</v>
      </c>
      <c r="Q4153">
        <f>WEEKNUM(Table1[[#This Row],[order_date]])</f>
        <v>46</v>
      </c>
      <c r="R4153">
        <f>IF(Table1[[#This Row],[order_status]]="completed",1,0)</f>
        <v>1</v>
      </c>
    </row>
    <row r="4154" spans="1:18" x14ac:dyDescent="0.35">
      <c r="A4154">
        <v>4153</v>
      </c>
      <c r="B4154" s="1">
        <v>45933</v>
      </c>
      <c r="C4154">
        <v>1535</v>
      </c>
      <c r="D4154" t="s">
        <v>22</v>
      </c>
      <c r="E4154" t="s">
        <v>29</v>
      </c>
      <c r="F4154" t="s">
        <v>17</v>
      </c>
      <c r="G4154">
        <v>3</v>
      </c>
      <c r="H4154">
        <v>6894</v>
      </c>
      <c r="I4154" t="s">
        <v>39</v>
      </c>
      <c r="J4154" t="s">
        <v>19</v>
      </c>
      <c r="K4154" t="s">
        <v>20</v>
      </c>
      <c r="L4154">
        <v>10</v>
      </c>
      <c r="M4154">
        <v>1</v>
      </c>
      <c r="N4154">
        <v>1</v>
      </c>
      <c r="O4154" t="s">
        <v>27</v>
      </c>
      <c r="P4154" t="str">
        <f>TEXT(Table1[[#This Row],[order_date]],"yyyy-mm")</f>
        <v>2025-10</v>
      </c>
      <c r="Q4154">
        <f>WEEKNUM(Table1[[#This Row],[order_date]])</f>
        <v>40</v>
      </c>
      <c r="R4154">
        <f>IF(Table1[[#This Row],[order_status]]="completed",1,0)</f>
        <v>1</v>
      </c>
    </row>
    <row r="4155" spans="1:18" x14ac:dyDescent="0.35">
      <c r="A4155">
        <v>4154</v>
      </c>
      <c r="B4155" s="1">
        <v>45957</v>
      </c>
      <c r="C4155">
        <v>1841</v>
      </c>
      <c r="D4155" t="s">
        <v>15</v>
      </c>
      <c r="E4155" t="s">
        <v>36</v>
      </c>
      <c r="F4155" t="s">
        <v>34</v>
      </c>
      <c r="G4155">
        <v>5</v>
      </c>
      <c r="H4155">
        <v>0</v>
      </c>
      <c r="I4155" t="s">
        <v>39</v>
      </c>
      <c r="J4155" t="s">
        <v>37</v>
      </c>
      <c r="K4155" t="s">
        <v>26</v>
      </c>
      <c r="L4155">
        <v>3</v>
      </c>
      <c r="M4155">
        <v>0</v>
      </c>
      <c r="N4155">
        <v>1</v>
      </c>
      <c r="O4155" t="s">
        <v>27</v>
      </c>
      <c r="P4155" t="str">
        <f>TEXT(Table1[[#This Row],[order_date]],"yyyy-mm")</f>
        <v>2025-10</v>
      </c>
      <c r="Q4155">
        <f>WEEKNUM(Table1[[#This Row],[order_date]])</f>
        <v>44</v>
      </c>
      <c r="R4155">
        <f>IF(Table1[[#This Row],[order_status]]="completed",1,0)</f>
        <v>0</v>
      </c>
    </row>
    <row r="4156" spans="1:18" x14ac:dyDescent="0.35">
      <c r="A4156">
        <v>4155</v>
      </c>
      <c r="B4156" s="1">
        <v>45856</v>
      </c>
      <c r="C4156">
        <v>1168</v>
      </c>
      <c r="D4156" t="s">
        <v>28</v>
      </c>
      <c r="E4156" t="s">
        <v>29</v>
      </c>
      <c r="F4156" t="s">
        <v>17</v>
      </c>
      <c r="G4156">
        <v>5</v>
      </c>
      <c r="H4156">
        <v>0</v>
      </c>
      <c r="I4156" t="s">
        <v>18</v>
      </c>
      <c r="J4156" t="s">
        <v>37</v>
      </c>
      <c r="K4156" t="s">
        <v>38</v>
      </c>
      <c r="L4156">
        <v>4</v>
      </c>
      <c r="M4156">
        <v>1</v>
      </c>
      <c r="N4156">
        <v>0</v>
      </c>
      <c r="O4156" t="s">
        <v>27</v>
      </c>
      <c r="P4156" t="str">
        <f>TEXT(Table1[[#This Row],[order_date]],"yyyy-mm")</f>
        <v>2025-07</v>
      </c>
      <c r="Q4156">
        <f>WEEKNUM(Table1[[#This Row],[order_date]])</f>
        <v>29</v>
      </c>
      <c r="R4156">
        <f>IF(Table1[[#This Row],[order_status]]="completed",1,0)</f>
        <v>0</v>
      </c>
    </row>
    <row r="4157" spans="1:18" x14ac:dyDescent="0.35">
      <c r="A4157">
        <v>4156</v>
      </c>
      <c r="B4157" s="1">
        <v>45878</v>
      </c>
      <c r="C4157">
        <v>1598</v>
      </c>
      <c r="D4157" t="s">
        <v>15</v>
      </c>
      <c r="E4157" t="s">
        <v>33</v>
      </c>
      <c r="F4157" t="s">
        <v>24</v>
      </c>
      <c r="G4157">
        <v>4</v>
      </c>
      <c r="H4157">
        <v>0</v>
      </c>
      <c r="I4157" t="s">
        <v>39</v>
      </c>
      <c r="J4157" t="s">
        <v>37</v>
      </c>
      <c r="K4157" t="s">
        <v>26</v>
      </c>
      <c r="L4157">
        <v>6</v>
      </c>
      <c r="M4157">
        <v>1</v>
      </c>
      <c r="N4157">
        <v>1</v>
      </c>
      <c r="O4157" t="s">
        <v>27</v>
      </c>
      <c r="P4157" t="str">
        <f>TEXT(Table1[[#This Row],[order_date]],"yyyy-mm")</f>
        <v>2025-08</v>
      </c>
      <c r="Q4157">
        <f>WEEKNUM(Table1[[#This Row],[order_date]])</f>
        <v>32</v>
      </c>
      <c r="R4157">
        <f>IF(Table1[[#This Row],[order_status]]="completed",1,0)</f>
        <v>0</v>
      </c>
    </row>
    <row r="4158" spans="1:18" x14ac:dyDescent="0.35">
      <c r="A4158">
        <v>4157</v>
      </c>
      <c r="B4158" s="1">
        <v>45870</v>
      </c>
      <c r="C4158">
        <v>1560</v>
      </c>
      <c r="D4158" t="s">
        <v>15</v>
      </c>
      <c r="E4158" t="s">
        <v>29</v>
      </c>
      <c r="F4158" t="s">
        <v>30</v>
      </c>
      <c r="G4158">
        <v>1</v>
      </c>
      <c r="H4158">
        <v>0</v>
      </c>
      <c r="I4158" t="s">
        <v>35</v>
      </c>
      <c r="J4158" t="s">
        <v>31</v>
      </c>
      <c r="K4158" t="s">
        <v>20</v>
      </c>
      <c r="L4158">
        <v>2</v>
      </c>
      <c r="M4158">
        <v>1</v>
      </c>
      <c r="N4158">
        <v>1</v>
      </c>
      <c r="O4158" t="s">
        <v>21</v>
      </c>
      <c r="P4158" t="str">
        <f>TEXT(Table1[[#This Row],[order_date]],"yyyy-mm")</f>
        <v>2025-08</v>
      </c>
      <c r="Q4158">
        <f>WEEKNUM(Table1[[#This Row],[order_date]])</f>
        <v>31</v>
      </c>
      <c r="R4158">
        <f>IF(Table1[[#This Row],[order_status]]="completed",1,0)</f>
        <v>0</v>
      </c>
    </row>
    <row r="4159" spans="1:18" x14ac:dyDescent="0.35">
      <c r="A4159">
        <v>4158</v>
      </c>
      <c r="B4159" s="1">
        <v>45870</v>
      </c>
      <c r="C4159">
        <v>1516</v>
      </c>
      <c r="D4159" t="s">
        <v>41</v>
      </c>
      <c r="E4159" t="s">
        <v>23</v>
      </c>
      <c r="F4159" t="s">
        <v>34</v>
      </c>
      <c r="G4159">
        <v>5</v>
      </c>
      <c r="H4159">
        <v>4885</v>
      </c>
      <c r="I4159" t="s">
        <v>18</v>
      </c>
      <c r="J4159" t="s">
        <v>19</v>
      </c>
      <c r="K4159" t="s">
        <v>20</v>
      </c>
      <c r="L4159">
        <v>1</v>
      </c>
      <c r="M4159">
        <v>0</v>
      </c>
      <c r="N4159">
        <v>1</v>
      </c>
      <c r="O4159" t="s">
        <v>21</v>
      </c>
      <c r="P4159" t="str">
        <f>TEXT(Table1[[#This Row],[order_date]],"yyyy-mm")</f>
        <v>2025-08</v>
      </c>
      <c r="Q4159">
        <f>WEEKNUM(Table1[[#This Row],[order_date]])</f>
        <v>31</v>
      </c>
      <c r="R4159">
        <f>IF(Table1[[#This Row],[order_status]]="completed",1,0)</f>
        <v>1</v>
      </c>
    </row>
    <row r="4160" spans="1:18" x14ac:dyDescent="0.35">
      <c r="A4160">
        <v>4159</v>
      </c>
      <c r="B4160" s="1">
        <v>46019</v>
      </c>
      <c r="C4160">
        <v>1083</v>
      </c>
      <c r="D4160" t="s">
        <v>15</v>
      </c>
      <c r="E4160" t="s">
        <v>33</v>
      </c>
      <c r="F4160" t="s">
        <v>17</v>
      </c>
      <c r="G4160">
        <v>4</v>
      </c>
      <c r="H4160">
        <v>0</v>
      </c>
      <c r="I4160" t="s">
        <v>35</v>
      </c>
      <c r="J4160" t="s">
        <v>31</v>
      </c>
      <c r="K4160" t="s">
        <v>40</v>
      </c>
      <c r="L4160">
        <v>2</v>
      </c>
      <c r="M4160">
        <v>0</v>
      </c>
      <c r="N4160">
        <v>0</v>
      </c>
      <c r="O4160" t="s">
        <v>21</v>
      </c>
      <c r="P4160" t="str">
        <f>TEXT(Table1[[#This Row],[order_date]],"yyyy-mm")</f>
        <v>2025-12</v>
      </c>
      <c r="Q4160">
        <f>WEEKNUM(Table1[[#This Row],[order_date]])</f>
        <v>53</v>
      </c>
      <c r="R4160">
        <f>IF(Table1[[#This Row],[order_status]]="completed",1,0)</f>
        <v>0</v>
      </c>
    </row>
    <row r="4161" spans="1:18" x14ac:dyDescent="0.35">
      <c r="A4161">
        <v>4160</v>
      </c>
      <c r="B4161" s="1">
        <v>45992</v>
      </c>
      <c r="C4161">
        <v>1891</v>
      </c>
      <c r="D4161" t="s">
        <v>32</v>
      </c>
      <c r="E4161" t="s">
        <v>23</v>
      </c>
      <c r="F4161" t="s">
        <v>34</v>
      </c>
      <c r="G4161">
        <v>5</v>
      </c>
      <c r="H4161">
        <v>0</v>
      </c>
      <c r="I4161" t="s">
        <v>25</v>
      </c>
      <c r="J4161" t="s">
        <v>37</v>
      </c>
      <c r="K4161" t="s">
        <v>38</v>
      </c>
      <c r="L4161">
        <v>8</v>
      </c>
      <c r="M4161">
        <v>1</v>
      </c>
      <c r="N4161">
        <v>0</v>
      </c>
      <c r="O4161" t="s">
        <v>27</v>
      </c>
      <c r="P4161" t="str">
        <f>TEXT(Table1[[#This Row],[order_date]],"yyyy-mm")</f>
        <v>2025-12</v>
      </c>
      <c r="Q4161">
        <f>WEEKNUM(Table1[[#This Row],[order_date]])</f>
        <v>49</v>
      </c>
      <c r="R4161">
        <f>IF(Table1[[#This Row],[order_status]]="completed",1,0)</f>
        <v>0</v>
      </c>
    </row>
    <row r="4162" spans="1:18" x14ac:dyDescent="0.35">
      <c r="A4162">
        <v>4161</v>
      </c>
      <c r="B4162" s="1">
        <v>45985</v>
      </c>
      <c r="C4162">
        <v>1637</v>
      </c>
      <c r="D4162" t="s">
        <v>22</v>
      </c>
      <c r="E4162" t="s">
        <v>16</v>
      </c>
      <c r="F4162" t="s">
        <v>34</v>
      </c>
      <c r="G4162">
        <v>3</v>
      </c>
      <c r="H4162">
        <v>0</v>
      </c>
      <c r="I4162" t="s">
        <v>18</v>
      </c>
      <c r="J4162" t="s">
        <v>37</v>
      </c>
      <c r="K4162" t="s">
        <v>20</v>
      </c>
      <c r="L4162">
        <v>8</v>
      </c>
      <c r="M4162">
        <v>0</v>
      </c>
      <c r="N4162">
        <v>0</v>
      </c>
      <c r="O4162" t="s">
        <v>27</v>
      </c>
      <c r="P4162" t="str">
        <f>TEXT(Table1[[#This Row],[order_date]],"yyyy-mm")</f>
        <v>2025-11</v>
      </c>
      <c r="Q4162">
        <f>WEEKNUM(Table1[[#This Row],[order_date]])</f>
        <v>48</v>
      </c>
      <c r="R4162">
        <f>IF(Table1[[#This Row],[order_status]]="completed",1,0)</f>
        <v>0</v>
      </c>
    </row>
    <row r="4163" spans="1:18" x14ac:dyDescent="0.35">
      <c r="A4163">
        <v>4162</v>
      </c>
      <c r="B4163" s="1">
        <v>45995</v>
      </c>
      <c r="C4163">
        <v>1448</v>
      </c>
      <c r="D4163" t="s">
        <v>41</v>
      </c>
      <c r="E4163" t="s">
        <v>36</v>
      </c>
      <c r="F4163" t="s">
        <v>24</v>
      </c>
      <c r="G4163">
        <v>5</v>
      </c>
      <c r="H4163">
        <v>0</v>
      </c>
      <c r="I4163" t="s">
        <v>18</v>
      </c>
      <c r="J4163" t="s">
        <v>31</v>
      </c>
      <c r="K4163" t="s">
        <v>20</v>
      </c>
      <c r="L4163">
        <v>4</v>
      </c>
      <c r="M4163">
        <v>0</v>
      </c>
      <c r="N4163">
        <v>0</v>
      </c>
      <c r="O4163" t="s">
        <v>21</v>
      </c>
      <c r="P4163" t="str">
        <f>TEXT(Table1[[#This Row],[order_date]],"yyyy-mm")</f>
        <v>2025-12</v>
      </c>
      <c r="Q4163">
        <f>WEEKNUM(Table1[[#This Row],[order_date]])</f>
        <v>49</v>
      </c>
      <c r="R4163">
        <f>IF(Table1[[#This Row],[order_status]]="completed",1,0)</f>
        <v>0</v>
      </c>
    </row>
    <row r="4164" spans="1:18" x14ac:dyDescent="0.35">
      <c r="A4164">
        <v>4163</v>
      </c>
      <c r="B4164" s="1">
        <v>45999</v>
      </c>
      <c r="C4164">
        <v>1638</v>
      </c>
      <c r="D4164" t="s">
        <v>41</v>
      </c>
      <c r="E4164" t="s">
        <v>16</v>
      </c>
      <c r="F4164" t="s">
        <v>30</v>
      </c>
      <c r="G4164">
        <v>1</v>
      </c>
      <c r="H4164">
        <v>0</v>
      </c>
      <c r="I4164" t="s">
        <v>39</v>
      </c>
      <c r="J4164" t="s">
        <v>31</v>
      </c>
      <c r="K4164" t="s">
        <v>40</v>
      </c>
      <c r="L4164">
        <v>6</v>
      </c>
      <c r="M4164">
        <v>1</v>
      </c>
      <c r="N4164">
        <v>0</v>
      </c>
      <c r="O4164" t="s">
        <v>21</v>
      </c>
      <c r="P4164" t="str">
        <f>TEXT(Table1[[#This Row],[order_date]],"yyyy-mm")</f>
        <v>2025-12</v>
      </c>
      <c r="Q4164">
        <f>WEEKNUM(Table1[[#This Row],[order_date]])</f>
        <v>50</v>
      </c>
      <c r="R4164">
        <f>IF(Table1[[#This Row],[order_status]]="completed",1,0)</f>
        <v>0</v>
      </c>
    </row>
    <row r="4165" spans="1:18" x14ac:dyDescent="0.35">
      <c r="A4165">
        <v>4164</v>
      </c>
      <c r="B4165" s="1">
        <v>46003</v>
      </c>
      <c r="C4165">
        <v>1546</v>
      </c>
      <c r="D4165" t="s">
        <v>41</v>
      </c>
      <c r="E4165" t="s">
        <v>16</v>
      </c>
      <c r="F4165" t="s">
        <v>30</v>
      </c>
      <c r="G4165">
        <v>3</v>
      </c>
      <c r="H4165">
        <v>0</v>
      </c>
      <c r="I4165" t="s">
        <v>18</v>
      </c>
      <c r="J4165" t="s">
        <v>37</v>
      </c>
      <c r="K4165" t="s">
        <v>38</v>
      </c>
      <c r="L4165">
        <v>6</v>
      </c>
      <c r="M4165">
        <v>1</v>
      </c>
      <c r="N4165">
        <v>1</v>
      </c>
      <c r="O4165" t="s">
        <v>21</v>
      </c>
      <c r="P4165" t="str">
        <f>TEXT(Table1[[#This Row],[order_date]],"yyyy-mm")</f>
        <v>2025-12</v>
      </c>
      <c r="Q4165">
        <f>WEEKNUM(Table1[[#This Row],[order_date]])</f>
        <v>50</v>
      </c>
      <c r="R4165">
        <f>IF(Table1[[#This Row],[order_status]]="completed",1,0)</f>
        <v>0</v>
      </c>
    </row>
    <row r="4166" spans="1:18" x14ac:dyDescent="0.35">
      <c r="A4166">
        <v>4165</v>
      </c>
      <c r="B4166" s="1">
        <v>46022</v>
      </c>
      <c r="C4166">
        <v>1640</v>
      </c>
      <c r="D4166" t="s">
        <v>15</v>
      </c>
      <c r="E4166" t="s">
        <v>33</v>
      </c>
      <c r="F4166" t="s">
        <v>17</v>
      </c>
      <c r="G4166">
        <v>1</v>
      </c>
      <c r="H4166">
        <v>2673</v>
      </c>
      <c r="I4166" t="s">
        <v>39</v>
      </c>
      <c r="J4166" t="s">
        <v>19</v>
      </c>
      <c r="K4166" t="s">
        <v>40</v>
      </c>
      <c r="L4166">
        <v>8</v>
      </c>
      <c r="M4166">
        <v>1</v>
      </c>
      <c r="N4166">
        <v>0</v>
      </c>
      <c r="O4166" t="s">
        <v>27</v>
      </c>
      <c r="P4166" t="str">
        <f>TEXT(Table1[[#This Row],[order_date]],"yyyy-mm")</f>
        <v>2025-12</v>
      </c>
      <c r="Q4166">
        <f>WEEKNUM(Table1[[#This Row],[order_date]])</f>
        <v>53</v>
      </c>
      <c r="R4166">
        <f>IF(Table1[[#This Row],[order_status]]="completed",1,0)</f>
        <v>1</v>
      </c>
    </row>
    <row r="4167" spans="1:18" x14ac:dyDescent="0.35">
      <c r="A4167">
        <v>4166</v>
      </c>
      <c r="B4167" s="1">
        <v>45861</v>
      </c>
      <c r="C4167">
        <v>1370</v>
      </c>
      <c r="D4167" t="s">
        <v>32</v>
      </c>
      <c r="E4167" t="s">
        <v>16</v>
      </c>
      <c r="F4167" t="s">
        <v>17</v>
      </c>
      <c r="G4167">
        <v>3</v>
      </c>
      <c r="H4167">
        <v>0</v>
      </c>
      <c r="I4167" t="s">
        <v>39</v>
      </c>
      <c r="J4167" t="s">
        <v>37</v>
      </c>
      <c r="K4167" t="s">
        <v>38</v>
      </c>
      <c r="L4167">
        <v>7</v>
      </c>
      <c r="M4167">
        <v>1</v>
      </c>
      <c r="N4167">
        <v>1</v>
      </c>
      <c r="O4167" t="s">
        <v>27</v>
      </c>
      <c r="P4167" t="str">
        <f>TEXT(Table1[[#This Row],[order_date]],"yyyy-mm")</f>
        <v>2025-07</v>
      </c>
      <c r="Q4167">
        <f>WEEKNUM(Table1[[#This Row],[order_date]])</f>
        <v>30</v>
      </c>
      <c r="R4167">
        <f>IF(Table1[[#This Row],[order_status]]="completed",1,0)</f>
        <v>0</v>
      </c>
    </row>
    <row r="4168" spans="1:18" x14ac:dyDescent="0.35">
      <c r="A4168">
        <v>4167</v>
      </c>
      <c r="B4168" s="1">
        <v>45921</v>
      </c>
      <c r="C4168">
        <v>1664</v>
      </c>
      <c r="D4168" t="s">
        <v>41</v>
      </c>
      <c r="E4168" t="s">
        <v>29</v>
      </c>
      <c r="F4168" t="s">
        <v>24</v>
      </c>
      <c r="G4168">
        <v>3</v>
      </c>
      <c r="H4168">
        <v>10506</v>
      </c>
      <c r="I4168" t="s">
        <v>25</v>
      </c>
      <c r="J4168" t="s">
        <v>19</v>
      </c>
      <c r="K4168" t="s">
        <v>26</v>
      </c>
      <c r="L4168">
        <v>3</v>
      </c>
      <c r="M4168">
        <v>0</v>
      </c>
      <c r="N4168">
        <v>0</v>
      </c>
      <c r="O4168" t="s">
        <v>27</v>
      </c>
      <c r="P4168" t="str">
        <f>TEXT(Table1[[#This Row],[order_date]],"yyyy-mm")</f>
        <v>2025-09</v>
      </c>
      <c r="Q4168">
        <f>WEEKNUM(Table1[[#This Row],[order_date]])</f>
        <v>39</v>
      </c>
      <c r="R4168">
        <f>IF(Table1[[#This Row],[order_status]]="completed",1,0)</f>
        <v>1</v>
      </c>
    </row>
    <row r="4169" spans="1:18" x14ac:dyDescent="0.35">
      <c r="A4169">
        <v>4168</v>
      </c>
      <c r="B4169" s="1">
        <v>45941</v>
      </c>
      <c r="C4169">
        <v>1827</v>
      </c>
      <c r="D4169" t="s">
        <v>22</v>
      </c>
      <c r="E4169" t="s">
        <v>29</v>
      </c>
      <c r="F4169" t="s">
        <v>17</v>
      </c>
      <c r="G4169">
        <v>2</v>
      </c>
      <c r="H4169">
        <v>1978</v>
      </c>
      <c r="I4169" t="s">
        <v>35</v>
      </c>
      <c r="J4169" t="s">
        <v>19</v>
      </c>
      <c r="K4169" t="s">
        <v>20</v>
      </c>
      <c r="L4169">
        <v>5</v>
      </c>
      <c r="M4169">
        <v>0</v>
      </c>
      <c r="N4169">
        <v>1</v>
      </c>
      <c r="O4169" t="s">
        <v>21</v>
      </c>
      <c r="P4169" t="str">
        <f>TEXT(Table1[[#This Row],[order_date]],"yyyy-mm")</f>
        <v>2025-10</v>
      </c>
      <c r="Q4169">
        <f>WEEKNUM(Table1[[#This Row],[order_date]])</f>
        <v>41</v>
      </c>
      <c r="R4169">
        <f>IF(Table1[[#This Row],[order_status]]="completed",1,0)</f>
        <v>1</v>
      </c>
    </row>
    <row r="4170" spans="1:18" x14ac:dyDescent="0.35">
      <c r="A4170">
        <v>4169</v>
      </c>
      <c r="B4170" s="1">
        <v>45854</v>
      </c>
      <c r="C4170">
        <v>1567</v>
      </c>
      <c r="D4170" t="s">
        <v>22</v>
      </c>
      <c r="E4170" t="s">
        <v>29</v>
      </c>
      <c r="F4170" t="s">
        <v>24</v>
      </c>
      <c r="G4170">
        <v>3</v>
      </c>
      <c r="H4170">
        <v>7644</v>
      </c>
      <c r="I4170" t="s">
        <v>25</v>
      </c>
      <c r="J4170" t="s">
        <v>19</v>
      </c>
      <c r="K4170" t="s">
        <v>20</v>
      </c>
      <c r="L4170">
        <v>5</v>
      </c>
      <c r="M4170">
        <v>1</v>
      </c>
      <c r="N4170">
        <v>0</v>
      </c>
      <c r="O4170" t="s">
        <v>21</v>
      </c>
      <c r="P4170" t="str">
        <f>TEXT(Table1[[#This Row],[order_date]],"yyyy-mm")</f>
        <v>2025-07</v>
      </c>
      <c r="Q4170">
        <f>WEEKNUM(Table1[[#This Row],[order_date]])</f>
        <v>29</v>
      </c>
      <c r="R4170">
        <f>IF(Table1[[#This Row],[order_status]]="completed",1,0)</f>
        <v>1</v>
      </c>
    </row>
    <row r="4171" spans="1:18" x14ac:dyDescent="0.35">
      <c r="A4171">
        <v>4170</v>
      </c>
      <c r="B4171" s="1">
        <v>45864</v>
      </c>
      <c r="C4171">
        <v>1464</v>
      </c>
      <c r="D4171" t="s">
        <v>32</v>
      </c>
      <c r="E4171" t="s">
        <v>16</v>
      </c>
      <c r="F4171" t="s">
        <v>30</v>
      </c>
      <c r="G4171">
        <v>5</v>
      </c>
      <c r="H4171">
        <v>0</v>
      </c>
      <c r="I4171" t="s">
        <v>25</v>
      </c>
      <c r="J4171" t="s">
        <v>31</v>
      </c>
      <c r="K4171" t="s">
        <v>20</v>
      </c>
      <c r="L4171">
        <v>6</v>
      </c>
      <c r="M4171">
        <v>1</v>
      </c>
      <c r="N4171">
        <v>0</v>
      </c>
      <c r="O4171" t="s">
        <v>21</v>
      </c>
      <c r="P4171" t="str">
        <f>TEXT(Table1[[#This Row],[order_date]],"yyyy-mm")</f>
        <v>2025-07</v>
      </c>
      <c r="Q4171">
        <f>WEEKNUM(Table1[[#This Row],[order_date]])</f>
        <v>30</v>
      </c>
      <c r="R4171">
        <f>IF(Table1[[#This Row],[order_status]]="completed",1,0)</f>
        <v>0</v>
      </c>
    </row>
    <row r="4172" spans="1:18" x14ac:dyDescent="0.35">
      <c r="A4172">
        <v>4171</v>
      </c>
      <c r="B4172" s="1">
        <v>45948</v>
      </c>
      <c r="C4172">
        <v>1227</v>
      </c>
      <c r="D4172" t="s">
        <v>15</v>
      </c>
      <c r="E4172" t="s">
        <v>33</v>
      </c>
      <c r="F4172" t="s">
        <v>30</v>
      </c>
      <c r="G4172">
        <v>5</v>
      </c>
      <c r="H4172">
        <v>0</v>
      </c>
      <c r="I4172" t="s">
        <v>25</v>
      </c>
      <c r="J4172" t="s">
        <v>37</v>
      </c>
      <c r="K4172" t="s">
        <v>38</v>
      </c>
      <c r="L4172">
        <v>1</v>
      </c>
      <c r="M4172">
        <v>0</v>
      </c>
      <c r="N4172">
        <v>0</v>
      </c>
      <c r="O4172" t="s">
        <v>27</v>
      </c>
      <c r="P4172" t="str">
        <f>TEXT(Table1[[#This Row],[order_date]],"yyyy-mm")</f>
        <v>2025-10</v>
      </c>
      <c r="Q4172">
        <f>WEEKNUM(Table1[[#This Row],[order_date]])</f>
        <v>42</v>
      </c>
      <c r="R4172">
        <f>IF(Table1[[#This Row],[order_status]]="completed",1,0)</f>
        <v>0</v>
      </c>
    </row>
    <row r="4173" spans="1:18" x14ac:dyDescent="0.35">
      <c r="A4173">
        <v>4172</v>
      </c>
      <c r="B4173" s="1">
        <v>45890</v>
      </c>
      <c r="C4173">
        <v>1808</v>
      </c>
      <c r="D4173" t="s">
        <v>41</v>
      </c>
      <c r="E4173" t="s">
        <v>33</v>
      </c>
      <c r="F4173" t="s">
        <v>30</v>
      </c>
      <c r="G4173">
        <v>4</v>
      </c>
      <c r="H4173">
        <v>13448</v>
      </c>
      <c r="I4173" t="s">
        <v>25</v>
      </c>
      <c r="J4173" t="s">
        <v>19</v>
      </c>
      <c r="K4173" t="s">
        <v>26</v>
      </c>
      <c r="L4173">
        <v>8</v>
      </c>
      <c r="M4173">
        <v>1</v>
      </c>
      <c r="N4173">
        <v>0</v>
      </c>
      <c r="O4173" t="s">
        <v>27</v>
      </c>
      <c r="P4173" t="str">
        <f>TEXT(Table1[[#This Row],[order_date]],"yyyy-mm")</f>
        <v>2025-08</v>
      </c>
      <c r="Q4173">
        <f>WEEKNUM(Table1[[#This Row],[order_date]])</f>
        <v>34</v>
      </c>
      <c r="R4173">
        <f>IF(Table1[[#This Row],[order_status]]="completed",1,0)</f>
        <v>1</v>
      </c>
    </row>
    <row r="4174" spans="1:18" x14ac:dyDescent="0.35">
      <c r="A4174">
        <v>4173</v>
      </c>
      <c r="B4174" s="1">
        <v>45972</v>
      </c>
      <c r="C4174">
        <v>1937</v>
      </c>
      <c r="D4174" t="s">
        <v>15</v>
      </c>
      <c r="E4174" t="s">
        <v>33</v>
      </c>
      <c r="F4174" t="s">
        <v>30</v>
      </c>
      <c r="G4174">
        <v>1</v>
      </c>
      <c r="H4174">
        <v>2437</v>
      </c>
      <c r="I4174" t="s">
        <v>35</v>
      </c>
      <c r="J4174" t="s">
        <v>19</v>
      </c>
      <c r="K4174" t="s">
        <v>20</v>
      </c>
      <c r="L4174">
        <v>1</v>
      </c>
      <c r="M4174">
        <v>0</v>
      </c>
      <c r="N4174">
        <v>1</v>
      </c>
      <c r="O4174" t="s">
        <v>21</v>
      </c>
      <c r="P4174" t="str">
        <f>TEXT(Table1[[#This Row],[order_date]],"yyyy-mm")</f>
        <v>2025-11</v>
      </c>
      <c r="Q4174">
        <f>WEEKNUM(Table1[[#This Row],[order_date]])</f>
        <v>46</v>
      </c>
      <c r="R4174">
        <f>IF(Table1[[#This Row],[order_status]]="completed",1,0)</f>
        <v>1</v>
      </c>
    </row>
    <row r="4175" spans="1:18" x14ac:dyDescent="0.35">
      <c r="A4175">
        <v>4174</v>
      </c>
      <c r="B4175" s="1">
        <v>45957</v>
      </c>
      <c r="C4175">
        <v>1396</v>
      </c>
      <c r="D4175" t="s">
        <v>41</v>
      </c>
      <c r="E4175" t="s">
        <v>29</v>
      </c>
      <c r="F4175" t="s">
        <v>30</v>
      </c>
      <c r="G4175">
        <v>2</v>
      </c>
      <c r="H4175">
        <v>0</v>
      </c>
      <c r="I4175" t="s">
        <v>18</v>
      </c>
      <c r="J4175" t="s">
        <v>37</v>
      </c>
      <c r="K4175" t="s">
        <v>26</v>
      </c>
      <c r="L4175">
        <v>1</v>
      </c>
      <c r="M4175">
        <v>1</v>
      </c>
      <c r="N4175">
        <v>0</v>
      </c>
      <c r="O4175" t="s">
        <v>21</v>
      </c>
      <c r="P4175" t="str">
        <f>TEXT(Table1[[#This Row],[order_date]],"yyyy-mm")</f>
        <v>2025-10</v>
      </c>
      <c r="Q4175">
        <f>WEEKNUM(Table1[[#This Row],[order_date]])</f>
        <v>44</v>
      </c>
      <c r="R4175">
        <f>IF(Table1[[#This Row],[order_status]]="completed",1,0)</f>
        <v>0</v>
      </c>
    </row>
    <row r="4176" spans="1:18" x14ac:dyDescent="0.35">
      <c r="A4176">
        <v>4175</v>
      </c>
      <c r="B4176" s="1">
        <v>46026</v>
      </c>
      <c r="C4176">
        <v>1700</v>
      </c>
      <c r="D4176" t="s">
        <v>15</v>
      </c>
      <c r="E4176" t="s">
        <v>29</v>
      </c>
      <c r="F4176" t="s">
        <v>34</v>
      </c>
      <c r="G4176">
        <v>2</v>
      </c>
      <c r="H4176">
        <v>0</v>
      </c>
      <c r="I4176" t="s">
        <v>25</v>
      </c>
      <c r="J4176" t="s">
        <v>31</v>
      </c>
      <c r="K4176" t="s">
        <v>38</v>
      </c>
      <c r="L4176">
        <v>1</v>
      </c>
      <c r="M4176">
        <v>0</v>
      </c>
      <c r="N4176">
        <v>1</v>
      </c>
      <c r="O4176" t="s">
        <v>27</v>
      </c>
      <c r="P4176" t="str">
        <f>TEXT(Table1[[#This Row],[order_date]],"yyyy-mm")</f>
        <v>2026-01</v>
      </c>
      <c r="Q4176">
        <f>WEEKNUM(Table1[[#This Row],[order_date]])</f>
        <v>2</v>
      </c>
      <c r="R4176">
        <f>IF(Table1[[#This Row],[order_status]]="completed",1,0)</f>
        <v>0</v>
      </c>
    </row>
    <row r="4177" spans="1:18" x14ac:dyDescent="0.35">
      <c r="A4177">
        <v>4176</v>
      </c>
      <c r="B4177" s="1">
        <v>45871</v>
      </c>
      <c r="C4177">
        <v>1338</v>
      </c>
      <c r="D4177" t="s">
        <v>15</v>
      </c>
      <c r="E4177" t="s">
        <v>16</v>
      </c>
      <c r="F4177" t="s">
        <v>34</v>
      </c>
      <c r="G4177">
        <v>4</v>
      </c>
      <c r="H4177">
        <v>0</v>
      </c>
      <c r="I4177" t="s">
        <v>39</v>
      </c>
      <c r="J4177" t="s">
        <v>31</v>
      </c>
      <c r="K4177" t="s">
        <v>26</v>
      </c>
      <c r="L4177">
        <v>10</v>
      </c>
      <c r="M4177">
        <v>1</v>
      </c>
      <c r="N4177">
        <v>0</v>
      </c>
      <c r="O4177" t="s">
        <v>27</v>
      </c>
      <c r="P4177" t="str">
        <f>TEXT(Table1[[#This Row],[order_date]],"yyyy-mm")</f>
        <v>2025-08</v>
      </c>
      <c r="Q4177">
        <f>WEEKNUM(Table1[[#This Row],[order_date]])</f>
        <v>31</v>
      </c>
      <c r="R4177">
        <f>IF(Table1[[#This Row],[order_status]]="completed",1,0)</f>
        <v>0</v>
      </c>
    </row>
    <row r="4178" spans="1:18" x14ac:dyDescent="0.35">
      <c r="A4178">
        <v>4177</v>
      </c>
      <c r="B4178" s="1">
        <v>45936</v>
      </c>
      <c r="C4178">
        <v>1237</v>
      </c>
      <c r="D4178" t="s">
        <v>28</v>
      </c>
      <c r="E4178" t="s">
        <v>36</v>
      </c>
      <c r="F4178" t="s">
        <v>17</v>
      </c>
      <c r="G4178">
        <v>2</v>
      </c>
      <c r="H4178">
        <v>6404</v>
      </c>
      <c r="I4178" t="s">
        <v>35</v>
      </c>
      <c r="J4178" t="s">
        <v>19</v>
      </c>
      <c r="K4178" t="s">
        <v>40</v>
      </c>
      <c r="L4178">
        <v>4</v>
      </c>
      <c r="M4178">
        <v>0</v>
      </c>
      <c r="N4178">
        <v>1</v>
      </c>
      <c r="O4178" t="s">
        <v>21</v>
      </c>
      <c r="P4178" t="str">
        <f>TEXT(Table1[[#This Row],[order_date]],"yyyy-mm")</f>
        <v>2025-10</v>
      </c>
      <c r="Q4178">
        <f>WEEKNUM(Table1[[#This Row],[order_date]])</f>
        <v>41</v>
      </c>
      <c r="R4178">
        <f>IF(Table1[[#This Row],[order_status]]="completed",1,0)</f>
        <v>1</v>
      </c>
    </row>
    <row r="4179" spans="1:18" x14ac:dyDescent="0.35">
      <c r="A4179">
        <v>4178</v>
      </c>
      <c r="B4179" s="1">
        <v>46013</v>
      </c>
      <c r="C4179">
        <v>1905</v>
      </c>
      <c r="D4179" t="s">
        <v>22</v>
      </c>
      <c r="E4179" t="s">
        <v>36</v>
      </c>
      <c r="F4179" t="s">
        <v>30</v>
      </c>
      <c r="G4179">
        <v>4</v>
      </c>
      <c r="H4179">
        <v>0</v>
      </c>
      <c r="I4179" t="s">
        <v>25</v>
      </c>
      <c r="J4179" t="s">
        <v>31</v>
      </c>
      <c r="K4179" t="s">
        <v>38</v>
      </c>
      <c r="L4179">
        <v>8</v>
      </c>
      <c r="M4179">
        <v>0</v>
      </c>
      <c r="N4179">
        <v>0</v>
      </c>
      <c r="O4179" t="s">
        <v>27</v>
      </c>
      <c r="P4179" t="str">
        <f>TEXT(Table1[[#This Row],[order_date]],"yyyy-mm")</f>
        <v>2025-12</v>
      </c>
      <c r="Q4179">
        <f>WEEKNUM(Table1[[#This Row],[order_date]])</f>
        <v>52</v>
      </c>
      <c r="R4179">
        <f>IF(Table1[[#This Row],[order_status]]="completed",1,0)</f>
        <v>0</v>
      </c>
    </row>
    <row r="4180" spans="1:18" x14ac:dyDescent="0.35">
      <c r="A4180">
        <v>4179</v>
      </c>
      <c r="B4180" s="1">
        <v>46022</v>
      </c>
      <c r="C4180">
        <v>1940</v>
      </c>
      <c r="D4180" t="s">
        <v>28</v>
      </c>
      <c r="E4180" t="s">
        <v>36</v>
      </c>
      <c r="F4180" t="s">
        <v>34</v>
      </c>
      <c r="G4180">
        <v>4</v>
      </c>
      <c r="H4180">
        <v>15616</v>
      </c>
      <c r="I4180" t="s">
        <v>35</v>
      </c>
      <c r="J4180" t="s">
        <v>19</v>
      </c>
      <c r="K4180" t="s">
        <v>26</v>
      </c>
      <c r="L4180">
        <v>3</v>
      </c>
      <c r="M4180">
        <v>1</v>
      </c>
      <c r="N4180">
        <v>1</v>
      </c>
      <c r="O4180" t="s">
        <v>21</v>
      </c>
      <c r="P4180" t="str">
        <f>TEXT(Table1[[#This Row],[order_date]],"yyyy-mm")</f>
        <v>2025-12</v>
      </c>
      <c r="Q4180">
        <f>WEEKNUM(Table1[[#This Row],[order_date]])</f>
        <v>53</v>
      </c>
      <c r="R4180">
        <f>IF(Table1[[#This Row],[order_status]]="completed",1,0)</f>
        <v>1</v>
      </c>
    </row>
    <row r="4181" spans="1:18" x14ac:dyDescent="0.35">
      <c r="A4181">
        <v>4180</v>
      </c>
      <c r="B4181" s="1">
        <v>45954</v>
      </c>
      <c r="C4181">
        <v>1005</v>
      </c>
      <c r="D4181" t="s">
        <v>15</v>
      </c>
      <c r="E4181" t="s">
        <v>33</v>
      </c>
      <c r="F4181" t="s">
        <v>34</v>
      </c>
      <c r="G4181">
        <v>3</v>
      </c>
      <c r="H4181">
        <v>0</v>
      </c>
      <c r="I4181" t="s">
        <v>39</v>
      </c>
      <c r="J4181" t="s">
        <v>31</v>
      </c>
      <c r="K4181" t="s">
        <v>26</v>
      </c>
      <c r="L4181">
        <v>1</v>
      </c>
      <c r="M4181">
        <v>0</v>
      </c>
      <c r="N4181">
        <v>0</v>
      </c>
      <c r="O4181" t="s">
        <v>27</v>
      </c>
      <c r="P4181" t="str">
        <f>TEXT(Table1[[#This Row],[order_date]],"yyyy-mm")</f>
        <v>2025-10</v>
      </c>
      <c r="Q4181">
        <f>WEEKNUM(Table1[[#This Row],[order_date]])</f>
        <v>43</v>
      </c>
      <c r="R4181">
        <f>IF(Table1[[#This Row],[order_status]]="completed",1,0)</f>
        <v>0</v>
      </c>
    </row>
    <row r="4182" spans="1:18" x14ac:dyDescent="0.35">
      <c r="A4182">
        <v>4181</v>
      </c>
      <c r="B4182" s="1">
        <v>45936</v>
      </c>
      <c r="C4182">
        <v>1432</v>
      </c>
      <c r="D4182" t="s">
        <v>28</v>
      </c>
      <c r="E4182" t="s">
        <v>36</v>
      </c>
      <c r="F4182" t="s">
        <v>30</v>
      </c>
      <c r="G4182">
        <v>4</v>
      </c>
      <c r="H4182">
        <v>0</v>
      </c>
      <c r="I4182" t="s">
        <v>39</v>
      </c>
      <c r="J4182" t="s">
        <v>37</v>
      </c>
      <c r="K4182" t="s">
        <v>40</v>
      </c>
      <c r="L4182">
        <v>7</v>
      </c>
      <c r="M4182">
        <v>0</v>
      </c>
      <c r="N4182">
        <v>0</v>
      </c>
      <c r="O4182" t="s">
        <v>21</v>
      </c>
      <c r="P4182" t="str">
        <f>TEXT(Table1[[#This Row],[order_date]],"yyyy-mm")</f>
        <v>2025-10</v>
      </c>
      <c r="Q4182">
        <f>WEEKNUM(Table1[[#This Row],[order_date]])</f>
        <v>41</v>
      </c>
      <c r="R4182">
        <f>IF(Table1[[#This Row],[order_status]]="completed",1,0)</f>
        <v>0</v>
      </c>
    </row>
    <row r="4183" spans="1:18" x14ac:dyDescent="0.35">
      <c r="A4183">
        <v>4182</v>
      </c>
      <c r="B4183" s="1">
        <v>46008</v>
      </c>
      <c r="C4183">
        <v>1034</v>
      </c>
      <c r="D4183" t="s">
        <v>22</v>
      </c>
      <c r="E4183" t="s">
        <v>33</v>
      </c>
      <c r="F4183" t="s">
        <v>17</v>
      </c>
      <c r="G4183">
        <v>1</v>
      </c>
      <c r="H4183">
        <v>1246</v>
      </c>
      <c r="I4183" t="s">
        <v>18</v>
      </c>
      <c r="J4183" t="s">
        <v>19</v>
      </c>
      <c r="K4183" t="s">
        <v>20</v>
      </c>
      <c r="L4183">
        <v>3</v>
      </c>
      <c r="M4183">
        <v>0</v>
      </c>
      <c r="N4183">
        <v>1</v>
      </c>
      <c r="O4183" t="s">
        <v>21</v>
      </c>
      <c r="P4183" t="str">
        <f>TEXT(Table1[[#This Row],[order_date]],"yyyy-mm")</f>
        <v>2025-12</v>
      </c>
      <c r="Q4183">
        <f>WEEKNUM(Table1[[#This Row],[order_date]])</f>
        <v>51</v>
      </c>
      <c r="R4183">
        <f>IF(Table1[[#This Row],[order_status]]="completed",1,0)</f>
        <v>1</v>
      </c>
    </row>
    <row r="4184" spans="1:18" x14ac:dyDescent="0.35">
      <c r="A4184">
        <v>4183</v>
      </c>
      <c r="B4184" s="1">
        <v>45940</v>
      </c>
      <c r="C4184">
        <v>1562</v>
      </c>
      <c r="D4184" t="s">
        <v>32</v>
      </c>
      <c r="E4184" t="s">
        <v>23</v>
      </c>
      <c r="F4184" t="s">
        <v>17</v>
      </c>
      <c r="G4184">
        <v>1</v>
      </c>
      <c r="H4184">
        <v>3529</v>
      </c>
      <c r="I4184" t="s">
        <v>39</v>
      </c>
      <c r="J4184" t="s">
        <v>19</v>
      </c>
      <c r="K4184" t="s">
        <v>26</v>
      </c>
      <c r="L4184">
        <v>9</v>
      </c>
      <c r="M4184">
        <v>1</v>
      </c>
      <c r="N4184">
        <v>1</v>
      </c>
      <c r="O4184" t="s">
        <v>21</v>
      </c>
      <c r="P4184" t="str">
        <f>TEXT(Table1[[#This Row],[order_date]],"yyyy-mm")</f>
        <v>2025-10</v>
      </c>
      <c r="Q4184">
        <f>WEEKNUM(Table1[[#This Row],[order_date]])</f>
        <v>41</v>
      </c>
      <c r="R4184">
        <f>IF(Table1[[#This Row],[order_status]]="completed",1,0)</f>
        <v>1</v>
      </c>
    </row>
    <row r="4185" spans="1:18" x14ac:dyDescent="0.35">
      <c r="A4185">
        <v>4184</v>
      </c>
      <c r="B4185" s="1">
        <v>45869</v>
      </c>
      <c r="C4185">
        <v>1002</v>
      </c>
      <c r="D4185" t="s">
        <v>22</v>
      </c>
      <c r="E4185" t="s">
        <v>33</v>
      </c>
      <c r="F4185" t="s">
        <v>30</v>
      </c>
      <c r="G4185">
        <v>5</v>
      </c>
      <c r="H4185">
        <v>0</v>
      </c>
      <c r="I4185" t="s">
        <v>25</v>
      </c>
      <c r="J4185" t="s">
        <v>37</v>
      </c>
      <c r="K4185" t="s">
        <v>38</v>
      </c>
      <c r="L4185">
        <v>9</v>
      </c>
      <c r="M4185">
        <v>1</v>
      </c>
      <c r="N4185">
        <v>0</v>
      </c>
      <c r="O4185" t="s">
        <v>27</v>
      </c>
      <c r="P4185" t="str">
        <f>TEXT(Table1[[#This Row],[order_date]],"yyyy-mm")</f>
        <v>2025-07</v>
      </c>
      <c r="Q4185">
        <f>WEEKNUM(Table1[[#This Row],[order_date]])</f>
        <v>31</v>
      </c>
      <c r="R4185">
        <f>IF(Table1[[#This Row],[order_status]]="completed",1,0)</f>
        <v>0</v>
      </c>
    </row>
    <row r="4186" spans="1:18" x14ac:dyDescent="0.35">
      <c r="A4186">
        <v>4185</v>
      </c>
      <c r="B4186" s="1">
        <v>45892</v>
      </c>
      <c r="C4186">
        <v>1239</v>
      </c>
      <c r="D4186" t="s">
        <v>32</v>
      </c>
      <c r="E4186" t="s">
        <v>16</v>
      </c>
      <c r="F4186" t="s">
        <v>34</v>
      </c>
      <c r="G4186">
        <v>4</v>
      </c>
      <c r="H4186">
        <v>8388</v>
      </c>
      <c r="I4186" t="s">
        <v>35</v>
      </c>
      <c r="J4186" t="s">
        <v>19</v>
      </c>
      <c r="K4186" t="s">
        <v>20</v>
      </c>
      <c r="L4186">
        <v>7</v>
      </c>
      <c r="M4186">
        <v>1</v>
      </c>
      <c r="N4186">
        <v>1</v>
      </c>
      <c r="O4186" t="s">
        <v>21</v>
      </c>
      <c r="P4186" t="str">
        <f>TEXT(Table1[[#This Row],[order_date]],"yyyy-mm")</f>
        <v>2025-08</v>
      </c>
      <c r="Q4186">
        <f>WEEKNUM(Table1[[#This Row],[order_date]])</f>
        <v>34</v>
      </c>
      <c r="R4186">
        <f>IF(Table1[[#This Row],[order_status]]="completed",1,0)</f>
        <v>1</v>
      </c>
    </row>
    <row r="4187" spans="1:18" x14ac:dyDescent="0.35">
      <c r="A4187">
        <v>4186</v>
      </c>
      <c r="B4187" s="1">
        <v>45984</v>
      </c>
      <c r="C4187">
        <v>1245</v>
      </c>
      <c r="D4187" t="s">
        <v>22</v>
      </c>
      <c r="E4187" t="s">
        <v>23</v>
      </c>
      <c r="F4187" t="s">
        <v>30</v>
      </c>
      <c r="G4187">
        <v>4</v>
      </c>
      <c r="H4187">
        <v>7020</v>
      </c>
      <c r="I4187" t="s">
        <v>18</v>
      </c>
      <c r="J4187" t="s">
        <v>19</v>
      </c>
      <c r="K4187" t="s">
        <v>20</v>
      </c>
      <c r="L4187">
        <v>4</v>
      </c>
      <c r="M4187">
        <v>1</v>
      </c>
      <c r="N4187">
        <v>0</v>
      </c>
      <c r="O4187" t="s">
        <v>27</v>
      </c>
      <c r="P4187" t="str">
        <f>TEXT(Table1[[#This Row],[order_date]],"yyyy-mm")</f>
        <v>2025-11</v>
      </c>
      <c r="Q4187">
        <f>WEEKNUM(Table1[[#This Row],[order_date]])</f>
        <v>48</v>
      </c>
      <c r="R4187">
        <f>IF(Table1[[#This Row],[order_status]]="completed",1,0)</f>
        <v>1</v>
      </c>
    </row>
    <row r="4188" spans="1:18" x14ac:dyDescent="0.35">
      <c r="A4188">
        <v>4187</v>
      </c>
      <c r="B4188" s="1">
        <v>45872</v>
      </c>
      <c r="C4188">
        <v>1707</v>
      </c>
      <c r="D4188" t="s">
        <v>22</v>
      </c>
      <c r="E4188" t="s">
        <v>29</v>
      </c>
      <c r="F4188" t="s">
        <v>17</v>
      </c>
      <c r="G4188">
        <v>2</v>
      </c>
      <c r="H4188">
        <v>9442</v>
      </c>
      <c r="I4188" t="s">
        <v>18</v>
      </c>
      <c r="J4188" t="s">
        <v>19</v>
      </c>
      <c r="K4188" t="s">
        <v>40</v>
      </c>
      <c r="L4188">
        <v>5</v>
      </c>
      <c r="M4188">
        <v>1</v>
      </c>
      <c r="N4188">
        <v>0</v>
      </c>
      <c r="O4188" t="s">
        <v>27</v>
      </c>
      <c r="P4188" t="str">
        <f>TEXT(Table1[[#This Row],[order_date]],"yyyy-mm")</f>
        <v>2025-08</v>
      </c>
      <c r="Q4188">
        <f>WEEKNUM(Table1[[#This Row],[order_date]])</f>
        <v>32</v>
      </c>
      <c r="R4188">
        <f>IF(Table1[[#This Row],[order_status]]="completed",1,0)</f>
        <v>1</v>
      </c>
    </row>
    <row r="4189" spans="1:18" x14ac:dyDescent="0.35">
      <c r="A4189">
        <v>4188</v>
      </c>
      <c r="B4189" s="1">
        <v>45974</v>
      </c>
      <c r="C4189">
        <v>1215</v>
      </c>
      <c r="D4189" t="s">
        <v>28</v>
      </c>
      <c r="E4189" t="s">
        <v>23</v>
      </c>
      <c r="F4189" t="s">
        <v>34</v>
      </c>
      <c r="G4189">
        <v>3</v>
      </c>
      <c r="H4189">
        <v>11196</v>
      </c>
      <c r="I4189" t="s">
        <v>35</v>
      </c>
      <c r="J4189" t="s">
        <v>19</v>
      </c>
      <c r="K4189" t="s">
        <v>40</v>
      </c>
      <c r="L4189">
        <v>10</v>
      </c>
      <c r="M4189">
        <v>1</v>
      </c>
      <c r="N4189">
        <v>1</v>
      </c>
      <c r="O4189" t="s">
        <v>21</v>
      </c>
      <c r="P4189" t="str">
        <f>TEXT(Table1[[#This Row],[order_date]],"yyyy-mm")</f>
        <v>2025-11</v>
      </c>
      <c r="Q4189">
        <f>WEEKNUM(Table1[[#This Row],[order_date]])</f>
        <v>46</v>
      </c>
      <c r="R4189">
        <f>IF(Table1[[#This Row],[order_status]]="completed",1,0)</f>
        <v>1</v>
      </c>
    </row>
    <row r="4190" spans="1:18" x14ac:dyDescent="0.35">
      <c r="A4190">
        <v>4189</v>
      </c>
      <c r="B4190" s="1">
        <v>45924</v>
      </c>
      <c r="C4190">
        <v>1843</v>
      </c>
      <c r="D4190" t="s">
        <v>41</v>
      </c>
      <c r="E4190" t="s">
        <v>29</v>
      </c>
      <c r="F4190" t="s">
        <v>34</v>
      </c>
      <c r="G4190">
        <v>3</v>
      </c>
      <c r="H4190">
        <v>9654</v>
      </c>
      <c r="I4190" t="s">
        <v>39</v>
      </c>
      <c r="J4190" t="s">
        <v>19</v>
      </c>
      <c r="K4190" t="s">
        <v>20</v>
      </c>
      <c r="L4190">
        <v>10</v>
      </c>
      <c r="M4190">
        <v>0</v>
      </c>
      <c r="N4190">
        <v>0</v>
      </c>
      <c r="O4190" t="s">
        <v>21</v>
      </c>
      <c r="P4190" t="str">
        <f>TEXT(Table1[[#This Row],[order_date]],"yyyy-mm")</f>
        <v>2025-09</v>
      </c>
      <c r="Q4190">
        <f>WEEKNUM(Table1[[#This Row],[order_date]])</f>
        <v>39</v>
      </c>
      <c r="R4190">
        <f>IF(Table1[[#This Row],[order_status]]="completed",1,0)</f>
        <v>1</v>
      </c>
    </row>
    <row r="4191" spans="1:18" x14ac:dyDescent="0.35">
      <c r="A4191">
        <v>4190</v>
      </c>
      <c r="B4191" s="1">
        <v>45956</v>
      </c>
      <c r="C4191">
        <v>1271</v>
      </c>
      <c r="D4191" t="s">
        <v>41</v>
      </c>
      <c r="E4191" t="s">
        <v>29</v>
      </c>
      <c r="F4191" t="s">
        <v>34</v>
      </c>
      <c r="G4191">
        <v>3</v>
      </c>
      <c r="H4191">
        <v>5910</v>
      </c>
      <c r="I4191" t="s">
        <v>25</v>
      </c>
      <c r="J4191" t="s">
        <v>19</v>
      </c>
      <c r="K4191" t="s">
        <v>40</v>
      </c>
      <c r="L4191">
        <v>3</v>
      </c>
      <c r="M4191">
        <v>1</v>
      </c>
      <c r="N4191">
        <v>1</v>
      </c>
      <c r="O4191" t="s">
        <v>21</v>
      </c>
      <c r="P4191" t="str">
        <f>TEXT(Table1[[#This Row],[order_date]],"yyyy-mm")</f>
        <v>2025-10</v>
      </c>
      <c r="Q4191">
        <f>WEEKNUM(Table1[[#This Row],[order_date]])</f>
        <v>44</v>
      </c>
      <c r="R4191">
        <f>IF(Table1[[#This Row],[order_status]]="completed",1,0)</f>
        <v>1</v>
      </c>
    </row>
    <row r="4192" spans="1:18" x14ac:dyDescent="0.35">
      <c r="A4192">
        <v>4191</v>
      </c>
      <c r="B4192" s="1">
        <v>45893</v>
      </c>
      <c r="C4192">
        <v>1826</v>
      </c>
      <c r="D4192" t="s">
        <v>15</v>
      </c>
      <c r="E4192" t="s">
        <v>23</v>
      </c>
      <c r="F4192" t="s">
        <v>24</v>
      </c>
      <c r="G4192">
        <v>3</v>
      </c>
      <c r="H4192">
        <v>0</v>
      </c>
      <c r="I4192" t="s">
        <v>18</v>
      </c>
      <c r="J4192" t="s">
        <v>31</v>
      </c>
      <c r="K4192" t="s">
        <v>40</v>
      </c>
      <c r="L4192">
        <v>1</v>
      </c>
      <c r="M4192">
        <v>0</v>
      </c>
      <c r="N4192">
        <v>0</v>
      </c>
      <c r="O4192" t="s">
        <v>27</v>
      </c>
      <c r="P4192" t="str">
        <f>TEXT(Table1[[#This Row],[order_date]],"yyyy-mm")</f>
        <v>2025-08</v>
      </c>
      <c r="Q4192">
        <f>WEEKNUM(Table1[[#This Row],[order_date]])</f>
        <v>35</v>
      </c>
      <c r="R4192">
        <f>IF(Table1[[#This Row],[order_status]]="completed",1,0)</f>
        <v>0</v>
      </c>
    </row>
    <row r="4193" spans="1:18" x14ac:dyDescent="0.35">
      <c r="A4193">
        <v>4192</v>
      </c>
      <c r="B4193" s="1">
        <v>45864</v>
      </c>
      <c r="C4193">
        <v>1452</v>
      </c>
      <c r="D4193" t="s">
        <v>32</v>
      </c>
      <c r="E4193" t="s">
        <v>23</v>
      </c>
      <c r="F4193" t="s">
        <v>17</v>
      </c>
      <c r="G4193">
        <v>1</v>
      </c>
      <c r="H4193">
        <v>0</v>
      </c>
      <c r="I4193" t="s">
        <v>35</v>
      </c>
      <c r="J4193" t="s">
        <v>31</v>
      </c>
      <c r="K4193" t="s">
        <v>20</v>
      </c>
      <c r="L4193">
        <v>5</v>
      </c>
      <c r="M4193">
        <v>0</v>
      </c>
      <c r="N4193">
        <v>0</v>
      </c>
      <c r="O4193" t="s">
        <v>21</v>
      </c>
      <c r="P4193" t="str">
        <f>TEXT(Table1[[#This Row],[order_date]],"yyyy-mm")</f>
        <v>2025-07</v>
      </c>
      <c r="Q4193">
        <f>WEEKNUM(Table1[[#This Row],[order_date]])</f>
        <v>30</v>
      </c>
      <c r="R4193">
        <f>IF(Table1[[#This Row],[order_status]]="completed",1,0)</f>
        <v>0</v>
      </c>
    </row>
    <row r="4194" spans="1:18" x14ac:dyDescent="0.35">
      <c r="A4194">
        <v>4193</v>
      </c>
      <c r="B4194" s="1">
        <v>45911</v>
      </c>
      <c r="C4194">
        <v>1525</v>
      </c>
      <c r="D4194" t="s">
        <v>22</v>
      </c>
      <c r="E4194" t="s">
        <v>16</v>
      </c>
      <c r="F4194" t="s">
        <v>30</v>
      </c>
      <c r="G4194">
        <v>2</v>
      </c>
      <c r="H4194">
        <v>0</v>
      </c>
      <c r="I4194" t="s">
        <v>35</v>
      </c>
      <c r="J4194" t="s">
        <v>37</v>
      </c>
      <c r="K4194" t="s">
        <v>20</v>
      </c>
      <c r="L4194">
        <v>2</v>
      </c>
      <c r="M4194">
        <v>0</v>
      </c>
      <c r="N4194">
        <v>1</v>
      </c>
      <c r="O4194" t="s">
        <v>27</v>
      </c>
      <c r="P4194" t="str">
        <f>TEXT(Table1[[#This Row],[order_date]],"yyyy-mm")</f>
        <v>2025-09</v>
      </c>
      <c r="Q4194">
        <f>WEEKNUM(Table1[[#This Row],[order_date]])</f>
        <v>37</v>
      </c>
      <c r="R4194">
        <f>IF(Table1[[#This Row],[order_status]]="completed",1,0)</f>
        <v>0</v>
      </c>
    </row>
    <row r="4195" spans="1:18" x14ac:dyDescent="0.35">
      <c r="A4195">
        <v>4194</v>
      </c>
      <c r="B4195" s="1">
        <v>45997</v>
      </c>
      <c r="C4195">
        <v>1899</v>
      </c>
      <c r="D4195" t="s">
        <v>32</v>
      </c>
      <c r="E4195" t="s">
        <v>33</v>
      </c>
      <c r="F4195" t="s">
        <v>34</v>
      </c>
      <c r="G4195">
        <v>3</v>
      </c>
      <c r="H4195">
        <v>0</v>
      </c>
      <c r="I4195" t="s">
        <v>39</v>
      </c>
      <c r="J4195" t="s">
        <v>31</v>
      </c>
      <c r="K4195" t="s">
        <v>40</v>
      </c>
      <c r="L4195">
        <v>8</v>
      </c>
      <c r="M4195">
        <v>0</v>
      </c>
      <c r="N4195">
        <v>0</v>
      </c>
      <c r="O4195" t="s">
        <v>21</v>
      </c>
      <c r="P4195" t="str">
        <f>TEXT(Table1[[#This Row],[order_date]],"yyyy-mm")</f>
        <v>2025-12</v>
      </c>
      <c r="Q4195">
        <f>WEEKNUM(Table1[[#This Row],[order_date]])</f>
        <v>49</v>
      </c>
      <c r="R4195">
        <f>IF(Table1[[#This Row],[order_status]]="completed",1,0)</f>
        <v>0</v>
      </c>
    </row>
    <row r="4196" spans="1:18" x14ac:dyDescent="0.35">
      <c r="A4196">
        <v>4195</v>
      </c>
      <c r="B4196" s="1">
        <v>45931</v>
      </c>
      <c r="C4196">
        <v>1007</v>
      </c>
      <c r="D4196" t="s">
        <v>22</v>
      </c>
      <c r="E4196" t="s">
        <v>23</v>
      </c>
      <c r="F4196" t="s">
        <v>24</v>
      </c>
      <c r="G4196">
        <v>1</v>
      </c>
      <c r="H4196">
        <v>0</v>
      </c>
      <c r="I4196" t="s">
        <v>18</v>
      </c>
      <c r="J4196" t="s">
        <v>37</v>
      </c>
      <c r="K4196" t="s">
        <v>20</v>
      </c>
      <c r="L4196">
        <v>5</v>
      </c>
      <c r="M4196">
        <v>0</v>
      </c>
      <c r="N4196">
        <v>1</v>
      </c>
      <c r="O4196" t="s">
        <v>27</v>
      </c>
      <c r="P4196" t="str">
        <f>TEXT(Table1[[#This Row],[order_date]],"yyyy-mm")</f>
        <v>2025-10</v>
      </c>
      <c r="Q4196">
        <f>WEEKNUM(Table1[[#This Row],[order_date]])</f>
        <v>40</v>
      </c>
      <c r="R4196">
        <f>IF(Table1[[#This Row],[order_status]]="completed",1,0)</f>
        <v>0</v>
      </c>
    </row>
    <row r="4197" spans="1:18" x14ac:dyDescent="0.35">
      <c r="A4197">
        <v>4196</v>
      </c>
      <c r="B4197" s="1">
        <v>45971</v>
      </c>
      <c r="C4197">
        <v>1396</v>
      </c>
      <c r="D4197" t="s">
        <v>32</v>
      </c>
      <c r="E4197" t="s">
        <v>33</v>
      </c>
      <c r="F4197" t="s">
        <v>34</v>
      </c>
      <c r="G4197">
        <v>2</v>
      </c>
      <c r="H4197">
        <v>0</v>
      </c>
      <c r="I4197" t="s">
        <v>18</v>
      </c>
      <c r="J4197" t="s">
        <v>31</v>
      </c>
      <c r="K4197" t="s">
        <v>26</v>
      </c>
      <c r="L4197">
        <v>7</v>
      </c>
      <c r="M4197">
        <v>1</v>
      </c>
      <c r="N4197">
        <v>1</v>
      </c>
      <c r="O4197" t="s">
        <v>27</v>
      </c>
      <c r="P4197" t="str">
        <f>TEXT(Table1[[#This Row],[order_date]],"yyyy-mm")</f>
        <v>2025-11</v>
      </c>
      <c r="Q4197">
        <f>WEEKNUM(Table1[[#This Row],[order_date]])</f>
        <v>46</v>
      </c>
      <c r="R4197">
        <f>IF(Table1[[#This Row],[order_status]]="completed",1,0)</f>
        <v>0</v>
      </c>
    </row>
    <row r="4198" spans="1:18" x14ac:dyDescent="0.35">
      <c r="A4198">
        <v>4197</v>
      </c>
      <c r="B4198" s="1">
        <v>45911</v>
      </c>
      <c r="C4198">
        <v>1866</v>
      </c>
      <c r="D4198" t="s">
        <v>41</v>
      </c>
      <c r="E4198" t="s">
        <v>29</v>
      </c>
      <c r="F4198" t="s">
        <v>30</v>
      </c>
      <c r="G4198">
        <v>5</v>
      </c>
      <c r="H4198">
        <v>0</v>
      </c>
      <c r="I4198" t="s">
        <v>25</v>
      </c>
      <c r="J4198" t="s">
        <v>31</v>
      </c>
      <c r="K4198" t="s">
        <v>26</v>
      </c>
      <c r="L4198">
        <v>8</v>
      </c>
      <c r="M4198">
        <v>1</v>
      </c>
      <c r="N4198">
        <v>0</v>
      </c>
      <c r="O4198" t="s">
        <v>21</v>
      </c>
      <c r="P4198" t="str">
        <f>TEXT(Table1[[#This Row],[order_date]],"yyyy-mm")</f>
        <v>2025-09</v>
      </c>
      <c r="Q4198">
        <f>WEEKNUM(Table1[[#This Row],[order_date]])</f>
        <v>37</v>
      </c>
      <c r="R4198">
        <f>IF(Table1[[#This Row],[order_status]]="completed",1,0)</f>
        <v>0</v>
      </c>
    </row>
    <row r="4199" spans="1:18" x14ac:dyDescent="0.35">
      <c r="A4199">
        <v>4198</v>
      </c>
      <c r="B4199" s="1">
        <v>45919</v>
      </c>
      <c r="C4199">
        <v>1751</v>
      </c>
      <c r="D4199" t="s">
        <v>28</v>
      </c>
      <c r="E4199" t="s">
        <v>36</v>
      </c>
      <c r="F4199" t="s">
        <v>30</v>
      </c>
      <c r="G4199">
        <v>5</v>
      </c>
      <c r="H4199">
        <v>0</v>
      </c>
      <c r="I4199" t="s">
        <v>39</v>
      </c>
      <c r="J4199" t="s">
        <v>31</v>
      </c>
      <c r="K4199" t="s">
        <v>26</v>
      </c>
      <c r="L4199">
        <v>3</v>
      </c>
      <c r="M4199">
        <v>1</v>
      </c>
      <c r="N4199">
        <v>1</v>
      </c>
      <c r="O4199" t="s">
        <v>21</v>
      </c>
      <c r="P4199" t="str">
        <f>TEXT(Table1[[#This Row],[order_date]],"yyyy-mm")</f>
        <v>2025-09</v>
      </c>
      <c r="Q4199">
        <f>WEEKNUM(Table1[[#This Row],[order_date]])</f>
        <v>38</v>
      </c>
      <c r="R4199">
        <f>IF(Table1[[#This Row],[order_status]]="completed",1,0)</f>
        <v>0</v>
      </c>
    </row>
    <row r="4200" spans="1:18" x14ac:dyDescent="0.35">
      <c r="A4200">
        <v>4199</v>
      </c>
      <c r="B4200" s="1">
        <v>45863</v>
      </c>
      <c r="C4200">
        <v>1972</v>
      </c>
      <c r="D4200" t="s">
        <v>22</v>
      </c>
      <c r="E4200" t="s">
        <v>33</v>
      </c>
      <c r="F4200" t="s">
        <v>17</v>
      </c>
      <c r="G4200">
        <v>1</v>
      </c>
      <c r="H4200">
        <v>0</v>
      </c>
      <c r="I4200" t="s">
        <v>35</v>
      </c>
      <c r="J4200" t="s">
        <v>31</v>
      </c>
      <c r="K4200" t="s">
        <v>38</v>
      </c>
      <c r="L4200">
        <v>7</v>
      </c>
      <c r="M4200">
        <v>0</v>
      </c>
      <c r="N4200">
        <v>1</v>
      </c>
      <c r="O4200" t="s">
        <v>27</v>
      </c>
      <c r="P4200" t="str">
        <f>TEXT(Table1[[#This Row],[order_date]],"yyyy-mm")</f>
        <v>2025-07</v>
      </c>
      <c r="Q4200">
        <f>WEEKNUM(Table1[[#This Row],[order_date]])</f>
        <v>30</v>
      </c>
      <c r="R4200">
        <f>IF(Table1[[#This Row],[order_status]]="completed",1,0)</f>
        <v>0</v>
      </c>
    </row>
    <row r="4201" spans="1:18" x14ac:dyDescent="0.35">
      <c r="A4201">
        <v>4200</v>
      </c>
      <c r="B4201" s="1">
        <v>45856</v>
      </c>
      <c r="C4201">
        <v>1966</v>
      </c>
      <c r="D4201" t="s">
        <v>22</v>
      </c>
      <c r="E4201" t="s">
        <v>33</v>
      </c>
      <c r="F4201" t="s">
        <v>24</v>
      </c>
      <c r="G4201">
        <v>1</v>
      </c>
      <c r="H4201">
        <v>0</v>
      </c>
      <c r="I4201" t="s">
        <v>39</v>
      </c>
      <c r="J4201" t="s">
        <v>37</v>
      </c>
      <c r="K4201" t="s">
        <v>40</v>
      </c>
      <c r="L4201">
        <v>2</v>
      </c>
      <c r="M4201">
        <v>1</v>
      </c>
      <c r="N4201">
        <v>0</v>
      </c>
      <c r="O4201" t="s">
        <v>27</v>
      </c>
      <c r="P4201" t="str">
        <f>TEXT(Table1[[#This Row],[order_date]],"yyyy-mm")</f>
        <v>2025-07</v>
      </c>
      <c r="Q4201">
        <f>WEEKNUM(Table1[[#This Row],[order_date]])</f>
        <v>29</v>
      </c>
      <c r="R4201">
        <f>IF(Table1[[#This Row],[order_status]]="completed",1,0)</f>
        <v>0</v>
      </c>
    </row>
    <row r="4202" spans="1:18" x14ac:dyDescent="0.35">
      <c r="A4202">
        <v>4201</v>
      </c>
      <c r="B4202" s="1">
        <v>45921</v>
      </c>
      <c r="C4202">
        <v>1077</v>
      </c>
      <c r="D4202" t="s">
        <v>15</v>
      </c>
      <c r="E4202" t="s">
        <v>33</v>
      </c>
      <c r="F4202" t="s">
        <v>17</v>
      </c>
      <c r="G4202">
        <v>3</v>
      </c>
      <c r="H4202">
        <v>0</v>
      </c>
      <c r="I4202" t="s">
        <v>25</v>
      </c>
      <c r="J4202" t="s">
        <v>31</v>
      </c>
      <c r="K4202" t="s">
        <v>38</v>
      </c>
      <c r="L4202">
        <v>2</v>
      </c>
      <c r="M4202">
        <v>0</v>
      </c>
      <c r="N4202">
        <v>1</v>
      </c>
      <c r="O4202" t="s">
        <v>21</v>
      </c>
      <c r="P4202" t="str">
        <f>TEXT(Table1[[#This Row],[order_date]],"yyyy-mm")</f>
        <v>2025-09</v>
      </c>
      <c r="Q4202">
        <f>WEEKNUM(Table1[[#This Row],[order_date]])</f>
        <v>39</v>
      </c>
      <c r="R4202">
        <f>IF(Table1[[#This Row],[order_status]]="completed",1,0)</f>
        <v>0</v>
      </c>
    </row>
    <row r="4203" spans="1:18" x14ac:dyDescent="0.35">
      <c r="A4203">
        <v>4202</v>
      </c>
      <c r="B4203" s="1">
        <v>45894</v>
      </c>
      <c r="C4203">
        <v>1280</v>
      </c>
      <c r="D4203" t="s">
        <v>32</v>
      </c>
      <c r="E4203" t="s">
        <v>36</v>
      </c>
      <c r="F4203" t="s">
        <v>17</v>
      </c>
      <c r="G4203">
        <v>5</v>
      </c>
      <c r="H4203">
        <v>0</v>
      </c>
      <c r="I4203" t="s">
        <v>35</v>
      </c>
      <c r="J4203" t="s">
        <v>31</v>
      </c>
      <c r="K4203" t="s">
        <v>40</v>
      </c>
      <c r="L4203">
        <v>10</v>
      </c>
      <c r="M4203">
        <v>1</v>
      </c>
      <c r="N4203">
        <v>1</v>
      </c>
      <c r="O4203" t="s">
        <v>27</v>
      </c>
      <c r="P4203" t="str">
        <f>TEXT(Table1[[#This Row],[order_date]],"yyyy-mm")</f>
        <v>2025-08</v>
      </c>
      <c r="Q4203">
        <f>WEEKNUM(Table1[[#This Row],[order_date]])</f>
        <v>35</v>
      </c>
      <c r="R4203">
        <f>IF(Table1[[#This Row],[order_status]]="completed",1,0)</f>
        <v>0</v>
      </c>
    </row>
    <row r="4204" spans="1:18" x14ac:dyDescent="0.35">
      <c r="A4204">
        <v>4203</v>
      </c>
      <c r="B4204" s="1">
        <v>45971</v>
      </c>
      <c r="C4204">
        <v>1626</v>
      </c>
      <c r="D4204" t="s">
        <v>15</v>
      </c>
      <c r="E4204" t="s">
        <v>23</v>
      </c>
      <c r="F4204" t="s">
        <v>34</v>
      </c>
      <c r="G4204">
        <v>2</v>
      </c>
      <c r="H4204">
        <v>0</v>
      </c>
      <c r="I4204" t="s">
        <v>25</v>
      </c>
      <c r="J4204" t="s">
        <v>31</v>
      </c>
      <c r="K4204" t="s">
        <v>26</v>
      </c>
      <c r="L4204">
        <v>9</v>
      </c>
      <c r="M4204">
        <v>0</v>
      </c>
      <c r="N4204">
        <v>0</v>
      </c>
      <c r="O4204" t="s">
        <v>21</v>
      </c>
      <c r="P4204" t="str">
        <f>TEXT(Table1[[#This Row],[order_date]],"yyyy-mm")</f>
        <v>2025-11</v>
      </c>
      <c r="Q4204">
        <f>WEEKNUM(Table1[[#This Row],[order_date]])</f>
        <v>46</v>
      </c>
      <c r="R4204">
        <f>IF(Table1[[#This Row],[order_status]]="completed",1,0)</f>
        <v>0</v>
      </c>
    </row>
    <row r="4205" spans="1:18" x14ac:dyDescent="0.35">
      <c r="A4205">
        <v>4204</v>
      </c>
      <c r="B4205" s="1">
        <v>45852</v>
      </c>
      <c r="C4205">
        <v>1188</v>
      </c>
      <c r="D4205" t="s">
        <v>15</v>
      </c>
      <c r="E4205" t="s">
        <v>33</v>
      </c>
      <c r="F4205" t="s">
        <v>24</v>
      </c>
      <c r="G4205">
        <v>4</v>
      </c>
      <c r="H4205">
        <v>0</v>
      </c>
      <c r="I4205" t="s">
        <v>18</v>
      </c>
      <c r="J4205" t="s">
        <v>37</v>
      </c>
      <c r="K4205" t="s">
        <v>40</v>
      </c>
      <c r="L4205">
        <v>5</v>
      </c>
      <c r="M4205">
        <v>1</v>
      </c>
      <c r="N4205">
        <v>1</v>
      </c>
      <c r="O4205" t="s">
        <v>21</v>
      </c>
      <c r="P4205" t="str">
        <f>TEXT(Table1[[#This Row],[order_date]],"yyyy-mm")</f>
        <v>2025-07</v>
      </c>
      <c r="Q4205">
        <f>WEEKNUM(Table1[[#This Row],[order_date]])</f>
        <v>29</v>
      </c>
      <c r="R4205">
        <f>IF(Table1[[#This Row],[order_status]]="completed",1,0)</f>
        <v>0</v>
      </c>
    </row>
    <row r="4206" spans="1:18" x14ac:dyDescent="0.35">
      <c r="A4206">
        <v>4205</v>
      </c>
      <c r="B4206" s="1">
        <v>45917</v>
      </c>
      <c r="C4206">
        <v>1747</v>
      </c>
      <c r="D4206" t="s">
        <v>28</v>
      </c>
      <c r="E4206" t="s">
        <v>23</v>
      </c>
      <c r="F4206" t="s">
        <v>17</v>
      </c>
      <c r="G4206">
        <v>2</v>
      </c>
      <c r="H4206">
        <v>0</v>
      </c>
      <c r="I4206" t="s">
        <v>18</v>
      </c>
      <c r="J4206" t="s">
        <v>31</v>
      </c>
      <c r="K4206" t="s">
        <v>20</v>
      </c>
      <c r="L4206">
        <v>3</v>
      </c>
      <c r="M4206">
        <v>0</v>
      </c>
      <c r="N4206">
        <v>0</v>
      </c>
      <c r="O4206" t="s">
        <v>27</v>
      </c>
      <c r="P4206" t="str">
        <f>TEXT(Table1[[#This Row],[order_date]],"yyyy-mm")</f>
        <v>2025-09</v>
      </c>
      <c r="Q4206">
        <f>WEEKNUM(Table1[[#This Row],[order_date]])</f>
        <v>38</v>
      </c>
      <c r="R4206">
        <f>IF(Table1[[#This Row],[order_status]]="completed",1,0)</f>
        <v>0</v>
      </c>
    </row>
    <row r="4207" spans="1:18" x14ac:dyDescent="0.35">
      <c r="A4207">
        <v>4206</v>
      </c>
      <c r="B4207" s="1">
        <v>45949</v>
      </c>
      <c r="C4207">
        <v>1045</v>
      </c>
      <c r="D4207" t="s">
        <v>28</v>
      </c>
      <c r="E4207" t="s">
        <v>16</v>
      </c>
      <c r="F4207" t="s">
        <v>30</v>
      </c>
      <c r="G4207">
        <v>4</v>
      </c>
      <c r="H4207">
        <v>16408</v>
      </c>
      <c r="I4207" t="s">
        <v>18</v>
      </c>
      <c r="J4207" t="s">
        <v>19</v>
      </c>
      <c r="K4207" t="s">
        <v>26</v>
      </c>
      <c r="L4207">
        <v>6</v>
      </c>
      <c r="M4207">
        <v>0</v>
      </c>
      <c r="N4207">
        <v>0</v>
      </c>
      <c r="O4207" t="s">
        <v>21</v>
      </c>
      <c r="P4207" t="str">
        <f>TEXT(Table1[[#This Row],[order_date]],"yyyy-mm")</f>
        <v>2025-10</v>
      </c>
      <c r="Q4207">
        <f>WEEKNUM(Table1[[#This Row],[order_date]])</f>
        <v>43</v>
      </c>
      <c r="R4207">
        <f>IF(Table1[[#This Row],[order_status]]="completed",1,0)</f>
        <v>1</v>
      </c>
    </row>
    <row r="4208" spans="1:18" x14ac:dyDescent="0.35">
      <c r="A4208">
        <v>4207</v>
      </c>
      <c r="B4208" s="1">
        <v>46017</v>
      </c>
      <c r="C4208">
        <v>1864</v>
      </c>
      <c r="D4208" t="s">
        <v>15</v>
      </c>
      <c r="E4208" t="s">
        <v>16</v>
      </c>
      <c r="F4208" t="s">
        <v>17</v>
      </c>
      <c r="G4208">
        <v>2</v>
      </c>
      <c r="H4208">
        <v>8120</v>
      </c>
      <c r="I4208" t="s">
        <v>18</v>
      </c>
      <c r="J4208" t="s">
        <v>19</v>
      </c>
      <c r="K4208" t="s">
        <v>40</v>
      </c>
      <c r="L4208">
        <v>1</v>
      </c>
      <c r="M4208">
        <v>0</v>
      </c>
      <c r="N4208">
        <v>0</v>
      </c>
      <c r="O4208" t="s">
        <v>21</v>
      </c>
      <c r="P4208" t="str">
        <f>TEXT(Table1[[#This Row],[order_date]],"yyyy-mm")</f>
        <v>2025-12</v>
      </c>
      <c r="Q4208">
        <f>WEEKNUM(Table1[[#This Row],[order_date]])</f>
        <v>52</v>
      </c>
      <c r="R4208">
        <f>IF(Table1[[#This Row],[order_status]]="completed",1,0)</f>
        <v>1</v>
      </c>
    </row>
    <row r="4209" spans="1:18" x14ac:dyDescent="0.35">
      <c r="A4209">
        <v>4208</v>
      </c>
      <c r="B4209" s="1">
        <v>45855</v>
      </c>
      <c r="C4209">
        <v>1296</v>
      </c>
      <c r="D4209" t="s">
        <v>41</v>
      </c>
      <c r="E4209" t="s">
        <v>33</v>
      </c>
      <c r="F4209" t="s">
        <v>24</v>
      </c>
      <c r="G4209">
        <v>3</v>
      </c>
      <c r="H4209">
        <v>0</v>
      </c>
      <c r="I4209" t="s">
        <v>39</v>
      </c>
      <c r="J4209" t="s">
        <v>31</v>
      </c>
      <c r="K4209" t="s">
        <v>38</v>
      </c>
      <c r="L4209">
        <v>5</v>
      </c>
      <c r="M4209">
        <v>1</v>
      </c>
      <c r="N4209">
        <v>1</v>
      </c>
      <c r="O4209" t="s">
        <v>21</v>
      </c>
      <c r="P4209" t="str">
        <f>TEXT(Table1[[#This Row],[order_date]],"yyyy-mm")</f>
        <v>2025-07</v>
      </c>
      <c r="Q4209">
        <f>WEEKNUM(Table1[[#This Row],[order_date]])</f>
        <v>29</v>
      </c>
      <c r="R4209">
        <f>IF(Table1[[#This Row],[order_status]]="completed",1,0)</f>
        <v>0</v>
      </c>
    </row>
    <row r="4210" spans="1:18" x14ac:dyDescent="0.35">
      <c r="A4210">
        <v>4209</v>
      </c>
      <c r="B4210" s="1">
        <v>45978</v>
      </c>
      <c r="C4210">
        <v>1349</v>
      </c>
      <c r="D4210" t="s">
        <v>41</v>
      </c>
      <c r="E4210" t="s">
        <v>33</v>
      </c>
      <c r="F4210" t="s">
        <v>30</v>
      </c>
      <c r="G4210">
        <v>3</v>
      </c>
      <c r="H4210">
        <v>9291</v>
      </c>
      <c r="I4210" t="s">
        <v>35</v>
      </c>
      <c r="J4210" t="s">
        <v>19</v>
      </c>
      <c r="K4210" t="s">
        <v>20</v>
      </c>
      <c r="L4210">
        <v>10</v>
      </c>
      <c r="M4210">
        <v>1</v>
      </c>
      <c r="N4210">
        <v>0</v>
      </c>
      <c r="O4210" t="s">
        <v>27</v>
      </c>
      <c r="P4210" t="str">
        <f>TEXT(Table1[[#This Row],[order_date]],"yyyy-mm")</f>
        <v>2025-11</v>
      </c>
      <c r="Q4210">
        <f>WEEKNUM(Table1[[#This Row],[order_date]])</f>
        <v>47</v>
      </c>
      <c r="R4210">
        <f>IF(Table1[[#This Row],[order_status]]="completed",1,0)</f>
        <v>1</v>
      </c>
    </row>
    <row r="4211" spans="1:18" x14ac:dyDescent="0.35">
      <c r="A4211">
        <v>4210</v>
      </c>
      <c r="B4211" s="1">
        <v>45949</v>
      </c>
      <c r="C4211">
        <v>1206</v>
      </c>
      <c r="D4211" t="s">
        <v>28</v>
      </c>
      <c r="E4211" t="s">
        <v>23</v>
      </c>
      <c r="F4211" t="s">
        <v>17</v>
      </c>
      <c r="G4211">
        <v>2</v>
      </c>
      <c r="H4211">
        <v>0</v>
      </c>
      <c r="I4211" t="s">
        <v>25</v>
      </c>
      <c r="J4211" t="s">
        <v>31</v>
      </c>
      <c r="K4211" t="s">
        <v>26</v>
      </c>
      <c r="L4211">
        <v>10</v>
      </c>
      <c r="M4211">
        <v>0</v>
      </c>
      <c r="N4211">
        <v>1</v>
      </c>
      <c r="O4211" t="s">
        <v>21</v>
      </c>
      <c r="P4211" t="str">
        <f>TEXT(Table1[[#This Row],[order_date]],"yyyy-mm")</f>
        <v>2025-10</v>
      </c>
      <c r="Q4211">
        <f>WEEKNUM(Table1[[#This Row],[order_date]])</f>
        <v>43</v>
      </c>
      <c r="R4211">
        <f>IF(Table1[[#This Row],[order_status]]="completed",1,0)</f>
        <v>0</v>
      </c>
    </row>
    <row r="4212" spans="1:18" x14ac:dyDescent="0.35">
      <c r="A4212">
        <v>4211</v>
      </c>
      <c r="B4212" s="1">
        <v>45926</v>
      </c>
      <c r="C4212">
        <v>1067</v>
      </c>
      <c r="D4212" t="s">
        <v>41</v>
      </c>
      <c r="E4212" t="s">
        <v>23</v>
      </c>
      <c r="F4212" t="s">
        <v>30</v>
      </c>
      <c r="G4212">
        <v>2</v>
      </c>
      <c r="H4212">
        <v>490</v>
      </c>
      <c r="I4212" t="s">
        <v>25</v>
      </c>
      <c r="J4212" t="s">
        <v>19</v>
      </c>
      <c r="K4212" t="s">
        <v>26</v>
      </c>
      <c r="L4212">
        <v>5</v>
      </c>
      <c r="M4212">
        <v>1</v>
      </c>
      <c r="N4212">
        <v>0</v>
      </c>
      <c r="O4212" t="s">
        <v>21</v>
      </c>
      <c r="P4212" t="str">
        <f>TEXT(Table1[[#This Row],[order_date]],"yyyy-mm")</f>
        <v>2025-09</v>
      </c>
      <c r="Q4212">
        <f>WEEKNUM(Table1[[#This Row],[order_date]])</f>
        <v>39</v>
      </c>
      <c r="R4212">
        <f>IF(Table1[[#This Row],[order_status]]="completed",1,0)</f>
        <v>1</v>
      </c>
    </row>
    <row r="4213" spans="1:18" x14ac:dyDescent="0.35">
      <c r="A4213">
        <v>4212</v>
      </c>
      <c r="B4213" s="1">
        <v>45990</v>
      </c>
      <c r="C4213">
        <v>1096</v>
      </c>
      <c r="D4213" t="s">
        <v>28</v>
      </c>
      <c r="E4213" t="s">
        <v>23</v>
      </c>
      <c r="F4213" t="s">
        <v>34</v>
      </c>
      <c r="G4213">
        <v>1</v>
      </c>
      <c r="H4213">
        <v>0</v>
      </c>
      <c r="I4213" t="s">
        <v>18</v>
      </c>
      <c r="J4213" t="s">
        <v>37</v>
      </c>
      <c r="K4213" t="s">
        <v>38</v>
      </c>
      <c r="L4213">
        <v>3</v>
      </c>
      <c r="M4213">
        <v>0</v>
      </c>
      <c r="N4213">
        <v>0</v>
      </c>
      <c r="O4213" t="s">
        <v>21</v>
      </c>
      <c r="P4213" t="str">
        <f>TEXT(Table1[[#This Row],[order_date]],"yyyy-mm")</f>
        <v>2025-11</v>
      </c>
      <c r="Q4213">
        <f>WEEKNUM(Table1[[#This Row],[order_date]])</f>
        <v>48</v>
      </c>
      <c r="R4213">
        <f>IF(Table1[[#This Row],[order_status]]="completed",1,0)</f>
        <v>0</v>
      </c>
    </row>
    <row r="4214" spans="1:18" x14ac:dyDescent="0.35">
      <c r="A4214">
        <v>4213</v>
      </c>
      <c r="B4214" s="1">
        <v>46009</v>
      </c>
      <c r="C4214">
        <v>1753</v>
      </c>
      <c r="D4214" t="s">
        <v>28</v>
      </c>
      <c r="E4214" t="s">
        <v>36</v>
      </c>
      <c r="F4214" t="s">
        <v>24</v>
      </c>
      <c r="G4214">
        <v>1</v>
      </c>
      <c r="H4214">
        <v>0</v>
      </c>
      <c r="I4214" t="s">
        <v>25</v>
      </c>
      <c r="J4214" t="s">
        <v>37</v>
      </c>
      <c r="K4214" t="s">
        <v>40</v>
      </c>
      <c r="L4214">
        <v>9</v>
      </c>
      <c r="M4214">
        <v>1</v>
      </c>
      <c r="N4214">
        <v>0</v>
      </c>
      <c r="O4214" t="s">
        <v>21</v>
      </c>
      <c r="P4214" t="str">
        <f>TEXT(Table1[[#This Row],[order_date]],"yyyy-mm")</f>
        <v>2025-12</v>
      </c>
      <c r="Q4214">
        <f>WEEKNUM(Table1[[#This Row],[order_date]])</f>
        <v>51</v>
      </c>
      <c r="R4214">
        <f>IF(Table1[[#This Row],[order_status]]="completed",1,0)</f>
        <v>0</v>
      </c>
    </row>
    <row r="4215" spans="1:18" x14ac:dyDescent="0.35">
      <c r="A4215">
        <v>4214</v>
      </c>
      <c r="B4215" s="1">
        <v>45914</v>
      </c>
      <c r="C4215">
        <v>1237</v>
      </c>
      <c r="D4215" t="s">
        <v>15</v>
      </c>
      <c r="E4215" t="s">
        <v>16</v>
      </c>
      <c r="F4215" t="s">
        <v>24</v>
      </c>
      <c r="G4215">
        <v>2</v>
      </c>
      <c r="H4215">
        <v>5154</v>
      </c>
      <c r="I4215" t="s">
        <v>39</v>
      </c>
      <c r="J4215" t="s">
        <v>19</v>
      </c>
      <c r="K4215" t="s">
        <v>38</v>
      </c>
      <c r="L4215">
        <v>9</v>
      </c>
      <c r="M4215">
        <v>0</v>
      </c>
      <c r="N4215">
        <v>1</v>
      </c>
      <c r="O4215" t="s">
        <v>27</v>
      </c>
      <c r="P4215" t="str">
        <f>TEXT(Table1[[#This Row],[order_date]],"yyyy-mm")</f>
        <v>2025-09</v>
      </c>
      <c r="Q4215">
        <f>WEEKNUM(Table1[[#This Row],[order_date]])</f>
        <v>38</v>
      </c>
      <c r="R4215">
        <f>IF(Table1[[#This Row],[order_status]]="completed",1,0)</f>
        <v>1</v>
      </c>
    </row>
    <row r="4216" spans="1:18" x14ac:dyDescent="0.35">
      <c r="A4216">
        <v>4215</v>
      </c>
      <c r="B4216" s="1">
        <v>45946</v>
      </c>
      <c r="C4216">
        <v>1119</v>
      </c>
      <c r="D4216" t="s">
        <v>41</v>
      </c>
      <c r="E4216" t="s">
        <v>33</v>
      </c>
      <c r="F4216" t="s">
        <v>34</v>
      </c>
      <c r="G4216">
        <v>4</v>
      </c>
      <c r="H4216">
        <v>0</v>
      </c>
      <c r="I4216" t="s">
        <v>35</v>
      </c>
      <c r="J4216" t="s">
        <v>37</v>
      </c>
      <c r="K4216" t="s">
        <v>40</v>
      </c>
      <c r="L4216">
        <v>3</v>
      </c>
      <c r="M4216">
        <v>1</v>
      </c>
      <c r="N4216">
        <v>0</v>
      </c>
      <c r="O4216" t="s">
        <v>21</v>
      </c>
      <c r="P4216" t="str">
        <f>TEXT(Table1[[#This Row],[order_date]],"yyyy-mm")</f>
        <v>2025-10</v>
      </c>
      <c r="Q4216">
        <f>WEEKNUM(Table1[[#This Row],[order_date]])</f>
        <v>42</v>
      </c>
      <c r="R4216">
        <f>IF(Table1[[#This Row],[order_status]]="completed",1,0)</f>
        <v>0</v>
      </c>
    </row>
    <row r="4217" spans="1:18" x14ac:dyDescent="0.35">
      <c r="A4217">
        <v>4216</v>
      </c>
      <c r="B4217" s="1">
        <v>45869</v>
      </c>
      <c r="C4217">
        <v>1637</v>
      </c>
      <c r="D4217" t="s">
        <v>41</v>
      </c>
      <c r="E4217" t="s">
        <v>29</v>
      </c>
      <c r="F4217" t="s">
        <v>17</v>
      </c>
      <c r="G4217">
        <v>5</v>
      </c>
      <c r="H4217">
        <v>0</v>
      </c>
      <c r="I4217" t="s">
        <v>18</v>
      </c>
      <c r="J4217" t="s">
        <v>37</v>
      </c>
      <c r="K4217" t="s">
        <v>20</v>
      </c>
      <c r="L4217">
        <v>1</v>
      </c>
      <c r="M4217">
        <v>0</v>
      </c>
      <c r="N4217">
        <v>0</v>
      </c>
      <c r="O4217" t="s">
        <v>21</v>
      </c>
      <c r="P4217" t="str">
        <f>TEXT(Table1[[#This Row],[order_date]],"yyyy-mm")</f>
        <v>2025-07</v>
      </c>
      <c r="Q4217">
        <f>WEEKNUM(Table1[[#This Row],[order_date]])</f>
        <v>31</v>
      </c>
      <c r="R4217">
        <f>IF(Table1[[#This Row],[order_status]]="completed",1,0)</f>
        <v>0</v>
      </c>
    </row>
    <row r="4218" spans="1:18" x14ac:dyDescent="0.35">
      <c r="A4218">
        <v>4217</v>
      </c>
      <c r="B4218" s="1">
        <v>45985</v>
      </c>
      <c r="C4218">
        <v>1374</v>
      </c>
      <c r="D4218" t="s">
        <v>32</v>
      </c>
      <c r="E4218" t="s">
        <v>33</v>
      </c>
      <c r="F4218" t="s">
        <v>30</v>
      </c>
      <c r="G4218">
        <v>1</v>
      </c>
      <c r="H4218">
        <v>0</v>
      </c>
      <c r="I4218" t="s">
        <v>35</v>
      </c>
      <c r="J4218" t="s">
        <v>31</v>
      </c>
      <c r="K4218" t="s">
        <v>40</v>
      </c>
      <c r="L4218">
        <v>4</v>
      </c>
      <c r="M4218">
        <v>0</v>
      </c>
      <c r="N4218">
        <v>1</v>
      </c>
      <c r="O4218" t="s">
        <v>21</v>
      </c>
      <c r="P4218" t="str">
        <f>TEXT(Table1[[#This Row],[order_date]],"yyyy-mm")</f>
        <v>2025-11</v>
      </c>
      <c r="Q4218">
        <f>WEEKNUM(Table1[[#This Row],[order_date]])</f>
        <v>48</v>
      </c>
      <c r="R4218">
        <f>IF(Table1[[#This Row],[order_status]]="completed",1,0)</f>
        <v>0</v>
      </c>
    </row>
    <row r="4219" spans="1:18" x14ac:dyDescent="0.35">
      <c r="A4219">
        <v>4218</v>
      </c>
      <c r="B4219" s="1">
        <v>45871</v>
      </c>
      <c r="C4219">
        <v>1501</v>
      </c>
      <c r="D4219" t="s">
        <v>32</v>
      </c>
      <c r="E4219" t="s">
        <v>33</v>
      </c>
      <c r="F4219" t="s">
        <v>17</v>
      </c>
      <c r="G4219">
        <v>3</v>
      </c>
      <c r="H4219">
        <v>0</v>
      </c>
      <c r="I4219" t="s">
        <v>18</v>
      </c>
      <c r="J4219" t="s">
        <v>31</v>
      </c>
      <c r="K4219" t="s">
        <v>40</v>
      </c>
      <c r="L4219">
        <v>2</v>
      </c>
      <c r="M4219">
        <v>0</v>
      </c>
      <c r="N4219">
        <v>0</v>
      </c>
      <c r="O4219" t="s">
        <v>27</v>
      </c>
      <c r="P4219" t="str">
        <f>TEXT(Table1[[#This Row],[order_date]],"yyyy-mm")</f>
        <v>2025-08</v>
      </c>
      <c r="Q4219">
        <f>WEEKNUM(Table1[[#This Row],[order_date]])</f>
        <v>31</v>
      </c>
      <c r="R4219">
        <f>IF(Table1[[#This Row],[order_status]]="completed",1,0)</f>
        <v>0</v>
      </c>
    </row>
    <row r="4220" spans="1:18" x14ac:dyDescent="0.35">
      <c r="A4220">
        <v>4219</v>
      </c>
      <c r="B4220" s="1">
        <v>45991</v>
      </c>
      <c r="C4220">
        <v>1406</v>
      </c>
      <c r="D4220" t="s">
        <v>41</v>
      </c>
      <c r="E4220" t="s">
        <v>16</v>
      </c>
      <c r="F4220" t="s">
        <v>34</v>
      </c>
      <c r="G4220">
        <v>3</v>
      </c>
      <c r="H4220">
        <v>0</v>
      </c>
      <c r="I4220" t="s">
        <v>39</v>
      </c>
      <c r="J4220" t="s">
        <v>31</v>
      </c>
      <c r="K4220" t="s">
        <v>40</v>
      </c>
      <c r="L4220">
        <v>10</v>
      </c>
      <c r="M4220">
        <v>0</v>
      </c>
      <c r="N4220">
        <v>1</v>
      </c>
      <c r="O4220" t="s">
        <v>21</v>
      </c>
      <c r="P4220" t="str">
        <f>TEXT(Table1[[#This Row],[order_date]],"yyyy-mm")</f>
        <v>2025-11</v>
      </c>
      <c r="Q4220">
        <f>WEEKNUM(Table1[[#This Row],[order_date]])</f>
        <v>49</v>
      </c>
      <c r="R4220">
        <f>IF(Table1[[#This Row],[order_status]]="completed",1,0)</f>
        <v>0</v>
      </c>
    </row>
    <row r="4221" spans="1:18" x14ac:dyDescent="0.35">
      <c r="A4221">
        <v>4220</v>
      </c>
      <c r="B4221" s="1">
        <v>46003</v>
      </c>
      <c r="C4221">
        <v>1573</v>
      </c>
      <c r="D4221" t="s">
        <v>22</v>
      </c>
      <c r="E4221" t="s">
        <v>29</v>
      </c>
      <c r="F4221" t="s">
        <v>24</v>
      </c>
      <c r="G4221">
        <v>3</v>
      </c>
      <c r="H4221">
        <v>1002</v>
      </c>
      <c r="I4221" t="s">
        <v>39</v>
      </c>
      <c r="J4221" t="s">
        <v>19</v>
      </c>
      <c r="K4221" t="s">
        <v>26</v>
      </c>
      <c r="L4221">
        <v>9</v>
      </c>
      <c r="M4221">
        <v>1</v>
      </c>
      <c r="N4221">
        <v>0</v>
      </c>
      <c r="O4221" t="s">
        <v>27</v>
      </c>
      <c r="P4221" t="str">
        <f>TEXT(Table1[[#This Row],[order_date]],"yyyy-mm")</f>
        <v>2025-12</v>
      </c>
      <c r="Q4221">
        <f>WEEKNUM(Table1[[#This Row],[order_date]])</f>
        <v>50</v>
      </c>
      <c r="R4221">
        <f>IF(Table1[[#This Row],[order_status]]="completed",1,0)</f>
        <v>1</v>
      </c>
    </row>
    <row r="4222" spans="1:18" x14ac:dyDescent="0.35">
      <c r="A4222">
        <v>4221</v>
      </c>
      <c r="B4222" s="1">
        <v>45962</v>
      </c>
      <c r="C4222">
        <v>1990</v>
      </c>
      <c r="D4222" t="s">
        <v>32</v>
      </c>
      <c r="E4222" t="s">
        <v>23</v>
      </c>
      <c r="F4222" t="s">
        <v>30</v>
      </c>
      <c r="G4222">
        <v>2</v>
      </c>
      <c r="H4222">
        <v>0</v>
      </c>
      <c r="I4222" t="s">
        <v>39</v>
      </c>
      <c r="J4222" t="s">
        <v>37</v>
      </c>
      <c r="K4222" t="s">
        <v>26</v>
      </c>
      <c r="L4222">
        <v>10</v>
      </c>
      <c r="M4222">
        <v>0</v>
      </c>
      <c r="N4222">
        <v>1</v>
      </c>
      <c r="O4222" t="s">
        <v>27</v>
      </c>
      <c r="P4222" t="str">
        <f>TEXT(Table1[[#This Row],[order_date]],"yyyy-mm")</f>
        <v>2025-11</v>
      </c>
      <c r="Q4222">
        <f>WEEKNUM(Table1[[#This Row],[order_date]])</f>
        <v>44</v>
      </c>
      <c r="R4222">
        <f>IF(Table1[[#This Row],[order_status]]="completed",1,0)</f>
        <v>0</v>
      </c>
    </row>
    <row r="4223" spans="1:18" x14ac:dyDescent="0.35">
      <c r="A4223">
        <v>4222</v>
      </c>
      <c r="B4223" s="1">
        <v>45997</v>
      </c>
      <c r="C4223">
        <v>1918</v>
      </c>
      <c r="D4223" t="s">
        <v>15</v>
      </c>
      <c r="E4223" t="s">
        <v>36</v>
      </c>
      <c r="F4223" t="s">
        <v>24</v>
      </c>
      <c r="G4223">
        <v>1</v>
      </c>
      <c r="H4223">
        <v>0</v>
      </c>
      <c r="I4223" t="s">
        <v>39</v>
      </c>
      <c r="J4223" t="s">
        <v>31</v>
      </c>
      <c r="K4223" t="s">
        <v>20</v>
      </c>
      <c r="L4223">
        <v>3</v>
      </c>
      <c r="M4223">
        <v>0</v>
      </c>
      <c r="N4223">
        <v>1</v>
      </c>
      <c r="O4223" t="s">
        <v>21</v>
      </c>
      <c r="P4223" t="str">
        <f>TEXT(Table1[[#This Row],[order_date]],"yyyy-mm")</f>
        <v>2025-12</v>
      </c>
      <c r="Q4223">
        <f>WEEKNUM(Table1[[#This Row],[order_date]])</f>
        <v>49</v>
      </c>
      <c r="R4223">
        <f>IF(Table1[[#This Row],[order_status]]="completed",1,0)</f>
        <v>0</v>
      </c>
    </row>
    <row r="4224" spans="1:18" x14ac:dyDescent="0.35">
      <c r="A4224">
        <v>4223</v>
      </c>
      <c r="B4224" s="1">
        <v>45870</v>
      </c>
      <c r="C4224">
        <v>1003</v>
      </c>
      <c r="D4224" t="s">
        <v>41</v>
      </c>
      <c r="E4224" t="s">
        <v>29</v>
      </c>
      <c r="F4224" t="s">
        <v>34</v>
      </c>
      <c r="G4224">
        <v>3</v>
      </c>
      <c r="H4224">
        <v>0</v>
      </c>
      <c r="I4224" t="s">
        <v>39</v>
      </c>
      <c r="J4224" t="s">
        <v>37</v>
      </c>
      <c r="K4224" t="s">
        <v>20</v>
      </c>
      <c r="L4224">
        <v>10</v>
      </c>
      <c r="M4224">
        <v>1</v>
      </c>
      <c r="N4224">
        <v>1</v>
      </c>
      <c r="O4224" t="s">
        <v>21</v>
      </c>
      <c r="P4224" t="str">
        <f>TEXT(Table1[[#This Row],[order_date]],"yyyy-mm")</f>
        <v>2025-08</v>
      </c>
      <c r="Q4224">
        <f>WEEKNUM(Table1[[#This Row],[order_date]])</f>
        <v>31</v>
      </c>
      <c r="R4224">
        <f>IF(Table1[[#This Row],[order_status]]="completed",1,0)</f>
        <v>0</v>
      </c>
    </row>
    <row r="4225" spans="1:18" x14ac:dyDescent="0.35">
      <c r="A4225">
        <v>4224</v>
      </c>
      <c r="B4225" s="1">
        <v>45853</v>
      </c>
      <c r="C4225">
        <v>1207</v>
      </c>
      <c r="D4225" t="s">
        <v>15</v>
      </c>
      <c r="E4225" t="s">
        <v>29</v>
      </c>
      <c r="F4225" t="s">
        <v>17</v>
      </c>
      <c r="G4225">
        <v>3</v>
      </c>
      <c r="H4225">
        <v>12384</v>
      </c>
      <c r="I4225" t="s">
        <v>18</v>
      </c>
      <c r="J4225" t="s">
        <v>19</v>
      </c>
      <c r="K4225" t="s">
        <v>38</v>
      </c>
      <c r="L4225">
        <v>2</v>
      </c>
      <c r="M4225">
        <v>1</v>
      </c>
      <c r="N4225">
        <v>1</v>
      </c>
      <c r="O4225" t="s">
        <v>27</v>
      </c>
      <c r="P4225" t="str">
        <f>TEXT(Table1[[#This Row],[order_date]],"yyyy-mm")</f>
        <v>2025-07</v>
      </c>
      <c r="Q4225">
        <f>WEEKNUM(Table1[[#This Row],[order_date]])</f>
        <v>29</v>
      </c>
      <c r="R4225">
        <f>IF(Table1[[#This Row],[order_status]]="completed",1,0)</f>
        <v>1</v>
      </c>
    </row>
    <row r="4226" spans="1:18" x14ac:dyDescent="0.35">
      <c r="A4226">
        <v>4225</v>
      </c>
      <c r="B4226" s="1">
        <v>46008</v>
      </c>
      <c r="C4226">
        <v>1837</v>
      </c>
      <c r="D4226" t="s">
        <v>28</v>
      </c>
      <c r="E4226" t="s">
        <v>29</v>
      </c>
      <c r="F4226" t="s">
        <v>34</v>
      </c>
      <c r="G4226">
        <v>5</v>
      </c>
      <c r="H4226">
        <v>0</v>
      </c>
      <c r="I4226" t="s">
        <v>39</v>
      </c>
      <c r="J4226" t="s">
        <v>37</v>
      </c>
      <c r="K4226" t="s">
        <v>40</v>
      </c>
      <c r="L4226">
        <v>4</v>
      </c>
      <c r="M4226">
        <v>0</v>
      </c>
      <c r="N4226">
        <v>0</v>
      </c>
      <c r="O4226" t="s">
        <v>27</v>
      </c>
      <c r="P4226" t="str">
        <f>TEXT(Table1[[#This Row],[order_date]],"yyyy-mm")</f>
        <v>2025-12</v>
      </c>
      <c r="Q4226">
        <f>WEEKNUM(Table1[[#This Row],[order_date]])</f>
        <v>51</v>
      </c>
      <c r="R4226">
        <f>IF(Table1[[#This Row],[order_status]]="completed",1,0)</f>
        <v>0</v>
      </c>
    </row>
    <row r="4227" spans="1:18" x14ac:dyDescent="0.35">
      <c r="A4227">
        <v>4226</v>
      </c>
      <c r="B4227" s="1">
        <v>45986</v>
      </c>
      <c r="C4227">
        <v>1740</v>
      </c>
      <c r="D4227" t="s">
        <v>32</v>
      </c>
      <c r="E4227" t="s">
        <v>33</v>
      </c>
      <c r="F4227" t="s">
        <v>30</v>
      </c>
      <c r="G4227">
        <v>1</v>
      </c>
      <c r="H4227">
        <v>538</v>
      </c>
      <c r="I4227" t="s">
        <v>39</v>
      </c>
      <c r="J4227" t="s">
        <v>19</v>
      </c>
      <c r="K4227" t="s">
        <v>26</v>
      </c>
      <c r="L4227">
        <v>6</v>
      </c>
      <c r="M4227">
        <v>0</v>
      </c>
      <c r="N4227">
        <v>1</v>
      </c>
      <c r="O4227" t="s">
        <v>27</v>
      </c>
      <c r="P4227" t="str">
        <f>TEXT(Table1[[#This Row],[order_date]],"yyyy-mm")</f>
        <v>2025-11</v>
      </c>
      <c r="Q4227">
        <f>WEEKNUM(Table1[[#This Row],[order_date]])</f>
        <v>48</v>
      </c>
      <c r="R4227">
        <f>IF(Table1[[#This Row],[order_status]]="completed",1,0)</f>
        <v>1</v>
      </c>
    </row>
    <row r="4228" spans="1:18" x14ac:dyDescent="0.35">
      <c r="A4228">
        <v>4227</v>
      </c>
      <c r="B4228" s="1">
        <v>46015</v>
      </c>
      <c r="C4228">
        <v>1934</v>
      </c>
      <c r="D4228" t="s">
        <v>22</v>
      </c>
      <c r="E4228" t="s">
        <v>23</v>
      </c>
      <c r="F4228" t="s">
        <v>34</v>
      </c>
      <c r="G4228">
        <v>1</v>
      </c>
      <c r="H4228">
        <v>0</v>
      </c>
      <c r="I4228" t="s">
        <v>39</v>
      </c>
      <c r="J4228" t="s">
        <v>37</v>
      </c>
      <c r="K4228" t="s">
        <v>20</v>
      </c>
      <c r="L4228">
        <v>5</v>
      </c>
      <c r="M4228">
        <v>0</v>
      </c>
      <c r="N4228">
        <v>0</v>
      </c>
      <c r="O4228" t="s">
        <v>21</v>
      </c>
      <c r="P4228" t="str">
        <f>TEXT(Table1[[#This Row],[order_date]],"yyyy-mm")</f>
        <v>2025-12</v>
      </c>
      <c r="Q4228">
        <f>WEEKNUM(Table1[[#This Row],[order_date]])</f>
        <v>52</v>
      </c>
      <c r="R4228">
        <f>IF(Table1[[#This Row],[order_status]]="completed",1,0)</f>
        <v>0</v>
      </c>
    </row>
    <row r="4229" spans="1:18" x14ac:dyDescent="0.35">
      <c r="A4229">
        <v>4228</v>
      </c>
      <c r="B4229" s="1">
        <v>46005</v>
      </c>
      <c r="C4229">
        <v>1582</v>
      </c>
      <c r="D4229" t="s">
        <v>15</v>
      </c>
      <c r="E4229" t="s">
        <v>36</v>
      </c>
      <c r="F4229" t="s">
        <v>24</v>
      </c>
      <c r="G4229">
        <v>3</v>
      </c>
      <c r="H4229">
        <v>13677</v>
      </c>
      <c r="I4229" t="s">
        <v>39</v>
      </c>
      <c r="J4229" t="s">
        <v>19</v>
      </c>
      <c r="K4229" t="s">
        <v>40</v>
      </c>
      <c r="L4229">
        <v>8</v>
      </c>
      <c r="M4229">
        <v>1</v>
      </c>
      <c r="N4229">
        <v>1</v>
      </c>
      <c r="O4229" t="s">
        <v>27</v>
      </c>
      <c r="P4229" t="str">
        <f>TEXT(Table1[[#This Row],[order_date]],"yyyy-mm")</f>
        <v>2025-12</v>
      </c>
      <c r="Q4229">
        <f>WEEKNUM(Table1[[#This Row],[order_date]])</f>
        <v>51</v>
      </c>
      <c r="R4229">
        <f>IF(Table1[[#This Row],[order_status]]="completed",1,0)</f>
        <v>1</v>
      </c>
    </row>
    <row r="4230" spans="1:18" x14ac:dyDescent="0.35">
      <c r="A4230">
        <v>4229</v>
      </c>
      <c r="B4230" s="1">
        <v>45951</v>
      </c>
      <c r="C4230">
        <v>1403</v>
      </c>
      <c r="D4230" t="s">
        <v>15</v>
      </c>
      <c r="E4230" t="s">
        <v>16</v>
      </c>
      <c r="F4230" t="s">
        <v>30</v>
      </c>
      <c r="G4230">
        <v>2</v>
      </c>
      <c r="H4230">
        <v>0</v>
      </c>
      <c r="I4230" t="s">
        <v>25</v>
      </c>
      <c r="J4230" t="s">
        <v>37</v>
      </c>
      <c r="K4230" t="s">
        <v>20</v>
      </c>
      <c r="L4230">
        <v>7</v>
      </c>
      <c r="M4230">
        <v>0</v>
      </c>
      <c r="N4230">
        <v>1</v>
      </c>
      <c r="O4230" t="s">
        <v>27</v>
      </c>
      <c r="P4230" t="str">
        <f>TEXT(Table1[[#This Row],[order_date]],"yyyy-mm")</f>
        <v>2025-10</v>
      </c>
      <c r="Q4230">
        <f>WEEKNUM(Table1[[#This Row],[order_date]])</f>
        <v>43</v>
      </c>
      <c r="R4230">
        <f>IF(Table1[[#This Row],[order_status]]="completed",1,0)</f>
        <v>0</v>
      </c>
    </row>
    <row r="4231" spans="1:18" x14ac:dyDescent="0.35">
      <c r="A4231">
        <v>4230</v>
      </c>
      <c r="B4231" s="1">
        <v>45949</v>
      </c>
      <c r="C4231">
        <v>1688</v>
      </c>
      <c r="D4231" t="s">
        <v>15</v>
      </c>
      <c r="E4231" t="s">
        <v>23</v>
      </c>
      <c r="F4231" t="s">
        <v>34</v>
      </c>
      <c r="G4231">
        <v>5</v>
      </c>
      <c r="H4231">
        <v>0</v>
      </c>
      <c r="I4231" t="s">
        <v>18</v>
      </c>
      <c r="J4231" t="s">
        <v>37</v>
      </c>
      <c r="K4231" t="s">
        <v>40</v>
      </c>
      <c r="L4231">
        <v>4</v>
      </c>
      <c r="M4231">
        <v>1</v>
      </c>
      <c r="N4231">
        <v>1</v>
      </c>
      <c r="O4231" t="s">
        <v>21</v>
      </c>
      <c r="P4231" t="str">
        <f>TEXT(Table1[[#This Row],[order_date]],"yyyy-mm")</f>
        <v>2025-10</v>
      </c>
      <c r="Q4231">
        <f>WEEKNUM(Table1[[#This Row],[order_date]])</f>
        <v>43</v>
      </c>
      <c r="R4231">
        <f>IF(Table1[[#This Row],[order_status]]="completed",1,0)</f>
        <v>0</v>
      </c>
    </row>
    <row r="4232" spans="1:18" x14ac:dyDescent="0.35">
      <c r="A4232">
        <v>4231</v>
      </c>
      <c r="B4232" s="1">
        <v>45980</v>
      </c>
      <c r="C4232">
        <v>1301</v>
      </c>
      <c r="D4232" t="s">
        <v>41</v>
      </c>
      <c r="E4232" t="s">
        <v>33</v>
      </c>
      <c r="F4232" t="s">
        <v>30</v>
      </c>
      <c r="G4232">
        <v>5</v>
      </c>
      <c r="H4232">
        <v>21285</v>
      </c>
      <c r="I4232" t="s">
        <v>18</v>
      </c>
      <c r="J4232" t="s">
        <v>19</v>
      </c>
      <c r="K4232" t="s">
        <v>40</v>
      </c>
      <c r="L4232">
        <v>3</v>
      </c>
      <c r="M4232">
        <v>0</v>
      </c>
      <c r="N4232">
        <v>0</v>
      </c>
      <c r="O4232" t="s">
        <v>27</v>
      </c>
      <c r="P4232" t="str">
        <f>TEXT(Table1[[#This Row],[order_date]],"yyyy-mm")</f>
        <v>2025-11</v>
      </c>
      <c r="Q4232">
        <f>WEEKNUM(Table1[[#This Row],[order_date]])</f>
        <v>47</v>
      </c>
      <c r="R4232">
        <f>IF(Table1[[#This Row],[order_status]]="completed",1,0)</f>
        <v>1</v>
      </c>
    </row>
    <row r="4233" spans="1:18" x14ac:dyDescent="0.35">
      <c r="A4233">
        <v>4232</v>
      </c>
      <c r="B4233" s="1">
        <v>45950</v>
      </c>
      <c r="C4233">
        <v>1785</v>
      </c>
      <c r="D4233" t="s">
        <v>15</v>
      </c>
      <c r="E4233" t="s">
        <v>23</v>
      </c>
      <c r="F4233" t="s">
        <v>34</v>
      </c>
      <c r="G4233">
        <v>1</v>
      </c>
      <c r="H4233">
        <v>0</v>
      </c>
      <c r="I4233" t="s">
        <v>25</v>
      </c>
      <c r="J4233" t="s">
        <v>31</v>
      </c>
      <c r="K4233" t="s">
        <v>26</v>
      </c>
      <c r="L4233">
        <v>7</v>
      </c>
      <c r="M4233">
        <v>1</v>
      </c>
      <c r="N4233">
        <v>1</v>
      </c>
      <c r="O4233" t="s">
        <v>21</v>
      </c>
      <c r="P4233" t="str">
        <f>TEXT(Table1[[#This Row],[order_date]],"yyyy-mm")</f>
        <v>2025-10</v>
      </c>
      <c r="Q4233">
        <f>WEEKNUM(Table1[[#This Row],[order_date]])</f>
        <v>43</v>
      </c>
      <c r="R4233">
        <f>IF(Table1[[#This Row],[order_status]]="completed",1,0)</f>
        <v>0</v>
      </c>
    </row>
    <row r="4234" spans="1:18" x14ac:dyDescent="0.35">
      <c r="A4234">
        <v>4233</v>
      </c>
      <c r="B4234" s="1">
        <v>45925</v>
      </c>
      <c r="C4234">
        <v>1220</v>
      </c>
      <c r="D4234" t="s">
        <v>28</v>
      </c>
      <c r="E4234" t="s">
        <v>36</v>
      </c>
      <c r="F4234" t="s">
        <v>17</v>
      </c>
      <c r="G4234">
        <v>5</v>
      </c>
      <c r="H4234">
        <v>0</v>
      </c>
      <c r="I4234" t="s">
        <v>39</v>
      </c>
      <c r="J4234" t="s">
        <v>31</v>
      </c>
      <c r="K4234" t="s">
        <v>38</v>
      </c>
      <c r="L4234">
        <v>8</v>
      </c>
      <c r="M4234">
        <v>0</v>
      </c>
      <c r="N4234">
        <v>1</v>
      </c>
      <c r="O4234" t="s">
        <v>21</v>
      </c>
      <c r="P4234" t="str">
        <f>TEXT(Table1[[#This Row],[order_date]],"yyyy-mm")</f>
        <v>2025-09</v>
      </c>
      <c r="Q4234">
        <f>WEEKNUM(Table1[[#This Row],[order_date]])</f>
        <v>39</v>
      </c>
      <c r="R4234">
        <f>IF(Table1[[#This Row],[order_status]]="completed",1,0)</f>
        <v>0</v>
      </c>
    </row>
    <row r="4235" spans="1:18" x14ac:dyDescent="0.35">
      <c r="A4235">
        <v>4234</v>
      </c>
      <c r="B4235" s="1">
        <v>45865</v>
      </c>
      <c r="C4235">
        <v>1264</v>
      </c>
      <c r="D4235" t="s">
        <v>41</v>
      </c>
      <c r="E4235" t="s">
        <v>33</v>
      </c>
      <c r="F4235" t="s">
        <v>34</v>
      </c>
      <c r="G4235">
        <v>3</v>
      </c>
      <c r="H4235">
        <v>0</v>
      </c>
      <c r="I4235" t="s">
        <v>18</v>
      </c>
      <c r="J4235" t="s">
        <v>37</v>
      </c>
      <c r="K4235" t="s">
        <v>26</v>
      </c>
      <c r="L4235">
        <v>7</v>
      </c>
      <c r="M4235">
        <v>0</v>
      </c>
      <c r="N4235">
        <v>1</v>
      </c>
      <c r="O4235" t="s">
        <v>21</v>
      </c>
      <c r="P4235" t="str">
        <f>TEXT(Table1[[#This Row],[order_date]],"yyyy-mm")</f>
        <v>2025-07</v>
      </c>
      <c r="Q4235">
        <f>WEEKNUM(Table1[[#This Row],[order_date]])</f>
        <v>31</v>
      </c>
      <c r="R4235">
        <f>IF(Table1[[#This Row],[order_status]]="completed",1,0)</f>
        <v>0</v>
      </c>
    </row>
    <row r="4236" spans="1:18" x14ac:dyDescent="0.35">
      <c r="A4236">
        <v>4235</v>
      </c>
      <c r="B4236" s="1">
        <v>46001</v>
      </c>
      <c r="C4236">
        <v>1755</v>
      </c>
      <c r="D4236" t="s">
        <v>41</v>
      </c>
      <c r="E4236" t="s">
        <v>16</v>
      </c>
      <c r="F4236" t="s">
        <v>30</v>
      </c>
      <c r="G4236">
        <v>1</v>
      </c>
      <c r="H4236">
        <v>0</v>
      </c>
      <c r="I4236" t="s">
        <v>18</v>
      </c>
      <c r="J4236" t="s">
        <v>37</v>
      </c>
      <c r="K4236" t="s">
        <v>40</v>
      </c>
      <c r="L4236">
        <v>2</v>
      </c>
      <c r="M4236">
        <v>0</v>
      </c>
      <c r="N4236">
        <v>0</v>
      </c>
      <c r="O4236" t="s">
        <v>21</v>
      </c>
      <c r="P4236" t="str">
        <f>TEXT(Table1[[#This Row],[order_date]],"yyyy-mm")</f>
        <v>2025-12</v>
      </c>
      <c r="Q4236">
        <f>WEEKNUM(Table1[[#This Row],[order_date]])</f>
        <v>50</v>
      </c>
      <c r="R4236">
        <f>IF(Table1[[#This Row],[order_status]]="completed",1,0)</f>
        <v>0</v>
      </c>
    </row>
    <row r="4237" spans="1:18" x14ac:dyDescent="0.35">
      <c r="A4237">
        <v>4236</v>
      </c>
      <c r="B4237" s="1">
        <v>45874</v>
      </c>
      <c r="C4237">
        <v>1871</v>
      </c>
      <c r="D4237" t="s">
        <v>15</v>
      </c>
      <c r="E4237" t="s">
        <v>36</v>
      </c>
      <c r="F4237" t="s">
        <v>34</v>
      </c>
      <c r="G4237">
        <v>4</v>
      </c>
      <c r="H4237">
        <v>7876</v>
      </c>
      <c r="I4237" t="s">
        <v>25</v>
      </c>
      <c r="J4237" t="s">
        <v>19</v>
      </c>
      <c r="K4237" t="s">
        <v>40</v>
      </c>
      <c r="L4237">
        <v>6</v>
      </c>
      <c r="M4237">
        <v>1</v>
      </c>
      <c r="N4237">
        <v>0</v>
      </c>
      <c r="O4237" t="s">
        <v>27</v>
      </c>
      <c r="P4237" t="str">
        <f>TEXT(Table1[[#This Row],[order_date]],"yyyy-mm")</f>
        <v>2025-08</v>
      </c>
      <c r="Q4237">
        <f>WEEKNUM(Table1[[#This Row],[order_date]])</f>
        <v>32</v>
      </c>
      <c r="R4237">
        <f>IF(Table1[[#This Row],[order_status]]="completed",1,0)</f>
        <v>1</v>
      </c>
    </row>
    <row r="4238" spans="1:18" x14ac:dyDescent="0.35">
      <c r="A4238">
        <v>4237</v>
      </c>
      <c r="B4238" s="1">
        <v>45871</v>
      </c>
      <c r="C4238">
        <v>1343</v>
      </c>
      <c r="D4238" t="s">
        <v>32</v>
      </c>
      <c r="E4238" t="s">
        <v>16</v>
      </c>
      <c r="F4238" t="s">
        <v>24</v>
      </c>
      <c r="G4238">
        <v>5</v>
      </c>
      <c r="H4238">
        <v>0</v>
      </c>
      <c r="I4238" t="s">
        <v>39</v>
      </c>
      <c r="J4238" t="s">
        <v>37</v>
      </c>
      <c r="K4238" t="s">
        <v>40</v>
      </c>
      <c r="L4238">
        <v>4</v>
      </c>
      <c r="M4238">
        <v>1</v>
      </c>
      <c r="N4238">
        <v>0</v>
      </c>
      <c r="O4238" t="s">
        <v>27</v>
      </c>
      <c r="P4238" t="str">
        <f>TEXT(Table1[[#This Row],[order_date]],"yyyy-mm")</f>
        <v>2025-08</v>
      </c>
      <c r="Q4238">
        <f>WEEKNUM(Table1[[#This Row],[order_date]])</f>
        <v>31</v>
      </c>
      <c r="R4238">
        <f>IF(Table1[[#This Row],[order_status]]="completed",1,0)</f>
        <v>0</v>
      </c>
    </row>
    <row r="4239" spans="1:18" x14ac:dyDescent="0.35">
      <c r="A4239">
        <v>4238</v>
      </c>
      <c r="B4239" s="1">
        <v>45917</v>
      </c>
      <c r="C4239">
        <v>1309</v>
      </c>
      <c r="D4239" t="s">
        <v>22</v>
      </c>
      <c r="E4239" t="s">
        <v>29</v>
      </c>
      <c r="F4239" t="s">
        <v>34</v>
      </c>
      <c r="G4239">
        <v>4</v>
      </c>
      <c r="H4239">
        <v>0</v>
      </c>
      <c r="I4239" t="s">
        <v>25</v>
      </c>
      <c r="J4239" t="s">
        <v>37</v>
      </c>
      <c r="K4239" t="s">
        <v>26</v>
      </c>
      <c r="L4239">
        <v>7</v>
      </c>
      <c r="M4239">
        <v>1</v>
      </c>
      <c r="N4239">
        <v>1</v>
      </c>
      <c r="O4239" t="s">
        <v>21</v>
      </c>
      <c r="P4239" t="str">
        <f>TEXT(Table1[[#This Row],[order_date]],"yyyy-mm")</f>
        <v>2025-09</v>
      </c>
      <c r="Q4239">
        <f>WEEKNUM(Table1[[#This Row],[order_date]])</f>
        <v>38</v>
      </c>
      <c r="R4239">
        <f>IF(Table1[[#This Row],[order_status]]="completed",1,0)</f>
        <v>0</v>
      </c>
    </row>
    <row r="4240" spans="1:18" x14ac:dyDescent="0.35">
      <c r="A4240">
        <v>4239</v>
      </c>
      <c r="B4240" s="1">
        <v>45859</v>
      </c>
      <c r="C4240">
        <v>1515</v>
      </c>
      <c r="D4240" t="s">
        <v>15</v>
      </c>
      <c r="E4240" t="s">
        <v>36</v>
      </c>
      <c r="F4240" t="s">
        <v>30</v>
      </c>
      <c r="G4240">
        <v>5</v>
      </c>
      <c r="H4240">
        <v>0</v>
      </c>
      <c r="I4240" t="s">
        <v>18</v>
      </c>
      <c r="J4240" t="s">
        <v>31</v>
      </c>
      <c r="K4240" t="s">
        <v>38</v>
      </c>
      <c r="L4240">
        <v>3</v>
      </c>
      <c r="M4240">
        <v>0</v>
      </c>
      <c r="N4240">
        <v>0</v>
      </c>
      <c r="O4240" t="s">
        <v>21</v>
      </c>
      <c r="P4240" t="str">
        <f>TEXT(Table1[[#This Row],[order_date]],"yyyy-mm")</f>
        <v>2025-07</v>
      </c>
      <c r="Q4240">
        <f>WEEKNUM(Table1[[#This Row],[order_date]])</f>
        <v>30</v>
      </c>
      <c r="R4240">
        <f>IF(Table1[[#This Row],[order_status]]="completed",1,0)</f>
        <v>0</v>
      </c>
    </row>
    <row r="4241" spans="1:18" x14ac:dyDescent="0.35">
      <c r="A4241">
        <v>4240</v>
      </c>
      <c r="B4241" s="1">
        <v>45966</v>
      </c>
      <c r="C4241">
        <v>1061</v>
      </c>
      <c r="D4241" t="s">
        <v>41</v>
      </c>
      <c r="E4241" t="s">
        <v>23</v>
      </c>
      <c r="F4241" t="s">
        <v>30</v>
      </c>
      <c r="G4241">
        <v>2</v>
      </c>
      <c r="H4241">
        <v>0</v>
      </c>
      <c r="I4241" t="s">
        <v>18</v>
      </c>
      <c r="J4241" t="s">
        <v>37</v>
      </c>
      <c r="K4241" t="s">
        <v>38</v>
      </c>
      <c r="L4241">
        <v>7</v>
      </c>
      <c r="M4241">
        <v>1</v>
      </c>
      <c r="N4241">
        <v>0</v>
      </c>
      <c r="O4241" t="s">
        <v>21</v>
      </c>
      <c r="P4241" t="str">
        <f>TEXT(Table1[[#This Row],[order_date]],"yyyy-mm")</f>
        <v>2025-11</v>
      </c>
      <c r="Q4241">
        <f>WEEKNUM(Table1[[#This Row],[order_date]])</f>
        <v>45</v>
      </c>
      <c r="R4241">
        <f>IF(Table1[[#This Row],[order_status]]="completed",1,0)</f>
        <v>0</v>
      </c>
    </row>
    <row r="4242" spans="1:18" x14ac:dyDescent="0.35">
      <c r="A4242">
        <v>4241</v>
      </c>
      <c r="B4242" s="1">
        <v>45981</v>
      </c>
      <c r="C4242">
        <v>1906</v>
      </c>
      <c r="D4242" t="s">
        <v>15</v>
      </c>
      <c r="E4242" t="s">
        <v>23</v>
      </c>
      <c r="F4242" t="s">
        <v>17</v>
      </c>
      <c r="G4242">
        <v>3</v>
      </c>
      <c r="H4242">
        <v>0</v>
      </c>
      <c r="I4242" t="s">
        <v>18</v>
      </c>
      <c r="J4242" t="s">
        <v>37</v>
      </c>
      <c r="K4242" t="s">
        <v>26</v>
      </c>
      <c r="L4242">
        <v>10</v>
      </c>
      <c r="M4242">
        <v>1</v>
      </c>
      <c r="N4242">
        <v>0</v>
      </c>
      <c r="O4242" t="s">
        <v>21</v>
      </c>
      <c r="P4242" t="str">
        <f>TEXT(Table1[[#This Row],[order_date]],"yyyy-mm")</f>
        <v>2025-11</v>
      </c>
      <c r="Q4242">
        <f>WEEKNUM(Table1[[#This Row],[order_date]])</f>
        <v>47</v>
      </c>
      <c r="R4242">
        <f>IF(Table1[[#This Row],[order_status]]="completed",1,0)</f>
        <v>0</v>
      </c>
    </row>
    <row r="4243" spans="1:18" x14ac:dyDescent="0.35">
      <c r="A4243">
        <v>4242</v>
      </c>
      <c r="B4243" s="1">
        <v>46008</v>
      </c>
      <c r="C4243">
        <v>1878</v>
      </c>
      <c r="D4243" t="s">
        <v>22</v>
      </c>
      <c r="E4243" t="s">
        <v>16</v>
      </c>
      <c r="F4243" t="s">
        <v>17</v>
      </c>
      <c r="G4243">
        <v>3</v>
      </c>
      <c r="H4243">
        <v>2838</v>
      </c>
      <c r="I4243" t="s">
        <v>25</v>
      </c>
      <c r="J4243" t="s">
        <v>19</v>
      </c>
      <c r="K4243" t="s">
        <v>20</v>
      </c>
      <c r="L4243">
        <v>6</v>
      </c>
      <c r="M4243">
        <v>0</v>
      </c>
      <c r="N4243">
        <v>0</v>
      </c>
      <c r="O4243" t="s">
        <v>27</v>
      </c>
      <c r="P4243" t="str">
        <f>TEXT(Table1[[#This Row],[order_date]],"yyyy-mm")</f>
        <v>2025-12</v>
      </c>
      <c r="Q4243">
        <f>WEEKNUM(Table1[[#This Row],[order_date]])</f>
        <v>51</v>
      </c>
      <c r="R4243">
        <f>IF(Table1[[#This Row],[order_status]]="completed",1,0)</f>
        <v>1</v>
      </c>
    </row>
    <row r="4244" spans="1:18" x14ac:dyDescent="0.35">
      <c r="A4244">
        <v>4243</v>
      </c>
      <c r="B4244" s="1">
        <v>46020</v>
      </c>
      <c r="C4244">
        <v>1398</v>
      </c>
      <c r="D4244" t="s">
        <v>15</v>
      </c>
      <c r="E4244" t="s">
        <v>16</v>
      </c>
      <c r="F4244" t="s">
        <v>24</v>
      </c>
      <c r="G4244">
        <v>2</v>
      </c>
      <c r="H4244">
        <v>0</v>
      </c>
      <c r="I4244" t="s">
        <v>35</v>
      </c>
      <c r="J4244" t="s">
        <v>37</v>
      </c>
      <c r="K4244" t="s">
        <v>20</v>
      </c>
      <c r="L4244">
        <v>9</v>
      </c>
      <c r="M4244">
        <v>0</v>
      </c>
      <c r="N4244">
        <v>0</v>
      </c>
      <c r="O4244" t="s">
        <v>21</v>
      </c>
      <c r="P4244" t="str">
        <f>TEXT(Table1[[#This Row],[order_date]],"yyyy-mm")</f>
        <v>2025-12</v>
      </c>
      <c r="Q4244">
        <f>WEEKNUM(Table1[[#This Row],[order_date]])</f>
        <v>53</v>
      </c>
      <c r="R4244">
        <f>IF(Table1[[#This Row],[order_status]]="completed",1,0)</f>
        <v>0</v>
      </c>
    </row>
    <row r="4245" spans="1:18" x14ac:dyDescent="0.35">
      <c r="A4245">
        <v>4244</v>
      </c>
      <c r="B4245" s="1">
        <v>45939</v>
      </c>
      <c r="C4245">
        <v>1561</v>
      </c>
      <c r="D4245" t="s">
        <v>15</v>
      </c>
      <c r="E4245" t="s">
        <v>23</v>
      </c>
      <c r="F4245" t="s">
        <v>24</v>
      </c>
      <c r="G4245">
        <v>3</v>
      </c>
      <c r="H4245">
        <v>0</v>
      </c>
      <c r="I4245" t="s">
        <v>18</v>
      </c>
      <c r="J4245" t="s">
        <v>37</v>
      </c>
      <c r="K4245" t="s">
        <v>38</v>
      </c>
      <c r="L4245">
        <v>5</v>
      </c>
      <c r="M4245">
        <v>0</v>
      </c>
      <c r="N4245">
        <v>1</v>
      </c>
      <c r="O4245" t="s">
        <v>27</v>
      </c>
      <c r="P4245" t="str">
        <f>TEXT(Table1[[#This Row],[order_date]],"yyyy-mm")</f>
        <v>2025-10</v>
      </c>
      <c r="Q4245">
        <f>WEEKNUM(Table1[[#This Row],[order_date]])</f>
        <v>41</v>
      </c>
      <c r="R4245">
        <f>IF(Table1[[#This Row],[order_status]]="completed",1,0)</f>
        <v>0</v>
      </c>
    </row>
    <row r="4246" spans="1:18" x14ac:dyDescent="0.35">
      <c r="A4246">
        <v>4245</v>
      </c>
      <c r="B4246" s="1">
        <v>45860</v>
      </c>
      <c r="C4246">
        <v>1378</v>
      </c>
      <c r="D4246" t="s">
        <v>41</v>
      </c>
      <c r="E4246" t="s">
        <v>23</v>
      </c>
      <c r="F4246" t="s">
        <v>24</v>
      </c>
      <c r="G4246">
        <v>2</v>
      </c>
      <c r="H4246">
        <v>4208</v>
      </c>
      <c r="I4246" t="s">
        <v>35</v>
      </c>
      <c r="J4246" t="s">
        <v>19</v>
      </c>
      <c r="K4246" t="s">
        <v>26</v>
      </c>
      <c r="L4246">
        <v>5</v>
      </c>
      <c r="M4246">
        <v>1</v>
      </c>
      <c r="N4246">
        <v>1</v>
      </c>
      <c r="O4246" t="s">
        <v>27</v>
      </c>
      <c r="P4246" t="str">
        <f>TEXT(Table1[[#This Row],[order_date]],"yyyy-mm")</f>
        <v>2025-07</v>
      </c>
      <c r="Q4246">
        <f>WEEKNUM(Table1[[#This Row],[order_date]])</f>
        <v>30</v>
      </c>
      <c r="R4246">
        <f>IF(Table1[[#This Row],[order_status]]="completed",1,0)</f>
        <v>1</v>
      </c>
    </row>
    <row r="4247" spans="1:18" x14ac:dyDescent="0.35">
      <c r="A4247">
        <v>4246</v>
      </c>
      <c r="B4247" s="1">
        <v>45879</v>
      </c>
      <c r="C4247">
        <v>1300</v>
      </c>
      <c r="D4247" t="s">
        <v>15</v>
      </c>
      <c r="E4247" t="s">
        <v>23</v>
      </c>
      <c r="F4247" t="s">
        <v>24</v>
      </c>
      <c r="G4247">
        <v>3</v>
      </c>
      <c r="H4247">
        <v>0</v>
      </c>
      <c r="I4247" t="s">
        <v>35</v>
      </c>
      <c r="J4247" t="s">
        <v>37</v>
      </c>
      <c r="K4247" t="s">
        <v>38</v>
      </c>
      <c r="L4247">
        <v>1</v>
      </c>
      <c r="M4247">
        <v>1</v>
      </c>
      <c r="N4247">
        <v>1</v>
      </c>
      <c r="O4247" t="s">
        <v>21</v>
      </c>
      <c r="P4247" t="str">
        <f>TEXT(Table1[[#This Row],[order_date]],"yyyy-mm")</f>
        <v>2025-08</v>
      </c>
      <c r="Q4247">
        <f>WEEKNUM(Table1[[#This Row],[order_date]])</f>
        <v>33</v>
      </c>
      <c r="R4247">
        <f>IF(Table1[[#This Row],[order_status]]="completed",1,0)</f>
        <v>0</v>
      </c>
    </row>
    <row r="4248" spans="1:18" x14ac:dyDescent="0.35">
      <c r="A4248">
        <v>4247</v>
      </c>
      <c r="B4248" s="1">
        <v>45941</v>
      </c>
      <c r="C4248">
        <v>1848</v>
      </c>
      <c r="D4248" t="s">
        <v>28</v>
      </c>
      <c r="E4248" t="s">
        <v>36</v>
      </c>
      <c r="F4248" t="s">
        <v>17</v>
      </c>
      <c r="G4248">
        <v>3</v>
      </c>
      <c r="H4248">
        <v>0</v>
      </c>
      <c r="I4248" t="s">
        <v>35</v>
      </c>
      <c r="J4248" t="s">
        <v>31</v>
      </c>
      <c r="K4248" t="s">
        <v>40</v>
      </c>
      <c r="L4248">
        <v>1</v>
      </c>
      <c r="M4248">
        <v>1</v>
      </c>
      <c r="N4248">
        <v>1</v>
      </c>
      <c r="O4248" t="s">
        <v>21</v>
      </c>
      <c r="P4248" t="str">
        <f>TEXT(Table1[[#This Row],[order_date]],"yyyy-mm")</f>
        <v>2025-10</v>
      </c>
      <c r="Q4248">
        <f>WEEKNUM(Table1[[#This Row],[order_date]])</f>
        <v>41</v>
      </c>
      <c r="R4248">
        <f>IF(Table1[[#This Row],[order_status]]="completed",1,0)</f>
        <v>0</v>
      </c>
    </row>
    <row r="4249" spans="1:18" x14ac:dyDescent="0.35">
      <c r="A4249">
        <v>4248</v>
      </c>
      <c r="B4249" s="1">
        <v>45938</v>
      </c>
      <c r="C4249">
        <v>1438</v>
      </c>
      <c r="D4249" t="s">
        <v>15</v>
      </c>
      <c r="E4249" t="s">
        <v>29</v>
      </c>
      <c r="F4249" t="s">
        <v>30</v>
      </c>
      <c r="G4249">
        <v>2</v>
      </c>
      <c r="H4249">
        <v>0</v>
      </c>
      <c r="I4249" t="s">
        <v>39</v>
      </c>
      <c r="J4249" t="s">
        <v>37</v>
      </c>
      <c r="K4249" t="s">
        <v>26</v>
      </c>
      <c r="L4249">
        <v>1</v>
      </c>
      <c r="M4249">
        <v>1</v>
      </c>
      <c r="N4249">
        <v>1</v>
      </c>
      <c r="O4249" t="s">
        <v>27</v>
      </c>
      <c r="P4249" t="str">
        <f>TEXT(Table1[[#This Row],[order_date]],"yyyy-mm")</f>
        <v>2025-10</v>
      </c>
      <c r="Q4249">
        <f>WEEKNUM(Table1[[#This Row],[order_date]])</f>
        <v>41</v>
      </c>
      <c r="R4249">
        <f>IF(Table1[[#This Row],[order_status]]="completed",1,0)</f>
        <v>0</v>
      </c>
    </row>
    <row r="4250" spans="1:18" x14ac:dyDescent="0.35">
      <c r="A4250">
        <v>4249</v>
      </c>
      <c r="B4250" s="1">
        <v>45855</v>
      </c>
      <c r="C4250">
        <v>1770</v>
      </c>
      <c r="D4250" t="s">
        <v>32</v>
      </c>
      <c r="E4250" t="s">
        <v>23</v>
      </c>
      <c r="F4250" t="s">
        <v>24</v>
      </c>
      <c r="G4250">
        <v>2</v>
      </c>
      <c r="H4250">
        <v>0</v>
      </c>
      <c r="I4250" t="s">
        <v>18</v>
      </c>
      <c r="J4250" t="s">
        <v>37</v>
      </c>
      <c r="K4250" t="s">
        <v>40</v>
      </c>
      <c r="L4250">
        <v>8</v>
      </c>
      <c r="M4250">
        <v>1</v>
      </c>
      <c r="N4250">
        <v>1</v>
      </c>
      <c r="O4250" t="s">
        <v>27</v>
      </c>
      <c r="P4250" t="str">
        <f>TEXT(Table1[[#This Row],[order_date]],"yyyy-mm")</f>
        <v>2025-07</v>
      </c>
      <c r="Q4250">
        <f>WEEKNUM(Table1[[#This Row],[order_date]])</f>
        <v>29</v>
      </c>
      <c r="R4250">
        <f>IF(Table1[[#This Row],[order_status]]="completed",1,0)</f>
        <v>0</v>
      </c>
    </row>
    <row r="4251" spans="1:18" x14ac:dyDescent="0.35">
      <c r="A4251">
        <v>4250</v>
      </c>
      <c r="B4251" s="1">
        <v>45902</v>
      </c>
      <c r="C4251">
        <v>1986</v>
      </c>
      <c r="D4251" t="s">
        <v>41</v>
      </c>
      <c r="E4251" t="s">
        <v>23</v>
      </c>
      <c r="F4251" t="s">
        <v>30</v>
      </c>
      <c r="G4251">
        <v>5</v>
      </c>
      <c r="H4251">
        <v>16915</v>
      </c>
      <c r="I4251" t="s">
        <v>18</v>
      </c>
      <c r="J4251" t="s">
        <v>19</v>
      </c>
      <c r="K4251" t="s">
        <v>38</v>
      </c>
      <c r="L4251">
        <v>8</v>
      </c>
      <c r="M4251">
        <v>0</v>
      </c>
      <c r="N4251">
        <v>0</v>
      </c>
      <c r="O4251" t="s">
        <v>21</v>
      </c>
      <c r="P4251" t="str">
        <f>TEXT(Table1[[#This Row],[order_date]],"yyyy-mm")</f>
        <v>2025-09</v>
      </c>
      <c r="Q4251">
        <f>WEEKNUM(Table1[[#This Row],[order_date]])</f>
        <v>36</v>
      </c>
      <c r="R4251">
        <f>IF(Table1[[#This Row],[order_status]]="completed",1,0)</f>
        <v>1</v>
      </c>
    </row>
    <row r="4252" spans="1:18" x14ac:dyDescent="0.35">
      <c r="A4252">
        <v>4251</v>
      </c>
      <c r="B4252" s="1">
        <v>46028</v>
      </c>
      <c r="C4252">
        <v>1415</v>
      </c>
      <c r="D4252" t="s">
        <v>32</v>
      </c>
      <c r="E4252" t="s">
        <v>29</v>
      </c>
      <c r="F4252" t="s">
        <v>30</v>
      </c>
      <c r="G4252">
        <v>1</v>
      </c>
      <c r="H4252">
        <v>3645</v>
      </c>
      <c r="I4252" t="s">
        <v>35</v>
      </c>
      <c r="J4252" t="s">
        <v>19</v>
      </c>
      <c r="K4252" t="s">
        <v>20</v>
      </c>
      <c r="L4252">
        <v>5</v>
      </c>
      <c r="M4252">
        <v>1</v>
      </c>
      <c r="N4252">
        <v>1</v>
      </c>
      <c r="O4252" t="s">
        <v>27</v>
      </c>
      <c r="P4252" t="str">
        <f>TEXT(Table1[[#This Row],[order_date]],"yyyy-mm")</f>
        <v>2026-01</v>
      </c>
      <c r="Q4252">
        <f>WEEKNUM(Table1[[#This Row],[order_date]])</f>
        <v>2</v>
      </c>
      <c r="R4252">
        <f>IF(Table1[[#This Row],[order_status]]="completed",1,0)</f>
        <v>1</v>
      </c>
    </row>
    <row r="4253" spans="1:18" x14ac:dyDescent="0.35">
      <c r="A4253">
        <v>4252</v>
      </c>
      <c r="B4253" s="1">
        <v>45963</v>
      </c>
      <c r="C4253">
        <v>1662</v>
      </c>
      <c r="D4253" t="s">
        <v>28</v>
      </c>
      <c r="E4253" t="s">
        <v>36</v>
      </c>
      <c r="F4253" t="s">
        <v>34</v>
      </c>
      <c r="G4253">
        <v>2</v>
      </c>
      <c r="H4253">
        <v>0</v>
      </c>
      <c r="I4253" t="s">
        <v>39</v>
      </c>
      <c r="J4253" t="s">
        <v>37</v>
      </c>
      <c r="K4253" t="s">
        <v>38</v>
      </c>
      <c r="L4253">
        <v>1</v>
      </c>
      <c r="M4253">
        <v>1</v>
      </c>
      <c r="N4253">
        <v>0</v>
      </c>
      <c r="O4253" t="s">
        <v>27</v>
      </c>
      <c r="P4253" t="str">
        <f>TEXT(Table1[[#This Row],[order_date]],"yyyy-mm")</f>
        <v>2025-11</v>
      </c>
      <c r="Q4253">
        <f>WEEKNUM(Table1[[#This Row],[order_date]])</f>
        <v>45</v>
      </c>
      <c r="R4253">
        <f>IF(Table1[[#This Row],[order_status]]="completed",1,0)</f>
        <v>0</v>
      </c>
    </row>
    <row r="4254" spans="1:18" x14ac:dyDescent="0.35">
      <c r="A4254">
        <v>4253</v>
      </c>
      <c r="B4254" s="1">
        <v>45903</v>
      </c>
      <c r="C4254">
        <v>1427</v>
      </c>
      <c r="D4254" t="s">
        <v>15</v>
      </c>
      <c r="E4254" t="s">
        <v>36</v>
      </c>
      <c r="F4254" t="s">
        <v>17</v>
      </c>
      <c r="G4254">
        <v>5</v>
      </c>
      <c r="H4254">
        <v>18960</v>
      </c>
      <c r="I4254" t="s">
        <v>18</v>
      </c>
      <c r="J4254" t="s">
        <v>19</v>
      </c>
      <c r="K4254" t="s">
        <v>26</v>
      </c>
      <c r="L4254">
        <v>8</v>
      </c>
      <c r="M4254">
        <v>0</v>
      </c>
      <c r="N4254">
        <v>1</v>
      </c>
      <c r="O4254" t="s">
        <v>27</v>
      </c>
      <c r="P4254" t="str">
        <f>TEXT(Table1[[#This Row],[order_date]],"yyyy-mm")</f>
        <v>2025-09</v>
      </c>
      <c r="Q4254">
        <f>WEEKNUM(Table1[[#This Row],[order_date]])</f>
        <v>36</v>
      </c>
      <c r="R4254">
        <f>IF(Table1[[#This Row],[order_status]]="completed",1,0)</f>
        <v>1</v>
      </c>
    </row>
    <row r="4255" spans="1:18" x14ac:dyDescent="0.35">
      <c r="A4255">
        <v>4254</v>
      </c>
      <c r="B4255" s="1">
        <v>45857</v>
      </c>
      <c r="C4255">
        <v>1451</v>
      </c>
      <c r="D4255" t="s">
        <v>41</v>
      </c>
      <c r="E4255" t="s">
        <v>16</v>
      </c>
      <c r="F4255" t="s">
        <v>30</v>
      </c>
      <c r="G4255">
        <v>2</v>
      </c>
      <c r="H4255">
        <v>7602</v>
      </c>
      <c r="I4255" t="s">
        <v>25</v>
      </c>
      <c r="J4255" t="s">
        <v>19</v>
      </c>
      <c r="K4255" t="s">
        <v>40</v>
      </c>
      <c r="L4255">
        <v>7</v>
      </c>
      <c r="M4255">
        <v>1</v>
      </c>
      <c r="N4255">
        <v>0</v>
      </c>
      <c r="O4255" t="s">
        <v>27</v>
      </c>
      <c r="P4255" t="str">
        <f>TEXT(Table1[[#This Row],[order_date]],"yyyy-mm")</f>
        <v>2025-07</v>
      </c>
      <c r="Q4255">
        <f>WEEKNUM(Table1[[#This Row],[order_date]])</f>
        <v>29</v>
      </c>
      <c r="R4255">
        <f>IF(Table1[[#This Row],[order_status]]="completed",1,0)</f>
        <v>1</v>
      </c>
    </row>
    <row r="4256" spans="1:18" x14ac:dyDescent="0.35">
      <c r="A4256">
        <v>4255</v>
      </c>
      <c r="B4256" s="1">
        <v>46006</v>
      </c>
      <c r="C4256">
        <v>1265</v>
      </c>
      <c r="D4256" t="s">
        <v>32</v>
      </c>
      <c r="E4256" t="s">
        <v>23</v>
      </c>
      <c r="F4256" t="s">
        <v>34</v>
      </c>
      <c r="G4256">
        <v>5</v>
      </c>
      <c r="H4256">
        <v>0</v>
      </c>
      <c r="I4256" t="s">
        <v>25</v>
      </c>
      <c r="J4256" t="s">
        <v>31</v>
      </c>
      <c r="K4256" t="s">
        <v>38</v>
      </c>
      <c r="L4256">
        <v>4</v>
      </c>
      <c r="M4256">
        <v>0</v>
      </c>
      <c r="N4256">
        <v>1</v>
      </c>
      <c r="O4256" t="s">
        <v>27</v>
      </c>
      <c r="P4256" t="str">
        <f>TEXT(Table1[[#This Row],[order_date]],"yyyy-mm")</f>
        <v>2025-12</v>
      </c>
      <c r="Q4256">
        <f>WEEKNUM(Table1[[#This Row],[order_date]])</f>
        <v>51</v>
      </c>
      <c r="R4256">
        <f>IF(Table1[[#This Row],[order_status]]="completed",1,0)</f>
        <v>0</v>
      </c>
    </row>
    <row r="4257" spans="1:18" x14ac:dyDescent="0.35">
      <c r="A4257">
        <v>4256</v>
      </c>
      <c r="B4257" s="1">
        <v>45902</v>
      </c>
      <c r="C4257">
        <v>1041</v>
      </c>
      <c r="D4257" t="s">
        <v>22</v>
      </c>
      <c r="E4257" t="s">
        <v>36</v>
      </c>
      <c r="F4257" t="s">
        <v>30</v>
      </c>
      <c r="G4257">
        <v>3</v>
      </c>
      <c r="H4257">
        <v>4776</v>
      </c>
      <c r="I4257" t="s">
        <v>25</v>
      </c>
      <c r="J4257" t="s">
        <v>19</v>
      </c>
      <c r="K4257" t="s">
        <v>20</v>
      </c>
      <c r="L4257">
        <v>9</v>
      </c>
      <c r="M4257">
        <v>1</v>
      </c>
      <c r="N4257">
        <v>0</v>
      </c>
      <c r="O4257" t="s">
        <v>21</v>
      </c>
      <c r="P4257" t="str">
        <f>TEXT(Table1[[#This Row],[order_date]],"yyyy-mm")</f>
        <v>2025-09</v>
      </c>
      <c r="Q4257">
        <f>WEEKNUM(Table1[[#This Row],[order_date]])</f>
        <v>36</v>
      </c>
      <c r="R4257">
        <f>IF(Table1[[#This Row],[order_status]]="completed",1,0)</f>
        <v>1</v>
      </c>
    </row>
    <row r="4258" spans="1:18" x14ac:dyDescent="0.35">
      <c r="A4258">
        <v>4257</v>
      </c>
      <c r="B4258" s="1">
        <v>46001</v>
      </c>
      <c r="C4258">
        <v>1105</v>
      </c>
      <c r="D4258" t="s">
        <v>22</v>
      </c>
      <c r="E4258" t="s">
        <v>29</v>
      </c>
      <c r="F4258" t="s">
        <v>17</v>
      </c>
      <c r="G4258">
        <v>4</v>
      </c>
      <c r="H4258">
        <v>0</v>
      </c>
      <c r="I4258" t="s">
        <v>39</v>
      </c>
      <c r="J4258" t="s">
        <v>31</v>
      </c>
      <c r="K4258" t="s">
        <v>26</v>
      </c>
      <c r="L4258">
        <v>9</v>
      </c>
      <c r="M4258">
        <v>1</v>
      </c>
      <c r="N4258">
        <v>0</v>
      </c>
      <c r="O4258" t="s">
        <v>21</v>
      </c>
      <c r="P4258" t="str">
        <f>TEXT(Table1[[#This Row],[order_date]],"yyyy-mm")</f>
        <v>2025-12</v>
      </c>
      <c r="Q4258">
        <f>WEEKNUM(Table1[[#This Row],[order_date]])</f>
        <v>50</v>
      </c>
      <c r="R4258">
        <f>IF(Table1[[#This Row],[order_status]]="completed",1,0)</f>
        <v>0</v>
      </c>
    </row>
    <row r="4259" spans="1:18" x14ac:dyDescent="0.35">
      <c r="A4259">
        <v>4258</v>
      </c>
      <c r="B4259" s="1">
        <v>46001</v>
      </c>
      <c r="C4259">
        <v>1545</v>
      </c>
      <c r="D4259" t="s">
        <v>28</v>
      </c>
      <c r="E4259" t="s">
        <v>23</v>
      </c>
      <c r="F4259" t="s">
        <v>17</v>
      </c>
      <c r="G4259">
        <v>5</v>
      </c>
      <c r="H4259">
        <v>24520</v>
      </c>
      <c r="I4259" t="s">
        <v>35</v>
      </c>
      <c r="J4259" t="s">
        <v>19</v>
      </c>
      <c r="K4259" t="s">
        <v>20</v>
      </c>
      <c r="L4259">
        <v>2</v>
      </c>
      <c r="M4259">
        <v>1</v>
      </c>
      <c r="N4259">
        <v>0</v>
      </c>
      <c r="O4259" t="s">
        <v>27</v>
      </c>
      <c r="P4259" t="str">
        <f>TEXT(Table1[[#This Row],[order_date]],"yyyy-mm")</f>
        <v>2025-12</v>
      </c>
      <c r="Q4259">
        <f>WEEKNUM(Table1[[#This Row],[order_date]])</f>
        <v>50</v>
      </c>
      <c r="R4259">
        <f>IF(Table1[[#This Row],[order_status]]="completed",1,0)</f>
        <v>1</v>
      </c>
    </row>
    <row r="4260" spans="1:18" x14ac:dyDescent="0.35">
      <c r="A4260">
        <v>4259</v>
      </c>
      <c r="B4260" s="1">
        <v>45994</v>
      </c>
      <c r="C4260">
        <v>1830</v>
      </c>
      <c r="D4260" t="s">
        <v>15</v>
      </c>
      <c r="E4260" t="s">
        <v>29</v>
      </c>
      <c r="F4260" t="s">
        <v>34</v>
      </c>
      <c r="G4260">
        <v>4</v>
      </c>
      <c r="H4260">
        <v>0</v>
      </c>
      <c r="I4260" t="s">
        <v>18</v>
      </c>
      <c r="J4260" t="s">
        <v>37</v>
      </c>
      <c r="K4260" t="s">
        <v>38</v>
      </c>
      <c r="L4260">
        <v>9</v>
      </c>
      <c r="M4260">
        <v>0</v>
      </c>
      <c r="N4260">
        <v>0</v>
      </c>
      <c r="O4260" t="s">
        <v>27</v>
      </c>
      <c r="P4260" t="str">
        <f>TEXT(Table1[[#This Row],[order_date]],"yyyy-mm")</f>
        <v>2025-12</v>
      </c>
      <c r="Q4260">
        <f>WEEKNUM(Table1[[#This Row],[order_date]])</f>
        <v>49</v>
      </c>
      <c r="R4260">
        <f>IF(Table1[[#This Row],[order_status]]="completed",1,0)</f>
        <v>0</v>
      </c>
    </row>
    <row r="4261" spans="1:18" x14ac:dyDescent="0.35">
      <c r="A4261">
        <v>4260</v>
      </c>
      <c r="B4261" s="1">
        <v>45987</v>
      </c>
      <c r="C4261">
        <v>1139</v>
      </c>
      <c r="D4261" t="s">
        <v>22</v>
      </c>
      <c r="E4261" t="s">
        <v>16</v>
      </c>
      <c r="F4261" t="s">
        <v>34</v>
      </c>
      <c r="G4261">
        <v>4</v>
      </c>
      <c r="H4261">
        <v>0</v>
      </c>
      <c r="I4261" t="s">
        <v>35</v>
      </c>
      <c r="J4261" t="s">
        <v>37</v>
      </c>
      <c r="K4261" t="s">
        <v>38</v>
      </c>
      <c r="L4261">
        <v>1</v>
      </c>
      <c r="M4261">
        <v>0</v>
      </c>
      <c r="N4261">
        <v>1</v>
      </c>
      <c r="O4261" t="s">
        <v>21</v>
      </c>
      <c r="P4261" t="str">
        <f>TEXT(Table1[[#This Row],[order_date]],"yyyy-mm")</f>
        <v>2025-11</v>
      </c>
      <c r="Q4261">
        <f>WEEKNUM(Table1[[#This Row],[order_date]])</f>
        <v>48</v>
      </c>
      <c r="R4261">
        <f>IF(Table1[[#This Row],[order_status]]="completed",1,0)</f>
        <v>0</v>
      </c>
    </row>
    <row r="4262" spans="1:18" x14ac:dyDescent="0.35">
      <c r="A4262">
        <v>4261</v>
      </c>
      <c r="B4262" s="1">
        <v>45869</v>
      </c>
      <c r="C4262">
        <v>1009</v>
      </c>
      <c r="D4262" t="s">
        <v>32</v>
      </c>
      <c r="E4262" t="s">
        <v>29</v>
      </c>
      <c r="F4262" t="s">
        <v>34</v>
      </c>
      <c r="G4262">
        <v>3</v>
      </c>
      <c r="H4262">
        <v>0</v>
      </c>
      <c r="I4262" t="s">
        <v>18</v>
      </c>
      <c r="J4262" t="s">
        <v>31</v>
      </c>
      <c r="K4262" t="s">
        <v>26</v>
      </c>
      <c r="L4262">
        <v>6</v>
      </c>
      <c r="M4262">
        <v>1</v>
      </c>
      <c r="N4262">
        <v>0</v>
      </c>
      <c r="O4262" t="s">
        <v>21</v>
      </c>
      <c r="P4262" t="str">
        <f>TEXT(Table1[[#This Row],[order_date]],"yyyy-mm")</f>
        <v>2025-07</v>
      </c>
      <c r="Q4262">
        <f>WEEKNUM(Table1[[#This Row],[order_date]])</f>
        <v>31</v>
      </c>
      <c r="R4262">
        <f>IF(Table1[[#This Row],[order_status]]="completed",1,0)</f>
        <v>0</v>
      </c>
    </row>
    <row r="4263" spans="1:18" x14ac:dyDescent="0.35">
      <c r="A4263">
        <v>4262</v>
      </c>
      <c r="B4263" s="1">
        <v>45914</v>
      </c>
      <c r="C4263">
        <v>1021</v>
      </c>
      <c r="D4263" t="s">
        <v>41</v>
      </c>
      <c r="E4263" t="s">
        <v>36</v>
      </c>
      <c r="F4263" t="s">
        <v>34</v>
      </c>
      <c r="G4263">
        <v>3</v>
      </c>
      <c r="H4263">
        <v>0</v>
      </c>
      <c r="I4263" t="s">
        <v>35</v>
      </c>
      <c r="J4263" t="s">
        <v>37</v>
      </c>
      <c r="K4263" t="s">
        <v>40</v>
      </c>
      <c r="L4263">
        <v>3</v>
      </c>
      <c r="M4263">
        <v>1</v>
      </c>
      <c r="N4263">
        <v>1</v>
      </c>
      <c r="O4263" t="s">
        <v>21</v>
      </c>
      <c r="P4263" t="str">
        <f>TEXT(Table1[[#This Row],[order_date]],"yyyy-mm")</f>
        <v>2025-09</v>
      </c>
      <c r="Q4263">
        <f>WEEKNUM(Table1[[#This Row],[order_date]])</f>
        <v>38</v>
      </c>
      <c r="R4263">
        <f>IF(Table1[[#This Row],[order_status]]="completed",1,0)</f>
        <v>0</v>
      </c>
    </row>
    <row r="4264" spans="1:18" x14ac:dyDescent="0.35">
      <c r="A4264">
        <v>4263</v>
      </c>
      <c r="B4264" s="1">
        <v>46030</v>
      </c>
      <c r="C4264">
        <v>1796</v>
      </c>
      <c r="D4264" t="s">
        <v>22</v>
      </c>
      <c r="E4264" t="s">
        <v>29</v>
      </c>
      <c r="F4264" t="s">
        <v>34</v>
      </c>
      <c r="G4264">
        <v>2</v>
      </c>
      <c r="H4264">
        <v>0</v>
      </c>
      <c r="I4264" t="s">
        <v>39</v>
      </c>
      <c r="J4264" t="s">
        <v>31</v>
      </c>
      <c r="K4264" t="s">
        <v>26</v>
      </c>
      <c r="L4264">
        <v>8</v>
      </c>
      <c r="M4264">
        <v>1</v>
      </c>
      <c r="N4264">
        <v>1</v>
      </c>
      <c r="O4264" t="s">
        <v>27</v>
      </c>
      <c r="P4264" t="str">
        <f>TEXT(Table1[[#This Row],[order_date]],"yyyy-mm")</f>
        <v>2026-01</v>
      </c>
      <c r="Q4264">
        <f>WEEKNUM(Table1[[#This Row],[order_date]])</f>
        <v>2</v>
      </c>
      <c r="R4264">
        <f>IF(Table1[[#This Row],[order_status]]="completed",1,0)</f>
        <v>0</v>
      </c>
    </row>
    <row r="4265" spans="1:18" x14ac:dyDescent="0.35">
      <c r="A4265">
        <v>4264</v>
      </c>
      <c r="B4265" s="1">
        <v>45967</v>
      </c>
      <c r="C4265">
        <v>1525</v>
      </c>
      <c r="D4265" t="s">
        <v>28</v>
      </c>
      <c r="E4265" t="s">
        <v>36</v>
      </c>
      <c r="F4265" t="s">
        <v>30</v>
      </c>
      <c r="G4265">
        <v>4</v>
      </c>
      <c r="H4265">
        <v>0</v>
      </c>
      <c r="I4265" t="s">
        <v>18</v>
      </c>
      <c r="J4265" t="s">
        <v>37</v>
      </c>
      <c r="K4265" t="s">
        <v>38</v>
      </c>
      <c r="L4265">
        <v>4</v>
      </c>
      <c r="M4265">
        <v>1</v>
      </c>
      <c r="N4265">
        <v>0</v>
      </c>
      <c r="O4265" t="s">
        <v>21</v>
      </c>
      <c r="P4265" t="str">
        <f>TEXT(Table1[[#This Row],[order_date]],"yyyy-mm")</f>
        <v>2025-11</v>
      </c>
      <c r="Q4265">
        <f>WEEKNUM(Table1[[#This Row],[order_date]])</f>
        <v>45</v>
      </c>
      <c r="R4265">
        <f>IF(Table1[[#This Row],[order_status]]="completed",1,0)</f>
        <v>0</v>
      </c>
    </row>
    <row r="4266" spans="1:18" x14ac:dyDescent="0.35">
      <c r="A4266">
        <v>4265</v>
      </c>
      <c r="B4266" s="1">
        <v>45947</v>
      </c>
      <c r="C4266">
        <v>1742</v>
      </c>
      <c r="D4266" t="s">
        <v>41</v>
      </c>
      <c r="E4266" t="s">
        <v>33</v>
      </c>
      <c r="F4266" t="s">
        <v>17</v>
      </c>
      <c r="G4266">
        <v>2</v>
      </c>
      <c r="H4266">
        <v>0</v>
      </c>
      <c r="I4266" t="s">
        <v>39</v>
      </c>
      <c r="J4266" t="s">
        <v>37</v>
      </c>
      <c r="K4266" t="s">
        <v>40</v>
      </c>
      <c r="L4266">
        <v>1</v>
      </c>
      <c r="M4266">
        <v>0</v>
      </c>
      <c r="N4266">
        <v>1</v>
      </c>
      <c r="O4266" t="s">
        <v>27</v>
      </c>
      <c r="P4266" t="str">
        <f>TEXT(Table1[[#This Row],[order_date]],"yyyy-mm")</f>
        <v>2025-10</v>
      </c>
      <c r="Q4266">
        <f>WEEKNUM(Table1[[#This Row],[order_date]])</f>
        <v>42</v>
      </c>
      <c r="R4266">
        <f>IF(Table1[[#This Row],[order_status]]="completed",1,0)</f>
        <v>0</v>
      </c>
    </row>
    <row r="4267" spans="1:18" x14ac:dyDescent="0.35">
      <c r="A4267">
        <v>4266</v>
      </c>
      <c r="B4267" s="1">
        <v>45969</v>
      </c>
      <c r="C4267">
        <v>1791</v>
      </c>
      <c r="D4267" t="s">
        <v>41</v>
      </c>
      <c r="E4267" t="s">
        <v>33</v>
      </c>
      <c r="F4267" t="s">
        <v>34</v>
      </c>
      <c r="G4267">
        <v>4</v>
      </c>
      <c r="H4267">
        <v>0</v>
      </c>
      <c r="I4267" t="s">
        <v>39</v>
      </c>
      <c r="J4267" t="s">
        <v>31</v>
      </c>
      <c r="K4267" t="s">
        <v>38</v>
      </c>
      <c r="L4267">
        <v>3</v>
      </c>
      <c r="M4267">
        <v>0</v>
      </c>
      <c r="N4267">
        <v>1</v>
      </c>
      <c r="O4267" t="s">
        <v>27</v>
      </c>
      <c r="P4267" t="str">
        <f>TEXT(Table1[[#This Row],[order_date]],"yyyy-mm")</f>
        <v>2025-11</v>
      </c>
      <c r="Q4267">
        <f>WEEKNUM(Table1[[#This Row],[order_date]])</f>
        <v>45</v>
      </c>
      <c r="R4267">
        <f>IF(Table1[[#This Row],[order_status]]="completed",1,0)</f>
        <v>0</v>
      </c>
    </row>
    <row r="4268" spans="1:18" x14ac:dyDescent="0.35">
      <c r="A4268">
        <v>4267</v>
      </c>
      <c r="B4268" s="1">
        <v>45878</v>
      </c>
      <c r="C4268">
        <v>1278</v>
      </c>
      <c r="D4268" t="s">
        <v>22</v>
      </c>
      <c r="E4268" t="s">
        <v>29</v>
      </c>
      <c r="F4268" t="s">
        <v>34</v>
      </c>
      <c r="G4268">
        <v>1</v>
      </c>
      <c r="H4268">
        <v>4621</v>
      </c>
      <c r="I4268" t="s">
        <v>25</v>
      </c>
      <c r="J4268" t="s">
        <v>19</v>
      </c>
      <c r="K4268" t="s">
        <v>40</v>
      </c>
      <c r="L4268">
        <v>6</v>
      </c>
      <c r="M4268">
        <v>0</v>
      </c>
      <c r="N4268">
        <v>0</v>
      </c>
      <c r="O4268" t="s">
        <v>27</v>
      </c>
      <c r="P4268" t="str">
        <f>TEXT(Table1[[#This Row],[order_date]],"yyyy-mm")</f>
        <v>2025-08</v>
      </c>
      <c r="Q4268">
        <f>WEEKNUM(Table1[[#This Row],[order_date]])</f>
        <v>32</v>
      </c>
      <c r="R4268">
        <f>IF(Table1[[#This Row],[order_status]]="completed",1,0)</f>
        <v>1</v>
      </c>
    </row>
    <row r="4269" spans="1:18" x14ac:dyDescent="0.35">
      <c r="A4269">
        <v>4268</v>
      </c>
      <c r="B4269" s="1">
        <v>45874</v>
      </c>
      <c r="C4269">
        <v>1684</v>
      </c>
      <c r="D4269" t="s">
        <v>15</v>
      </c>
      <c r="E4269" t="s">
        <v>16</v>
      </c>
      <c r="F4269" t="s">
        <v>17</v>
      </c>
      <c r="G4269">
        <v>5</v>
      </c>
      <c r="H4269">
        <v>12490</v>
      </c>
      <c r="I4269" t="s">
        <v>35</v>
      </c>
      <c r="J4269" t="s">
        <v>19</v>
      </c>
      <c r="K4269" t="s">
        <v>38</v>
      </c>
      <c r="L4269">
        <v>7</v>
      </c>
      <c r="M4269">
        <v>0</v>
      </c>
      <c r="N4269">
        <v>1</v>
      </c>
      <c r="O4269" t="s">
        <v>21</v>
      </c>
      <c r="P4269" t="str">
        <f>TEXT(Table1[[#This Row],[order_date]],"yyyy-mm")</f>
        <v>2025-08</v>
      </c>
      <c r="Q4269">
        <f>WEEKNUM(Table1[[#This Row],[order_date]])</f>
        <v>32</v>
      </c>
      <c r="R4269">
        <f>IF(Table1[[#This Row],[order_status]]="completed",1,0)</f>
        <v>1</v>
      </c>
    </row>
    <row r="4270" spans="1:18" x14ac:dyDescent="0.35">
      <c r="A4270">
        <v>4269</v>
      </c>
      <c r="B4270" s="1">
        <v>45978</v>
      </c>
      <c r="C4270">
        <v>1688</v>
      </c>
      <c r="D4270" t="s">
        <v>22</v>
      </c>
      <c r="E4270" t="s">
        <v>16</v>
      </c>
      <c r="F4270" t="s">
        <v>17</v>
      </c>
      <c r="G4270">
        <v>3</v>
      </c>
      <c r="H4270">
        <v>5034</v>
      </c>
      <c r="I4270" t="s">
        <v>25</v>
      </c>
      <c r="J4270" t="s">
        <v>19</v>
      </c>
      <c r="K4270" t="s">
        <v>26</v>
      </c>
      <c r="L4270">
        <v>7</v>
      </c>
      <c r="M4270">
        <v>0</v>
      </c>
      <c r="N4270">
        <v>1</v>
      </c>
      <c r="O4270" t="s">
        <v>21</v>
      </c>
      <c r="P4270" t="str">
        <f>TEXT(Table1[[#This Row],[order_date]],"yyyy-mm")</f>
        <v>2025-11</v>
      </c>
      <c r="Q4270">
        <f>WEEKNUM(Table1[[#This Row],[order_date]])</f>
        <v>47</v>
      </c>
      <c r="R4270">
        <f>IF(Table1[[#This Row],[order_status]]="completed",1,0)</f>
        <v>1</v>
      </c>
    </row>
    <row r="4271" spans="1:18" x14ac:dyDescent="0.35">
      <c r="A4271">
        <v>4270</v>
      </c>
      <c r="B4271" s="1">
        <v>46000</v>
      </c>
      <c r="C4271">
        <v>1152</v>
      </c>
      <c r="D4271" t="s">
        <v>22</v>
      </c>
      <c r="E4271" t="s">
        <v>16</v>
      </c>
      <c r="F4271" t="s">
        <v>17</v>
      </c>
      <c r="G4271">
        <v>5</v>
      </c>
      <c r="H4271">
        <v>0</v>
      </c>
      <c r="I4271" t="s">
        <v>25</v>
      </c>
      <c r="J4271" t="s">
        <v>31</v>
      </c>
      <c r="K4271" t="s">
        <v>40</v>
      </c>
      <c r="L4271">
        <v>1</v>
      </c>
      <c r="M4271">
        <v>0</v>
      </c>
      <c r="N4271">
        <v>0</v>
      </c>
      <c r="O4271" t="s">
        <v>21</v>
      </c>
      <c r="P4271" t="str">
        <f>TEXT(Table1[[#This Row],[order_date]],"yyyy-mm")</f>
        <v>2025-12</v>
      </c>
      <c r="Q4271">
        <f>WEEKNUM(Table1[[#This Row],[order_date]])</f>
        <v>50</v>
      </c>
      <c r="R4271">
        <f>IF(Table1[[#This Row],[order_status]]="completed",1,0)</f>
        <v>0</v>
      </c>
    </row>
    <row r="4272" spans="1:18" x14ac:dyDescent="0.35">
      <c r="A4272">
        <v>4271</v>
      </c>
      <c r="B4272" s="1">
        <v>45923</v>
      </c>
      <c r="C4272">
        <v>1296</v>
      </c>
      <c r="D4272" t="s">
        <v>22</v>
      </c>
      <c r="E4272" t="s">
        <v>23</v>
      </c>
      <c r="F4272" t="s">
        <v>30</v>
      </c>
      <c r="G4272">
        <v>5</v>
      </c>
      <c r="H4272">
        <v>0</v>
      </c>
      <c r="I4272" t="s">
        <v>25</v>
      </c>
      <c r="J4272" t="s">
        <v>31</v>
      </c>
      <c r="K4272" t="s">
        <v>40</v>
      </c>
      <c r="L4272">
        <v>3</v>
      </c>
      <c r="M4272">
        <v>0</v>
      </c>
      <c r="N4272">
        <v>1</v>
      </c>
      <c r="O4272" t="s">
        <v>27</v>
      </c>
      <c r="P4272" t="str">
        <f>TEXT(Table1[[#This Row],[order_date]],"yyyy-mm")</f>
        <v>2025-09</v>
      </c>
      <c r="Q4272">
        <f>WEEKNUM(Table1[[#This Row],[order_date]])</f>
        <v>39</v>
      </c>
      <c r="R4272">
        <f>IF(Table1[[#This Row],[order_status]]="completed",1,0)</f>
        <v>0</v>
      </c>
    </row>
    <row r="4273" spans="1:18" x14ac:dyDescent="0.35">
      <c r="A4273">
        <v>4272</v>
      </c>
      <c r="B4273" s="1">
        <v>45892</v>
      </c>
      <c r="C4273">
        <v>1248</v>
      </c>
      <c r="D4273" t="s">
        <v>28</v>
      </c>
      <c r="E4273" t="s">
        <v>29</v>
      </c>
      <c r="F4273" t="s">
        <v>24</v>
      </c>
      <c r="G4273">
        <v>5</v>
      </c>
      <c r="H4273">
        <v>0</v>
      </c>
      <c r="I4273" t="s">
        <v>18</v>
      </c>
      <c r="J4273" t="s">
        <v>37</v>
      </c>
      <c r="K4273" t="s">
        <v>40</v>
      </c>
      <c r="L4273">
        <v>5</v>
      </c>
      <c r="M4273">
        <v>1</v>
      </c>
      <c r="N4273">
        <v>0</v>
      </c>
      <c r="O4273" t="s">
        <v>27</v>
      </c>
      <c r="P4273" t="str">
        <f>TEXT(Table1[[#This Row],[order_date]],"yyyy-mm")</f>
        <v>2025-08</v>
      </c>
      <c r="Q4273">
        <f>WEEKNUM(Table1[[#This Row],[order_date]])</f>
        <v>34</v>
      </c>
      <c r="R4273">
        <f>IF(Table1[[#This Row],[order_status]]="completed",1,0)</f>
        <v>0</v>
      </c>
    </row>
    <row r="4274" spans="1:18" x14ac:dyDescent="0.35">
      <c r="A4274">
        <v>4273</v>
      </c>
      <c r="B4274" s="1">
        <v>45895</v>
      </c>
      <c r="C4274">
        <v>1264</v>
      </c>
      <c r="D4274" t="s">
        <v>32</v>
      </c>
      <c r="E4274" t="s">
        <v>29</v>
      </c>
      <c r="F4274" t="s">
        <v>24</v>
      </c>
      <c r="G4274">
        <v>5</v>
      </c>
      <c r="H4274">
        <v>0</v>
      </c>
      <c r="I4274" t="s">
        <v>25</v>
      </c>
      <c r="J4274" t="s">
        <v>37</v>
      </c>
      <c r="K4274" t="s">
        <v>38</v>
      </c>
      <c r="L4274">
        <v>3</v>
      </c>
      <c r="M4274">
        <v>0</v>
      </c>
      <c r="N4274">
        <v>0</v>
      </c>
      <c r="O4274" t="s">
        <v>21</v>
      </c>
      <c r="P4274" t="str">
        <f>TEXT(Table1[[#This Row],[order_date]],"yyyy-mm")</f>
        <v>2025-08</v>
      </c>
      <c r="Q4274">
        <f>WEEKNUM(Table1[[#This Row],[order_date]])</f>
        <v>35</v>
      </c>
      <c r="R4274">
        <f>IF(Table1[[#This Row],[order_status]]="completed",1,0)</f>
        <v>0</v>
      </c>
    </row>
    <row r="4275" spans="1:18" x14ac:dyDescent="0.35">
      <c r="A4275">
        <v>4274</v>
      </c>
      <c r="B4275" s="1">
        <v>45872</v>
      </c>
      <c r="C4275">
        <v>1010</v>
      </c>
      <c r="D4275" t="s">
        <v>32</v>
      </c>
      <c r="E4275" t="s">
        <v>23</v>
      </c>
      <c r="F4275" t="s">
        <v>24</v>
      </c>
      <c r="G4275">
        <v>1</v>
      </c>
      <c r="H4275">
        <v>2261</v>
      </c>
      <c r="I4275" t="s">
        <v>18</v>
      </c>
      <c r="J4275" t="s">
        <v>19</v>
      </c>
      <c r="K4275" t="s">
        <v>40</v>
      </c>
      <c r="L4275">
        <v>3</v>
      </c>
      <c r="M4275">
        <v>0</v>
      </c>
      <c r="N4275">
        <v>0</v>
      </c>
      <c r="O4275" t="s">
        <v>27</v>
      </c>
      <c r="P4275" t="str">
        <f>TEXT(Table1[[#This Row],[order_date]],"yyyy-mm")</f>
        <v>2025-08</v>
      </c>
      <c r="Q4275">
        <f>WEEKNUM(Table1[[#This Row],[order_date]])</f>
        <v>32</v>
      </c>
      <c r="R4275">
        <f>IF(Table1[[#This Row],[order_status]]="completed",1,0)</f>
        <v>1</v>
      </c>
    </row>
    <row r="4276" spans="1:18" x14ac:dyDescent="0.35">
      <c r="A4276">
        <v>4275</v>
      </c>
      <c r="B4276" s="1">
        <v>45927</v>
      </c>
      <c r="C4276">
        <v>1589</v>
      </c>
      <c r="D4276" t="s">
        <v>28</v>
      </c>
      <c r="E4276" t="s">
        <v>29</v>
      </c>
      <c r="F4276" t="s">
        <v>17</v>
      </c>
      <c r="G4276">
        <v>3</v>
      </c>
      <c r="H4276">
        <v>0</v>
      </c>
      <c r="I4276" t="s">
        <v>35</v>
      </c>
      <c r="J4276" t="s">
        <v>37</v>
      </c>
      <c r="K4276" t="s">
        <v>20</v>
      </c>
      <c r="L4276">
        <v>1</v>
      </c>
      <c r="M4276">
        <v>0</v>
      </c>
      <c r="N4276">
        <v>1</v>
      </c>
      <c r="O4276" t="s">
        <v>27</v>
      </c>
      <c r="P4276" t="str">
        <f>TEXT(Table1[[#This Row],[order_date]],"yyyy-mm")</f>
        <v>2025-09</v>
      </c>
      <c r="Q4276">
        <f>WEEKNUM(Table1[[#This Row],[order_date]])</f>
        <v>39</v>
      </c>
      <c r="R4276">
        <f>IF(Table1[[#This Row],[order_status]]="completed",1,0)</f>
        <v>0</v>
      </c>
    </row>
    <row r="4277" spans="1:18" x14ac:dyDescent="0.35">
      <c r="A4277">
        <v>4276</v>
      </c>
      <c r="B4277" s="1">
        <v>45864</v>
      </c>
      <c r="C4277">
        <v>1983</v>
      </c>
      <c r="D4277" t="s">
        <v>22</v>
      </c>
      <c r="E4277" t="s">
        <v>23</v>
      </c>
      <c r="F4277" t="s">
        <v>17</v>
      </c>
      <c r="G4277">
        <v>5</v>
      </c>
      <c r="H4277">
        <v>0</v>
      </c>
      <c r="I4277" t="s">
        <v>35</v>
      </c>
      <c r="J4277" t="s">
        <v>31</v>
      </c>
      <c r="K4277" t="s">
        <v>38</v>
      </c>
      <c r="L4277">
        <v>4</v>
      </c>
      <c r="M4277">
        <v>0</v>
      </c>
      <c r="N4277">
        <v>0</v>
      </c>
      <c r="O4277" t="s">
        <v>21</v>
      </c>
      <c r="P4277" t="str">
        <f>TEXT(Table1[[#This Row],[order_date]],"yyyy-mm")</f>
        <v>2025-07</v>
      </c>
      <c r="Q4277">
        <f>WEEKNUM(Table1[[#This Row],[order_date]])</f>
        <v>30</v>
      </c>
      <c r="R4277">
        <f>IF(Table1[[#This Row],[order_status]]="completed",1,0)</f>
        <v>0</v>
      </c>
    </row>
    <row r="4278" spans="1:18" x14ac:dyDescent="0.35">
      <c r="A4278">
        <v>4277</v>
      </c>
      <c r="B4278" s="1">
        <v>45924</v>
      </c>
      <c r="C4278">
        <v>1102</v>
      </c>
      <c r="D4278" t="s">
        <v>41</v>
      </c>
      <c r="E4278" t="s">
        <v>16</v>
      </c>
      <c r="F4278" t="s">
        <v>24</v>
      </c>
      <c r="G4278">
        <v>3</v>
      </c>
      <c r="H4278">
        <v>1914</v>
      </c>
      <c r="I4278" t="s">
        <v>25</v>
      </c>
      <c r="J4278" t="s">
        <v>19</v>
      </c>
      <c r="K4278" t="s">
        <v>38</v>
      </c>
      <c r="L4278">
        <v>10</v>
      </c>
      <c r="M4278">
        <v>1</v>
      </c>
      <c r="N4278">
        <v>1</v>
      </c>
      <c r="O4278" t="s">
        <v>27</v>
      </c>
      <c r="P4278" t="str">
        <f>TEXT(Table1[[#This Row],[order_date]],"yyyy-mm")</f>
        <v>2025-09</v>
      </c>
      <c r="Q4278">
        <f>WEEKNUM(Table1[[#This Row],[order_date]])</f>
        <v>39</v>
      </c>
      <c r="R4278">
        <f>IF(Table1[[#This Row],[order_status]]="completed",1,0)</f>
        <v>1</v>
      </c>
    </row>
    <row r="4279" spans="1:18" x14ac:dyDescent="0.35">
      <c r="A4279">
        <v>4278</v>
      </c>
      <c r="B4279" s="1">
        <v>45955</v>
      </c>
      <c r="C4279">
        <v>1406</v>
      </c>
      <c r="D4279" t="s">
        <v>32</v>
      </c>
      <c r="E4279" t="s">
        <v>29</v>
      </c>
      <c r="F4279" t="s">
        <v>34</v>
      </c>
      <c r="G4279">
        <v>5</v>
      </c>
      <c r="H4279">
        <v>0</v>
      </c>
      <c r="I4279" t="s">
        <v>35</v>
      </c>
      <c r="J4279" t="s">
        <v>37</v>
      </c>
      <c r="K4279" t="s">
        <v>38</v>
      </c>
      <c r="L4279">
        <v>4</v>
      </c>
      <c r="M4279">
        <v>1</v>
      </c>
      <c r="N4279">
        <v>1</v>
      </c>
      <c r="O4279" t="s">
        <v>27</v>
      </c>
      <c r="P4279" t="str">
        <f>TEXT(Table1[[#This Row],[order_date]],"yyyy-mm")</f>
        <v>2025-10</v>
      </c>
      <c r="Q4279">
        <f>WEEKNUM(Table1[[#This Row],[order_date]])</f>
        <v>43</v>
      </c>
      <c r="R4279">
        <f>IF(Table1[[#This Row],[order_status]]="completed",1,0)</f>
        <v>0</v>
      </c>
    </row>
    <row r="4280" spans="1:18" x14ac:dyDescent="0.35">
      <c r="A4280">
        <v>4279</v>
      </c>
      <c r="B4280" s="1">
        <v>45975</v>
      </c>
      <c r="C4280">
        <v>1390</v>
      </c>
      <c r="D4280" t="s">
        <v>28</v>
      </c>
      <c r="E4280" t="s">
        <v>23</v>
      </c>
      <c r="F4280" t="s">
        <v>34</v>
      </c>
      <c r="G4280">
        <v>5</v>
      </c>
      <c r="H4280">
        <v>0</v>
      </c>
      <c r="I4280" t="s">
        <v>25</v>
      </c>
      <c r="J4280" t="s">
        <v>37</v>
      </c>
      <c r="K4280" t="s">
        <v>20</v>
      </c>
      <c r="L4280">
        <v>4</v>
      </c>
      <c r="M4280">
        <v>1</v>
      </c>
      <c r="N4280">
        <v>0</v>
      </c>
      <c r="O4280" t="s">
        <v>21</v>
      </c>
      <c r="P4280" t="str">
        <f>TEXT(Table1[[#This Row],[order_date]],"yyyy-mm")</f>
        <v>2025-11</v>
      </c>
      <c r="Q4280">
        <f>WEEKNUM(Table1[[#This Row],[order_date]])</f>
        <v>46</v>
      </c>
      <c r="R4280">
        <f>IF(Table1[[#This Row],[order_status]]="completed",1,0)</f>
        <v>0</v>
      </c>
    </row>
    <row r="4281" spans="1:18" x14ac:dyDescent="0.35">
      <c r="A4281">
        <v>4280</v>
      </c>
      <c r="B4281" s="1">
        <v>45988</v>
      </c>
      <c r="C4281">
        <v>1230</v>
      </c>
      <c r="D4281" t="s">
        <v>28</v>
      </c>
      <c r="E4281" t="s">
        <v>33</v>
      </c>
      <c r="F4281" t="s">
        <v>30</v>
      </c>
      <c r="G4281">
        <v>2</v>
      </c>
      <c r="H4281">
        <v>0</v>
      </c>
      <c r="I4281" t="s">
        <v>39</v>
      </c>
      <c r="J4281" t="s">
        <v>37</v>
      </c>
      <c r="K4281" t="s">
        <v>40</v>
      </c>
      <c r="L4281">
        <v>1</v>
      </c>
      <c r="M4281">
        <v>0</v>
      </c>
      <c r="N4281">
        <v>1</v>
      </c>
      <c r="O4281" t="s">
        <v>27</v>
      </c>
      <c r="P4281" t="str">
        <f>TEXT(Table1[[#This Row],[order_date]],"yyyy-mm")</f>
        <v>2025-11</v>
      </c>
      <c r="Q4281">
        <f>WEEKNUM(Table1[[#This Row],[order_date]])</f>
        <v>48</v>
      </c>
      <c r="R4281">
        <f>IF(Table1[[#This Row],[order_status]]="completed",1,0)</f>
        <v>0</v>
      </c>
    </row>
    <row r="4282" spans="1:18" x14ac:dyDescent="0.35">
      <c r="A4282">
        <v>4281</v>
      </c>
      <c r="B4282" s="1">
        <v>45914</v>
      </c>
      <c r="C4282">
        <v>1470</v>
      </c>
      <c r="D4282" t="s">
        <v>22</v>
      </c>
      <c r="E4282" t="s">
        <v>33</v>
      </c>
      <c r="F4282" t="s">
        <v>30</v>
      </c>
      <c r="G4282">
        <v>3</v>
      </c>
      <c r="H4282">
        <v>12198</v>
      </c>
      <c r="I4282" t="s">
        <v>35</v>
      </c>
      <c r="J4282" t="s">
        <v>19</v>
      </c>
      <c r="K4282" t="s">
        <v>40</v>
      </c>
      <c r="L4282">
        <v>3</v>
      </c>
      <c r="M4282">
        <v>0</v>
      </c>
      <c r="N4282">
        <v>1</v>
      </c>
      <c r="O4282" t="s">
        <v>27</v>
      </c>
      <c r="P4282" t="str">
        <f>TEXT(Table1[[#This Row],[order_date]],"yyyy-mm")</f>
        <v>2025-09</v>
      </c>
      <c r="Q4282">
        <f>WEEKNUM(Table1[[#This Row],[order_date]])</f>
        <v>38</v>
      </c>
      <c r="R4282">
        <f>IF(Table1[[#This Row],[order_status]]="completed",1,0)</f>
        <v>1</v>
      </c>
    </row>
    <row r="4283" spans="1:18" x14ac:dyDescent="0.35">
      <c r="A4283">
        <v>4282</v>
      </c>
      <c r="B4283" s="1">
        <v>45891</v>
      </c>
      <c r="C4283">
        <v>1105</v>
      </c>
      <c r="D4283" t="s">
        <v>15</v>
      </c>
      <c r="E4283" t="s">
        <v>33</v>
      </c>
      <c r="F4283" t="s">
        <v>17</v>
      </c>
      <c r="G4283">
        <v>4</v>
      </c>
      <c r="H4283">
        <v>0</v>
      </c>
      <c r="I4283" t="s">
        <v>18</v>
      </c>
      <c r="J4283" t="s">
        <v>31</v>
      </c>
      <c r="K4283" t="s">
        <v>20</v>
      </c>
      <c r="L4283">
        <v>5</v>
      </c>
      <c r="M4283">
        <v>0</v>
      </c>
      <c r="N4283">
        <v>1</v>
      </c>
      <c r="O4283" t="s">
        <v>21</v>
      </c>
      <c r="P4283" t="str">
        <f>TEXT(Table1[[#This Row],[order_date]],"yyyy-mm")</f>
        <v>2025-08</v>
      </c>
      <c r="Q4283">
        <f>WEEKNUM(Table1[[#This Row],[order_date]])</f>
        <v>34</v>
      </c>
      <c r="R4283">
        <f>IF(Table1[[#This Row],[order_status]]="completed",1,0)</f>
        <v>0</v>
      </c>
    </row>
    <row r="4284" spans="1:18" x14ac:dyDescent="0.35">
      <c r="A4284">
        <v>4283</v>
      </c>
      <c r="B4284" s="1">
        <v>46008</v>
      </c>
      <c r="C4284">
        <v>1164</v>
      </c>
      <c r="D4284" t="s">
        <v>32</v>
      </c>
      <c r="E4284" t="s">
        <v>29</v>
      </c>
      <c r="F4284" t="s">
        <v>17</v>
      </c>
      <c r="G4284">
        <v>5</v>
      </c>
      <c r="H4284">
        <v>10980</v>
      </c>
      <c r="I4284" t="s">
        <v>18</v>
      </c>
      <c r="J4284" t="s">
        <v>19</v>
      </c>
      <c r="K4284" t="s">
        <v>40</v>
      </c>
      <c r="L4284">
        <v>1</v>
      </c>
      <c r="M4284">
        <v>0</v>
      </c>
      <c r="N4284">
        <v>0</v>
      </c>
      <c r="O4284" t="s">
        <v>27</v>
      </c>
      <c r="P4284" t="str">
        <f>TEXT(Table1[[#This Row],[order_date]],"yyyy-mm")</f>
        <v>2025-12</v>
      </c>
      <c r="Q4284">
        <f>WEEKNUM(Table1[[#This Row],[order_date]])</f>
        <v>51</v>
      </c>
      <c r="R4284">
        <f>IF(Table1[[#This Row],[order_status]]="completed",1,0)</f>
        <v>1</v>
      </c>
    </row>
    <row r="4285" spans="1:18" x14ac:dyDescent="0.35">
      <c r="A4285">
        <v>4284</v>
      </c>
      <c r="B4285" s="1">
        <v>45923</v>
      </c>
      <c r="C4285">
        <v>1458</v>
      </c>
      <c r="D4285" t="s">
        <v>28</v>
      </c>
      <c r="E4285" t="s">
        <v>23</v>
      </c>
      <c r="F4285" t="s">
        <v>17</v>
      </c>
      <c r="G4285">
        <v>3</v>
      </c>
      <c r="H4285">
        <v>0</v>
      </c>
      <c r="I4285" t="s">
        <v>39</v>
      </c>
      <c r="J4285" t="s">
        <v>31</v>
      </c>
      <c r="K4285" t="s">
        <v>38</v>
      </c>
      <c r="L4285">
        <v>10</v>
      </c>
      <c r="M4285">
        <v>0</v>
      </c>
      <c r="N4285">
        <v>0</v>
      </c>
      <c r="O4285" t="s">
        <v>27</v>
      </c>
      <c r="P4285" t="str">
        <f>TEXT(Table1[[#This Row],[order_date]],"yyyy-mm")</f>
        <v>2025-09</v>
      </c>
      <c r="Q4285">
        <f>WEEKNUM(Table1[[#This Row],[order_date]])</f>
        <v>39</v>
      </c>
      <c r="R4285">
        <f>IF(Table1[[#This Row],[order_status]]="completed",1,0)</f>
        <v>0</v>
      </c>
    </row>
    <row r="4286" spans="1:18" x14ac:dyDescent="0.35">
      <c r="A4286">
        <v>4285</v>
      </c>
      <c r="B4286" s="1">
        <v>45954</v>
      </c>
      <c r="C4286">
        <v>1570</v>
      </c>
      <c r="D4286" t="s">
        <v>28</v>
      </c>
      <c r="E4286" t="s">
        <v>29</v>
      </c>
      <c r="F4286" t="s">
        <v>17</v>
      </c>
      <c r="G4286">
        <v>2</v>
      </c>
      <c r="H4286">
        <v>0</v>
      </c>
      <c r="I4286" t="s">
        <v>35</v>
      </c>
      <c r="J4286" t="s">
        <v>31</v>
      </c>
      <c r="K4286" t="s">
        <v>40</v>
      </c>
      <c r="L4286">
        <v>1</v>
      </c>
      <c r="M4286">
        <v>1</v>
      </c>
      <c r="N4286">
        <v>0</v>
      </c>
      <c r="O4286" t="s">
        <v>21</v>
      </c>
      <c r="P4286" t="str">
        <f>TEXT(Table1[[#This Row],[order_date]],"yyyy-mm")</f>
        <v>2025-10</v>
      </c>
      <c r="Q4286">
        <f>WEEKNUM(Table1[[#This Row],[order_date]])</f>
        <v>43</v>
      </c>
      <c r="R4286">
        <f>IF(Table1[[#This Row],[order_status]]="completed",1,0)</f>
        <v>0</v>
      </c>
    </row>
    <row r="4287" spans="1:18" x14ac:dyDescent="0.35">
      <c r="A4287">
        <v>4286</v>
      </c>
      <c r="B4287" s="1">
        <v>45955</v>
      </c>
      <c r="C4287">
        <v>1091</v>
      </c>
      <c r="D4287" t="s">
        <v>28</v>
      </c>
      <c r="E4287" t="s">
        <v>23</v>
      </c>
      <c r="F4287" t="s">
        <v>34</v>
      </c>
      <c r="G4287">
        <v>3</v>
      </c>
      <c r="H4287">
        <v>0</v>
      </c>
      <c r="I4287" t="s">
        <v>39</v>
      </c>
      <c r="J4287" t="s">
        <v>31</v>
      </c>
      <c r="K4287" t="s">
        <v>40</v>
      </c>
      <c r="L4287">
        <v>5</v>
      </c>
      <c r="M4287">
        <v>0</v>
      </c>
      <c r="N4287">
        <v>1</v>
      </c>
      <c r="O4287" t="s">
        <v>27</v>
      </c>
      <c r="P4287" t="str">
        <f>TEXT(Table1[[#This Row],[order_date]],"yyyy-mm")</f>
        <v>2025-10</v>
      </c>
      <c r="Q4287">
        <f>WEEKNUM(Table1[[#This Row],[order_date]])</f>
        <v>43</v>
      </c>
      <c r="R4287">
        <f>IF(Table1[[#This Row],[order_status]]="completed",1,0)</f>
        <v>0</v>
      </c>
    </row>
    <row r="4288" spans="1:18" x14ac:dyDescent="0.35">
      <c r="A4288">
        <v>4287</v>
      </c>
      <c r="B4288" s="1">
        <v>45938</v>
      </c>
      <c r="C4288">
        <v>1108</v>
      </c>
      <c r="D4288" t="s">
        <v>28</v>
      </c>
      <c r="E4288" t="s">
        <v>23</v>
      </c>
      <c r="F4288" t="s">
        <v>24</v>
      </c>
      <c r="G4288">
        <v>4</v>
      </c>
      <c r="H4288">
        <v>0</v>
      </c>
      <c r="I4288" t="s">
        <v>39</v>
      </c>
      <c r="J4288" t="s">
        <v>31</v>
      </c>
      <c r="K4288" t="s">
        <v>40</v>
      </c>
      <c r="L4288">
        <v>8</v>
      </c>
      <c r="M4288">
        <v>0</v>
      </c>
      <c r="N4288">
        <v>0</v>
      </c>
      <c r="O4288" t="s">
        <v>27</v>
      </c>
      <c r="P4288" t="str">
        <f>TEXT(Table1[[#This Row],[order_date]],"yyyy-mm")</f>
        <v>2025-10</v>
      </c>
      <c r="Q4288">
        <f>WEEKNUM(Table1[[#This Row],[order_date]])</f>
        <v>41</v>
      </c>
      <c r="R4288">
        <f>IF(Table1[[#This Row],[order_status]]="completed",1,0)</f>
        <v>0</v>
      </c>
    </row>
    <row r="4289" spans="1:18" x14ac:dyDescent="0.35">
      <c r="A4289">
        <v>4288</v>
      </c>
      <c r="B4289" s="1">
        <v>45941</v>
      </c>
      <c r="C4289">
        <v>1051</v>
      </c>
      <c r="D4289" t="s">
        <v>28</v>
      </c>
      <c r="E4289" t="s">
        <v>33</v>
      </c>
      <c r="F4289" t="s">
        <v>24</v>
      </c>
      <c r="G4289">
        <v>5</v>
      </c>
      <c r="H4289">
        <v>0</v>
      </c>
      <c r="I4289" t="s">
        <v>39</v>
      </c>
      <c r="J4289" t="s">
        <v>37</v>
      </c>
      <c r="K4289" t="s">
        <v>38</v>
      </c>
      <c r="L4289">
        <v>6</v>
      </c>
      <c r="M4289">
        <v>1</v>
      </c>
      <c r="N4289">
        <v>0</v>
      </c>
      <c r="O4289" t="s">
        <v>21</v>
      </c>
      <c r="P4289" t="str">
        <f>TEXT(Table1[[#This Row],[order_date]],"yyyy-mm")</f>
        <v>2025-10</v>
      </c>
      <c r="Q4289">
        <f>WEEKNUM(Table1[[#This Row],[order_date]])</f>
        <v>41</v>
      </c>
      <c r="R4289">
        <f>IF(Table1[[#This Row],[order_status]]="completed",1,0)</f>
        <v>0</v>
      </c>
    </row>
    <row r="4290" spans="1:18" x14ac:dyDescent="0.35">
      <c r="A4290">
        <v>4289</v>
      </c>
      <c r="B4290" s="1">
        <v>46002</v>
      </c>
      <c r="C4290">
        <v>1517</v>
      </c>
      <c r="D4290" t="s">
        <v>28</v>
      </c>
      <c r="E4290" t="s">
        <v>29</v>
      </c>
      <c r="F4290" t="s">
        <v>30</v>
      </c>
      <c r="G4290">
        <v>4</v>
      </c>
      <c r="H4290">
        <v>10772</v>
      </c>
      <c r="I4290" t="s">
        <v>25</v>
      </c>
      <c r="J4290" t="s">
        <v>19</v>
      </c>
      <c r="K4290" t="s">
        <v>38</v>
      </c>
      <c r="L4290">
        <v>8</v>
      </c>
      <c r="M4290">
        <v>1</v>
      </c>
      <c r="N4290">
        <v>0</v>
      </c>
      <c r="O4290" t="s">
        <v>21</v>
      </c>
      <c r="P4290" t="str">
        <f>TEXT(Table1[[#This Row],[order_date]],"yyyy-mm")</f>
        <v>2025-12</v>
      </c>
      <c r="Q4290">
        <f>WEEKNUM(Table1[[#This Row],[order_date]])</f>
        <v>50</v>
      </c>
      <c r="R4290">
        <f>IF(Table1[[#This Row],[order_status]]="completed",1,0)</f>
        <v>1</v>
      </c>
    </row>
    <row r="4291" spans="1:18" x14ac:dyDescent="0.35">
      <c r="A4291">
        <v>4290</v>
      </c>
      <c r="B4291" s="1">
        <v>45921</v>
      </c>
      <c r="C4291">
        <v>1549</v>
      </c>
      <c r="D4291" t="s">
        <v>28</v>
      </c>
      <c r="E4291" t="s">
        <v>29</v>
      </c>
      <c r="F4291" t="s">
        <v>34</v>
      </c>
      <c r="G4291">
        <v>2</v>
      </c>
      <c r="H4291">
        <v>1506</v>
      </c>
      <c r="I4291" t="s">
        <v>39</v>
      </c>
      <c r="J4291" t="s">
        <v>19</v>
      </c>
      <c r="K4291" t="s">
        <v>38</v>
      </c>
      <c r="L4291">
        <v>2</v>
      </c>
      <c r="M4291">
        <v>1</v>
      </c>
      <c r="N4291">
        <v>1</v>
      </c>
      <c r="O4291" t="s">
        <v>21</v>
      </c>
      <c r="P4291" t="str">
        <f>TEXT(Table1[[#This Row],[order_date]],"yyyy-mm")</f>
        <v>2025-09</v>
      </c>
      <c r="Q4291">
        <f>WEEKNUM(Table1[[#This Row],[order_date]])</f>
        <v>39</v>
      </c>
      <c r="R4291">
        <f>IF(Table1[[#This Row],[order_status]]="completed",1,0)</f>
        <v>1</v>
      </c>
    </row>
    <row r="4292" spans="1:18" x14ac:dyDescent="0.35">
      <c r="A4292">
        <v>4291</v>
      </c>
      <c r="B4292" s="1">
        <v>45957</v>
      </c>
      <c r="C4292">
        <v>1123</v>
      </c>
      <c r="D4292" t="s">
        <v>41</v>
      </c>
      <c r="E4292" t="s">
        <v>16</v>
      </c>
      <c r="F4292" t="s">
        <v>17</v>
      </c>
      <c r="G4292">
        <v>5</v>
      </c>
      <c r="H4292">
        <v>0</v>
      </c>
      <c r="I4292" t="s">
        <v>18</v>
      </c>
      <c r="J4292" t="s">
        <v>37</v>
      </c>
      <c r="K4292" t="s">
        <v>26</v>
      </c>
      <c r="L4292">
        <v>2</v>
      </c>
      <c r="M4292">
        <v>0</v>
      </c>
      <c r="N4292">
        <v>0</v>
      </c>
      <c r="O4292" t="s">
        <v>21</v>
      </c>
      <c r="P4292" t="str">
        <f>TEXT(Table1[[#This Row],[order_date]],"yyyy-mm")</f>
        <v>2025-10</v>
      </c>
      <c r="Q4292">
        <f>WEEKNUM(Table1[[#This Row],[order_date]])</f>
        <v>44</v>
      </c>
      <c r="R4292">
        <f>IF(Table1[[#This Row],[order_status]]="completed",1,0)</f>
        <v>0</v>
      </c>
    </row>
    <row r="4293" spans="1:18" x14ac:dyDescent="0.35">
      <c r="A4293">
        <v>4292</v>
      </c>
      <c r="B4293" s="1">
        <v>45940</v>
      </c>
      <c r="C4293">
        <v>1550</v>
      </c>
      <c r="D4293" t="s">
        <v>32</v>
      </c>
      <c r="E4293" t="s">
        <v>29</v>
      </c>
      <c r="F4293" t="s">
        <v>24</v>
      </c>
      <c r="G4293">
        <v>4</v>
      </c>
      <c r="H4293">
        <v>0</v>
      </c>
      <c r="I4293" t="s">
        <v>39</v>
      </c>
      <c r="J4293" t="s">
        <v>37</v>
      </c>
      <c r="K4293" t="s">
        <v>38</v>
      </c>
      <c r="L4293">
        <v>8</v>
      </c>
      <c r="M4293">
        <v>0</v>
      </c>
      <c r="N4293">
        <v>1</v>
      </c>
      <c r="O4293" t="s">
        <v>27</v>
      </c>
      <c r="P4293" t="str">
        <f>TEXT(Table1[[#This Row],[order_date]],"yyyy-mm")</f>
        <v>2025-10</v>
      </c>
      <c r="Q4293">
        <f>WEEKNUM(Table1[[#This Row],[order_date]])</f>
        <v>41</v>
      </c>
      <c r="R4293">
        <f>IF(Table1[[#This Row],[order_status]]="completed",1,0)</f>
        <v>0</v>
      </c>
    </row>
    <row r="4294" spans="1:18" x14ac:dyDescent="0.35">
      <c r="A4294">
        <v>4293</v>
      </c>
      <c r="B4294" s="1">
        <v>45989</v>
      </c>
      <c r="C4294">
        <v>1440</v>
      </c>
      <c r="D4294" t="s">
        <v>41</v>
      </c>
      <c r="E4294" t="s">
        <v>16</v>
      </c>
      <c r="F4294" t="s">
        <v>17</v>
      </c>
      <c r="G4294">
        <v>1</v>
      </c>
      <c r="H4294">
        <v>3320</v>
      </c>
      <c r="I4294" t="s">
        <v>18</v>
      </c>
      <c r="J4294" t="s">
        <v>19</v>
      </c>
      <c r="K4294" t="s">
        <v>38</v>
      </c>
      <c r="L4294">
        <v>9</v>
      </c>
      <c r="M4294">
        <v>0</v>
      </c>
      <c r="N4294">
        <v>1</v>
      </c>
      <c r="O4294" t="s">
        <v>21</v>
      </c>
      <c r="P4294" t="str">
        <f>TEXT(Table1[[#This Row],[order_date]],"yyyy-mm")</f>
        <v>2025-11</v>
      </c>
      <c r="Q4294">
        <f>WEEKNUM(Table1[[#This Row],[order_date]])</f>
        <v>48</v>
      </c>
      <c r="R4294">
        <f>IF(Table1[[#This Row],[order_status]]="completed",1,0)</f>
        <v>1</v>
      </c>
    </row>
    <row r="4295" spans="1:18" x14ac:dyDescent="0.35">
      <c r="A4295">
        <v>4294</v>
      </c>
      <c r="B4295" s="1">
        <v>46023</v>
      </c>
      <c r="C4295">
        <v>1247</v>
      </c>
      <c r="D4295" t="s">
        <v>28</v>
      </c>
      <c r="E4295" t="s">
        <v>36</v>
      </c>
      <c r="F4295" t="s">
        <v>30</v>
      </c>
      <c r="G4295">
        <v>1</v>
      </c>
      <c r="H4295">
        <v>0</v>
      </c>
      <c r="I4295" t="s">
        <v>25</v>
      </c>
      <c r="J4295" t="s">
        <v>37</v>
      </c>
      <c r="K4295" t="s">
        <v>20</v>
      </c>
      <c r="L4295">
        <v>1</v>
      </c>
      <c r="M4295">
        <v>1</v>
      </c>
      <c r="N4295">
        <v>1</v>
      </c>
      <c r="O4295" t="s">
        <v>21</v>
      </c>
      <c r="P4295" t="str">
        <f>TEXT(Table1[[#This Row],[order_date]],"yyyy-mm")</f>
        <v>2026-01</v>
      </c>
      <c r="Q4295">
        <f>WEEKNUM(Table1[[#This Row],[order_date]])</f>
        <v>1</v>
      </c>
      <c r="R4295">
        <f>IF(Table1[[#This Row],[order_status]]="completed",1,0)</f>
        <v>0</v>
      </c>
    </row>
    <row r="4296" spans="1:18" x14ac:dyDescent="0.35">
      <c r="A4296">
        <v>4295</v>
      </c>
      <c r="B4296" s="1">
        <v>45980</v>
      </c>
      <c r="C4296">
        <v>1088</v>
      </c>
      <c r="D4296" t="s">
        <v>41</v>
      </c>
      <c r="E4296" t="s">
        <v>29</v>
      </c>
      <c r="F4296" t="s">
        <v>24</v>
      </c>
      <c r="G4296">
        <v>5</v>
      </c>
      <c r="H4296">
        <v>0</v>
      </c>
      <c r="I4296" t="s">
        <v>18</v>
      </c>
      <c r="J4296" t="s">
        <v>37</v>
      </c>
      <c r="K4296" t="s">
        <v>40</v>
      </c>
      <c r="L4296">
        <v>7</v>
      </c>
      <c r="M4296">
        <v>0</v>
      </c>
      <c r="N4296">
        <v>1</v>
      </c>
      <c r="O4296" t="s">
        <v>21</v>
      </c>
      <c r="P4296" t="str">
        <f>TEXT(Table1[[#This Row],[order_date]],"yyyy-mm")</f>
        <v>2025-11</v>
      </c>
      <c r="Q4296">
        <f>WEEKNUM(Table1[[#This Row],[order_date]])</f>
        <v>47</v>
      </c>
      <c r="R4296">
        <f>IF(Table1[[#This Row],[order_status]]="completed",1,0)</f>
        <v>0</v>
      </c>
    </row>
    <row r="4297" spans="1:18" x14ac:dyDescent="0.35">
      <c r="A4297">
        <v>4296</v>
      </c>
      <c r="B4297" s="1">
        <v>45918</v>
      </c>
      <c r="C4297">
        <v>1338</v>
      </c>
      <c r="D4297" t="s">
        <v>32</v>
      </c>
      <c r="E4297" t="s">
        <v>36</v>
      </c>
      <c r="F4297" t="s">
        <v>34</v>
      </c>
      <c r="G4297">
        <v>5</v>
      </c>
      <c r="H4297">
        <v>7355</v>
      </c>
      <c r="I4297" t="s">
        <v>18</v>
      </c>
      <c r="J4297" t="s">
        <v>19</v>
      </c>
      <c r="K4297" t="s">
        <v>38</v>
      </c>
      <c r="L4297">
        <v>4</v>
      </c>
      <c r="M4297">
        <v>1</v>
      </c>
      <c r="N4297">
        <v>1</v>
      </c>
      <c r="O4297" t="s">
        <v>21</v>
      </c>
      <c r="P4297" t="str">
        <f>TEXT(Table1[[#This Row],[order_date]],"yyyy-mm")</f>
        <v>2025-09</v>
      </c>
      <c r="Q4297">
        <f>WEEKNUM(Table1[[#This Row],[order_date]])</f>
        <v>38</v>
      </c>
      <c r="R4297">
        <f>IF(Table1[[#This Row],[order_status]]="completed",1,0)</f>
        <v>1</v>
      </c>
    </row>
    <row r="4298" spans="1:18" x14ac:dyDescent="0.35">
      <c r="A4298">
        <v>4297</v>
      </c>
      <c r="B4298" s="1">
        <v>45904</v>
      </c>
      <c r="C4298">
        <v>1651</v>
      </c>
      <c r="D4298" t="s">
        <v>28</v>
      </c>
      <c r="E4298" t="s">
        <v>36</v>
      </c>
      <c r="F4298" t="s">
        <v>30</v>
      </c>
      <c r="G4298">
        <v>3</v>
      </c>
      <c r="H4298">
        <v>0</v>
      </c>
      <c r="I4298" t="s">
        <v>18</v>
      </c>
      <c r="J4298" t="s">
        <v>37</v>
      </c>
      <c r="K4298" t="s">
        <v>38</v>
      </c>
      <c r="L4298">
        <v>4</v>
      </c>
      <c r="M4298">
        <v>0</v>
      </c>
      <c r="N4298">
        <v>1</v>
      </c>
      <c r="O4298" t="s">
        <v>21</v>
      </c>
      <c r="P4298" t="str">
        <f>TEXT(Table1[[#This Row],[order_date]],"yyyy-mm")</f>
        <v>2025-09</v>
      </c>
      <c r="Q4298">
        <f>WEEKNUM(Table1[[#This Row],[order_date]])</f>
        <v>36</v>
      </c>
      <c r="R4298">
        <f>IF(Table1[[#This Row],[order_status]]="completed",1,0)</f>
        <v>0</v>
      </c>
    </row>
    <row r="4299" spans="1:18" x14ac:dyDescent="0.35">
      <c r="A4299">
        <v>4298</v>
      </c>
      <c r="B4299" s="1">
        <v>45853</v>
      </c>
      <c r="C4299">
        <v>1097</v>
      </c>
      <c r="D4299" t="s">
        <v>28</v>
      </c>
      <c r="E4299" t="s">
        <v>29</v>
      </c>
      <c r="F4299" t="s">
        <v>17</v>
      </c>
      <c r="G4299">
        <v>3</v>
      </c>
      <c r="H4299">
        <v>10542</v>
      </c>
      <c r="I4299" t="s">
        <v>35</v>
      </c>
      <c r="J4299" t="s">
        <v>19</v>
      </c>
      <c r="K4299" t="s">
        <v>20</v>
      </c>
      <c r="L4299">
        <v>2</v>
      </c>
      <c r="M4299">
        <v>0</v>
      </c>
      <c r="N4299">
        <v>0</v>
      </c>
      <c r="O4299" t="s">
        <v>27</v>
      </c>
      <c r="P4299" t="str">
        <f>TEXT(Table1[[#This Row],[order_date]],"yyyy-mm")</f>
        <v>2025-07</v>
      </c>
      <c r="Q4299">
        <f>WEEKNUM(Table1[[#This Row],[order_date]])</f>
        <v>29</v>
      </c>
      <c r="R4299">
        <f>IF(Table1[[#This Row],[order_status]]="completed",1,0)</f>
        <v>1</v>
      </c>
    </row>
    <row r="4300" spans="1:18" x14ac:dyDescent="0.35">
      <c r="A4300">
        <v>4299</v>
      </c>
      <c r="B4300" s="1">
        <v>45973</v>
      </c>
      <c r="C4300">
        <v>1426</v>
      </c>
      <c r="D4300" t="s">
        <v>15</v>
      </c>
      <c r="E4300" t="s">
        <v>23</v>
      </c>
      <c r="F4300" t="s">
        <v>30</v>
      </c>
      <c r="G4300">
        <v>2</v>
      </c>
      <c r="H4300">
        <v>9028</v>
      </c>
      <c r="I4300" t="s">
        <v>18</v>
      </c>
      <c r="J4300" t="s">
        <v>19</v>
      </c>
      <c r="K4300" t="s">
        <v>38</v>
      </c>
      <c r="L4300">
        <v>5</v>
      </c>
      <c r="M4300">
        <v>0</v>
      </c>
      <c r="N4300">
        <v>0</v>
      </c>
      <c r="O4300" t="s">
        <v>27</v>
      </c>
      <c r="P4300" t="str">
        <f>TEXT(Table1[[#This Row],[order_date]],"yyyy-mm")</f>
        <v>2025-11</v>
      </c>
      <c r="Q4300">
        <f>WEEKNUM(Table1[[#This Row],[order_date]])</f>
        <v>46</v>
      </c>
      <c r="R4300">
        <f>IF(Table1[[#This Row],[order_status]]="completed",1,0)</f>
        <v>1</v>
      </c>
    </row>
    <row r="4301" spans="1:18" x14ac:dyDescent="0.35">
      <c r="A4301">
        <v>4300</v>
      </c>
      <c r="B4301" s="1">
        <v>46016</v>
      </c>
      <c r="C4301">
        <v>1383</v>
      </c>
      <c r="D4301" t="s">
        <v>28</v>
      </c>
      <c r="E4301" t="s">
        <v>23</v>
      </c>
      <c r="F4301" t="s">
        <v>34</v>
      </c>
      <c r="G4301">
        <v>5</v>
      </c>
      <c r="H4301">
        <v>0</v>
      </c>
      <c r="I4301" t="s">
        <v>35</v>
      </c>
      <c r="J4301" t="s">
        <v>37</v>
      </c>
      <c r="K4301" t="s">
        <v>40</v>
      </c>
      <c r="L4301">
        <v>10</v>
      </c>
      <c r="M4301">
        <v>0</v>
      </c>
      <c r="N4301">
        <v>0</v>
      </c>
      <c r="O4301" t="s">
        <v>27</v>
      </c>
      <c r="P4301" t="str">
        <f>TEXT(Table1[[#This Row],[order_date]],"yyyy-mm")</f>
        <v>2025-12</v>
      </c>
      <c r="Q4301">
        <f>WEEKNUM(Table1[[#This Row],[order_date]])</f>
        <v>52</v>
      </c>
      <c r="R4301">
        <f>IF(Table1[[#This Row],[order_status]]="completed",1,0)</f>
        <v>0</v>
      </c>
    </row>
    <row r="4302" spans="1:18" x14ac:dyDescent="0.35">
      <c r="A4302">
        <v>4301</v>
      </c>
      <c r="B4302" s="1">
        <v>45889</v>
      </c>
      <c r="C4302">
        <v>1409</v>
      </c>
      <c r="D4302" t="s">
        <v>28</v>
      </c>
      <c r="E4302" t="s">
        <v>29</v>
      </c>
      <c r="F4302" t="s">
        <v>34</v>
      </c>
      <c r="G4302">
        <v>3</v>
      </c>
      <c r="H4302">
        <v>3564</v>
      </c>
      <c r="I4302" t="s">
        <v>39</v>
      </c>
      <c r="J4302" t="s">
        <v>19</v>
      </c>
      <c r="K4302" t="s">
        <v>40</v>
      </c>
      <c r="L4302">
        <v>6</v>
      </c>
      <c r="M4302">
        <v>0</v>
      </c>
      <c r="N4302">
        <v>0</v>
      </c>
      <c r="O4302" t="s">
        <v>21</v>
      </c>
      <c r="P4302" t="str">
        <f>TEXT(Table1[[#This Row],[order_date]],"yyyy-mm")</f>
        <v>2025-08</v>
      </c>
      <c r="Q4302">
        <f>WEEKNUM(Table1[[#This Row],[order_date]])</f>
        <v>34</v>
      </c>
      <c r="R4302">
        <f>IF(Table1[[#This Row],[order_status]]="completed",1,0)</f>
        <v>1</v>
      </c>
    </row>
    <row r="4303" spans="1:18" x14ac:dyDescent="0.35">
      <c r="A4303">
        <v>4302</v>
      </c>
      <c r="B4303" s="1">
        <v>45870</v>
      </c>
      <c r="C4303">
        <v>1324</v>
      </c>
      <c r="D4303" t="s">
        <v>22</v>
      </c>
      <c r="E4303" t="s">
        <v>29</v>
      </c>
      <c r="F4303" t="s">
        <v>24</v>
      </c>
      <c r="G4303">
        <v>5</v>
      </c>
      <c r="H4303">
        <v>0</v>
      </c>
      <c r="I4303" t="s">
        <v>39</v>
      </c>
      <c r="J4303" t="s">
        <v>37</v>
      </c>
      <c r="K4303" t="s">
        <v>40</v>
      </c>
      <c r="L4303">
        <v>8</v>
      </c>
      <c r="M4303">
        <v>1</v>
      </c>
      <c r="N4303">
        <v>1</v>
      </c>
      <c r="O4303" t="s">
        <v>27</v>
      </c>
      <c r="P4303" t="str">
        <f>TEXT(Table1[[#This Row],[order_date]],"yyyy-mm")</f>
        <v>2025-08</v>
      </c>
      <c r="Q4303">
        <f>WEEKNUM(Table1[[#This Row],[order_date]])</f>
        <v>31</v>
      </c>
      <c r="R4303">
        <f>IF(Table1[[#This Row],[order_status]]="completed",1,0)</f>
        <v>0</v>
      </c>
    </row>
    <row r="4304" spans="1:18" x14ac:dyDescent="0.35">
      <c r="A4304">
        <v>4303</v>
      </c>
      <c r="B4304" s="1">
        <v>45983</v>
      </c>
      <c r="C4304">
        <v>1379</v>
      </c>
      <c r="D4304" t="s">
        <v>32</v>
      </c>
      <c r="E4304" t="s">
        <v>33</v>
      </c>
      <c r="F4304" t="s">
        <v>24</v>
      </c>
      <c r="G4304">
        <v>2</v>
      </c>
      <c r="H4304">
        <v>8772</v>
      </c>
      <c r="I4304" t="s">
        <v>39</v>
      </c>
      <c r="J4304" t="s">
        <v>19</v>
      </c>
      <c r="K4304" t="s">
        <v>40</v>
      </c>
      <c r="L4304">
        <v>6</v>
      </c>
      <c r="M4304">
        <v>1</v>
      </c>
      <c r="N4304">
        <v>0</v>
      </c>
      <c r="O4304" t="s">
        <v>21</v>
      </c>
      <c r="P4304" t="str">
        <f>TEXT(Table1[[#This Row],[order_date]],"yyyy-mm")</f>
        <v>2025-11</v>
      </c>
      <c r="Q4304">
        <f>WEEKNUM(Table1[[#This Row],[order_date]])</f>
        <v>47</v>
      </c>
      <c r="R4304">
        <f>IF(Table1[[#This Row],[order_status]]="completed",1,0)</f>
        <v>1</v>
      </c>
    </row>
    <row r="4305" spans="1:18" x14ac:dyDescent="0.35">
      <c r="A4305">
        <v>4304</v>
      </c>
      <c r="B4305" s="1">
        <v>46001</v>
      </c>
      <c r="C4305">
        <v>1629</v>
      </c>
      <c r="D4305" t="s">
        <v>22</v>
      </c>
      <c r="E4305" t="s">
        <v>29</v>
      </c>
      <c r="F4305" t="s">
        <v>17</v>
      </c>
      <c r="G4305">
        <v>1</v>
      </c>
      <c r="H4305">
        <v>0</v>
      </c>
      <c r="I4305" t="s">
        <v>35</v>
      </c>
      <c r="J4305" t="s">
        <v>37</v>
      </c>
      <c r="K4305" t="s">
        <v>40</v>
      </c>
      <c r="L4305">
        <v>1</v>
      </c>
      <c r="M4305">
        <v>1</v>
      </c>
      <c r="N4305">
        <v>0</v>
      </c>
      <c r="O4305" t="s">
        <v>27</v>
      </c>
      <c r="P4305" t="str">
        <f>TEXT(Table1[[#This Row],[order_date]],"yyyy-mm")</f>
        <v>2025-12</v>
      </c>
      <c r="Q4305">
        <f>WEEKNUM(Table1[[#This Row],[order_date]])</f>
        <v>50</v>
      </c>
      <c r="R4305">
        <f>IF(Table1[[#This Row],[order_status]]="completed",1,0)</f>
        <v>0</v>
      </c>
    </row>
    <row r="4306" spans="1:18" x14ac:dyDescent="0.35">
      <c r="A4306">
        <v>4305</v>
      </c>
      <c r="B4306" s="1">
        <v>45985</v>
      </c>
      <c r="C4306">
        <v>1346</v>
      </c>
      <c r="D4306" t="s">
        <v>32</v>
      </c>
      <c r="E4306" t="s">
        <v>36</v>
      </c>
      <c r="F4306" t="s">
        <v>24</v>
      </c>
      <c r="G4306">
        <v>3</v>
      </c>
      <c r="H4306">
        <v>8064</v>
      </c>
      <c r="I4306" t="s">
        <v>39</v>
      </c>
      <c r="J4306" t="s">
        <v>19</v>
      </c>
      <c r="K4306" t="s">
        <v>38</v>
      </c>
      <c r="L4306">
        <v>8</v>
      </c>
      <c r="M4306">
        <v>0</v>
      </c>
      <c r="N4306">
        <v>0</v>
      </c>
      <c r="O4306" t="s">
        <v>27</v>
      </c>
      <c r="P4306" t="str">
        <f>TEXT(Table1[[#This Row],[order_date]],"yyyy-mm")</f>
        <v>2025-11</v>
      </c>
      <c r="Q4306">
        <f>WEEKNUM(Table1[[#This Row],[order_date]])</f>
        <v>48</v>
      </c>
      <c r="R4306">
        <f>IF(Table1[[#This Row],[order_status]]="completed",1,0)</f>
        <v>1</v>
      </c>
    </row>
    <row r="4307" spans="1:18" x14ac:dyDescent="0.35">
      <c r="A4307">
        <v>4306</v>
      </c>
      <c r="B4307" s="1">
        <v>46026</v>
      </c>
      <c r="C4307">
        <v>1229</v>
      </c>
      <c r="D4307" t="s">
        <v>32</v>
      </c>
      <c r="E4307" t="s">
        <v>23</v>
      </c>
      <c r="F4307" t="s">
        <v>34</v>
      </c>
      <c r="G4307">
        <v>5</v>
      </c>
      <c r="H4307">
        <v>14225</v>
      </c>
      <c r="I4307" t="s">
        <v>35</v>
      </c>
      <c r="J4307" t="s">
        <v>19</v>
      </c>
      <c r="K4307" t="s">
        <v>38</v>
      </c>
      <c r="L4307">
        <v>1</v>
      </c>
      <c r="M4307">
        <v>0</v>
      </c>
      <c r="N4307">
        <v>1</v>
      </c>
      <c r="O4307" t="s">
        <v>21</v>
      </c>
      <c r="P4307" t="str">
        <f>TEXT(Table1[[#This Row],[order_date]],"yyyy-mm")</f>
        <v>2026-01</v>
      </c>
      <c r="Q4307">
        <f>WEEKNUM(Table1[[#This Row],[order_date]])</f>
        <v>2</v>
      </c>
      <c r="R4307">
        <f>IF(Table1[[#This Row],[order_status]]="completed",1,0)</f>
        <v>1</v>
      </c>
    </row>
    <row r="4308" spans="1:18" x14ac:dyDescent="0.35">
      <c r="A4308">
        <v>4307</v>
      </c>
      <c r="B4308" s="1">
        <v>45930</v>
      </c>
      <c r="C4308">
        <v>1209</v>
      </c>
      <c r="D4308" t="s">
        <v>22</v>
      </c>
      <c r="E4308" t="s">
        <v>36</v>
      </c>
      <c r="F4308" t="s">
        <v>17</v>
      </c>
      <c r="G4308">
        <v>4</v>
      </c>
      <c r="H4308">
        <v>0</v>
      </c>
      <c r="I4308" t="s">
        <v>39</v>
      </c>
      <c r="J4308" t="s">
        <v>37</v>
      </c>
      <c r="K4308" t="s">
        <v>26</v>
      </c>
      <c r="L4308">
        <v>4</v>
      </c>
      <c r="M4308">
        <v>0</v>
      </c>
      <c r="N4308">
        <v>0</v>
      </c>
      <c r="O4308" t="s">
        <v>21</v>
      </c>
      <c r="P4308" t="str">
        <f>TEXT(Table1[[#This Row],[order_date]],"yyyy-mm")</f>
        <v>2025-09</v>
      </c>
      <c r="Q4308">
        <f>WEEKNUM(Table1[[#This Row],[order_date]])</f>
        <v>40</v>
      </c>
      <c r="R4308">
        <f>IF(Table1[[#This Row],[order_status]]="completed",1,0)</f>
        <v>0</v>
      </c>
    </row>
    <row r="4309" spans="1:18" x14ac:dyDescent="0.35">
      <c r="A4309">
        <v>4308</v>
      </c>
      <c r="B4309" s="1">
        <v>45970</v>
      </c>
      <c r="C4309">
        <v>1790</v>
      </c>
      <c r="D4309" t="s">
        <v>22</v>
      </c>
      <c r="E4309" t="s">
        <v>33</v>
      </c>
      <c r="F4309" t="s">
        <v>34</v>
      </c>
      <c r="G4309">
        <v>3</v>
      </c>
      <c r="H4309">
        <v>11154</v>
      </c>
      <c r="I4309" t="s">
        <v>39</v>
      </c>
      <c r="J4309" t="s">
        <v>19</v>
      </c>
      <c r="K4309" t="s">
        <v>26</v>
      </c>
      <c r="L4309">
        <v>4</v>
      </c>
      <c r="M4309">
        <v>1</v>
      </c>
      <c r="N4309">
        <v>0</v>
      </c>
      <c r="O4309" t="s">
        <v>27</v>
      </c>
      <c r="P4309" t="str">
        <f>TEXT(Table1[[#This Row],[order_date]],"yyyy-mm")</f>
        <v>2025-11</v>
      </c>
      <c r="Q4309">
        <f>WEEKNUM(Table1[[#This Row],[order_date]])</f>
        <v>46</v>
      </c>
      <c r="R4309">
        <f>IF(Table1[[#This Row],[order_status]]="completed",1,0)</f>
        <v>1</v>
      </c>
    </row>
    <row r="4310" spans="1:18" x14ac:dyDescent="0.35">
      <c r="A4310">
        <v>4309</v>
      </c>
      <c r="B4310" s="1">
        <v>45970</v>
      </c>
      <c r="C4310">
        <v>1917</v>
      </c>
      <c r="D4310" t="s">
        <v>22</v>
      </c>
      <c r="E4310" t="s">
        <v>36</v>
      </c>
      <c r="F4310" t="s">
        <v>24</v>
      </c>
      <c r="G4310">
        <v>2</v>
      </c>
      <c r="H4310">
        <v>0</v>
      </c>
      <c r="I4310" t="s">
        <v>25</v>
      </c>
      <c r="J4310" t="s">
        <v>37</v>
      </c>
      <c r="K4310" t="s">
        <v>26</v>
      </c>
      <c r="L4310">
        <v>6</v>
      </c>
      <c r="M4310">
        <v>1</v>
      </c>
      <c r="N4310">
        <v>0</v>
      </c>
      <c r="O4310" t="s">
        <v>27</v>
      </c>
      <c r="P4310" t="str">
        <f>TEXT(Table1[[#This Row],[order_date]],"yyyy-mm")</f>
        <v>2025-11</v>
      </c>
      <c r="Q4310">
        <f>WEEKNUM(Table1[[#This Row],[order_date]])</f>
        <v>46</v>
      </c>
      <c r="R4310">
        <f>IF(Table1[[#This Row],[order_status]]="completed",1,0)</f>
        <v>0</v>
      </c>
    </row>
    <row r="4311" spans="1:18" x14ac:dyDescent="0.35">
      <c r="A4311">
        <v>4310</v>
      </c>
      <c r="B4311" s="1">
        <v>45953</v>
      </c>
      <c r="C4311">
        <v>1448</v>
      </c>
      <c r="D4311" t="s">
        <v>41</v>
      </c>
      <c r="E4311" t="s">
        <v>29</v>
      </c>
      <c r="F4311" t="s">
        <v>24</v>
      </c>
      <c r="G4311">
        <v>2</v>
      </c>
      <c r="H4311">
        <v>0</v>
      </c>
      <c r="I4311" t="s">
        <v>39</v>
      </c>
      <c r="J4311" t="s">
        <v>37</v>
      </c>
      <c r="K4311" t="s">
        <v>20</v>
      </c>
      <c r="L4311">
        <v>1</v>
      </c>
      <c r="M4311">
        <v>0</v>
      </c>
      <c r="N4311">
        <v>0</v>
      </c>
      <c r="O4311" t="s">
        <v>27</v>
      </c>
      <c r="P4311" t="str">
        <f>TEXT(Table1[[#This Row],[order_date]],"yyyy-mm")</f>
        <v>2025-10</v>
      </c>
      <c r="Q4311">
        <f>WEEKNUM(Table1[[#This Row],[order_date]])</f>
        <v>43</v>
      </c>
      <c r="R4311">
        <f>IF(Table1[[#This Row],[order_status]]="completed",1,0)</f>
        <v>0</v>
      </c>
    </row>
    <row r="4312" spans="1:18" x14ac:dyDescent="0.35">
      <c r="A4312">
        <v>4311</v>
      </c>
      <c r="B4312" s="1">
        <v>46023</v>
      </c>
      <c r="C4312">
        <v>1057</v>
      </c>
      <c r="D4312" t="s">
        <v>15</v>
      </c>
      <c r="E4312" t="s">
        <v>29</v>
      </c>
      <c r="F4312" t="s">
        <v>34</v>
      </c>
      <c r="G4312">
        <v>2</v>
      </c>
      <c r="H4312">
        <v>4212</v>
      </c>
      <c r="I4312" t="s">
        <v>39</v>
      </c>
      <c r="J4312" t="s">
        <v>19</v>
      </c>
      <c r="K4312" t="s">
        <v>20</v>
      </c>
      <c r="L4312">
        <v>1</v>
      </c>
      <c r="M4312">
        <v>1</v>
      </c>
      <c r="N4312">
        <v>0</v>
      </c>
      <c r="O4312" t="s">
        <v>27</v>
      </c>
      <c r="P4312" t="str">
        <f>TEXT(Table1[[#This Row],[order_date]],"yyyy-mm")</f>
        <v>2026-01</v>
      </c>
      <c r="Q4312">
        <f>WEEKNUM(Table1[[#This Row],[order_date]])</f>
        <v>1</v>
      </c>
      <c r="R4312">
        <f>IF(Table1[[#This Row],[order_status]]="completed",1,0)</f>
        <v>1</v>
      </c>
    </row>
    <row r="4313" spans="1:18" x14ac:dyDescent="0.35">
      <c r="A4313">
        <v>4312</v>
      </c>
      <c r="B4313" s="1">
        <v>45991</v>
      </c>
      <c r="C4313">
        <v>1030</v>
      </c>
      <c r="D4313" t="s">
        <v>28</v>
      </c>
      <c r="E4313" t="s">
        <v>23</v>
      </c>
      <c r="F4313" t="s">
        <v>30</v>
      </c>
      <c r="G4313">
        <v>1</v>
      </c>
      <c r="H4313">
        <v>1900</v>
      </c>
      <c r="I4313" t="s">
        <v>18</v>
      </c>
      <c r="J4313" t="s">
        <v>19</v>
      </c>
      <c r="K4313" t="s">
        <v>38</v>
      </c>
      <c r="L4313">
        <v>5</v>
      </c>
      <c r="M4313">
        <v>1</v>
      </c>
      <c r="N4313">
        <v>0</v>
      </c>
      <c r="O4313" t="s">
        <v>27</v>
      </c>
      <c r="P4313" t="str">
        <f>TEXT(Table1[[#This Row],[order_date]],"yyyy-mm")</f>
        <v>2025-11</v>
      </c>
      <c r="Q4313">
        <f>WEEKNUM(Table1[[#This Row],[order_date]])</f>
        <v>49</v>
      </c>
      <c r="R4313">
        <f>IF(Table1[[#This Row],[order_status]]="completed",1,0)</f>
        <v>1</v>
      </c>
    </row>
    <row r="4314" spans="1:18" x14ac:dyDescent="0.35">
      <c r="A4314">
        <v>4313</v>
      </c>
      <c r="B4314" s="1">
        <v>45948</v>
      </c>
      <c r="C4314">
        <v>1550</v>
      </c>
      <c r="D4314" t="s">
        <v>28</v>
      </c>
      <c r="E4314" t="s">
        <v>29</v>
      </c>
      <c r="F4314" t="s">
        <v>34</v>
      </c>
      <c r="G4314">
        <v>4</v>
      </c>
      <c r="H4314">
        <v>0</v>
      </c>
      <c r="I4314" t="s">
        <v>25</v>
      </c>
      <c r="J4314" t="s">
        <v>31</v>
      </c>
      <c r="K4314" t="s">
        <v>38</v>
      </c>
      <c r="L4314">
        <v>2</v>
      </c>
      <c r="M4314">
        <v>0</v>
      </c>
      <c r="N4314">
        <v>1</v>
      </c>
      <c r="O4314" t="s">
        <v>27</v>
      </c>
      <c r="P4314" t="str">
        <f>TEXT(Table1[[#This Row],[order_date]],"yyyy-mm")</f>
        <v>2025-10</v>
      </c>
      <c r="Q4314">
        <f>WEEKNUM(Table1[[#This Row],[order_date]])</f>
        <v>42</v>
      </c>
      <c r="R4314">
        <f>IF(Table1[[#This Row],[order_status]]="completed",1,0)</f>
        <v>0</v>
      </c>
    </row>
    <row r="4315" spans="1:18" x14ac:dyDescent="0.35">
      <c r="A4315">
        <v>4314</v>
      </c>
      <c r="B4315" s="1">
        <v>45909</v>
      </c>
      <c r="C4315">
        <v>1939</v>
      </c>
      <c r="D4315" t="s">
        <v>32</v>
      </c>
      <c r="E4315" t="s">
        <v>29</v>
      </c>
      <c r="F4315" t="s">
        <v>30</v>
      </c>
      <c r="G4315">
        <v>1</v>
      </c>
      <c r="H4315">
        <v>0</v>
      </c>
      <c r="I4315" t="s">
        <v>35</v>
      </c>
      <c r="J4315" t="s">
        <v>31</v>
      </c>
      <c r="K4315" t="s">
        <v>38</v>
      </c>
      <c r="L4315">
        <v>7</v>
      </c>
      <c r="M4315">
        <v>1</v>
      </c>
      <c r="N4315">
        <v>0</v>
      </c>
      <c r="O4315" t="s">
        <v>21</v>
      </c>
      <c r="P4315" t="str">
        <f>TEXT(Table1[[#This Row],[order_date]],"yyyy-mm")</f>
        <v>2025-09</v>
      </c>
      <c r="Q4315">
        <f>WEEKNUM(Table1[[#This Row],[order_date]])</f>
        <v>37</v>
      </c>
      <c r="R4315">
        <f>IF(Table1[[#This Row],[order_status]]="completed",1,0)</f>
        <v>0</v>
      </c>
    </row>
    <row r="4316" spans="1:18" x14ac:dyDescent="0.35">
      <c r="A4316">
        <v>4315</v>
      </c>
      <c r="B4316" s="1">
        <v>45969</v>
      </c>
      <c r="C4316">
        <v>1344</v>
      </c>
      <c r="D4316" t="s">
        <v>41</v>
      </c>
      <c r="E4316" t="s">
        <v>36</v>
      </c>
      <c r="F4316" t="s">
        <v>34</v>
      </c>
      <c r="G4316">
        <v>4</v>
      </c>
      <c r="H4316">
        <v>0</v>
      </c>
      <c r="I4316" t="s">
        <v>35</v>
      </c>
      <c r="J4316" t="s">
        <v>31</v>
      </c>
      <c r="K4316" t="s">
        <v>26</v>
      </c>
      <c r="L4316">
        <v>8</v>
      </c>
      <c r="M4316">
        <v>1</v>
      </c>
      <c r="N4316">
        <v>0</v>
      </c>
      <c r="O4316" t="s">
        <v>27</v>
      </c>
      <c r="P4316" t="str">
        <f>TEXT(Table1[[#This Row],[order_date]],"yyyy-mm")</f>
        <v>2025-11</v>
      </c>
      <c r="Q4316">
        <f>WEEKNUM(Table1[[#This Row],[order_date]])</f>
        <v>45</v>
      </c>
      <c r="R4316">
        <f>IF(Table1[[#This Row],[order_status]]="completed",1,0)</f>
        <v>0</v>
      </c>
    </row>
    <row r="4317" spans="1:18" x14ac:dyDescent="0.35">
      <c r="A4317">
        <v>4316</v>
      </c>
      <c r="B4317" s="1">
        <v>45972</v>
      </c>
      <c r="C4317">
        <v>1048</v>
      </c>
      <c r="D4317" t="s">
        <v>22</v>
      </c>
      <c r="E4317" t="s">
        <v>33</v>
      </c>
      <c r="F4317" t="s">
        <v>30</v>
      </c>
      <c r="G4317">
        <v>5</v>
      </c>
      <c r="H4317">
        <v>21075</v>
      </c>
      <c r="I4317" t="s">
        <v>18</v>
      </c>
      <c r="J4317" t="s">
        <v>19</v>
      </c>
      <c r="K4317" t="s">
        <v>26</v>
      </c>
      <c r="L4317">
        <v>6</v>
      </c>
      <c r="M4317">
        <v>0</v>
      </c>
      <c r="N4317">
        <v>1</v>
      </c>
      <c r="O4317" t="s">
        <v>21</v>
      </c>
      <c r="P4317" t="str">
        <f>TEXT(Table1[[#This Row],[order_date]],"yyyy-mm")</f>
        <v>2025-11</v>
      </c>
      <c r="Q4317">
        <f>WEEKNUM(Table1[[#This Row],[order_date]])</f>
        <v>46</v>
      </c>
      <c r="R4317">
        <f>IF(Table1[[#This Row],[order_status]]="completed",1,0)</f>
        <v>1</v>
      </c>
    </row>
    <row r="4318" spans="1:18" x14ac:dyDescent="0.35">
      <c r="A4318">
        <v>4317</v>
      </c>
      <c r="B4318" s="1">
        <v>45975</v>
      </c>
      <c r="C4318">
        <v>1870</v>
      </c>
      <c r="D4318" t="s">
        <v>15</v>
      </c>
      <c r="E4318" t="s">
        <v>36</v>
      </c>
      <c r="F4318" t="s">
        <v>17</v>
      </c>
      <c r="G4318">
        <v>3</v>
      </c>
      <c r="H4318">
        <v>3963</v>
      </c>
      <c r="I4318" t="s">
        <v>18</v>
      </c>
      <c r="J4318" t="s">
        <v>19</v>
      </c>
      <c r="K4318" t="s">
        <v>26</v>
      </c>
      <c r="L4318">
        <v>5</v>
      </c>
      <c r="M4318">
        <v>0</v>
      </c>
      <c r="N4318">
        <v>1</v>
      </c>
      <c r="O4318" t="s">
        <v>21</v>
      </c>
      <c r="P4318" t="str">
        <f>TEXT(Table1[[#This Row],[order_date]],"yyyy-mm")</f>
        <v>2025-11</v>
      </c>
      <c r="Q4318">
        <f>WEEKNUM(Table1[[#This Row],[order_date]])</f>
        <v>46</v>
      </c>
      <c r="R4318">
        <f>IF(Table1[[#This Row],[order_status]]="completed",1,0)</f>
        <v>1</v>
      </c>
    </row>
    <row r="4319" spans="1:18" x14ac:dyDescent="0.35">
      <c r="A4319">
        <v>4318</v>
      </c>
      <c r="B4319" s="1">
        <v>45886</v>
      </c>
      <c r="C4319">
        <v>1357</v>
      </c>
      <c r="D4319" t="s">
        <v>22</v>
      </c>
      <c r="E4319" t="s">
        <v>16</v>
      </c>
      <c r="F4319" t="s">
        <v>24</v>
      </c>
      <c r="G4319">
        <v>5</v>
      </c>
      <c r="H4319">
        <v>23200</v>
      </c>
      <c r="I4319" t="s">
        <v>35</v>
      </c>
      <c r="J4319" t="s">
        <v>19</v>
      </c>
      <c r="K4319" t="s">
        <v>26</v>
      </c>
      <c r="L4319">
        <v>6</v>
      </c>
      <c r="M4319">
        <v>1</v>
      </c>
      <c r="N4319">
        <v>1</v>
      </c>
      <c r="O4319" t="s">
        <v>21</v>
      </c>
      <c r="P4319" t="str">
        <f>TEXT(Table1[[#This Row],[order_date]],"yyyy-mm")</f>
        <v>2025-08</v>
      </c>
      <c r="Q4319">
        <f>WEEKNUM(Table1[[#This Row],[order_date]])</f>
        <v>34</v>
      </c>
      <c r="R4319">
        <f>IF(Table1[[#This Row],[order_status]]="completed",1,0)</f>
        <v>1</v>
      </c>
    </row>
    <row r="4320" spans="1:18" x14ac:dyDescent="0.35">
      <c r="A4320">
        <v>4319</v>
      </c>
      <c r="B4320" s="1">
        <v>45998</v>
      </c>
      <c r="C4320">
        <v>1548</v>
      </c>
      <c r="D4320" t="s">
        <v>15</v>
      </c>
      <c r="E4320" t="s">
        <v>36</v>
      </c>
      <c r="F4320" t="s">
        <v>34</v>
      </c>
      <c r="G4320">
        <v>5</v>
      </c>
      <c r="H4320">
        <v>15690</v>
      </c>
      <c r="I4320" t="s">
        <v>39</v>
      </c>
      <c r="J4320" t="s">
        <v>19</v>
      </c>
      <c r="K4320" t="s">
        <v>26</v>
      </c>
      <c r="L4320">
        <v>2</v>
      </c>
      <c r="M4320">
        <v>0</v>
      </c>
      <c r="N4320">
        <v>0</v>
      </c>
      <c r="O4320" t="s">
        <v>21</v>
      </c>
      <c r="P4320" t="str">
        <f>TEXT(Table1[[#This Row],[order_date]],"yyyy-mm")</f>
        <v>2025-12</v>
      </c>
      <c r="Q4320">
        <f>WEEKNUM(Table1[[#This Row],[order_date]])</f>
        <v>50</v>
      </c>
      <c r="R4320">
        <f>IF(Table1[[#This Row],[order_status]]="completed",1,0)</f>
        <v>1</v>
      </c>
    </row>
    <row r="4321" spans="1:18" x14ac:dyDescent="0.35">
      <c r="A4321">
        <v>4320</v>
      </c>
      <c r="B4321" s="1">
        <v>45983</v>
      </c>
      <c r="C4321">
        <v>1190</v>
      </c>
      <c r="D4321" t="s">
        <v>32</v>
      </c>
      <c r="E4321" t="s">
        <v>23</v>
      </c>
      <c r="F4321" t="s">
        <v>24</v>
      </c>
      <c r="G4321">
        <v>3</v>
      </c>
      <c r="H4321">
        <v>0</v>
      </c>
      <c r="I4321" t="s">
        <v>25</v>
      </c>
      <c r="J4321" t="s">
        <v>37</v>
      </c>
      <c r="K4321" t="s">
        <v>20</v>
      </c>
      <c r="L4321">
        <v>7</v>
      </c>
      <c r="M4321">
        <v>1</v>
      </c>
      <c r="N4321">
        <v>0</v>
      </c>
      <c r="O4321" t="s">
        <v>27</v>
      </c>
      <c r="P4321" t="str">
        <f>TEXT(Table1[[#This Row],[order_date]],"yyyy-mm")</f>
        <v>2025-11</v>
      </c>
      <c r="Q4321">
        <f>WEEKNUM(Table1[[#This Row],[order_date]])</f>
        <v>47</v>
      </c>
      <c r="R4321">
        <f>IF(Table1[[#This Row],[order_status]]="completed",1,0)</f>
        <v>0</v>
      </c>
    </row>
    <row r="4322" spans="1:18" x14ac:dyDescent="0.35">
      <c r="A4322">
        <v>4321</v>
      </c>
      <c r="B4322" s="1">
        <v>46006</v>
      </c>
      <c r="C4322">
        <v>1818</v>
      </c>
      <c r="D4322" t="s">
        <v>15</v>
      </c>
      <c r="E4322" t="s">
        <v>33</v>
      </c>
      <c r="F4322" t="s">
        <v>34</v>
      </c>
      <c r="G4322">
        <v>5</v>
      </c>
      <c r="H4322">
        <v>0</v>
      </c>
      <c r="I4322" t="s">
        <v>35</v>
      </c>
      <c r="J4322" t="s">
        <v>31</v>
      </c>
      <c r="K4322" t="s">
        <v>26</v>
      </c>
      <c r="L4322">
        <v>3</v>
      </c>
      <c r="M4322">
        <v>0</v>
      </c>
      <c r="N4322">
        <v>0</v>
      </c>
      <c r="O4322" t="s">
        <v>21</v>
      </c>
      <c r="P4322" t="str">
        <f>TEXT(Table1[[#This Row],[order_date]],"yyyy-mm")</f>
        <v>2025-12</v>
      </c>
      <c r="Q4322">
        <f>WEEKNUM(Table1[[#This Row],[order_date]])</f>
        <v>51</v>
      </c>
      <c r="R4322">
        <f>IF(Table1[[#This Row],[order_status]]="completed",1,0)</f>
        <v>0</v>
      </c>
    </row>
    <row r="4323" spans="1:18" x14ac:dyDescent="0.35">
      <c r="A4323">
        <v>4322</v>
      </c>
      <c r="B4323" s="1">
        <v>45910</v>
      </c>
      <c r="C4323">
        <v>1346</v>
      </c>
      <c r="D4323" t="s">
        <v>15</v>
      </c>
      <c r="E4323" t="s">
        <v>23</v>
      </c>
      <c r="F4323" t="s">
        <v>34</v>
      </c>
      <c r="G4323">
        <v>3</v>
      </c>
      <c r="H4323">
        <v>0</v>
      </c>
      <c r="I4323" t="s">
        <v>18</v>
      </c>
      <c r="J4323" t="s">
        <v>37</v>
      </c>
      <c r="K4323" t="s">
        <v>20</v>
      </c>
      <c r="L4323">
        <v>3</v>
      </c>
      <c r="M4323">
        <v>0</v>
      </c>
      <c r="N4323">
        <v>1</v>
      </c>
      <c r="O4323" t="s">
        <v>27</v>
      </c>
      <c r="P4323" t="str">
        <f>TEXT(Table1[[#This Row],[order_date]],"yyyy-mm")</f>
        <v>2025-09</v>
      </c>
      <c r="Q4323">
        <f>WEEKNUM(Table1[[#This Row],[order_date]])</f>
        <v>37</v>
      </c>
      <c r="R4323">
        <f>IF(Table1[[#This Row],[order_status]]="completed",1,0)</f>
        <v>0</v>
      </c>
    </row>
    <row r="4324" spans="1:18" x14ac:dyDescent="0.35">
      <c r="A4324">
        <v>4323</v>
      </c>
      <c r="B4324" s="1">
        <v>45969</v>
      </c>
      <c r="C4324">
        <v>1215</v>
      </c>
      <c r="D4324" t="s">
        <v>15</v>
      </c>
      <c r="E4324" t="s">
        <v>33</v>
      </c>
      <c r="F4324" t="s">
        <v>17</v>
      </c>
      <c r="G4324">
        <v>2</v>
      </c>
      <c r="H4324">
        <v>0</v>
      </c>
      <c r="I4324" t="s">
        <v>18</v>
      </c>
      <c r="J4324" t="s">
        <v>31</v>
      </c>
      <c r="K4324" t="s">
        <v>26</v>
      </c>
      <c r="L4324">
        <v>5</v>
      </c>
      <c r="M4324">
        <v>1</v>
      </c>
      <c r="N4324">
        <v>0</v>
      </c>
      <c r="O4324" t="s">
        <v>21</v>
      </c>
      <c r="P4324" t="str">
        <f>TEXT(Table1[[#This Row],[order_date]],"yyyy-mm")</f>
        <v>2025-11</v>
      </c>
      <c r="Q4324">
        <f>WEEKNUM(Table1[[#This Row],[order_date]])</f>
        <v>45</v>
      </c>
      <c r="R4324">
        <f>IF(Table1[[#This Row],[order_status]]="completed",1,0)</f>
        <v>0</v>
      </c>
    </row>
    <row r="4325" spans="1:18" x14ac:dyDescent="0.35">
      <c r="A4325">
        <v>4324</v>
      </c>
      <c r="B4325" s="1">
        <v>45927</v>
      </c>
      <c r="C4325">
        <v>1521</v>
      </c>
      <c r="D4325" t="s">
        <v>41</v>
      </c>
      <c r="E4325" t="s">
        <v>23</v>
      </c>
      <c r="F4325" t="s">
        <v>30</v>
      </c>
      <c r="G4325">
        <v>3</v>
      </c>
      <c r="H4325">
        <v>0</v>
      </c>
      <c r="I4325" t="s">
        <v>18</v>
      </c>
      <c r="J4325" t="s">
        <v>31</v>
      </c>
      <c r="K4325" t="s">
        <v>40</v>
      </c>
      <c r="L4325">
        <v>9</v>
      </c>
      <c r="M4325">
        <v>0</v>
      </c>
      <c r="N4325">
        <v>1</v>
      </c>
      <c r="O4325" t="s">
        <v>21</v>
      </c>
      <c r="P4325" t="str">
        <f>TEXT(Table1[[#This Row],[order_date]],"yyyy-mm")</f>
        <v>2025-09</v>
      </c>
      <c r="Q4325">
        <f>WEEKNUM(Table1[[#This Row],[order_date]])</f>
        <v>39</v>
      </c>
      <c r="R4325">
        <f>IF(Table1[[#This Row],[order_status]]="completed",1,0)</f>
        <v>0</v>
      </c>
    </row>
    <row r="4326" spans="1:18" x14ac:dyDescent="0.35">
      <c r="A4326">
        <v>4325</v>
      </c>
      <c r="B4326" s="1">
        <v>46026</v>
      </c>
      <c r="C4326">
        <v>1941</v>
      </c>
      <c r="D4326" t="s">
        <v>41</v>
      </c>
      <c r="E4326" t="s">
        <v>33</v>
      </c>
      <c r="F4326" t="s">
        <v>30</v>
      </c>
      <c r="G4326">
        <v>4</v>
      </c>
      <c r="H4326">
        <v>0</v>
      </c>
      <c r="I4326" t="s">
        <v>35</v>
      </c>
      <c r="J4326" t="s">
        <v>31</v>
      </c>
      <c r="K4326" t="s">
        <v>26</v>
      </c>
      <c r="L4326">
        <v>6</v>
      </c>
      <c r="M4326">
        <v>1</v>
      </c>
      <c r="N4326">
        <v>0</v>
      </c>
      <c r="O4326" t="s">
        <v>21</v>
      </c>
      <c r="P4326" t="str">
        <f>TEXT(Table1[[#This Row],[order_date]],"yyyy-mm")</f>
        <v>2026-01</v>
      </c>
      <c r="Q4326">
        <f>WEEKNUM(Table1[[#This Row],[order_date]])</f>
        <v>2</v>
      </c>
      <c r="R4326">
        <f>IF(Table1[[#This Row],[order_status]]="completed",1,0)</f>
        <v>0</v>
      </c>
    </row>
    <row r="4327" spans="1:18" x14ac:dyDescent="0.35">
      <c r="A4327">
        <v>4326</v>
      </c>
      <c r="B4327" s="1">
        <v>45863</v>
      </c>
      <c r="C4327">
        <v>1968</v>
      </c>
      <c r="D4327" t="s">
        <v>28</v>
      </c>
      <c r="E4327" t="s">
        <v>16</v>
      </c>
      <c r="F4327" t="s">
        <v>24</v>
      </c>
      <c r="G4327">
        <v>4</v>
      </c>
      <c r="H4327">
        <v>10520</v>
      </c>
      <c r="I4327" t="s">
        <v>18</v>
      </c>
      <c r="J4327" t="s">
        <v>19</v>
      </c>
      <c r="K4327" t="s">
        <v>40</v>
      </c>
      <c r="L4327">
        <v>3</v>
      </c>
      <c r="M4327">
        <v>1</v>
      </c>
      <c r="N4327">
        <v>0</v>
      </c>
      <c r="O4327" t="s">
        <v>27</v>
      </c>
      <c r="P4327" t="str">
        <f>TEXT(Table1[[#This Row],[order_date]],"yyyy-mm")</f>
        <v>2025-07</v>
      </c>
      <c r="Q4327">
        <f>WEEKNUM(Table1[[#This Row],[order_date]])</f>
        <v>30</v>
      </c>
      <c r="R4327">
        <f>IF(Table1[[#This Row],[order_status]]="completed",1,0)</f>
        <v>1</v>
      </c>
    </row>
    <row r="4328" spans="1:18" x14ac:dyDescent="0.35">
      <c r="A4328">
        <v>4327</v>
      </c>
      <c r="B4328" s="1">
        <v>45888</v>
      </c>
      <c r="C4328">
        <v>1368</v>
      </c>
      <c r="D4328" t="s">
        <v>22</v>
      </c>
      <c r="E4328" t="s">
        <v>16</v>
      </c>
      <c r="F4328" t="s">
        <v>30</v>
      </c>
      <c r="G4328">
        <v>5</v>
      </c>
      <c r="H4328">
        <v>19485</v>
      </c>
      <c r="I4328" t="s">
        <v>39</v>
      </c>
      <c r="J4328" t="s">
        <v>19</v>
      </c>
      <c r="K4328" t="s">
        <v>26</v>
      </c>
      <c r="L4328">
        <v>5</v>
      </c>
      <c r="M4328">
        <v>1</v>
      </c>
      <c r="N4328">
        <v>1</v>
      </c>
      <c r="O4328" t="s">
        <v>21</v>
      </c>
      <c r="P4328" t="str">
        <f>TEXT(Table1[[#This Row],[order_date]],"yyyy-mm")</f>
        <v>2025-08</v>
      </c>
      <c r="Q4328">
        <f>WEEKNUM(Table1[[#This Row],[order_date]])</f>
        <v>34</v>
      </c>
      <c r="R4328">
        <f>IF(Table1[[#This Row],[order_status]]="completed",1,0)</f>
        <v>1</v>
      </c>
    </row>
    <row r="4329" spans="1:18" x14ac:dyDescent="0.35">
      <c r="A4329">
        <v>4328</v>
      </c>
      <c r="B4329" s="1">
        <v>45906</v>
      </c>
      <c r="C4329">
        <v>1999</v>
      </c>
      <c r="D4329" t="s">
        <v>28</v>
      </c>
      <c r="E4329" t="s">
        <v>29</v>
      </c>
      <c r="F4329" t="s">
        <v>24</v>
      </c>
      <c r="G4329">
        <v>2</v>
      </c>
      <c r="H4329">
        <v>0</v>
      </c>
      <c r="I4329" t="s">
        <v>18</v>
      </c>
      <c r="J4329" t="s">
        <v>37</v>
      </c>
      <c r="K4329" t="s">
        <v>26</v>
      </c>
      <c r="L4329">
        <v>1</v>
      </c>
      <c r="M4329">
        <v>1</v>
      </c>
      <c r="N4329">
        <v>1</v>
      </c>
      <c r="O4329" t="s">
        <v>27</v>
      </c>
      <c r="P4329" t="str">
        <f>TEXT(Table1[[#This Row],[order_date]],"yyyy-mm")</f>
        <v>2025-09</v>
      </c>
      <c r="Q4329">
        <f>WEEKNUM(Table1[[#This Row],[order_date]])</f>
        <v>36</v>
      </c>
      <c r="R4329">
        <f>IF(Table1[[#This Row],[order_status]]="completed",1,0)</f>
        <v>0</v>
      </c>
    </row>
    <row r="4330" spans="1:18" x14ac:dyDescent="0.35">
      <c r="A4330">
        <v>4329</v>
      </c>
      <c r="B4330" s="1">
        <v>46008</v>
      </c>
      <c r="C4330">
        <v>1817</v>
      </c>
      <c r="D4330" t="s">
        <v>28</v>
      </c>
      <c r="E4330" t="s">
        <v>16</v>
      </c>
      <c r="F4330" t="s">
        <v>17</v>
      </c>
      <c r="G4330">
        <v>2</v>
      </c>
      <c r="H4330">
        <v>9662</v>
      </c>
      <c r="I4330" t="s">
        <v>39</v>
      </c>
      <c r="J4330" t="s">
        <v>19</v>
      </c>
      <c r="K4330" t="s">
        <v>26</v>
      </c>
      <c r="L4330">
        <v>8</v>
      </c>
      <c r="M4330">
        <v>0</v>
      </c>
      <c r="N4330">
        <v>0</v>
      </c>
      <c r="O4330" t="s">
        <v>21</v>
      </c>
      <c r="P4330" t="str">
        <f>TEXT(Table1[[#This Row],[order_date]],"yyyy-mm")</f>
        <v>2025-12</v>
      </c>
      <c r="Q4330">
        <f>WEEKNUM(Table1[[#This Row],[order_date]])</f>
        <v>51</v>
      </c>
      <c r="R4330">
        <f>IF(Table1[[#This Row],[order_status]]="completed",1,0)</f>
        <v>1</v>
      </c>
    </row>
    <row r="4331" spans="1:18" x14ac:dyDescent="0.35">
      <c r="A4331">
        <v>4330</v>
      </c>
      <c r="B4331" s="1">
        <v>45858</v>
      </c>
      <c r="C4331">
        <v>1321</v>
      </c>
      <c r="D4331" t="s">
        <v>15</v>
      </c>
      <c r="E4331" t="s">
        <v>33</v>
      </c>
      <c r="F4331" t="s">
        <v>17</v>
      </c>
      <c r="G4331">
        <v>5</v>
      </c>
      <c r="H4331">
        <v>0</v>
      </c>
      <c r="I4331" t="s">
        <v>18</v>
      </c>
      <c r="J4331" t="s">
        <v>37</v>
      </c>
      <c r="K4331" t="s">
        <v>38</v>
      </c>
      <c r="L4331">
        <v>9</v>
      </c>
      <c r="M4331">
        <v>1</v>
      </c>
      <c r="N4331">
        <v>0</v>
      </c>
      <c r="O4331" t="s">
        <v>27</v>
      </c>
      <c r="P4331" t="str">
        <f>TEXT(Table1[[#This Row],[order_date]],"yyyy-mm")</f>
        <v>2025-07</v>
      </c>
      <c r="Q4331">
        <f>WEEKNUM(Table1[[#This Row],[order_date]])</f>
        <v>30</v>
      </c>
      <c r="R4331">
        <f>IF(Table1[[#This Row],[order_status]]="completed",1,0)</f>
        <v>0</v>
      </c>
    </row>
    <row r="4332" spans="1:18" x14ac:dyDescent="0.35">
      <c r="A4332">
        <v>4331</v>
      </c>
      <c r="B4332" s="1">
        <v>45868</v>
      </c>
      <c r="C4332">
        <v>1390</v>
      </c>
      <c r="D4332" t="s">
        <v>28</v>
      </c>
      <c r="E4332" t="s">
        <v>29</v>
      </c>
      <c r="F4332" t="s">
        <v>34</v>
      </c>
      <c r="G4332">
        <v>3</v>
      </c>
      <c r="H4332">
        <v>0</v>
      </c>
      <c r="I4332" t="s">
        <v>18</v>
      </c>
      <c r="J4332" t="s">
        <v>37</v>
      </c>
      <c r="K4332" t="s">
        <v>40</v>
      </c>
      <c r="L4332">
        <v>1</v>
      </c>
      <c r="M4332">
        <v>0</v>
      </c>
      <c r="N4332">
        <v>0</v>
      </c>
      <c r="O4332" t="s">
        <v>21</v>
      </c>
      <c r="P4332" t="str">
        <f>TEXT(Table1[[#This Row],[order_date]],"yyyy-mm")</f>
        <v>2025-07</v>
      </c>
      <c r="Q4332">
        <f>WEEKNUM(Table1[[#This Row],[order_date]])</f>
        <v>31</v>
      </c>
      <c r="R4332">
        <f>IF(Table1[[#This Row],[order_status]]="completed",1,0)</f>
        <v>0</v>
      </c>
    </row>
    <row r="4333" spans="1:18" x14ac:dyDescent="0.35">
      <c r="A4333">
        <v>4332</v>
      </c>
      <c r="B4333" s="1">
        <v>46019</v>
      </c>
      <c r="C4333">
        <v>1944</v>
      </c>
      <c r="D4333" t="s">
        <v>22</v>
      </c>
      <c r="E4333" t="s">
        <v>16</v>
      </c>
      <c r="F4333" t="s">
        <v>17</v>
      </c>
      <c r="G4333">
        <v>3</v>
      </c>
      <c r="H4333">
        <v>0</v>
      </c>
      <c r="I4333" t="s">
        <v>39</v>
      </c>
      <c r="J4333" t="s">
        <v>31</v>
      </c>
      <c r="K4333" t="s">
        <v>40</v>
      </c>
      <c r="L4333">
        <v>10</v>
      </c>
      <c r="M4333">
        <v>0</v>
      </c>
      <c r="N4333">
        <v>1</v>
      </c>
      <c r="O4333" t="s">
        <v>21</v>
      </c>
      <c r="P4333" t="str">
        <f>TEXT(Table1[[#This Row],[order_date]],"yyyy-mm")</f>
        <v>2025-12</v>
      </c>
      <c r="Q4333">
        <f>WEEKNUM(Table1[[#This Row],[order_date]])</f>
        <v>53</v>
      </c>
      <c r="R4333">
        <f>IF(Table1[[#This Row],[order_status]]="completed",1,0)</f>
        <v>0</v>
      </c>
    </row>
    <row r="4334" spans="1:18" x14ac:dyDescent="0.35">
      <c r="A4334">
        <v>4333</v>
      </c>
      <c r="B4334" s="1">
        <v>45993</v>
      </c>
      <c r="C4334">
        <v>1160</v>
      </c>
      <c r="D4334" t="s">
        <v>32</v>
      </c>
      <c r="E4334" t="s">
        <v>36</v>
      </c>
      <c r="F4334" t="s">
        <v>24</v>
      </c>
      <c r="G4334">
        <v>2</v>
      </c>
      <c r="H4334">
        <v>0</v>
      </c>
      <c r="I4334" t="s">
        <v>25</v>
      </c>
      <c r="J4334" t="s">
        <v>31</v>
      </c>
      <c r="K4334" t="s">
        <v>20</v>
      </c>
      <c r="L4334">
        <v>1</v>
      </c>
      <c r="M4334">
        <v>0</v>
      </c>
      <c r="N4334">
        <v>1</v>
      </c>
      <c r="O4334" t="s">
        <v>27</v>
      </c>
      <c r="P4334" t="str">
        <f>TEXT(Table1[[#This Row],[order_date]],"yyyy-mm")</f>
        <v>2025-12</v>
      </c>
      <c r="Q4334">
        <f>WEEKNUM(Table1[[#This Row],[order_date]])</f>
        <v>49</v>
      </c>
      <c r="R4334">
        <f>IF(Table1[[#This Row],[order_status]]="completed",1,0)</f>
        <v>0</v>
      </c>
    </row>
    <row r="4335" spans="1:18" x14ac:dyDescent="0.35">
      <c r="A4335">
        <v>4334</v>
      </c>
      <c r="B4335" s="1">
        <v>45955</v>
      </c>
      <c r="C4335">
        <v>1817</v>
      </c>
      <c r="D4335" t="s">
        <v>28</v>
      </c>
      <c r="E4335" t="s">
        <v>36</v>
      </c>
      <c r="F4335" t="s">
        <v>24</v>
      </c>
      <c r="G4335">
        <v>5</v>
      </c>
      <c r="H4335">
        <v>11190</v>
      </c>
      <c r="I4335" t="s">
        <v>35</v>
      </c>
      <c r="J4335" t="s">
        <v>19</v>
      </c>
      <c r="K4335" t="s">
        <v>20</v>
      </c>
      <c r="L4335">
        <v>2</v>
      </c>
      <c r="M4335">
        <v>0</v>
      </c>
      <c r="N4335">
        <v>1</v>
      </c>
      <c r="O4335" t="s">
        <v>21</v>
      </c>
      <c r="P4335" t="str">
        <f>TEXT(Table1[[#This Row],[order_date]],"yyyy-mm")</f>
        <v>2025-10</v>
      </c>
      <c r="Q4335">
        <f>WEEKNUM(Table1[[#This Row],[order_date]])</f>
        <v>43</v>
      </c>
      <c r="R4335">
        <f>IF(Table1[[#This Row],[order_status]]="completed",1,0)</f>
        <v>1</v>
      </c>
    </row>
    <row r="4336" spans="1:18" x14ac:dyDescent="0.35">
      <c r="A4336">
        <v>4335</v>
      </c>
      <c r="B4336" s="1">
        <v>45913</v>
      </c>
      <c r="C4336">
        <v>1266</v>
      </c>
      <c r="D4336" t="s">
        <v>22</v>
      </c>
      <c r="E4336" t="s">
        <v>33</v>
      </c>
      <c r="F4336" t="s">
        <v>30</v>
      </c>
      <c r="G4336">
        <v>2</v>
      </c>
      <c r="H4336">
        <v>0</v>
      </c>
      <c r="I4336" t="s">
        <v>18</v>
      </c>
      <c r="J4336" t="s">
        <v>31</v>
      </c>
      <c r="K4336" t="s">
        <v>40</v>
      </c>
      <c r="L4336">
        <v>8</v>
      </c>
      <c r="M4336">
        <v>1</v>
      </c>
      <c r="N4336">
        <v>0</v>
      </c>
      <c r="O4336" t="s">
        <v>27</v>
      </c>
      <c r="P4336" t="str">
        <f>TEXT(Table1[[#This Row],[order_date]],"yyyy-mm")</f>
        <v>2025-09</v>
      </c>
      <c r="Q4336">
        <f>WEEKNUM(Table1[[#This Row],[order_date]])</f>
        <v>37</v>
      </c>
      <c r="R4336">
        <f>IF(Table1[[#This Row],[order_status]]="completed",1,0)</f>
        <v>0</v>
      </c>
    </row>
    <row r="4337" spans="1:18" x14ac:dyDescent="0.35">
      <c r="A4337">
        <v>4336</v>
      </c>
      <c r="B4337" s="1">
        <v>45887</v>
      </c>
      <c r="C4337">
        <v>1180</v>
      </c>
      <c r="D4337" t="s">
        <v>22</v>
      </c>
      <c r="E4337" t="s">
        <v>29</v>
      </c>
      <c r="F4337" t="s">
        <v>17</v>
      </c>
      <c r="G4337">
        <v>1</v>
      </c>
      <c r="H4337">
        <v>0</v>
      </c>
      <c r="I4337" t="s">
        <v>18</v>
      </c>
      <c r="J4337" t="s">
        <v>31</v>
      </c>
      <c r="K4337" t="s">
        <v>40</v>
      </c>
      <c r="L4337">
        <v>10</v>
      </c>
      <c r="M4337">
        <v>1</v>
      </c>
      <c r="N4337">
        <v>0</v>
      </c>
      <c r="O4337" t="s">
        <v>27</v>
      </c>
      <c r="P4337" t="str">
        <f>TEXT(Table1[[#This Row],[order_date]],"yyyy-mm")</f>
        <v>2025-08</v>
      </c>
      <c r="Q4337">
        <f>WEEKNUM(Table1[[#This Row],[order_date]])</f>
        <v>34</v>
      </c>
      <c r="R4337">
        <f>IF(Table1[[#This Row],[order_status]]="completed",1,0)</f>
        <v>0</v>
      </c>
    </row>
    <row r="4338" spans="1:18" x14ac:dyDescent="0.35">
      <c r="A4338">
        <v>4337</v>
      </c>
      <c r="B4338" s="1">
        <v>45894</v>
      </c>
      <c r="C4338">
        <v>1107</v>
      </c>
      <c r="D4338" t="s">
        <v>28</v>
      </c>
      <c r="E4338" t="s">
        <v>33</v>
      </c>
      <c r="F4338" t="s">
        <v>34</v>
      </c>
      <c r="G4338">
        <v>4</v>
      </c>
      <c r="H4338">
        <v>0</v>
      </c>
      <c r="I4338" t="s">
        <v>18</v>
      </c>
      <c r="J4338" t="s">
        <v>37</v>
      </c>
      <c r="K4338" t="s">
        <v>20</v>
      </c>
      <c r="L4338">
        <v>6</v>
      </c>
      <c r="M4338">
        <v>1</v>
      </c>
      <c r="N4338">
        <v>0</v>
      </c>
      <c r="O4338" t="s">
        <v>27</v>
      </c>
      <c r="P4338" t="str">
        <f>TEXT(Table1[[#This Row],[order_date]],"yyyy-mm")</f>
        <v>2025-08</v>
      </c>
      <c r="Q4338">
        <f>WEEKNUM(Table1[[#This Row],[order_date]])</f>
        <v>35</v>
      </c>
      <c r="R4338">
        <f>IF(Table1[[#This Row],[order_status]]="completed",1,0)</f>
        <v>0</v>
      </c>
    </row>
    <row r="4339" spans="1:18" x14ac:dyDescent="0.35">
      <c r="A4339">
        <v>4338</v>
      </c>
      <c r="B4339" s="1">
        <v>45859</v>
      </c>
      <c r="C4339">
        <v>1538</v>
      </c>
      <c r="D4339" t="s">
        <v>15</v>
      </c>
      <c r="E4339" t="s">
        <v>16</v>
      </c>
      <c r="F4339" t="s">
        <v>24</v>
      </c>
      <c r="G4339">
        <v>1</v>
      </c>
      <c r="H4339">
        <v>0</v>
      </c>
      <c r="I4339" t="s">
        <v>25</v>
      </c>
      <c r="J4339" t="s">
        <v>31</v>
      </c>
      <c r="K4339" t="s">
        <v>26</v>
      </c>
      <c r="L4339">
        <v>5</v>
      </c>
      <c r="M4339">
        <v>1</v>
      </c>
      <c r="N4339">
        <v>0</v>
      </c>
      <c r="O4339" t="s">
        <v>27</v>
      </c>
      <c r="P4339" t="str">
        <f>TEXT(Table1[[#This Row],[order_date]],"yyyy-mm")</f>
        <v>2025-07</v>
      </c>
      <c r="Q4339">
        <f>WEEKNUM(Table1[[#This Row],[order_date]])</f>
        <v>30</v>
      </c>
      <c r="R4339">
        <f>IF(Table1[[#This Row],[order_status]]="completed",1,0)</f>
        <v>0</v>
      </c>
    </row>
    <row r="4340" spans="1:18" x14ac:dyDescent="0.35">
      <c r="A4340">
        <v>4339</v>
      </c>
      <c r="B4340" s="1">
        <v>45924</v>
      </c>
      <c r="C4340">
        <v>1858</v>
      </c>
      <c r="D4340" t="s">
        <v>41</v>
      </c>
      <c r="E4340" t="s">
        <v>23</v>
      </c>
      <c r="F4340" t="s">
        <v>34</v>
      </c>
      <c r="G4340">
        <v>3</v>
      </c>
      <c r="H4340">
        <v>0</v>
      </c>
      <c r="I4340" t="s">
        <v>18</v>
      </c>
      <c r="J4340" t="s">
        <v>31</v>
      </c>
      <c r="K4340" t="s">
        <v>38</v>
      </c>
      <c r="L4340">
        <v>6</v>
      </c>
      <c r="M4340">
        <v>1</v>
      </c>
      <c r="N4340">
        <v>0</v>
      </c>
      <c r="O4340" t="s">
        <v>21</v>
      </c>
      <c r="P4340" t="str">
        <f>TEXT(Table1[[#This Row],[order_date]],"yyyy-mm")</f>
        <v>2025-09</v>
      </c>
      <c r="Q4340">
        <f>WEEKNUM(Table1[[#This Row],[order_date]])</f>
        <v>39</v>
      </c>
      <c r="R4340">
        <f>IF(Table1[[#This Row],[order_status]]="completed",1,0)</f>
        <v>0</v>
      </c>
    </row>
    <row r="4341" spans="1:18" x14ac:dyDescent="0.35">
      <c r="A4341">
        <v>4340</v>
      </c>
      <c r="B4341" s="1">
        <v>45909</v>
      </c>
      <c r="C4341">
        <v>1717</v>
      </c>
      <c r="D4341" t="s">
        <v>15</v>
      </c>
      <c r="E4341" t="s">
        <v>36</v>
      </c>
      <c r="F4341" t="s">
        <v>30</v>
      </c>
      <c r="G4341">
        <v>3</v>
      </c>
      <c r="H4341">
        <v>0</v>
      </c>
      <c r="I4341" t="s">
        <v>39</v>
      </c>
      <c r="J4341" t="s">
        <v>31</v>
      </c>
      <c r="K4341" t="s">
        <v>26</v>
      </c>
      <c r="L4341">
        <v>1</v>
      </c>
      <c r="M4341">
        <v>0</v>
      </c>
      <c r="N4341">
        <v>1</v>
      </c>
      <c r="O4341" t="s">
        <v>27</v>
      </c>
      <c r="P4341" t="str">
        <f>TEXT(Table1[[#This Row],[order_date]],"yyyy-mm")</f>
        <v>2025-09</v>
      </c>
      <c r="Q4341">
        <f>WEEKNUM(Table1[[#This Row],[order_date]])</f>
        <v>37</v>
      </c>
      <c r="R4341">
        <f>IF(Table1[[#This Row],[order_status]]="completed",1,0)</f>
        <v>0</v>
      </c>
    </row>
    <row r="4342" spans="1:18" x14ac:dyDescent="0.35">
      <c r="A4342">
        <v>4341</v>
      </c>
      <c r="B4342" s="1">
        <v>45886</v>
      </c>
      <c r="C4342">
        <v>1190</v>
      </c>
      <c r="D4342" t="s">
        <v>15</v>
      </c>
      <c r="E4342" t="s">
        <v>29</v>
      </c>
      <c r="F4342" t="s">
        <v>34</v>
      </c>
      <c r="G4342">
        <v>2</v>
      </c>
      <c r="H4342">
        <v>8690</v>
      </c>
      <c r="I4342" t="s">
        <v>35</v>
      </c>
      <c r="J4342" t="s">
        <v>19</v>
      </c>
      <c r="K4342" t="s">
        <v>40</v>
      </c>
      <c r="L4342">
        <v>5</v>
      </c>
      <c r="M4342">
        <v>1</v>
      </c>
      <c r="N4342">
        <v>0</v>
      </c>
      <c r="O4342" t="s">
        <v>21</v>
      </c>
      <c r="P4342" t="str">
        <f>TEXT(Table1[[#This Row],[order_date]],"yyyy-mm")</f>
        <v>2025-08</v>
      </c>
      <c r="Q4342">
        <f>WEEKNUM(Table1[[#This Row],[order_date]])</f>
        <v>34</v>
      </c>
      <c r="R4342">
        <f>IF(Table1[[#This Row],[order_status]]="completed",1,0)</f>
        <v>1</v>
      </c>
    </row>
    <row r="4343" spans="1:18" x14ac:dyDescent="0.35">
      <c r="A4343">
        <v>4342</v>
      </c>
      <c r="B4343" s="1">
        <v>45882</v>
      </c>
      <c r="C4343">
        <v>1982</v>
      </c>
      <c r="D4343" t="s">
        <v>28</v>
      </c>
      <c r="E4343" t="s">
        <v>36</v>
      </c>
      <c r="F4343" t="s">
        <v>24</v>
      </c>
      <c r="G4343">
        <v>1</v>
      </c>
      <c r="H4343">
        <v>1407</v>
      </c>
      <c r="I4343" t="s">
        <v>25</v>
      </c>
      <c r="J4343" t="s">
        <v>19</v>
      </c>
      <c r="K4343" t="s">
        <v>20</v>
      </c>
      <c r="L4343">
        <v>5</v>
      </c>
      <c r="M4343">
        <v>1</v>
      </c>
      <c r="N4343">
        <v>1</v>
      </c>
      <c r="O4343" t="s">
        <v>21</v>
      </c>
      <c r="P4343" t="str">
        <f>TEXT(Table1[[#This Row],[order_date]],"yyyy-mm")</f>
        <v>2025-08</v>
      </c>
      <c r="Q4343">
        <f>WEEKNUM(Table1[[#This Row],[order_date]])</f>
        <v>33</v>
      </c>
      <c r="R4343">
        <f>IF(Table1[[#This Row],[order_status]]="completed",1,0)</f>
        <v>1</v>
      </c>
    </row>
    <row r="4344" spans="1:18" x14ac:dyDescent="0.35">
      <c r="A4344">
        <v>4343</v>
      </c>
      <c r="B4344" s="1">
        <v>45920</v>
      </c>
      <c r="C4344">
        <v>1298</v>
      </c>
      <c r="D4344" t="s">
        <v>41</v>
      </c>
      <c r="E4344" t="s">
        <v>16</v>
      </c>
      <c r="F4344" t="s">
        <v>24</v>
      </c>
      <c r="G4344">
        <v>2</v>
      </c>
      <c r="H4344">
        <v>9736</v>
      </c>
      <c r="I4344" t="s">
        <v>25</v>
      </c>
      <c r="J4344" t="s">
        <v>19</v>
      </c>
      <c r="K4344" t="s">
        <v>26</v>
      </c>
      <c r="L4344">
        <v>9</v>
      </c>
      <c r="M4344">
        <v>1</v>
      </c>
      <c r="N4344">
        <v>1</v>
      </c>
      <c r="O4344" t="s">
        <v>21</v>
      </c>
      <c r="P4344" t="str">
        <f>TEXT(Table1[[#This Row],[order_date]],"yyyy-mm")</f>
        <v>2025-09</v>
      </c>
      <c r="Q4344">
        <f>WEEKNUM(Table1[[#This Row],[order_date]])</f>
        <v>38</v>
      </c>
      <c r="R4344">
        <f>IF(Table1[[#This Row],[order_status]]="completed",1,0)</f>
        <v>1</v>
      </c>
    </row>
    <row r="4345" spans="1:18" x14ac:dyDescent="0.35">
      <c r="A4345">
        <v>4344</v>
      </c>
      <c r="B4345" s="1">
        <v>45933</v>
      </c>
      <c r="C4345">
        <v>1827</v>
      </c>
      <c r="D4345" t="s">
        <v>15</v>
      </c>
      <c r="E4345" t="s">
        <v>29</v>
      </c>
      <c r="F4345" t="s">
        <v>17</v>
      </c>
      <c r="G4345">
        <v>5</v>
      </c>
      <c r="H4345">
        <v>0</v>
      </c>
      <c r="I4345" t="s">
        <v>39</v>
      </c>
      <c r="J4345" t="s">
        <v>37</v>
      </c>
      <c r="K4345" t="s">
        <v>38</v>
      </c>
      <c r="L4345">
        <v>5</v>
      </c>
      <c r="M4345">
        <v>0</v>
      </c>
      <c r="N4345">
        <v>0</v>
      </c>
      <c r="O4345" t="s">
        <v>27</v>
      </c>
      <c r="P4345" t="str">
        <f>TEXT(Table1[[#This Row],[order_date]],"yyyy-mm")</f>
        <v>2025-10</v>
      </c>
      <c r="Q4345">
        <f>WEEKNUM(Table1[[#This Row],[order_date]])</f>
        <v>40</v>
      </c>
      <c r="R4345">
        <f>IF(Table1[[#This Row],[order_status]]="completed",1,0)</f>
        <v>0</v>
      </c>
    </row>
    <row r="4346" spans="1:18" x14ac:dyDescent="0.35">
      <c r="A4346">
        <v>4345</v>
      </c>
      <c r="B4346" s="1">
        <v>45984</v>
      </c>
      <c r="C4346">
        <v>1435</v>
      </c>
      <c r="D4346" t="s">
        <v>15</v>
      </c>
      <c r="E4346" t="s">
        <v>23</v>
      </c>
      <c r="F4346" t="s">
        <v>34</v>
      </c>
      <c r="G4346">
        <v>1</v>
      </c>
      <c r="H4346">
        <v>0</v>
      </c>
      <c r="I4346" t="s">
        <v>18</v>
      </c>
      <c r="J4346" t="s">
        <v>37</v>
      </c>
      <c r="K4346" t="s">
        <v>20</v>
      </c>
      <c r="L4346">
        <v>9</v>
      </c>
      <c r="M4346">
        <v>1</v>
      </c>
      <c r="N4346">
        <v>1</v>
      </c>
      <c r="O4346" t="s">
        <v>21</v>
      </c>
      <c r="P4346" t="str">
        <f>TEXT(Table1[[#This Row],[order_date]],"yyyy-mm")</f>
        <v>2025-11</v>
      </c>
      <c r="Q4346">
        <f>WEEKNUM(Table1[[#This Row],[order_date]])</f>
        <v>48</v>
      </c>
      <c r="R4346">
        <f>IF(Table1[[#This Row],[order_status]]="completed",1,0)</f>
        <v>0</v>
      </c>
    </row>
    <row r="4347" spans="1:18" x14ac:dyDescent="0.35">
      <c r="A4347">
        <v>4346</v>
      </c>
      <c r="B4347" s="1">
        <v>46005</v>
      </c>
      <c r="C4347">
        <v>1480</v>
      </c>
      <c r="D4347" t="s">
        <v>15</v>
      </c>
      <c r="E4347" t="s">
        <v>33</v>
      </c>
      <c r="F4347" t="s">
        <v>30</v>
      </c>
      <c r="G4347">
        <v>2</v>
      </c>
      <c r="H4347">
        <v>0</v>
      </c>
      <c r="I4347" t="s">
        <v>18</v>
      </c>
      <c r="J4347" t="s">
        <v>31</v>
      </c>
      <c r="K4347" t="s">
        <v>20</v>
      </c>
      <c r="L4347">
        <v>1</v>
      </c>
      <c r="M4347">
        <v>1</v>
      </c>
      <c r="N4347">
        <v>0</v>
      </c>
      <c r="O4347" t="s">
        <v>27</v>
      </c>
      <c r="P4347" t="str">
        <f>TEXT(Table1[[#This Row],[order_date]],"yyyy-mm")</f>
        <v>2025-12</v>
      </c>
      <c r="Q4347">
        <f>WEEKNUM(Table1[[#This Row],[order_date]])</f>
        <v>51</v>
      </c>
      <c r="R4347">
        <f>IF(Table1[[#This Row],[order_status]]="completed",1,0)</f>
        <v>0</v>
      </c>
    </row>
    <row r="4348" spans="1:18" x14ac:dyDescent="0.35">
      <c r="A4348">
        <v>4347</v>
      </c>
      <c r="B4348" s="1">
        <v>45886</v>
      </c>
      <c r="C4348">
        <v>1961</v>
      </c>
      <c r="D4348" t="s">
        <v>22</v>
      </c>
      <c r="E4348" t="s">
        <v>16</v>
      </c>
      <c r="F4348" t="s">
        <v>34</v>
      </c>
      <c r="G4348">
        <v>5</v>
      </c>
      <c r="H4348">
        <v>0</v>
      </c>
      <c r="I4348" t="s">
        <v>39</v>
      </c>
      <c r="J4348" t="s">
        <v>31</v>
      </c>
      <c r="K4348" t="s">
        <v>40</v>
      </c>
      <c r="L4348">
        <v>1</v>
      </c>
      <c r="M4348">
        <v>1</v>
      </c>
      <c r="N4348">
        <v>0</v>
      </c>
      <c r="O4348" t="s">
        <v>27</v>
      </c>
      <c r="P4348" t="str">
        <f>TEXT(Table1[[#This Row],[order_date]],"yyyy-mm")</f>
        <v>2025-08</v>
      </c>
      <c r="Q4348">
        <f>WEEKNUM(Table1[[#This Row],[order_date]])</f>
        <v>34</v>
      </c>
      <c r="R4348">
        <f>IF(Table1[[#This Row],[order_status]]="completed",1,0)</f>
        <v>0</v>
      </c>
    </row>
    <row r="4349" spans="1:18" x14ac:dyDescent="0.35">
      <c r="A4349">
        <v>4348</v>
      </c>
      <c r="B4349" s="1">
        <v>45922</v>
      </c>
      <c r="C4349">
        <v>1942</v>
      </c>
      <c r="D4349" t="s">
        <v>28</v>
      </c>
      <c r="E4349" t="s">
        <v>23</v>
      </c>
      <c r="F4349" t="s">
        <v>17</v>
      </c>
      <c r="G4349">
        <v>5</v>
      </c>
      <c r="H4349">
        <v>0</v>
      </c>
      <c r="I4349" t="s">
        <v>35</v>
      </c>
      <c r="J4349" t="s">
        <v>31</v>
      </c>
      <c r="K4349" t="s">
        <v>38</v>
      </c>
      <c r="L4349">
        <v>2</v>
      </c>
      <c r="M4349">
        <v>1</v>
      </c>
      <c r="N4349">
        <v>1</v>
      </c>
      <c r="O4349" t="s">
        <v>27</v>
      </c>
      <c r="P4349" t="str">
        <f>TEXT(Table1[[#This Row],[order_date]],"yyyy-mm")</f>
        <v>2025-09</v>
      </c>
      <c r="Q4349">
        <f>WEEKNUM(Table1[[#This Row],[order_date]])</f>
        <v>39</v>
      </c>
      <c r="R4349">
        <f>IF(Table1[[#This Row],[order_status]]="completed",1,0)</f>
        <v>0</v>
      </c>
    </row>
    <row r="4350" spans="1:18" x14ac:dyDescent="0.35">
      <c r="A4350">
        <v>4349</v>
      </c>
      <c r="B4350" s="1">
        <v>45905</v>
      </c>
      <c r="C4350">
        <v>1782</v>
      </c>
      <c r="D4350" t="s">
        <v>32</v>
      </c>
      <c r="E4350" t="s">
        <v>33</v>
      </c>
      <c r="F4350" t="s">
        <v>24</v>
      </c>
      <c r="G4350">
        <v>1</v>
      </c>
      <c r="H4350">
        <v>0</v>
      </c>
      <c r="I4350" t="s">
        <v>25</v>
      </c>
      <c r="J4350" t="s">
        <v>31</v>
      </c>
      <c r="K4350" t="s">
        <v>26</v>
      </c>
      <c r="L4350">
        <v>5</v>
      </c>
      <c r="M4350">
        <v>0</v>
      </c>
      <c r="N4350">
        <v>1</v>
      </c>
      <c r="O4350" t="s">
        <v>21</v>
      </c>
      <c r="P4350" t="str">
        <f>TEXT(Table1[[#This Row],[order_date]],"yyyy-mm")</f>
        <v>2025-09</v>
      </c>
      <c r="Q4350">
        <f>WEEKNUM(Table1[[#This Row],[order_date]])</f>
        <v>36</v>
      </c>
      <c r="R4350">
        <f>IF(Table1[[#This Row],[order_status]]="completed",1,0)</f>
        <v>0</v>
      </c>
    </row>
    <row r="4351" spans="1:18" x14ac:dyDescent="0.35">
      <c r="A4351">
        <v>4350</v>
      </c>
      <c r="B4351" s="1">
        <v>45959</v>
      </c>
      <c r="C4351">
        <v>1653</v>
      </c>
      <c r="D4351" t="s">
        <v>41</v>
      </c>
      <c r="E4351" t="s">
        <v>23</v>
      </c>
      <c r="F4351" t="s">
        <v>24</v>
      </c>
      <c r="G4351">
        <v>1</v>
      </c>
      <c r="H4351">
        <v>0</v>
      </c>
      <c r="I4351" t="s">
        <v>25</v>
      </c>
      <c r="J4351" t="s">
        <v>37</v>
      </c>
      <c r="K4351" t="s">
        <v>26</v>
      </c>
      <c r="L4351">
        <v>1</v>
      </c>
      <c r="M4351">
        <v>0</v>
      </c>
      <c r="N4351">
        <v>1</v>
      </c>
      <c r="O4351" t="s">
        <v>21</v>
      </c>
      <c r="P4351" t="str">
        <f>TEXT(Table1[[#This Row],[order_date]],"yyyy-mm")</f>
        <v>2025-10</v>
      </c>
      <c r="Q4351">
        <f>WEEKNUM(Table1[[#This Row],[order_date]])</f>
        <v>44</v>
      </c>
      <c r="R4351">
        <f>IF(Table1[[#This Row],[order_status]]="completed",1,0)</f>
        <v>0</v>
      </c>
    </row>
    <row r="4352" spans="1:18" x14ac:dyDescent="0.35">
      <c r="A4352">
        <v>4351</v>
      </c>
      <c r="B4352" s="1">
        <v>45931</v>
      </c>
      <c r="C4352">
        <v>1791</v>
      </c>
      <c r="D4352" t="s">
        <v>32</v>
      </c>
      <c r="E4352" t="s">
        <v>23</v>
      </c>
      <c r="F4352" t="s">
        <v>24</v>
      </c>
      <c r="G4352">
        <v>4</v>
      </c>
      <c r="H4352">
        <v>10576</v>
      </c>
      <c r="I4352" t="s">
        <v>25</v>
      </c>
      <c r="J4352" t="s">
        <v>19</v>
      </c>
      <c r="K4352" t="s">
        <v>26</v>
      </c>
      <c r="L4352">
        <v>3</v>
      </c>
      <c r="M4352">
        <v>0</v>
      </c>
      <c r="N4352">
        <v>1</v>
      </c>
      <c r="O4352" t="s">
        <v>21</v>
      </c>
      <c r="P4352" t="str">
        <f>TEXT(Table1[[#This Row],[order_date]],"yyyy-mm")</f>
        <v>2025-10</v>
      </c>
      <c r="Q4352">
        <f>WEEKNUM(Table1[[#This Row],[order_date]])</f>
        <v>40</v>
      </c>
      <c r="R4352">
        <f>IF(Table1[[#This Row],[order_status]]="completed",1,0)</f>
        <v>1</v>
      </c>
    </row>
    <row r="4353" spans="1:18" x14ac:dyDescent="0.35">
      <c r="A4353">
        <v>4352</v>
      </c>
      <c r="B4353" s="1">
        <v>45918</v>
      </c>
      <c r="C4353">
        <v>1037</v>
      </c>
      <c r="D4353" t="s">
        <v>15</v>
      </c>
      <c r="E4353" t="s">
        <v>23</v>
      </c>
      <c r="F4353" t="s">
        <v>34</v>
      </c>
      <c r="G4353">
        <v>5</v>
      </c>
      <c r="H4353">
        <v>1605</v>
      </c>
      <c r="I4353" t="s">
        <v>39</v>
      </c>
      <c r="J4353" t="s">
        <v>19</v>
      </c>
      <c r="K4353" t="s">
        <v>20</v>
      </c>
      <c r="L4353">
        <v>9</v>
      </c>
      <c r="M4353">
        <v>1</v>
      </c>
      <c r="N4353">
        <v>0</v>
      </c>
      <c r="O4353" t="s">
        <v>27</v>
      </c>
      <c r="P4353" t="str">
        <f>TEXT(Table1[[#This Row],[order_date]],"yyyy-mm")</f>
        <v>2025-09</v>
      </c>
      <c r="Q4353">
        <f>WEEKNUM(Table1[[#This Row],[order_date]])</f>
        <v>38</v>
      </c>
      <c r="R4353">
        <f>IF(Table1[[#This Row],[order_status]]="completed",1,0)</f>
        <v>1</v>
      </c>
    </row>
    <row r="4354" spans="1:18" x14ac:dyDescent="0.35">
      <c r="A4354">
        <v>4353</v>
      </c>
      <c r="B4354" s="1">
        <v>45966</v>
      </c>
      <c r="C4354">
        <v>1759</v>
      </c>
      <c r="D4354" t="s">
        <v>32</v>
      </c>
      <c r="E4354" t="s">
        <v>36</v>
      </c>
      <c r="F4354" t="s">
        <v>17</v>
      </c>
      <c r="G4354">
        <v>5</v>
      </c>
      <c r="H4354">
        <v>19835</v>
      </c>
      <c r="I4354" t="s">
        <v>18</v>
      </c>
      <c r="J4354" t="s">
        <v>19</v>
      </c>
      <c r="K4354" t="s">
        <v>20</v>
      </c>
      <c r="L4354">
        <v>7</v>
      </c>
      <c r="M4354">
        <v>0</v>
      </c>
      <c r="N4354">
        <v>0</v>
      </c>
      <c r="O4354" t="s">
        <v>27</v>
      </c>
      <c r="P4354" t="str">
        <f>TEXT(Table1[[#This Row],[order_date]],"yyyy-mm")</f>
        <v>2025-11</v>
      </c>
      <c r="Q4354">
        <f>WEEKNUM(Table1[[#This Row],[order_date]])</f>
        <v>45</v>
      </c>
      <c r="R4354">
        <f>IF(Table1[[#This Row],[order_status]]="completed",1,0)</f>
        <v>1</v>
      </c>
    </row>
    <row r="4355" spans="1:18" x14ac:dyDescent="0.35">
      <c r="A4355">
        <v>4354</v>
      </c>
      <c r="B4355" s="1">
        <v>45872</v>
      </c>
      <c r="C4355">
        <v>1261</v>
      </c>
      <c r="D4355" t="s">
        <v>32</v>
      </c>
      <c r="E4355" t="s">
        <v>29</v>
      </c>
      <c r="F4355" t="s">
        <v>24</v>
      </c>
      <c r="G4355">
        <v>4</v>
      </c>
      <c r="H4355">
        <v>0</v>
      </c>
      <c r="I4355" t="s">
        <v>18</v>
      </c>
      <c r="J4355" t="s">
        <v>31</v>
      </c>
      <c r="K4355" t="s">
        <v>38</v>
      </c>
      <c r="L4355">
        <v>9</v>
      </c>
      <c r="M4355">
        <v>1</v>
      </c>
      <c r="N4355">
        <v>0</v>
      </c>
      <c r="O4355" t="s">
        <v>27</v>
      </c>
      <c r="P4355" t="str">
        <f>TEXT(Table1[[#This Row],[order_date]],"yyyy-mm")</f>
        <v>2025-08</v>
      </c>
      <c r="Q4355">
        <f>WEEKNUM(Table1[[#This Row],[order_date]])</f>
        <v>32</v>
      </c>
      <c r="R4355">
        <f>IF(Table1[[#This Row],[order_status]]="completed",1,0)</f>
        <v>0</v>
      </c>
    </row>
    <row r="4356" spans="1:18" x14ac:dyDescent="0.35">
      <c r="A4356">
        <v>4355</v>
      </c>
      <c r="B4356" s="1">
        <v>46030</v>
      </c>
      <c r="C4356">
        <v>1665</v>
      </c>
      <c r="D4356" t="s">
        <v>41</v>
      </c>
      <c r="E4356" t="s">
        <v>16</v>
      </c>
      <c r="F4356" t="s">
        <v>24</v>
      </c>
      <c r="G4356">
        <v>3</v>
      </c>
      <c r="H4356">
        <v>0</v>
      </c>
      <c r="I4356" t="s">
        <v>35</v>
      </c>
      <c r="J4356" t="s">
        <v>37</v>
      </c>
      <c r="K4356" t="s">
        <v>40</v>
      </c>
      <c r="L4356">
        <v>7</v>
      </c>
      <c r="M4356">
        <v>0</v>
      </c>
      <c r="N4356">
        <v>1</v>
      </c>
      <c r="O4356" t="s">
        <v>21</v>
      </c>
      <c r="P4356" t="str">
        <f>TEXT(Table1[[#This Row],[order_date]],"yyyy-mm")</f>
        <v>2026-01</v>
      </c>
      <c r="Q4356">
        <f>WEEKNUM(Table1[[#This Row],[order_date]])</f>
        <v>2</v>
      </c>
      <c r="R4356">
        <f>IF(Table1[[#This Row],[order_status]]="completed",1,0)</f>
        <v>0</v>
      </c>
    </row>
    <row r="4357" spans="1:18" x14ac:dyDescent="0.35">
      <c r="A4357">
        <v>4356</v>
      </c>
      <c r="B4357" s="1">
        <v>45880</v>
      </c>
      <c r="C4357">
        <v>1674</v>
      </c>
      <c r="D4357" t="s">
        <v>22</v>
      </c>
      <c r="E4357" t="s">
        <v>16</v>
      </c>
      <c r="F4357" t="s">
        <v>24</v>
      </c>
      <c r="G4357">
        <v>4</v>
      </c>
      <c r="H4357">
        <v>0</v>
      </c>
      <c r="I4357" t="s">
        <v>18</v>
      </c>
      <c r="J4357" t="s">
        <v>31</v>
      </c>
      <c r="K4357" t="s">
        <v>40</v>
      </c>
      <c r="L4357">
        <v>6</v>
      </c>
      <c r="M4357">
        <v>0</v>
      </c>
      <c r="N4357">
        <v>1</v>
      </c>
      <c r="O4357" t="s">
        <v>21</v>
      </c>
      <c r="P4357" t="str">
        <f>TEXT(Table1[[#This Row],[order_date]],"yyyy-mm")</f>
        <v>2025-08</v>
      </c>
      <c r="Q4357">
        <f>WEEKNUM(Table1[[#This Row],[order_date]])</f>
        <v>33</v>
      </c>
      <c r="R4357">
        <f>IF(Table1[[#This Row],[order_status]]="completed",1,0)</f>
        <v>0</v>
      </c>
    </row>
    <row r="4358" spans="1:18" x14ac:dyDescent="0.35">
      <c r="A4358">
        <v>4357</v>
      </c>
      <c r="B4358" s="1">
        <v>45980</v>
      </c>
      <c r="C4358">
        <v>1805</v>
      </c>
      <c r="D4358" t="s">
        <v>28</v>
      </c>
      <c r="E4358" t="s">
        <v>16</v>
      </c>
      <c r="F4358" t="s">
        <v>30</v>
      </c>
      <c r="G4358">
        <v>1</v>
      </c>
      <c r="H4358">
        <v>3347</v>
      </c>
      <c r="I4358" t="s">
        <v>25</v>
      </c>
      <c r="J4358" t="s">
        <v>19</v>
      </c>
      <c r="K4358" t="s">
        <v>40</v>
      </c>
      <c r="L4358">
        <v>8</v>
      </c>
      <c r="M4358">
        <v>1</v>
      </c>
      <c r="N4358">
        <v>0</v>
      </c>
      <c r="O4358" t="s">
        <v>27</v>
      </c>
      <c r="P4358" t="str">
        <f>TEXT(Table1[[#This Row],[order_date]],"yyyy-mm")</f>
        <v>2025-11</v>
      </c>
      <c r="Q4358">
        <f>WEEKNUM(Table1[[#This Row],[order_date]])</f>
        <v>47</v>
      </c>
      <c r="R4358">
        <f>IF(Table1[[#This Row],[order_status]]="completed",1,0)</f>
        <v>1</v>
      </c>
    </row>
    <row r="4359" spans="1:18" x14ac:dyDescent="0.35">
      <c r="A4359">
        <v>4358</v>
      </c>
      <c r="B4359" s="1">
        <v>45904</v>
      </c>
      <c r="C4359">
        <v>1667</v>
      </c>
      <c r="D4359" t="s">
        <v>15</v>
      </c>
      <c r="E4359" t="s">
        <v>33</v>
      </c>
      <c r="F4359" t="s">
        <v>24</v>
      </c>
      <c r="G4359">
        <v>5</v>
      </c>
      <c r="H4359">
        <v>0</v>
      </c>
      <c r="I4359" t="s">
        <v>39</v>
      </c>
      <c r="J4359" t="s">
        <v>37</v>
      </c>
      <c r="K4359" t="s">
        <v>20</v>
      </c>
      <c r="L4359">
        <v>10</v>
      </c>
      <c r="M4359">
        <v>1</v>
      </c>
      <c r="N4359">
        <v>0</v>
      </c>
      <c r="O4359" t="s">
        <v>21</v>
      </c>
      <c r="P4359" t="str">
        <f>TEXT(Table1[[#This Row],[order_date]],"yyyy-mm")</f>
        <v>2025-09</v>
      </c>
      <c r="Q4359">
        <f>WEEKNUM(Table1[[#This Row],[order_date]])</f>
        <v>36</v>
      </c>
      <c r="R4359">
        <f>IF(Table1[[#This Row],[order_status]]="completed",1,0)</f>
        <v>0</v>
      </c>
    </row>
    <row r="4360" spans="1:18" x14ac:dyDescent="0.35">
      <c r="A4360">
        <v>4359</v>
      </c>
      <c r="B4360" s="1">
        <v>45951</v>
      </c>
      <c r="C4360">
        <v>1985</v>
      </c>
      <c r="D4360" t="s">
        <v>32</v>
      </c>
      <c r="E4360" t="s">
        <v>33</v>
      </c>
      <c r="F4360" t="s">
        <v>30</v>
      </c>
      <c r="G4360">
        <v>1</v>
      </c>
      <c r="H4360">
        <v>0</v>
      </c>
      <c r="I4360" t="s">
        <v>18</v>
      </c>
      <c r="J4360" t="s">
        <v>31</v>
      </c>
      <c r="K4360" t="s">
        <v>38</v>
      </c>
      <c r="L4360">
        <v>8</v>
      </c>
      <c r="M4360">
        <v>1</v>
      </c>
      <c r="N4360">
        <v>1</v>
      </c>
      <c r="O4360" t="s">
        <v>27</v>
      </c>
      <c r="P4360" t="str">
        <f>TEXT(Table1[[#This Row],[order_date]],"yyyy-mm")</f>
        <v>2025-10</v>
      </c>
      <c r="Q4360">
        <f>WEEKNUM(Table1[[#This Row],[order_date]])</f>
        <v>43</v>
      </c>
      <c r="R4360">
        <f>IF(Table1[[#This Row],[order_status]]="completed",1,0)</f>
        <v>0</v>
      </c>
    </row>
    <row r="4361" spans="1:18" x14ac:dyDescent="0.35">
      <c r="A4361">
        <v>4360</v>
      </c>
      <c r="B4361" s="1">
        <v>45972</v>
      </c>
      <c r="C4361">
        <v>1025</v>
      </c>
      <c r="D4361" t="s">
        <v>32</v>
      </c>
      <c r="E4361" t="s">
        <v>16</v>
      </c>
      <c r="F4361" t="s">
        <v>34</v>
      </c>
      <c r="G4361">
        <v>1</v>
      </c>
      <c r="H4361">
        <v>0</v>
      </c>
      <c r="I4361" t="s">
        <v>18</v>
      </c>
      <c r="J4361" t="s">
        <v>37</v>
      </c>
      <c r="K4361" t="s">
        <v>26</v>
      </c>
      <c r="L4361">
        <v>2</v>
      </c>
      <c r="M4361">
        <v>0</v>
      </c>
      <c r="N4361">
        <v>0</v>
      </c>
      <c r="O4361" t="s">
        <v>21</v>
      </c>
      <c r="P4361" t="str">
        <f>TEXT(Table1[[#This Row],[order_date]],"yyyy-mm")</f>
        <v>2025-11</v>
      </c>
      <c r="Q4361">
        <f>WEEKNUM(Table1[[#This Row],[order_date]])</f>
        <v>46</v>
      </c>
      <c r="R4361">
        <f>IF(Table1[[#This Row],[order_status]]="completed",1,0)</f>
        <v>0</v>
      </c>
    </row>
    <row r="4362" spans="1:18" x14ac:dyDescent="0.35">
      <c r="A4362">
        <v>4361</v>
      </c>
      <c r="B4362" s="1">
        <v>45921</v>
      </c>
      <c r="C4362">
        <v>1338</v>
      </c>
      <c r="D4362" t="s">
        <v>28</v>
      </c>
      <c r="E4362" t="s">
        <v>29</v>
      </c>
      <c r="F4362" t="s">
        <v>17</v>
      </c>
      <c r="G4362">
        <v>3</v>
      </c>
      <c r="H4362">
        <v>0</v>
      </c>
      <c r="I4362" t="s">
        <v>39</v>
      </c>
      <c r="J4362" t="s">
        <v>31</v>
      </c>
      <c r="K4362" t="s">
        <v>20</v>
      </c>
      <c r="L4362">
        <v>8</v>
      </c>
      <c r="M4362">
        <v>1</v>
      </c>
      <c r="N4362">
        <v>1</v>
      </c>
      <c r="O4362" t="s">
        <v>27</v>
      </c>
      <c r="P4362" t="str">
        <f>TEXT(Table1[[#This Row],[order_date]],"yyyy-mm")</f>
        <v>2025-09</v>
      </c>
      <c r="Q4362">
        <f>WEEKNUM(Table1[[#This Row],[order_date]])</f>
        <v>39</v>
      </c>
      <c r="R4362">
        <f>IF(Table1[[#This Row],[order_status]]="completed",1,0)</f>
        <v>0</v>
      </c>
    </row>
    <row r="4363" spans="1:18" x14ac:dyDescent="0.35">
      <c r="A4363">
        <v>4362</v>
      </c>
      <c r="B4363" s="1">
        <v>45903</v>
      </c>
      <c r="C4363">
        <v>1388</v>
      </c>
      <c r="D4363" t="s">
        <v>41</v>
      </c>
      <c r="E4363" t="s">
        <v>33</v>
      </c>
      <c r="F4363" t="s">
        <v>17</v>
      </c>
      <c r="G4363">
        <v>2</v>
      </c>
      <c r="H4363">
        <v>0</v>
      </c>
      <c r="I4363" t="s">
        <v>39</v>
      </c>
      <c r="J4363" t="s">
        <v>37</v>
      </c>
      <c r="K4363" t="s">
        <v>38</v>
      </c>
      <c r="L4363">
        <v>9</v>
      </c>
      <c r="M4363">
        <v>1</v>
      </c>
      <c r="N4363">
        <v>0</v>
      </c>
      <c r="O4363" t="s">
        <v>21</v>
      </c>
      <c r="P4363" t="str">
        <f>TEXT(Table1[[#This Row],[order_date]],"yyyy-mm")</f>
        <v>2025-09</v>
      </c>
      <c r="Q4363">
        <f>WEEKNUM(Table1[[#This Row],[order_date]])</f>
        <v>36</v>
      </c>
      <c r="R4363">
        <f>IF(Table1[[#This Row],[order_status]]="completed",1,0)</f>
        <v>0</v>
      </c>
    </row>
    <row r="4364" spans="1:18" x14ac:dyDescent="0.35">
      <c r="A4364">
        <v>4363</v>
      </c>
      <c r="B4364" s="1">
        <v>45950</v>
      </c>
      <c r="C4364">
        <v>1877</v>
      </c>
      <c r="D4364" t="s">
        <v>28</v>
      </c>
      <c r="E4364" t="s">
        <v>23</v>
      </c>
      <c r="F4364" t="s">
        <v>24</v>
      </c>
      <c r="G4364">
        <v>5</v>
      </c>
      <c r="H4364">
        <v>0</v>
      </c>
      <c r="I4364" t="s">
        <v>25</v>
      </c>
      <c r="J4364" t="s">
        <v>37</v>
      </c>
      <c r="K4364" t="s">
        <v>20</v>
      </c>
      <c r="L4364">
        <v>3</v>
      </c>
      <c r="M4364">
        <v>0</v>
      </c>
      <c r="N4364">
        <v>0</v>
      </c>
      <c r="O4364" t="s">
        <v>27</v>
      </c>
      <c r="P4364" t="str">
        <f>TEXT(Table1[[#This Row],[order_date]],"yyyy-mm")</f>
        <v>2025-10</v>
      </c>
      <c r="Q4364">
        <f>WEEKNUM(Table1[[#This Row],[order_date]])</f>
        <v>43</v>
      </c>
      <c r="R4364">
        <f>IF(Table1[[#This Row],[order_status]]="completed",1,0)</f>
        <v>0</v>
      </c>
    </row>
    <row r="4365" spans="1:18" x14ac:dyDescent="0.35">
      <c r="A4365">
        <v>4364</v>
      </c>
      <c r="B4365" s="1">
        <v>45934</v>
      </c>
      <c r="C4365">
        <v>1654</v>
      </c>
      <c r="D4365" t="s">
        <v>41</v>
      </c>
      <c r="E4365" t="s">
        <v>36</v>
      </c>
      <c r="F4365" t="s">
        <v>24</v>
      </c>
      <c r="G4365">
        <v>3</v>
      </c>
      <c r="H4365">
        <v>7185</v>
      </c>
      <c r="I4365" t="s">
        <v>18</v>
      </c>
      <c r="J4365" t="s">
        <v>19</v>
      </c>
      <c r="K4365" t="s">
        <v>26</v>
      </c>
      <c r="L4365">
        <v>6</v>
      </c>
      <c r="M4365">
        <v>1</v>
      </c>
      <c r="N4365">
        <v>1</v>
      </c>
      <c r="O4365" t="s">
        <v>27</v>
      </c>
      <c r="P4365" t="str">
        <f>TEXT(Table1[[#This Row],[order_date]],"yyyy-mm")</f>
        <v>2025-10</v>
      </c>
      <c r="Q4365">
        <f>WEEKNUM(Table1[[#This Row],[order_date]])</f>
        <v>40</v>
      </c>
      <c r="R4365">
        <f>IF(Table1[[#This Row],[order_status]]="completed",1,0)</f>
        <v>1</v>
      </c>
    </row>
    <row r="4366" spans="1:18" x14ac:dyDescent="0.35">
      <c r="A4366">
        <v>4365</v>
      </c>
      <c r="B4366" s="1">
        <v>45890</v>
      </c>
      <c r="C4366">
        <v>1067</v>
      </c>
      <c r="D4366" t="s">
        <v>41</v>
      </c>
      <c r="E4366" t="s">
        <v>36</v>
      </c>
      <c r="F4366" t="s">
        <v>17</v>
      </c>
      <c r="G4366">
        <v>5</v>
      </c>
      <c r="H4366">
        <v>0</v>
      </c>
      <c r="I4366" t="s">
        <v>18</v>
      </c>
      <c r="J4366" t="s">
        <v>31</v>
      </c>
      <c r="K4366" t="s">
        <v>26</v>
      </c>
      <c r="L4366">
        <v>4</v>
      </c>
      <c r="M4366">
        <v>0</v>
      </c>
      <c r="N4366">
        <v>0</v>
      </c>
      <c r="O4366" t="s">
        <v>27</v>
      </c>
      <c r="P4366" t="str">
        <f>TEXT(Table1[[#This Row],[order_date]],"yyyy-mm")</f>
        <v>2025-08</v>
      </c>
      <c r="Q4366">
        <f>WEEKNUM(Table1[[#This Row],[order_date]])</f>
        <v>34</v>
      </c>
      <c r="R4366">
        <f>IF(Table1[[#This Row],[order_status]]="completed",1,0)</f>
        <v>0</v>
      </c>
    </row>
    <row r="4367" spans="1:18" x14ac:dyDescent="0.35">
      <c r="A4367">
        <v>4366</v>
      </c>
      <c r="B4367" s="1">
        <v>45961</v>
      </c>
      <c r="C4367">
        <v>1568</v>
      </c>
      <c r="D4367" t="s">
        <v>28</v>
      </c>
      <c r="E4367" t="s">
        <v>33</v>
      </c>
      <c r="F4367" t="s">
        <v>17</v>
      </c>
      <c r="G4367">
        <v>3</v>
      </c>
      <c r="H4367">
        <v>0</v>
      </c>
      <c r="I4367" t="s">
        <v>18</v>
      </c>
      <c r="J4367" t="s">
        <v>31</v>
      </c>
      <c r="K4367" t="s">
        <v>40</v>
      </c>
      <c r="L4367">
        <v>2</v>
      </c>
      <c r="M4367">
        <v>0</v>
      </c>
      <c r="N4367">
        <v>0</v>
      </c>
      <c r="O4367" t="s">
        <v>27</v>
      </c>
      <c r="P4367" t="str">
        <f>TEXT(Table1[[#This Row],[order_date]],"yyyy-mm")</f>
        <v>2025-10</v>
      </c>
      <c r="Q4367">
        <f>WEEKNUM(Table1[[#This Row],[order_date]])</f>
        <v>44</v>
      </c>
      <c r="R4367">
        <f>IF(Table1[[#This Row],[order_status]]="completed",1,0)</f>
        <v>0</v>
      </c>
    </row>
    <row r="4368" spans="1:18" x14ac:dyDescent="0.35">
      <c r="A4368">
        <v>4367</v>
      </c>
      <c r="B4368" s="1">
        <v>45878</v>
      </c>
      <c r="C4368">
        <v>1345</v>
      </c>
      <c r="D4368" t="s">
        <v>15</v>
      </c>
      <c r="E4368" t="s">
        <v>16</v>
      </c>
      <c r="F4368" t="s">
        <v>24</v>
      </c>
      <c r="G4368">
        <v>5</v>
      </c>
      <c r="H4368">
        <v>0</v>
      </c>
      <c r="I4368" t="s">
        <v>25</v>
      </c>
      <c r="J4368" t="s">
        <v>31</v>
      </c>
      <c r="K4368" t="s">
        <v>40</v>
      </c>
      <c r="L4368">
        <v>8</v>
      </c>
      <c r="M4368">
        <v>0</v>
      </c>
      <c r="N4368">
        <v>0</v>
      </c>
      <c r="O4368" t="s">
        <v>27</v>
      </c>
      <c r="P4368" t="str">
        <f>TEXT(Table1[[#This Row],[order_date]],"yyyy-mm")</f>
        <v>2025-08</v>
      </c>
      <c r="Q4368">
        <f>WEEKNUM(Table1[[#This Row],[order_date]])</f>
        <v>32</v>
      </c>
      <c r="R4368">
        <f>IF(Table1[[#This Row],[order_status]]="completed",1,0)</f>
        <v>0</v>
      </c>
    </row>
    <row r="4369" spans="1:18" x14ac:dyDescent="0.35">
      <c r="A4369">
        <v>4368</v>
      </c>
      <c r="B4369" s="1">
        <v>45891</v>
      </c>
      <c r="C4369">
        <v>1084</v>
      </c>
      <c r="D4369" t="s">
        <v>22</v>
      </c>
      <c r="E4369" t="s">
        <v>36</v>
      </c>
      <c r="F4369" t="s">
        <v>17</v>
      </c>
      <c r="G4369">
        <v>5</v>
      </c>
      <c r="H4369">
        <v>19245</v>
      </c>
      <c r="I4369" t="s">
        <v>25</v>
      </c>
      <c r="J4369" t="s">
        <v>19</v>
      </c>
      <c r="K4369" t="s">
        <v>20</v>
      </c>
      <c r="L4369">
        <v>6</v>
      </c>
      <c r="M4369">
        <v>0</v>
      </c>
      <c r="N4369">
        <v>1</v>
      </c>
      <c r="O4369" t="s">
        <v>27</v>
      </c>
      <c r="P4369" t="str">
        <f>TEXT(Table1[[#This Row],[order_date]],"yyyy-mm")</f>
        <v>2025-08</v>
      </c>
      <c r="Q4369">
        <f>WEEKNUM(Table1[[#This Row],[order_date]])</f>
        <v>34</v>
      </c>
      <c r="R4369">
        <f>IF(Table1[[#This Row],[order_status]]="completed",1,0)</f>
        <v>1</v>
      </c>
    </row>
    <row r="4370" spans="1:18" x14ac:dyDescent="0.35">
      <c r="A4370">
        <v>4369</v>
      </c>
      <c r="B4370" s="1">
        <v>46019</v>
      </c>
      <c r="C4370">
        <v>1887</v>
      </c>
      <c r="D4370" t="s">
        <v>28</v>
      </c>
      <c r="E4370" t="s">
        <v>29</v>
      </c>
      <c r="F4370" t="s">
        <v>34</v>
      </c>
      <c r="G4370">
        <v>5</v>
      </c>
      <c r="H4370">
        <v>10805</v>
      </c>
      <c r="I4370" t="s">
        <v>25</v>
      </c>
      <c r="J4370" t="s">
        <v>19</v>
      </c>
      <c r="K4370" t="s">
        <v>20</v>
      </c>
      <c r="L4370">
        <v>9</v>
      </c>
      <c r="M4370">
        <v>0</v>
      </c>
      <c r="N4370">
        <v>1</v>
      </c>
      <c r="O4370" t="s">
        <v>21</v>
      </c>
      <c r="P4370" t="str">
        <f>TEXT(Table1[[#This Row],[order_date]],"yyyy-mm")</f>
        <v>2025-12</v>
      </c>
      <c r="Q4370">
        <f>WEEKNUM(Table1[[#This Row],[order_date]])</f>
        <v>53</v>
      </c>
      <c r="R4370">
        <f>IF(Table1[[#This Row],[order_status]]="completed",1,0)</f>
        <v>1</v>
      </c>
    </row>
    <row r="4371" spans="1:18" x14ac:dyDescent="0.35">
      <c r="A4371">
        <v>4370</v>
      </c>
      <c r="B4371" s="1">
        <v>45950</v>
      </c>
      <c r="C4371">
        <v>1374</v>
      </c>
      <c r="D4371" t="s">
        <v>41</v>
      </c>
      <c r="E4371" t="s">
        <v>36</v>
      </c>
      <c r="F4371" t="s">
        <v>34</v>
      </c>
      <c r="G4371">
        <v>3</v>
      </c>
      <c r="H4371">
        <v>0</v>
      </c>
      <c r="I4371" t="s">
        <v>25</v>
      </c>
      <c r="J4371" t="s">
        <v>31</v>
      </c>
      <c r="K4371" t="s">
        <v>20</v>
      </c>
      <c r="L4371">
        <v>7</v>
      </c>
      <c r="M4371">
        <v>1</v>
      </c>
      <c r="N4371">
        <v>0</v>
      </c>
      <c r="O4371" t="s">
        <v>27</v>
      </c>
      <c r="P4371" t="str">
        <f>TEXT(Table1[[#This Row],[order_date]],"yyyy-mm")</f>
        <v>2025-10</v>
      </c>
      <c r="Q4371">
        <f>WEEKNUM(Table1[[#This Row],[order_date]])</f>
        <v>43</v>
      </c>
      <c r="R4371">
        <f>IF(Table1[[#This Row],[order_status]]="completed",1,0)</f>
        <v>0</v>
      </c>
    </row>
    <row r="4372" spans="1:18" x14ac:dyDescent="0.35">
      <c r="A4372">
        <v>4371</v>
      </c>
      <c r="B4372" s="1">
        <v>45976</v>
      </c>
      <c r="C4372">
        <v>1992</v>
      </c>
      <c r="D4372" t="s">
        <v>32</v>
      </c>
      <c r="E4372" t="s">
        <v>29</v>
      </c>
      <c r="F4372" t="s">
        <v>30</v>
      </c>
      <c r="G4372">
        <v>2</v>
      </c>
      <c r="H4372">
        <v>0</v>
      </c>
      <c r="I4372" t="s">
        <v>39</v>
      </c>
      <c r="J4372" t="s">
        <v>31</v>
      </c>
      <c r="K4372" t="s">
        <v>40</v>
      </c>
      <c r="L4372">
        <v>3</v>
      </c>
      <c r="M4372">
        <v>0</v>
      </c>
      <c r="N4372">
        <v>1</v>
      </c>
      <c r="O4372" t="s">
        <v>27</v>
      </c>
      <c r="P4372" t="str">
        <f>TEXT(Table1[[#This Row],[order_date]],"yyyy-mm")</f>
        <v>2025-11</v>
      </c>
      <c r="Q4372">
        <f>WEEKNUM(Table1[[#This Row],[order_date]])</f>
        <v>46</v>
      </c>
      <c r="R4372">
        <f>IF(Table1[[#This Row],[order_status]]="completed",1,0)</f>
        <v>0</v>
      </c>
    </row>
    <row r="4373" spans="1:18" x14ac:dyDescent="0.35">
      <c r="A4373">
        <v>4372</v>
      </c>
      <c r="B4373" s="1">
        <v>45941</v>
      </c>
      <c r="C4373">
        <v>1773</v>
      </c>
      <c r="D4373" t="s">
        <v>28</v>
      </c>
      <c r="E4373" t="s">
        <v>23</v>
      </c>
      <c r="F4373" t="s">
        <v>24</v>
      </c>
      <c r="G4373">
        <v>3</v>
      </c>
      <c r="H4373">
        <v>0</v>
      </c>
      <c r="I4373" t="s">
        <v>35</v>
      </c>
      <c r="J4373" t="s">
        <v>31</v>
      </c>
      <c r="K4373" t="s">
        <v>38</v>
      </c>
      <c r="L4373">
        <v>1</v>
      </c>
      <c r="M4373">
        <v>0</v>
      </c>
      <c r="N4373">
        <v>0</v>
      </c>
      <c r="O4373" t="s">
        <v>21</v>
      </c>
      <c r="P4373" t="str">
        <f>TEXT(Table1[[#This Row],[order_date]],"yyyy-mm")</f>
        <v>2025-10</v>
      </c>
      <c r="Q4373">
        <f>WEEKNUM(Table1[[#This Row],[order_date]])</f>
        <v>41</v>
      </c>
      <c r="R4373">
        <f>IF(Table1[[#This Row],[order_status]]="completed",1,0)</f>
        <v>0</v>
      </c>
    </row>
    <row r="4374" spans="1:18" x14ac:dyDescent="0.35">
      <c r="A4374">
        <v>4373</v>
      </c>
      <c r="B4374" s="1">
        <v>45888</v>
      </c>
      <c r="C4374">
        <v>1604</v>
      </c>
      <c r="D4374" t="s">
        <v>15</v>
      </c>
      <c r="E4374" t="s">
        <v>29</v>
      </c>
      <c r="F4374" t="s">
        <v>34</v>
      </c>
      <c r="G4374">
        <v>5</v>
      </c>
      <c r="H4374">
        <v>0</v>
      </c>
      <c r="I4374" t="s">
        <v>35</v>
      </c>
      <c r="J4374" t="s">
        <v>37</v>
      </c>
      <c r="K4374" t="s">
        <v>26</v>
      </c>
      <c r="L4374">
        <v>10</v>
      </c>
      <c r="M4374">
        <v>0</v>
      </c>
      <c r="N4374">
        <v>1</v>
      </c>
      <c r="O4374" t="s">
        <v>21</v>
      </c>
      <c r="P4374" t="str">
        <f>TEXT(Table1[[#This Row],[order_date]],"yyyy-mm")</f>
        <v>2025-08</v>
      </c>
      <c r="Q4374">
        <f>WEEKNUM(Table1[[#This Row],[order_date]])</f>
        <v>34</v>
      </c>
      <c r="R4374">
        <f>IF(Table1[[#This Row],[order_status]]="completed",1,0)</f>
        <v>0</v>
      </c>
    </row>
    <row r="4375" spans="1:18" x14ac:dyDescent="0.35">
      <c r="A4375">
        <v>4374</v>
      </c>
      <c r="B4375" s="1">
        <v>46031</v>
      </c>
      <c r="C4375">
        <v>1610</v>
      </c>
      <c r="D4375" t="s">
        <v>15</v>
      </c>
      <c r="E4375" t="s">
        <v>16</v>
      </c>
      <c r="F4375" t="s">
        <v>30</v>
      </c>
      <c r="G4375">
        <v>5</v>
      </c>
      <c r="H4375">
        <v>16625</v>
      </c>
      <c r="I4375" t="s">
        <v>39</v>
      </c>
      <c r="J4375" t="s">
        <v>19</v>
      </c>
      <c r="K4375" t="s">
        <v>20</v>
      </c>
      <c r="L4375">
        <v>7</v>
      </c>
      <c r="M4375">
        <v>0</v>
      </c>
      <c r="N4375">
        <v>0</v>
      </c>
      <c r="O4375" t="s">
        <v>21</v>
      </c>
      <c r="P4375" t="str">
        <f>TEXT(Table1[[#This Row],[order_date]],"yyyy-mm")</f>
        <v>2026-01</v>
      </c>
      <c r="Q4375">
        <f>WEEKNUM(Table1[[#This Row],[order_date]])</f>
        <v>2</v>
      </c>
      <c r="R4375">
        <f>IF(Table1[[#This Row],[order_status]]="completed",1,0)</f>
        <v>1</v>
      </c>
    </row>
    <row r="4376" spans="1:18" x14ac:dyDescent="0.35">
      <c r="A4376">
        <v>4375</v>
      </c>
      <c r="B4376" s="1">
        <v>45915</v>
      </c>
      <c r="C4376">
        <v>1590</v>
      </c>
      <c r="D4376" t="s">
        <v>28</v>
      </c>
      <c r="E4376" t="s">
        <v>23</v>
      </c>
      <c r="F4376" t="s">
        <v>30</v>
      </c>
      <c r="G4376">
        <v>4</v>
      </c>
      <c r="H4376">
        <v>16832</v>
      </c>
      <c r="I4376" t="s">
        <v>39</v>
      </c>
      <c r="J4376" t="s">
        <v>19</v>
      </c>
      <c r="K4376" t="s">
        <v>38</v>
      </c>
      <c r="L4376">
        <v>1</v>
      </c>
      <c r="M4376">
        <v>0</v>
      </c>
      <c r="N4376">
        <v>0</v>
      </c>
      <c r="O4376" t="s">
        <v>27</v>
      </c>
      <c r="P4376" t="str">
        <f>TEXT(Table1[[#This Row],[order_date]],"yyyy-mm")</f>
        <v>2025-09</v>
      </c>
      <c r="Q4376">
        <f>WEEKNUM(Table1[[#This Row],[order_date]])</f>
        <v>38</v>
      </c>
      <c r="R4376">
        <f>IF(Table1[[#This Row],[order_status]]="completed",1,0)</f>
        <v>1</v>
      </c>
    </row>
    <row r="4377" spans="1:18" x14ac:dyDescent="0.35">
      <c r="A4377">
        <v>4376</v>
      </c>
      <c r="B4377" s="1">
        <v>45877</v>
      </c>
      <c r="C4377">
        <v>1153</v>
      </c>
      <c r="D4377" t="s">
        <v>32</v>
      </c>
      <c r="E4377" t="s">
        <v>16</v>
      </c>
      <c r="F4377" t="s">
        <v>24</v>
      </c>
      <c r="G4377">
        <v>1</v>
      </c>
      <c r="H4377">
        <v>0</v>
      </c>
      <c r="I4377" t="s">
        <v>25</v>
      </c>
      <c r="J4377" t="s">
        <v>37</v>
      </c>
      <c r="K4377" t="s">
        <v>26</v>
      </c>
      <c r="L4377">
        <v>6</v>
      </c>
      <c r="M4377">
        <v>0</v>
      </c>
      <c r="N4377">
        <v>0</v>
      </c>
      <c r="O4377" t="s">
        <v>27</v>
      </c>
      <c r="P4377" t="str">
        <f>TEXT(Table1[[#This Row],[order_date]],"yyyy-mm")</f>
        <v>2025-08</v>
      </c>
      <c r="Q4377">
        <f>WEEKNUM(Table1[[#This Row],[order_date]])</f>
        <v>32</v>
      </c>
      <c r="R4377">
        <f>IF(Table1[[#This Row],[order_status]]="completed",1,0)</f>
        <v>0</v>
      </c>
    </row>
    <row r="4378" spans="1:18" x14ac:dyDescent="0.35">
      <c r="A4378">
        <v>4377</v>
      </c>
      <c r="B4378" s="1">
        <v>45955</v>
      </c>
      <c r="C4378">
        <v>1692</v>
      </c>
      <c r="D4378" t="s">
        <v>22</v>
      </c>
      <c r="E4378" t="s">
        <v>36</v>
      </c>
      <c r="F4378" t="s">
        <v>30</v>
      </c>
      <c r="G4378">
        <v>1</v>
      </c>
      <c r="H4378">
        <v>0</v>
      </c>
      <c r="I4378" t="s">
        <v>39</v>
      </c>
      <c r="J4378" t="s">
        <v>37</v>
      </c>
      <c r="K4378" t="s">
        <v>40</v>
      </c>
      <c r="L4378">
        <v>2</v>
      </c>
      <c r="M4378">
        <v>1</v>
      </c>
      <c r="N4378">
        <v>0</v>
      </c>
      <c r="O4378" t="s">
        <v>21</v>
      </c>
      <c r="P4378" t="str">
        <f>TEXT(Table1[[#This Row],[order_date]],"yyyy-mm")</f>
        <v>2025-10</v>
      </c>
      <c r="Q4378">
        <f>WEEKNUM(Table1[[#This Row],[order_date]])</f>
        <v>43</v>
      </c>
      <c r="R4378">
        <f>IF(Table1[[#This Row],[order_status]]="completed",1,0)</f>
        <v>0</v>
      </c>
    </row>
    <row r="4379" spans="1:18" x14ac:dyDescent="0.35">
      <c r="A4379">
        <v>4378</v>
      </c>
      <c r="B4379" s="1">
        <v>45856</v>
      </c>
      <c r="C4379">
        <v>1217</v>
      </c>
      <c r="D4379" t="s">
        <v>15</v>
      </c>
      <c r="E4379" t="s">
        <v>33</v>
      </c>
      <c r="F4379" t="s">
        <v>34</v>
      </c>
      <c r="G4379">
        <v>2</v>
      </c>
      <c r="H4379">
        <v>5206</v>
      </c>
      <c r="I4379" t="s">
        <v>25</v>
      </c>
      <c r="J4379" t="s">
        <v>19</v>
      </c>
      <c r="K4379" t="s">
        <v>40</v>
      </c>
      <c r="L4379">
        <v>6</v>
      </c>
      <c r="M4379">
        <v>1</v>
      </c>
      <c r="N4379">
        <v>0</v>
      </c>
      <c r="O4379" t="s">
        <v>27</v>
      </c>
      <c r="P4379" t="str">
        <f>TEXT(Table1[[#This Row],[order_date]],"yyyy-mm")</f>
        <v>2025-07</v>
      </c>
      <c r="Q4379">
        <f>WEEKNUM(Table1[[#This Row],[order_date]])</f>
        <v>29</v>
      </c>
      <c r="R4379">
        <f>IF(Table1[[#This Row],[order_status]]="completed",1,0)</f>
        <v>1</v>
      </c>
    </row>
    <row r="4380" spans="1:18" x14ac:dyDescent="0.35">
      <c r="A4380">
        <v>4379</v>
      </c>
      <c r="B4380" s="1">
        <v>45879</v>
      </c>
      <c r="C4380">
        <v>1253</v>
      </c>
      <c r="D4380" t="s">
        <v>41</v>
      </c>
      <c r="E4380" t="s">
        <v>23</v>
      </c>
      <c r="F4380" t="s">
        <v>34</v>
      </c>
      <c r="G4380">
        <v>1</v>
      </c>
      <c r="H4380">
        <v>914</v>
      </c>
      <c r="I4380" t="s">
        <v>18</v>
      </c>
      <c r="J4380" t="s">
        <v>19</v>
      </c>
      <c r="K4380" t="s">
        <v>38</v>
      </c>
      <c r="L4380">
        <v>3</v>
      </c>
      <c r="M4380">
        <v>0</v>
      </c>
      <c r="N4380">
        <v>1</v>
      </c>
      <c r="O4380" t="s">
        <v>21</v>
      </c>
      <c r="P4380" t="str">
        <f>TEXT(Table1[[#This Row],[order_date]],"yyyy-mm")</f>
        <v>2025-08</v>
      </c>
      <c r="Q4380">
        <f>WEEKNUM(Table1[[#This Row],[order_date]])</f>
        <v>33</v>
      </c>
      <c r="R4380">
        <f>IF(Table1[[#This Row],[order_status]]="completed",1,0)</f>
        <v>1</v>
      </c>
    </row>
    <row r="4381" spans="1:18" x14ac:dyDescent="0.35">
      <c r="A4381">
        <v>4380</v>
      </c>
      <c r="B4381" s="1">
        <v>45854</v>
      </c>
      <c r="C4381">
        <v>1043</v>
      </c>
      <c r="D4381" t="s">
        <v>22</v>
      </c>
      <c r="E4381" t="s">
        <v>33</v>
      </c>
      <c r="F4381" t="s">
        <v>17</v>
      </c>
      <c r="G4381">
        <v>1</v>
      </c>
      <c r="H4381">
        <v>0</v>
      </c>
      <c r="I4381" t="s">
        <v>18</v>
      </c>
      <c r="J4381" t="s">
        <v>37</v>
      </c>
      <c r="K4381" t="s">
        <v>26</v>
      </c>
      <c r="L4381">
        <v>2</v>
      </c>
      <c r="M4381">
        <v>0</v>
      </c>
      <c r="N4381">
        <v>0</v>
      </c>
      <c r="O4381" t="s">
        <v>27</v>
      </c>
      <c r="P4381" t="str">
        <f>TEXT(Table1[[#This Row],[order_date]],"yyyy-mm")</f>
        <v>2025-07</v>
      </c>
      <c r="Q4381">
        <f>WEEKNUM(Table1[[#This Row],[order_date]])</f>
        <v>29</v>
      </c>
      <c r="R4381">
        <f>IF(Table1[[#This Row],[order_status]]="completed",1,0)</f>
        <v>0</v>
      </c>
    </row>
    <row r="4382" spans="1:18" x14ac:dyDescent="0.35">
      <c r="A4382">
        <v>4381</v>
      </c>
      <c r="B4382" s="1">
        <v>45999</v>
      </c>
      <c r="C4382">
        <v>1869</v>
      </c>
      <c r="D4382" t="s">
        <v>32</v>
      </c>
      <c r="E4382" t="s">
        <v>33</v>
      </c>
      <c r="F4382" t="s">
        <v>30</v>
      </c>
      <c r="G4382">
        <v>1</v>
      </c>
      <c r="H4382">
        <v>0</v>
      </c>
      <c r="I4382" t="s">
        <v>39</v>
      </c>
      <c r="J4382" t="s">
        <v>37</v>
      </c>
      <c r="K4382" t="s">
        <v>40</v>
      </c>
      <c r="L4382">
        <v>2</v>
      </c>
      <c r="M4382">
        <v>0</v>
      </c>
      <c r="N4382">
        <v>1</v>
      </c>
      <c r="O4382" t="s">
        <v>21</v>
      </c>
      <c r="P4382" t="str">
        <f>TEXT(Table1[[#This Row],[order_date]],"yyyy-mm")</f>
        <v>2025-12</v>
      </c>
      <c r="Q4382">
        <f>WEEKNUM(Table1[[#This Row],[order_date]])</f>
        <v>50</v>
      </c>
      <c r="R4382">
        <f>IF(Table1[[#This Row],[order_status]]="completed",1,0)</f>
        <v>0</v>
      </c>
    </row>
    <row r="4383" spans="1:18" x14ac:dyDescent="0.35">
      <c r="A4383">
        <v>4382</v>
      </c>
      <c r="B4383" s="1">
        <v>45883</v>
      </c>
      <c r="C4383">
        <v>1006</v>
      </c>
      <c r="D4383" t="s">
        <v>15</v>
      </c>
      <c r="E4383" t="s">
        <v>23</v>
      </c>
      <c r="F4383" t="s">
        <v>17</v>
      </c>
      <c r="G4383">
        <v>2</v>
      </c>
      <c r="H4383">
        <v>0</v>
      </c>
      <c r="I4383" t="s">
        <v>35</v>
      </c>
      <c r="J4383" t="s">
        <v>37</v>
      </c>
      <c r="K4383" t="s">
        <v>20</v>
      </c>
      <c r="L4383">
        <v>9</v>
      </c>
      <c r="M4383">
        <v>0</v>
      </c>
      <c r="N4383">
        <v>1</v>
      </c>
      <c r="O4383" t="s">
        <v>27</v>
      </c>
      <c r="P4383" t="str">
        <f>TEXT(Table1[[#This Row],[order_date]],"yyyy-mm")</f>
        <v>2025-08</v>
      </c>
      <c r="Q4383">
        <f>WEEKNUM(Table1[[#This Row],[order_date]])</f>
        <v>33</v>
      </c>
      <c r="R4383">
        <f>IF(Table1[[#This Row],[order_status]]="completed",1,0)</f>
        <v>0</v>
      </c>
    </row>
    <row r="4384" spans="1:18" x14ac:dyDescent="0.35">
      <c r="A4384">
        <v>4383</v>
      </c>
      <c r="B4384" s="1">
        <v>45858</v>
      </c>
      <c r="C4384">
        <v>1546</v>
      </c>
      <c r="D4384" t="s">
        <v>28</v>
      </c>
      <c r="E4384" t="s">
        <v>29</v>
      </c>
      <c r="F4384" t="s">
        <v>30</v>
      </c>
      <c r="G4384">
        <v>5</v>
      </c>
      <c r="H4384">
        <v>0</v>
      </c>
      <c r="I4384" t="s">
        <v>35</v>
      </c>
      <c r="J4384" t="s">
        <v>31</v>
      </c>
      <c r="K4384" t="s">
        <v>20</v>
      </c>
      <c r="L4384">
        <v>3</v>
      </c>
      <c r="M4384">
        <v>0</v>
      </c>
      <c r="N4384">
        <v>1</v>
      </c>
      <c r="O4384" t="s">
        <v>21</v>
      </c>
      <c r="P4384" t="str">
        <f>TEXT(Table1[[#This Row],[order_date]],"yyyy-mm")</f>
        <v>2025-07</v>
      </c>
      <c r="Q4384">
        <f>WEEKNUM(Table1[[#This Row],[order_date]])</f>
        <v>30</v>
      </c>
      <c r="R4384">
        <f>IF(Table1[[#This Row],[order_status]]="completed",1,0)</f>
        <v>0</v>
      </c>
    </row>
    <row r="4385" spans="1:18" x14ac:dyDescent="0.35">
      <c r="A4385">
        <v>4384</v>
      </c>
      <c r="B4385" s="1">
        <v>45954</v>
      </c>
      <c r="C4385">
        <v>1409</v>
      </c>
      <c r="D4385" t="s">
        <v>32</v>
      </c>
      <c r="E4385" t="s">
        <v>29</v>
      </c>
      <c r="F4385" t="s">
        <v>24</v>
      </c>
      <c r="G4385">
        <v>1</v>
      </c>
      <c r="H4385">
        <v>216</v>
      </c>
      <c r="I4385" t="s">
        <v>39</v>
      </c>
      <c r="J4385" t="s">
        <v>19</v>
      </c>
      <c r="K4385" t="s">
        <v>38</v>
      </c>
      <c r="L4385">
        <v>8</v>
      </c>
      <c r="M4385">
        <v>0</v>
      </c>
      <c r="N4385">
        <v>1</v>
      </c>
      <c r="O4385" t="s">
        <v>27</v>
      </c>
      <c r="P4385" t="str">
        <f>TEXT(Table1[[#This Row],[order_date]],"yyyy-mm")</f>
        <v>2025-10</v>
      </c>
      <c r="Q4385">
        <f>WEEKNUM(Table1[[#This Row],[order_date]])</f>
        <v>43</v>
      </c>
      <c r="R4385">
        <f>IF(Table1[[#This Row],[order_status]]="completed",1,0)</f>
        <v>1</v>
      </c>
    </row>
    <row r="4386" spans="1:18" x14ac:dyDescent="0.35">
      <c r="A4386">
        <v>4385</v>
      </c>
      <c r="B4386" s="1">
        <v>45953</v>
      </c>
      <c r="C4386">
        <v>1680</v>
      </c>
      <c r="D4386" t="s">
        <v>28</v>
      </c>
      <c r="E4386" t="s">
        <v>36</v>
      </c>
      <c r="F4386" t="s">
        <v>34</v>
      </c>
      <c r="G4386">
        <v>4</v>
      </c>
      <c r="H4386">
        <v>0</v>
      </c>
      <c r="I4386" t="s">
        <v>25</v>
      </c>
      <c r="J4386" t="s">
        <v>31</v>
      </c>
      <c r="K4386" t="s">
        <v>38</v>
      </c>
      <c r="L4386">
        <v>4</v>
      </c>
      <c r="M4386">
        <v>1</v>
      </c>
      <c r="N4386">
        <v>0</v>
      </c>
      <c r="O4386" t="s">
        <v>21</v>
      </c>
      <c r="P4386" t="str">
        <f>TEXT(Table1[[#This Row],[order_date]],"yyyy-mm")</f>
        <v>2025-10</v>
      </c>
      <c r="Q4386">
        <f>WEEKNUM(Table1[[#This Row],[order_date]])</f>
        <v>43</v>
      </c>
      <c r="R4386">
        <f>IF(Table1[[#This Row],[order_status]]="completed",1,0)</f>
        <v>0</v>
      </c>
    </row>
    <row r="4387" spans="1:18" x14ac:dyDescent="0.35">
      <c r="A4387">
        <v>4386</v>
      </c>
      <c r="B4387" s="1">
        <v>45856</v>
      </c>
      <c r="C4387">
        <v>1981</v>
      </c>
      <c r="D4387" t="s">
        <v>32</v>
      </c>
      <c r="E4387" t="s">
        <v>33</v>
      </c>
      <c r="F4387" t="s">
        <v>30</v>
      </c>
      <c r="G4387">
        <v>3</v>
      </c>
      <c r="H4387">
        <v>0</v>
      </c>
      <c r="I4387" t="s">
        <v>39</v>
      </c>
      <c r="J4387" t="s">
        <v>37</v>
      </c>
      <c r="K4387" t="s">
        <v>38</v>
      </c>
      <c r="L4387">
        <v>10</v>
      </c>
      <c r="M4387">
        <v>1</v>
      </c>
      <c r="N4387">
        <v>0</v>
      </c>
      <c r="O4387" t="s">
        <v>21</v>
      </c>
      <c r="P4387" t="str">
        <f>TEXT(Table1[[#This Row],[order_date]],"yyyy-mm")</f>
        <v>2025-07</v>
      </c>
      <c r="Q4387">
        <f>WEEKNUM(Table1[[#This Row],[order_date]])</f>
        <v>29</v>
      </c>
      <c r="R4387">
        <f>IF(Table1[[#This Row],[order_status]]="completed",1,0)</f>
        <v>0</v>
      </c>
    </row>
    <row r="4388" spans="1:18" x14ac:dyDescent="0.35">
      <c r="A4388">
        <v>4387</v>
      </c>
      <c r="B4388" s="1">
        <v>45905</v>
      </c>
      <c r="C4388">
        <v>1924</v>
      </c>
      <c r="D4388" t="s">
        <v>41</v>
      </c>
      <c r="E4388" t="s">
        <v>23</v>
      </c>
      <c r="F4388" t="s">
        <v>30</v>
      </c>
      <c r="G4388">
        <v>1</v>
      </c>
      <c r="H4388">
        <v>0</v>
      </c>
      <c r="I4388" t="s">
        <v>25</v>
      </c>
      <c r="J4388" t="s">
        <v>31</v>
      </c>
      <c r="K4388" t="s">
        <v>20</v>
      </c>
      <c r="L4388">
        <v>1</v>
      </c>
      <c r="M4388">
        <v>0</v>
      </c>
      <c r="N4388">
        <v>1</v>
      </c>
      <c r="O4388" t="s">
        <v>21</v>
      </c>
      <c r="P4388" t="str">
        <f>TEXT(Table1[[#This Row],[order_date]],"yyyy-mm")</f>
        <v>2025-09</v>
      </c>
      <c r="Q4388">
        <f>WEEKNUM(Table1[[#This Row],[order_date]])</f>
        <v>36</v>
      </c>
      <c r="R4388">
        <f>IF(Table1[[#This Row],[order_status]]="completed",1,0)</f>
        <v>0</v>
      </c>
    </row>
    <row r="4389" spans="1:18" x14ac:dyDescent="0.35">
      <c r="A4389">
        <v>4388</v>
      </c>
      <c r="B4389" s="1">
        <v>45989</v>
      </c>
      <c r="C4389">
        <v>1377</v>
      </c>
      <c r="D4389" t="s">
        <v>41</v>
      </c>
      <c r="E4389" t="s">
        <v>33</v>
      </c>
      <c r="F4389" t="s">
        <v>34</v>
      </c>
      <c r="G4389">
        <v>5</v>
      </c>
      <c r="H4389">
        <v>0</v>
      </c>
      <c r="I4389" t="s">
        <v>35</v>
      </c>
      <c r="J4389" t="s">
        <v>31</v>
      </c>
      <c r="K4389" t="s">
        <v>40</v>
      </c>
      <c r="L4389">
        <v>8</v>
      </c>
      <c r="M4389">
        <v>0</v>
      </c>
      <c r="N4389">
        <v>0</v>
      </c>
      <c r="O4389" t="s">
        <v>27</v>
      </c>
      <c r="P4389" t="str">
        <f>TEXT(Table1[[#This Row],[order_date]],"yyyy-mm")</f>
        <v>2025-11</v>
      </c>
      <c r="Q4389">
        <f>WEEKNUM(Table1[[#This Row],[order_date]])</f>
        <v>48</v>
      </c>
      <c r="R4389">
        <f>IF(Table1[[#This Row],[order_status]]="completed",1,0)</f>
        <v>0</v>
      </c>
    </row>
    <row r="4390" spans="1:18" x14ac:dyDescent="0.35">
      <c r="A4390">
        <v>4389</v>
      </c>
      <c r="B4390" s="1">
        <v>45860</v>
      </c>
      <c r="C4390">
        <v>1644</v>
      </c>
      <c r="D4390" t="s">
        <v>28</v>
      </c>
      <c r="E4390" t="s">
        <v>29</v>
      </c>
      <c r="F4390" t="s">
        <v>34</v>
      </c>
      <c r="G4390">
        <v>3</v>
      </c>
      <c r="H4390">
        <v>0</v>
      </c>
      <c r="I4390" t="s">
        <v>18</v>
      </c>
      <c r="J4390" t="s">
        <v>31</v>
      </c>
      <c r="K4390" t="s">
        <v>38</v>
      </c>
      <c r="L4390">
        <v>4</v>
      </c>
      <c r="M4390">
        <v>0</v>
      </c>
      <c r="N4390">
        <v>0</v>
      </c>
      <c r="O4390" t="s">
        <v>27</v>
      </c>
      <c r="P4390" t="str">
        <f>TEXT(Table1[[#This Row],[order_date]],"yyyy-mm")</f>
        <v>2025-07</v>
      </c>
      <c r="Q4390">
        <f>WEEKNUM(Table1[[#This Row],[order_date]])</f>
        <v>30</v>
      </c>
      <c r="R4390">
        <f>IF(Table1[[#This Row],[order_status]]="completed",1,0)</f>
        <v>0</v>
      </c>
    </row>
    <row r="4391" spans="1:18" x14ac:dyDescent="0.35">
      <c r="A4391">
        <v>4390</v>
      </c>
      <c r="B4391" s="1">
        <v>46031</v>
      </c>
      <c r="C4391">
        <v>1271</v>
      </c>
      <c r="D4391" t="s">
        <v>32</v>
      </c>
      <c r="E4391" t="s">
        <v>36</v>
      </c>
      <c r="F4391" t="s">
        <v>34</v>
      </c>
      <c r="G4391">
        <v>3</v>
      </c>
      <c r="H4391">
        <v>0</v>
      </c>
      <c r="I4391" t="s">
        <v>18</v>
      </c>
      <c r="J4391" t="s">
        <v>31</v>
      </c>
      <c r="K4391" t="s">
        <v>20</v>
      </c>
      <c r="L4391">
        <v>8</v>
      </c>
      <c r="M4391">
        <v>1</v>
      </c>
      <c r="N4391">
        <v>1</v>
      </c>
      <c r="O4391" t="s">
        <v>21</v>
      </c>
      <c r="P4391" t="str">
        <f>TEXT(Table1[[#This Row],[order_date]],"yyyy-mm")</f>
        <v>2026-01</v>
      </c>
      <c r="Q4391">
        <f>WEEKNUM(Table1[[#This Row],[order_date]])</f>
        <v>2</v>
      </c>
      <c r="R4391">
        <f>IF(Table1[[#This Row],[order_status]]="completed",1,0)</f>
        <v>0</v>
      </c>
    </row>
    <row r="4392" spans="1:18" x14ac:dyDescent="0.35">
      <c r="A4392">
        <v>4391</v>
      </c>
      <c r="B4392" s="1">
        <v>45970</v>
      </c>
      <c r="C4392">
        <v>1415</v>
      </c>
      <c r="D4392" t="s">
        <v>32</v>
      </c>
      <c r="E4392" t="s">
        <v>33</v>
      </c>
      <c r="F4392" t="s">
        <v>17</v>
      </c>
      <c r="G4392">
        <v>2</v>
      </c>
      <c r="H4392">
        <v>8932</v>
      </c>
      <c r="I4392" t="s">
        <v>35</v>
      </c>
      <c r="J4392" t="s">
        <v>19</v>
      </c>
      <c r="K4392" t="s">
        <v>26</v>
      </c>
      <c r="L4392">
        <v>10</v>
      </c>
      <c r="M4392">
        <v>1</v>
      </c>
      <c r="N4392">
        <v>0</v>
      </c>
      <c r="O4392" t="s">
        <v>21</v>
      </c>
      <c r="P4392" t="str">
        <f>TEXT(Table1[[#This Row],[order_date]],"yyyy-mm")</f>
        <v>2025-11</v>
      </c>
      <c r="Q4392">
        <f>WEEKNUM(Table1[[#This Row],[order_date]])</f>
        <v>46</v>
      </c>
      <c r="R4392">
        <f>IF(Table1[[#This Row],[order_status]]="completed",1,0)</f>
        <v>1</v>
      </c>
    </row>
    <row r="4393" spans="1:18" x14ac:dyDescent="0.35">
      <c r="A4393">
        <v>4392</v>
      </c>
      <c r="B4393" s="1">
        <v>45994</v>
      </c>
      <c r="C4393">
        <v>1493</v>
      </c>
      <c r="D4393" t="s">
        <v>32</v>
      </c>
      <c r="E4393" t="s">
        <v>29</v>
      </c>
      <c r="F4393" t="s">
        <v>17</v>
      </c>
      <c r="G4393">
        <v>4</v>
      </c>
      <c r="H4393">
        <v>15640</v>
      </c>
      <c r="I4393" t="s">
        <v>18</v>
      </c>
      <c r="J4393" t="s">
        <v>19</v>
      </c>
      <c r="K4393" t="s">
        <v>20</v>
      </c>
      <c r="L4393">
        <v>4</v>
      </c>
      <c r="M4393">
        <v>1</v>
      </c>
      <c r="N4393">
        <v>1</v>
      </c>
      <c r="O4393" t="s">
        <v>21</v>
      </c>
      <c r="P4393" t="str">
        <f>TEXT(Table1[[#This Row],[order_date]],"yyyy-mm")</f>
        <v>2025-12</v>
      </c>
      <c r="Q4393">
        <f>WEEKNUM(Table1[[#This Row],[order_date]])</f>
        <v>49</v>
      </c>
      <c r="R4393">
        <f>IF(Table1[[#This Row],[order_status]]="completed",1,0)</f>
        <v>1</v>
      </c>
    </row>
    <row r="4394" spans="1:18" x14ac:dyDescent="0.35">
      <c r="A4394">
        <v>4393</v>
      </c>
      <c r="B4394" s="1">
        <v>46005</v>
      </c>
      <c r="C4394">
        <v>1482</v>
      </c>
      <c r="D4394" t="s">
        <v>28</v>
      </c>
      <c r="E4394" t="s">
        <v>36</v>
      </c>
      <c r="F4394" t="s">
        <v>34</v>
      </c>
      <c r="G4394">
        <v>4</v>
      </c>
      <c r="H4394">
        <v>0</v>
      </c>
      <c r="I4394" t="s">
        <v>18</v>
      </c>
      <c r="J4394" t="s">
        <v>37</v>
      </c>
      <c r="K4394" t="s">
        <v>38</v>
      </c>
      <c r="L4394">
        <v>5</v>
      </c>
      <c r="M4394">
        <v>0</v>
      </c>
      <c r="N4394">
        <v>0</v>
      </c>
      <c r="O4394" t="s">
        <v>27</v>
      </c>
      <c r="P4394" t="str">
        <f>TEXT(Table1[[#This Row],[order_date]],"yyyy-mm")</f>
        <v>2025-12</v>
      </c>
      <c r="Q4394">
        <f>WEEKNUM(Table1[[#This Row],[order_date]])</f>
        <v>51</v>
      </c>
      <c r="R4394">
        <f>IF(Table1[[#This Row],[order_status]]="completed",1,0)</f>
        <v>0</v>
      </c>
    </row>
    <row r="4395" spans="1:18" x14ac:dyDescent="0.35">
      <c r="A4395">
        <v>4394</v>
      </c>
      <c r="B4395" s="1">
        <v>45986</v>
      </c>
      <c r="C4395">
        <v>1682</v>
      </c>
      <c r="D4395" t="s">
        <v>41</v>
      </c>
      <c r="E4395" t="s">
        <v>29</v>
      </c>
      <c r="F4395" t="s">
        <v>17</v>
      </c>
      <c r="G4395">
        <v>5</v>
      </c>
      <c r="H4395">
        <v>0</v>
      </c>
      <c r="I4395" t="s">
        <v>39</v>
      </c>
      <c r="J4395" t="s">
        <v>31</v>
      </c>
      <c r="K4395" t="s">
        <v>26</v>
      </c>
      <c r="L4395">
        <v>9</v>
      </c>
      <c r="M4395">
        <v>1</v>
      </c>
      <c r="N4395">
        <v>0</v>
      </c>
      <c r="O4395" t="s">
        <v>27</v>
      </c>
      <c r="P4395" t="str">
        <f>TEXT(Table1[[#This Row],[order_date]],"yyyy-mm")</f>
        <v>2025-11</v>
      </c>
      <c r="Q4395">
        <f>WEEKNUM(Table1[[#This Row],[order_date]])</f>
        <v>48</v>
      </c>
      <c r="R4395">
        <f>IF(Table1[[#This Row],[order_status]]="completed",1,0)</f>
        <v>0</v>
      </c>
    </row>
    <row r="4396" spans="1:18" x14ac:dyDescent="0.35">
      <c r="A4396">
        <v>4395</v>
      </c>
      <c r="B4396" s="1">
        <v>46014</v>
      </c>
      <c r="C4396">
        <v>1972</v>
      </c>
      <c r="D4396" t="s">
        <v>15</v>
      </c>
      <c r="E4396" t="s">
        <v>36</v>
      </c>
      <c r="F4396" t="s">
        <v>30</v>
      </c>
      <c r="G4396">
        <v>2</v>
      </c>
      <c r="H4396">
        <v>0</v>
      </c>
      <c r="I4396" t="s">
        <v>18</v>
      </c>
      <c r="J4396" t="s">
        <v>37</v>
      </c>
      <c r="K4396" t="s">
        <v>20</v>
      </c>
      <c r="L4396">
        <v>2</v>
      </c>
      <c r="M4396">
        <v>0</v>
      </c>
      <c r="N4396">
        <v>0</v>
      </c>
      <c r="O4396" t="s">
        <v>21</v>
      </c>
      <c r="P4396" t="str">
        <f>TEXT(Table1[[#This Row],[order_date]],"yyyy-mm")</f>
        <v>2025-12</v>
      </c>
      <c r="Q4396">
        <f>WEEKNUM(Table1[[#This Row],[order_date]])</f>
        <v>52</v>
      </c>
      <c r="R4396">
        <f>IF(Table1[[#This Row],[order_status]]="completed",1,0)</f>
        <v>0</v>
      </c>
    </row>
    <row r="4397" spans="1:18" x14ac:dyDescent="0.35">
      <c r="A4397">
        <v>4396</v>
      </c>
      <c r="B4397" s="1">
        <v>45955</v>
      </c>
      <c r="C4397">
        <v>1182</v>
      </c>
      <c r="D4397" t="s">
        <v>28</v>
      </c>
      <c r="E4397" t="s">
        <v>16</v>
      </c>
      <c r="F4397" t="s">
        <v>17</v>
      </c>
      <c r="G4397">
        <v>3</v>
      </c>
      <c r="H4397">
        <v>1728</v>
      </c>
      <c r="I4397" t="s">
        <v>39</v>
      </c>
      <c r="J4397" t="s">
        <v>19</v>
      </c>
      <c r="K4397" t="s">
        <v>26</v>
      </c>
      <c r="L4397">
        <v>3</v>
      </c>
      <c r="M4397">
        <v>1</v>
      </c>
      <c r="N4397">
        <v>1</v>
      </c>
      <c r="O4397" t="s">
        <v>21</v>
      </c>
      <c r="P4397" t="str">
        <f>TEXT(Table1[[#This Row],[order_date]],"yyyy-mm")</f>
        <v>2025-10</v>
      </c>
      <c r="Q4397">
        <f>WEEKNUM(Table1[[#This Row],[order_date]])</f>
        <v>43</v>
      </c>
      <c r="R4397">
        <f>IF(Table1[[#This Row],[order_status]]="completed",1,0)</f>
        <v>1</v>
      </c>
    </row>
    <row r="4398" spans="1:18" x14ac:dyDescent="0.35">
      <c r="A4398">
        <v>4397</v>
      </c>
      <c r="B4398" s="1">
        <v>45960</v>
      </c>
      <c r="C4398">
        <v>1908</v>
      </c>
      <c r="D4398" t="s">
        <v>15</v>
      </c>
      <c r="E4398" t="s">
        <v>33</v>
      </c>
      <c r="F4398" t="s">
        <v>17</v>
      </c>
      <c r="G4398">
        <v>3</v>
      </c>
      <c r="H4398">
        <v>3984</v>
      </c>
      <c r="I4398" t="s">
        <v>18</v>
      </c>
      <c r="J4398" t="s">
        <v>19</v>
      </c>
      <c r="K4398" t="s">
        <v>38</v>
      </c>
      <c r="L4398">
        <v>9</v>
      </c>
      <c r="M4398">
        <v>1</v>
      </c>
      <c r="N4398">
        <v>1</v>
      </c>
      <c r="O4398" t="s">
        <v>27</v>
      </c>
      <c r="P4398" t="str">
        <f>TEXT(Table1[[#This Row],[order_date]],"yyyy-mm")</f>
        <v>2025-10</v>
      </c>
      <c r="Q4398">
        <f>WEEKNUM(Table1[[#This Row],[order_date]])</f>
        <v>44</v>
      </c>
      <c r="R4398">
        <f>IF(Table1[[#This Row],[order_status]]="completed",1,0)</f>
        <v>1</v>
      </c>
    </row>
    <row r="4399" spans="1:18" x14ac:dyDescent="0.35">
      <c r="A4399">
        <v>4398</v>
      </c>
      <c r="B4399" s="1">
        <v>45909</v>
      </c>
      <c r="C4399">
        <v>1639</v>
      </c>
      <c r="D4399" t="s">
        <v>28</v>
      </c>
      <c r="E4399" t="s">
        <v>29</v>
      </c>
      <c r="F4399" t="s">
        <v>24</v>
      </c>
      <c r="G4399">
        <v>1</v>
      </c>
      <c r="H4399">
        <v>0</v>
      </c>
      <c r="I4399" t="s">
        <v>18</v>
      </c>
      <c r="J4399" t="s">
        <v>31</v>
      </c>
      <c r="K4399" t="s">
        <v>26</v>
      </c>
      <c r="L4399">
        <v>4</v>
      </c>
      <c r="M4399">
        <v>1</v>
      </c>
      <c r="N4399">
        <v>0</v>
      </c>
      <c r="O4399" t="s">
        <v>27</v>
      </c>
      <c r="P4399" t="str">
        <f>TEXT(Table1[[#This Row],[order_date]],"yyyy-mm")</f>
        <v>2025-09</v>
      </c>
      <c r="Q4399">
        <f>WEEKNUM(Table1[[#This Row],[order_date]])</f>
        <v>37</v>
      </c>
      <c r="R4399">
        <f>IF(Table1[[#This Row],[order_status]]="completed",1,0)</f>
        <v>0</v>
      </c>
    </row>
    <row r="4400" spans="1:18" x14ac:dyDescent="0.35">
      <c r="A4400">
        <v>4399</v>
      </c>
      <c r="B4400" s="1">
        <v>45972</v>
      </c>
      <c r="C4400">
        <v>1283</v>
      </c>
      <c r="D4400" t="s">
        <v>28</v>
      </c>
      <c r="E4400" t="s">
        <v>29</v>
      </c>
      <c r="F4400" t="s">
        <v>30</v>
      </c>
      <c r="G4400">
        <v>2</v>
      </c>
      <c r="H4400">
        <v>0</v>
      </c>
      <c r="I4400" t="s">
        <v>35</v>
      </c>
      <c r="J4400" t="s">
        <v>31</v>
      </c>
      <c r="K4400" t="s">
        <v>38</v>
      </c>
      <c r="L4400">
        <v>9</v>
      </c>
      <c r="M4400">
        <v>1</v>
      </c>
      <c r="N4400">
        <v>0</v>
      </c>
      <c r="O4400" t="s">
        <v>21</v>
      </c>
      <c r="P4400" t="str">
        <f>TEXT(Table1[[#This Row],[order_date]],"yyyy-mm")</f>
        <v>2025-11</v>
      </c>
      <c r="Q4400">
        <f>WEEKNUM(Table1[[#This Row],[order_date]])</f>
        <v>46</v>
      </c>
      <c r="R4400">
        <f>IF(Table1[[#This Row],[order_status]]="completed",1,0)</f>
        <v>0</v>
      </c>
    </row>
    <row r="4401" spans="1:18" x14ac:dyDescent="0.35">
      <c r="A4401">
        <v>4400</v>
      </c>
      <c r="B4401" s="1">
        <v>45879</v>
      </c>
      <c r="C4401">
        <v>1203</v>
      </c>
      <c r="D4401" t="s">
        <v>22</v>
      </c>
      <c r="E4401" t="s">
        <v>23</v>
      </c>
      <c r="F4401" t="s">
        <v>30</v>
      </c>
      <c r="G4401">
        <v>4</v>
      </c>
      <c r="H4401">
        <v>0</v>
      </c>
      <c r="I4401" t="s">
        <v>39</v>
      </c>
      <c r="J4401" t="s">
        <v>37</v>
      </c>
      <c r="K4401" t="s">
        <v>26</v>
      </c>
      <c r="L4401">
        <v>1</v>
      </c>
      <c r="M4401">
        <v>0</v>
      </c>
      <c r="N4401">
        <v>0</v>
      </c>
      <c r="O4401" t="s">
        <v>21</v>
      </c>
      <c r="P4401" t="str">
        <f>TEXT(Table1[[#This Row],[order_date]],"yyyy-mm")</f>
        <v>2025-08</v>
      </c>
      <c r="Q4401">
        <f>WEEKNUM(Table1[[#This Row],[order_date]])</f>
        <v>33</v>
      </c>
      <c r="R4401">
        <f>IF(Table1[[#This Row],[order_status]]="completed",1,0)</f>
        <v>0</v>
      </c>
    </row>
    <row r="4402" spans="1:18" x14ac:dyDescent="0.35">
      <c r="A4402">
        <v>4401</v>
      </c>
      <c r="B4402" s="1">
        <v>45923</v>
      </c>
      <c r="C4402">
        <v>1728</v>
      </c>
      <c r="D4402" t="s">
        <v>32</v>
      </c>
      <c r="E4402" t="s">
        <v>36</v>
      </c>
      <c r="F4402" t="s">
        <v>24</v>
      </c>
      <c r="G4402">
        <v>5</v>
      </c>
      <c r="H4402">
        <v>0</v>
      </c>
      <c r="I4402" t="s">
        <v>18</v>
      </c>
      <c r="J4402" t="s">
        <v>37</v>
      </c>
      <c r="K4402" t="s">
        <v>26</v>
      </c>
      <c r="L4402">
        <v>4</v>
      </c>
      <c r="M4402">
        <v>0</v>
      </c>
      <c r="N4402">
        <v>0</v>
      </c>
      <c r="O4402" t="s">
        <v>21</v>
      </c>
      <c r="P4402" t="str">
        <f>TEXT(Table1[[#This Row],[order_date]],"yyyy-mm")</f>
        <v>2025-09</v>
      </c>
      <c r="Q4402">
        <f>WEEKNUM(Table1[[#This Row],[order_date]])</f>
        <v>39</v>
      </c>
      <c r="R4402">
        <f>IF(Table1[[#This Row],[order_status]]="completed",1,0)</f>
        <v>0</v>
      </c>
    </row>
    <row r="4403" spans="1:18" x14ac:dyDescent="0.35">
      <c r="A4403">
        <v>4402</v>
      </c>
      <c r="B4403" s="1">
        <v>45983</v>
      </c>
      <c r="C4403">
        <v>1257</v>
      </c>
      <c r="D4403" t="s">
        <v>28</v>
      </c>
      <c r="E4403" t="s">
        <v>16</v>
      </c>
      <c r="F4403" t="s">
        <v>24</v>
      </c>
      <c r="G4403">
        <v>2</v>
      </c>
      <c r="H4403">
        <v>7396</v>
      </c>
      <c r="I4403" t="s">
        <v>35</v>
      </c>
      <c r="J4403" t="s">
        <v>19</v>
      </c>
      <c r="K4403" t="s">
        <v>20</v>
      </c>
      <c r="L4403">
        <v>8</v>
      </c>
      <c r="M4403">
        <v>0</v>
      </c>
      <c r="N4403">
        <v>0</v>
      </c>
      <c r="O4403" t="s">
        <v>27</v>
      </c>
      <c r="P4403" t="str">
        <f>TEXT(Table1[[#This Row],[order_date]],"yyyy-mm")</f>
        <v>2025-11</v>
      </c>
      <c r="Q4403">
        <f>WEEKNUM(Table1[[#This Row],[order_date]])</f>
        <v>47</v>
      </c>
      <c r="R4403">
        <f>IF(Table1[[#This Row],[order_status]]="completed",1,0)</f>
        <v>1</v>
      </c>
    </row>
    <row r="4404" spans="1:18" x14ac:dyDescent="0.35">
      <c r="A4404">
        <v>4403</v>
      </c>
      <c r="B4404" s="1">
        <v>45974</v>
      </c>
      <c r="C4404">
        <v>1168</v>
      </c>
      <c r="D4404" t="s">
        <v>22</v>
      </c>
      <c r="E4404" t="s">
        <v>29</v>
      </c>
      <c r="F4404" t="s">
        <v>17</v>
      </c>
      <c r="G4404">
        <v>5</v>
      </c>
      <c r="H4404">
        <v>9830</v>
      </c>
      <c r="I4404" t="s">
        <v>39</v>
      </c>
      <c r="J4404" t="s">
        <v>19</v>
      </c>
      <c r="K4404" t="s">
        <v>38</v>
      </c>
      <c r="L4404">
        <v>2</v>
      </c>
      <c r="M4404">
        <v>0</v>
      </c>
      <c r="N4404">
        <v>1</v>
      </c>
      <c r="O4404" t="s">
        <v>21</v>
      </c>
      <c r="P4404" t="str">
        <f>TEXT(Table1[[#This Row],[order_date]],"yyyy-mm")</f>
        <v>2025-11</v>
      </c>
      <c r="Q4404">
        <f>WEEKNUM(Table1[[#This Row],[order_date]])</f>
        <v>46</v>
      </c>
      <c r="R4404">
        <f>IF(Table1[[#This Row],[order_status]]="completed",1,0)</f>
        <v>1</v>
      </c>
    </row>
    <row r="4405" spans="1:18" x14ac:dyDescent="0.35">
      <c r="A4405">
        <v>4404</v>
      </c>
      <c r="B4405" s="1">
        <v>46003</v>
      </c>
      <c r="C4405">
        <v>1227</v>
      </c>
      <c r="D4405" t="s">
        <v>32</v>
      </c>
      <c r="E4405" t="s">
        <v>33</v>
      </c>
      <c r="F4405" t="s">
        <v>30</v>
      </c>
      <c r="G4405">
        <v>3</v>
      </c>
      <c r="H4405">
        <v>11553</v>
      </c>
      <c r="I4405" t="s">
        <v>18</v>
      </c>
      <c r="J4405" t="s">
        <v>19</v>
      </c>
      <c r="K4405" t="s">
        <v>26</v>
      </c>
      <c r="L4405">
        <v>7</v>
      </c>
      <c r="M4405">
        <v>0</v>
      </c>
      <c r="N4405">
        <v>1</v>
      </c>
      <c r="O4405" t="s">
        <v>27</v>
      </c>
      <c r="P4405" t="str">
        <f>TEXT(Table1[[#This Row],[order_date]],"yyyy-mm")</f>
        <v>2025-12</v>
      </c>
      <c r="Q4405">
        <f>WEEKNUM(Table1[[#This Row],[order_date]])</f>
        <v>50</v>
      </c>
      <c r="R4405">
        <f>IF(Table1[[#This Row],[order_status]]="completed",1,0)</f>
        <v>1</v>
      </c>
    </row>
    <row r="4406" spans="1:18" x14ac:dyDescent="0.35">
      <c r="A4406">
        <v>4405</v>
      </c>
      <c r="B4406" s="1">
        <v>45890</v>
      </c>
      <c r="C4406">
        <v>1108</v>
      </c>
      <c r="D4406" t="s">
        <v>15</v>
      </c>
      <c r="E4406" t="s">
        <v>36</v>
      </c>
      <c r="F4406" t="s">
        <v>17</v>
      </c>
      <c r="G4406">
        <v>3</v>
      </c>
      <c r="H4406">
        <v>0</v>
      </c>
      <c r="I4406" t="s">
        <v>35</v>
      </c>
      <c r="J4406" t="s">
        <v>37</v>
      </c>
      <c r="K4406" t="s">
        <v>40</v>
      </c>
      <c r="L4406">
        <v>8</v>
      </c>
      <c r="M4406">
        <v>1</v>
      </c>
      <c r="N4406">
        <v>0</v>
      </c>
      <c r="O4406" t="s">
        <v>21</v>
      </c>
      <c r="P4406" t="str">
        <f>TEXT(Table1[[#This Row],[order_date]],"yyyy-mm")</f>
        <v>2025-08</v>
      </c>
      <c r="Q4406">
        <f>WEEKNUM(Table1[[#This Row],[order_date]])</f>
        <v>34</v>
      </c>
      <c r="R4406">
        <f>IF(Table1[[#This Row],[order_status]]="completed",1,0)</f>
        <v>0</v>
      </c>
    </row>
    <row r="4407" spans="1:18" x14ac:dyDescent="0.35">
      <c r="A4407">
        <v>4406</v>
      </c>
      <c r="B4407" s="1">
        <v>45985</v>
      </c>
      <c r="C4407">
        <v>1364</v>
      </c>
      <c r="D4407" t="s">
        <v>32</v>
      </c>
      <c r="E4407" t="s">
        <v>29</v>
      </c>
      <c r="F4407" t="s">
        <v>30</v>
      </c>
      <c r="G4407">
        <v>1</v>
      </c>
      <c r="H4407">
        <v>4357</v>
      </c>
      <c r="I4407" t="s">
        <v>35</v>
      </c>
      <c r="J4407" t="s">
        <v>19</v>
      </c>
      <c r="K4407" t="s">
        <v>20</v>
      </c>
      <c r="L4407">
        <v>4</v>
      </c>
      <c r="M4407">
        <v>1</v>
      </c>
      <c r="N4407">
        <v>1</v>
      </c>
      <c r="O4407" t="s">
        <v>21</v>
      </c>
      <c r="P4407" t="str">
        <f>TEXT(Table1[[#This Row],[order_date]],"yyyy-mm")</f>
        <v>2025-11</v>
      </c>
      <c r="Q4407">
        <f>WEEKNUM(Table1[[#This Row],[order_date]])</f>
        <v>48</v>
      </c>
      <c r="R4407">
        <f>IF(Table1[[#This Row],[order_status]]="completed",1,0)</f>
        <v>1</v>
      </c>
    </row>
    <row r="4408" spans="1:18" x14ac:dyDescent="0.35">
      <c r="A4408">
        <v>4407</v>
      </c>
      <c r="B4408" s="1">
        <v>45904</v>
      </c>
      <c r="C4408">
        <v>1613</v>
      </c>
      <c r="D4408" t="s">
        <v>22</v>
      </c>
      <c r="E4408" t="s">
        <v>33</v>
      </c>
      <c r="F4408" t="s">
        <v>34</v>
      </c>
      <c r="G4408">
        <v>1</v>
      </c>
      <c r="H4408">
        <v>1535</v>
      </c>
      <c r="I4408" t="s">
        <v>25</v>
      </c>
      <c r="J4408" t="s">
        <v>19</v>
      </c>
      <c r="K4408" t="s">
        <v>26</v>
      </c>
      <c r="L4408">
        <v>7</v>
      </c>
      <c r="M4408">
        <v>0</v>
      </c>
      <c r="N4408">
        <v>1</v>
      </c>
      <c r="O4408" t="s">
        <v>27</v>
      </c>
      <c r="P4408" t="str">
        <f>TEXT(Table1[[#This Row],[order_date]],"yyyy-mm")</f>
        <v>2025-09</v>
      </c>
      <c r="Q4408">
        <f>WEEKNUM(Table1[[#This Row],[order_date]])</f>
        <v>36</v>
      </c>
      <c r="R4408">
        <f>IF(Table1[[#This Row],[order_status]]="completed",1,0)</f>
        <v>1</v>
      </c>
    </row>
    <row r="4409" spans="1:18" x14ac:dyDescent="0.35">
      <c r="A4409">
        <v>4408</v>
      </c>
      <c r="B4409" s="1">
        <v>46013</v>
      </c>
      <c r="C4409">
        <v>1003</v>
      </c>
      <c r="D4409" t="s">
        <v>28</v>
      </c>
      <c r="E4409" t="s">
        <v>29</v>
      </c>
      <c r="F4409" t="s">
        <v>30</v>
      </c>
      <c r="G4409">
        <v>1</v>
      </c>
      <c r="H4409">
        <v>2065</v>
      </c>
      <c r="I4409" t="s">
        <v>35</v>
      </c>
      <c r="J4409" t="s">
        <v>19</v>
      </c>
      <c r="K4409" t="s">
        <v>20</v>
      </c>
      <c r="L4409">
        <v>1</v>
      </c>
      <c r="M4409">
        <v>1</v>
      </c>
      <c r="N4409">
        <v>1</v>
      </c>
      <c r="O4409" t="s">
        <v>27</v>
      </c>
      <c r="P4409" t="str">
        <f>TEXT(Table1[[#This Row],[order_date]],"yyyy-mm")</f>
        <v>2025-12</v>
      </c>
      <c r="Q4409">
        <f>WEEKNUM(Table1[[#This Row],[order_date]])</f>
        <v>52</v>
      </c>
      <c r="R4409">
        <f>IF(Table1[[#This Row],[order_status]]="completed",1,0)</f>
        <v>1</v>
      </c>
    </row>
    <row r="4410" spans="1:18" x14ac:dyDescent="0.35">
      <c r="A4410">
        <v>4409</v>
      </c>
      <c r="B4410" s="1">
        <v>45954</v>
      </c>
      <c r="C4410">
        <v>1997</v>
      </c>
      <c r="D4410" t="s">
        <v>15</v>
      </c>
      <c r="E4410" t="s">
        <v>16</v>
      </c>
      <c r="F4410" t="s">
        <v>34</v>
      </c>
      <c r="G4410">
        <v>5</v>
      </c>
      <c r="H4410">
        <v>0</v>
      </c>
      <c r="I4410" t="s">
        <v>25</v>
      </c>
      <c r="J4410" t="s">
        <v>37</v>
      </c>
      <c r="K4410" t="s">
        <v>40</v>
      </c>
      <c r="L4410">
        <v>7</v>
      </c>
      <c r="M4410">
        <v>0</v>
      </c>
      <c r="N4410">
        <v>0</v>
      </c>
      <c r="O4410" t="s">
        <v>21</v>
      </c>
      <c r="P4410" t="str">
        <f>TEXT(Table1[[#This Row],[order_date]],"yyyy-mm")</f>
        <v>2025-10</v>
      </c>
      <c r="Q4410">
        <f>WEEKNUM(Table1[[#This Row],[order_date]])</f>
        <v>43</v>
      </c>
      <c r="R4410">
        <f>IF(Table1[[#This Row],[order_status]]="completed",1,0)</f>
        <v>0</v>
      </c>
    </row>
    <row r="4411" spans="1:18" x14ac:dyDescent="0.35">
      <c r="A4411">
        <v>4410</v>
      </c>
      <c r="B4411" s="1">
        <v>45978</v>
      </c>
      <c r="C4411">
        <v>1859</v>
      </c>
      <c r="D4411" t="s">
        <v>32</v>
      </c>
      <c r="E4411" t="s">
        <v>33</v>
      </c>
      <c r="F4411" t="s">
        <v>24</v>
      </c>
      <c r="G4411">
        <v>3</v>
      </c>
      <c r="H4411">
        <v>0</v>
      </c>
      <c r="I4411" t="s">
        <v>39</v>
      </c>
      <c r="J4411" t="s">
        <v>31</v>
      </c>
      <c r="K4411" t="s">
        <v>38</v>
      </c>
      <c r="L4411">
        <v>10</v>
      </c>
      <c r="M4411">
        <v>1</v>
      </c>
      <c r="N4411">
        <v>1</v>
      </c>
      <c r="O4411" t="s">
        <v>21</v>
      </c>
      <c r="P4411" t="str">
        <f>TEXT(Table1[[#This Row],[order_date]],"yyyy-mm")</f>
        <v>2025-11</v>
      </c>
      <c r="Q4411">
        <f>WEEKNUM(Table1[[#This Row],[order_date]])</f>
        <v>47</v>
      </c>
      <c r="R4411">
        <f>IF(Table1[[#This Row],[order_status]]="completed",1,0)</f>
        <v>0</v>
      </c>
    </row>
    <row r="4412" spans="1:18" x14ac:dyDescent="0.35">
      <c r="A4412">
        <v>4411</v>
      </c>
      <c r="B4412" s="1">
        <v>46011</v>
      </c>
      <c r="C4412">
        <v>1737</v>
      </c>
      <c r="D4412" t="s">
        <v>28</v>
      </c>
      <c r="E4412" t="s">
        <v>16</v>
      </c>
      <c r="F4412" t="s">
        <v>17</v>
      </c>
      <c r="G4412">
        <v>2</v>
      </c>
      <c r="H4412">
        <v>0</v>
      </c>
      <c r="I4412" t="s">
        <v>25</v>
      </c>
      <c r="J4412" t="s">
        <v>31</v>
      </c>
      <c r="K4412" t="s">
        <v>38</v>
      </c>
      <c r="L4412">
        <v>8</v>
      </c>
      <c r="M4412">
        <v>0</v>
      </c>
      <c r="N4412">
        <v>0</v>
      </c>
      <c r="O4412" t="s">
        <v>21</v>
      </c>
      <c r="P4412" t="str">
        <f>TEXT(Table1[[#This Row],[order_date]],"yyyy-mm")</f>
        <v>2025-12</v>
      </c>
      <c r="Q4412">
        <f>WEEKNUM(Table1[[#This Row],[order_date]])</f>
        <v>51</v>
      </c>
      <c r="R4412">
        <f>IF(Table1[[#This Row],[order_status]]="completed",1,0)</f>
        <v>0</v>
      </c>
    </row>
    <row r="4413" spans="1:18" x14ac:dyDescent="0.35">
      <c r="A4413">
        <v>4412</v>
      </c>
      <c r="B4413" s="1">
        <v>45886</v>
      </c>
      <c r="C4413">
        <v>1868</v>
      </c>
      <c r="D4413" t="s">
        <v>41</v>
      </c>
      <c r="E4413" t="s">
        <v>29</v>
      </c>
      <c r="F4413" t="s">
        <v>30</v>
      </c>
      <c r="G4413">
        <v>1</v>
      </c>
      <c r="H4413">
        <v>0</v>
      </c>
      <c r="I4413" t="s">
        <v>35</v>
      </c>
      <c r="J4413" t="s">
        <v>31</v>
      </c>
      <c r="K4413" t="s">
        <v>26</v>
      </c>
      <c r="L4413">
        <v>10</v>
      </c>
      <c r="M4413">
        <v>0</v>
      </c>
      <c r="N4413">
        <v>1</v>
      </c>
      <c r="O4413" t="s">
        <v>27</v>
      </c>
      <c r="P4413" t="str">
        <f>TEXT(Table1[[#This Row],[order_date]],"yyyy-mm")</f>
        <v>2025-08</v>
      </c>
      <c r="Q4413">
        <f>WEEKNUM(Table1[[#This Row],[order_date]])</f>
        <v>34</v>
      </c>
      <c r="R4413">
        <f>IF(Table1[[#This Row],[order_status]]="completed",1,0)</f>
        <v>0</v>
      </c>
    </row>
    <row r="4414" spans="1:18" x14ac:dyDescent="0.35">
      <c r="A4414">
        <v>4413</v>
      </c>
      <c r="B4414" s="1">
        <v>45865</v>
      </c>
      <c r="C4414">
        <v>1813</v>
      </c>
      <c r="D4414" t="s">
        <v>15</v>
      </c>
      <c r="E4414" t="s">
        <v>16</v>
      </c>
      <c r="F4414" t="s">
        <v>24</v>
      </c>
      <c r="G4414">
        <v>4</v>
      </c>
      <c r="H4414">
        <v>14764</v>
      </c>
      <c r="I4414" t="s">
        <v>35</v>
      </c>
      <c r="J4414" t="s">
        <v>19</v>
      </c>
      <c r="K4414" t="s">
        <v>20</v>
      </c>
      <c r="L4414">
        <v>7</v>
      </c>
      <c r="M4414">
        <v>1</v>
      </c>
      <c r="N4414">
        <v>1</v>
      </c>
      <c r="O4414" t="s">
        <v>27</v>
      </c>
      <c r="P4414" t="str">
        <f>TEXT(Table1[[#This Row],[order_date]],"yyyy-mm")</f>
        <v>2025-07</v>
      </c>
      <c r="Q4414">
        <f>WEEKNUM(Table1[[#This Row],[order_date]])</f>
        <v>31</v>
      </c>
      <c r="R4414">
        <f>IF(Table1[[#This Row],[order_status]]="completed",1,0)</f>
        <v>1</v>
      </c>
    </row>
    <row r="4415" spans="1:18" x14ac:dyDescent="0.35">
      <c r="A4415">
        <v>4414</v>
      </c>
      <c r="B4415" s="1">
        <v>45992</v>
      </c>
      <c r="C4415">
        <v>1979</v>
      </c>
      <c r="D4415" t="s">
        <v>22</v>
      </c>
      <c r="E4415" t="s">
        <v>33</v>
      </c>
      <c r="F4415" t="s">
        <v>34</v>
      </c>
      <c r="G4415">
        <v>4</v>
      </c>
      <c r="H4415">
        <v>13352</v>
      </c>
      <c r="I4415" t="s">
        <v>25</v>
      </c>
      <c r="J4415" t="s">
        <v>19</v>
      </c>
      <c r="K4415" t="s">
        <v>20</v>
      </c>
      <c r="L4415">
        <v>10</v>
      </c>
      <c r="M4415">
        <v>0</v>
      </c>
      <c r="N4415">
        <v>1</v>
      </c>
      <c r="O4415" t="s">
        <v>27</v>
      </c>
      <c r="P4415" t="str">
        <f>TEXT(Table1[[#This Row],[order_date]],"yyyy-mm")</f>
        <v>2025-12</v>
      </c>
      <c r="Q4415">
        <f>WEEKNUM(Table1[[#This Row],[order_date]])</f>
        <v>49</v>
      </c>
      <c r="R4415">
        <f>IF(Table1[[#This Row],[order_status]]="completed",1,0)</f>
        <v>1</v>
      </c>
    </row>
    <row r="4416" spans="1:18" x14ac:dyDescent="0.35">
      <c r="A4416">
        <v>4415</v>
      </c>
      <c r="B4416" s="1">
        <v>45971</v>
      </c>
      <c r="C4416">
        <v>1984</v>
      </c>
      <c r="D4416" t="s">
        <v>41</v>
      </c>
      <c r="E4416" t="s">
        <v>33</v>
      </c>
      <c r="F4416" t="s">
        <v>17</v>
      </c>
      <c r="G4416">
        <v>1</v>
      </c>
      <c r="H4416">
        <v>4359</v>
      </c>
      <c r="I4416" t="s">
        <v>18</v>
      </c>
      <c r="J4416" t="s">
        <v>19</v>
      </c>
      <c r="K4416" t="s">
        <v>38</v>
      </c>
      <c r="L4416">
        <v>1</v>
      </c>
      <c r="M4416">
        <v>1</v>
      </c>
      <c r="N4416">
        <v>0</v>
      </c>
      <c r="O4416" t="s">
        <v>27</v>
      </c>
      <c r="P4416" t="str">
        <f>TEXT(Table1[[#This Row],[order_date]],"yyyy-mm")</f>
        <v>2025-11</v>
      </c>
      <c r="Q4416">
        <f>WEEKNUM(Table1[[#This Row],[order_date]])</f>
        <v>46</v>
      </c>
      <c r="R4416">
        <f>IF(Table1[[#This Row],[order_status]]="completed",1,0)</f>
        <v>1</v>
      </c>
    </row>
    <row r="4417" spans="1:18" x14ac:dyDescent="0.35">
      <c r="A4417">
        <v>4416</v>
      </c>
      <c r="B4417" s="1">
        <v>46000</v>
      </c>
      <c r="C4417">
        <v>1316</v>
      </c>
      <c r="D4417" t="s">
        <v>32</v>
      </c>
      <c r="E4417" t="s">
        <v>16</v>
      </c>
      <c r="F4417" t="s">
        <v>34</v>
      </c>
      <c r="G4417">
        <v>3</v>
      </c>
      <c r="H4417">
        <v>9183</v>
      </c>
      <c r="I4417" t="s">
        <v>39</v>
      </c>
      <c r="J4417" t="s">
        <v>19</v>
      </c>
      <c r="K4417" t="s">
        <v>20</v>
      </c>
      <c r="L4417">
        <v>2</v>
      </c>
      <c r="M4417">
        <v>1</v>
      </c>
      <c r="N4417">
        <v>0</v>
      </c>
      <c r="O4417" t="s">
        <v>27</v>
      </c>
      <c r="P4417" t="str">
        <f>TEXT(Table1[[#This Row],[order_date]],"yyyy-mm")</f>
        <v>2025-12</v>
      </c>
      <c r="Q4417">
        <f>WEEKNUM(Table1[[#This Row],[order_date]])</f>
        <v>50</v>
      </c>
      <c r="R4417">
        <f>IF(Table1[[#This Row],[order_status]]="completed",1,0)</f>
        <v>1</v>
      </c>
    </row>
    <row r="4418" spans="1:18" x14ac:dyDescent="0.35">
      <c r="A4418">
        <v>4417</v>
      </c>
      <c r="B4418" s="1">
        <v>45859</v>
      </c>
      <c r="C4418">
        <v>1291</v>
      </c>
      <c r="D4418" t="s">
        <v>41</v>
      </c>
      <c r="E4418" t="s">
        <v>33</v>
      </c>
      <c r="F4418" t="s">
        <v>30</v>
      </c>
      <c r="G4418">
        <v>5</v>
      </c>
      <c r="H4418">
        <v>0</v>
      </c>
      <c r="I4418" t="s">
        <v>18</v>
      </c>
      <c r="J4418" t="s">
        <v>31</v>
      </c>
      <c r="K4418" t="s">
        <v>20</v>
      </c>
      <c r="L4418">
        <v>7</v>
      </c>
      <c r="M4418">
        <v>1</v>
      </c>
      <c r="N4418">
        <v>0</v>
      </c>
      <c r="O4418" t="s">
        <v>27</v>
      </c>
      <c r="P4418" t="str">
        <f>TEXT(Table1[[#This Row],[order_date]],"yyyy-mm")</f>
        <v>2025-07</v>
      </c>
      <c r="Q4418">
        <f>WEEKNUM(Table1[[#This Row],[order_date]])</f>
        <v>30</v>
      </c>
      <c r="R4418">
        <f>IF(Table1[[#This Row],[order_status]]="completed",1,0)</f>
        <v>0</v>
      </c>
    </row>
    <row r="4419" spans="1:18" x14ac:dyDescent="0.35">
      <c r="A4419">
        <v>4418</v>
      </c>
      <c r="B4419" s="1">
        <v>45943</v>
      </c>
      <c r="C4419">
        <v>1546</v>
      </c>
      <c r="D4419" t="s">
        <v>15</v>
      </c>
      <c r="E4419" t="s">
        <v>29</v>
      </c>
      <c r="F4419" t="s">
        <v>24</v>
      </c>
      <c r="G4419">
        <v>2</v>
      </c>
      <c r="H4419">
        <v>0</v>
      </c>
      <c r="I4419" t="s">
        <v>39</v>
      </c>
      <c r="J4419" t="s">
        <v>37</v>
      </c>
      <c r="K4419" t="s">
        <v>20</v>
      </c>
      <c r="L4419">
        <v>2</v>
      </c>
      <c r="M4419">
        <v>1</v>
      </c>
      <c r="N4419">
        <v>0</v>
      </c>
      <c r="O4419" t="s">
        <v>21</v>
      </c>
      <c r="P4419" t="str">
        <f>TEXT(Table1[[#This Row],[order_date]],"yyyy-mm")</f>
        <v>2025-10</v>
      </c>
      <c r="Q4419">
        <f>WEEKNUM(Table1[[#This Row],[order_date]])</f>
        <v>42</v>
      </c>
      <c r="R4419">
        <f>IF(Table1[[#This Row],[order_status]]="completed",1,0)</f>
        <v>0</v>
      </c>
    </row>
    <row r="4420" spans="1:18" x14ac:dyDescent="0.35">
      <c r="A4420">
        <v>4419</v>
      </c>
      <c r="B4420" s="1">
        <v>46002</v>
      </c>
      <c r="C4420">
        <v>1661</v>
      </c>
      <c r="D4420" t="s">
        <v>32</v>
      </c>
      <c r="E4420" t="s">
        <v>33</v>
      </c>
      <c r="F4420" t="s">
        <v>30</v>
      </c>
      <c r="G4420">
        <v>1</v>
      </c>
      <c r="H4420">
        <v>0</v>
      </c>
      <c r="I4420" t="s">
        <v>39</v>
      </c>
      <c r="J4420" t="s">
        <v>37</v>
      </c>
      <c r="K4420" t="s">
        <v>40</v>
      </c>
      <c r="L4420">
        <v>9</v>
      </c>
      <c r="M4420">
        <v>0</v>
      </c>
      <c r="N4420">
        <v>0</v>
      </c>
      <c r="O4420" t="s">
        <v>21</v>
      </c>
      <c r="P4420" t="str">
        <f>TEXT(Table1[[#This Row],[order_date]],"yyyy-mm")</f>
        <v>2025-12</v>
      </c>
      <c r="Q4420">
        <f>WEEKNUM(Table1[[#This Row],[order_date]])</f>
        <v>50</v>
      </c>
      <c r="R4420">
        <f>IF(Table1[[#This Row],[order_status]]="completed",1,0)</f>
        <v>0</v>
      </c>
    </row>
    <row r="4421" spans="1:18" x14ac:dyDescent="0.35">
      <c r="A4421">
        <v>4420</v>
      </c>
      <c r="B4421" s="1">
        <v>45866</v>
      </c>
      <c r="C4421">
        <v>1366</v>
      </c>
      <c r="D4421" t="s">
        <v>15</v>
      </c>
      <c r="E4421" t="s">
        <v>29</v>
      </c>
      <c r="F4421" t="s">
        <v>17</v>
      </c>
      <c r="G4421">
        <v>3</v>
      </c>
      <c r="H4421">
        <v>0</v>
      </c>
      <c r="I4421" t="s">
        <v>39</v>
      </c>
      <c r="J4421" t="s">
        <v>37</v>
      </c>
      <c r="K4421" t="s">
        <v>40</v>
      </c>
      <c r="L4421">
        <v>1</v>
      </c>
      <c r="M4421">
        <v>0</v>
      </c>
      <c r="N4421">
        <v>1</v>
      </c>
      <c r="O4421" t="s">
        <v>27</v>
      </c>
      <c r="P4421" t="str">
        <f>TEXT(Table1[[#This Row],[order_date]],"yyyy-mm")</f>
        <v>2025-07</v>
      </c>
      <c r="Q4421">
        <f>WEEKNUM(Table1[[#This Row],[order_date]])</f>
        <v>31</v>
      </c>
      <c r="R4421">
        <f>IF(Table1[[#This Row],[order_status]]="completed",1,0)</f>
        <v>0</v>
      </c>
    </row>
    <row r="4422" spans="1:18" x14ac:dyDescent="0.35">
      <c r="A4422">
        <v>4421</v>
      </c>
      <c r="B4422" s="1">
        <v>46001</v>
      </c>
      <c r="C4422">
        <v>1415</v>
      </c>
      <c r="D4422" t="s">
        <v>41</v>
      </c>
      <c r="E4422" t="s">
        <v>36</v>
      </c>
      <c r="F4422" t="s">
        <v>34</v>
      </c>
      <c r="G4422">
        <v>3</v>
      </c>
      <c r="H4422">
        <v>0</v>
      </c>
      <c r="I4422" t="s">
        <v>35</v>
      </c>
      <c r="J4422" t="s">
        <v>31</v>
      </c>
      <c r="K4422" t="s">
        <v>26</v>
      </c>
      <c r="L4422">
        <v>6</v>
      </c>
      <c r="M4422">
        <v>1</v>
      </c>
      <c r="N4422">
        <v>1</v>
      </c>
      <c r="O4422" t="s">
        <v>21</v>
      </c>
      <c r="P4422" t="str">
        <f>TEXT(Table1[[#This Row],[order_date]],"yyyy-mm")</f>
        <v>2025-12</v>
      </c>
      <c r="Q4422">
        <f>WEEKNUM(Table1[[#This Row],[order_date]])</f>
        <v>50</v>
      </c>
      <c r="R4422">
        <f>IF(Table1[[#This Row],[order_status]]="completed",1,0)</f>
        <v>0</v>
      </c>
    </row>
    <row r="4423" spans="1:18" x14ac:dyDescent="0.35">
      <c r="A4423">
        <v>4422</v>
      </c>
      <c r="B4423" s="1">
        <v>45882</v>
      </c>
      <c r="C4423">
        <v>1389</v>
      </c>
      <c r="D4423" t="s">
        <v>28</v>
      </c>
      <c r="E4423" t="s">
        <v>29</v>
      </c>
      <c r="F4423" t="s">
        <v>34</v>
      </c>
      <c r="G4423">
        <v>2</v>
      </c>
      <c r="H4423">
        <v>0</v>
      </c>
      <c r="I4423" t="s">
        <v>18</v>
      </c>
      <c r="J4423" t="s">
        <v>37</v>
      </c>
      <c r="K4423" t="s">
        <v>40</v>
      </c>
      <c r="L4423">
        <v>10</v>
      </c>
      <c r="M4423">
        <v>0</v>
      </c>
      <c r="N4423">
        <v>0</v>
      </c>
      <c r="O4423" t="s">
        <v>27</v>
      </c>
      <c r="P4423" t="str">
        <f>TEXT(Table1[[#This Row],[order_date]],"yyyy-mm")</f>
        <v>2025-08</v>
      </c>
      <c r="Q4423">
        <f>WEEKNUM(Table1[[#This Row],[order_date]])</f>
        <v>33</v>
      </c>
      <c r="R4423">
        <f>IF(Table1[[#This Row],[order_status]]="completed",1,0)</f>
        <v>0</v>
      </c>
    </row>
    <row r="4424" spans="1:18" x14ac:dyDescent="0.35">
      <c r="A4424">
        <v>4423</v>
      </c>
      <c r="B4424" s="1">
        <v>45912</v>
      </c>
      <c r="C4424">
        <v>1635</v>
      </c>
      <c r="D4424" t="s">
        <v>41</v>
      </c>
      <c r="E4424" t="s">
        <v>29</v>
      </c>
      <c r="F4424" t="s">
        <v>30</v>
      </c>
      <c r="G4424">
        <v>1</v>
      </c>
      <c r="H4424">
        <v>3699</v>
      </c>
      <c r="I4424" t="s">
        <v>25</v>
      </c>
      <c r="J4424" t="s">
        <v>19</v>
      </c>
      <c r="K4424" t="s">
        <v>40</v>
      </c>
      <c r="L4424">
        <v>4</v>
      </c>
      <c r="M4424">
        <v>0</v>
      </c>
      <c r="N4424">
        <v>1</v>
      </c>
      <c r="O4424" t="s">
        <v>27</v>
      </c>
      <c r="P4424" t="str">
        <f>TEXT(Table1[[#This Row],[order_date]],"yyyy-mm")</f>
        <v>2025-09</v>
      </c>
      <c r="Q4424">
        <f>WEEKNUM(Table1[[#This Row],[order_date]])</f>
        <v>37</v>
      </c>
      <c r="R4424">
        <f>IF(Table1[[#This Row],[order_status]]="completed",1,0)</f>
        <v>1</v>
      </c>
    </row>
    <row r="4425" spans="1:18" x14ac:dyDescent="0.35">
      <c r="A4425">
        <v>4424</v>
      </c>
      <c r="B4425" s="1">
        <v>45950</v>
      </c>
      <c r="C4425">
        <v>1099</v>
      </c>
      <c r="D4425" t="s">
        <v>28</v>
      </c>
      <c r="E4425" t="s">
        <v>29</v>
      </c>
      <c r="F4425" t="s">
        <v>17</v>
      </c>
      <c r="G4425">
        <v>3</v>
      </c>
      <c r="H4425">
        <v>0</v>
      </c>
      <c r="I4425" t="s">
        <v>25</v>
      </c>
      <c r="J4425" t="s">
        <v>37</v>
      </c>
      <c r="K4425" t="s">
        <v>38</v>
      </c>
      <c r="L4425">
        <v>7</v>
      </c>
      <c r="M4425">
        <v>0</v>
      </c>
      <c r="N4425">
        <v>1</v>
      </c>
      <c r="O4425" t="s">
        <v>21</v>
      </c>
      <c r="P4425" t="str">
        <f>TEXT(Table1[[#This Row],[order_date]],"yyyy-mm")</f>
        <v>2025-10</v>
      </c>
      <c r="Q4425">
        <f>WEEKNUM(Table1[[#This Row],[order_date]])</f>
        <v>43</v>
      </c>
      <c r="R4425">
        <f>IF(Table1[[#This Row],[order_status]]="completed",1,0)</f>
        <v>0</v>
      </c>
    </row>
    <row r="4426" spans="1:18" x14ac:dyDescent="0.35">
      <c r="A4426">
        <v>4425</v>
      </c>
      <c r="B4426" s="1">
        <v>45975</v>
      </c>
      <c r="C4426">
        <v>1335</v>
      </c>
      <c r="D4426" t="s">
        <v>41</v>
      </c>
      <c r="E4426" t="s">
        <v>29</v>
      </c>
      <c r="F4426" t="s">
        <v>30</v>
      </c>
      <c r="G4426">
        <v>1</v>
      </c>
      <c r="H4426">
        <v>0</v>
      </c>
      <c r="I4426" t="s">
        <v>39</v>
      </c>
      <c r="J4426" t="s">
        <v>31</v>
      </c>
      <c r="K4426" t="s">
        <v>38</v>
      </c>
      <c r="L4426">
        <v>6</v>
      </c>
      <c r="M4426">
        <v>1</v>
      </c>
      <c r="N4426">
        <v>0</v>
      </c>
      <c r="O4426" t="s">
        <v>27</v>
      </c>
      <c r="P4426" t="str">
        <f>TEXT(Table1[[#This Row],[order_date]],"yyyy-mm")</f>
        <v>2025-11</v>
      </c>
      <c r="Q4426">
        <f>WEEKNUM(Table1[[#This Row],[order_date]])</f>
        <v>46</v>
      </c>
      <c r="R4426">
        <f>IF(Table1[[#This Row],[order_status]]="completed",1,0)</f>
        <v>0</v>
      </c>
    </row>
    <row r="4427" spans="1:18" x14ac:dyDescent="0.35">
      <c r="A4427">
        <v>4426</v>
      </c>
      <c r="B4427" s="1">
        <v>45960</v>
      </c>
      <c r="C4427">
        <v>1474</v>
      </c>
      <c r="D4427" t="s">
        <v>41</v>
      </c>
      <c r="E4427" t="s">
        <v>16</v>
      </c>
      <c r="F4427" t="s">
        <v>30</v>
      </c>
      <c r="G4427">
        <v>3</v>
      </c>
      <c r="H4427">
        <v>0</v>
      </c>
      <c r="I4427" t="s">
        <v>25</v>
      </c>
      <c r="J4427" t="s">
        <v>31</v>
      </c>
      <c r="K4427" t="s">
        <v>26</v>
      </c>
      <c r="L4427">
        <v>3</v>
      </c>
      <c r="M4427">
        <v>0</v>
      </c>
      <c r="N4427">
        <v>0</v>
      </c>
      <c r="O4427" t="s">
        <v>27</v>
      </c>
      <c r="P4427" t="str">
        <f>TEXT(Table1[[#This Row],[order_date]],"yyyy-mm")</f>
        <v>2025-10</v>
      </c>
      <c r="Q4427">
        <f>WEEKNUM(Table1[[#This Row],[order_date]])</f>
        <v>44</v>
      </c>
      <c r="R4427">
        <f>IF(Table1[[#This Row],[order_status]]="completed",1,0)</f>
        <v>0</v>
      </c>
    </row>
    <row r="4428" spans="1:18" x14ac:dyDescent="0.35">
      <c r="A4428">
        <v>4427</v>
      </c>
      <c r="B4428" s="1">
        <v>45884</v>
      </c>
      <c r="C4428">
        <v>1557</v>
      </c>
      <c r="D4428" t="s">
        <v>22</v>
      </c>
      <c r="E4428" t="s">
        <v>23</v>
      </c>
      <c r="F4428" t="s">
        <v>24</v>
      </c>
      <c r="G4428">
        <v>2</v>
      </c>
      <c r="H4428">
        <v>0</v>
      </c>
      <c r="I4428" t="s">
        <v>35</v>
      </c>
      <c r="J4428" t="s">
        <v>31</v>
      </c>
      <c r="K4428" t="s">
        <v>20</v>
      </c>
      <c r="L4428">
        <v>10</v>
      </c>
      <c r="M4428">
        <v>0</v>
      </c>
      <c r="N4428">
        <v>1</v>
      </c>
      <c r="O4428" t="s">
        <v>21</v>
      </c>
      <c r="P4428" t="str">
        <f>TEXT(Table1[[#This Row],[order_date]],"yyyy-mm")</f>
        <v>2025-08</v>
      </c>
      <c r="Q4428">
        <f>WEEKNUM(Table1[[#This Row],[order_date]])</f>
        <v>33</v>
      </c>
      <c r="R4428">
        <f>IF(Table1[[#This Row],[order_status]]="completed",1,0)</f>
        <v>0</v>
      </c>
    </row>
    <row r="4429" spans="1:18" x14ac:dyDescent="0.35">
      <c r="A4429">
        <v>4428</v>
      </c>
      <c r="B4429" s="1">
        <v>45858</v>
      </c>
      <c r="C4429">
        <v>1435</v>
      </c>
      <c r="D4429" t="s">
        <v>32</v>
      </c>
      <c r="E4429" t="s">
        <v>36</v>
      </c>
      <c r="F4429" t="s">
        <v>17</v>
      </c>
      <c r="G4429">
        <v>4</v>
      </c>
      <c r="H4429">
        <v>0</v>
      </c>
      <c r="I4429" t="s">
        <v>39</v>
      </c>
      <c r="J4429" t="s">
        <v>37</v>
      </c>
      <c r="K4429" t="s">
        <v>20</v>
      </c>
      <c r="L4429">
        <v>4</v>
      </c>
      <c r="M4429">
        <v>0</v>
      </c>
      <c r="N4429">
        <v>0</v>
      </c>
      <c r="O4429" t="s">
        <v>27</v>
      </c>
      <c r="P4429" t="str">
        <f>TEXT(Table1[[#This Row],[order_date]],"yyyy-mm")</f>
        <v>2025-07</v>
      </c>
      <c r="Q4429">
        <f>WEEKNUM(Table1[[#This Row],[order_date]])</f>
        <v>30</v>
      </c>
      <c r="R4429">
        <f>IF(Table1[[#This Row],[order_status]]="completed",1,0)</f>
        <v>0</v>
      </c>
    </row>
    <row r="4430" spans="1:18" x14ac:dyDescent="0.35">
      <c r="A4430">
        <v>4429</v>
      </c>
      <c r="B4430" s="1">
        <v>45915</v>
      </c>
      <c r="C4430">
        <v>1631</v>
      </c>
      <c r="D4430" t="s">
        <v>32</v>
      </c>
      <c r="E4430" t="s">
        <v>23</v>
      </c>
      <c r="F4430" t="s">
        <v>34</v>
      </c>
      <c r="G4430">
        <v>1</v>
      </c>
      <c r="H4430">
        <v>0</v>
      </c>
      <c r="I4430" t="s">
        <v>35</v>
      </c>
      <c r="J4430" t="s">
        <v>37</v>
      </c>
      <c r="K4430" t="s">
        <v>20</v>
      </c>
      <c r="L4430">
        <v>1</v>
      </c>
      <c r="M4430">
        <v>0</v>
      </c>
      <c r="N4430">
        <v>0</v>
      </c>
      <c r="O4430" t="s">
        <v>21</v>
      </c>
      <c r="P4430" t="str">
        <f>TEXT(Table1[[#This Row],[order_date]],"yyyy-mm")</f>
        <v>2025-09</v>
      </c>
      <c r="Q4430">
        <f>WEEKNUM(Table1[[#This Row],[order_date]])</f>
        <v>38</v>
      </c>
      <c r="R4430">
        <f>IF(Table1[[#This Row],[order_status]]="completed",1,0)</f>
        <v>0</v>
      </c>
    </row>
    <row r="4431" spans="1:18" x14ac:dyDescent="0.35">
      <c r="A4431">
        <v>4430</v>
      </c>
      <c r="B4431" s="1">
        <v>45983</v>
      </c>
      <c r="C4431">
        <v>1317</v>
      </c>
      <c r="D4431" t="s">
        <v>41</v>
      </c>
      <c r="E4431" t="s">
        <v>33</v>
      </c>
      <c r="F4431" t="s">
        <v>24</v>
      </c>
      <c r="G4431">
        <v>2</v>
      </c>
      <c r="H4431">
        <v>5562</v>
      </c>
      <c r="I4431" t="s">
        <v>25</v>
      </c>
      <c r="J4431" t="s">
        <v>19</v>
      </c>
      <c r="K4431" t="s">
        <v>26</v>
      </c>
      <c r="L4431">
        <v>9</v>
      </c>
      <c r="M4431">
        <v>0</v>
      </c>
      <c r="N4431">
        <v>0</v>
      </c>
      <c r="O4431" t="s">
        <v>27</v>
      </c>
      <c r="P4431" t="str">
        <f>TEXT(Table1[[#This Row],[order_date]],"yyyy-mm")</f>
        <v>2025-11</v>
      </c>
      <c r="Q4431">
        <f>WEEKNUM(Table1[[#This Row],[order_date]])</f>
        <v>47</v>
      </c>
      <c r="R4431">
        <f>IF(Table1[[#This Row],[order_status]]="completed",1,0)</f>
        <v>1</v>
      </c>
    </row>
    <row r="4432" spans="1:18" x14ac:dyDescent="0.35">
      <c r="A4432">
        <v>4431</v>
      </c>
      <c r="B4432" s="1">
        <v>45959</v>
      </c>
      <c r="C4432">
        <v>1836</v>
      </c>
      <c r="D4432" t="s">
        <v>28</v>
      </c>
      <c r="E4432" t="s">
        <v>23</v>
      </c>
      <c r="F4432" t="s">
        <v>30</v>
      </c>
      <c r="G4432">
        <v>3</v>
      </c>
      <c r="H4432">
        <v>1341</v>
      </c>
      <c r="I4432" t="s">
        <v>25</v>
      </c>
      <c r="J4432" t="s">
        <v>19</v>
      </c>
      <c r="K4432" t="s">
        <v>26</v>
      </c>
      <c r="L4432">
        <v>9</v>
      </c>
      <c r="M4432">
        <v>0</v>
      </c>
      <c r="N4432">
        <v>0</v>
      </c>
      <c r="O4432" t="s">
        <v>21</v>
      </c>
      <c r="P4432" t="str">
        <f>TEXT(Table1[[#This Row],[order_date]],"yyyy-mm")</f>
        <v>2025-10</v>
      </c>
      <c r="Q4432">
        <f>WEEKNUM(Table1[[#This Row],[order_date]])</f>
        <v>44</v>
      </c>
      <c r="R4432">
        <f>IF(Table1[[#This Row],[order_status]]="completed",1,0)</f>
        <v>1</v>
      </c>
    </row>
    <row r="4433" spans="1:18" x14ac:dyDescent="0.35">
      <c r="A4433">
        <v>4432</v>
      </c>
      <c r="B4433" s="1">
        <v>46023</v>
      </c>
      <c r="C4433">
        <v>1414</v>
      </c>
      <c r="D4433" t="s">
        <v>41</v>
      </c>
      <c r="E4433" t="s">
        <v>29</v>
      </c>
      <c r="F4433" t="s">
        <v>17</v>
      </c>
      <c r="G4433">
        <v>5</v>
      </c>
      <c r="H4433">
        <v>0</v>
      </c>
      <c r="I4433" t="s">
        <v>39</v>
      </c>
      <c r="J4433" t="s">
        <v>31</v>
      </c>
      <c r="K4433" t="s">
        <v>20</v>
      </c>
      <c r="L4433">
        <v>5</v>
      </c>
      <c r="M4433">
        <v>1</v>
      </c>
      <c r="N4433">
        <v>0</v>
      </c>
      <c r="O4433" t="s">
        <v>21</v>
      </c>
      <c r="P4433" t="str">
        <f>TEXT(Table1[[#This Row],[order_date]],"yyyy-mm")</f>
        <v>2026-01</v>
      </c>
      <c r="Q4433">
        <f>WEEKNUM(Table1[[#This Row],[order_date]])</f>
        <v>1</v>
      </c>
      <c r="R4433">
        <f>IF(Table1[[#This Row],[order_status]]="completed",1,0)</f>
        <v>0</v>
      </c>
    </row>
    <row r="4434" spans="1:18" x14ac:dyDescent="0.35">
      <c r="A4434">
        <v>4433</v>
      </c>
      <c r="B4434" s="1">
        <v>46011</v>
      </c>
      <c r="C4434">
        <v>1791</v>
      </c>
      <c r="D4434" t="s">
        <v>41</v>
      </c>
      <c r="E4434" t="s">
        <v>16</v>
      </c>
      <c r="F4434" t="s">
        <v>17</v>
      </c>
      <c r="G4434">
        <v>1</v>
      </c>
      <c r="H4434">
        <v>0</v>
      </c>
      <c r="I4434" t="s">
        <v>39</v>
      </c>
      <c r="J4434" t="s">
        <v>31</v>
      </c>
      <c r="K4434" t="s">
        <v>20</v>
      </c>
      <c r="L4434">
        <v>8</v>
      </c>
      <c r="M4434">
        <v>0</v>
      </c>
      <c r="N4434">
        <v>1</v>
      </c>
      <c r="O4434" t="s">
        <v>27</v>
      </c>
      <c r="P4434" t="str">
        <f>TEXT(Table1[[#This Row],[order_date]],"yyyy-mm")</f>
        <v>2025-12</v>
      </c>
      <c r="Q4434">
        <f>WEEKNUM(Table1[[#This Row],[order_date]])</f>
        <v>51</v>
      </c>
      <c r="R4434">
        <f>IF(Table1[[#This Row],[order_status]]="completed",1,0)</f>
        <v>0</v>
      </c>
    </row>
    <row r="4435" spans="1:18" x14ac:dyDescent="0.35">
      <c r="A4435">
        <v>4434</v>
      </c>
      <c r="B4435" s="1">
        <v>45899</v>
      </c>
      <c r="C4435">
        <v>1586</v>
      </c>
      <c r="D4435" t="s">
        <v>41</v>
      </c>
      <c r="E4435" t="s">
        <v>33</v>
      </c>
      <c r="F4435" t="s">
        <v>17</v>
      </c>
      <c r="G4435">
        <v>3</v>
      </c>
      <c r="H4435">
        <v>0</v>
      </c>
      <c r="I4435" t="s">
        <v>35</v>
      </c>
      <c r="J4435" t="s">
        <v>37</v>
      </c>
      <c r="K4435" t="s">
        <v>20</v>
      </c>
      <c r="L4435">
        <v>2</v>
      </c>
      <c r="M4435">
        <v>1</v>
      </c>
      <c r="N4435">
        <v>0</v>
      </c>
      <c r="O4435" t="s">
        <v>27</v>
      </c>
      <c r="P4435" t="str">
        <f>TEXT(Table1[[#This Row],[order_date]],"yyyy-mm")</f>
        <v>2025-08</v>
      </c>
      <c r="Q4435">
        <f>WEEKNUM(Table1[[#This Row],[order_date]])</f>
        <v>35</v>
      </c>
      <c r="R4435">
        <f>IF(Table1[[#This Row],[order_status]]="completed",1,0)</f>
        <v>0</v>
      </c>
    </row>
    <row r="4436" spans="1:18" x14ac:dyDescent="0.35">
      <c r="A4436">
        <v>4435</v>
      </c>
      <c r="B4436" s="1">
        <v>45942</v>
      </c>
      <c r="C4436">
        <v>1904</v>
      </c>
      <c r="D4436" t="s">
        <v>41</v>
      </c>
      <c r="E4436" t="s">
        <v>16</v>
      </c>
      <c r="F4436" t="s">
        <v>30</v>
      </c>
      <c r="G4436">
        <v>1</v>
      </c>
      <c r="H4436">
        <v>0</v>
      </c>
      <c r="I4436" t="s">
        <v>18</v>
      </c>
      <c r="J4436" t="s">
        <v>37</v>
      </c>
      <c r="K4436" t="s">
        <v>38</v>
      </c>
      <c r="L4436">
        <v>2</v>
      </c>
      <c r="M4436">
        <v>0</v>
      </c>
      <c r="N4436">
        <v>1</v>
      </c>
      <c r="O4436" t="s">
        <v>27</v>
      </c>
      <c r="P4436" t="str">
        <f>TEXT(Table1[[#This Row],[order_date]],"yyyy-mm")</f>
        <v>2025-10</v>
      </c>
      <c r="Q4436">
        <f>WEEKNUM(Table1[[#This Row],[order_date]])</f>
        <v>42</v>
      </c>
      <c r="R4436">
        <f>IF(Table1[[#This Row],[order_status]]="completed",1,0)</f>
        <v>0</v>
      </c>
    </row>
    <row r="4437" spans="1:18" x14ac:dyDescent="0.35">
      <c r="A4437">
        <v>4436</v>
      </c>
      <c r="B4437" s="1">
        <v>45925</v>
      </c>
      <c r="C4437">
        <v>1649</v>
      </c>
      <c r="D4437" t="s">
        <v>41</v>
      </c>
      <c r="E4437" t="s">
        <v>36</v>
      </c>
      <c r="F4437" t="s">
        <v>30</v>
      </c>
      <c r="G4437">
        <v>4</v>
      </c>
      <c r="H4437">
        <v>0</v>
      </c>
      <c r="I4437" t="s">
        <v>25</v>
      </c>
      <c r="J4437" t="s">
        <v>31</v>
      </c>
      <c r="K4437" t="s">
        <v>38</v>
      </c>
      <c r="L4437">
        <v>1</v>
      </c>
      <c r="M4437">
        <v>0</v>
      </c>
      <c r="N4437">
        <v>0</v>
      </c>
      <c r="O4437" t="s">
        <v>27</v>
      </c>
      <c r="P4437" t="str">
        <f>TEXT(Table1[[#This Row],[order_date]],"yyyy-mm")</f>
        <v>2025-09</v>
      </c>
      <c r="Q4437">
        <f>WEEKNUM(Table1[[#This Row],[order_date]])</f>
        <v>39</v>
      </c>
      <c r="R4437">
        <f>IF(Table1[[#This Row],[order_status]]="completed",1,0)</f>
        <v>0</v>
      </c>
    </row>
    <row r="4438" spans="1:18" x14ac:dyDescent="0.35">
      <c r="A4438">
        <v>4437</v>
      </c>
      <c r="B4438" s="1">
        <v>45975</v>
      </c>
      <c r="C4438">
        <v>1360</v>
      </c>
      <c r="D4438" t="s">
        <v>15</v>
      </c>
      <c r="E4438" t="s">
        <v>36</v>
      </c>
      <c r="F4438" t="s">
        <v>30</v>
      </c>
      <c r="G4438">
        <v>2</v>
      </c>
      <c r="H4438">
        <v>0</v>
      </c>
      <c r="I4438" t="s">
        <v>39</v>
      </c>
      <c r="J4438" t="s">
        <v>37</v>
      </c>
      <c r="K4438" t="s">
        <v>20</v>
      </c>
      <c r="L4438">
        <v>6</v>
      </c>
      <c r="M4438">
        <v>1</v>
      </c>
      <c r="N4438">
        <v>0</v>
      </c>
      <c r="O4438" t="s">
        <v>27</v>
      </c>
      <c r="P4438" t="str">
        <f>TEXT(Table1[[#This Row],[order_date]],"yyyy-mm")</f>
        <v>2025-11</v>
      </c>
      <c r="Q4438">
        <f>WEEKNUM(Table1[[#This Row],[order_date]])</f>
        <v>46</v>
      </c>
      <c r="R4438">
        <f>IF(Table1[[#This Row],[order_status]]="completed",1,0)</f>
        <v>0</v>
      </c>
    </row>
    <row r="4439" spans="1:18" x14ac:dyDescent="0.35">
      <c r="A4439">
        <v>4438</v>
      </c>
      <c r="B4439" s="1">
        <v>45991</v>
      </c>
      <c r="C4439">
        <v>1826</v>
      </c>
      <c r="D4439" t="s">
        <v>28</v>
      </c>
      <c r="E4439" t="s">
        <v>23</v>
      </c>
      <c r="F4439" t="s">
        <v>17</v>
      </c>
      <c r="G4439">
        <v>4</v>
      </c>
      <c r="H4439">
        <v>0</v>
      </c>
      <c r="I4439" t="s">
        <v>18</v>
      </c>
      <c r="J4439" t="s">
        <v>37</v>
      </c>
      <c r="K4439" t="s">
        <v>40</v>
      </c>
      <c r="L4439">
        <v>5</v>
      </c>
      <c r="M4439">
        <v>0</v>
      </c>
      <c r="N4439">
        <v>1</v>
      </c>
      <c r="O4439" t="s">
        <v>21</v>
      </c>
      <c r="P4439" t="str">
        <f>TEXT(Table1[[#This Row],[order_date]],"yyyy-mm")</f>
        <v>2025-11</v>
      </c>
      <c r="Q4439">
        <f>WEEKNUM(Table1[[#This Row],[order_date]])</f>
        <v>49</v>
      </c>
      <c r="R4439">
        <f>IF(Table1[[#This Row],[order_status]]="completed",1,0)</f>
        <v>0</v>
      </c>
    </row>
    <row r="4440" spans="1:18" x14ac:dyDescent="0.35">
      <c r="A4440">
        <v>4439</v>
      </c>
      <c r="B4440" s="1">
        <v>45962</v>
      </c>
      <c r="C4440">
        <v>1753</v>
      </c>
      <c r="D4440" t="s">
        <v>32</v>
      </c>
      <c r="E4440" t="s">
        <v>23</v>
      </c>
      <c r="F4440" t="s">
        <v>30</v>
      </c>
      <c r="G4440">
        <v>2</v>
      </c>
      <c r="H4440">
        <v>5894</v>
      </c>
      <c r="I4440" t="s">
        <v>39</v>
      </c>
      <c r="J4440" t="s">
        <v>19</v>
      </c>
      <c r="K4440" t="s">
        <v>26</v>
      </c>
      <c r="L4440">
        <v>3</v>
      </c>
      <c r="M4440">
        <v>0</v>
      </c>
      <c r="N4440">
        <v>0</v>
      </c>
      <c r="O4440" t="s">
        <v>27</v>
      </c>
      <c r="P4440" t="str">
        <f>TEXT(Table1[[#This Row],[order_date]],"yyyy-mm")</f>
        <v>2025-11</v>
      </c>
      <c r="Q4440">
        <f>WEEKNUM(Table1[[#This Row],[order_date]])</f>
        <v>44</v>
      </c>
      <c r="R4440">
        <f>IF(Table1[[#This Row],[order_status]]="completed",1,0)</f>
        <v>1</v>
      </c>
    </row>
    <row r="4441" spans="1:18" x14ac:dyDescent="0.35">
      <c r="A4441">
        <v>4440</v>
      </c>
      <c r="B4441" s="1">
        <v>45927</v>
      </c>
      <c r="C4441">
        <v>1932</v>
      </c>
      <c r="D4441" t="s">
        <v>15</v>
      </c>
      <c r="E4441" t="s">
        <v>33</v>
      </c>
      <c r="F4441" t="s">
        <v>34</v>
      </c>
      <c r="G4441">
        <v>5</v>
      </c>
      <c r="H4441">
        <v>0</v>
      </c>
      <c r="I4441" t="s">
        <v>39</v>
      </c>
      <c r="J4441" t="s">
        <v>37</v>
      </c>
      <c r="K4441" t="s">
        <v>20</v>
      </c>
      <c r="L4441">
        <v>2</v>
      </c>
      <c r="M4441">
        <v>1</v>
      </c>
      <c r="N4441">
        <v>1</v>
      </c>
      <c r="O4441" t="s">
        <v>27</v>
      </c>
      <c r="P4441" t="str">
        <f>TEXT(Table1[[#This Row],[order_date]],"yyyy-mm")</f>
        <v>2025-09</v>
      </c>
      <c r="Q4441">
        <f>WEEKNUM(Table1[[#This Row],[order_date]])</f>
        <v>39</v>
      </c>
      <c r="R4441">
        <f>IF(Table1[[#This Row],[order_status]]="completed",1,0)</f>
        <v>0</v>
      </c>
    </row>
    <row r="4442" spans="1:18" x14ac:dyDescent="0.35">
      <c r="A4442">
        <v>4441</v>
      </c>
      <c r="B4442" s="1">
        <v>45936</v>
      </c>
      <c r="C4442">
        <v>1658</v>
      </c>
      <c r="D4442" t="s">
        <v>22</v>
      </c>
      <c r="E4442" t="s">
        <v>23</v>
      </c>
      <c r="F4442" t="s">
        <v>30</v>
      </c>
      <c r="G4442">
        <v>4</v>
      </c>
      <c r="H4442">
        <v>0</v>
      </c>
      <c r="I4442" t="s">
        <v>18</v>
      </c>
      <c r="J4442" t="s">
        <v>37</v>
      </c>
      <c r="K4442" t="s">
        <v>40</v>
      </c>
      <c r="L4442">
        <v>6</v>
      </c>
      <c r="M4442">
        <v>1</v>
      </c>
      <c r="N4442">
        <v>0</v>
      </c>
      <c r="O4442" t="s">
        <v>27</v>
      </c>
      <c r="P4442" t="str">
        <f>TEXT(Table1[[#This Row],[order_date]],"yyyy-mm")</f>
        <v>2025-10</v>
      </c>
      <c r="Q4442">
        <f>WEEKNUM(Table1[[#This Row],[order_date]])</f>
        <v>41</v>
      </c>
      <c r="R4442">
        <f>IF(Table1[[#This Row],[order_status]]="completed",1,0)</f>
        <v>0</v>
      </c>
    </row>
    <row r="4443" spans="1:18" x14ac:dyDescent="0.35">
      <c r="A4443">
        <v>4442</v>
      </c>
      <c r="B4443" s="1">
        <v>46018</v>
      </c>
      <c r="C4443">
        <v>1917</v>
      </c>
      <c r="D4443" t="s">
        <v>22</v>
      </c>
      <c r="E4443" t="s">
        <v>23</v>
      </c>
      <c r="F4443" t="s">
        <v>24</v>
      </c>
      <c r="G4443">
        <v>2</v>
      </c>
      <c r="H4443">
        <v>0</v>
      </c>
      <c r="I4443" t="s">
        <v>39</v>
      </c>
      <c r="J4443" t="s">
        <v>31</v>
      </c>
      <c r="K4443" t="s">
        <v>38</v>
      </c>
      <c r="L4443">
        <v>6</v>
      </c>
      <c r="M4443">
        <v>1</v>
      </c>
      <c r="N4443">
        <v>1</v>
      </c>
      <c r="O4443" t="s">
        <v>27</v>
      </c>
      <c r="P4443" t="str">
        <f>TEXT(Table1[[#This Row],[order_date]],"yyyy-mm")</f>
        <v>2025-12</v>
      </c>
      <c r="Q4443">
        <f>WEEKNUM(Table1[[#This Row],[order_date]])</f>
        <v>52</v>
      </c>
      <c r="R4443">
        <f>IF(Table1[[#This Row],[order_status]]="completed",1,0)</f>
        <v>0</v>
      </c>
    </row>
    <row r="4444" spans="1:18" x14ac:dyDescent="0.35">
      <c r="A4444">
        <v>4443</v>
      </c>
      <c r="B4444" s="1">
        <v>45879</v>
      </c>
      <c r="C4444">
        <v>1146</v>
      </c>
      <c r="D4444" t="s">
        <v>32</v>
      </c>
      <c r="E4444" t="s">
        <v>23</v>
      </c>
      <c r="F4444" t="s">
        <v>24</v>
      </c>
      <c r="G4444">
        <v>5</v>
      </c>
      <c r="H4444">
        <v>0</v>
      </c>
      <c r="I4444" t="s">
        <v>39</v>
      </c>
      <c r="J4444" t="s">
        <v>37</v>
      </c>
      <c r="K4444" t="s">
        <v>20</v>
      </c>
      <c r="L4444">
        <v>7</v>
      </c>
      <c r="M4444">
        <v>1</v>
      </c>
      <c r="N4444">
        <v>0</v>
      </c>
      <c r="O4444" t="s">
        <v>27</v>
      </c>
      <c r="P4444" t="str">
        <f>TEXT(Table1[[#This Row],[order_date]],"yyyy-mm")</f>
        <v>2025-08</v>
      </c>
      <c r="Q4444">
        <f>WEEKNUM(Table1[[#This Row],[order_date]])</f>
        <v>33</v>
      </c>
      <c r="R4444">
        <f>IF(Table1[[#This Row],[order_status]]="completed",1,0)</f>
        <v>0</v>
      </c>
    </row>
    <row r="4445" spans="1:18" x14ac:dyDescent="0.35">
      <c r="A4445">
        <v>4444</v>
      </c>
      <c r="B4445" s="1">
        <v>45865</v>
      </c>
      <c r="C4445">
        <v>1817</v>
      </c>
      <c r="D4445" t="s">
        <v>22</v>
      </c>
      <c r="E4445" t="s">
        <v>16</v>
      </c>
      <c r="F4445" t="s">
        <v>17</v>
      </c>
      <c r="G4445">
        <v>2</v>
      </c>
      <c r="H4445">
        <v>0</v>
      </c>
      <c r="I4445" t="s">
        <v>25</v>
      </c>
      <c r="J4445" t="s">
        <v>37</v>
      </c>
      <c r="K4445" t="s">
        <v>20</v>
      </c>
      <c r="L4445">
        <v>9</v>
      </c>
      <c r="M4445">
        <v>0</v>
      </c>
      <c r="N4445">
        <v>0</v>
      </c>
      <c r="O4445" t="s">
        <v>27</v>
      </c>
      <c r="P4445" t="str">
        <f>TEXT(Table1[[#This Row],[order_date]],"yyyy-mm")</f>
        <v>2025-07</v>
      </c>
      <c r="Q4445">
        <f>WEEKNUM(Table1[[#This Row],[order_date]])</f>
        <v>31</v>
      </c>
      <c r="R4445">
        <f>IF(Table1[[#This Row],[order_status]]="completed",1,0)</f>
        <v>0</v>
      </c>
    </row>
    <row r="4446" spans="1:18" x14ac:dyDescent="0.35">
      <c r="A4446">
        <v>4445</v>
      </c>
      <c r="B4446" s="1">
        <v>45903</v>
      </c>
      <c r="C4446">
        <v>1021</v>
      </c>
      <c r="D4446" t="s">
        <v>32</v>
      </c>
      <c r="E4446" t="s">
        <v>29</v>
      </c>
      <c r="F4446" t="s">
        <v>17</v>
      </c>
      <c r="G4446">
        <v>4</v>
      </c>
      <c r="H4446">
        <v>15632</v>
      </c>
      <c r="I4446" t="s">
        <v>35</v>
      </c>
      <c r="J4446" t="s">
        <v>19</v>
      </c>
      <c r="K4446" t="s">
        <v>20</v>
      </c>
      <c r="L4446">
        <v>6</v>
      </c>
      <c r="M4446">
        <v>1</v>
      </c>
      <c r="N4446">
        <v>1</v>
      </c>
      <c r="O4446" t="s">
        <v>21</v>
      </c>
      <c r="P4446" t="str">
        <f>TEXT(Table1[[#This Row],[order_date]],"yyyy-mm")</f>
        <v>2025-09</v>
      </c>
      <c r="Q4446">
        <f>WEEKNUM(Table1[[#This Row],[order_date]])</f>
        <v>36</v>
      </c>
      <c r="R4446">
        <f>IF(Table1[[#This Row],[order_status]]="completed",1,0)</f>
        <v>1</v>
      </c>
    </row>
    <row r="4447" spans="1:18" x14ac:dyDescent="0.35">
      <c r="A4447">
        <v>4446</v>
      </c>
      <c r="B4447" s="1">
        <v>45903</v>
      </c>
      <c r="C4447">
        <v>1023</v>
      </c>
      <c r="D4447" t="s">
        <v>41</v>
      </c>
      <c r="E4447" t="s">
        <v>29</v>
      </c>
      <c r="F4447" t="s">
        <v>30</v>
      </c>
      <c r="G4447">
        <v>2</v>
      </c>
      <c r="H4447">
        <v>0</v>
      </c>
      <c r="I4447" t="s">
        <v>39</v>
      </c>
      <c r="J4447" t="s">
        <v>37</v>
      </c>
      <c r="K4447" t="s">
        <v>40</v>
      </c>
      <c r="L4447">
        <v>4</v>
      </c>
      <c r="M4447">
        <v>0</v>
      </c>
      <c r="N4447">
        <v>1</v>
      </c>
      <c r="O4447" t="s">
        <v>27</v>
      </c>
      <c r="P4447" t="str">
        <f>TEXT(Table1[[#This Row],[order_date]],"yyyy-mm")</f>
        <v>2025-09</v>
      </c>
      <c r="Q4447">
        <f>WEEKNUM(Table1[[#This Row],[order_date]])</f>
        <v>36</v>
      </c>
      <c r="R4447">
        <f>IF(Table1[[#This Row],[order_status]]="completed",1,0)</f>
        <v>0</v>
      </c>
    </row>
    <row r="4448" spans="1:18" x14ac:dyDescent="0.35">
      <c r="A4448">
        <v>4447</v>
      </c>
      <c r="B4448" s="1">
        <v>45962</v>
      </c>
      <c r="C4448">
        <v>1739</v>
      </c>
      <c r="D4448" t="s">
        <v>32</v>
      </c>
      <c r="E4448" t="s">
        <v>16</v>
      </c>
      <c r="F4448" t="s">
        <v>24</v>
      </c>
      <c r="G4448">
        <v>1</v>
      </c>
      <c r="H4448">
        <v>2736</v>
      </c>
      <c r="I4448" t="s">
        <v>25</v>
      </c>
      <c r="J4448" t="s">
        <v>19</v>
      </c>
      <c r="K4448" t="s">
        <v>20</v>
      </c>
      <c r="L4448">
        <v>2</v>
      </c>
      <c r="M4448">
        <v>0</v>
      </c>
      <c r="N4448">
        <v>0</v>
      </c>
      <c r="O4448" t="s">
        <v>27</v>
      </c>
      <c r="P4448" t="str">
        <f>TEXT(Table1[[#This Row],[order_date]],"yyyy-mm")</f>
        <v>2025-11</v>
      </c>
      <c r="Q4448">
        <f>WEEKNUM(Table1[[#This Row],[order_date]])</f>
        <v>44</v>
      </c>
      <c r="R4448">
        <f>IF(Table1[[#This Row],[order_status]]="completed",1,0)</f>
        <v>1</v>
      </c>
    </row>
    <row r="4449" spans="1:18" x14ac:dyDescent="0.35">
      <c r="A4449">
        <v>4448</v>
      </c>
      <c r="B4449" s="1">
        <v>46005</v>
      </c>
      <c r="C4449">
        <v>1775</v>
      </c>
      <c r="D4449" t="s">
        <v>32</v>
      </c>
      <c r="E4449" t="s">
        <v>16</v>
      </c>
      <c r="F4449" t="s">
        <v>30</v>
      </c>
      <c r="G4449">
        <v>2</v>
      </c>
      <c r="H4449">
        <v>0</v>
      </c>
      <c r="I4449" t="s">
        <v>35</v>
      </c>
      <c r="J4449" t="s">
        <v>37</v>
      </c>
      <c r="K4449" t="s">
        <v>26</v>
      </c>
      <c r="L4449">
        <v>10</v>
      </c>
      <c r="M4449">
        <v>0</v>
      </c>
      <c r="N4449">
        <v>1</v>
      </c>
      <c r="O4449" t="s">
        <v>27</v>
      </c>
      <c r="P4449" t="str">
        <f>TEXT(Table1[[#This Row],[order_date]],"yyyy-mm")</f>
        <v>2025-12</v>
      </c>
      <c r="Q4449">
        <f>WEEKNUM(Table1[[#This Row],[order_date]])</f>
        <v>51</v>
      </c>
      <c r="R4449">
        <f>IF(Table1[[#This Row],[order_status]]="completed",1,0)</f>
        <v>0</v>
      </c>
    </row>
    <row r="4450" spans="1:18" x14ac:dyDescent="0.35">
      <c r="A4450">
        <v>4449</v>
      </c>
      <c r="B4450" s="1">
        <v>46007</v>
      </c>
      <c r="C4450">
        <v>1159</v>
      </c>
      <c r="D4450" t="s">
        <v>22</v>
      </c>
      <c r="E4450" t="s">
        <v>33</v>
      </c>
      <c r="F4450" t="s">
        <v>30</v>
      </c>
      <c r="G4450">
        <v>5</v>
      </c>
      <c r="H4450">
        <v>0</v>
      </c>
      <c r="I4450" t="s">
        <v>25</v>
      </c>
      <c r="J4450" t="s">
        <v>37</v>
      </c>
      <c r="K4450" t="s">
        <v>40</v>
      </c>
      <c r="L4450">
        <v>4</v>
      </c>
      <c r="M4450">
        <v>1</v>
      </c>
      <c r="N4450">
        <v>0</v>
      </c>
      <c r="O4450" t="s">
        <v>21</v>
      </c>
      <c r="P4450" t="str">
        <f>TEXT(Table1[[#This Row],[order_date]],"yyyy-mm")</f>
        <v>2025-12</v>
      </c>
      <c r="Q4450">
        <f>WEEKNUM(Table1[[#This Row],[order_date]])</f>
        <v>51</v>
      </c>
      <c r="R4450">
        <f>IF(Table1[[#This Row],[order_status]]="completed",1,0)</f>
        <v>0</v>
      </c>
    </row>
    <row r="4451" spans="1:18" x14ac:dyDescent="0.35">
      <c r="A4451">
        <v>4450</v>
      </c>
      <c r="B4451" s="1">
        <v>45945</v>
      </c>
      <c r="C4451">
        <v>1212</v>
      </c>
      <c r="D4451" t="s">
        <v>41</v>
      </c>
      <c r="E4451" t="s">
        <v>16</v>
      </c>
      <c r="F4451" t="s">
        <v>17</v>
      </c>
      <c r="G4451">
        <v>4</v>
      </c>
      <c r="H4451">
        <v>0</v>
      </c>
      <c r="I4451" t="s">
        <v>18</v>
      </c>
      <c r="J4451" t="s">
        <v>37</v>
      </c>
      <c r="K4451" t="s">
        <v>40</v>
      </c>
      <c r="L4451">
        <v>10</v>
      </c>
      <c r="M4451">
        <v>1</v>
      </c>
      <c r="N4451">
        <v>1</v>
      </c>
      <c r="O4451" t="s">
        <v>21</v>
      </c>
      <c r="P4451" t="str">
        <f>TEXT(Table1[[#This Row],[order_date]],"yyyy-mm")</f>
        <v>2025-10</v>
      </c>
      <c r="Q4451">
        <f>WEEKNUM(Table1[[#This Row],[order_date]])</f>
        <v>42</v>
      </c>
      <c r="R4451">
        <f>IF(Table1[[#This Row],[order_status]]="completed",1,0)</f>
        <v>0</v>
      </c>
    </row>
    <row r="4452" spans="1:18" x14ac:dyDescent="0.35">
      <c r="A4452">
        <v>4451</v>
      </c>
      <c r="B4452" s="1">
        <v>45935</v>
      </c>
      <c r="C4452">
        <v>1147</v>
      </c>
      <c r="D4452" t="s">
        <v>28</v>
      </c>
      <c r="E4452" t="s">
        <v>36</v>
      </c>
      <c r="F4452" t="s">
        <v>34</v>
      </c>
      <c r="G4452">
        <v>5</v>
      </c>
      <c r="H4452">
        <v>0</v>
      </c>
      <c r="I4452" t="s">
        <v>25</v>
      </c>
      <c r="J4452" t="s">
        <v>37</v>
      </c>
      <c r="K4452" t="s">
        <v>20</v>
      </c>
      <c r="L4452">
        <v>6</v>
      </c>
      <c r="M4452">
        <v>0</v>
      </c>
      <c r="N4452">
        <v>1</v>
      </c>
      <c r="O4452" t="s">
        <v>27</v>
      </c>
      <c r="P4452" t="str">
        <f>TEXT(Table1[[#This Row],[order_date]],"yyyy-mm")</f>
        <v>2025-10</v>
      </c>
      <c r="Q4452">
        <f>WEEKNUM(Table1[[#This Row],[order_date]])</f>
        <v>41</v>
      </c>
      <c r="R4452">
        <f>IF(Table1[[#This Row],[order_status]]="completed",1,0)</f>
        <v>0</v>
      </c>
    </row>
    <row r="4453" spans="1:18" x14ac:dyDescent="0.35">
      <c r="A4453">
        <v>4452</v>
      </c>
      <c r="B4453" s="1">
        <v>45901</v>
      </c>
      <c r="C4453">
        <v>1655</v>
      </c>
      <c r="D4453" t="s">
        <v>15</v>
      </c>
      <c r="E4453" t="s">
        <v>29</v>
      </c>
      <c r="F4453" t="s">
        <v>34</v>
      </c>
      <c r="G4453">
        <v>5</v>
      </c>
      <c r="H4453">
        <v>0</v>
      </c>
      <c r="I4453" t="s">
        <v>39</v>
      </c>
      <c r="J4453" t="s">
        <v>37</v>
      </c>
      <c r="K4453" t="s">
        <v>40</v>
      </c>
      <c r="L4453">
        <v>9</v>
      </c>
      <c r="M4453">
        <v>0</v>
      </c>
      <c r="N4453">
        <v>1</v>
      </c>
      <c r="O4453" t="s">
        <v>27</v>
      </c>
      <c r="P4453" t="str">
        <f>TEXT(Table1[[#This Row],[order_date]],"yyyy-mm")</f>
        <v>2025-09</v>
      </c>
      <c r="Q4453">
        <f>WEEKNUM(Table1[[#This Row],[order_date]])</f>
        <v>36</v>
      </c>
      <c r="R4453">
        <f>IF(Table1[[#This Row],[order_status]]="completed",1,0)</f>
        <v>0</v>
      </c>
    </row>
    <row r="4454" spans="1:18" x14ac:dyDescent="0.35">
      <c r="A4454">
        <v>4453</v>
      </c>
      <c r="B4454" s="1">
        <v>45933</v>
      </c>
      <c r="C4454">
        <v>1349</v>
      </c>
      <c r="D4454" t="s">
        <v>15</v>
      </c>
      <c r="E4454" t="s">
        <v>33</v>
      </c>
      <c r="F4454" t="s">
        <v>34</v>
      </c>
      <c r="G4454">
        <v>3</v>
      </c>
      <c r="H4454">
        <v>0</v>
      </c>
      <c r="I4454" t="s">
        <v>18</v>
      </c>
      <c r="J4454" t="s">
        <v>31</v>
      </c>
      <c r="K4454" t="s">
        <v>40</v>
      </c>
      <c r="L4454">
        <v>6</v>
      </c>
      <c r="M4454">
        <v>0</v>
      </c>
      <c r="N4454">
        <v>0</v>
      </c>
      <c r="O4454" t="s">
        <v>21</v>
      </c>
      <c r="P4454" t="str">
        <f>TEXT(Table1[[#This Row],[order_date]],"yyyy-mm")</f>
        <v>2025-10</v>
      </c>
      <c r="Q4454">
        <f>WEEKNUM(Table1[[#This Row],[order_date]])</f>
        <v>40</v>
      </c>
      <c r="R4454">
        <f>IF(Table1[[#This Row],[order_status]]="completed",1,0)</f>
        <v>0</v>
      </c>
    </row>
    <row r="4455" spans="1:18" x14ac:dyDescent="0.35">
      <c r="A4455">
        <v>4454</v>
      </c>
      <c r="B4455" s="1">
        <v>45866</v>
      </c>
      <c r="C4455">
        <v>1858</v>
      </c>
      <c r="D4455" t="s">
        <v>15</v>
      </c>
      <c r="E4455" t="s">
        <v>23</v>
      </c>
      <c r="F4455" t="s">
        <v>34</v>
      </c>
      <c r="G4455">
        <v>5</v>
      </c>
      <c r="H4455">
        <v>0</v>
      </c>
      <c r="I4455" t="s">
        <v>39</v>
      </c>
      <c r="J4455" t="s">
        <v>31</v>
      </c>
      <c r="K4455" t="s">
        <v>20</v>
      </c>
      <c r="L4455">
        <v>3</v>
      </c>
      <c r="M4455">
        <v>1</v>
      </c>
      <c r="N4455">
        <v>0</v>
      </c>
      <c r="O4455" t="s">
        <v>21</v>
      </c>
      <c r="P4455" t="str">
        <f>TEXT(Table1[[#This Row],[order_date]],"yyyy-mm")</f>
        <v>2025-07</v>
      </c>
      <c r="Q4455">
        <f>WEEKNUM(Table1[[#This Row],[order_date]])</f>
        <v>31</v>
      </c>
      <c r="R4455">
        <f>IF(Table1[[#This Row],[order_status]]="completed",1,0)</f>
        <v>0</v>
      </c>
    </row>
    <row r="4456" spans="1:18" x14ac:dyDescent="0.35">
      <c r="A4456">
        <v>4455</v>
      </c>
      <c r="B4456" s="1">
        <v>46029</v>
      </c>
      <c r="C4456">
        <v>1697</v>
      </c>
      <c r="D4456" t="s">
        <v>28</v>
      </c>
      <c r="E4456" t="s">
        <v>23</v>
      </c>
      <c r="F4456" t="s">
        <v>30</v>
      </c>
      <c r="G4456">
        <v>5</v>
      </c>
      <c r="H4456">
        <v>14070</v>
      </c>
      <c r="I4456" t="s">
        <v>25</v>
      </c>
      <c r="J4456" t="s">
        <v>19</v>
      </c>
      <c r="K4456" t="s">
        <v>40</v>
      </c>
      <c r="L4456">
        <v>6</v>
      </c>
      <c r="M4456">
        <v>1</v>
      </c>
      <c r="N4456">
        <v>0</v>
      </c>
      <c r="O4456" t="s">
        <v>21</v>
      </c>
      <c r="P4456" t="str">
        <f>TEXT(Table1[[#This Row],[order_date]],"yyyy-mm")</f>
        <v>2026-01</v>
      </c>
      <c r="Q4456">
        <f>WEEKNUM(Table1[[#This Row],[order_date]])</f>
        <v>2</v>
      </c>
      <c r="R4456">
        <f>IF(Table1[[#This Row],[order_status]]="completed",1,0)</f>
        <v>1</v>
      </c>
    </row>
    <row r="4457" spans="1:18" x14ac:dyDescent="0.35">
      <c r="A4457">
        <v>4456</v>
      </c>
      <c r="B4457" s="1">
        <v>45936</v>
      </c>
      <c r="C4457">
        <v>1578</v>
      </c>
      <c r="D4457" t="s">
        <v>22</v>
      </c>
      <c r="E4457" t="s">
        <v>33</v>
      </c>
      <c r="F4457" t="s">
        <v>34</v>
      </c>
      <c r="G4457">
        <v>5</v>
      </c>
      <c r="H4457">
        <v>0</v>
      </c>
      <c r="I4457" t="s">
        <v>18</v>
      </c>
      <c r="J4457" t="s">
        <v>31</v>
      </c>
      <c r="K4457" t="s">
        <v>38</v>
      </c>
      <c r="L4457">
        <v>4</v>
      </c>
      <c r="M4457">
        <v>0</v>
      </c>
      <c r="N4457">
        <v>1</v>
      </c>
      <c r="O4457" t="s">
        <v>27</v>
      </c>
      <c r="P4457" t="str">
        <f>TEXT(Table1[[#This Row],[order_date]],"yyyy-mm")</f>
        <v>2025-10</v>
      </c>
      <c r="Q4457">
        <f>WEEKNUM(Table1[[#This Row],[order_date]])</f>
        <v>41</v>
      </c>
      <c r="R4457">
        <f>IF(Table1[[#This Row],[order_status]]="completed",1,0)</f>
        <v>0</v>
      </c>
    </row>
    <row r="4458" spans="1:18" x14ac:dyDescent="0.35">
      <c r="A4458">
        <v>4457</v>
      </c>
      <c r="B4458" s="1">
        <v>45951</v>
      </c>
      <c r="C4458">
        <v>1176</v>
      </c>
      <c r="D4458" t="s">
        <v>22</v>
      </c>
      <c r="E4458" t="s">
        <v>23</v>
      </c>
      <c r="F4458" t="s">
        <v>34</v>
      </c>
      <c r="G4458">
        <v>3</v>
      </c>
      <c r="H4458">
        <v>0</v>
      </c>
      <c r="I4458" t="s">
        <v>39</v>
      </c>
      <c r="J4458" t="s">
        <v>31</v>
      </c>
      <c r="K4458" t="s">
        <v>26</v>
      </c>
      <c r="L4458">
        <v>3</v>
      </c>
      <c r="M4458">
        <v>1</v>
      </c>
      <c r="N4458">
        <v>0</v>
      </c>
      <c r="O4458" t="s">
        <v>21</v>
      </c>
      <c r="P4458" t="str">
        <f>TEXT(Table1[[#This Row],[order_date]],"yyyy-mm")</f>
        <v>2025-10</v>
      </c>
      <c r="Q4458">
        <f>WEEKNUM(Table1[[#This Row],[order_date]])</f>
        <v>43</v>
      </c>
      <c r="R4458">
        <f>IF(Table1[[#This Row],[order_status]]="completed",1,0)</f>
        <v>0</v>
      </c>
    </row>
    <row r="4459" spans="1:18" x14ac:dyDescent="0.35">
      <c r="A4459">
        <v>4458</v>
      </c>
      <c r="B4459" s="1">
        <v>45931</v>
      </c>
      <c r="C4459">
        <v>1247</v>
      </c>
      <c r="D4459" t="s">
        <v>22</v>
      </c>
      <c r="E4459" t="s">
        <v>29</v>
      </c>
      <c r="F4459" t="s">
        <v>24</v>
      </c>
      <c r="G4459">
        <v>2</v>
      </c>
      <c r="H4459">
        <v>0</v>
      </c>
      <c r="I4459" t="s">
        <v>39</v>
      </c>
      <c r="J4459" t="s">
        <v>37</v>
      </c>
      <c r="K4459" t="s">
        <v>26</v>
      </c>
      <c r="L4459">
        <v>9</v>
      </c>
      <c r="M4459">
        <v>1</v>
      </c>
      <c r="N4459">
        <v>1</v>
      </c>
      <c r="O4459" t="s">
        <v>21</v>
      </c>
      <c r="P4459" t="str">
        <f>TEXT(Table1[[#This Row],[order_date]],"yyyy-mm")</f>
        <v>2025-10</v>
      </c>
      <c r="Q4459">
        <f>WEEKNUM(Table1[[#This Row],[order_date]])</f>
        <v>40</v>
      </c>
      <c r="R4459">
        <f>IF(Table1[[#This Row],[order_status]]="completed",1,0)</f>
        <v>0</v>
      </c>
    </row>
    <row r="4460" spans="1:18" x14ac:dyDescent="0.35">
      <c r="A4460">
        <v>4459</v>
      </c>
      <c r="B4460" s="1">
        <v>46008</v>
      </c>
      <c r="C4460">
        <v>1356</v>
      </c>
      <c r="D4460" t="s">
        <v>15</v>
      </c>
      <c r="E4460" t="s">
        <v>36</v>
      </c>
      <c r="F4460" t="s">
        <v>30</v>
      </c>
      <c r="G4460">
        <v>1</v>
      </c>
      <c r="H4460">
        <v>0</v>
      </c>
      <c r="I4460" t="s">
        <v>25</v>
      </c>
      <c r="J4460" t="s">
        <v>31</v>
      </c>
      <c r="K4460" t="s">
        <v>26</v>
      </c>
      <c r="L4460">
        <v>5</v>
      </c>
      <c r="M4460">
        <v>0</v>
      </c>
      <c r="N4460">
        <v>0</v>
      </c>
      <c r="O4460" t="s">
        <v>27</v>
      </c>
      <c r="P4460" t="str">
        <f>TEXT(Table1[[#This Row],[order_date]],"yyyy-mm")</f>
        <v>2025-12</v>
      </c>
      <c r="Q4460">
        <f>WEEKNUM(Table1[[#This Row],[order_date]])</f>
        <v>51</v>
      </c>
      <c r="R4460">
        <f>IF(Table1[[#This Row],[order_status]]="completed",1,0)</f>
        <v>0</v>
      </c>
    </row>
    <row r="4461" spans="1:18" x14ac:dyDescent="0.35">
      <c r="A4461">
        <v>4460</v>
      </c>
      <c r="B4461" s="1">
        <v>45992</v>
      </c>
      <c r="C4461">
        <v>1854</v>
      </c>
      <c r="D4461" t="s">
        <v>28</v>
      </c>
      <c r="E4461" t="s">
        <v>29</v>
      </c>
      <c r="F4461" t="s">
        <v>17</v>
      </c>
      <c r="G4461">
        <v>3</v>
      </c>
      <c r="H4461">
        <v>0</v>
      </c>
      <c r="I4461" t="s">
        <v>35</v>
      </c>
      <c r="J4461" t="s">
        <v>37</v>
      </c>
      <c r="K4461" t="s">
        <v>38</v>
      </c>
      <c r="L4461">
        <v>5</v>
      </c>
      <c r="M4461">
        <v>1</v>
      </c>
      <c r="N4461">
        <v>0</v>
      </c>
      <c r="O4461" t="s">
        <v>21</v>
      </c>
      <c r="P4461" t="str">
        <f>TEXT(Table1[[#This Row],[order_date]],"yyyy-mm")</f>
        <v>2025-12</v>
      </c>
      <c r="Q4461">
        <f>WEEKNUM(Table1[[#This Row],[order_date]])</f>
        <v>49</v>
      </c>
      <c r="R4461">
        <f>IF(Table1[[#This Row],[order_status]]="completed",1,0)</f>
        <v>0</v>
      </c>
    </row>
    <row r="4462" spans="1:18" x14ac:dyDescent="0.35">
      <c r="A4462">
        <v>4461</v>
      </c>
      <c r="B4462" s="1">
        <v>45867</v>
      </c>
      <c r="C4462">
        <v>1370</v>
      </c>
      <c r="D4462" t="s">
        <v>32</v>
      </c>
      <c r="E4462" t="s">
        <v>16</v>
      </c>
      <c r="F4462" t="s">
        <v>17</v>
      </c>
      <c r="G4462">
        <v>5</v>
      </c>
      <c r="H4462">
        <v>5190</v>
      </c>
      <c r="I4462" t="s">
        <v>25</v>
      </c>
      <c r="J4462" t="s">
        <v>19</v>
      </c>
      <c r="K4462" t="s">
        <v>26</v>
      </c>
      <c r="L4462">
        <v>2</v>
      </c>
      <c r="M4462">
        <v>1</v>
      </c>
      <c r="N4462">
        <v>1</v>
      </c>
      <c r="O4462" t="s">
        <v>27</v>
      </c>
      <c r="P4462" t="str">
        <f>TEXT(Table1[[#This Row],[order_date]],"yyyy-mm")</f>
        <v>2025-07</v>
      </c>
      <c r="Q4462">
        <f>WEEKNUM(Table1[[#This Row],[order_date]])</f>
        <v>31</v>
      </c>
      <c r="R4462">
        <f>IF(Table1[[#This Row],[order_status]]="completed",1,0)</f>
        <v>1</v>
      </c>
    </row>
    <row r="4463" spans="1:18" x14ac:dyDescent="0.35">
      <c r="A4463">
        <v>4462</v>
      </c>
      <c r="B4463" s="1">
        <v>46014</v>
      </c>
      <c r="C4463">
        <v>1750</v>
      </c>
      <c r="D4463" t="s">
        <v>22</v>
      </c>
      <c r="E4463" t="s">
        <v>23</v>
      </c>
      <c r="F4463" t="s">
        <v>30</v>
      </c>
      <c r="G4463">
        <v>3</v>
      </c>
      <c r="H4463">
        <v>0</v>
      </c>
      <c r="I4463" t="s">
        <v>35</v>
      </c>
      <c r="J4463" t="s">
        <v>31</v>
      </c>
      <c r="K4463" t="s">
        <v>26</v>
      </c>
      <c r="L4463">
        <v>6</v>
      </c>
      <c r="M4463">
        <v>1</v>
      </c>
      <c r="N4463">
        <v>1</v>
      </c>
      <c r="O4463" t="s">
        <v>27</v>
      </c>
      <c r="P4463" t="str">
        <f>TEXT(Table1[[#This Row],[order_date]],"yyyy-mm")</f>
        <v>2025-12</v>
      </c>
      <c r="Q4463">
        <f>WEEKNUM(Table1[[#This Row],[order_date]])</f>
        <v>52</v>
      </c>
      <c r="R4463">
        <f>IF(Table1[[#This Row],[order_status]]="completed",1,0)</f>
        <v>0</v>
      </c>
    </row>
    <row r="4464" spans="1:18" x14ac:dyDescent="0.35">
      <c r="A4464">
        <v>4463</v>
      </c>
      <c r="B4464" s="1">
        <v>45960</v>
      </c>
      <c r="C4464">
        <v>1219</v>
      </c>
      <c r="D4464" t="s">
        <v>41</v>
      </c>
      <c r="E4464" t="s">
        <v>23</v>
      </c>
      <c r="F4464" t="s">
        <v>34</v>
      </c>
      <c r="G4464">
        <v>1</v>
      </c>
      <c r="H4464">
        <v>0</v>
      </c>
      <c r="I4464" t="s">
        <v>18</v>
      </c>
      <c r="J4464" t="s">
        <v>37</v>
      </c>
      <c r="K4464" t="s">
        <v>26</v>
      </c>
      <c r="L4464">
        <v>10</v>
      </c>
      <c r="M4464">
        <v>1</v>
      </c>
      <c r="N4464">
        <v>1</v>
      </c>
      <c r="O4464" t="s">
        <v>27</v>
      </c>
      <c r="P4464" t="str">
        <f>TEXT(Table1[[#This Row],[order_date]],"yyyy-mm")</f>
        <v>2025-10</v>
      </c>
      <c r="Q4464">
        <f>WEEKNUM(Table1[[#This Row],[order_date]])</f>
        <v>44</v>
      </c>
      <c r="R4464">
        <f>IF(Table1[[#This Row],[order_status]]="completed",1,0)</f>
        <v>0</v>
      </c>
    </row>
    <row r="4465" spans="1:18" x14ac:dyDescent="0.35">
      <c r="A4465">
        <v>4464</v>
      </c>
      <c r="B4465" s="1">
        <v>45855</v>
      </c>
      <c r="C4465">
        <v>1371</v>
      </c>
      <c r="D4465" t="s">
        <v>32</v>
      </c>
      <c r="E4465" t="s">
        <v>36</v>
      </c>
      <c r="F4465" t="s">
        <v>24</v>
      </c>
      <c r="G4465">
        <v>4</v>
      </c>
      <c r="H4465">
        <v>0</v>
      </c>
      <c r="I4465" t="s">
        <v>18</v>
      </c>
      <c r="J4465" t="s">
        <v>31</v>
      </c>
      <c r="K4465" t="s">
        <v>40</v>
      </c>
      <c r="L4465">
        <v>6</v>
      </c>
      <c r="M4465">
        <v>1</v>
      </c>
      <c r="N4465">
        <v>0</v>
      </c>
      <c r="O4465" t="s">
        <v>21</v>
      </c>
      <c r="P4465" t="str">
        <f>TEXT(Table1[[#This Row],[order_date]],"yyyy-mm")</f>
        <v>2025-07</v>
      </c>
      <c r="Q4465">
        <f>WEEKNUM(Table1[[#This Row],[order_date]])</f>
        <v>29</v>
      </c>
      <c r="R4465">
        <f>IF(Table1[[#This Row],[order_status]]="completed",1,0)</f>
        <v>0</v>
      </c>
    </row>
    <row r="4466" spans="1:18" x14ac:dyDescent="0.35">
      <c r="A4466">
        <v>4465</v>
      </c>
      <c r="B4466" s="1">
        <v>45952</v>
      </c>
      <c r="C4466">
        <v>1969</v>
      </c>
      <c r="D4466" t="s">
        <v>28</v>
      </c>
      <c r="E4466" t="s">
        <v>23</v>
      </c>
      <c r="F4466" t="s">
        <v>24</v>
      </c>
      <c r="G4466">
        <v>3</v>
      </c>
      <c r="H4466">
        <v>0</v>
      </c>
      <c r="I4466" t="s">
        <v>39</v>
      </c>
      <c r="J4466" t="s">
        <v>37</v>
      </c>
      <c r="K4466" t="s">
        <v>38</v>
      </c>
      <c r="L4466">
        <v>4</v>
      </c>
      <c r="M4466">
        <v>0</v>
      </c>
      <c r="N4466">
        <v>0</v>
      </c>
      <c r="O4466" t="s">
        <v>21</v>
      </c>
      <c r="P4466" t="str">
        <f>TEXT(Table1[[#This Row],[order_date]],"yyyy-mm")</f>
        <v>2025-10</v>
      </c>
      <c r="Q4466">
        <f>WEEKNUM(Table1[[#This Row],[order_date]])</f>
        <v>43</v>
      </c>
      <c r="R4466">
        <f>IF(Table1[[#This Row],[order_status]]="completed",1,0)</f>
        <v>0</v>
      </c>
    </row>
    <row r="4467" spans="1:18" x14ac:dyDescent="0.35">
      <c r="A4467">
        <v>4466</v>
      </c>
      <c r="B4467" s="1">
        <v>46019</v>
      </c>
      <c r="C4467">
        <v>1078</v>
      </c>
      <c r="D4467" t="s">
        <v>41</v>
      </c>
      <c r="E4467" t="s">
        <v>16</v>
      </c>
      <c r="F4467" t="s">
        <v>24</v>
      </c>
      <c r="G4467">
        <v>4</v>
      </c>
      <c r="H4467">
        <v>12256</v>
      </c>
      <c r="I4467" t="s">
        <v>18</v>
      </c>
      <c r="J4467" t="s">
        <v>19</v>
      </c>
      <c r="K4467" t="s">
        <v>40</v>
      </c>
      <c r="L4467">
        <v>5</v>
      </c>
      <c r="M4467">
        <v>1</v>
      </c>
      <c r="N4467">
        <v>0</v>
      </c>
      <c r="O4467" t="s">
        <v>27</v>
      </c>
      <c r="P4467" t="str">
        <f>TEXT(Table1[[#This Row],[order_date]],"yyyy-mm")</f>
        <v>2025-12</v>
      </c>
      <c r="Q4467">
        <f>WEEKNUM(Table1[[#This Row],[order_date]])</f>
        <v>53</v>
      </c>
      <c r="R4467">
        <f>IF(Table1[[#This Row],[order_status]]="completed",1,0)</f>
        <v>1</v>
      </c>
    </row>
    <row r="4468" spans="1:18" x14ac:dyDescent="0.35">
      <c r="A4468">
        <v>4467</v>
      </c>
      <c r="B4468" s="1">
        <v>45932</v>
      </c>
      <c r="C4468">
        <v>1966</v>
      </c>
      <c r="D4468" t="s">
        <v>15</v>
      </c>
      <c r="E4468" t="s">
        <v>33</v>
      </c>
      <c r="F4468" t="s">
        <v>30</v>
      </c>
      <c r="G4468">
        <v>4</v>
      </c>
      <c r="H4468">
        <v>0</v>
      </c>
      <c r="I4468" t="s">
        <v>35</v>
      </c>
      <c r="J4468" t="s">
        <v>31</v>
      </c>
      <c r="K4468" t="s">
        <v>40</v>
      </c>
      <c r="L4468">
        <v>6</v>
      </c>
      <c r="M4468">
        <v>0</v>
      </c>
      <c r="N4468">
        <v>1</v>
      </c>
      <c r="O4468" t="s">
        <v>21</v>
      </c>
      <c r="P4468" t="str">
        <f>TEXT(Table1[[#This Row],[order_date]],"yyyy-mm")</f>
        <v>2025-10</v>
      </c>
      <c r="Q4468">
        <f>WEEKNUM(Table1[[#This Row],[order_date]])</f>
        <v>40</v>
      </c>
      <c r="R4468">
        <f>IF(Table1[[#This Row],[order_status]]="completed",1,0)</f>
        <v>0</v>
      </c>
    </row>
    <row r="4469" spans="1:18" x14ac:dyDescent="0.35">
      <c r="A4469">
        <v>4468</v>
      </c>
      <c r="B4469" s="1">
        <v>45861</v>
      </c>
      <c r="C4469">
        <v>1265</v>
      </c>
      <c r="D4469" t="s">
        <v>41</v>
      </c>
      <c r="E4469" t="s">
        <v>16</v>
      </c>
      <c r="F4469" t="s">
        <v>34</v>
      </c>
      <c r="G4469">
        <v>4</v>
      </c>
      <c r="H4469">
        <v>0</v>
      </c>
      <c r="I4469" t="s">
        <v>25</v>
      </c>
      <c r="J4469" t="s">
        <v>31</v>
      </c>
      <c r="K4469" t="s">
        <v>40</v>
      </c>
      <c r="L4469">
        <v>9</v>
      </c>
      <c r="M4469">
        <v>1</v>
      </c>
      <c r="N4469">
        <v>0</v>
      </c>
      <c r="O4469" t="s">
        <v>21</v>
      </c>
      <c r="P4469" t="str">
        <f>TEXT(Table1[[#This Row],[order_date]],"yyyy-mm")</f>
        <v>2025-07</v>
      </c>
      <c r="Q4469">
        <f>WEEKNUM(Table1[[#This Row],[order_date]])</f>
        <v>30</v>
      </c>
      <c r="R4469">
        <f>IF(Table1[[#This Row],[order_status]]="completed",1,0)</f>
        <v>0</v>
      </c>
    </row>
    <row r="4470" spans="1:18" x14ac:dyDescent="0.35">
      <c r="A4470">
        <v>4469</v>
      </c>
      <c r="B4470" s="1">
        <v>45938</v>
      </c>
      <c r="C4470">
        <v>1234</v>
      </c>
      <c r="D4470" t="s">
        <v>41</v>
      </c>
      <c r="E4470" t="s">
        <v>33</v>
      </c>
      <c r="F4470" t="s">
        <v>24</v>
      </c>
      <c r="G4470">
        <v>5</v>
      </c>
      <c r="H4470">
        <v>0</v>
      </c>
      <c r="I4470" t="s">
        <v>25</v>
      </c>
      <c r="J4470" t="s">
        <v>37</v>
      </c>
      <c r="K4470" t="s">
        <v>38</v>
      </c>
      <c r="L4470">
        <v>5</v>
      </c>
      <c r="M4470">
        <v>1</v>
      </c>
      <c r="N4470">
        <v>1</v>
      </c>
      <c r="O4470" t="s">
        <v>27</v>
      </c>
      <c r="P4470" t="str">
        <f>TEXT(Table1[[#This Row],[order_date]],"yyyy-mm")</f>
        <v>2025-10</v>
      </c>
      <c r="Q4470">
        <f>WEEKNUM(Table1[[#This Row],[order_date]])</f>
        <v>41</v>
      </c>
      <c r="R4470">
        <f>IF(Table1[[#This Row],[order_status]]="completed",1,0)</f>
        <v>0</v>
      </c>
    </row>
    <row r="4471" spans="1:18" x14ac:dyDescent="0.35">
      <c r="A4471">
        <v>4470</v>
      </c>
      <c r="B4471" s="1">
        <v>46019</v>
      </c>
      <c r="C4471">
        <v>1506</v>
      </c>
      <c r="D4471" t="s">
        <v>41</v>
      </c>
      <c r="E4471" t="s">
        <v>29</v>
      </c>
      <c r="F4471" t="s">
        <v>17</v>
      </c>
      <c r="G4471">
        <v>4</v>
      </c>
      <c r="H4471">
        <v>19548</v>
      </c>
      <c r="I4471" t="s">
        <v>35</v>
      </c>
      <c r="J4471" t="s">
        <v>19</v>
      </c>
      <c r="K4471" t="s">
        <v>40</v>
      </c>
      <c r="L4471">
        <v>10</v>
      </c>
      <c r="M4471">
        <v>1</v>
      </c>
      <c r="N4471">
        <v>0</v>
      </c>
      <c r="O4471" t="s">
        <v>27</v>
      </c>
      <c r="P4471" t="str">
        <f>TEXT(Table1[[#This Row],[order_date]],"yyyy-mm")</f>
        <v>2025-12</v>
      </c>
      <c r="Q4471">
        <f>WEEKNUM(Table1[[#This Row],[order_date]])</f>
        <v>53</v>
      </c>
      <c r="R4471">
        <f>IF(Table1[[#This Row],[order_status]]="completed",1,0)</f>
        <v>1</v>
      </c>
    </row>
    <row r="4472" spans="1:18" x14ac:dyDescent="0.35">
      <c r="A4472">
        <v>4471</v>
      </c>
      <c r="B4472" s="1">
        <v>46002</v>
      </c>
      <c r="C4472">
        <v>1849</v>
      </c>
      <c r="D4472" t="s">
        <v>41</v>
      </c>
      <c r="E4472" t="s">
        <v>36</v>
      </c>
      <c r="F4472" t="s">
        <v>34</v>
      </c>
      <c r="G4472">
        <v>5</v>
      </c>
      <c r="H4472">
        <v>0</v>
      </c>
      <c r="I4472" t="s">
        <v>18</v>
      </c>
      <c r="J4472" t="s">
        <v>37</v>
      </c>
      <c r="K4472" t="s">
        <v>26</v>
      </c>
      <c r="L4472">
        <v>3</v>
      </c>
      <c r="M4472">
        <v>0</v>
      </c>
      <c r="N4472">
        <v>1</v>
      </c>
      <c r="O4472" t="s">
        <v>21</v>
      </c>
      <c r="P4472" t="str">
        <f>TEXT(Table1[[#This Row],[order_date]],"yyyy-mm")</f>
        <v>2025-12</v>
      </c>
      <c r="Q4472">
        <f>WEEKNUM(Table1[[#This Row],[order_date]])</f>
        <v>50</v>
      </c>
      <c r="R4472">
        <f>IF(Table1[[#This Row],[order_status]]="completed",1,0)</f>
        <v>0</v>
      </c>
    </row>
    <row r="4473" spans="1:18" x14ac:dyDescent="0.35">
      <c r="A4473">
        <v>4472</v>
      </c>
      <c r="B4473" s="1">
        <v>46017</v>
      </c>
      <c r="C4473">
        <v>1561</v>
      </c>
      <c r="D4473" t="s">
        <v>15</v>
      </c>
      <c r="E4473" t="s">
        <v>23</v>
      </c>
      <c r="F4473" t="s">
        <v>30</v>
      </c>
      <c r="G4473">
        <v>5</v>
      </c>
      <c r="H4473">
        <v>0</v>
      </c>
      <c r="I4473" t="s">
        <v>25</v>
      </c>
      <c r="J4473" t="s">
        <v>31</v>
      </c>
      <c r="K4473" t="s">
        <v>20</v>
      </c>
      <c r="L4473">
        <v>7</v>
      </c>
      <c r="M4473">
        <v>1</v>
      </c>
      <c r="N4473">
        <v>1</v>
      </c>
      <c r="O4473" t="s">
        <v>27</v>
      </c>
      <c r="P4473" t="str">
        <f>TEXT(Table1[[#This Row],[order_date]],"yyyy-mm")</f>
        <v>2025-12</v>
      </c>
      <c r="Q4473">
        <f>WEEKNUM(Table1[[#This Row],[order_date]])</f>
        <v>52</v>
      </c>
      <c r="R4473">
        <f>IF(Table1[[#This Row],[order_status]]="completed",1,0)</f>
        <v>0</v>
      </c>
    </row>
    <row r="4474" spans="1:18" x14ac:dyDescent="0.35">
      <c r="A4474">
        <v>4473</v>
      </c>
      <c r="B4474" s="1">
        <v>45884</v>
      </c>
      <c r="C4474">
        <v>1807</v>
      </c>
      <c r="D4474" t="s">
        <v>28</v>
      </c>
      <c r="E4474" t="s">
        <v>29</v>
      </c>
      <c r="F4474" t="s">
        <v>24</v>
      </c>
      <c r="G4474">
        <v>5</v>
      </c>
      <c r="H4474">
        <v>3470</v>
      </c>
      <c r="I4474" t="s">
        <v>39</v>
      </c>
      <c r="J4474" t="s">
        <v>19</v>
      </c>
      <c r="K4474" t="s">
        <v>26</v>
      </c>
      <c r="L4474">
        <v>4</v>
      </c>
      <c r="M4474">
        <v>0</v>
      </c>
      <c r="N4474">
        <v>0</v>
      </c>
      <c r="O4474" t="s">
        <v>27</v>
      </c>
      <c r="P4474" t="str">
        <f>TEXT(Table1[[#This Row],[order_date]],"yyyy-mm")</f>
        <v>2025-08</v>
      </c>
      <c r="Q4474">
        <f>WEEKNUM(Table1[[#This Row],[order_date]])</f>
        <v>33</v>
      </c>
      <c r="R4474">
        <f>IF(Table1[[#This Row],[order_status]]="completed",1,0)</f>
        <v>1</v>
      </c>
    </row>
    <row r="4475" spans="1:18" x14ac:dyDescent="0.35">
      <c r="A4475">
        <v>4474</v>
      </c>
      <c r="B4475" s="1">
        <v>45914</v>
      </c>
      <c r="C4475">
        <v>1751</v>
      </c>
      <c r="D4475" t="s">
        <v>22</v>
      </c>
      <c r="E4475" t="s">
        <v>23</v>
      </c>
      <c r="F4475" t="s">
        <v>24</v>
      </c>
      <c r="G4475">
        <v>2</v>
      </c>
      <c r="H4475">
        <v>0</v>
      </c>
      <c r="I4475" t="s">
        <v>18</v>
      </c>
      <c r="J4475" t="s">
        <v>37</v>
      </c>
      <c r="K4475" t="s">
        <v>40</v>
      </c>
      <c r="L4475">
        <v>6</v>
      </c>
      <c r="M4475">
        <v>1</v>
      </c>
      <c r="N4475">
        <v>0</v>
      </c>
      <c r="O4475" t="s">
        <v>27</v>
      </c>
      <c r="P4475" t="str">
        <f>TEXT(Table1[[#This Row],[order_date]],"yyyy-mm")</f>
        <v>2025-09</v>
      </c>
      <c r="Q4475">
        <f>WEEKNUM(Table1[[#This Row],[order_date]])</f>
        <v>38</v>
      </c>
      <c r="R4475">
        <f>IF(Table1[[#This Row],[order_status]]="completed",1,0)</f>
        <v>0</v>
      </c>
    </row>
    <row r="4476" spans="1:18" x14ac:dyDescent="0.35">
      <c r="A4476">
        <v>4475</v>
      </c>
      <c r="B4476" s="1">
        <v>45960</v>
      </c>
      <c r="C4476">
        <v>1672</v>
      </c>
      <c r="D4476" t="s">
        <v>32</v>
      </c>
      <c r="E4476" t="s">
        <v>29</v>
      </c>
      <c r="F4476" t="s">
        <v>17</v>
      </c>
      <c r="G4476">
        <v>2</v>
      </c>
      <c r="H4476">
        <v>0</v>
      </c>
      <c r="I4476" t="s">
        <v>39</v>
      </c>
      <c r="J4476" t="s">
        <v>31</v>
      </c>
      <c r="K4476" t="s">
        <v>40</v>
      </c>
      <c r="L4476">
        <v>4</v>
      </c>
      <c r="M4476">
        <v>0</v>
      </c>
      <c r="N4476">
        <v>1</v>
      </c>
      <c r="O4476" t="s">
        <v>27</v>
      </c>
      <c r="P4476" t="str">
        <f>TEXT(Table1[[#This Row],[order_date]],"yyyy-mm")</f>
        <v>2025-10</v>
      </c>
      <c r="Q4476">
        <f>WEEKNUM(Table1[[#This Row],[order_date]])</f>
        <v>44</v>
      </c>
      <c r="R4476">
        <f>IF(Table1[[#This Row],[order_status]]="completed",1,0)</f>
        <v>0</v>
      </c>
    </row>
    <row r="4477" spans="1:18" x14ac:dyDescent="0.35">
      <c r="A4477">
        <v>4476</v>
      </c>
      <c r="B4477" s="1">
        <v>45971</v>
      </c>
      <c r="C4477">
        <v>1334</v>
      </c>
      <c r="D4477" t="s">
        <v>22</v>
      </c>
      <c r="E4477" t="s">
        <v>36</v>
      </c>
      <c r="F4477" t="s">
        <v>17</v>
      </c>
      <c r="G4477">
        <v>1</v>
      </c>
      <c r="H4477">
        <v>4465</v>
      </c>
      <c r="I4477" t="s">
        <v>39</v>
      </c>
      <c r="J4477" t="s">
        <v>19</v>
      </c>
      <c r="K4477" t="s">
        <v>26</v>
      </c>
      <c r="L4477">
        <v>2</v>
      </c>
      <c r="M4477">
        <v>0</v>
      </c>
      <c r="N4477">
        <v>1</v>
      </c>
      <c r="O4477" t="s">
        <v>21</v>
      </c>
      <c r="P4477" t="str">
        <f>TEXT(Table1[[#This Row],[order_date]],"yyyy-mm")</f>
        <v>2025-11</v>
      </c>
      <c r="Q4477">
        <f>WEEKNUM(Table1[[#This Row],[order_date]])</f>
        <v>46</v>
      </c>
      <c r="R4477">
        <f>IF(Table1[[#This Row],[order_status]]="completed",1,0)</f>
        <v>1</v>
      </c>
    </row>
    <row r="4478" spans="1:18" x14ac:dyDescent="0.35">
      <c r="A4478">
        <v>4477</v>
      </c>
      <c r="B4478" s="1">
        <v>45981</v>
      </c>
      <c r="C4478">
        <v>1291</v>
      </c>
      <c r="D4478" t="s">
        <v>28</v>
      </c>
      <c r="E4478" t="s">
        <v>23</v>
      </c>
      <c r="F4478" t="s">
        <v>30</v>
      </c>
      <c r="G4478">
        <v>4</v>
      </c>
      <c r="H4478">
        <v>0</v>
      </c>
      <c r="I4478" t="s">
        <v>39</v>
      </c>
      <c r="J4478" t="s">
        <v>31</v>
      </c>
      <c r="K4478" t="s">
        <v>40</v>
      </c>
      <c r="L4478">
        <v>1</v>
      </c>
      <c r="M4478">
        <v>0</v>
      </c>
      <c r="N4478">
        <v>1</v>
      </c>
      <c r="O4478" t="s">
        <v>27</v>
      </c>
      <c r="P4478" t="str">
        <f>TEXT(Table1[[#This Row],[order_date]],"yyyy-mm")</f>
        <v>2025-11</v>
      </c>
      <c r="Q4478">
        <f>WEEKNUM(Table1[[#This Row],[order_date]])</f>
        <v>47</v>
      </c>
      <c r="R4478">
        <f>IF(Table1[[#This Row],[order_status]]="completed",1,0)</f>
        <v>0</v>
      </c>
    </row>
    <row r="4479" spans="1:18" x14ac:dyDescent="0.35">
      <c r="A4479">
        <v>4478</v>
      </c>
      <c r="B4479" s="1">
        <v>45909</v>
      </c>
      <c r="C4479">
        <v>1629</v>
      </c>
      <c r="D4479" t="s">
        <v>22</v>
      </c>
      <c r="E4479" t="s">
        <v>16</v>
      </c>
      <c r="F4479" t="s">
        <v>30</v>
      </c>
      <c r="G4479">
        <v>2</v>
      </c>
      <c r="H4479">
        <v>1588</v>
      </c>
      <c r="I4479" t="s">
        <v>35</v>
      </c>
      <c r="J4479" t="s">
        <v>19</v>
      </c>
      <c r="K4479" t="s">
        <v>38</v>
      </c>
      <c r="L4479">
        <v>9</v>
      </c>
      <c r="M4479">
        <v>0</v>
      </c>
      <c r="N4479">
        <v>1</v>
      </c>
      <c r="O4479" t="s">
        <v>27</v>
      </c>
      <c r="P4479" t="str">
        <f>TEXT(Table1[[#This Row],[order_date]],"yyyy-mm")</f>
        <v>2025-09</v>
      </c>
      <c r="Q4479">
        <f>WEEKNUM(Table1[[#This Row],[order_date]])</f>
        <v>37</v>
      </c>
      <c r="R4479">
        <f>IF(Table1[[#This Row],[order_status]]="completed",1,0)</f>
        <v>1</v>
      </c>
    </row>
    <row r="4480" spans="1:18" x14ac:dyDescent="0.35">
      <c r="A4480">
        <v>4479</v>
      </c>
      <c r="B4480" s="1">
        <v>45871</v>
      </c>
      <c r="C4480">
        <v>1659</v>
      </c>
      <c r="D4480" t="s">
        <v>41</v>
      </c>
      <c r="E4480" t="s">
        <v>29</v>
      </c>
      <c r="F4480" t="s">
        <v>17</v>
      </c>
      <c r="G4480">
        <v>5</v>
      </c>
      <c r="H4480">
        <v>23215</v>
      </c>
      <c r="I4480" t="s">
        <v>39</v>
      </c>
      <c r="J4480" t="s">
        <v>19</v>
      </c>
      <c r="K4480" t="s">
        <v>26</v>
      </c>
      <c r="L4480">
        <v>5</v>
      </c>
      <c r="M4480">
        <v>0</v>
      </c>
      <c r="N4480">
        <v>1</v>
      </c>
      <c r="O4480" t="s">
        <v>21</v>
      </c>
      <c r="P4480" t="str">
        <f>TEXT(Table1[[#This Row],[order_date]],"yyyy-mm")</f>
        <v>2025-08</v>
      </c>
      <c r="Q4480">
        <f>WEEKNUM(Table1[[#This Row],[order_date]])</f>
        <v>31</v>
      </c>
      <c r="R4480">
        <f>IF(Table1[[#This Row],[order_status]]="completed",1,0)</f>
        <v>1</v>
      </c>
    </row>
    <row r="4481" spans="1:18" x14ac:dyDescent="0.35">
      <c r="A4481">
        <v>4480</v>
      </c>
      <c r="B4481" s="1">
        <v>45962</v>
      </c>
      <c r="C4481">
        <v>1302</v>
      </c>
      <c r="D4481" t="s">
        <v>32</v>
      </c>
      <c r="E4481" t="s">
        <v>29</v>
      </c>
      <c r="F4481" t="s">
        <v>24</v>
      </c>
      <c r="G4481">
        <v>4</v>
      </c>
      <c r="H4481">
        <v>0</v>
      </c>
      <c r="I4481" t="s">
        <v>25</v>
      </c>
      <c r="J4481" t="s">
        <v>37</v>
      </c>
      <c r="K4481" t="s">
        <v>26</v>
      </c>
      <c r="L4481">
        <v>2</v>
      </c>
      <c r="M4481">
        <v>0</v>
      </c>
      <c r="N4481">
        <v>1</v>
      </c>
      <c r="O4481" t="s">
        <v>27</v>
      </c>
      <c r="P4481" t="str">
        <f>TEXT(Table1[[#This Row],[order_date]],"yyyy-mm")</f>
        <v>2025-11</v>
      </c>
      <c r="Q4481">
        <f>WEEKNUM(Table1[[#This Row],[order_date]])</f>
        <v>44</v>
      </c>
      <c r="R4481">
        <f>IF(Table1[[#This Row],[order_status]]="completed",1,0)</f>
        <v>0</v>
      </c>
    </row>
    <row r="4482" spans="1:18" x14ac:dyDescent="0.35">
      <c r="A4482">
        <v>4481</v>
      </c>
      <c r="B4482" s="1">
        <v>45877</v>
      </c>
      <c r="C4482">
        <v>1428</v>
      </c>
      <c r="D4482" t="s">
        <v>15</v>
      </c>
      <c r="E4482" t="s">
        <v>16</v>
      </c>
      <c r="F4482" t="s">
        <v>17</v>
      </c>
      <c r="G4482">
        <v>4</v>
      </c>
      <c r="H4482">
        <v>0</v>
      </c>
      <c r="I4482" t="s">
        <v>39</v>
      </c>
      <c r="J4482" t="s">
        <v>31</v>
      </c>
      <c r="K4482" t="s">
        <v>26</v>
      </c>
      <c r="L4482">
        <v>10</v>
      </c>
      <c r="M4482">
        <v>1</v>
      </c>
      <c r="N4482">
        <v>1</v>
      </c>
      <c r="O4482" t="s">
        <v>21</v>
      </c>
      <c r="P4482" t="str">
        <f>TEXT(Table1[[#This Row],[order_date]],"yyyy-mm")</f>
        <v>2025-08</v>
      </c>
      <c r="Q4482">
        <f>WEEKNUM(Table1[[#This Row],[order_date]])</f>
        <v>32</v>
      </c>
      <c r="R4482">
        <f>IF(Table1[[#This Row],[order_status]]="completed",1,0)</f>
        <v>0</v>
      </c>
    </row>
    <row r="4483" spans="1:18" x14ac:dyDescent="0.35">
      <c r="A4483">
        <v>4482</v>
      </c>
      <c r="B4483" s="1">
        <v>45933</v>
      </c>
      <c r="C4483">
        <v>1977</v>
      </c>
      <c r="D4483" t="s">
        <v>41</v>
      </c>
      <c r="E4483" t="s">
        <v>36</v>
      </c>
      <c r="F4483" t="s">
        <v>34</v>
      </c>
      <c r="G4483">
        <v>1</v>
      </c>
      <c r="H4483">
        <v>2589</v>
      </c>
      <c r="I4483" t="s">
        <v>39</v>
      </c>
      <c r="J4483" t="s">
        <v>19</v>
      </c>
      <c r="K4483" t="s">
        <v>38</v>
      </c>
      <c r="L4483">
        <v>2</v>
      </c>
      <c r="M4483">
        <v>0</v>
      </c>
      <c r="N4483">
        <v>0</v>
      </c>
      <c r="O4483" t="s">
        <v>21</v>
      </c>
      <c r="P4483" t="str">
        <f>TEXT(Table1[[#This Row],[order_date]],"yyyy-mm")</f>
        <v>2025-10</v>
      </c>
      <c r="Q4483">
        <f>WEEKNUM(Table1[[#This Row],[order_date]])</f>
        <v>40</v>
      </c>
      <c r="R4483">
        <f>IF(Table1[[#This Row],[order_status]]="completed",1,0)</f>
        <v>1</v>
      </c>
    </row>
    <row r="4484" spans="1:18" x14ac:dyDescent="0.35">
      <c r="A4484">
        <v>4483</v>
      </c>
      <c r="B4484" s="1">
        <v>45865</v>
      </c>
      <c r="C4484">
        <v>1831</v>
      </c>
      <c r="D4484" t="s">
        <v>15</v>
      </c>
      <c r="E4484" t="s">
        <v>29</v>
      </c>
      <c r="F4484" t="s">
        <v>24</v>
      </c>
      <c r="G4484">
        <v>2</v>
      </c>
      <c r="H4484">
        <v>4768</v>
      </c>
      <c r="I4484" t="s">
        <v>35</v>
      </c>
      <c r="J4484" t="s">
        <v>19</v>
      </c>
      <c r="K4484" t="s">
        <v>38</v>
      </c>
      <c r="L4484">
        <v>3</v>
      </c>
      <c r="M4484">
        <v>0</v>
      </c>
      <c r="N4484">
        <v>1</v>
      </c>
      <c r="O4484" t="s">
        <v>21</v>
      </c>
      <c r="P4484" t="str">
        <f>TEXT(Table1[[#This Row],[order_date]],"yyyy-mm")</f>
        <v>2025-07</v>
      </c>
      <c r="Q4484">
        <f>WEEKNUM(Table1[[#This Row],[order_date]])</f>
        <v>31</v>
      </c>
      <c r="R4484">
        <f>IF(Table1[[#This Row],[order_status]]="completed",1,0)</f>
        <v>1</v>
      </c>
    </row>
    <row r="4485" spans="1:18" x14ac:dyDescent="0.35">
      <c r="A4485">
        <v>4484</v>
      </c>
      <c r="B4485" s="1">
        <v>45898</v>
      </c>
      <c r="C4485">
        <v>1764</v>
      </c>
      <c r="D4485" t="s">
        <v>32</v>
      </c>
      <c r="E4485" t="s">
        <v>23</v>
      </c>
      <c r="F4485" t="s">
        <v>34</v>
      </c>
      <c r="G4485">
        <v>5</v>
      </c>
      <c r="H4485">
        <v>0</v>
      </c>
      <c r="I4485" t="s">
        <v>25</v>
      </c>
      <c r="J4485" t="s">
        <v>31</v>
      </c>
      <c r="K4485" t="s">
        <v>40</v>
      </c>
      <c r="L4485">
        <v>3</v>
      </c>
      <c r="M4485">
        <v>1</v>
      </c>
      <c r="N4485">
        <v>0</v>
      </c>
      <c r="O4485" t="s">
        <v>27</v>
      </c>
      <c r="P4485" t="str">
        <f>TEXT(Table1[[#This Row],[order_date]],"yyyy-mm")</f>
        <v>2025-08</v>
      </c>
      <c r="Q4485">
        <f>WEEKNUM(Table1[[#This Row],[order_date]])</f>
        <v>35</v>
      </c>
      <c r="R4485">
        <f>IF(Table1[[#This Row],[order_status]]="completed",1,0)</f>
        <v>0</v>
      </c>
    </row>
    <row r="4486" spans="1:18" x14ac:dyDescent="0.35">
      <c r="A4486">
        <v>4485</v>
      </c>
      <c r="B4486" s="1">
        <v>45854</v>
      </c>
      <c r="C4486">
        <v>1969</v>
      </c>
      <c r="D4486" t="s">
        <v>28</v>
      </c>
      <c r="E4486" t="s">
        <v>36</v>
      </c>
      <c r="F4486" t="s">
        <v>30</v>
      </c>
      <c r="G4486">
        <v>3</v>
      </c>
      <c r="H4486">
        <v>0</v>
      </c>
      <c r="I4486" t="s">
        <v>18</v>
      </c>
      <c r="J4486" t="s">
        <v>37</v>
      </c>
      <c r="K4486" t="s">
        <v>20</v>
      </c>
      <c r="L4486">
        <v>5</v>
      </c>
      <c r="M4486">
        <v>1</v>
      </c>
      <c r="N4486">
        <v>0</v>
      </c>
      <c r="O4486" t="s">
        <v>27</v>
      </c>
      <c r="P4486" t="str">
        <f>TEXT(Table1[[#This Row],[order_date]],"yyyy-mm")</f>
        <v>2025-07</v>
      </c>
      <c r="Q4486">
        <f>WEEKNUM(Table1[[#This Row],[order_date]])</f>
        <v>29</v>
      </c>
      <c r="R4486">
        <f>IF(Table1[[#This Row],[order_status]]="completed",1,0)</f>
        <v>0</v>
      </c>
    </row>
    <row r="4487" spans="1:18" x14ac:dyDescent="0.35">
      <c r="A4487">
        <v>4486</v>
      </c>
      <c r="B4487" s="1">
        <v>45873</v>
      </c>
      <c r="C4487">
        <v>1458</v>
      </c>
      <c r="D4487" t="s">
        <v>32</v>
      </c>
      <c r="E4487" t="s">
        <v>33</v>
      </c>
      <c r="F4487" t="s">
        <v>24</v>
      </c>
      <c r="G4487">
        <v>4</v>
      </c>
      <c r="H4487">
        <v>0</v>
      </c>
      <c r="I4487" t="s">
        <v>25</v>
      </c>
      <c r="J4487" t="s">
        <v>31</v>
      </c>
      <c r="K4487" t="s">
        <v>26</v>
      </c>
      <c r="L4487">
        <v>5</v>
      </c>
      <c r="M4487">
        <v>0</v>
      </c>
      <c r="N4487">
        <v>0</v>
      </c>
      <c r="O4487" t="s">
        <v>21</v>
      </c>
      <c r="P4487" t="str">
        <f>TEXT(Table1[[#This Row],[order_date]],"yyyy-mm")</f>
        <v>2025-08</v>
      </c>
      <c r="Q4487">
        <f>WEEKNUM(Table1[[#This Row],[order_date]])</f>
        <v>32</v>
      </c>
      <c r="R4487">
        <f>IF(Table1[[#This Row],[order_status]]="completed",1,0)</f>
        <v>0</v>
      </c>
    </row>
    <row r="4488" spans="1:18" x14ac:dyDescent="0.35">
      <c r="A4488">
        <v>4487</v>
      </c>
      <c r="B4488" s="1">
        <v>46025</v>
      </c>
      <c r="C4488">
        <v>1093</v>
      </c>
      <c r="D4488" t="s">
        <v>15</v>
      </c>
      <c r="E4488" t="s">
        <v>36</v>
      </c>
      <c r="F4488" t="s">
        <v>24</v>
      </c>
      <c r="G4488">
        <v>1</v>
      </c>
      <c r="H4488">
        <v>0</v>
      </c>
      <c r="I4488" t="s">
        <v>35</v>
      </c>
      <c r="J4488" t="s">
        <v>37</v>
      </c>
      <c r="K4488" t="s">
        <v>38</v>
      </c>
      <c r="L4488">
        <v>6</v>
      </c>
      <c r="M4488">
        <v>1</v>
      </c>
      <c r="N4488">
        <v>1</v>
      </c>
      <c r="O4488" t="s">
        <v>27</v>
      </c>
      <c r="P4488" t="str">
        <f>TEXT(Table1[[#This Row],[order_date]],"yyyy-mm")</f>
        <v>2026-01</v>
      </c>
      <c r="Q4488">
        <f>WEEKNUM(Table1[[#This Row],[order_date]])</f>
        <v>1</v>
      </c>
      <c r="R4488">
        <f>IF(Table1[[#This Row],[order_status]]="completed",1,0)</f>
        <v>0</v>
      </c>
    </row>
    <row r="4489" spans="1:18" x14ac:dyDescent="0.35">
      <c r="A4489">
        <v>4488</v>
      </c>
      <c r="B4489" s="1">
        <v>45981</v>
      </c>
      <c r="C4489">
        <v>1592</v>
      </c>
      <c r="D4489" t="s">
        <v>22</v>
      </c>
      <c r="E4489" t="s">
        <v>36</v>
      </c>
      <c r="F4489" t="s">
        <v>34</v>
      </c>
      <c r="G4489">
        <v>1</v>
      </c>
      <c r="H4489">
        <v>0</v>
      </c>
      <c r="I4489" t="s">
        <v>18</v>
      </c>
      <c r="J4489" t="s">
        <v>37</v>
      </c>
      <c r="K4489" t="s">
        <v>20</v>
      </c>
      <c r="L4489">
        <v>1</v>
      </c>
      <c r="M4489">
        <v>0</v>
      </c>
      <c r="N4489">
        <v>1</v>
      </c>
      <c r="O4489" t="s">
        <v>27</v>
      </c>
      <c r="P4489" t="str">
        <f>TEXT(Table1[[#This Row],[order_date]],"yyyy-mm")</f>
        <v>2025-11</v>
      </c>
      <c r="Q4489">
        <f>WEEKNUM(Table1[[#This Row],[order_date]])</f>
        <v>47</v>
      </c>
      <c r="R4489">
        <f>IF(Table1[[#This Row],[order_status]]="completed",1,0)</f>
        <v>0</v>
      </c>
    </row>
    <row r="4490" spans="1:18" x14ac:dyDescent="0.35">
      <c r="A4490">
        <v>4489</v>
      </c>
      <c r="B4490" s="1">
        <v>45992</v>
      </c>
      <c r="C4490">
        <v>1115</v>
      </c>
      <c r="D4490" t="s">
        <v>15</v>
      </c>
      <c r="E4490" t="s">
        <v>29</v>
      </c>
      <c r="F4490" t="s">
        <v>30</v>
      </c>
      <c r="G4490">
        <v>5</v>
      </c>
      <c r="H4490">
        <v>23630</v>
      </c>
      <c r="I4490" t="s">
        <v>39</v>
      </c>
      <c r="J4490" t="s">
        <v>19</v>
      </c>
      <c r="K4490" t="s">
        <v>38</v>
      </c>
      <c r="L4490">
        <v>5</v>
      </c>
      <c r="M4490">
        <v>0</v>
      </c>
      <c r="N4490">
        <v>0</v>
      </c>
      <c r="O4490" t="s">
        <v>27</v>
      </c>
      <c r="P4490" t="str">
        <f>TEXT(Table1[[#This Row],[order_date]],"yyyy-mm")</f>
        <v>2025-12</v>
      </c>
      <c r="Q4490">
        <f>WEEKNUM(Table1[[#This Row],[order_date]])</f>
        <v>49</v>
      </c>
      <c r="R4490">
        <f>IF(Table1[[#This Row],[order_status]]="completed",1,0)</f>
        <v>1</v>
      </c>
    </row>
    <row r="4491" spans="1:18" x14ac:dyDescent="0.35">
      <c r="A4491">
        <v>4490</v>
      </c>
      <c r="B4491" s="1">
        <v>45995</v>
      </c>
      <c r="C4491">
        <v>1893</v>
      </c>
      <c r="D4491" t="s">
        <v>32</v>
      </c>
      <c r="E4491" t="s">
        <v>29</v>
      </c>
      <c r="F4491" t="s">
        <v>30</v>
      </c>
      <c r="G4491">
        <v>2</v>
      </c>
      <c r="H4491">
        <v>0</v>
      </c>
      <c r="I4491" t="s">
        <v>39</v>
      </c>
      <c r="J4491" t="s">
        <v>37</v>
      </c>
      <c r="K4491" t="s">
        <v>20</v>
      </c>
      <c r="L4491">
        <v>9</v>
      </c>
      <c r="M4491">
        <v>1</v>
      </c>
      <c r="N4491">
        <v>1</v>
      </c>
      <c r="O4491" t="s">
        <v>21</v>
      </c>
      <c r="P4491" t="str">
        <f>TEXT(Table1[[#This Row],[order_date]],"yyyy-mm")</f>
        <v>2025-12</v>
      </c>
      <c r="Q4491">
        <f>WEEKNUM(Table1[[#This Row],[order_date]])</f>
        <v>49</v>
      </c>
      <c r="R4491">
        <f>IF(Table1[[#This Row],[order_status]]="completed",1,0)</f>
        <v>0</v>
      </c>
    </row>
    <row r="4492" spans="1:18" x14ac:dyDescent="0.35">
      <c r="A4492">
        <v>4491</v>
      </c>
      <c r="B4492" s="1">
        <v>45859</v>
      </c>
      <c r="C4492">
        <v>1950</v>
      </c>
      <c r="D4492" t="s">
        <v>15</v>
      </c>
      <c r="E4492" t="s">
        <v>29</v>
      </c>
      <c r="F4492" t="s">
        <v>24</v>
      </c>
      <c r="G4492">
        <v>4</v>
      </c>
      <c r="H4492">
        <v>17036</v>
      </c>
      <c r="I4492" t="s">
        <v>18</v>
      </c>
      <c r="J4492" t="s">
        <v>19</v>
      </c>
      <c r="K4492" t="s">
        <v>20</v>
      </c>
      <c r="L4492">
        <v>7</v>
      </c>
      <c r="M4492">
        <v>1</v>
      </c>
      <c r="N4492">
        <v>0</v>
      </c>
      <c r="O4492" t="s">
        <v>27</v>
      </c>
      <c r="P4492" t="str">
        <f>TEXT(Table1[[#This Row],[order_date]],"yyyy-mm")</f>
        <v>2025-07</v>
      </c>
      <c r="Q4492">
        <f>WEEKNUM(Table1[[#This Row],[order_date]])</f>
        <v>30</v>
      </c>
      <c r="R4492">
        <f>IF(Table1[[#This Row],[order_status]]="completed",1,0)</f>
        <v>1</v>
      </c>
    </row>
    <row r="4493" spans="1:18" x14ac:dyDescent="0.35">
      <c r="A4493">
        <v>4492</v>
      </c>
      <c r="B4493" s="1">
        <v>45854</v>
      </c>
      <c r="C4493">
        <v>1454</v>
      </c>
      <c r="D4493" t="s">
        <v>15</v>
      </c>
      <c r="E4493" t="s">
        <v>23</v>
      </c>
      <c r="F4493" t="s">
        <v>24</v>
      </c>
      <c r="G4493">
        <v>2</v>
      </c>
      <c r="H4493">
        <v>0</v>
      </c>
      <c r="I4493" t="s">
        <v>25</v>
      </c>
      <c r="J4493" t="s">
        <v>37</v>
      </c>
      <c r="K4493" t="s">
        <v>26</v>
      </c>
      <c r="L4493">
        <v>3</v>
      </c>
      <c r="M4493">
        <v>0</v>
      </c>
      <c r="N4493">
        <v>1</v>
      </c>
      <c r="O4493" t="s">
        <v>27</v>
      </c>
      <c r="P4493" t="str">
        <f>TEXT(Table1[[#This Row],[order_date]],"yyyy-mm")</f>
        <v>2025-07</v>
      </c>
      <c r="Q4493">
        <f>WEEKNUM(Table1[[#This Row],[order_date]])</f>
        <v>29</v>
      </c>
      <c r="R4493">
        <f>IF(Table1[[#This Row],[order_status]]="completed",1,0)</f>
        <v>0</v>
      </c>
    </row>
    <row r="4494" spans="1:18" x14ac:dyDescent="0.35">
      <c r="A4494">
        <v>4493</v>
      </c>
      <c r="B4494" s="1">
        <v>45977</v>
      </c>
      <c r="C4494">
        <v>1436</v>
      </c>
      <c r="D4494" t="s">
        <v>28</v>
      </c>
      <c r="E4494" t="s">
        <v>29</v>
      </c>
      <c r="F4494" t="s">
        <v>34</v>
      </c>
      <c r="G4494">
        <v>5</v>
      </c>
      <c r="H4494">
        <v>6140</v>
      </c>
      <c r="I4494" t="s">
        <v>35</v>
      </c>
      <c r="J4494" t="s">
        <v>19</v>
      </c>
      <c r="K4494" t="s">
        <v>26</v>
      </c>
      <c r="L4494">
        <v>3</v>
      </c>
      <c r="M4494">
        <v>1</v>
      </c>
      <c r="N4494">
        <v>0</v>
      </c>
      <c r="O4494" t="s">
        <v>21</v>
      </c>
      <c r="P4494" t="str">
        <f>TEXT(Table1[[#This Row],[order_date]],"yyyy-mm")</f>
        <v>2025-11</v>
      </c>
      <c r="Q4494">
        <f>WEEKNUM(Table1[[#This Row],[order_date]])</f>
        <v>47</v>
      </c>
      <c r="R4494">
        <f>IF(Table1[[#This Row],[order_status]]="completed",1,0)</f>
        <v>1</v>
      </c>
    </row>
    <row r="4495" spans="1:18" x14ac:dyDescent="0.35">
      <c r="A4495">
        <v>4494</v>
      </c>
      <c r="B4495" s="1">
        <v>45961</v>
      </c>
      <c r="C4495">
        <v>1145</v>
      </c>
      <c r="D4495" t="s">
        <v>32</v>
      </c>
      <c r="E4495" t="s">
        <v>16</v>
      </c>
      <c r="F4495" t="s">
        <v>17</v>
      </c>
      <c r="G4495">
        <v>3</v>
      </c>
      <c r="H4495">
        <v>0</v>
      </c>
      <c r="I4495" t="s">
        <v>39</v>
      </c>
      <c r="J4495" t="s">
        <v>37</v>
      </c>
      <c r="K4495" t="s">
        <v>26</v>
      </c>
      <c r="L4495">
        <v>1</v>
      </c>
      <c r="M4495">
        <v>1</v>
      </c>
      <c r="N4495">
        <v>1</v>
      </c>
      <c r="O4495" t="s">
        <v>21</v>
      </c>
      <c r="P4495" t="str">
        <f>TEXT(Table1[[#This Row],[order_date]],"yyyy-mm")</f>
        <v>2025-10</v>
      </c>
      <c r="Q4495">
        <f>WEEKNUM(Table1[[#This Row],[order_date]])</f>
        <v>44</v>
      </c>
      <c r="R4495">
        <f>IF(Table1[[#This Row],[order_status]]="completed",1,0)</f>
        <v>0</v>
      </c>
    </row>
    <row r="4496" spans="1:18" x14ac:dyDescent="0.35">
      <c r="A4496">
        <v>4495</v>
      </c>
      <c r="B4496" s="1">
        <v>45941</v>
      </c>
      <c r="C4496">
        <v>1119</v>
      </c>
      <c r="D4496" t="s">
        <v>28</v>
      </c>
      <c r="E4496" t="s">
        <v>23</v>
      </c>
      <c r="F4496" t="s">
        <v>30</v>
      </c>
      <c r="G4496">
        <v>1</v>
      </c>
      <c r="H4496">
        <v>0</v>
      </c>
      <c r="I4496" t="s">
        <v>39</v>
      </c>
      <c r="J4496" t="s">
        <v>31</v>
      </c>
      <c r="K4496" t="s">
        <v>38</v>
      </c>
      <c r="L4496">
        <v>7</v>
      </c>
      <c r="M4496">
        <v>0</v>
      </c>
      <c r="N4496">
        <v>1</v>
      </c>
      <c r="O4496" t="s">
        <v>27</v>
      </c>
      <c r="P4496" t="str">
        <f>TEXT(Table1[[#This Row],[order_date]],"yyyy-mm")</f>
        <v>2025-10</v>
      </c>
      <c r="Q4496">
        <f>WEEKNUM(Table1[[#This Row],[order_date]])</f>
        <v>41</v>
      </c>
      <c r="R4496">
        <f>IF(Table1[[#This Row],[order_status]]="completed",1,0)</f>
        <v>0</v>
      </c>
    </row>
    <row r="4497" spans="1:18" x14ac:dyDescent="0.35">
      <c r="A4497">
        <v>4496</v>
      </c>
      <c r="B4497" s="1">
        <v>45855</v>
      </c>
      <c r="C4497">
        <v>1482</v>
      </c>
      <c r="D4497" t="s">
        <v>32</v>
      </c>
      <c r="E4497" t="s">
        <v>23</v>
      </c>
      <c r="F4497" t="s">
        <v>30</v>
      </c>
      <c r="G4497">
        <v>2</v>
      </c>
      <c r="H4497">
        <v>0</v>
      </c>
      <c r="I4497" t="s">
        <v>18</v>
      </c>
      <c r="J4497" t="s">
        <v>37</v>
      </c>
      <c r="K4497" t="s">
        <v>38</v>
      </c>
      <c r="L4497">
        <v>10</v>
      </c>
      <c r="M4497">
        <v>1</v>
      </c>
      <c r="N4497">
        <v>0</v>
      </c>
      <c r="O4497" t="s">
        <v>27</v>
      </c>
      <c r="P4497" t="str">
        <f>TEXT(Table1[[#This Row],[order_date]],"yyyy-mm")</f>
        <v>2025-07</v>
      </c>
      <c r="Q4497">
        <f>WEEKNUM(Table1[[#This Row],[order_date]])</f>
        <v>29</v>
      </c>
      <c r="R4497">
        <f>IF(Table1[[#This Row],[order_status]]="completed",1,0)</f>
        <v>0</v>
      </c>
    </row>
    <row r="4498" spans="1:18" x14ac:dyDescent="0.35">
      <c r="A4498">
        <v>4497</v>
      </c>
      <c r="B4498" s="1">
        <v>46022</v>
      </c>
      <c r="C4498">
        <v>1426</v>
      </c>
      <c r="D4498" t="s">
        <v>22</v>
      </c>
      <c r="E4498" t="s">
        <v>16</v>
      </c>
      <c r="F4498" t="s">
        <v>17</v>
      </c>
      <c r="G4498">
        <v>2</v>
      </c>
      <c r="H4498">
        <v>3218</v>
      </c>
      <c r="I4498" t="s">
        <v>39</v>
      </c>
      <c r="J4498" t="s">
        <v>19</v>
      </c>
      <c r="K4498" t="s">
        <v>20</v>
      </c>
      <c r="L4498">
        <v>10</v>
      </c>
      <c r="M4498">
        <v>1</v>
      </c>
      <c r="N4498">
        <v>0</v>
      </c>
      <c r="O4498" t="s">
        <v>27</v>
      </c>
      <c r="P4498" t="str">
        <f>TEXT(Table1[[#This Row],[order_date]],"yyyy-mm")</f>
        <v>2025-12</v>
      </c>
      <c r="Q4498">
        <f>WEEKNUM(Table1[[#This Row],[order_date]])</f>
        <v>53</v>
      </c>
      <c r="R4498">
        <f>IF(Table1[[#This Row],[order_status]]="completed",1,0)</f>
        <v>1</v>
      </c>
    </row>
    <row r="4499" spans="1:18" x14ac:dyDescent="0.35">
      <c r="A4499">
        <v>4498</v>
      </c>
      <c r="B4499" s="1">
        <v>45875</v>
      </c>
      <c r="C4499">
        <v>1649</v>
      </c>
      <c r="D4499" t="s">
        <v>28</v>
      </c>
      <c r="E4499" t="s">
        <v>23</v>
      </c>
      <c r="F4499" t="s">
        <v>17</v>
      </c>
      <c r="G4499">
        <v>3</v>
      </c>
      <c r="H4499">
        <v>1809</v>
      </c>
      <c r="I4499" t="s">
        <v>35</v>
      </c>
      <c r="J4499" t="s">
        <v>19</v>
      </c>
      <c r="K4499" t="s">
        <v>38</v>
      </c>
      <c r="L4499">
        <v>9</v>
      </c>
      <c r="M4499">
        <v>1</v>
      </c>
      <c r="N4499">
        <v>0</v>
      </c>
      <c r="O4499" t="s">
        <v>27</v>
      </c>
      <c r="P4499" t="str">
        <f>TEXT(Table1[[#This Row],[order_date]],"yyyy-mm")</f>
        <v>2025-08</v>
      </c>
      <c r="Q4499">
        <f>WEEKNUM(Table1[[#This Row],[order_date]])</f>
        <v>32</v>
      </c>
      <c r="R4499">
        <f>IF(Table1[[#This Row],[order_status]]="completed",1,0)</f>
        <v>1</v>
      </c>
    </row>
    <row r="4500" spans="1:18" x14ac:dyDescent="0.35">
      <c r="A4500">
        <v>4499</v>
      </c>
      <c r="B4500" s="1">
        <v>45978</v>
      </c>
      <c r="C4500">
        <v>1192</v>
      </c>
      <c r="D4500" t="s">
        <v>15</v>
      </c>
      <c r="E4500" t="s">
        <v>23</v>
      </c>
      <c r="F4500" t="s">
        <v>34</v>
      </c>
      <c r="G4500">
        <v>2</v>
      </c>
      <c r="H4500">
        <v>6570</v>
      </c>
      <c r="I4500" t="s">
        <v>35</v>
      </c>
      <c r="J4500" t="s">
        <v>19</v>
      </c>
      <c r="K4500" t="s">
        <v>38</v>
      </c>
      <c r="L4500">
        <v>4</v>
      </c>
      <c r="M4500">
        <v>1</v>
      </c>
      <c r="N4500">
        <v>1</v>
      </c>
      <c r="O4500" t="s">
        <v>27</v>
      </c>
      <c r="P4500" t="str">
        <f>TEXT(Table1[[#This Row],[order_date]],"yyyy-mm")</f>
        <v>2025-11</v>
      </c>
      <c r="Q4500">
        <f>WEEKNUM(Table1[[#This Row],[order_date]])</f>
        <v>47</v>
      </c>
      <c r="R4500">
        <f>IF(Table1[[#This Row],[order_status]]="completed",1,0)</f>
        <v>1</v>
      </c>
    </row>
    <row r="4501" spans="1:18" x14ac:dyDescent="0.35">
      <c r="A4501">
        <v>4500</v>
      </c>
      <c r="B4501" s="1">
        <v>45963</v>
      </c>
      <c r="C4501">
        <v>1408</v>
      </c>
      <c r="D4501" t="s">
        <v>28</v>
      </c>
      <c r="E4501" t="s">
        <v>23</v>
      </c>
      <c r="F4501" t="s">
        <v>34</v>
      </c>
      <c r="G4501">
        <v>1</v>
      </c>
      <c r="H4501">
        <v>3066</v>
      </c>
      <c r="I4501" t="s">
        <v>39</v>
      </c>
      <c r="J4501" t="s">
        <v>19</v>
      </c>
      <c r="K4501" t="s">
        <v>20</v>
      </c>
      <c r="L4501">
        <v>6</v>
      </c>
      <c r="M4501">
        <v>0</v>
      </c>
      <c r="N4501">
        <v>0</v>
      </c>
      <c r="O4501" t="s">
        <v>27</v>
      </c>
      <c r="P4501" t="str">
        <f>TEXT(Table1[[#This Row],[order_date]],"yyyy-mm")</f>
        <v>2025-11</v>
      </c>
      <c r="Q4501">
        <f>WEEKNUM(Table1[[#This Row],[order_date]])</f>
        <v>45</v>
      </c>
      <c r="R4501">
        <f>IF(Table1[[#This Row],[order_status]]="completed",1,0)</f>
        <v>1</v>
      </c>
    </row>
    <row r="4502" spans="1:18" x14ac:dyDescent="0.35">
      <c r="A4502">
        <v>4501</v>
      </c>
      <c r="B4502" s="1">
        <v>45862</v>
      </c>
      <c r="C4502">
        <v>1982</v>
      </c>
      <c r="D4502" t="s">
        <v>22</v>
      </c>
      <c r="E4502" t="s">
        <v>33</v>
      </c>
      <c r="F4502" t="s">
        <v>34</v>
      </c>
      <c r="G4502">
        <v>4</v>
      </c>
      <c r="H4502">
        <v>0</v>
      </c>
      <c r="I4502" t="s">
        <v>18</v>
      </c>
      <c r="J4502" t="s">
        <v>37</v>
      </c>
      <c r="K4502" t="s">
        <v>38</v>
      </c>
      <c r="L4502">
        <v>1</v>
      </c>
      <c r="M4502">
        <v>1</v>
      </c>
      <c r="N4502">
        <v>0</v>
      </c>
      <c r="O4502" t="s">
        <v>27</v>
      </c>
      <c r="P4502" t="str">
        <f>TEXT(Table1[[#This Row],[order_date]],"yyyy-mm")</f>
        <v>2025-07</v>
      </c>
      <c r="Q4502">
        <f>WEEKNUM(Table1[[#This Row],[order_date]])</f>
        <v>30</v>
      </c>
      <c r="R4502">
        <f>IF(Table1[[#This Row],[order_status]]="completed",1,0)</f>
        <v>0</v>
      </c>
    </row>
    <row r="4503" spans="1:18" x14ac:dyDescent="0.35">
      <c r="A4503">
        <v>4502</v>
      </c>
      <c r="B4503" s="1">
        <v>45951</v>
      </c>
      <c r="C4503">
        <v>1632</v>
      </c>
      <c r="D4503" t="s">
        <v>15</v>
      </c>
      <c r="E4503" t="s">
        <v>29</v>
      </c>
      <c r="F4503" t="s">
        <v>24</v>
      </c>
      <c r="G4503">
        <v>3</v>
      </c>
      <c r="H4503">
        <v>0</v>
      </c>
      <c r="I4503" t="s">
        <v>18</v>
      </c>
      <c r="J4503" t="s">
        <v>31</v>
      </c>
      <c r="K4503" t="s">
        <v>38</v>
      </c>
      <c r="L4503">
        <v>10</v>
      </c>
      <c r="M4503">
        <v>0</v>
      </c>
      <c r="N4503">
        <v>1</v>
      </c>
      <c r="O4503" t="s">
        <v>27</v>
      </c>
      <c r="P4503" t="str">
        <f>TEXT(Table1[[#This Row],[order_date]],"yyyy-mm")</f>
        <v>2025-10</v>
      </c>
      <c r="Q4503">
        <f>WEEKNUM(Table1[[#This Row],[order_date]])</f>
        <v>43</v>
      </c>
      <c r="R4503">
        <f>IF(Table1[[#This Row],[order_status]]="completed",1,0)</f>
        <v>0</v>
      </c>
    </row>
    <row r="4504" spans="1:18" x14ac:dyDescent="0.35">
      <c r="A4504">
        <v>4503</v>
      </c>
      <c r="B4504" s="1">
        <v>45887</v>
      </c>
      <c r="C4504">
        <v>1507</v>
      </c>
      <c r="D4504" t="s">
        <v>28</v>
      </c>
      <c r="E4504" t="s">
        <v>23</v>
      </c>
      <c r="F4504" t="s">
        <v>30</v>
      </c>
      <c r="G4504">
        <v>5</v>
      </c>
      <c r="H4504">
        <v>0</v>
      </c>
      <c r="I4504" t="s">
        <v>35</v>
      </c>
      <c r="J4504" t="s">
        <v>37</v>
      </c>
      <c r="K4504" t="s">
        <v>20</v>
      </c>
      <c r="L4504">
        <v>9</v>
      </c>
      <c r="M4504">
        <v>0</v>
      </c>
      <c r="N4504">
        <v>0</v>
      </c>
      <c r="O4504" t="s">
        <v>27</v>
      </c>
      <c r="P4504" t="str">
        <f>TEXT(Table1[[#This Row],[order_date]],"yyyy-mm")</f>
        <v>2025-08</v>
      </c>
      <c r="Q4504">
        <f>WEEKNUM(Table1[[#This Row],[order_date]])</f>
        <v>34</v>
      </c>
      <c r="R4504">
        <f>IF(Table1[[#This Row],[order_status]]="completed",1,0)</f>
        <v>0</v>
      </c>
    </row>
    <row r="4505" spans="1:18" x14ac:dyDescent="0.35">
      <c r="A4505">
        <v>4504</v>
      </c>
      <c r="B4505" s="1">
        <v>45897</v>
      </c>
      <c r="C4505">
        <v>1692</v>
      </c>
      <c r="D4505" t="s">
        <v>22</v>
      </c>
      <c r="E4505" t="s">
        <v>29</v>
      </c>
      <c r="F4505" t="s">
        <v>30</v>
      </c>
      <c r="G4505">
        <v>3</v>
      </c>
      <c r="H4505">
        <v>14367</v>
      </c>
      <c r="I4505" t="s">
        <v>39</v>
      </c>
      <c r="J4505" t="s">
        <v>19</v>
      </c>
      <c r="K4505" t="s">
        <v>26</v>
      </c>
      <c r="L4505">
        <v>4</v>
      </c>
      <c r="M4505">
        <v>0</v>
      </c>
      <c r="N4505">
        <v>1</v>
      </c>
      <c r="O4505" t="s">
        <v>21</v>
      </c>
      <c r="P4505" t="str">
        <f>TEXT(Table1[[#This Row],[order_date]],"yyyy-mm")</f>
        <v>2025-08</v>
      </c>
      <c r="Q4505">
        <f>WEEKNUM(Table1[[#This Row],[order_date]])</f>
        <v>35</v>
      </c>
      <c r="R4505">
        <f>IF(Table1[[#This Row],[order_status]]="completed",1,0)</f>
        <v>1</v>
      </c>
    </row>
    <row r="4506" spans="1:18" x14ac:dyDescent="0.35">
      <c r="A4506">
        <v>4505</v>
      </c>
      <c r="B4506" s="1">
        <v>45893</v>
      </c>
      <c r="C4506">
        <v>1721</v>
      </c>
      <c r="D4506" t="s">
        <v>32</v>
      </c>
      <c r="E4506" t="s">
        <v>36</v>
      </c>
      <c r="F4506" t="s">
        <v>34</v>
      </c>
      <c r="G4506">
        <v>3</v>
      </c>
      <c r="H4506">
        <v>0</v>
      </c>
      <c r="I4506" t="s">
        <v>39</v>
      </c>
      <c r="J4506" t="s">
        <v>31</v>
      </c>
      <c r="K4506" t="s">
        <v>38</v>
      </c>
      <c r="L4506">
        <v>2</v>
      </c>
      <c r="M4506">
        <v>0</v>
      </c>
      <c r="N4506">
        <v>0</v>
      </c>
      <c r="O4506" t="s">
        <v>27</v>
      </c>
      <c r="P4506" t="str">
        <f>TEXT(Table1[[#This Row],[order_date]],"yyyy-mm")</f>
        <v>2025-08</v>
      </c>
      <c r="Q4506">
        <f>WEEKNUM(Table1[[#This Row],[order_date]])</f>
        <v>35</v>
      </c>
      <c r="R4506">
        <f>IF(Table1[[#This Row],[order_status]]="completed",1,0)</f>
        <v>0</v>
      </c>
    </row>
    <row r="4507" spans="1:18" x14ac:dyDescent="0.35">
      <c r="A4507">
        <v>4506</v>
      </c>
      <c r="B4507" s="1">
        <v>45922</v>
      </c>
      <c r="C4507">
        <v>1919</v>
      </c>
      <c r="D4507" t="s">
        <v>28</v>
      </c>
      <c r="E4507" t="s">
        <v>33</v>
      </c>
      <c r="F4507" t="s">
        <v>24</v>
      </c>
      <c r="G4507">
        <v>2</v>
      </c>
      <c r="H4507">
        <v>0</v>
      </c>
      <c r="I4507" t="s">
        <v>35</v>
      </c>
      <c r="J4507" t="s">
        <v>37</v>
      </c>
      <c r="K4507" t="s">
        <v>38</v>
      </c>
      <c r="L4507">
        <v>4</v>
      </c>
      <c r="M4507">
        <v>1</v>
      </c>
      <c r="N4507">
        <v>0</v>
      </c>
      <c r="O4507" t="s">
        <v>27</v>
      </c>
      <c r="P4507" t="str">
        <f>TEXT(Table1[[#This Row],[order_date]],"yyyy-mm")</f>
        <v>2025-09</v>
      </c>
      <c r="Q4507">
        <f>WEEKNUM(Table1[[#This Row],[order_date]])</f>
        <v>39</v>
      </c>
      <c r="R4507">
        <f>IF(Table1[[#This Row],[order_status]]="completed",1,0)</f>
        <v>0</v>
      </c>
    </row>
    <row r="4508" spans="1:18" x14ac:dyDescent="0.35">
      <c r="A4508">
        <v>4507</v>
      </c>
      <c r="B4508" s="1">
        <v>45928</v>
      </c>
      <c r="C4508">
        <v>1251</v>
      </c>
      <c r="D4508" t="s">
        <v>15</v>
      </c>
      <c r="E4508" t="s">
        <v>23</v>
      </c>
      <c r="F4508" t="s">
        <v>17</v>
      </c>
      <c r="G4508">
        <v>4</v>
      </c>
      <c r="H4508">
        <v>5716</v>
      </c>
      <c r="I4508" t="s">
        <v>39</v>
      </c>
      <c r="J4508" t="s">
        <v>19</v>
      </c>
      <c r="K4508" t="s">
        <v>26</v>
      </c>
      <c r="L4508">
        <v>3</v>
      </c>
      <c r="M4508">
        <v>0</v>
      </c>
      <c r="N4508">
        <v>0</v>
      </c>
      <c r="O4508" t="s">
        <v>21</v>
      </c>
      <c r="P4508" t="str">
        <f>TEXT(Table1[[#This Row],[order_date]],"yyyy-mm")</f>
        <v>2025-09</v>
      </c>
      <c r="Q4508">
        <f>WEEKNUM(Table1[[#This Row],[order_date]])</f>
        <v>40</v>
      </c>
      <c r="R4508">
        <f>IF(Table1[[#This Row],[order_status]]="completed",1,0)</f>
        <v>1</v>
      </c>
    </row>
    <row r="4509" spans="1:18" x14ac:dyDescent="0.35">
      <c r="A4509">
        <v>4508</v>
      </c>
      <c r="B4509" s="1">
        <v>45929</v>
      </c>
      <c r="C4509">
        <v>1220</v>
      </c>
      <c r="D4509" t="s">
        <v>15</v>
      </c>
      <c r="E4509" t="s">
        <v>29</v>
      </c>
      <c r="F4509" t="s">
        <v>17</v>
      </c>
      <c r="G4509">
        <v>1</v>
      </c>
      <c r="H4509">
        <v>2331</v>
      </c>
      <c r="I4509" t="s">
        <v>25</v>
      </c>
      <c r="J4509" t="s">
        <v>19</v>
      </c>
      <c r="K4509" t="s">
        <v>38</v>
      </c>
      <c r="L4509">
        <v>3</v>
      </c>
      <c r="M4509">
        <v>1</v>
      </c>
      <c r="N4509">
        <v>0</v>
      </c>
      <c r="O4509" t="s">
        <v>27</v>
      </c>
      <c r="P4509" t="str">
        <f>TEXT(Table1[[#This Row],[order_date]],"yyyy-mm")</f>
        <v>2025-09</v>
      </c>
      <c r="Q4509">
        <f>WEEKNUM(Table1[[#This Row],[order_date]])</f>
        <v>40</v>
      </c>
      <c r="R4509">
        <f>IF(Table1[[#This Row],[order_status]]="completed",1,0)</f>
        <v>1</v>
      </c>
    </row>
    <row r="4510" spans="1:18" x14ac:dyDescent="0.35">
      <c r="A4510">
        <v>4509</v>
      </c>
      <c r="B4510" s="1">
        <v>45961</v>
      </c>
      <c r="C4510">
        <v>1758</v>
      </c>
      <c r="D4510" t="s">
        <v>22</v>
      </c>
      <c r="E4510" t="s">
        <v>29</v>
      </c>
      <c r="F4510" t="s">
        <v>17</v>
      </c>
      <c r="G4510">
        <v>4</v>
      </c>
      <c r="H4510">
        <v>0</v>
      </c>
      <c r="I4510" t="s">
        <v>25</v>
      </c>
      <c r="J4510" t="s">
        <v>31</v>
      </c>
      <c r="K4510" t="s">
        <v>26</v>
      </c>
      <c r="L4510">
        <v>4</v>
      </c>
      <c r="M4510">
        <v>1</v>
      </c>
      <c r="N4510">
        <v>0</v>
      </c>
      <c r="O4510" t="s">
        <v>21</v>
      </c>
      <c r="P4510" t="str">
        <f>TEXT(Table1[[#This Row],[order_date]],"yyyy-mm")</f>
        <v>2025-10</v>
      </c>
      <c r="Q4510">
        <f>WEEKNUM(Table1[[#This Row],[order_date]])</f>
        <v>44</v>
      </c>
      <c r="R4510">
        <f>IF(Table1[[#This Row],[order_status]]="completed",1,0)</f>
        <v>0</v>
      </c>
    </row>
    <row r="4511" spans="1:18" x14ac:dyDescent="0.35">
      <c r="A4511">
        <v>4510</v>
      </c>
      <c r="B4511" s="1">
        <v>45939</v>
      </c>
      <c r="C4511">
        <v>1856</v>
      </c>
      <c r="D4511" t="s">
        <v>32</v>
      </c>
      <c r="E4511" t="s">
        <v>33</v>
      </c>
      <c r="F4511" t="s">
        <v>17</v>
      </c>
      <c r="G4511">
        <v>2</v>
      </c>
      <c r="H4511">
        <v>0</v>
      </c>
      <c r="I4511" t="s">
        <v>39</v>
      </c>
      <c r="J4511" t="s">
        <v>37</v>
      </c>
      <c r="K4511" t="s">
        <v>26</v>
      </c>
      <c r="L4511">
        <v>2</v>
      </c>
      <c r="M4511">
        <v>0</v>
      </c>
      <c r="N4511">
        <v>1</v>
      </c>
      <c r="O4511" t="s">
        <v>27</v>
      </c>
      <c r="P4511" t="str">
        <f>TEXT(Table1[[#This Row],[order_date]],"yyyy-mm")</f>
        <v>2025-10</v>
      </c>
      <c r="Q4511">
        <f>WEEKNUM(Table1[[#This Row],[order_date]])</f>
        <v>41</v>
      </c>
      <c r="R4511">
        <f>IF(Table1[[#This Row],[order_status]]="completed",1,0)</f>
        <v>0</v>
      </c>
    </row>
    <row r="4512" spans="1:18" x14ac:dyDescent="0.35">
      <c r="A4512">
        <v>4511</v>
      </c>
      <c r="B4512" s="1">
        <v>45982</v>
      </c>
      <c r="C4512">
        <v>1568</v>
      </c>
      <c r="D4512" t="s">
        <v>32</v>
      </c>
      <c r="E4512" t="s">
        <v>16</v>
      </c>
      <c r="F4512" t="s">
        <v>17</v>
      </c>
      <c r="G4512">
        <v>2</v>
      </c>
      <c r="H4512">
        <v>0</v>
      </c>
      <c r="I4512" t="s">
        <v>35</v>
      </c>
      <c r="J4512" t="s">
        <v>31</v>
      </c>
      <c r="K4512" t="s">
        <v>40</v>
      </c>
      <c r="L4512">
        <v>4</v>
      </c>
      <c r="M4512">
        <v>1</v>
      </c>
      <c r="N4512">
        <v>1</v>
      </c>
      <c r="O4512" t="s">
        <v>21</v>
      </c>
      <c r="P4512" t="str">
        <f>TEXT(Table1[[#This Row],[order_date]],"yyyy-mm")</f>
        <v>2025-11</v>
      </c>
      <c r="Q4512">
        <f>WEEKNUM(Table1[[#This Row],[order_date]])</f>
        <v>47</v>
      </c>
      <c r="R4512">
        <f>IF(Table1[[#This Row],[order_status]]="completed",1,0)</f>
        <v>0</v>
      </c>
    </row>
    <row r="4513" spans="1:18" x14ac:dyDescent="0.35">
      <c r="A4513">
        <v>4512</v>
      </c>
      <c r="B4513" s="1">
        <v>45981</v>
      </c>
      <c r="C4513">
        <v>1145</v>
      </c>
      <c r="D4513" t="s">
        <v>22</v>
      </c>
      <c r="E4513" t="s">
        <v>16</v>
      </c>
      <c r="F4513" t="s">
        <v>30</v>
      </c>
      <c r="G4513">
        <v>3</v>
      </c>
      <c r="H4513">
        <v>11898</v>
      </c>
      <c r="I4513" t="s">
        <v>39</v>
      </c>
      <c r="J4513" t="s">
        <v>19</v>
      </c>
      <c r="K4513" t="s">
        <v>26</v>
      </c>
      <c r="L4513">
        <v>6</v>
      </c>
      <c r="M4513">
        <v>0</v>
      </c>
      <c r="N4513">
        <v>0</v>
      </c>
      <c r="O4513" t="s">
        <v>21</v>
      </c>
      <c r="P4513" t="str">
        <f>TEXT(Table1[[#This Row],[order_date]],"yyyy-mm")</f>
        <v>2025-11</v>
      </c>
      <c r="Q4513">
        <f>WEEKNUM(Table1[[#This Row],[order_date]])</f>
        <v>47</v>
      </c>
      <c r="R4513">
        <f>IF(Table1[[#This Row],[order_status]]="completed",1,0)</f>
        <v>1</v>
      </c>
    </row>
    <row r="4514" spans="1:18" x14ac:dyDescent="0.35">
      <c r="A4514">
        <v>4513</v>
      </c>
      <c r="B4514" s="1">
        <v>46021</v>
      </c>
      <c r="C4514">
        <v>1468</v>
      </c>
      <c r="D4514" t="s">
        <v>41</v>
      </c>
      <c r="E4514" t="s">
        <v>33</v>
      </c>
      <c r="F4514" t="s">
        <v>17</v>
      </c>
      <c r="G4514">
        <v>1</v>
      </c>
      <c r="H4514">
        <v>0</v>
      </c>
      <c r="I4514" t="s">
        <v>18</v>
      </c>
      <c r="J4514" t="s">
        <v>31</v>
      </c>
      <c r="K4514" t="s">
        <v>38</v>
      </c>
      <c r="L4514">
        <v>1</v>
      </c>
      <c r="M4514">
        <v>0</v>
      </c>
      <c r="N4514">
        <v>0</v>
      </c>
      <c r="O4514" t="s">
        <v>27</v>
      </c>
      <c r="P4514" t="str">
        <f>TEXT(Table1[[#This Row],[order_date]],"yyyy-mm")</f>
        <v>2025-12</v>
      </c>
      <c r="Q4514">
        <f>WEEKNUM(Table1[[#This Row],[order_date]])</f>
        <v>53</v>
      </c>
      <c r="R4514">
        <f>IF(Table1[[#This Row],[order_status]]="completed",1,0)</f>
        <v>0</v>
      </c>
    </row>
    <row r="4515" spans="1:18" x14ac:dyDescent="0.35">
      <c r="A4515">
        <v>4514</v>
      </c>
      <c r="B4515" s="1">
        <v>45903</v>
      </c>
      <c r="C4515">
        <v>1579</v>
      </c>
      <c r="D4515" t="s">
        <v>28</v>
      </c>
      <c r="E4515" t="s">
        <v>29</v>
      </c>
      <c r="F4515" t="s">
        <v>24</v>
      </c>
      <c r="G4515">
        <v>5</v>
      </c>
      <c r="H4515">
        <v>0</v>
      </c>
      <c r="I4515" t="s">
        <v>18</v>
      </c>
      <c r="J4515" t="s">
        <v>37</v>
      </c>
      <c r="K4515" t="s">
        <v>38</v>
      </c>
      <c r="L4515">
        <v>3</v>
      </c>
      <c r="M4515">
        <v>0</v>
      </c>
      <c r="N4515">
        <v>0</v>
      </c>
      <c r="O4515" t="s">
        <v>21</v>
      </c>
      <c r="P4515" t="str">
        <f>TEXT(Table1[[#This Row],[order_date]],"yyyy-mm")</f>
        <v>2025-09</v>
      </c>
      <c r="Q4515">
        <f>WEEKNUM(Table1[[#This Row],[order_date]])</f>
        <v>36</v>
      </c>
      <c r="R4515">
        <f>IF(Table1[[#This Row],[order_status]]="completed",1,0)</f>
        <v>0</v>
      </c>
    </row>
    <row r="4516" spans="1:18" x14ac:dyDescent="0.35">
      <c r="A4516">
        <v>4515</v>
      </c>
      <c r="B4516" s="1">
        <v>45867</v>
      </c>
      <c r="C4516">
        <v>1964</v>
      </c>
      <c r="D4516" t="s">
        <v>32</v>
      </c>
      <c r="E4516" t="s">
        <v>23</v>
      </c>
      <c r="F4516" t="s">
        <v>30</v>
      </c>
      <c r="G4516">
        <v>3</v>
      </c>
      <c r="H4516">
        <v>0</v>
      </c>
      <c r="I4516" t="s">
        <v>18</v>
      </c>
      <c r="J4516" t="s">
        <v>37</v>
      </c>
      <c r="K4516" t="s">
        <v>38</v>
      </c>
      <c r="L4516">
        <v>3</v>
      </c>
      <c r="M4516">
        <v>0</v>
      </c>
      <c r="N4516">
        <v>1</v>
      </c>
      <c r="O4516" t="s">
        <v>27</v>
      </c>
      <c r="P4516" t="str">
        <f>TEXT(Table1[[#This Row],[order_date]],"yyyy-mm")</f>
        <v>2025-07</v>
      </c>
      <c r="Q4516">
        <f>WEEKNUM(Table1[[#This Row],[order_date]])</f>
        <v>31</v>
      </c>
      <c r="R4516">
        <f>IF(Table1[[#This Row],[order_status]]="completed",1,0)</f>
        <v>0</v>
      </c>
    </row>
    <row r="4517" spans="1:18" x14ac:dyDescent="0.35">
      <c r="A4517">
        <v>4516</v>
      </c>
      <c r="B4517" s="1">
        <v>45914</v>
      </c>
      <c r="C4517">
        <v>1640</v>
      </c>
      <c r="D4517" t="s">
        <v>22</v>
      </c>
      <c r="E4517" t="s">
        <v>29</v>
      </c>
      <c r="F4517" t="s">
        <v>24</v>
      </c>
      <c r="G4517">
        <v>5</v>
      </c>
      <c r="H4517">
        <v>1565</v>
      </c>
      <c r="I4517" t="s">
        <v>25</v>
      </c>
      <c r="J4517" t="s">
        <v>19</v>
      </c>
      <c r="K4517" t="s">
        <v>40</v>
      </c>
      <c r="L4517">
        <v>4</v>
      </c>
      <c r="M4517">
        <v>0</v>
      </c>
      <c r="N4517">
        <v>1</v>
      </c>
      <c r="O4517" t="s">
        <v>21</v>
      </c>
      <c r="P4517" t="str">
        <f>TEXT(Table1[[#This Row],[order_date]],"yyyy-mm")</f>
        <v>2025-09</v>
      </c>
      <c r="Q4517">
        <f>WEEKNUM(Table1[[#This Row],[order_date]])</f>
        <v>38</v>
      </c>
      <c r="R4517">
        <f>IF(Table1[[#This Row],[order_status]]="completed",1,0)</f>
        <v>1</v>
      </c>
    </row>
    <row r="4518" spans="1:18" x14ac:dyDescent="0.35">
      <c r="A4518">
        <v>4517</v>
      </c>
      <c r="B4518" s="1">
        <v>45968</v>
      </c>
      <c r="C4518">
        <v>1296</v>
      </c>
      <c r="D4518" t="s">
        <v>41</v>
      </c>
      <c r="E4518" t="s">
        <v>16</v>
      </c>
      <c r="F4518" t="s">
        <v>34</v>
      </c>
      <c r="G4518">
        <v>4</v>
      </c>
      <c r="H4518">
        <v>0</v>
      </c>
      <c r="I4518" t="s">
        <v>39</v>
      </c>
      <c r="J4518" t="s">
        <v>31</v>
      </c>
      <c r="K4518" t="s">
        <v>40</v>
      </c>
      <c r="L4518">
        <v>3</v>
      </c>
      <c r="M4518">
        <v>0</v>
      </c>
      <c r="N4518">
        <v>1</v>
      </c>
      <c r="O4518" t="s">
        <v>27</v>
      </c>
      <c r="P4518" t="str">
        <f>TEXT(Table1[[#This Row],[order_date]],"yyyy-mm")</f>
        <v>2025-11</v>
      </c>
      <c r="Q4518">
        <f>WEEKNUM(Table1[[#This Row],[order_date]])</f>
        <v>45</v>
      </c>
      <c r="R4518">
        <f>IF(Table1[[#This Row],[order_status]]="completed",1,0)</f>
        <v>0</v>
      </c>
    </row>
    <row r="4519" spans="1:18" x14ac:dyDescent="0.35">
      <c r="A4519">
        <v>4518</v>
      </c>
      <c r="B4519" s="1">
        <v>45983</v>
      </c>
      <c r="C4519">
        <v>1048</v>
      </c>
      <c r="D4519" t="s">
        <v>28</v>
      </c>
      <c r="E4519" t="s">
        <v>33</v>
      </c>
      <c r="F4519" t="s">
        <v>30</v>
      </c>
      <c r="G4519">
        <v>4</v>
      </c>
      <c r="H4519">
        <v>0</v>
      </c>
      <c r="I4519" t="s">
        <v>35</v>
      </c>
      <c r="J4519" t="s">
        <v>37</v>
      </c>
      <c r="K4519" t="s">
        <v>26</v>
      </c>
      <c r="L4519">
        <v>6</v>
      </c>
      <c r="M4519">
        <v>1</v>
      </c>
      <c r="N4519">
        <v>0</v>
      </c>
      <c r="O4519" t="s">
        <v>21</v>
      </c>
      <c r="P4519" t="str">
        <f>TEXT(Table1[[#This Row],[order_date]],"yyyy-mm")</f>
        <v>2025-11</v>
      </c>
      <c r="Q4519">
        <f>WEEKNUM(Table1[[#This Row],[order_date]])</f>
        <v>47</v>
      </c>
      <c r="R4519">
        <f>IF(Table1[[#This Row],[order_status]]="completed",1,0)</f>
        <v>0</v>
      </c>
    </row>
    <row r="4520" spans="1:18" x14ac:dyDescent="0.35">
      <c r="A4520">
        <v>4519</v>
      </c>
      <c r="B4520" s="1">
        <v>46017</v>
      </c>
      <c r="C4520">
        <v>1670</v>
      </c>
      <c r="D4520" t="s">
        <v>32</v>
      </c>
      <c r="E4520" t="s">
        <v>36</v>
      </c>
      <c r="F4520" t="s">
        <v>34</v>
      </c>
      <c r="G4520">
        <v>2</v>
      </c>
      <c r="H4520">
        <v>0</v>
      </c>
      <c r="I4520" t="s">
        <v>39</v>
      </c>
      <c r="J4520" t="s">
        <v>37</v>
      </c>
      <c r="K4520" t="s">
        <v>38</v>
      </c>
      <c r="L4520">
        <v>5</v>
      </c>
      <c r="M4520">
        <v>1</v>
      </c>
      <c r="N4520">
        <v>1</v>
      </c>
      <c r="O4520" t="s">
        <v>21</v>
      </c>
      <c r="P4520" t="str">
        <f>TEXT(Table1[[#This Row],[order_date]],"yyyy-mm")</f>
        <v>2025-12</v>
      </c>
      <c r="Q4520">
        <f>WEEKNUM(Table1[[#This Row],[order_date]])</f>
        <v>52</v>
      </c>
      <c r="R4520">
        <f>IF(Table1[[#This Row],[order_status]]="completed",1,0)</f>
        <v>0</v>
      </c>
    </row>
    <row r="4521" spans="1:18" x14ac:dyDescent="0.35">
      <c r="A4521">
        <v>4520</v>
      </c>
      <c r="B4521" s="1">
        <v>46028</v>
      </c>
      <c r="C4521">
        <v>1015</v>
      </c>
      <c r="D4521" t="s">
        <v>22</v>
      </c>
      <c r="E4521" t="s">
        <v>23</v>
      </c>
      <c r="F4521" t="s">
        <v>17</v>
      </c>
      <c r="G4521">
        <v>4</v>
      </c>
      <c r="H4521">
        <v>0</v>
      </c>
      <c r="I4521" t="s">
        <v>35</v>
      </c>
      <c r="J4521" t="s">
        <v>31</v>
      </c>
      <c r="K4521" t="s">
        <v>38</v>
      </c>
      <c r="L4521">
        <v>5</v>
      </c>
      <c r="M4521">
        <v>1</v>
      </c>
      <c r="N4521">
        <v>1</v>
      </c>
      <c r="O4521" t="s">
        <v>21</v>
      </c>
      <c r="P4521" t="str">
        <f>TEXT(Table1[[#This Row],[order_date]],"yyyy-mm")</f>
        <v>2026-01</v>
      </c>
      <c r="Q4521">
        <f>WEEKNUM(Table1[[#This Row],[order_date]])</f>
        <v>2</v>
      </c>
      <c r="R4521">
        <f>IF(Table1[[#This Row],[order_status]]="completed",1,0)</f>
        <v>0</v>
      </c>
    </row>
    <row r="4522" spans="1:18" x14ac:dyDescent="0.35">
      <c r="A4522">
        <v>4521</v>
      </c>
      <c r="B4522" s="1">
        <v>45994</v>
      </c>
      <c r="C4522">
        <v>1051</v>
      </c>
      <c r="D4522" t="s">
        <v>32</v>
      </c>
      <c r="E4522" t="s">
        <v>33</v>
      </c>
      <c r="F4522" t="s">
        <v>17</v>
      </c>
      <c r="G4522">
        <v>4</v>
      </c>
      <c r="H4522">
        <v>10980</v>
      </c>
      <c r="I4522" t="s">
        <v>39</v>
      </c>
      <c r="J4522" t="s">
        <v>19</v>
      </c>
      <c r="K4522" t="s">
        <v>40</v>
      </c>
      <c r="L4522">
        <v>6</v>
      </c>
      <c r="M4522">
        <v>1</v>
      </c>
      <c r="N4522">
        <v>0</v>
      </c>
      <c r="O4522" t="s">
        <v>21</v>
      </c>
      <c r="P4522" t="str">
        <f>TEXT(Table1[[#This Row],[order_date]],"yyyy-mm")</f>
        <v>2025-12</v>
      </c>
      <c r="Q4522">
        <f>WEEKNUM(Table1[[#This Row],[order_date]])</f>
        <v>49</v>
      </c>
      <c r="R4522">
        <f>IF(Table1[[#This Row],[order_status]]="completed",1,0)</f>
        <v>1</v>
      </c>
    </row>
    <row r="4523" spans="1:18" x14ac:dyDescent="0.35">
      <c r="A4523">
        <v>4522</v>
      </c>
      <c r="B4523" s="1">
        <v>45954</v>
      </c>
      <c r="C4523">
        <v>1586</v>
      </c>
      <c r="D4523" t="s">
        <v>32</v>
      </c>
      <c r="E4523" t="s">
        <v>33</v>
      </c>
      <c r="F4523" t="s">
        <v>24</v>
      </c>
      <c r="G4523">
        <v>3</v>
      </c>
      <c r="H4523">
        <v>0</v>
      </c>
      <c r="I4523" t="s">
        <v>39</v>
      </c>
      <c r="J4523" t="s">
        <v>31</v>
      </c>
      <c r="K4523" t="s">
        <v>26</v>
      </c>
      <c r="L4523">
        <v>7</v>
      </c>
      <c r="M4523">
        <v>0</v>
      </c>
      <c r="N4523">
        <v>1</v>
      </c>
      <c r="O4523" t="s">
        <v>27</v>
      </c>
      <c r="P4523" t="str">
        <f>TEXT(Table1[[#This Row],[order_date]],"yyyy-mm")</f>
        <v>2025-10</v>
      </c>
      <c r="Q4523">
        <f>WEEKNUM(Table1[[#This Row],[order_date]])</f>
        <v>43</v>
      </c>
      <c r="R4523">
        <f>IF(Table1[[#This Row],[order_status]]="completed",1,0)</f>
        <v>0</v>
      </c>
    </row>
    <row r="4524" spans="1:18" x14ac:dyDescent="0.35">
      <c r="A4524">
        <v>4523</v>
      </c>
      <c r="B4524" s="1">
        <v>45914</v>
      </c>
      <c r="C4524">
        <v>1800</v>
      </c>
      <c r="D4524" t="s">
        <v>28</v>
      </c>
      <c r="E4524" t="s">
        <v>23</v>
      </c>
      <c r="F4524" t="s">
        <v>34</v>
      </c>
      <c r="G4524">
        <v>3</v>
      </c>
      <c r="H4524">
        <v>14571</v>
      </c>
      <c r="I4524" t="s">
        <v>18</v>
      </c>
      <c r="J4524" t="s">
        <v>19</v>
      </c>
      <c r="K4524" t="s">
        <v>20</v>
      </c>
      <c r="L4524">
        <v>3</v>
      </c>
      <c r="M4524">
        <v>1</v>
      </c>
      <c r="N4524">
        <v>1</v>
      </c>
      <c r="O4524" t="s">
        <v>21</v>
      </c>
      <c r="P4524" t="str">
        <f>TEXT(Table1[[#This Row],[order_date]],"yyyy-mm")</f>
        <v>2025-09</v>
      </c>
      <c r="Q4524">
        <f>WEEKNUM(Table1[[#This Row],[order_date]])</f>
        <v>38</v>
      </c>
      <c r="R4524">
        <f>IF(Table1[[#This Row],[order_status]]="completed",1,0)</f>
        <v>1</v>
      </c>
    </row>
    <row r="4525" spans="1:18" x14ac:dyDescent="0.35">
      <c r="A4525">
        <v>4524</v>
      </c>
      <c r="B4525" s="1">
        <v>45853</v>
      </c>
      <c r="C4525">
        <v>1753</v>
      </c>
      <c r="D4525" t="s">
        <v>32</v>
      </c>
      <c r="E4525" t="s">
        <v>29</v>
      </c>
      <c r="F4525" t="s">
        <v>34</v>
      </c>
      <c r="G4525">
        <v>5</v>
      </c>
      <c r="H4525">
        <v>0</v>
      </c>
      <c r="I4525" t="s">
        <v>25</v>
      </c>
      <c r="J4525" t="s">
        <v>31</v>
      </c>
      <c r="K4525" t="s">
        <v>26</v>
      </c>
      <c r="L4525">
        <v>3</v>
      </c>
      <c r="M4525">
        <v>1</v>
      </c>
      <c r="N4525">
        <v>0</v>
      </c>
      <c r="O4525" t="s">
        <v>27</v>
      </c>
      <c r="P4525" t="str">
        <f>TEXT(Table1[[#This Row],[order_date]],"yyyy-mm")</f>
        <v>2025-07</v>
      </c>
      <c r="Q4525">
        <f>WEEKNUM(Table1[[#This Row],[order_date]])</f>
        <v>29</v>
      </c>
      <c r="R4525">
        <f>IF(Table1[[#This Row],[order_status]]="completed",1,0)</f>
        <v>0</v>
      </c>
    </row>
    <row r="4526" spans="1:18" x14ac:dyDescent="0.35">
      <c r="A4526">
        <v>4525</v>
      </c>
      <c r="B4526" s="1">
        <v>45938</v>
      </c>
      <c r="C4526">
        <v>1359</v>
      </c>
      <c r="D4526" t="s">
        <v>22</v>
      </c>
      <c r="E4526" t="s">
        <v>33</v>
      </c>
      <c r="F4526" t="s">
        <v>24</v>
      </c>
      <c r="G4526">
        <v>2</v>
      </c>
      <c r="H4526">
        <v>0</v>
      </c>
      <c r="I4526" t="s">
        <v>35</v>
      </c>
      <c r="J4526" t="s">
        <v>31</v>
      </c>
      <c r="K4526" t="s">
        <v>40</v>
      </c>
      <c r="L4526">
        <v>4</v>
      </c>
      <c r="M4526">
        <v>1</v>
      </c>
      <c r="N4526">
        <v>0</v>
      </c>
      <c r="O4526" t="s">
        <v>27</v>
      </c>
      <c r="P4526" t="str">
        <f>TEXT(Table1[[#This Row],[order_date]],"yyyy-mm")</f>
        <v>2025-10</v>
      </c>
      <c r="Q4526">
        <f>WEEKNUM(Table1[[#This Row],[order_date]])</f>
        <v>41</v>
      </c>
      <c r="R4526">
        <f>IF(Table1[[#This Row],[order_status]]="completed",1,0)</f>
        <v>0</v>
      </c>
    </row>
    <row r="4527" spans="1:18" x14ac:dyDescent="0.35">
      <c r="A4527">
        <v>4526</v>
      </c>
      <c r="B4527" s="1">
        <v>45888</v>
      </c>
      <c r="C4527">
        <v>1733</v>
      </c>
      <c r="D4527" t="s">
        <v>32</v>
      </c>
      <c r="E4527" t="s">
        <v>23</v>
      </c>
      <c r="F4527" t="s">
        <v>34</v>
      </c>
      <c r="G4527">
        <v>2</v>
      </c>
      <c r="H4527">
        <v>0</v>
      </c>
      <c r="I4527" t="s">
        <v>39</v>
      </c>
      <c r="J4527" t="s">
        <v>31</v>
      </c>
      <c r="K4527" t="s">
        <v>40</v>
      </c>
      <c r="L4527">
        <v>5</v>
      </c>
      <c r="M4527">
        <v>1</v>
      </c>
      <c r="N4527">
        <v>1</v>
      </c>
      <c r="O4527" t="s">
        <v>21</v>
      </c>
      <c r="P4527" t="str">
        <f>TEXT(Table1[[#This Row],[order_date]],"yyyy-mm")</f>
        <v>2025-08</v>
      </c>
      <c r="Q4527">
        <f>WEEKNUM(Table1[[#This Row],[order_date]])</f>
        <v>34</v>
      </c>
      <c r="R4527">
        <f>IF(Table1[[#This Row],[order_status]]="completed",1,0)</f>
        <v>0</v>
      </c>
    </row>
    <row r="4528" spans="1:18" x14ac:dyDescent="0.35">
      <c r="A4528">
        <v>4527</v>
      </c>
      <c r="B4528" s="1">
        <v>45896</v>
      </c>
      <c r="C4528">
        <v>1498</v>
      </c>
      <c r="D4528" t="s">
        <v>22</v>
      </c>
      <c r="E4528" t="s">
        <v>36</v>
      </c>
      <c r="F4528" t="s">
        <v>17</v>
      </c>
      <c r="G4528">
        <v>2</v>
      </c>
      <c r="H4528">
        <v>0</v>
      </c>
      <c r="I4528" t="s">
        <v>39</v>
      </c>
      <c r="J4528" t="s">
        <v>37</v>
      </c>
      <c r="K4528" t="s">
        <v>26</v>
      </c>
      <c r="L4528">
        <v>7</v>
      </c>
      <c r="M4528">
        <v>0</v>
      </c>
      <c r="N4528">
        <v>0</v>
      </c>
      <c r="O4528" t="s">
        <v>27</v>
      </c>
      <c r="P4528" t="str">
        <f>TEXT(Table1[[#This Row],[order_date]],"yyyy-mm")</f>
        <v>2025-08</v>
      </c>
      <c r="Q4528">
        <f>WEEKNUM(Table1[[#This Row],[order_date]])</f>
        <v>35</v>
      </c>
      <c r="R4528">
        <f>IF(Table1[[#This Row],[order_status]]="completed",1,0)</f>
        <v>0</v>
      </c>
    </row>
    <row r="4529" spans="1:18" x14ac:dyDescent="0.35">
      <c r="A4529">
        <v>4528</v>
      </c>
      <c r="B4529" s="1">
        <v>45885</v>
      </c>
      <c r="C4529">
        <v>1590</v>
      </c>
      <c r="D4529" t="s">
        <v>41</v>
      </c>
      <c r="E4529" t="s">
        <v>33</v>
      </c>
      <c r="F4529" t="s">
        <v>34</v>
      </c>
      <c r="G4529">
        <v>4</v>
      </c>
      <c r="H4529">
        <v>0</v>
      </c>
      <c r="I4529" t="s">
        <v>39</v>
      </c>
      <c r="J4529" t="s">
        <v>37</v>
      </c>
      <c r="K4529" t="s">
        <v>26</v>
      </c>
      <c r="L4529">
        <v>3</v>
      </c>
      <c r="M4529">
        <v>0</v>
      </c>
      <c r="N4529">
        <v>0</v>
      </c>
      <c r="O4529" t="s">
        <v>27</v>
      </c>
      <c r="P4529" t="str">
        <f>TEXT(Table1[[#This Row],[order_date]],"yyyy-mm")</f>
        <v>2025-08</v>
      </c>
      <c r="Q4529">
        <f>WEEKNUM(Table1[[#This Row],[order_date]])</f>
        <v>33</v>
      </c>
      <c r="R4529">
        <f>IF(Table1[[#This Row],[order_status]]="completed",1,0)</f>
        <v>0</v>
      </c>
    </row>
    <row r="4530" spans="1:18" x14ac:dyDescent="0.35">
      <c r="A4530">
        <v>4529</v>
      </c>
      <c r="B4530" s="1">
        <v>45921</v>
      </c>
      <c r="C4530">
        <v>1181</v>
      </c>
      <c r="D4530" t="s">
        <v>41</v>
      </c>
      <c r="E4530" t="s">
        <v>36</v>
      </c>
      <c r="F4530" t="s">
        <v>30</v>
      </c>
      <c r="G4530">
        <v>1</v>
      </c>
      <c r="H4530">
        <v>0</v>
      </c>
      <c r="I4530" t="s">
        <v>25</v>
      </c>
      <c r="J4530" t="s">
        <v>37</v>
      </c>
      <c r="K4530" t="s">
        <v>26</v>
      </c>
      <c r="L4530">
        <v>5</v>
      </c>
      <c r="M4530">
        <v>1</v>
      </c>
      <c r="N4530">
        <v>1</v>
      </c>
      <c r="O4530" t="s">
        <v>21</v>
      </c>
      <c r="P4530" t="str">
        <f>TEXT(Table1[[#This Row],[order_date]],"yyyy-mm")</f>
        <v>2025-09</v>
      </c>
      <c r="Q4530">
        <f>WEEKNUM(Table1[[#This Row],[order_date]])</f>
        <v>39</v>
      </c>
      <c r="R4530">
        <f>IF(Table1[[#This Row],[order_status]]="completed",1,0)</f>
        <v>0</v>
      </c>
    </row>
    <row r="4531" spans="1:18" x14ac:dyDescent="0.35">
      <c r="A4531">
        <v>4530</v>
      </c>
      <c r="B4531" s="1">
        <v>45935</v>
      </c>
      <c r="C4531">
        <v>1533</v>
      </c>
      <c r="D4531" t="s">
        <v>28</v>
      </c>
      <c r="E4531" t="s">
        <v>29</v>
      </c>
      <c r="F4531" t="s">
        <v>17</v>
      </c>
      <c r="G4531">
        <v>3</v>
      </c>
      <c r="H4531">
        <v>0</v>
      </c>
      <c r="I4531" t="s">
        <v>39</v>
      </c>
      <c r="J4531" t="s">
        <v>31</v>
      </c>
      <c r="K4531" t="s">
        <v>40</v>
      </c>
      <c r="L4531">
        <v>9</v>
      </c>
      <c r="M4531">
        <v>1</v>
      </c>
      <c r="N4531">
        <v>1</v>
      </c>
      <c r="O4531" t="s">
        <v>27</v>
      </c>
      <c r="P4531" t="str">
        <f>TEXT(Table1[[#This Row],[order_date]],"yyyy-mm")</f>
        <v>2025-10</v>
      </c>
      <c r="Q4531">
        <f>WEEKNUM(Table1[[#This Row],[order_date]])</f>
        <v>41</v>
      </c>
      <c r="R4531">
        <f>IF(Table1[[#This Row],[order_status]]="completed",1,0)</f>
        <v>0</v>
      </c>
    </row>
    <row r="4532" spans="1:18" x14ac:dyDescent="0.35">
      <c r="A4532">
        <v>4531</v>
      </c>
      <c r="B4532" s="1">
        <v>45912</v>
      </c>
      <c r="C4532">
        <v>1538</v>
      </c>
      <c r="D4532" t="s">
        <v>32</v>
      </c>
      <c r="E4532" t="s">
        <v>36</v>
      </c>
      <c r="F4532" t="s">
        <v>24</v>
      </c>
      <c r="G4532">
        <v>3</v>
      </c>
      <c r="H4532">
        <v>0</v>
      </c>
      <c r="I4532" t="s">
        <v>39</v>
      </c>
      <c r="J4532" t="s">
        <v>31</v>
      </c>
      <c r="K4532" t="s">
        <v>26</v>
      </c>
      <c r="L4532">
        <v>4</v>
      </c>
      <c r="M4532">
        <v>1</v>
      </c>
      <c r="N4532">
        <v>1</v>
      </c>
      <c r="O4532" t="s">
        <v>21</v>
      </c>
      <c r="P4532" t="str">
        <f>TEXT(Table1[[#This Row],[order_date]],"yyyy-mm")</f>
        <v>2025-09</v>
      </c>
      <c r="Q4532">
        <f>WEEKNUM(Table1[[#This Row],[order_date]])</f>
        <v>37</v>
      </c>
      <c r="R4532">
        <f>IF(Table1[[#This Row],[order_status]]="completed",1,0)</f>
        <v>0</v>
      </c>
    </row>
    <row r="4533" spans="1:18" x14ac:dyDescent="0.35">
      <c r="A4533">
        <v>4532</v>
      </c>
      <c r="B4533" s="1">
        <v>45973</v>
      </c>
      <c r="C4533">
        <v>1851</v>
      </c>
      <c r="D4533" t="s">
        <v>32</v>
      </c>
      <c r="E4533" t="s">
        <v>33</v>
      </c>
      <c r="F4533" t="s">
        <v>17</v>
      </c>
      <c r="G4533">
        <v>5</v>
      </c>
      <c r="H4533">
        <v>14550</v>
      </c>
      <c r="I4533" t="s">
        <v>35</v>
      </c>
      <c r="J4533" t="s">
        <v>19</v>
      </c>
      <c r="K4533" t="s">
        <v>20</v>
      </c>
      <c r="L4533">
        <v>8</v>
      </c>
      <c r="M4533">
        <v>0</v>
      </c>
      <c r="N4533">
        <v>1</v>
      </c>
      <c r="O4533" t="s">
        <v>27</v>
      </c>
      <c r="P4533" t="str">
        <f>TEXT(Table1[[#This Row],[order_date]],"yyyy-mm")</f>
        <v>2025-11</v>
      </c>
      <c r="Q4533">
        <f>WEEKNUM(Table1[[#This Row],[order_date]])</f>
        <v>46</v>
      </c>
      <c r="R4533">
        <f>IF(Table1[[#This Row],[order_status]]="completed",1,0)</f>
        <v>1</v>
      </c>
    </row>
    <row r="4534" spans="1:18" x14ac:dyDescent="0.35">
      <c r="A4534">
        <v>4533</v>
      </c>
      <c r="B4534" s="1">
        <v>45997</v>
      </c>
      <c r="C4534">
        <v>1843</v>
      </c>
      <c r="D4534" t="s">
        <v>15</v>
      </c>
      <c r="E4534" t="s">
        <v>36</v>
      </c>
      <c r="F4534" t="s">
        <v>24</v>
      </c>
      <c r="G4534">
        <v>2</v>
      </c>
      <c r="H4534">
        <v>0</v>
      </c>
      <c r="I4534" t="s">
        <v>39</v>
      </c>
      <c r="J4534" t="s">
        <v>37</v>
      </c>
      <c r="K4534" t="s">
        <v>20</v>
      </c>
      <c r="L4534">
        <v>6</v>
      </c>
      <c r="M4534">
        <v>1</v>
      </c>
      <c r="N4534">
        <v>0</v>
      </c>
      <c r="O4534" t="s">
        <v>21</v>
      </c>
      <c r="P4534" t="str">
        <f>TEXT(Table1[[#This Row],[order_date]],"yyyy-mm")</f>
        <v>2025-12</v>
      </c>
      <c r="Q4534">
        <f>WEEKNUM(Table1[[#This Row],[order_date]])</f>
        <v>49</v>
      </c>
      <c r="R4534">
        <f>IF(Table1[[#This Row],[order_status]]="completed",1,0)</f>
        <v>0</v>
      </c>
    </row>
    <row r="4535" spans="1:18" x14ac:dyDescent="0.35">
      <c r="A4535">
        <v>4534</v>
      </c>
      <c r="B4535" s="1">
        <v>45905</v>
      </c>
      <c r="C4535">
        <v>1808</v>
      </c>
      <c r="D4535" t="s">
        <v>32</v>
      </c>
      <c r="E4535" t="s">
        <v>16</v>
      </c>
      <c r="F4535" t="s">
        <v>24</v>
      </c>
      <c r="G4535">
        <v>3</v>
      </c>
      <c r="H4535">
        <v>0</v>
      </c>
      <c r="I4535" t="s">
        <v>39</v>
      </c>
      <c r="J4535" t="s">
        <v>31</v>
      </c>
      <c r="K4535" t="s">
        <v>20</v>
      </c>
      <c r="L4535">
        <v>5</v>
      </c>
      <c r="M4535">
        <v>0</v>
      </c>
      <c r="N4535">
        <v>1</v>
      </c>
      <c r="O4535" t="s">
        <v>27</v>
      </c>
      <c r="P4535" t="str">
        <f>TEXT(Table1[[#This Row],[order_date]],"yyyy-mm")</f>
        <v>2025-09</v>
      </c>
      <c r="Q4535">
        <f>WEEKNUM(Table1[[#This Row],[order_date]])</f>
        <v>36</v>
      </c>
      <c r="R4535">
        <f>IF(Table1[[#This Row],[order_status]]="completed",1,0)</f>
        <v>0</v>
      </c>
    </row>
    <row r="4536" spans="1:18" x14ac:dyDescent="0.35">
      <c r="A4536">
        <v>4535</v>
      </c>
      <c r="B4536" s="1">
        <v>46017</v>
      </c>
      <c r="C4536">
        <v>1353</v>
      </c>
      <c r="D4536" t="s">
        <v>28</v>
      </c>
      <c r="E4536" t="s">
        <v>16</v>
      </c>
      <c r="F4536" t="s">
        <v>24</v>
      </c>
      <c r="G4536">
        <v>2</v>
      </c>
      <c r="H4536">
        <v>0</v>
      </c>
      <c r="I4536" t="s">
        <v>39</v>
      </c>
      <c r="J4536" t="s">
        <v>31</v>
      </c>
      <c r="K4536" t="s">
        <v>38</v>
      </c>
      <c r="L4536">
        <v>4</v>
      </c>
      <c r="M4536">
        <v>0</v>
      </c>
      <c r="N4536">
        <v>1</v>
      </c>
      <c r="O4536" t="s">
        <v>21</v>
      </c>
      <c r="P4536" t="str">
        <f>TEXT(Table1[[#This Row],[order_date]],"yyyy-mm")</f>
        <v>2025-12</v>
      </c>
      <c r="Q4536">
        <f>WEEKNUM(Table1[[#This Row],[order_date]])</f>
        <v>52</v>
      </c>
      <c r="R4536">
        <f>IF(Table1[[#This Row],[order_status]]="completed",1,0)</f>
        <v>0</v>
      </c>
    </row>
    <row r="4537" spans="1:18" x14ac:dyDescent="0.35">
      <c r="A4537">
        <v>4536</v>
      </c>
      <c r="B4537" s="1">
        <v>45891</v>
      </c>
      <c r="C4537">
        <v>1921</v>
      </c>
      <c r="D4537" t="s">
        <v>41</v>
      </c>
      <c r="E4537" t="s">
        <v>33</v>
      </c>
      <c r="F4537" t="s">
        <v>24</v>
      </c>
      <c r="G4537">
        <v>1</v>
      </c>
      <c r="H4537">
        <v>2816</v>
      </c>
      <c r="I4537" t="s">
        <v>39</v>
      </c>
      <c r="J4537" t="s">
        <v>19</v>
      </c>
      <c r="K4537" t="s">
        <v>26</v>
      </c>
      <c r="L4537">
        <v>4</v>
      </c>
      <c r="M4537">
        <v>0</v>
      </c>
      <c r="N4537">
        <v>1</v>
      </c>
      <c r="O4537" t="s">
        <v>27</v>
      </c>
      <c r="P4537" t="str">
        <f>TEXT(Table1[[#This Row],[order_date]],"yyyy-mm")</f>
        <v>2025-08</v>
      </c>
      <c r="Q4537">
        <f>WEEKNUM(Table1[[#This Row],[order_date]])</f>
        <v>34</v>
      </c>
      <c r="R4537">
        <f>IF(Table1[[#This Row],[order_status]]="completed",1,0)</f>
        <v>1</v>
      </c>
    </row>
    <row r="4538" spans="1:18" x14ac:dyDescent="0.35">
      <c r="A4538">
        <v>4537</v>
      </c>
      <c r="B4538" s="1">
        <v>45956</v>
      </c>
      <c r="C4538">
        <v>1183</v>
      </c>
      <c r="D4538" t="s">
        <v>41</v>
      </c>
      <c r="E4538" t="s">
        <v>16</v>
      </c>
      <c r="F4538" t="s">
        <v>17</v>
      </c>
      <c r="G4538">
        <v>4</v>
      </c>
      <c r="H4538">
        <v>0</v>
      </c>
      <c r="I4538" t="s">
        <v>25</v>
      </c>
      <c r="J4538" t="s">
        <v>31</v>
      </c>
      <c r="K4538" t="s">
        <v>26</v>
      </c>
      <c r="L4538">
        <v>10</v>
      </c>
      <c r="M4538">
        <v>1</v>
      </c>
      <c r="N4538">
        <v>1</v>
      </c>
      <c r="O4538" t="s">
        <v>21</v>
      </c>
      <c r="P4538" t="str">
        <f>TEXT(Table1[[#This Row],[order_date]],"yyyy-mm")</f>
        <v>2025-10</v>
      </c>
      <c r="Q4538">
        <f>WEEKNUM(Table1[[#This Row],[order_date]])</f>
        <v>44</v>
      </c>
      <c r="R4538">
        <f>IF(Table1[[#This Row],[order_status]]="completed",1,0)</f>
        <v>0</v>
      </c>
    </row>
    <row r="4539" spans="1:18" x14ac:dyDescent="0.35">
      <c r="A4539">
        <v>4538</v>
      </c>
      <c r="B4539" s="1">
        <v>45966</v>
      </c>
      <c r="C4539">
        <v>1649</v>
      </c>
      <c r="D4539" t="s">
        <v>32</v>
      </c>
      <c r="E4539" t="s">
        <v>36</v>
      </c>
      <c r="F4539" t="s">
        <v>30</v>
      </c>
      <c r="G4539">
        <v>3</v>
      </c>
      <c r="H4539">
        <v>1254</v>
      </c>
      <c r="I4539" t="s">
        <v>18</v>
      </c>
      <c r="J4539" t="s">
        <v>19</v>
      </c>
      <c r="K4539" t="s">
        <v>20</v>
      </c>
      <c r="L4539">
        <v>1</v>
      </c>
      <c r="M4539">
        <v>1</v>
      </c>
      <c r="N4539">
        <v>1</v>
      </c>
      <c r="O4539" t="s">
        <v>27</v>
      </c>
      <c r="P4539" t="str">
        <f>TEXT(Table1[[#This Row],[order_date]],"yyyy-mm")</f>
        <v>2025-11</v>
      </c>
      <c r="Q4539">
        <f>WEEKNUM(Table1[[#This Row],[order_date]])</f>
        <v>45</v>
      </c>
      <c r="R4539">
        <f>IF(Table1[[#This Row],[order_status]]="completed",1,0)</f>
        <v>1</v>
      </c>
    </row>
    <row r="4540" spans="1:18" x14ac:dyDescent="0.35">
      <c r="A4540">
        <v>4539</v>
      </c>
      <c r="B4540" s="1">
        <v>46029</v>
      </c>
      <c r="C4540">
        <v>1716</v>
      </c>
      <c r="D4540" t="s">
        <v>22</v>
      </c>
      <c r="E4540" t="s">
        <v>16</v>
      </c>
      <c r="F4540" t="s">
        <v>30</v>
      </c>
      <c r="G4540">
        <v>2</v>
      </c>
      <c r="H4540">
        <v>0</v>
      </c>
      <c r="I4540" t="s">
        <v>25</v>
      </c>
      <c r="J4540" t="s">
        <v>31</v>
      </c>
      <c r="K4540" t="s">
        <v>38</v>
      </c>
      <c r="L4540">
        <v>4</v>
      </c>
      <c r="M4540">
        <v>0</v>
      </c>
      <c r="N4540">
        <v>1</v>
      </c>
      <c r="O4540" t="s">
        <v>27</v>
      </c>
      <c r="P4540" t="str">
        <f>TEXT(Table1[[#This Row],[order_date]],"yyyy-mm")</f>
        <v>2026-01</v>
      </c>
      <c r="Q4540">
        <f>WEEKNUM(Table1[[#This Row],[order_date]])</f>
        <v>2</v>
      </c>
      <c r="R4540">
        <f>IF(Table1[[#This Row],[order_status]]="completed",1,0)</f>
        <v>0</v>
      </c>
    </row>
    <row r="4541" spans="1:18" x14ac:dyDescent="0.35">
      <c r="A4541">
        <v>4540</v>
      </c>
      <c r="B4541" s="1">
        <v>45949</v>
      </c>
      <c r="C4541">
        <v>1956</v>
      </c>
      <c r="D4541" t="s">
        <v>32</v>
      </c>
      <c r="E4541" t="s">
        <v>23</v>
      </c>
      <c r="F4541" t="s">
        <v>30</v>
      </c>
      <c r="G4541">
        <v>3</v>
      </c>
      <c r="H4541">
        <v>0</v>
      </c>
      <c r="I4541" t="s">
        <v>39</v>
      </c>
      <c r="J4541" t="s">
        <v>31</v>
      </c>
      <c r="K4541" t="s">
        <v>38</v>
      </c>
      <c r="L4541">
        <v>6</v>
      </c>
      <c r="M4541">
        <v>1</v>
      </c>
      <c r="N4541">
        <v>0</v>
      </c>
      <c r="O4541" t="s">
        <v>21</v>
      </c>
      <c r="P4541" t="str">
        <f>TEXT(Table1[[#This Row],[order_date]],"yyyy-mm")</f>
        <v>2025-10</v>
      </c>
      <c r="Q4541">
        <f>WEEKNUM(Table1[[#This Row],[order_date]])</f>
        <v>43</v>
      </c>
      <c r="R4541">
        <f>IF(Table1[[#This Row],[order_status]]="completed",1,0)</f>
        <v>0</v>
      </c>
    </row>
    <row r="4542" spans="1:18" x14ac:dyDescent="0.35">
      <c r="A4542">
        <v>4541</v>
      </c>
      <c r="B4542" s="1">
        <v>45948</v>
      </c>
      <c r="C4542">
        <v>1292</v>
      </c>
      <c r="D4542" t="s">
        <v>28</v>
      </c>
      <c r="E4542" t="s">
        <v>36</v>
      </c>
      <c r="F4542" t="s">
        <v>17</v>
      </c>
      <c r="G4542">
        <v>2</v>
      </c>
      <c r="H4542">
        <v>950</v>
      </c>
      <c r="I4542" t="s">
        <v>39</v>
      </c>
      <c r="J4542" t="s">
        <v>19</v>
      </c>
      <c r="K4542" t="s">
        <v>38</v>
      </c>
      <c r="L4542">
        <v>5</v>
      </c>
      <c r="M4542">
        <v>1</v>
      </c>
      <c r="N4542">
        <v>1</v>
      </c>
      <c r="O4542" t="s">
        <v>21</v>
      </c>
      <c r="P4542" t="str">
        <f>TEXT(Table1[[#This Row],[order_date]],"yyyy-mm")</f>
        <v>2025-10</v>
      </c>
      <c r="Q4542">
        <f>WEEKNUM(Table1[[#This Row],[order_date]])</f>
        <v>42</v>
      </c>
      <c r="R4542">
        <f>IF(Table1[[#This Row],[order_status]]="completed",1,0)</f>
        <v>1</v>
      </c>
    </row>
    <row r="4543" spans="1:18" x14ac:dyDescent="0.35">
      <c r="A4543">
        <v>4542</v>
      </c>
      <c r="B4543" s="1">
        <v>45982</v>
      </c>
      <c r="C4543">
        <v>1933</v>
      </c>
      <c r="D4543" t="s">
        <v>15</v>
      </c>
      <c r="E4543" t="s">
        <v>33</v>
      </c>
      <c r="F4543" t="s">
        <v>24</v>
      </c>
      <c r="G4543">
        <v>3</v>
      </c>
      <c r="H4543">
        <v>0</v>
      </c>
      <c r="I4543" t="s">
        <v>39</v>
      </c>
      <c r="J4543" t="s">
        <v>31</v>
      </c>
      <c r="K4543" t="s">
        <v>38</v>
      </c>
      <c r="L4543">
        <v>7</v>
      </c>
      <c r="M4543">
        <v>1</v>
      </c>
      <c r="N4543">
        <v>1</v>
      </c>
      <c r="O4543" t="s">
        <v>27</v>
      </c>
      <c r="P4543" t="str">
        <f>TEXT(Table1[[#This Row],[order_date]],"yyyy-mm")</f>
        <v>2025-11</v>
      </c>
      <c r="Q4543">
        <f>WEEKNUM(Table1[[#This Row],[order_date]])</f>
        <v>47</v>
      </c>
      <c r="R4543">
        <f>IF(Table1[[#This Row],[order_status]]="completed",1,0)</f>
        <v>0</v>
      </c>
    </row>
    <row r="4544" spans="1:18" x14ac:dyDescent="0.35">
      <c r="A4544">
        <v>4543</v>
      </c>
      <c r="B4544" s="1">
        <v>46000</v>
      </c>
      <c r="C4544">
        <v>1389</v>
      </c>
      <c r="D4544" t="s">
        <v>28</v>
      </c>
      <c r="E4544" t="s">
        <v>16</v>
      </c>
      <c r="F4544" t="s">
        <v>17</v>
      </c>
      <c r="G4544">
        <v>5</v>
      </c>
      <c r="H4544">
        <v>0</v>
      </c>
      <c r="I4544" t="s">
        <v>18</v>
      </c>
      <c r="J4544" t="s">
        <v>31</v>
      </c>
      <c r="K4544" t="s">
        <v>40</v>
      </c>
      <c r="L4544">
        <v>4</v>
      </c>
      <c r="M4544">
        <v>0</v>
      </c>
      <c r="N4544">
        <v>1</v>
      </c>
      <c r="O4544" t="s">
        <v>27</v>
      </c>
      <c r="P4544" t="str">
        <f>TEXT(Table1[[#This Row],[order_date]],"yyyy-mm")</f>
        <v>2025-12</v>
      </c>
      <c r="Q4544">
        <f>WEEKNUM(Table1[[#This Row],[order_date]])</f>
        <v>50</v>
      </c>
      <c r="R4544">
        <f>IF(Table1[[#This Row],[order_status]]="completed",1,0)</f>
        <v>0</v>
      </c>
    </row>
    <row r="4545" spans="1:18" x14ac:dyDescent="0.35">
      <c r="A4545">
        <v>4544</v>
      </c>
      <c r="B4545" s="1">
        <v>45900</v>
      </c>
      <c r="C4545">
        <v>1281</v>
      </c>
      <c r="D4545" t="s">
        <v>41</v>
      </c>
      <c r="E4545" t="s">
        <v>36</v>
      </c>
      <c r="F4545" t="s">
        <v>24</v>
      </c>
      <c r="G4545">
        <v>5</v>
      </c>
      <c r="H4545">
        <v>0</v>
      </c>
      <c r="I4545" t="s">
        <v>25</v>
      </c>
      <c r="J4545" t="s">
        <v>37</v>
      </c>
      <c r="K4545" t="s">
        <v>38</v>
      </c>
      <c r="L4545">
        <v>3</v>
      </c>
      <c r="M4545">
        <v>0</v>
      </c>
      <c r="N4545">
        <v>0</v>
      </c>
      <c r="O4545" t="s">
        <v>21</v>
      </c>
      <c r="P4545" t="str">
        <f>TEXT(Table1[[#This Row],[order_date]],"yyyy-mm")</f>
        <v>2025-08</v>
      </c>
      <c r="Q4545">
        <f>WEEKNUM(Table1[[#This Row],[order_date]])</f>
        <v>36</v>
      </c>
      <c r="R4545">
        <f>IF(Table1[[#This Row],[order_status]]="completed",1,0)</f>
        <v>0</v>
      </c>
    </row>
    <row r="4546" spans="1:18" x14ac:dyDescent="0.35">
      <c r="A4546">
        <v>4545</v>
      </c>
      <c r="B4546" s="1">
        <v>46029</v>
      </c>
      <c r="C4546">
        <v>1887</v>
      </c>
      <c r="D4546" t="s">
        <v>41</v>
      </c>
      <c r="E4546" t="s">
        <v>23</v>
      </c>
      <c r="F4546" t="s">
        <v>24</v>
      </c>
      <c r="G4546">
        <v>2</v>
      </c>
      <c r="H4546">
        <v>0</v>
      </c>
      <c r="I4546" t="s">
        <v>18</v>
      </c>
      <c r="J4546" t="s">
        <v>37</v>
      </c>
      <c r="K4546" t="s">
        <v>40</v>
      </c>
      <c r="L4546">
        <v>6</v>
      </c>
      <c r="M4546">
        <v>0</v>
      </c>
      <c r="N4546">
        <v>1</v>
      </c>
      <c r="O4546" t="s">
        <v>27</v>
      </c>
      <c r="P4546" t="str">
        <f>TEXT(Table1[[#This Row],[order_date]],"yyyy-mm")</f>
        <v>2026-01</v>
      </c>
      <c r="Q4546">
        <f>WEEKNUM(Table1[[#This Row],[order_date]])</f>
        <v>2</v>
      </c>
      <c r="R4546">
        <f>IF(Table1[[#This Row],[order_status]]="completed",1,0)</f>
        <v>0</v>
      </c>
    </row>
    <row r="4547" spans="1:18" x14ac:dyDescent="0.35">
      <c r="A4547">
        <v>4546</v>
      </c>
      <c r="B4547" s="1">
        <v>45905</v>
      </c>
      <c r="C4547">
        <v>1361</v>
      </c>
      <c r="D4547" t="s">
        <v>15</v>
      </c>
      <c r="E4547" t="s">
        <v>33</v>
      </c>
      <c r="F4547" t="s">
        <v>34</v>
      </c>
      <c r="G4547">
        <v>3</v>
      </c>
      <c r="H4547">
        <v>10167</v>
      </c>
      <c r="I4547" t="s">
        <v>39</v>
      </c>
      <c r="J4547" t="s">
        <v>19</v>
      </c>
      <c r="K4547" t="s">
        <v>40</v>
      </c>
      <c r="L4547">
        <v>3</v>
      </c>
      <c r="M4547">
        <v>0</v>
      </c>
      <c r="N4547">
        <v>0</v>
      </c>
      <c r="O4547" t="s">
        <v>21</v>
      </c>
      <c r="P4547" t="str">
        <f>TEXT(Table1[[#This Row],[order_date]],"yyyy-mm")</f>
        <v>2025-09</v>
      </c>
      <c r="Q4547">
        <f>WEEKNUM(Table1[[#This Row],[order_date]])</f>
        <v>36</v>
      </c>
      <c r="R4547">
        <f>IF(Table1[[#This Row],[order_status]]="completed",1,0)</f>
        <v>1</v>
      </c>
    </row>
    <row r="4548" spans="1:18" x14ac:dyDescent="0.35">
      <c r="A4548">
        <v>4547</v>
      </c>
      <c r="B4548" s="1">
        <v>45865</v>
      </c>
      <c r="C4548">
        <v>1488</v>
      </c>
      <c r="D4548" t="s">
        <v>28</v>
      </c>
      <c r="E4548" t="s">
        <v>33</v>
      </c>
      <c r="F4548" t="s">
        <v>34</v>
      </c>
      <c r="G4548">
        <v>3</v>
      </c>
      <c r="H4548">
        <v>12954</v>
      </c>
      <c r="I4548" t="s">
        <v>25</v>
      </c>
      <c r="J4548" t="s">
        <v>19</v>
      </c>
      <c r="K4548" t="s">
        <v>26</v>
      </c>
      <c r="L4548">
        <v>10</v>
      </c>
      <c r="M4548">
        <v>0</v>
      </c>
      <c r="N4548">
        <v>0</v>
      </c>
      <c r="O4548" t="s">
        <v>21</v>
      </c>
      <c r="P4548" t="str">
        <f>TEXT(Table1[[#This Row],[order_date]],"yyyy-mm")</f>
        <v>2025-07</v>
      </c>
      <c r="Q4548">
        <f>WEEKNUM(Table1[[#This Row],[order_date]])</f>
        <v>31</v>
      </c>
      <c r="R4548">
        <f>IF(Table1[[#This Row],[order_status]]="completed",1,0)</f>
        <v>1</v>
      </c>
    </row>
    <row r="4549" spans="1:18" x14ac:dyDescent="0.35">
      <c r="A4549">
        <v>4548</v>
      </c>
      <c r="B4549" s="1">
        <v>46026</v>
      </c>
      <c r="C4549">
        <v>1688</v>
      </c>
      <c r="D4549" t="s">
        <v>22</v>
      </c>
      <c r="E4549" t="s">
        <v>33</v>
      </c>
      <c r="F4549" t="s">
        <v>30</v>
      </c>
      <c r="G4549">
        <v>5</v>
      </c>
      <c r="H4549">
        <v>14800</v>
      </c>
      <c r="I4549" t="s">
        <v>39</v>
      </c>
      <c r="J4549" t="s">
        <v>19</v>
      </c>
      <c r="K4549" t="s">
        <v>38</v>
      </c>
      <c r="L4549">
        <v>10</v>
      </c>
      <c r="M4549">
        <v>1</v>
      </c>
      <c r="N4549">
        <v>1</v>
      </c>
      <c r="O4549" t="s">
        <v>27</v>
      </c>
      <c r="P4549" t="str">
        <f>TEXT(Table1[[#This Row],[order_date]],"yyyy-mm")</f>
        <v>2026-01</v>
      </c>
      <c r="Q4549">
        <f>WEEKNUM(Table1[[#This Row],[order_date]])</f>
        <v>2</v>
      </c>
      <c r="R4549">
        <f>IF(Table1[[#This Row],[order_status]]="completed",1,0)</f>
        <v>1</v>
      </c>
    </row>
    <row r="4550" spans="1:18" x14ac:dyDescent="0.35">
      <c r="A4550">
        <v>4549</v>
      </c>
      <c r="B4550" s="1">
        <v>45950</v>
      </c>
      <c r="C4550">
        <v>1843</v>
      </c>
      <c r="D4550" t="s">
        <v>22</v>
      </c>
      <c r="E4550" t="s">
        <v>16</v>
      </c>
      <c r="F4550" t="s">
        <v>24</v>
      </c>
      <c r="G4550">
        <v>1</v>
      </c>
      <c r="H4550">
        <v>0</v>
      </c>
      <c r="I4550" t="s">
        <v>35</v>
      </c>
      <c r="J4550" t="s">
        <v>37</v>
      </c>
      <c r="K4550" t="s">
        <v>20</v>
      </c>
      <c r="L4550">
        <v>7</v>
      </c>
      <c r="M4550">
        <v>1</v>
      </c>
      <c r="N4550">
        <v>1</v>
      </c>
      <c r="O4550" t="s">
        <v>21</v>
      </c>
      <c r="P4550" t="str">
        <f>TEXT(Table1[[#This Row],[order_date]],"yyyy-mm")</f>
        <v>2025-10</v>
      </c>
      <c r="Q4550">
        <f>WEEKNUM(Table1[[#This Row],[order_date]])</f>
        <v>43</v>
      </c>
      <c r="R4550">
        <f>IF(Table1[[#This Row],[order_status]]="completed",1,0)</f>
        <v>0</v>
      </c>
    </row>
    <row r="4551" spans="1:18" x14ac:dyDescent="0.35">
      <c r="A4551">
        <v>4550</v>
      </c>
      <c r="B4551" s="1">
        <v>45876</v>
      </c>
      <c r="C4551">
        <v>1616</v>
      </c>
      <c r="D4551" t="s">
        <v>32</v>
      </c>
      <c r="E4551" t="s">
        <v>33</v>
      </c>
      <c r="F4551" t="s">
        <v>17</v>
      </c>
      <c r="G4551">
        <v>4</v>
      </c>
      <c r="H4551">
        <v>0</v>
      </c>
      <c r="I4551" t="s">
        <v>18</v>
      </c>
      <c r="J4551" t="s">
        <v>37</v>
      </c>
      <c r="K4551" t="s">
        <v>38</v>
      </c>
      <c r="L4551">
        <v>8</v>
      </c>
      <c r="M4551">
        <v>1</v>
      </c>
      <c r="N4551">
        <v>0</v>
      </c>
      <c r="O4551" t="s">
        <v>21</v>
      </c>
      <c r="P4551" t="str">
        <f>TEXT(Table1[[#This Row],[order_date]],"yyyy-mm")</f>
        <v>2025-08</v>
      </c>
      <c r="Q4551">
        <f>WEEKNUM(Table1[[#This Row],[order_date]])</f>
        <v>32</v>
      </c>
      <c r="R4551">
        <f>IF(Table1[[#This Row],[order_status]]="completed",1,0)</f>
        <v>0</v>
      </c>
    </row>
    <row r="4552" spans="1:18" x14ac:dyDescent="0.35">
      <c r="A4552">
        <v>4551</v>
      </c>
      <c r="B4552" s="1">
        <v>45936</v>
      </c>
      <c r="C4552">
        <v>1657</v>
      </c>
      <c r="D4552" t="s">
        <v>41</v>
      </c>
      <c r="E4552" t="s">
        <v>29</v>
      </c>
      <c r="F4552" t="s">
        <v>30</v>
      </c>
      <c r="G4552">
        <v>3</v>
      </c>
      <c r="H4552">
        <v>0</v>
      </c>
      <c r="I4552" t="s">
        <v>35</v>
      </c>
      <c r="J4552" t="s">
        <v>31</v>
      </c>
      <c r="K4552" t="s">
        <v>38</v>
      </c>
      <c r="L4552">
        <v>1</v>
      </c>
      <c r="M4552">
        <v>0</v>
      </c>
      <c r="N4552">
        <v>1</v>
      </c>
      <c r="O4552" t="s">
        <v>27</v>
      </c>
      <c r="P4552" t="str">
        <f>TEXT(Table1[[#This Row],[order_date]],"yyyy-mm")</f>
        <v>2025-10</v>
      </c>
      <c r="Q4552">
        <f>WEEKNUM(Table1[[#This Row],[order_date]])</f>
        <v>41</v>
      </c>
      <c r="R4552">
        <f>IF(Table1[[#This Row],[order_status]]="completed",1,0)</f>
        <v>0</v>
      </c>
    </row>
    <row r="4553" spans="1:18" x14ac:dyDescent="0.35">
      <c r="A4553">
        <v>4552</v>
      </c>
      <c r="B4553" s="1">
        <v>45923</v>
      </c>
      <c r="C4553">
        <v>1805</v>
      </c>
      <c r="D4553" t="s">
        <v>28</v>
      </c>
      <c r="E4553" t="s">
        <v>16</v>
      </c>
      <c r="F4553" t="s">
        <v>34</v>
      </c>
      <c r="G4553">
        <v>4</v>
      </c>
      <c r="H4553">
        <v>17632</v>
      </c>
      <c r="I4553" t="s">
        <v>18</v>
      </c>
      <c r="J4553" t="s">
        <v>19</v>
      </c>
      <c r="K4553" t="s">
        <v>26</v>
      </c>
      <c r="L4553">
        <v>3</v>
      </c>
      <c r="M4553">
        <v>1</v>
      </c>
      <c r="N4553">
        <v>1</v>
      </c>
      <c r="O4553" t="s">
        <v>21</v>
      </c>
      <c r="P4553" t="str">
        <f>TEXT(Table1[[#This Row],[order_date]],"yyyy-mm")</f>
        <v>2025-09</v>
      </c>
      <c r="Q4553">
        <f>WEEKNUM(Table1[[#This Row],[order_date]])</f>
        <v>39</v>
      </c>
      <c r="R4553">
        <f>IF(Table1[[#This Row],[order_status]]="completed",1,0)</f>
        <v>1</v>
      </c>
    </row>
    <row r="4554" spans="1:18" x14ac:dyDescent="0.35">
      <c r="A4554">
        <v>4553</v>
      </c>
      <c r="B4554" s="1">
        <v>45952</v>
      </c>
      <c r="C4554">
        <v>1119</v>
      </c>
      <c r="D4554" t="s">
        <v>32</v>
      </c>
      <c r="E4554" t="s">
        <v>16</v>
      </c>
      <c r="F4554" t="s">
        <v>17</v>
      </c>
      <c r="G4554">
        <v>3</v>
      </c>
      <c r="H4554">
        <v>0</v>
      </c>
      <c r="I4554" t="s">
        <v>39</v>
      </c>
      <c r="J4554" t="s">
        <v>31</v>
      </c>
      <c r="K4554" t="s">
        <v>38</v>
      </c>
      <c r="L4554">
        <v>6</v>
      </c>
      <c r="M4554">
        <v>1</v>
      </c>
      <c r="N4554">
        <v>0</v>
      </c>
      <c r="O4554" t="s">
        <v>27</v>
      </c>
      <c r="P4554" t="str">
        <f>TEXT(Table1[[#This Row],[order_date]],"yyyy-mm")</f>
        <v>2025-10</v>
      </c>
      <c r="Q4554">
        <f>WEEKNUM(Table1[[#This Row],[order_date]])</f>
        <v>43</v>
      </c>
      <c r="R4554">
        <f>IF(Table1[[#This Row],[order_status]]="completed",1,0)</f>
        <v>0</v>
      </c>
    </row>
    <row r="4555" spans="1:18" x14ac:dyDescent="0.35">
      <c r="A4555">
        <v>4554</v>
      </c>
      <c r="B4555" s="1">
        <v>45887</v>
      </c>
      <c r="C4555">
        <v>1352</v>
      </c>
      <c r="D4555" t="s">
        <v>28</v>
      </c>
      <c r="E4555" t="s">
        <v>36</v>
      </c>
      <c r="F4555" t="s">
        <v>24</v>
      </c>
      <c r="G4555">
        <v>1</v>
      </c>
      <c r="H4555">
        <v>1566</v>
      </c>
      <c r="I4555" t="s">
        <v>39</v>
      </c>
      <c r="J4555" t="s">
        <v>19</v>
      </c>
      <c r="K4555" t="s">
        <v>26</v>
      </c>
      <c r="L4555">
        <v>6</v>
      </c>
      <c r="M4555">
        <v>0</v>
      </c>
      <c r="N4555">
        <v>0</v>
      </c>
      <c r="O4555" t="s">
        <v>27</v>
      </c>
      <c r="P4555" t="str">
        <f>TEXT(Table1[[#This Row],[order_date]],"yyyy-mm")</f>
        <v>2025-08</v>
      </c>
      <c r="Q4555">
        <f>WEEKNUM(Table1[[#This Row],[order_date]])</f>
        <v>34</v>
      </c>
      <c r="R4555">
        <f>IF(Table1[[#This Row],[order_status]]="completed",1,0)</f>
        <v>1</v>
      </c>
    </row>
    <row r="4556" spans="1:18" x14ac:dyDescent="0.35">
      <c r="A4556">
        <v>4555</v>
      </c>
      <c r="B4556" s="1">
        <v>46017</v>
      </c>
      <c r="C4556">
        <v>1535</v>
      </c>
      <c r="D4556" t="s">
        <v>15</v>
      </c>
      <c r="E4556" t="s">
        <v>36</v>
      </c>
      <c r="F4556" t="s">
        <v>17</v>
      </c>
      <c r="G4556">
        <v>4</v>
      </c>
      <c r="H4556">
        <v>0</v>
      </c>
      <c r="I4556" t="s">
        <v>25</v>
      </c>
      <c r="J4556" t="s">
        <v>37</v>
      </c>
      <c r="K4556" t="s">
        <v>20</v>
      </c>
      <c r="L4556">
        <v>10</v>
      </c>
      <c r="M4556">
        <v>0</v>
      </c>
      <c r="N4556">
        <v>1</v>
      </c>
      <c r="O4556" t="s">
        <v>21</v>
      </c>
      <c r="P4556" t="str">
        <f>TEXT(Table1[[#This Row],[order_date]],"yyyy-mm")</f>
        <v>2025-12</v>
      </c>
      <c r="Q4556">
        <f>WEEKNUM(Table1[[#This Row],[order_date]])</f>
        <v>52</v>
      </c>
      <c r="R4556">
        <f>IF(Table1[[#This Row],[order_status]]="completed",1,0)</f>
        <v>0</v>
      </c>
    </row>
    <row r="4557" spans="1:18" x14ac:dyDescent="0.35">
      <c r="A4557">
        <v>4556</v>
      </c>
      <c r="B4557" s="1">
        <v>45931</v>
      </c>
      <c r="C4557">
        <v>1414</v>
      </c>
      <c r="D4557" t="s">
        <v>15</v>
      </c>
      <c r="E4557" t="s">
        <v>29</v>
      </c>
      <c r="F4557" t="s">
        <v>30</v>
      </c>
      <c r="G4557">
        <v>4</v>
      </c>
      <c r="H4557">
        <v>0</v>
      </c>
      <c r="I4557" t="s">
        <v>25</v>
      </c>
      <c r="J4557" t="s">
        <v>31</v>
      </c>
      <c r="K4557" t="s">
        <v>26</v>
      </c>
      <c r="L4557">
        <v>7</v>
      </c>
      <c r="M4557">
        <v>1</v>
      </c>
      <c r="N4557">
        <v>0</v>
      </c>
      <c r="O4557" t="s">
        <v>27</v>
      </c>
      <c r="P4557" t="str">
        <f>TEXT(Table1[[#This Row],[order_date]],"yyyy-mm")</f>
        <v>2025-10</v>
      </c>
      <c r="Q4557">
        <f>WEEKNUM(Table1[[#This Row],[order_date]])</f>
        <v>40</v>
      </c>
      <c r="R4557">
        <f>IF(Table1[[#This Row],[order_status]]="completed",1,0)</f>
        <v>0</v>
      </c>
    </row>
    <row r="4558" spans="1:18" x14ac:dyDescent="0.35">
      <c r="A4558">
        <v>4557</v>
      </c>
      <c r="B4558" s="1">
        <v>45883</v>
      </c>
      <c r="C4558">
        <v>1142</v>
      </c>
      <c r="D4558" t="s">
        <v>28</v>
      </c>
      <c r="E4558" t="s">
        <v>33</v>
      </c>
      <c r="F4558" t="s">
        <v>24</v>
      </c>
      <c r="G4558">
        <v>5</v>
      </c>
      <c r="H4558">
        <v>23465</v>
      </c>
      <c r="I4558" t="s">
        <v>35</v>
      </c>
      <c r="J4558" t="s">
        <v>19</v>
      </c>
      <c r="K4558" t="s">
        <v>26</v>
      </c>
      <c r="L4558">
        <v>9</v>
      </c>
      <c r="M4558">
        <v>0</v>
      </c>
      <c r="N4558">
        <v>1</v>
      </c>
      <c r="O4558" t="s">
        <v>27</v>
      </c>
      <c r="P4558" t="str">
        <f>TEXT(Table1[[#This Row],[order_date]],"yyyy-mm")</f>
        <v>2025-08</v>
      </c>
      <c r="Q4558">
        <f>WEEKNUM(Table1[[#This Row],[order_date]])</f>
        <v>33</v>
      </c>
      <c r="R4558">
        <f>IF(Table1[[#This Row],[order_status]]="completed",1,0)</f>
        <v>1</v>
      </c>
    </row>
    <row r="4559" spans="1:18" x14ac:dyDescent="0.35">
      <c r="A4559">
        <v>4558</v>
      </c>
      <c r="B4559" s="1">
        <v>45994</v>
      </c>
      <c r="C4559">
        <v>1103</v>
      </c>
      <c r="D4559" t="s">
        <v>41</v>
      </c>
      <c r="E4559" t="s">
        <v>16</v>
      </c>
      <c r="F4559" t="s">
        <v>30</v>
      </c>
      <c r="G4559">
        <v>2</v>
      </c>
      <c r="H4559">
        <v>0</v>
      </c>
      <c r="I4559" t="s">
        <v>39</v>
      </c>
      <c r="J4559" t="s">
        <v>31</v>
      </c>
      <c r="K4559" t="s">
        <v>26</v>
      </c>
      <c r="L4559">
        <v>2</v>
      </c>
      <c r="M4559">
        <v>0</v>
      </c>
      <c r="N4559">
        <v>1</v>
      </c>
      <c r="O4559" t="s">
        <v>27</v>
      </c>
      <c r="P4559" t="str">
        <f>TEXT(Table1[[#This Row],[order_date]],"yyyy-mm")</f>
        <v>2025-12</v>
      </c>
      <c r="Q4559">
        <f>WEEKNUM(Table1[[#This Row],[order_date]])</f>
        <v>49</v>
      </c>
      <c r="R4559">
        <f>IF(Table1[[#This Row],[order_status]]="completed",1,0)</f>
        <v>0</v>
      </c>
    </row>
    <row r="4560" spans="1:18" x14ac:dyDescent="0.35">
      <c r="A4560">
        <v>4559</v>
      </c>
      <c r="B4560" s="1">
        <v>45917</v>
      </c>
      <c r="C4560">
        <v>1247</v>
      </c>
      <c r="D4560" t="s">
        <v>28</v>
      </c>
      <c r="E4560" t="s">
        <v>36</v>
      </c>
      <c r="F4560" t="s">
        <v>30</v>
      </c>
      <c r="G4560">
        <v>5</v>
      </c>
      <c r="H4560">
        <v>0</v>
      </c>
      <c r="I4560" t="s">
        <v>25</v>
      </c>
      <c r="J4560" t="s">
        <v>31</v>
      </c>
      <c r="K4560" t="s">
        <v>26</v>
      </c>
      <c r="L4560">
        <v>1</v>
      </c>
      <c r="M4560">
        <v>0</v>
      </c>
      <c r="N4560">
        <v>1</v>
      </c>
      <c r="O4560" t="s">
        <v>27</v>
      </c>
      <c r="P4560" t="str">
        <f>TEXT(Table1[[#This Row],[order_date]],"yyyy-mm")</f>
        <v>2025-09</v>
      </c>
      <c r="Q4560">
        <f>WEEKNUM(Table1[[#This Row],[order_date]])</f>
        <v>38</v>
      </c>
      <c r="R4560">
        <f>IF(Table1[[#This Row],[order_status]]="completed",1,0)</f>
        <v>0</v>
      </c>
    </row>
    <row r="4561" spans="1:18" x14ac:dyDescent="0.35">
      <c r="A4561">
        <v>4560</v>
      </c>
      <c r="B4561" s="1">
        <v>45958</v>
      </c>
      <c r="C4561">
        <v>1442</v>
      </c>
      <c r="D4561" t="s">
        <v>41</v>
      </c>
      <c r="E4561" t="s">
        <v>33</v>
      </c>
      <c r="F4561" t="s">
        <v>34</v>
      </c>
      <c r="G4561">
        <v>3</v>
      </c>
      <c r="H4561">
        <v>0</v>
      </c>
      <c r="I4561" t="s">
        <v>35</v>
      </c>
      <c r="J4561" t="s">
        <v>31</v>
      </c>
      <c r="K4561" t="s">
        <v>26</v>
      </c>
      <c r="L4561">
        <v>5</v>
      </c>
      <c r="M4561">
        <v>0</v>
      </c>
      <c r="N4561">
        <v>0</v>
      </c>
      <c r="O4561" t="s">
        <v>21</v>
      </c>
      <c r="P4561" t="str">
        <f>TEXT(Table1[[#This Row],[order_date]],"yyyy-mm")</f>
        <v>2025-10</v>
      </c>
      <c r="Q4561">
        <f>WEEKNUM(Table1[[#This Row],[order_date]])</f>
        <v>44</v>
      </c>
      <c r="R4561">
        <f>IF(Table1[[#This Row],[order_status]]="completed",1,0)</f>
        <v>0</v>
      </c>
    </row>
    <row r="4562" spans="1:18" x14ac:dyDescent="0.35">
      <c r="A4562">
        <v>4561</v>
      </c>
      <c r="B4562" s="1">
        <v>45999</v>
      </c>
      <c r="C4562">
        <v>1151</v>
      </c>
      <c r="D4562" t="s">
        <v>15</v>
      </c>
      <c r="E4562" t="s">
        <v>29</v>
      </c>
      <c r="F4562" t="s">
        <v>24</v>
      </c>
      <c r="G4562">
        <v>3</v>
      </c>
      <c r="H4562">
        <v>8766</v>
      </c>
      <c r="I4562" t="s">
        <v>39</v>
      </c>
      <c r="J4562" t="s">
        <v>19</v>
      </c>
      <c r="K4562" t="s">
        <v>40</v>
      </c>
      <c r="L4562">
        <v>1</v>
      </c>
      <c r="M4562">
        <v>1</v>
      </c>
      <c r="N4562">
        <v>1</v>
      </c>
      <c r="O4562" t="s">
        <v>27</v>
      </c>
      <c r="P4562" t="str">
        <f>TEXT(Table1[[#This Row],[order_date]],"yyyy-mm")</f>
        <v>2025-12</v>
      </c>
      <c r="Q4562">
        <f>WEEKNUM(Table1[[#This Row],[order_date]])</f>
        <v>50</v>
      </c>
      <c r="R4562">
        <f>IF(Table1[[#This Row],[order_status]]="completed",1,0)</f>
        <v>1</v>
      </c>
    </row>
    <row r="4563" spans="1:18" x14ac:dyDescent="0.35">
      <c r="A4563">
        <v>4562</v>
      </c>
      <c r="B4563" s="1">
        <v>45980</v>
      </c>
      <c r="C4563">
        <v>1457</v>
      </c>
      <c r="D4563" t="s">
        <v>28</v>
      </c>
      <c r="E4563" t="s">
        <v>36</v>
      </c>
      <c r="F4563" t="s">
        <v>24</v>
      </c>
      <c r="G4563">
        <v>5</v>
      </c>
      <c r="H4563">
        <v>0</v>
      </c>
      <c r="I4563" t="s">
        <v>35</v>
      </c>
      <c r="J4563" t="s">
        <v>31</v>
      </c>
      <c r="K4563" t="s">
        <v>20</v>
      </c>
      <c r="L4563">
        <v>5</v>
      </c>
      <c r="M4563">
        <v>1</v>
      </c>
      <c r="N4563">
        <v>1</v>
      </c>
      <c r="O4563" t="s">
        <v>21</v>
      </c>
      <c r="P4563" t="str">
        <f>TEXT(Table1[[#This Row],[order_date]],"yyyy-mm")</f>
        <v>2025-11</v>
      </c>
      <c r="Q4563">
        <f>WEEKNUM(Table1[[#This Row],[order_date]])</f>
        <v>47</v>
      </c>
      <c r="R4563">
        <f>IF(Table1[[#This Row],[order_status]]="completed",1,0)</f>
        <v>0</v>
      </c>
    </row>
    <row r="4564" spans="1:18" x14ac:dyDescent="0.35">
      <c r="A4564">
        <v>4563</v>
      </c>
      <c r="B4564" s="1">
        <v>45856</v>
      </c>
      <c r="C4564">
        <v>1760</v>
      </c>
      <c r="D4564" t="s">
        <v>15</v>
      </c>
      <c r="E4564" t="s">
        <v>36</v>
      </c>
      <c r="F4564" t="s">
        <v>34</v>
      </c>
      <c r="G4564">
        <v>4</v>
      </c>
      <c r="H4564">
        <v>0</v>
      </c>
      <c r="I4564" t="s">
        <v>18</v>
      </c>
      <c r="J4564" t="s">
        <v>37</v>
      </c>
      <c r="K4564" t="s">
        <v>26</v>
      </c>
      <c r="L4564">
        <v>5</v>
      </c>
      <c r="M4564">
        <v>0</v>
      </c>
      <c r="N4564">
        <v>0</v>
      </c>
      <c r="O4564" t="s">
        <v>21</v>
      </c>
      <c r="P4564" t="str">
        <f>TEXT(Table1[[#This Row],[order_date]],"yyyy-mm")</f>
        <v>2025-07</v>
      </c>
      <c r="Q4564">
        <f>WEEKNUM(Table1[[#This Row],[order_date]])</f>
        <v>29</v>
      </c>
      <c r="R4564">
        <f>IF(Table1[[#This Row],[order_status]]="completed",1,0)</f>
        <v>0</v>
      </c>
    </row>
    <row r="4565" spans="1:18" x14ac:dyDescent="0.35">
      <c r="A4565">
        <v>4564</v>
      </c>
      <c r="B4565" s="1">
        <v>45866</v>
      </c>
      <c r="C4565">
        <v>1371</v>
      </c>
      <c r="D4565" t="s">
        <v>15</v>
      </c>
      <c r="E4565" t="s">
        <v>36</v>
      </c>
      <c r="F4565" t="s">
        <v>24</v>
      </c>
      <c r="G4565">
        <v>2</v>
      </c>
      <c r="H4565">
        <v>0</v>
      </c>
      <c r="I4565" t="s">
        <v>18</v>
      </c>
      <c r="J4565" t="s">
        <v>37</v>
      </c>
      <c r="K4565" t="s">
        <v>20</v>
      </c>
      <c r="L4565">
        <v>3</v>
      </c>
      <c r="M4565">
        <v>1</v>
      </c>
      <c r="N4565">
        <v>1</v>
      </c>
      <c r="O4565" t="s">
        <v>27</v>
      </c>
      <c r="P4565" t="str">
        <f>TEXT(Table1[[#This Row],[order_date]],"yyyy-mm")</f>
        <v>2025-07</v>
      </c>
      <c r="Q4565">
        <f>WEEKNUM(Table1[[#This Row],[order_date]])</f>
        <v>31</v>
      </c>
      <c r="R4565">
        <f>IF(Table1[[#This Row],[order_status]]="completed",1,0)</f>
        <v>0</v>
      </c>
    </row>
    <row r="4566" spans="1:18" x14ac:dyDescent="0.35">
      <c r="A4566">
        <v>4565</v>
      </c>
      <c r="B4566" s="1">
        <v>45863</v>
      </c>
      <c r="C4566">
        <v>1706</v>
      </c>
      <c r="D4566" t="s">
        <v>41</v>
      </c>
      <c r="E4566" t="s">
        <v>23</v>
      </c>
      <c r="F4566" t="s">
        <v>17</v>
      </c>
      <c r="G4566">
        <v>5</v>
      </c>
      <c r="H4566">
        <v>0</v>
      </c>
      <c r="I4566" t="s">
        <v>35</v>
      </c>
      <c r="J4566" t="s">
        <v>37</v>
      </c>
      <c r="K4566" t="s">
        <v>40</v>
      </c>
      <c r="L4566">
        <v>5</v>
      </c>
      <c r="M4566">
        <v>1</v>
      </c>
      <c r="N4566">
        <v>0</v>
      </c>
      <c r="O4566" t="s">
        <v>21</v>
      </c>
      <c r="P4566" t="str">
        <f>TEXT(Table1[[#This Row],[order_date]],"yyyy-mm")</f>
        <v>2025-07</v>
      </c>
      <c r="Q4566">
        <f>WEEKNUM(Table1[[#This Row],[order_date]])</f>
        <v>30</v>
      </c>
      <c r="R4566">
        <f>IF(Table1[[#This Row],[order_status]]="completed",1,0)</f>
        <v>0</v>
      </c>
    </row>
    <row r="4567" spans="1:18" x14ac:dyDescent="0.35">
      <c r="A4567">
        <v>4566</v>
      </c>
      <c r="B4567" s="1">
        <v>45890</v>
      </c>
      <c r="C4567">
        <v>1448</v>
      </c>
      <c r="D4567" t="s">
        <v>41</v>
      </c>
      <c r="E4567" t="s">
        <v>29</v>
      </c>
      <c r="F4567" t="s">
        <v>17</v>
      </c>
      <c r="G4567">
        <v>5</v>
      </c>
      <c r="H4567">
        <v>19695</v>
      </c>
      <c r="I4567" t="s">
        <v>18</v>
      </c>
      <c r="J4567" t="s">
        <v>19</v>
      </c>
      <c r="K4567" t="s">
        <v>20</v>
      </c>
      <c r="L4567">
        <v>2</v>
      </c>
      <c r="M4567">
        <v>1</v>
      </c>
      <c r="N4567">
        <v>0</v>
      </c>
      <c r="O4567" t="s">
        <v>27</v>
      </c>
      <c r="P4567" t="str">
        <f>TEXT(Table1[[#This Row],[order_date]],"yyyy-mm")</f>
        <v>2025-08</v>
      </c>
      <c r="Q4567">
        <f>WEEKNUM(Table1[[#This Row],[order_date]])</f>
        <v>34</v>
      </c>
      <c r="R4567">
        <f>IF(Table1[[#This Row],[order_status]]="completed",1,0)</f>
        <v>1</v>
      </c>
    </row>
    <row r="4568" spans="1:18" x14ac:dyDescent="0.35">
      <c r="A4568">
        <v>4567</v>
      </c>
      <c r="B4568" s="1">
        <v>45939</v>
      </c>
      <c r="C4568">
        <v>1643</v>
      </c>
      <c r="D4568" t="s">
        <v>22</v>
      </c>
      <c r="E4568" t="s">
        <v>36</v>
      </c>
      <c r="F4568" t="s">
        <v>30</v>
      </c>
      <c r="G4568">
        <v>4</v>
      </c>
      <c r="H4568">
        <v>0</v>
      </c>
      <c r="I4568" t="s">
        <v>18</v>
      </c>
      <c r="J4568" t="s">
        <v>31</v>
      </c>
      <c r="K4568" t="s">
        <v>26</v>
      </c>
      <c r="L4568">
        <v>1</v>
      </c>
      <c r="M4568">
        <v>1</v>
      </c>
      <c r="N4568">
        <v>1</v>
      </c>
      <c r="O4568" t="s">
        <v>21</v>
      </c>
      <c r="P4568" t="str">
        <f>TEXT(Table1[[#This Row],[order_date]],"yyyy-mm")</f>
        <v>2025-10</v>
      </c>
      <c r="Q4568">
        <f>WEEKNUM(Table1[[#This Row],[order_date]])</f>
        <v>41</v>
      </c>
      <c r="R4568">
        <f>IF(Table1[[#This Row],[order_status]]="completed",1,0)</f>
        <v>0</v>
      </c>
    </row>
    <row r="4569" spans="1:18" x14ac:dyDescent="0.35">
      <c r="A4569">
        <v>4568</v>
      </c>
      <c r="B4569" s="1">
        <v>45969</v>
      </c>
      <c r="C4569">
        <v>1002</v>
      </c>
      <c r="D4569" t="s">
        <v>32</v>
      </c>
      <c r="E4569" t="s">
        <v>16</v>
      </c>
      <c r="F4569" t="s">
        <v>30</v>
      </c>
      <c r="G4569">
        <v>1</v>
      </c>
      <c r="H4569">
        <v>0</v>
      </c>
      <c r="I4569" t="s">
        <v>25</v>
      </c>
      <c r="J4569" t="s">
        <v>31</v>
      </c>
      <c r="K4569" t="s">
        <v>38</v>
      </c>
      <c r="L4569">
        <v>3</v>
      </c>
      <c r="M4569">
        <v>0</v>
      </c>
      <c r="N4569">
        <v>1</v>
      </c>
      <c r="O4569" t="s">
        <v>27</v>
      </c>
      <c r="P4569" t="str">
        <f>TEXT(Table1[[#This Row],[order_date]],"yyyy-mm")</f>
        <v>2025-11</v>
      </c>
      <c r="Q4569">
        <f>WEEKNUM(Table1[[#This Row],[order_date]])</f>
        <v>45</v>
      </c>
      <c r="R4569">
        <f>IF(Table1[[#This Row],[order_status]]="completed",1,0)</f>
        <v>0</v>
      </c>
    </row>
    <row r="4570" spans="1:18" x14ac:dyDescent="0.35">
      <c r="A4570">
        <v>4569</v>
      </c>
      <c r="B4570" s="1">
        <v>45958</v>
      </c>
      <c r="C4570">
        <v>1855</v>
      </c>
      <c r="D4570" t="s">
        <v>41</v>
      </c>
      <c r="E4570" t="s">
        <v>16</v>
      </c>
      <c r="F4570" t="s">
        <v>34</v>
      </c>
      <c r="G4570">
        <v>4</v>
      </c>
      <c r="H4570">
        <v>3872</v>
      </c>
      <c r="I4570" t="s">
        <v>39</v>
      </c>
      <c r="J4570" t="s">
        <v>19</v>
      </c>
      <c r="K4570" t="s">
        <v>38</v>
      </c>
      <c r="L4570">
        <v>10</v>
      </c>
      <c r="M4570">
        <v>0</v>
      </c>
      <c r="N4570">
        <v>0</v>
      </c>
      <c r="O4570" t="s">
        <v>27</v>
      </c>
      <c r="P4570" t="str">
        <f>TEXT(Table1[[#This Row],[order_date]],"yyyy-mm")</f>
        <v>2025-10</v>
      </c>
      <c r="Q4570">
        <f>WEEKNUM(Table1[[#This Row],[order_date]])</f>
        <v>44</v>
      </c>
      <c r="R4570">
        <f>IF(Table1[[#This Row],[order_status]]="completed",1,0)</f>
        <v>1</v>
      </c>
    </row>
    <row r="4571" spans="1:18" x14ac:dyDescent="0.35">
      <c r="A4571">
        <v>4570</v>
      </c>
      <c r="B4571" s="1">
        <v>45921</v>
      </c>
      <c r="C4571">
        <v>1936</v>
      </c>
      <c r="D4571" t="s">
        <v>28</v>
      </c>
      <c r="E4571" t="s">
        <v>33</v>
      </c>
      <c r="F4571" t="s">
        <v>17</v>
      </c>
      <c r="G4571">
        <v>1</v>
      </c>
      <c r="H4571">
        <v>0</v>
      </c>
      <c r="I4571" t="s">
        <v>25</v>
      </c>
      <c r="J4571" t="s">
        <v>37</v>
      </c>
      <c r="K4571" t="s">
        <v>38</v>
      </c>
      <c r="L4571">
        <v>4</v>
      </c>
      <c r="M4571">
        <v>0</v>
      </c>
      <c r="N4571">
        <v>1</v>
      </c>
      <c r="O4571" t="s">
        <v>27</v>
      </c>
      <c r="P4571" t="str">
        <f>TEXT(Table1[[#This Row],[order_date]],"yyyy-mm")</f>
        <v>2025-09</v>
      </c>
      <c r="Q4571">
        <f>WEEKNUM(Table1[[#This Row],[order_date]])</f>
        <v>39</v>
      </c>
      <c r="R4571">
        <f>IF(Table1[[#This Row],[order_status]]="completed",1,0)</f>
        <v>0</v>
      </c>
    </row>
    <row r="4572" spans="1:18" x14ac:dyDescent="0.35">
      <c r="A4572">
        <v>4571</v>
      </c>
      <c r="B4572" s="1">
        <v>45874</v>
      </c>
      <c r="C4572">
        <v>1842</v>
      </c>
      <c r="D4572" t="s">
        <v>32</v>
      </c>
      <c r="E4572" t="s">
        <v>29</v>
      </c>
      <c r="F4572" t="s">
        <v>24</v>
      </c>
      <c r="G4572">
        <v>5</v>
      </c>
      <c r="H4572">
        <v>0</v>
      </c>
      <c r="I4572" t="s">
        <v>18</v>
      </c>
      <c r="J4572" t="s">
        <v>37</v>
      </c>
      <c r="K4572" t="s">
        <v>20</v>
      </c>
      <c r="L4572">
        <v>2</v>
      </c>
      <c r="M4572">
        <v>0</v>
      </c>
      <c r="N4572">
        <v>1</v>
      </c>
      <c r="O4572" t="s">
        <v>27</v>
      </c>
      <c r="P4572" t="str">
        <f>TEXT(Table1[[#This Row],[order_date]],"yyyy-mm")</f>
        <v>2025-08</v>
      </c>
      <c r="Q4572">
        <f>WEEKNUM(Table1[[#This Row],[order_date]])</f>
        <v>32</v>
      </c>
      <c r="R4572">
        <f>IF(Table1[[#This Row],[order_status]]="completed",1,0)</f>
        <v>0</v>
      </c>
    </row>
    <row r="4573" spans="1:18" x14ac:dyDescent="0.35">
      <c r="A4573">
        <v>4572</v>
      </c>
      <c r="B4573" s="1">
        <v>45954</v>
      </c>
      <c r="C4573">
        <v>1092</v>
      </c>
      <c r="D4573" t="s">
        <v>28</v>
      </c>
      <c r="E4573" t="s">
        <v>36</v>
      </c>
      <c r="F4573" t="s">
        <v>24</v>
      </c>
      <c r="G4573">
        <v>4</v>
      </c>
      <c r="H4573">
        <v>19228</v>
      </c>
      <c r="I4573" t="s">
        <v>35</v>
      </c>
      <c r="J4573" t="s">
        <v>19</v>
      </c>
      <c r="K4573" t="s">
        <v>40</v>
      </c>
      <c r="L4573">
        <v>4</v>
      </c>
      <c r="M4573">
        <v>1</v>
      </c>
      <c r="N4573">
        <v>0</v>
      </c>
      <c r="O4573" t="s">
        <v>27</v>
      </c>
      <c r="P4573" t="str">
        <f>TEXT(Table1[[#This Row],[order_date]],"yyyy-mm")</f>
        <v>2025-10</v>
      </c>
      <c r="Q4573">
        <f>WEEKNUM(Table1[[#This Row],[order_date]])</f>
        <v>43</v>
      </c>
      <c r="R4573">
        <f>IF(Table1[[#This Row],[order_status]]="completed",1,0)</f>
        <v>1</v>
      </c>
    </row>
    <row r="4574" spans="1:18" x14ac:dyDescent="0.35">
      <c r="A4574">
        <v>4573</v>
      </c>
      <c r="B4574" s="1">
        <v>45965</v>
      </c>
      <c r="C4574">
        <v>1601</v>
      </c>
      <c r="D4574" t="s">
        <v>41</v>
      </c>
      <c r="E4574" t="s">
        <v>33</v>
      </c>
      <c r="F4574" t="s">
        <v>17</v>
      </c>
      <c r="G4574">
        <v>1</v>
      </c>
      <c r="H4574">
        <v>0</v>
      </c>
      <c r="I4574" t="s">
        <v>18</v>
      </c>
      <c r="J4574" t="s">
        <v>31</v>
      </c>
      <c r="K4574" t="s">
        <v>26</v>
      </c>
      <c r="L4574">
        <v>7</v>
      </c>
      <c r="M4574">
        <v>0</v>
      </c>
      <c r="N4574">
        <v>0</v>
      </c>
      <c r="O4574" t="s">
        <v>27</v>
      </c>
      <c r="P4574" t="str">
        <f>TEXT(Table1[[#This Row],[order_date]],"yyyy-mm")</f>
        <v>2025-11</v>
      </c>
      <c r="Q4574">
        <f>WEEKNUM(Table1[[#This Row],[order_date]])</f>
        <v>45</v>
      </c>
      <c r="R4574">
        <f>IF(Table1[[#This Row],[order_status]]="completed",1,0)</f>
        <v>0</v>
      </c>
    </row>
    <row r="4575" spans="1:18" x14ac:dyDescent="0.35">
      <c r="A4575">
        <v>4574</v>
      </c>
      <c r="B4575" s="1">
        <v>45907</v>
      </c>
      <c r="C4575">
        <v>1095</v>
      </c>
      <c r="D4575" t="s">
        <v>22</v>
      </c>
      <c r="E4575" t="s">
        <v>33</v>
      </c>
      <c r="F4575" t="s">
        <v>24</v>
      </c>
      <c r="G4575">
        <v>5</v>
      </c>
      <c r="H4575">
        <v>0</v>
      </c>
      <c r="I4575" t="s">
        <v>35</v>
      </c>
      <c r="J4575" t="s">
        <v>31</v>
      </c>
      <c r="K4575" t="s">
        <v>26</v>
      </c>
      <c r="L4575">
        <v>5</v>
      </c>
      <c r="M4575">
        <v>0</v>
      </c>
      <c r="N4575">
        <v>0</v>
      </c>
      <c r="O4575" t="s">
        <v>21</v>
      </c>
      <c r="P4575" t="str">
        <f>TEXT(Table1[[#This Row],[order_date]],"yyyy-mm")</f>
        <v>2025-09</v>
      </c>
      <c r="Q4575">
        <f>WEEKNUM(Table1[[#This Row],[order_date]])</f>
        <v>37</v>
      </c>
      <c r="R4575">
        <f>IF(Table1[[#This Row],[order_status]]="completed",1,0)</f>
        <v>0</v>
      </c>
    </row>
    <row r="4576" spans="1:18" x14ac:dyDescent="0.35">
      <c r="A4576">
        <v>4575</v>
      </c>
      <c r="B4576" s="1">
        <v>45997</v>
      </c>
      <c r="C4576">
        <v>1918</v>
      </c>
      <c r="D4576" t="s">
        <v>32</v>
      </c>
      <c r="E4576" t="s">
        <v>29</v>
      </c>
      <c r="F4576" t="s">
        <v>30</v>
      </c>
      <c r="G4576">
        <v>3</v>
      </c>
      <c r="H4576">
        <v>6975</v>
      </c>
      <c r="I4576" t="s">
        <v>39</v>
      </c>
      <c r="J4576" t="s">
        <v>19</v>
      </c>
      <c r="K4576" t="s">
        <v>20</v>
      </c>
      <c r="L4576">
        <v>3</v>
      </c>
      <c r="M4576">
        <v>0</v>
      </c>
      <c r="N4576">
        <v>1</v>
      </c>
      <c r="O4576" t="s">
        <v>27</v>
      </c>
      <c r="P4576" t="str">
        <f>TEXT(Table1[[#This Row],[order_date]],"yyyy-mm")</f>
        <v>2025-12</v>
      </c>
      <c r="Q4576">
        <f>WEEKNUM(Table1[[#This Row],[order_date]])</f>
        <v>49</v>
      </c>
      <c r="R4576">
        <f>IF(Table1[[#This Row],[order_status]]="completed",1,0)</f>
        <v>1</v>
      </c>
    </row>
    <row r="4577" spans="1:18" x14ac:dyDescent="0.35">
      <c r="A4577">
        <v>4576</v>
      </c>
      <c r="B4577" s="1">
        <v>45961</v>
      </c>
      <c r="C4577">
        <v>1879</v>
      </c>
      <c r="D4577" t="s">
        <v>22</v>
      </c>
      <c r="E4577" t="s">
        <v>16</v>
      </c>
      <c r="F4577" t="s">
        <v>24</v>
      </c>
      <c r="G4577">
        <v>2</v>
      </c>
      <c r="H4577">
        <v>0</v>
      </c>
      <c r="I4577" t="s">
        <v>39</v>
      </c>
      <c r="J4577" t="s">
        <v>37</v>
      </c>
      <c r="K4577" t="s">
        <v>26</v>
      </c>
      <c r="L4577">
        <v>3</v>
      </c>
      <c r="M4577">
        <v>0</v>
      </c>
      <c r="N4577">
        <v>0</v>
      </c>
      <c r="O4577" t="s">
        <v>27</v>
      </c>
      <c r="P4577" t="str">
        <f>TEXT(Table1[[#This Row],[order_date]],"yyyy-mm")</f>
        <v>2025-10</v>
      </c>
      <c r="Q4577">
        <f>WEEKNUM(Table1[[#This Row],[order_date]])</f>
        <v>44</v>
      </c>
      <c r="R4577">
        <f>IF(Table1[[#This Row],[order_status]]="completed",1,0)</f>
        <v>0</v>
      </c>
    </row>
    <row r="4578" spans="1:18" x14ac:dyDescent="0.35">
      <c r="A4578">
        <v>4577</v>
      </c>
      <c r="B4578" s="1">
        <v>45958</v>
      </c>
      <c r="C4578">
        <v>1703</v>
      </c>
      <c r="D4578" t="s">
        <v>41</v>
      </c>
      <c r="E4578" t="s">
        <v>16</v>
      </c>
      <c r="F4578" t="s">
        <v>17</v>
      </c>
      <c r="G4578">
        <v>1</v>
      </c>
      <c r="H4578">
        <v>2787</v>
      </c>
      <c r="I4578" t="s">
        <v>35</v>
      </c>
      <c r="J4578" t="s">
        <v>19</v>
      </c>
      <c r="K4578" t="s">
        <v>40</v>
      </c>
      <c r="L4578">
        <v>6</v>
      </c>
      <c r="M4578">
        <v>0</v>
      </c>
      <c r="N4578">
        <v>1</v>
      </c>
      <c r="O4578" t="s">
        <v>21</v>
      </c>
      <c r="P4578" t="str">
        <f>TEXT(Table1[[#This Row],[order_date]],"yyyy-mm")</f>
        <v>2025-10</v>
      </c>
      <c r="Q4578">
        <f>WEEKNUM(Table1[[#This Row],[order_date]])</f>
        <v>44</v>
      </c>
      <c r="R4578">
        <f>IF(Table1[[#This Row],[order_status]]="completed",1,0)</f>
        <v>1</v>
      </c>
    </row>
    <row r="4579" spans="1:18" x14ac:dyDescent="0.35">
      <c r="A4579">
        <v>4578</v>
      </c>
      <c r="B4579" s="1">
        <v>46008</v>
      </c>
      <c r="C4579">
        <v>1908</v>
      </c>
      <c r="D4579" t="s">
        <v>28</v>
      </c>
      <c r="E4579" t="s">
        <v>23</v>
      </c>
      <c r="F4579" t="s">
        <v>17</v>
      </c>
      <c r="G4579">
        <v>2</v>
      </c>
      <c r="H4579">
        <v>0</v>
      </c>
      <c r="I4579" t="s">
        <v>39</v>
      </c>
      <c r="J4579" t="s">
        <v>31</v>
      </c>
      <c r="K4579" t="s">
        <v>20</v>
      </c>
      <c r="L4579">
        <v>3</v>
      </c>
      <c r="M4579">
        <v>0</v>
      </c>
      <c r="N4579">
        <v>0</v>
      </c>
      <c r="O4579" t="s">
        <v>27</v>
      </c>
      <c r="P4579" t="str">
        <f>TEXT(Table1[[#This Row],[order_date]],"yyyy-mm")</f>
        <v>2025-12</v>
      </c>
      <c r="Q4579">
        <f>WEEKNUM(Table1[[#This Row],[order_date]])</f>
        <v>51</v>
      </c>
      <c r="R4579">
        <f>IF(Table1[[#This Row],[order_status]]="completed",1,0)</f>
        <v>0</v>
      </c>
    </row>
    <row r="4580" spans="1:18" x14ac:dyDescent="0.35">
      <c r="A4580">
        <v>4579</v>
      </c>
      <c r="B4580" s="1">
        <v>45959</v>
      </c>
      <c r="C4580">
        <v>1855</v>
      </c>
      <c r="D4580" t="s">
        <v>41</v>
      </c>
      <c r="E4580" t="s">
        <v>36</v>
      </c>
      <c r="F4580" t="s">
        <v>17</v>
      </c>
      <c r="G4580">
        <v>1</v>
      </c>
      <c r="H4580">
        <v>0</v>
      </c>
      <c r="I4580" t="s">
        <v>35</v>
      </c>
      <c r="J4580" t="s">
        <v>37</v>
      </c>
      <c r="K4580" t="s">
        <v>26</v>
      </c>
      <c r="L4580">
        <v>9</v>
      </c>
      <c r="M4580">
        <v>0</v>
      </c>
      <c r="N4580">
        <v>1</v>
      </c>
      <c r="O4580" t="s">
        <v>21</v>
      </c>
      <c r="P4580" t="str">
        <f>TEXT(Table1[[#This Row],[order_date]],"yyyy-mm")</f>
        <v>2025-10</v>
      </c>
      <c r="Q4580">
        <f>WEEKNUM(Table1[[#This Row],[order_date]])</f>
        <v>44</v>
      </c>
      <c r="R4580">
        <f>IF(Table1[[#This Row],[order_status]]="completed",1,0)</f>
        <v>0</v>
      </c>
    </row>
    <row r="4581" spans="1:18" x14ac:dyDescent="0.35">
      <c r="A4581">
        <v>4580</v>
      </c>
      <c r="B4581" s="1">
        <v>45853</v>
      </c>
      <c r="C4581">
        <v>1816</v>
      </c>
      <c r="D4581" t="s">
        <v>41</v>
      </c>
      <c r="E4581" t="s">
        <v>33</v>
      </c>
      <c r="F4581" t="s">
        <v>17</v>
      </c>
      <c r="G4581">
        <v>3</v>
      </c>
      <c r="H4581">
        <v>0</v>
      </c>
      <c r="I4581" t="s">
        <v>39</v>
      </c>
      <c r="J4581" t="s">
        <v>31</v>
      </c>
      <c r="K4581" t="s">
        <v>26</v>
      </c>
      <c r="L4581">
        <v>10</v>
      </c>
      <c r="M4581">
        <v>1</v>
      </c>
      <c r="N4581">
        <v>1</v>
      </c>
      <c r="O4581" t="s">
        <v>27</v>
      </c>
      <c r="P4581" t="str">
        <f>TEXT(Table1[[#This Row],[order_date]],"yyyy-mm")</f>
        <v>2025-07</v>
      </c>
      <c r="Q4581">
        <f>WEEKNUM(Table1[[#This Row],[order_date]])</f>
        <v>29</v>
      </c>
      <c r="R4581">
        <f>IF(Table1[[#This Row],[order_status]]="completed",1,0)</f>
        <v>0</v>
      </c>
    </row>
    <row r="4582" spans="1:18" x14ac:dyDescent="0.35">
      <c r="A4582">
        <v>4581</v>
      </c>
      <c r="B4582" s="1">
        <v>45896</v>
      </c>
      <c r="C4582">
        <v>1286</v>
      </c>
      <c r="D4582" t="s">
        <v>41</v>
      </c>
      <c r="E4582" t="s">
        <v>36</v>
      </c>
      <c r="F4582" t="s">
        <v>17</v>
      </c>
      <c r="G4582">
        <v>4</v>
      </c>
      <c r="H4582">
        <v>1752</v>
      </c>
      <c r="I4582" t="s">
        <v>39</v>
      </c>
      <c r="J4582" t="s">
        <v>19</v>
      </c>
      <c r="K4582" t="s">
        <v>26</v>
      </c>
      <c r="L4582">
        <v>4</v>
      </c>
      <c r="M4582">
        <v>1</v>
      </c>
      <c r="N4582">
        <v>1</v>
      </c>
      <c r="O4582" t="s">
        <v>21</v>
      </c>
      <c r="P4582" t="str">
        <f>TEXT(Table1[[#This Row],[order_date]],"yyyy-mm")</f>
        <v>2025-08</v>
      </c>
      <c r="Q4582">
        <f>WEEKNUM(Table1[[#This Row],[order_date]])</f>
        <v>35</v>
      </c>
      <c r="R4582">
        <f>IF(Table1[[#This Row],[order_status]]="completed",1,0)</f>
        <v>1</v>
      </c>
    </row>
    <row r="4583" spans="1:18" x14ac:dyDescent="0.35">
      <c r="A4583">
        <v>4582</v>
      </c>
      <c r="B4583" s="1">
        <v>45852</v>
      </c>
      <c r="C4583">
        <v>1253</v>
      </c>
      <c r="D4583" t="s">
        <v>15</v>
      </c>
      <c r="E4583" t="s">
        <v>33</v>
      </c>
      <c r="F4583" t="s">
        <v>24</v>
      </c>
      <c r="G4583">
        <v>5</v>
      </c>
      <c r="H4583">
        <v>0</v>
      </c>
      <c r="I4583" t="s">
        <v>39</v>
      </c>
      <c r="J4583" t="s">
        <v>31</v>
      </c>
      <c r="K4583" t="s">
        <v>38</v>
      </c>
      <c r="L4583">
        <v>4</v>
      </c>
      <c r="M4583">
        <v>0</v>
      </c>
      <c r="N4583">
        <v>1</v>
      </c>
      <c r="O4583" t="s">
        <v>27</v>
      </c>
      <c r="P4583" t="str">
        <f>TEXT(Table1[[#This Row],[order_date]],"yyyy-mm")</f>
        <v>2025-07</v>
      </c>
      <c r="Q4583">
        <f>WEEKNUM(Table1[[#This Row],[order_date]])</f>
        <v>29</v>
      </c>
      <c r="R4583">
        <f>IF(Table1[[#This Row],[order_status]]="completed",1,0)</f>
        <v>0</v>
      </c>
    </row>
    <row r="4584" spans="1:18" x14ac:dyDescent="0.35">
      <c r="A4584">
        <v>4583</v>
      </c>
      <c r="B4584" s="1">
        <v>45869</v>
      </c>
      <c r="C4584">
        <v>1081</v>
      </c>
      <c r="D4584" t="s">
        <v>15</v>
      </c>
      <c r="E4584" t="s">
        <v>23</v>
      </c>
      <c r="F4584" t="s">
        <v>34</v>
      </c>
      <c r="G4584">
        <v>2</v>
      </c>
      <c r="H4584">
        <v>0</v>
      </c>
      <c r="I4584" t="s">
        <v>39</v>
      </c>
      <c r="J4584" t="s">
        <v>37</v>
      </c>
      <c r="K4584" t="s">
        <v>26</v>
      </c>
      <c r="L4584">
        <v>8</v>
      </c>
      <c r="M4584">
        <v>1</v>
      </c>
      <c r="N4584">
        <v>0</v>
      </c>
      <c r="O4584" t="s">
        <v>27</v>
      </c>
      <c r="P4584" t="str">
        <f>TEXT(Table1[[#This Row],[order_date]],"yyyy-mm")</f>
        <v>2025-07</v>
      </c>
      <c r="Q4584">
        <f>WEEKNUM(Table1[[#This Row],[order_date]])</f>
        <v>31</v>
      </c>
      <c r="R4584">
        <f>IF(Table1[[#This Row],[order_status]]="completed",1,0)</f>
        <v>0</v>
      </c>
    </row>
    <row r="4585" spans="1:18" x14ac:dyDescent="0.35">
      <c r="A4585">
        <v>4584</v>
      </c>
      <c r="B4585" s="1">
        <v>45866</v>
      </c>
      <c r="C4585">
        <v>1223</v>
      </c>
      <c r="D4585" t="s">
        <v>41</v>
      </c>
      <c r="E4585" t="s">
        <v>36</v>
      </c>
      <c r="F4585" t="s">
        <v>30</v>
      </c>
      <c r="G4585">
        <v>2</v>
      </c>
      <c r="H4585">
        <v>0</v>
      </c>
      <c r="I4585" t="s">
        <v>39</v>
      </c>
      <c r="J4585" t="s">
        <v>37</v>
      </c>
      <c r="K4585" t="s">
        <v>20</v>
      </c>
      <c r="L4585">
        <v>4</v>
      </c>
      <c r="M4585">
        <v>0</v>
      </c>
      <c r="N4585">
        <v>1</v>
      </c>
      <c r="O4585" t="s">
        <v>21</v>
      </c>
      <c r="P4585" t="str">
        <f>TEXT(Table1[[#This Row],[order_date]],"yyyy-mm")</f>
        <v>2025-07</v>
      </c>
      <c r="Q4585">
        <f>WEEKNUM(Table1[[#This Row],[order_date]])</f>
        <v>31</v>
      </c>
      <c r="R4585">
        <f>IF(Table1[[#This Row],[order_status]]="completed",1,0)</f>
        <v>0</v>
      </c>
    </row>
    <row r="4586" spans="1:18" x14ac:dyDescent="0.35">
      <c r="A4586">
        <v>4585</v>
      </c>
      <c r="B4586" s="1">
        <v>45934</v>
      </c>
      <c r="C4586">
        <v>1581</v>
      </c>
      <c r="D4586" t="s">
        <v>22</v>
      </c>
      <c r="E4586" t="s">
        <v>16</v>
      </c>
      <c r="F4586" t="s">
        <v>24</v>
      </c>
      <c r="G4586">
        <v>4</v>
      </c>
      <c r="H4586">
        <v>0</v>
      </c>
      <c r="I4586" t="s">
        <v>25</v>
      </c>
      <c r="J4586" t="s">
        <v>31</v>
      </c>
      <c r="K4586" t="s">
        <v>20</v>
      </c>
      <c r="L4586">
        <v>8</v>
      </c>
      <c r="M4586">
        <v>0</v>
      </c>
      <c r="N4586">
        <v>1</v>
      </c>
      <c r="O4586" t="s">
        <v>21</v>
      </c>
      <c r="P4586" t="str">
        <f>TEXT(Table1[[#This Row],[order_date]],"yyyy-mm")</f>
        <v>2025-10</v>
      </c>
      <c r="Q4586">
        <f>WEEKNUM(Table1[[#This Row],[order_date]])</f>
        <v>40</v>
      </c>
      <c r="R4586">
        <f>IF(Table1[[#This Row],[order_status]]="completed",1,0)</f>
        <v>0</v>
      </c>
    </row>
    <row r="4587" spans="1:18" x14ac:dyDescent="0.35">
      <c r="A4587">
        <v>4586</v>
      </c>
      <c r="B4587" s="1">
        <v>45898</v>
      </c>
      <c r="C4587">
        <v>1352</v>
      </c>
      <c r="D4587" t="s">
        <v>28</v>
      </c>
      <c r="E4587" t="s">
        <v>33</v>
      </c>
      <c r="F4587" t="s">
        <v>17</v>
      </c>
      <c r="G4587">
        <v>3</v>
      </c>
      <c r="H4587">
        <v>2304</v>
      </c>
      <c r="I4587" t="s">
        <v>25</v>
      </c>
      <c r="J4587" t="s">
        <v>19</v>
      </c>
      <c r="K4587" t="s">
        <v>40</v>
      </c>
      <c r="L4587">
        <v>7</v>
      </c>
      <c r="M4587">
        <v>1</v>
      </c>
      <c r="N4587">
        <v>1</v>
      </c>
      <c r="O4587" t="s">
        <v>27</v>
      </c>
      <c r="P4587" t="str">
        <f>TEXT(Table1[[#This Row],[order_date]],"yyyy-mm")</f>
        <v>2025-08</v>
      </c>
      <c r="Q4587">
        <f>WEEKNUM(Table1[[#This Row],[order_date]])</f>
        <v>35</v>
      </c>
      <c r="R4587">
        <f>IF(Table1[[#This Row],[order_status]]="completed",1,0)</f>
        <v>1</v>
      </c>
    </row>
    <row r="4588" spans="1:18" x14ac:dyDescent="0.35">
      <c r="A4588">
        <v>4587</v>
      </c>
      <c r="B4588" s="1">
        <v>45903</v>
      </c>
      <c r="C4588">
        <v>1401</v>
      </c>
      <c r="D4588" t="s">
        <v>28</v>
      </c>
      <c r="E4588" t="s">
        <v>16</v>
      </c>
      <c r="F4588" t="s">
        <v>24</v>
      </c>
      <c r="G4588">
        <v>4</v>
      </c>
      <c r="H4588">
        <v>0</v>
      </c>
      <c r="I4588" t="s">
        <v>25</v>
      </c>
      <c r="J4588" t="s">
        <v>31</v>
      </c>
      <c r="K4588" t="s">
        <v>40</v>
      </c>
      <c r="L4588">
        <v>2</v>
      </c>
      <c r="M4588">
        <v>0</v>
      </c>
      <c r="N4588">
        <v>1</v>
      </c>
      <c r="O4588" t="s">
        <v>21</v>
      </c>
      <c r="P4588" t="str">
        <f>TEXT(Table1[[#This Row],[order_date]],"yyyy-mm")</f>
        <v>2025-09</v>
      </c>
      <c r="Q4588">
        <f>WEEKNUM(Table1[[#This Row],[order_date]])</f>
        <v>36</v>
      </c>
      <c r="R4588">
        <f>IF(Table1[[#This Row],[order_status]]="completed",1,0)</f>
        <v>0</v>
      </c>
    </row>
    <row r="4589" spans="1:18" x14ac:dyDescent="0.35">
      <c r="A4589">
        <v>4588</v>
      </c>
      <c r="B4589" s="1">
        <v>46002</v>
      </c>
      <c r="C4589">
        <v>1285</v>
      </c>
      <c r="D4589" t="s">
        <v>22</v>
      </c>
      <c r="E4589" t="s">
        <v>29</v>
      </c>
      <c r="F4589" t="s">
        <v>34</v>
      </c>
      <c r="G4589">
        <v>4</v>
      </c>
      <c r="H4589">
        <v>0</v>
      </c>
      <c r="I4589" t="s">
        <v>25</v>
      </c>
      <c r="J4589" t="s">
        <v>31</v>
      </c>
      <c r="K4589" t="s">
        <v>20</v>
      </c>
      <c r="L4589">
        <v>10</v>
      </c>
      <c r="M4589">
        <v>0</v>
      </c>
      <c r="N4589">
        <v>0</v>
      </c>
      <c r="O4589" t="s">
        <v>21</v>
      </c>
      <c r="P4589" t="str">
        <f>TEXT(Table1[[#This Row],[order_date]],"yyyy-mm")</f>
        <v>2025-12</v>
      </c>
      <c r="Q4589">
        <f>WEEKNUM(Table1[[#This Row],[order_date]])</f>
        <v>50</v>
      </c>
      <c r="R4589">
        <f>IF(Table1[[#This Row],[order_status]]="completed",1,0)</f>
        <v>0</v>
      </c>
    </row>
    <row r="4590" spans="1:18" x14ac:dyDescent="0.35">
      <c r="A4590">
        <v>4589</v>
      </c>
      <c r="B4590" s="1">
        <v>45867</v>
      </c>
      <c r="C4590">
        <v>1852</v>
      </c>
      <c r="D4590" t="s">
        <v>22</v>
      </c>
      <c r="E4590" t="s">
        <v>36</v>
      </c>
      <c r="F4590" t="s">
        <v>17</v>
      </c>
      <c r="G4590">
        <v>4</v>
      </c>
      <c r="H4590">
        <v>3516</v>
      </c>
      <c r="I4590" t="s">
        <v>25</v>
      </c>
      <c r="J4590" t="s">
        <v>19</v>
      </c>
      <c r="K4590" t="s">
        <v>20</v>
      </c>
      <c r="L4590">
        <v>4</v>
      </c>
      <c r="M4590">
        <v>0</v>
      </c>
      <c r="N4590">
        <v>1</v>
      </c>
      <c r="O4590" t="s">
        <v>27</v>
      </c>
      <c r="P4590" t="str">
        <f>TEXT(Table1[[#This Row],[order_date]],"yyyy-mm")</f>
        <v>2025-07</v>
      </c>
      <c r="Q4590">
        <f>WEEKNUM(Table1[[#This Row],[order_date]])</f>
        <v>31</v>
      </c>
      <c r="R4590">
        <f>IF(Table1[[#This Row],[order_status]]="completed",1,0)</f>
        <v>1</v>
      </c>
    </row>
    <row r="4591" spans="1:18" x14ac:dyDescent="0.35">
      <c r="A4591">
        <v>4590</v>
      </c>
      <c r="B4591" s="1">
        <v>45860</v>
      </c>
      <c r="C4591">
        <v>1075</v>
      </c>
      <c r="D4591" t="s">
        <v>41</v>
      </c>
      <c r="E4591" t="s">
        <v>36</v>
      </c>
      <c r="F4591" t="s">
        <v>30</v>
      </c>
      <c r="G4591">
        <v>5</v>
      </c>
      <c r="H4591">
        <v>0</v>
      </c>
      <c r="I4591" t="s">
        <v>35</v>
      </c>
      <c r="J4591" t="s">
        <v>37</v>
      </c>
      <c r="K4591" t="s">
        <v>38</v>
      </c>
      <c r="L4591">
        <v>2</v>
      </c>
      <c r="M4591">
        <v>1</v>
      </c>
      <c r="N4591">
        <v>1</v>
      </c>
      <c r="O4591" t="s">
        <v>27</v>
      </c>
      <c r="P4591" t="str">
        <f>TEXT(Table1[[#This Row],[order_date]],"yyyy-mm")</f>
        <v>2025-07</v>
      </c>
      <c r="Q4591">
        <f>WEEKNUM(Table1[[#This Row],[order_date]])</f>
        <v>30</v>
      </c>
      <c r="R4591">
        <f>IF(Table1[[#This Row],[order_status]]="completed",1,0)</f>
        <v>0</v>
      </c>
    </row>
    <row r="4592" spans="1:18" x14ac:dyDescent="0.35">
      <c r="A4592">
        <v>4591</v>
      </c>
      <c r="B4592" s="1">
        <v>45985</v>
      </c>
      <c r="C4592">
        <v>1700</v>
      </c>
      <c r="D4592" t="s">
        <v>28</v>
      </c>
      <c r="E4592" t="s">
        <v>29</v>
      </c>
      <c r="F4592" t="s">
        <v>24</v>
      </c>
      <c r="G4592">
        <v>1</v>
      </c>
      <c r="H4592">
        <v>3645</v>
      </c>
      <c r="I4592" t="s">
        <v>25</v>
      </c>
      <c r="J4592" t="s">
        <v>19</v>
      </c>
      <c r="K4592" t="s">
        <v>38</v>
      </c>
      <c r="L4592">
        <v>7</v>
      </c>
      <c r="M4592">
        <v>1</v>
      </c>
      <c r="N4592">
        <v>0</v>
      </c>
      <c r="O4592" t="s">
        <v>21</v>
      </c>
      <c r="P4592" t="str">
        <f>TEXT(Table1[[#This Row],[order_date]],"yyyy-mm")</f>
        <v>2025-11</v>
      </c>
      <c r="Q4592">
        <f>WEEKNUM(Table1[[#This Row],[order_date]])</f>
        <v>48</v>
      </c>
      <c r="R4592">
        <f>IF(Table1[[#This Row],[order_status]]="completed",1,0)</f>
        <v>1</v>
      </c>
    </row>
    <row r="4593" spans="1:18" x14ac:dyDescent="0.35">
      <c r="A4593">
        <v>4592</v>
      </c>
      <c r="B4593" s="1">
        <v>46027</v>
      </c>
      <c r="C4593">
        <v>1192</v>
      </c>
      <c r="D4593" t="s">
        <v>28</v>
      </c>
      <c r="E4593" t="s">
        <v>33</v>
      </c>
      <c r="F4593" t="s">
        <v>24</v>
      </c>
      <c r="G4593">
        <v>3</v>
      </c>
      <c r="H4593">
        <v>0</v>
      </c>
      <c r="I4593" t="s">
        <v>35</v>
      </c>
      <c r="J4593" t="s">
        <v>37</v>
      </c>
      <c r="K4593" t="s">
        <v>38</v>
      </c>
      <c r="L4593">
        <v>2</v>
      </c>
      <c r="M4593">
        <v>1</v>
      </c>
      <c r="N4593">
        <v>0</v>
      </c>
      <c r="O4593" t="s">
        <v>27</v>
      </c>
      <c r="P4593" t="str">
        <f>TEXT(Table1[[#This Row],[order_date]],"yyyy-mm")</f>
        <v>2026-01</v>
      </c>
      <c r="Q4593">
        <f>WEEKNUM(Table1[[#This Row],[order_date]])</f>
        <v>2</v>
      </c>
      <c r="R4593">
        <f>IF(Table1[[#This Row],[order_status]]="completed",1,0)</f>
        <v>0</v>
      </c>
    </row>
    <row r="4594" spans="1:18" x14ac:dyDescent="0.35">
      <c r="A4594">
        <v>4593</v>
      </c>
      <c r="B4594" s="1">
        <v>45901</v>
      </c>
      <c r="C4594">
        <v>1139</v>
      </c>
      <c r="D4594" t="s">
        <v>22</v>
      </c>
      <c r="E4594" t="s">
        <v>16</v>
      </c>
      <c r="F4594" t="s">
        <v>24</v>
      </c>
      <c r="G4594">
        <v>2</v>
      </c>
      <c r="H4594">
        <v>8104</v>
      </c>
      <c r="I4594" t="s">
        <v>18</v>
      </c>
      <c r="J4594" t="s">
        <v>19</v>
      </c>
      <c r="K4594" t="s">
        <v>20</v>
      </c>
      <c r="L4594">
        <v>6</v>
      </c>
      <c r="M4594">
        <v>1</v>
      </c>
      <c r="N4594">
        <v>1</v>
      </c>
      <c r="O4594" t="s">
        <v>21</v>
      </c>
      <c r="P4594" t="str">
        <f>TEXT(Table1[[#This Row],[order_date]],"yyyy-mm")</f>
        <v>2025-09</v>
      </c>
      <c r="Q4594">
        <f>WEEKNUM(Table1[[#This Row],[order_date]])</f>
        <v>36</v>
      </c>
      <c r="R4594">
        <f>IF(Table1[[#This Row],[order_status]]="completed",1,0)</f>
        <v>1</v>
      </c>
    </row>
    <row r="4595" spans="1:18" x14ac:dyDescent="0.35">
      <c r="A4595">
        <v>4594</v>
      </c>
      <c r="B4595" s="1">
        <v>45936</v>
      </c>
      <c r="C4595">
        <v>1219</v>
      </c>
      <c r="D4595" t="s">
        <v>41</v>
      </c>
      <c r="E4595" t="s">
        <v>29</v>
      </c>
      <c r="F4595" t="s">
        <v>17</v>
      </c>
      <c r="G4595">
        <v>4</v>
      </c>
      <c r="H4595">
        <v>0</v>
      </c>
      <c r="I4595" t="s">
        <v>39</v>
      </c>
      <c r="J4595" t="s">
        <v>31</v>
      </c>
      <c r="K4595" t="s">
        <v>40</v>
      </c>
      <c r="L4595">
        <v>5</v>
      </c>
      <c r="M4595">
        <v>0</v>
      </c>
      <c r="N4595">
        <v>1</v>
      </c>
      <c r="O4595" t="s">
        <v>27</v>
      </c>
      <c r="P4595" t="str">
        <f>TEXT(Table1[[#This Row],[order_date]],"yyyy-mm")</f>
        <v>2025-10</v>
      </c>
      <c r="Q4595">
        <f>WEEKNUM(Table1[[#This Row],[order_date]])</f>
        <v>41</v>
      </c>
      <c r="R4595">
        <f>IF(Table1[[#This Row],[order_status]]="completed",1,0)</f>
        <v>0</v>
      </c>
    </row>
    <row r="4596" spans="1:18" x14ac:dyDescent="0.35">
      <c r="A4596">
        <v>4595</v>
      </c>
      <c r="B4596" s="1">
        <v>45946</v>
      </c>
      <c r="C4596">
        <v>1299</v>
      </c>
      <c r="D4596" t="s">
        <v>28</v>
      </c>
      <c r="E4596" t="s">
        <v>29</v>
      </c>
      <c r="F4596" t="s">
        <v>30</v>
      </c>
      <c r="G4596">
        <v>2</v>
      </c>
      <c r="H4596">
        <v>3896</v>
      </c>
      <c r="I4596" t="s">
        <v>18</v>
      </c>
      <c r="J4596" t="s">
        <v>19</v>
      </c>
      <c r="K4596" t="s">
        <v>26</v>
      </c>
      <c r="L4596">
        <v>6</v>
      </c>
      <c r="M4596">
        <v>0</v>
      </c>
      <c r="N4596">
        <v>1</v>
      </c>
      <c r="O4596" t="s">
        <v>27</v>
      </c>
      <c r="P4596" t="str">
        <f>TEXT(Table1[[#This Row],[order_date]],"yyyy-mm")</f>
        <v>2025-10</v>
      </c>
      <c r="Q4596">
        <f>WEEKNUM(Table1[[#This Row],[order_date]])</f>
        <v>42</v>
      </c>
      <c r="R4596">
        <f>IF(Table1[[#This Row],[order_status]]="completed",1,0)</f>
        <v>1</v>
      </c>
    </row>
    <row r="4597" spans="1:18" x14ac:dyDescent="0.35">
      <c r="A4597">
        <v>4596</v>
      </c>
      <c r="B4597" s="1">
        <v>46027</v>
      </c>
      <c r="C4597">
        <v>1540</v>
      </c>
      <c r="D4597" t="s">
        <v>28</v>
      </c>
      <c r="E4597" t="s">
        <v>16</v>
      </c>
      <c r="F4597" t="s">
        <v>34</v>
      </c>
      <c r="G4597">
        <v>3</v>
      </c>
      <c r="H4597">
        <v>0</v>
      </c>
      <c r="I4597" t="s">
        <v>35</v>
      </c>
      <c r="J4597" t="s">
        <v>31</v>
      </c>
      <c r="K4597" t="s">
        <v>40</v>
      </c>
      <c r="L4597">
        <v>5</v>
      </c>
      <c r="M4597">
        <v>1</v>
      </c>
      <c r="N4597">
        <v>0</v>
      </c>
      <c r="O4597" t="s">
        <v>21</v>
      </c>
      <c r="P4597" t="str">
        <f>TEXT(Table1[[#This Row],[order_date]],"yyyy-mm")</f>
        <v>2026-01</v>
      </c>
      <c r="Q4597">
        <f>WEEKNUM(Table1[[#This Row],[order_date]])</f>
        <v>2</v>
      </c>
      <c r="R4597">
        <f>IF(Table1[[#This Row],[order_status]]="completed",1,0)</f>
        <v>0</v>
      </c>
    </row>
    <row r="4598" spans="1:18" x14ac:dyDescent="0.35">
      <c r="A4598">
        <v>4597</v>
      </c>
      <c r="B4598" s="1">
        <v>45903</v>
      </c>
      <c r="C4598">
        <v>1606</v>
      </c>
      <c r="D4598" t="s">
        <v>22</v>
      </c>
      <c r="E4598" t="s">
        <v>23</v>
      </c>
      <c r="F4598" t="s">
        <v>24</v>
      </c>
      <c r="G4598">
        <v>2</v>
      </c>
      <c r="H4598">
        <v>0</v>
      </c>
      <c r="I4598" t="s">
        <v>35</v>
      </c>
      <c r="J4598" t="s">
        <v>37</v>
      </c>
      <c r="K4598" t="s">
        <v>26</v>
      </c>
      <c r="L4598">
        <v>1</v>
      </c>
      <c r="M4598">
        <v>0</v>
      </c>
      <c r="N4598">
        <v>1</v>
      </c>
      <c r="O4598" t="s">
        <v>21</v>
      </c>
      <c r="P4598" t="str">
        <f>TEXT(Table1[[#This Row],[order_date]],"yyyy-mm")</f>
        <v>2025-09</v>
      </c>
      <c r="Q4598">
        <f>WEEKNUM(Table1[[#This Row],[order_date]])</f>
        <v>36</v>
      </c>
      <c r="R4598">
        <f>IF(Table1[[#This Row],[order_status]]="completed",1,0)</f>
        <v>0</v>
      </c>
    </row>
    <row r="4599" spans="1:18" x14ac:dyDescent="0.35">
      <c r="A4599">
        <v>4598</v>
      </c>
      <c r="B4599" s="1">
        <v>45874</v>
      </c>
      <c r="C4599">
        <v>1844</v>
      </c>
      <c r="D4599" t="s">
        <v>32</v>
      </c>
      <c r="E4599" t="s">
        <v>16</v>
      </c>
      <c r="F4599" t="s">
        <v>17</v>
      </c>
      <c r="G4599">
        <v>2</v>
      </c>
      <c r="H4599">
        <v>0</v>
      </c>
      <c r="I4599" t="s">
        <v>35</v>
      </c>
      <c r="J4599" t="s">
        <v>37</v>
      </c>
      <c r="K4599" t="s">
        <v>26</v>
      </c>
      <c r="L4599">
        <v>4</v>
      </c>
      <c r="M4599">
        <v>0</v>
      </c>
      <c r="N4599">
        <v>1</v>
      </c>
      <c r="O4599" t="s">
        <v>27</v>
      </c>
      <c r="P4599" t="str">
        <f>TEXT(Table1[[#This Row],[order_date]],"yyyy-mm")</f>
        <v>2025-08</v>
      </c>
      <c r="Q4599">
        <f>WEEKNUM(Table1[[#This Row],[order_date]])</f>
        <v>32</v>
      </c>
      <c r="R4599">
        <f>IF(Table1[[#This Row],[order_status]]="completed",1,0)</f>
        <v>0</v>
      </c>
    </row>
    <row r="4600" spans="1:18" x14ac:dyDescent="0.35">
      <c r="A4600">
        <v>4599</v>
      </c>
      <c r="B4600" s="1">
        <v>45903</v>
      </c>
      <c r="C4600">
        <v>1872</v>
      </c>
      <c r="D4600" t="s">
        <v>32</v>
      </c>
      <c r="E4600" t="s">
        <v>36</v>
      </c>
      <c r="F4600" t="s">
        <v>24</v>
      </c>
      <c r="G4600">
        <v>1</v>
      </c>
      <c r="H4600">
        <v>4834</v>
      </c>
      <c r="I4600" t="s">
        <v>35</v>
      </c>
      <c r="J4600" t="s">
        <v>19</v>
      </c>
      <c r="K4600" t="s">
        <v>40</v>
      </c>
      <c r="L4600">
        <v>9</v>
      </c>
      <c r="M4600">
        <v>1</v>
      </c>
      <c r="N4600">
        <v>1</v>
      </c>
      <c r="O4600" t="s">
        <v>21</v>
      </c>
      <c r="P4600" t="str">
        <f>TEXT(Table1[[#This Row],[order_date]],"yyyy-mm")</f>
        <v>2025-09</v>
      </c>
      <c r="Q4600">
        <f>WEEKNUM(Table1[[#This Row],[order_date]])</f>
        <v>36</v>
      </c>
      <c r="R4600">
        <f>IF(Table1[[#This Row],[order_status]]="completed",1,0)</f>
        <v>1</v>
      </c>
    </row>
    <row r="4601" spans="1:18" x14ac:dyDescent="0.35">
      <c r="A4601">
        <v>4600</v>
      </c>
      <c r="B4601" s="1">
        <v>46009</v>
      </c>
      <c r="C4601">
        <v>1645</v>
      </c>
      <c r="D4601" t="s">
        <v>41</v>
      </c>
      <c r="E4601" t="s">
        <v>23</v>
      </c>
      <c r="F4601" t="s">
        <v>24</v>
      </c>
      <c r="G4601">
        <v>2</v>
      </c>
      <c r="H4601">
        <v>550</v>
      </c>
      <c r="I4601" t="s">
        <v>35</v>
      </c>
      <c r="J4601" t="s">
        <v>19</v>
      </c>
      <c r="K4601" t="s">
        <v>40</v>
      </c>
      <c r="L4601">
        <v>5</v>
      </c>
      <c r="M4601">
        <v>1</v>
      </c>
      <c r="N4601">
        <v>1</v>
      </c>
      <c r="O4601" t="s">
        <v>27</v>
      </c>
      <c r="P4601" t="str">
        <f>TEXT(Table1[[#This Row],[order_date]],"yyyy-mm")</f>
        <v>2025-12</v>
      </c>
      <c r="Q4601">
        <f>WEEKNUM(Table1[[#This Row],[order_date]])</f>
        <v>51</v>
      </c>
      <c r="R4601">
        <f>IF(Table1[[#This Row],[order_status]]="completed",1,0)</f>
        <v>1</v>
      </c>
    </row>
    <row r="4602" spans="1:18" x14ac:dyDescent="0.35">
      <c r="A4602">
        <v>4601</v>
      </c>
      <c r="B4602" s="1">
        <v>45927</v>
      </c>
      <c r="C4602">
        <v>1792</v>
      </c>
      <c r="D4602" t="s">
        <v>15</v>
      </c>
      <c r="E4602" t="s">
        <v>23</v>
      </c>
      <c r="F4602" t="s">
        <v>24</v>
      </c>
      <c r="G4602">
        <v>4</v>
      </c>
      <c r="H4602">
        <v>0</v>
      </c>
      <c r="I4602" t="s">
        <v>35</v>
      </c>
      <c r="J4602" t="s">
        <v>37</v>
      </c>
      <c r="K4602" t="s">
        <v>26</v>
      </c>
      <c r="L4602">
        <v>3</v>
      </c>
      <c r="M4602">
        <v>0</v>
      </c>
      <c r="N4602">
        <v>0</v>
      </c>
      <c r="O4602" t="s">
        <v>27</v>
      </c>
      <c r="P4602" t="str">
        <f>TEXT(Table1[[#This Row],[order_date]],"yyyy-mm")</f>
        <v>2025-09</v>
      </c>
      <c r="Q4602">
        <f>WEEKNUM(Table1[[#This Row],[order_date]])</f>
        <v>39</v>
      </c>
      <c r="R4602">
        <f>IF(Table1[[#This Row],[order_status]]="completed",1,0)</f>
        <v>0</v>
      </c>
    </row>
    <row r="4603" spans="1:18" x14ac:dyDescent="0.35">
      <c r="A4603">
        <v>4602</v>
      </c>
      <c r="B4603" s="1">
        <v>45864</v>
      </c>
      <c r="C4603">
        <v>1469</v>
      </c>
      <c r="D4603" t="s">
        <v>32</v>
      </c>
      <c r="E4603" t="s">
        <v>16</v>
      </c>
      <c r="F4603" t="s">
        <v>30</v>
      </c>
      <c r="G4603">
        <v>5</v>
      </c>
      <c r="H4603">
        <v>12230</v>
      </c>
      <c r="I4603" t="s">
        <v>39</v>
      </c>
      <c r="J4603" t="s">
        <v>19</v>
      </c>
      <c r="K4603" t="s">
        <v>40</v>
      </c>
      <c r="L4603">
        <v>5</v>
      </c>
      <c r="M4603">
        <v>1</v>
      </c>
      <c r="N4603">
        <v>1</v>
      </c>
      <c r="O4603" t="s">
        <v>27</v>
      </c>
      <c r="P4603" t="str">
        <f>TEXT(Table1[[#This Row],[order_date]],"yyyy-mm")</f>
        <v>2025-07</v>
      </c>
      <c r="Q4603">
        <f>WEEKNUM(Table1[[#This Row],[order_date]])</f>
        <v>30</v>
      </c>
      <c r="R4603">
        <f>IF(Table1[[#This Row],[order_status]]="completed",1,0)</f>
        <v>1</v>
      </c>
    </row>
    <row r="4604" spans="1:18" x14ac:dyDescent="0.35">
      <c r="A4604">
        <v>4603</v>
      </c>
      <c r="B4604" s="1">
        <v>45859</v>
      </c>
      <c r="C4604">
        <v>1256</v>
      </c>
      <c r="D4604" t="s">
        <v>15</v>
      </c>
      <c r="E4604" t="s">
        <v>29</v>
      </c>
      <c r="F4604" t="s">
        <v>17</v>
      </c>
      <c r="G4604">
        <v>1</v>
      </c>
      <c r="H4604">
        <v>0</v>
      </c>
      <c r="I4604" t="s">
        <v>25</v>
      </c>
      <c r="J4604" t="s">
        <v>37</v>
      </c>
      <c r="K4604" t="s">
        <v>26</v>
      </c>
      <c r="L4604">
        <v>8</v>
      </c>
      <c r="M4604">
        <v>1</v>
      </c>
      <c r="N4604">
        <v>0</v>
      </c>
      <c r="O4604" t="s">
        <v>27</v>
      </c>
      <c r="P4604" t="str">
        <f>TEXT(Table1[[#This Row],[order_date]],"yyyy-mm")</f>
        <v>2025-07</v>
      </c>
      <c r="Q4604">
        <f>WEEKNUM(Table1[[#This Row],[order_date]])</f>
        <v>30</v>
      </c>
      <c r="R4604">
        <f>IF(Table1[[#This Row],[order_status]]="completed",1,0)</f>
        <v>0</v>
      </c>
    </row>
    <row r="4605" spans="1:18" x14ac:dyDescent="0.35">
      <c r="A4605">
        <v>4604</v>
      </c>
      <c r="B4605" s="1">
        <v>45878</v>
      </c>
      <c r="C4605">
        <v>1301</v>
      </c>
      <c r="D4605" t="s">
        <v>15</v>
      </c>
      <c r="E4605" t="s">
        <v>16</v>
      </c>
      <c r="F4605" t="s">
        <v>30</v>
      </c>
      <c r="G4605">
        <v>5</v>
      </c>
      <c r="H4605">
        <v>0</v>
      </c>
      <c r="I4605" t="s">
        <v>18</v>
      </c>
      <c r="J4605" t="s">
        <v>37</v>
      </c>
      <c r="K4605" t="s">
        <v>20</v>
      </c>
      <c r="L4605">
        <v>7</v>
      </c>
      <c r="M4605">
        <v>1</v>
      </c>
      <c r="N4605">
        <v>1</v>
      </c>
      <c r="O4605" t="s">
        <v>27</v>
      </c>
      <c r="P4605" t="str">
        <f>TEXT(Table1[[#This Row],[order_date]],"yyyy-mm")</f>
        <v>2025-08</v>
      </c>
      <c r="Q4605">
        <f>WEEKNUM(Table1[[#This Row],[order_date]])</f>
        <v>32</v>
      </c>
      <c r="R4605">
        <f>IF(Table1[[#This Row],[order_status]]="completed",1,0)</f>
        <v>0</v>
      </c>
    </row>
    <row r="4606" spans="1:18" x14ac:dyDescent="0.35">
      <c r="A4606">
        <v>4605</v>
      </c>
      <c r="B4606" s="1">
        <v>46003</v>
      </c>
      <c r="C4606">
        <v>1704</v>
      </c>
      <c r="D4606" t="s">
        <v>32</v>
      </c>
      <c r="E4606" t="s">
        <v>16</v>
      </c>
      <c r="F4606" t="s">
        <v>24</v>
      </c>
      <c r="G4606">
        <v>1</v>
      </c>
      <c r="H4606">
        <v>0</v>
      </c>
      <c r="I4606" t="s">
        <v>39</v>
      </c>
      <c r="J4606" t="s">
        <v>31</v>
      </c>
      <c r="K4606" t="s">
        <v>40</v>
      </c>
      <c r="L4606">
        <v>10</v>
      </c>
      <c r="M4606">
        <v>1</v>
      </c>
      <c r="N4606">
        <v>1</v>
      </c>
      <c r="O4606" t="s">
        <v>27</v>
      </c>
      <c r="P4606" t="str">
        <f>TEXT(Table1[[#This Row],[order_date]],"yyyy-mm")</f>
        <v>2025-12</v>
      </c>
      <c r="Q4606">
        <f>WEEKNUM(Table1[[#This Row],[order_date]])</f>
        <v>50</v>
      </c>
      <c r="R4606">
        <f>IF(Table1[[#This Row],[order_status]]="completed",1,0)</f>
        <v>0</v>
      </c>
    </row>
    <row r="4607" spans="1:18" x14ac:dyDescent="0.35">
      <c r="A4607">
        <v>4606</v>
      </c>
      <c r="B4607" s="1">
        <v>46031</v>
      </c>
      <c r="C4607">
        <v>1021</v>
      </c>
      <c r="D4607" t="s">
        <v>41</v>
      </c>
      <c r="E4607" t="s">
        <v>23</v>
      </c>
      <c r="F4607" t="s">
        <v>17</v>
      </c>
      <c r="G4607">
        <v>5</v>
      </c>
      <c r="H4607">
        <v>0</v>
      </c>
      <c r="I4607" t="s">
        <v>18</v>
      </c>
      <c r="J4607" t="s">
        <v>37</v>
      </c>
      <c r="K4607" t="s">
        <v>38</v>
      </c>
      <c r="L4607">
        <v>5</v>
      </c>
      <c r="M4607">
        <v>1</v>
      </c>
      <c r="N4607">
        <v>1</v>
      </c>
      <c r="O4607" t="s">
        <v>21</v>
      </c>
      <c r="P4607" t="str">
        <f>TEXT(Table1[[#This Row],[order_date]],"yyyy-mm")</f>
        <v>2026-01</v>
      </c>
      <c r="Q4607">
        <f>WEEKNUM(Table1[[#This Row],[order_date]])</f>
        <v>2</v>
      </c>
      <c r="R4607">
        <f>IF(Table1[[#This Row],[order_status]]="completed",1,0)</f>
        <v>0</v>
      </c>
    </row>
    <row r="4608" spans="1:18" x14ac:dyDescent="0.35">
      <c r="A4608">
        <v>4607</v>
      </c>
      <c r="B4608" s="1">
        <v>45960</v>
      </c>
      <c r="C4608">
        <v>1070</v>
      </c>
      <c r="D4608" t="s">
        <v>28</v>
      </c>
      <c r="E4608" t="s">
        <v>33</v>
      </c>
      <c r="F4608" t="s">
        <v>17</v>
      </c>
      <c r="G4608">
        <v>2</v>
      </c>
      <c r="H4608">
        <v>0</v>
      </c>
      <c r="I4608" t="s">
        <v>39</v>
      </c>
      <c r="J4608" t="s">
        <v>31</v>
      </c>
      <c r="K4608" t="s">
        <v>20</v>
      </c>
      <c r="L4608">
        <v>6</v>
      </c>
      <c r="M4608">
        <v>1</v>
      </c>
      <c r="N4608">
        <v>1</v>
      </c>
      <c r="O4608" t="s">
        <v>27</v>
      </c>
      <c r="P4608" t="str">
        <f>TEXT(Table1[[#This Row],[order_date]],"yyyy-mm")</f>
        <v>2025-10</v>
      </c>
      <c r="Q4608">
        <f>WEEKNUM(Table1[[#This Row],[order_date]])</f>
        <v>44</v>
      </c>
      <c r="R4608">
        <f>IF(Table1[[#This Row],[order_status]]="completed",1,0)</f>
        <v>0</v>
      </c>
    </row>
    <row r="4609" spans="1:18" x14ac:dyDescent="0.35">
      <c r="A4609">
        <v>4608</v>
      </c>
      <c r="B4609" s="1">
        <v>45986</v>
      </c>
      <c r="C4609">
        <v>1691</v>
      </c>
      <c r="D4609" t="s">
        <v>32</v>
      </c>
      <c r="E4609" t="s">
        <v>16</v>
      </c>
      <c r="F4609" t="s">
        <v>17</v>
      </c>
      <c r="G4609">
        <v>3</v>
      </c>
      <c r="H4609">
        <v>11859</v>
      </c>
      <c r="I4609" t="s">
        <v>35</v>
      </c>
      <c r="J4609" t="s">
        <v>19</v>
      </c>
      <c r="K4609" t="s">
        <v>20</v>
      </c>
      <c r="L4609">
        <v>5</v>
      </c>
      <c r="M4609">
        <v>0</v>
      </c>
      <c r="N4609">
        <v>1</v>
      </c>
      <c r="O4609" t="s">
        <v>27</v>
      </c>
      <c r="P4609" t="str">
        <f>TEXT(Table1[[#This Row],[order_date]],"yyyy-mm")</f>
        <v>2025-11</v>
      </c>
      <c r="Q4609">
        <f>WEEKNUM(Table1[[#This Row],[order_date]])</f>
        <v>48</v>
      </c>
      <c r="R4609">
        <f>IF(Table1[[#This Row],[order_status]]="completed",1,0)</f>
        <v>1</v>
      </c>
    </row>
    <row r="4610" spans="1:18" x14ac:dyDescent="0.35">
      <c r="A4610">
        <v>4609</v>
      </c>
      <c r="B4610" s="1">
        <v>46017</v>
      </c>
      <c r="C4610">
        <v>1862</v>
      </c>
      <c r="D4610" t="s">
        <v>28</v>
      </c>
      <c r="E4610" t="s">
        <v>33</v>
      </c>
      <c r="F4610" t="s">
        <v>17</v>
      </c>
      <c r="G4610">
        <v>1</v>
      </c>
      <c r="H4610">
        <v>0</v>
      </c>
      <c r="I4610" t="s">
        <v>25</v>
      </c>
      <c r="J4610" t="s">
        <v>37</v>
      </c>
      <c r="K4610" t="s">
        <v>20</v>
      </c>
      <c r="L4610">
        <v>3</v>
      </c>
      <c r="M4610">
        <v>0</v>
      </c>
      <c r="N4610">
        <v>1</v>
      </c>
      <c r="O4610" t="s">
        <v>21</v>
      </c>
      <c r="P4610" t="str">
        <f>TEXT(Table1[[#This Row],[order_date]],"yyyy-mm")</f>
        <v>2025-12</v>
      </c>
      <c r="Q4610">
        <f>WEEKNUM(Table1[[#This Row],[order_date]])</f>
        <v>52</v>
      </c>
      <c r="R4610">
        <f>IF(Table1[[#This Row],[order_status]]="completed",1,0)</f>
        <v>0</v>
      </c>
    </row>
    <row r="4611" spans="1:18" x14ac:dyDescent="0.35">
      <c r="A4611">
        <v>4610</v>
      </c>
      <c r="B4611" s="1">
        <v>45998</v>
      </c>
      <c r="C4611">
        <v>1793</v>
      </c>
      <c r="D4611" t="s">
        <v>28</v>
      </c>
      <c r="E4611" t="s">
        <v>33</v>
      </c>
      <c r="F4611" t="s">
        <v>17</v>
      </c>
      <c r="G4611">
        <v>2</v>
      </c>
      <c r="H4611">
        <v>0</v>
      </c>
      <c r="I4611" t="s">
        <v>39</v>
      </c>
      <c r="J4611" t="s">
        <v>31</v>
      </c>
      <c r="K4611" t="s">
        <v>26</v>
      </c>
      <c r="L4611">
        <v>9</v>
      </c>
      <c r="M4611">
        <v>0</v>
      </c>
      <c r="N4611">
        <v>1</v>
      </c>
      <c r="O4611" t="s">
        <v>21</v>
      </c>
      <c r="P4611" t="str">
        <f>TEXT(Table1[[#This Row],[order_date]],"yyyy-mm")</f>
        <v>2025-12</v>
      </c>
      <c r="Q4611">
        <f>WEEKNUM(Table1[[#This Row],[order_date]])</f>
        <v>50</v>
      </c>
      <c r="R4611">
        <f>IF(Table1[[#This Row],[order_status]]="completed",1,0)</f>
        <v>0</v>
      </c>
    </row>
    <row r="4612" spans="1:18" x14ac:dyDescent="0.35">
      <c r="A4612">
        <v>4611</v>
      </c>
      <c r="B4612" s="1">
        <v>45930</v>
      </c>
      <c r="C4612">
        <v>1077</v>
      </c>
      <c r="D4612" t="s">
        <v>22</v>
      </c>
      <c r="E4612" t="s">
        <v>29</v>
      </c>
      <c r="F4612" t="s">
        <v>34</v>
      </c>
      <c r="G4612">
        <v>1</v>
      </c>
      <c r="H4612">
        <v>0</v>
      </c>
      <c r="I4612" t="s">
        <v>35</v>
      </c>
      <c r="J4612" t="s">
        <v>31</v>
      </c>
      <c r="K4612" t="s">
        <v>40</v>
      </c>
      <c r="L4612">
        <v>10</v>
      </c>
      <c r="M4612">
        <v>0</v>
      </c>
      <c r="N4612">
        <v>0</v>
      </c>
      <c r="O4612" t="s">
        <v>21</v>
      </c>
      <c r="P4612" t="str">
        <f>TEXT(Table1[[#This Row],[order_date]],"yyyy-mm")</f>
        <v>2025-09</v>
      </c>
      <c r="Q4612">
        <f>WEEKNUM(Table1[[#This Row],[order_date]])</f>
        <v>40</v>
      </c>
      <c r="R4612">
        <f>IF(Table1[[#This Row],[order_status]]="completed",1,0)</f>
        <v>0</v>
      </c>
    </row>
    <row r="4613" spans="1:18" x14ac:dyDescent="0.35">
      <c r="A4613">
        <v>4612</v>
      </c>
      <c r="B4613" s="1">
        <v>46030</v>
      </c>
      <c r="C4613">
        <v>1286</v>
      </c>
      <c r="D4613" t="s">
        <v>22</v>
      </c>
      <c r="E4613" t="s">
        <v>16</v>
      </c>
      <c r="F4613" t="s">
        <v>17</v>
      </c>
      <c r="G4613">
        <v>4</v>
      </c>
      <c r="H4613">
        <v>0</v>
      </c>
      <c r="I4613" t="s">
        <v>25</v>
      </c>
      <c r="J4613" t="s">
        <v>37</v>
      </c>
      <c r="K4613" t="s">
        <v>40</v>
      </c>
      <c r="L4613">
        <v>7</v>
      </c>
      <c r="M4613">
        <v>0</v>
      </c>
      <c r="N4613">
        <v>0</v>
      </c>
      <c r="O4613" t="s">
        <v>27</v>
      </c>
      <c r="P4613" t="str">
        <f>TEXT(Table1[[#This Row],[order_date]],"yyyy-mm")</f>
        <v>2026-01</v>
      </c>
      <c r="Q4613">
        <f>WEEKNUM(Table1[[#This Row],[order_date]])</f>
        <v>2</v>
      </c>
      <c r="R4613">
        <f>IF(Table1[[#This Row],[order_status]]="completed",1,0)</f>
        <v>0</v>
      </c>
    </row>
    <row r="4614" spans="1:18" x14ac:dyDescent="0.35">
      <c r="A4614">
        <v>4613</v>
      </c>
      <c r="B4614" s="1">
        <v>45951</v>
      </c>
      <c r="C4614">
        <v>1193</v>
      </c>
      <c r="D4614" t="s">
        <v>41</v>
      </c>
      <c r="E4614" t="s">
        <v>29</v>
      </c>
      <c r="F4614" t="s">
        <v>17</v>
      </c>
      <c r="G4614">
        <v>2</v>
      </c>
      <c r="H4614">
        <v>576</v>
      </c>
      <c r="I4614" t="s">
        <v>35</v>
      </c>
      <c r="J4614" t="s">
        <v>19</v>
      </c>
      <c r="K4614" t="s">
        <v>20</v>
      </c>
      <c r="L4614">
        <v>2</v>
      </c>
      <c r="M4614">
        <v>1</v>
      </c>
      <c r="N4614">
        <v>1</v>
      </c>
      <c r="O4614" t="s">
        <v>21</v>
      </c>
      <c r="P4614" t="str">
        <f>TEXT(Table1[[#This Row],[order_date]],"yyyy-mm")</f>
        <v>2025-10</v>
      </c>
      <c r="Q4614">
        <f>WEEKNUM(Table1[[#This Row],[order_date]])</f>
        <v>43</v>
      </c>
      <c r="R4614">
        <f>IF(Table1[[#This Row],[order_status]]="completed",1,0)</f>
        <v>1</v>
      </c>
    </row>
    <row r="4615" spans="1:18" x14ac:dyDescent="0.35">
      <c r="A4615">
        <v>4614</v>
      </c>
      <c r="B4615" s="1">
        <v>45902</v>
      </c>
      <c r="C4615">
        <v>1323</v>
      </c>
      <c r="D4615" t="s">
        <v>32</v>
      </c>
      <c r="E4615" t="s">
        <v>36</v>
      </c>
      <c r="F4615" t="s">
        <v>24</v>
      </c>
      <c r="G4615">
        <v>3</v>
      </c>
      <c r="H4615">
        <v>0</v>
      </c>
      <c r="I4615" t="s">
        <v>18</v>
      </c>
      <c r="J4615" t="s">
        <v>37</v>
      </c>
      <c r="K4615" t="s">
        <v>20</v>
      </c>
      <c r="L4615">
        <v>1</v>
      </c>
      <c r="M4615">
        <v>0</v>
      </c>
      <c r="N4615">
        <v>1</v>
      </c>
      <c r="O4615" t="s">
        <v>21</v>
      </c>
      <c r="P4615" t="str">
        <f>TEXT(Table1[[#This Row],[order_date]],"yyyy-mm")</f>
        <v>2025-09</v>
      </c>
      <c r="Q4615">
        <f>WEEKNUM(Table1[[#This Row],[order_date]])</f>
        <v>36</v>
      </c>
      <c r="R4615">
        <f>IF(Table1[[#This Row],[order_status]]="completed",1,0)</f>
        <v>0</v>
      </c>
    </row>
    <row r="4616" spans="1:18" x14ac:dyDescent="0.35">
      <c r="A4616">
        <v>4615</v>
      </c>
      <c r="B4616" s="1">
        <v>45909</v>
      </c>
      <c r="C4616">
        <v>1233</v>
      </c>
      <c r="D4616" t="s">
        <v>41</v>
      </c>
      <c r="E4616" t="s">
        <v>29</v>
      </c>
      <c r="F4616" t="s">
        <v>17</v>
      </c>
      <c r="G4616">
        <v>2</v>
      </c>
      <c r="H4616">
        <v>0</v>
      </c>
      <c r="I4616" t="s">
        <v>18</v>
      </c>
      <c r="J4616" t="s">
        <v>37</v>
      </c>
      <c r="K4616" t="s">
        <v>38</v>
      </c>
      <c r="L4616">
        <v>1</v>
      </c>
      <c r="M4616">
        <v>1</v>
      </c>
      <c r="N4616">
        <v>1</v>
      </c>
      <c r="O4616" t="s">
        <v>21</v>
      </c>
      <c r="P4616" t="str">
        <f>TEXT(Table1[[#This Row],[order_date]],"yyyy-mm")</f>
        <v>2025-09</v>
      </c>
      <c r="Q4616">
        <f>WEEKNUM(Table1[[#This Row],[order_date]])</f>
        <v>37</v>
      </c>
      <c r="R4616">
        <f>IF(Table1[[#This Row],[order_status]]="completed",1,0)</f>
        <v>0</v>
      </c>
    </row>
    <row r="4617" spans="1:18" x14ac:dyDescent="0.35">
      <c r="A4617">
        <v>4616</v>
      </c>
      <c r="B4617" s="1">
        <v>45913</v>
      </c>
      <c r="C4617">
        <v>1433</v>
      </c>
      <c r="D4617" t="s">
        <v>15</v>
      </c>
      <c r="E4617" t="s">
        <v>33</v>
      </c>
      <c r="F4617" t="s">
        <v>17</v>
      </c>
      <c r="G4617">
        <v>3</v>
      </c>
      <c r="H4617">
        <v>8451</v>
      </c>
      <c r="I4617" t="s">
        <v>39</v>
      </c>
      <c r="J4617" t="s">
        <v>19</v>
      </c>
      <c r="K4617" t="s">
        <v>20</v>
      </c>
      <c r="L4617">
        <v>7</v>
      </c>
      <c r="M4617">
        <v>1</v>
      </c>
      <c r="N4617">
        <v>0</v>
      </c>
      <c r="O4617" t="s">
        <v>27</v>
      </c>
      <c r="P4617" t="str">
        <f>TEXT(Table1[[#This Row],[order_date]],"yyyy-mm")</f>
        <v>2025-09</v>
      </c>
      <c r="Q4617">
        <f>WEEKNUM(Table1[[#This Row],[order_date]])</f>
        <v>37</v>
      </c>
      <c r="R4617">
        <f>IF(Table1[[#This Row],[order_status]]="completed",1,0)</f>
        <v>1</v>
      </c>
    </row>
    <row r="4618" spans="1:18" x14ac:dyDescent="0.35">
      <c r="A4618">
        <v>4617</v>
      </c>
      <c r="B4618" s="1">
        <v>45918</v>
      </c>
      <c r="C4618">
        <v>1647</v>
      </c>
      <c r="D4618" t="s">
        <v>32</v>
      </c>
      <c r="E4618" t="s">
        <v>29</v>
      </c>
      <c r="F4618" t="s">
        <v>17</v>
      </c>
      <c r="G4618">
        <v>2</v>
      </c>
      <c r="H4618">
        <v>0</v>
      </c>
      <c r="I4618" t="s">
        <v>35</v>
      </c>
      <c r="J4618" t="s">
        <v>31</v>
      </c>
      <c r="K4618" t="s">
        <v>40</v>
      </c>
      <c r="L4618">
        <v>10</v>
      </c>
      <c r="M4618">
        <v>1</v>
      </c>
      <c r="N4618">
        <v>0</v>
      </c>
      <c r="O4618" t="s">
        <v>27</v>
      </c>
      <c r="P4618" t="str">
        <f>TEXT(Table1[[#This Row],[order_date]],"yyyy-mm")</f>
        <v>2025-09</v>
      </c>
      <c r="Q4618">
        <f>WEEKNUM(Table1[[#This Row],[order_date]])</f>
        <v>38</v>
      </c>
      <c r="R4618">
        <f>IF(Table1[[#This Row],[order_status]]="completed",1,0)</f>
        <v>0</v>
      </c>
    </row>
    <row r="4619" spans="1:18" x14ac:dyDescent="0.35">
      <c r="A4619">
        <v>4618</v>
      </c>
      <c r="B4619" s="1">
        <v>45863</v>
      </c>
      <c r="C4619">
        <v>1109</v>
      </c>
      <c r="D4619" t="s">
        <v>28</v>
      </c>
      <c r="E4619" t="s">
        <v>23</v>
      </c>
      <c r="F4619" t="s">
        <v>24</v>
      </c>
      <c r="G4619">
        <v>3</v>
      </c>
      <c r="H4619">
        <v>0</v>
      </c>
      <c r="I4619" t="s">
        <v>39</v>
      </c>
      <c r="J4619" t="s">
        <v>31</v>
      </c>
      <c r="K4619" t="s">
        <v>40</v>
      </c>
      <c r="L4619">
        <v>4</v>
      </c>
      <c r="M4619">
        <v>0</v>
      </c>
      <c r="N4619">
        <v>1</v>
      </c>
      <c r="O4619" t="s">
        <v>27</v>
      </c>
      <c r="P4619" t="str">
        <f>TEXT(Table1[[#This Row],[order_date]],"yyyy-mm")</f>
        <v>2025-07</v>
      </c>
      <c r="Q4619">
        <f>WEEKNUM(Table1[[#This Row],[order_date]])</f>
        <v>30</v>
      </c>
      <c r="R4619">
        <f>IF(Table1[[#This Row],[order_status]]="completed",1,0)</f>
        <v>0</v>
      </c>
    </row>
    <row r="4620" spans="1:18" x14ac:dyDescent="0.35">
      <c r="A4620">
        <v>4619</v>
      </c>
      <c r="B4620" s="1">
        <v>45856</v>
      </c>
      <c r="C4620">
        <v>1498</v>
      </c>
      <c r="D4620" t="s">
        <v>32</v>
      </c>
      <c r="E4620" t="s">
        <v>29</v>
      </c>
      <c r="F4620" t="s">
        <v>30</v>
      </c>
      <c r="G4620">
        <v>2</v>
      </c>
      <c r="H4620">
        <v>2496</v>
      </c>
      <c r="I4620" t="s">
        <v>18</v>
      </c>
      <c r="J4620" t="s">
        <v>19</v>
      </c>
      <c r="K4620" t="s">
        <v>38</v>
      </c>
      <c r="L4620">
        <v>4</v>
      </c>
      <c r="M4620">
        <v>0</v>
      </c>
      <c r="N4620">
        <v>1</v>
      </c>
      <c r="O4620" t="s">
        <v>27</v>
      </c>
      <c r="P4620" t="str">
        <f>TEXT(Table1[[#This Row],[order_date]],"yyyy-mm")</f>
        <v>2025-07</v>
      </c>
      <c r="Q4620">
        <f>WEEKNUM(Table1[[#This Row],[order_date]])</f>
        <v>29</v>
      </c>
      <c r="R4620">
        <f>IF(Table1[[#This Row],[order_status]]="completed",1,0)</f>
        <v>1</v>
      </c>
    </row>
    <row r="4621" spans="1:18" x14ac:dyDescent="0.35">
      <c r="A4621">
        <v>4620</v>
      </c>
      <c r="B4621" s="1">
        <v>45916</v>
      </c>
      <c r="C4621">
        <v>1601</v>
      </c>
      <c r="D4621" t="s">
        <v>15</v>
      </c>
      <c r="E4621" t="s">
        <v>23</v>
      </c>
      <c r="F4621" t="s">
        <v>24</v>
      </c>
      <c r="G4621">
        <v>4</v>
      </c>
      <c r="H4621">
        <v>0</v>
      </c>
      <c r="I4621" t="s">
        <v>18</v>
      </c>
      <c r="J4621" t="s">
        <v>37</v>
      </c>
      <c r="K4621" t="s">
        <v>38</v>
      </c>
      <c r="L4621">
        <v>10</v>
      </c>
      <c r="M4621">
        <v>1</v>
      </c>
      <c r="N4621">
        <v>1</v>
      </c>
      <c r="O4621" t="s">
        <v>27</v>
      </c>
      <c r="P4621" t="str">
        <f>TEXT(Table1[[#This Row],[order_date]],"yyyy-mm")</f>
        <v>2025-09</v>
      </c>
      <c r="Q4621">
        <f>WEEKNUM(Table1[[#This Row],[order_date]])</f>
        <v>38</v>
      </c>
      <c r="R4621">
        <f>IF(Table1[[#This Row],[order_status]]="completed",1,0)</f>
        <v>0</v>
      </c>
    </row>
    <row r="4622" spans="1:18" x14ac:dyDescent="0.35">
      <c r="A4622">
        <v>4621</v>
      </c>
      <c r="B4622" s="1">
        <v>45943</v>
      </c>
      <c r="C4622">
        <v>1135</v>
      </c>
      <c r="D4622" t="s">
        <v>32</v>
      </c>
      <c r="E4622" t="s">
        <v>16</v>
      </c>
      <c r="F4622" t="s">
        <v>17</v>
      </c>
      <c r="G4622">
        <v>2</v>
      </c>
      <c r="H4622">
        <v>1514</v>
      </c>
      <c r="I4622" t="s">
        <v>18</v>
      </c>
      <c r="J4622" t="s">
        <v>19</v>
      </c>
      <c r="K4622" t="s">
        <v>38</v>
      </c>
      <c r="L4622">
        <v>2</v>
      </c>
      <c r="M4622">
        <v>0</v>
      </c>
      <c r="N4622">
        <v>1</v>
      </c>
      <c r="O4622" t="s">
        <v>27</v>
      </c>
      <c r="P4622" t="str">
        <f>TEXT(Table1[[#This Row],[order_date]],"yyyy-mm")</f>
        <v>2025-10</v>
      </c>
      <c r="Q4622">
        <f>WEEKNUM(Table1[[#This Row],[order_date]])</f>
        <v>42</v>
      </c>
      <c r="R4622">
        <f>IF(Table1[[#This Row],[order_status]]="completed",1,0)</f>
        <v>1</v>
      </c>
    </row>
    <row r="4623" spans="1:18" x14ac:dyDescent="0.35">
      <c r="A4623">
        <v>4622</v>
      </c>
      <c r="B4623" s="1">
        <v>45996</v>
      </c>
      <c r="C4623">
        <v>1151</v>
      </c>
      <c r="D4623" t="s">
        <v>22</v>
      </c>
      <c r="E4623" t="s">
        <v>36</v>
      </c>
      <c r="F4623" t="s">
        <v>30</v>
      </c>
      <c r="G4623">
        <v>4</v>
      </c>
      <c r="H4623">
        <v>0</v>
      </c>
      <c r="I4623" t="s">
        <v>25</v>
      </c>
      <c r="J4623" t="s">
        <v>37</v>
      </c>
      <c r="K4623" t="s">
        <v>38</v>
      </c>
      <c r="L4623">
        <v>3</v>
      </c>
      <c r="M4623">
        <v>1</v>
      </c>
      <c r="N4623">
        <v>1</v>
      </c>
      <c r="O4623" t="s">
        <v>21</v>
      </c>
      <c r="P4623" t="str">
        <f>TEXT(Table1[[#This Row],[order_date]],"yyyy-mm")</f>
        <v>2025-12</v>
      </c>
      <c r="Q4623">
        <f>WEEKNUM(Table1[[#This Row],[order_date]])</f>
        <v>49</v>
      </c>
      <c r="R4623">
        <f>IF(Table1[[#This Row],[order_status]]="completed",1,0)</f>
        <v>0</v>
      </c>
    </row>
    <row r="4624" spans="1:18" x14ac:dyDescent="0.35">
      <c r="A4624">
        <v>4623</v>
      </c>
      <c r="B4624" s="1">
        <v>45858</v>
      </c>
      <c r="C4624">
        <v>1319</v>
      </c>
      <c r="D4624" t="s">
        <v>15</v>
      </c>
      <c r="E4624" t="s">
        <v>23</v>
      </c>
      <c r="F4624" t="s">
        <v>24</v>
      </c>
      <c r="G4624">
        <v>1</v>
      </c>
      <c r="H4624">
        <v>628</v>
      </c>
      <c r="I4624" t="s">
        <v>25</v>
      </c>
      <c r="J4624" t="s">
        <v>19</v>
      </c>
      <c r="K4624" t="s">
        <v>40</v>
      </c>
      <c r="L4624">
        <v>10</v>
      </c>
      <c r="M4624">
        <v>1</v>
      </c>
      <c r="N4624">
        <v>0</v>
      </c>
      <c r="O4624" t="s">
        <v>27</v>
      </c>
      <c r="P4624" t="str">
        <f>TEXT(Table1[[#This Row],[order_date]],"yyyy-mm")</f>
        <v>2025-07</v>
      </c>
      <c r="Q4624">
        <f>WEEKNUM(Table1[[#This Row],[order_date]])</f>
        <v>30</v>
      </c>
      <c r="R4624">
        <f>IF(Table1[[#This Row],[order_status]]="completed",1,0)</f>
        <v>1</v>
      </c>
    </row>
    <row r="4625" spans="1:18" x14ac:dyDescent="0.35">
      <c r="A4625">
        <v>4624</v>
      </c>
      <c r="B4625" s="1">
        <v>45950</v>
      </c>
      <c r="C4625">
        <v>1227</v>
      </c>
      <c r="D4625" t="s">
        <v>28</v>
      </c>
      <c r="E4625" t="s">
        <v>33</v>
      </c>
      <c r="F4625" t="s">
        <v>34</v>
      </c>
      <c r="G4625">
        <v>4</v>
      </c>
      <c r="H4625">
        <v>6884</v>
      </c>
      <c r="I4625" t="s">
        <v>39</v>
      </c>
      <c r="J4625" t="s">
        <v>19</v>
      </c>
      <c r="K4625" t="s">
        <v>40</v>
      </c>
      <c r="L4625">
        <v>2</v>
      </c>
      <c r="M4625">
        <v>1</v>
      </c>
      <c r="N4625">
        <v>1</v>
      </c>
      <c r="O4625" t="s">
        <v>21</v>
      </c>
      <c r="P4625" t="str">
        <f>TEXT(Table1[[#This Row],[order_date]],"yyyy-mm")</f>
        <v>2025-10</v>
      </c>
      <c r="Q4625">
        <f>WEEKNUM(Table1[[#This Row],[order_date]])</f>
        <v>43</v>
      </c>
      <c r="R4625">
        <f>IF(Table1[[#This Row],[order_status]]="completed",1,0)</f>
        <v>1</v>
      </c>
    </row>
    <row r="4626" spans="1:18" x14ac:dyDescent="0.35">
      <c r="A4626">
        <v>4625</v>
      </c>
      <c r="B4626" s="1">
        <v>45938</v>
      </c>
      <c r="C4626">
        <v>1064</v>
      </c>
      <c r="D4626" t="s">
        <v>28</v>
      </c>
      <c r="E4626" t="s">
        <v>36</v>
      </c>
      <c r="F4626" t="s">
        <v>30</v>
      </c>
      <c r="G4626">
        <v>5</v>
      </c>
      <c r="H4626">
        <v>0</v>
      </c>
      <c r="I4626" t="s">
        <v>25</v>
      </c>
      <c r="J4626" t="s">
        <v>31</v>
      </c>
      <c r="K4626" t="s">
        <v>40</v>
      </c>
      <c r="L4626">
        <v>7</v>
      </c>
      <c r="M4626">
        <v>1</v>
      </c>
      <c r="N4626">
        <v>1</v>
      </c>
      <c r="O4626" t="s">
        <v>21</v>
      </c>
      <c r="P4626" t="str">
        <f>TEXT(Table1[[#This Row],[order_date]],"yyyy-mm")</f>
        <v>2025-10</v>
      </c>
      <c r="Q4626">
        <f>WEEKNUM(Table1[[#This Row],[order_date]])</f>
        <v>41</v>
      </c>
      <c r="R4626">
        <f>IF(Table1[[#This Row],[order_status]]="completed",1,0)</f>
        <v>0</v>
      </c>
    </row>
    <row r="4627" spans="1:18" x14ac:dyDescent="0.35">
      <c r="A4627">
        <v>4626</v>
      </c>
      <c r="B4627" s="1">
        <v>45990</v>
      </c>
      <c r="C4627">
        <v>1875</v>
      </c>
      <c r="D4627" t="s">
        <v>15</v>
      </c>
      <c r="E4627" t="s">
        <v>16</v>
      </c>
      <c r="F4627" t="s">
        <v>34</v>
      </c>
      <c r="G4627">
        <v>3</v>
      </c>
      <c r="H4627">
        <v>0</v>
      </c>
      <c r="I4627" t="s">
        <v>18</v>
      </c>
      <c r="J4627" t="s">
        <v>37</v>
      </c>
      <c r="K4627" t="s">
        <v>40</v>
      </c>
      <c r="L4627">
        <v>8</v>
      </c>
      <c r="M4627">
        <v>1</v>
      </c>
      <c r="N4627">
        <v>0</v>
      </c>
      <c r="O4627" t="s">
        <v>27</v>
      </c>
      <c r="P4627" t="str">
        <f>TEXT(Table1[[#This Row],[order_date]],"yyyy-mm")</f>
        <v>2025-11</v>
      </c>
      <c r="Q4627">
        <f>WEEKNUM(Table1[[#This Row],[order_date]])</f>
        <v>48</v>
      </c>
      <c r="R4627">
        <f>IF(Table1[[#This Row],[order_status]]="completed",1,0)</f>
        <v>0</v>
      </c>
    </row>
    <row r="4628" spans="1:18" x14ac:dyDescent="0.35">
      <c r="A4628">
        <v>4627</v>
      </c>
      <c r="B4628" s="1">
        <v>45966</v>
      </c>
      <c r="C4628">
        <v>1850</v>
      </c>
      <c r="D4628" t="s">
        <v>28</v>
      </c>
      <c r="E4628" t="s">
        <v>36</v>
      </c>
      <c r="F4628" t="s">
        <v>24</v>
      </c>
      <c r="G4628">
        <v>4</v>
      </c>
      <c r="H4628">
        <v>0</v>
      </c>
      <c r="I4628" t="s">
        <v>39</v>
      </c>
      <c r="J4628" t="s">
        <v>31</v>
      </c>
      <c r="K4628" t="s">
        <v>38</v>
      </c>
      <c r="L4628">
        <v>9</v>
      </c>
      <c r="M4628">
        <v>1</v>
      </c>
      <c r="N4628">
        <v>0</v>
      </c>
      <c r="O4628" t="s">
        <v>21</v>
      </c>
      <c r="P4628" t="str">
        <f>TEXT(Table1[[#This Row],[order_date]],"yyyy-mm")</f>
        <v>2025-11</v>
      </c>
      <c r="Q4628">
        <f>WEEKNUM(Table1[[#This Row],[order_date]])</f>
        <v>45</v>
      </c>
      <c r="R4628">
        <f>IF(Table1[[#This Row],[order_status]]="completed",1,0)</f>
        <v>0</v>
      </c>
    </row>
    <row r="4629" spans="1:18" x14ac:dyDescent="0.35">
      <c r="A4629">
        <v>4628</v>
      </c>
      <c r="B4629" s="1">
        <v>45999</v>
      </c>
      <c r="C4629">
        <v>1553</v>
      </c>
      <c r="D4629" t="s">
        <v>32</v>
      </c>
      <c r="E4629" t="s">
        <v>16</v>
      </c>
      <c r="F4629" t="s">
        <v>30</v>
      </c>
      <c r="G4629">
        <v>4</v>
      </c>
      <c r="H4629">
        <v>0</v>
      </c>
      <c r="I4629" t="s">
        <v>39</v>
      </c>
      <c r="J4629" t="s">
        <v>31</v>
      </c>
      <c r="K4629" t="s">
        <v>20</v>
      </c>
      <c r="L4629">
        <v>2</v>
      </c>
      <c r="M4629">
        <v>0</v>
      </c>
      <c r="N4629">
        <v>0</v>
      </c>
      <c r="O4629" t="s">
        <v>27</v>
      </c>
      <c r="P4629" t="str">
        <f>TEXT(Table1[[#This Row],[order_date]],"yyyy-mm")</f>
        <v>2025-12</v>
      </c>
      <c r="Q4629">
        <f>WEEKNUM(Table1[[#This Row],[order_date]])</f>
        <v>50</v>
      </c>
      <c r="R4629">
        <f>IF(Table1[[#This Row],[order_status]]="completed",1,0)</f>
        <v>0</v>
      </c>
    </row>
    <row r="4630" spans="1:18" x14ac:dyDescent="0.35">
      <c r="A4630">
        <v>4629</v>
      </c>
      <c r="B4630" s="1">
        <v>45955</v>
      </c>
      <c r="C4630">
        <v>1473</v>
      </c>
      <c r="D4630" t="s">
        <v>32</v>
      </c>
      <c r="E4630" t="s">
        <v>29</v>
      </c>
      <c r="F4630" t="s">
        <v>34</v>
      </c>
      <c r="G4630">
        <v>1</v>
      </c>
      <c r="H4630">
        <v>0</v>
      </c>
      <c r="I4630" t="s">
        <v>35</v>
      </c>
      <c r="J4630" t="s">
        <v>31</v>
      </c>
      <c r="K4630" t="s">
        <v>40</v>
      </c>
      <c r="L4630">
        <v>2</v>
      </c>
      <c r="M4630">
        <v>0</v>
      </c>
      <c r="N4630">
        <v>1</v>
      </c>
      <c r="O4630" t="s">
        <v>21</v>
      </c>
      <c r="P4630" t="str">
        <f>TEXT(Table1[[#This Row],[order_date]],"yyyy-mm")</f>
        <v>2025-10</v>
      </c>
      <c r="Q4630">
        <f>WEEKNUM(Table1[[#This Row],[order_date]])</f>
        <v>43</v>
      </c>
      <c r="R4630">
        <f>IF(Table1[[#This Row],[order_status]]="completed",1,0)</f>
        <v>0</v>
      </c>
    </row>
    <row r="4631" spans="1:18" x14ac:dyDescent="0.35">
      <c r="A4631">
        <v>4630</v>
      </c>
      <c r="B4631" s="1">
        <v>45897</v>
      </c>
      <c r="C4631">
        <v>1233</v>
      </c>
      <c r="D4631" t="s">
        <v>22</v>
      </c>
      <c r="E4631" t="s">
        <v>23</v>
      </c>
      <c r="F4631" t="s">
        <v>17</v>
      </c>
      <c r="G4631">
        <v>4</v>
      </c>
      <c r="H4631">
        <v>0</v>
      </c>
      <c r="I4631" t="s">
        <v>25</v>
      </c>
      <c r="J4631" t="s">
        <v>37</v>
      </c>
      <c r="K4631" t="s">
        <v>40</v>
      </c>
      <c r="L4631">
        <v>1</v>
      </c>
      <c r="M4631">
        <v>1</v>
      </c>
      <c r="N4631">
        <v>0</v>
      </c>
      <c r="O4631" t="s">
        <v>27</v>
      </c>
      <c r="P4631" t="str">
        <f>TEXT(Table1[[#This Row],[order_date]],"yyyy-mm")</f>
        <v>2025-08</v>
      </c>
      <c r="Q4631">
        <f>WEEKNUM(Table1[[#This Row],[order_date]])</f>
        <v>35</v>
      </c>
      <c r="R4631">
        <f>IF(Table1[[#This Row],[order_status]]="completed",1,0)</f>
        <v>0</v>
      </c>
    </row>
    <row r="4632" spans="1:18" x14ac:dyDescent="0.35">
      <c r="A4632">
        <v>4631</v>
      </c>
      <c r="B4632" s="1">
        <v>46013</v>
      </c>
      <c r="C4632">
        <v>1572</v>
      </c>
      <c r="D4632" t="s">
        <v>41</v>
      </c>
      <c r="E4632" t="s">
        <v>36</v>
      </c>
      <c r="F4632" t="s">
        <v>17</v>
      </c>
      <c r="G4632">
        <v>5</v>
      </c>
      <c r="H4632">
        <v>0</v>
      </c>
      <c r="I4632" t="s">
        <v>18</v>
      </c>
      <c r="J4632" t="s">
        <v>31</v>
      </c>
      <c r="K4632" t="s">
        <v>20</v>
      </c>
      <c r="L4632">
        <v>2</v>
      </c>
      <c r="M4632">
        <v>1</v>
      </c>
      <c r="N4632">
        <v>0</v>
      </c>
      <c r="O4632" t="s">
        <v>21</v>
      </c>
      <c r="P4632" t="str">
        <f>TEXT(Table1[[#This Row],[order_date]],"yyyy-mm")</f>
        <v>2025-12</v>
      </c>
      <c r="Q4632">
        <f>WEEKNUM(Table1[[#This Row],[order_date]])</f>
        <v>52</v>
      </c>
      <c r="R4632">
        <f>IF(Table1[[#This Row],[order_status]]="completed",1,0)</f>
        <v>0</v>
      </c>
    </row>
    <row r="4633" spans="1:18" x14ac:dyDescent="0.35">
      <c r="A4633">
        <v>4632</v>
      </c>
      <c r="B4633" s="1">
        <v>45929</v>
      </c>
      <c r="C4633">
        <v>1470</v>
      </c>
      <c r="D4633" t="s">
        <v>41</v>
      </c>
      <c r="E4633" t="s">
        <v>16</v>
      </c>
      <c r="F4633" t="s">
        <v>24</v>
      </c>
      <c r="G4633">
        <v>5</v>
      </c>
      <c r="H4633">
        <v>0</v>
      </c>
      <c r="I4633" t="s">
        <v>39</v>
      </c>
      <c r="J4633" t="s">
        <v>37</v>
      </c>
      <c r="K4633" t="s">
        <v>26</v>
      </c>
      <c r="L4633">
        <v>4</v>
      </c>
      <c r="M4633">
        <v>0</v>
      </c>
      <c r="N4633">
        <v>1</v>
      </c>
      <c r="O4633" t="s">
        <v>27</v>
      </c>
      <c r="P4633" t="str">
        <f>TEXT(Table1[[#This Row],[order_date]],"yyyy-mm")</f>
        <v>2025-09</v>
      </c>
      <c r="Q4633">
        <f>WEEKNUM(Table1[[#This Row],[order_date]])</f>
        <v>40</v>
      </c>
      <c r="R4633">
        <f>IF(Table1[[#This Row],[order_status]]="completed",1,0)</f>
        <v>0</v>
      </c>
    </row>
    <row r="4634" spans="1:18" x14ac:dyDescent="0.35">
      <c r="A4634">
        <v>4633</v>
      </c>
      <c r="B4634" s="1">
        <v>45857</v>
      </c>
      <c r="C4634">
        <v>1248</v>
      </c>
      <c r="D4634" t="s">
        <v>15</v>
      </c>
      <c r="E4634" t="s">
        <v>23</v>
      </c>
      <c r="F4634" t="s">
        <v>34</v>
      </c>
      <c r="G4634">
        <v>4</v>
      </c>
      <c r="H4634">
        <v>0</v>
      </c>
      <c r="I4634" t="s">
        <v>18</v>
      </c>
      <c r="J4634" t="s">
        <v>37</v>
      </c>
      <c r="K4634" t="s">
        <v>20</v>
      </c>
      <c r="L4634">
        <v>10</v>
      </c>
      <c r="M4634">
        <v>1</v>
      </c>
      <c r="N4634">
        <v>0</v>
      </c>
      <c r="O4634" t="s">
        <v>27</v>
      </c>
      <c r="P4634" t="str">
        <f>TEXT(Table1[[#This Row],[order_date]],"yyyy-mm")</f>
        <v>2025-07</v>
      </c>
      <c r="Q4634">
        <f>WEEKNUM(Table1[[#This Row],[order_date]])</f>
        <v>29</v>
      </c>
      <c r="R4634">
        <f>IF(Table1[[#This Row],[order_status]]="completed",1,0)</f>
        <v>0</v>
      </c>
    </row>
    <row r="4635" spans="1:18" x14ac:dyDescent="0.35">
      <c r="A4635">
        <v>4634</v>
      </c>
      <c r="B4635" s="1">
        <v>45924</v>
      </c>
      <c r="C4635">
        <v>1453</v>
      </c>
      <c r="D4635" t="s">
        <v>41</v>
      </c>
      <c r="E4635" t="s">
        <v>36</v>
      </c>
      <c r="F4635" t="s">
        <v>17</v>
      </c>
      <c r="G4635">
        <v>5</v>
      </c>
      <c r="H4635">
        <v>17260</v>
      </c>
      <c r="I4635" t="s">
        <v>18</v>
      </c>
      <c r="J4635" t="s">
        <v>19</v>
      </c>
      <c r="K4635" t="s">
        <v>20</v>
      </c>
      <c r="L4635">
        <v>1</v>
      </c>
      <c r="M4635">
        <v>0</v>
      </c>
      <c r="N4635">
        <v>1</v>
      </c>
      <c r="O4635" t="s">
        <v>21</v>
      </c>
      <c r="P4635" t="str">
        <f>TEXT(Table1[[#This Row],[order_date]],"yyyy-mm")</f>
        <v>2025-09</v>
      </c>
      <c r="Q4635">
        <f>WEEKNUM(Table1[[#This Row],[order_date]])</f>
        <v>39</v>
      </c>
      <c r="R4635">
        <f>IF(Table1[[#This Row],[order_status]]="completed",1,0)</f>
        <v>1</v>
      </c>
    </row>
    <row r="4636" spans="1:18" x14ac:dyDescent="0.35">
      <c r="A4636">
        <v>4635</v>
      </c>
      <c r="B4636" s="1">
        <v>45944</v>
      </c>
      <c r="C4636">
        <v>1099</v>
      </c>
      <c r="D4636" t="s">
        <v>41</v>
      </c>
      <c r="E4636" t="s">
        <v>16</v>
      </c>
      <c r="F4636" t="s">
        <v>24</v>
      </c>
      <c r="G4636">
        <v>2</v>
      </c>
      <c r="H4636">
        <v>0</v>
      </c>
      <c r="I4636" t="s">
        <v>35</v>
      </c>
      <c r="J4636" t="s">
        <v>37</v>
      </c>
      <c r="K4636" t="s">
        <v>20</v>
      </c>
      <c r="L4636">
        <v>7</v>
      </c>
      <c r="M4636">
        <v>1</v>
      </c>
      <c r="N4636">
        <v>0</v>
      </c>
      <c r="O4636" t="s">
        <v>27</v>
      </c>
      <c r="P4636" t="str">
        <f>TEXT(Table1[[#This Row],[order_date]],"yyyy-mm")</f>
        <v>2025-10</v>
      </c>
      <c r="Q4636">
        <f>WEEKNUM(Table1[[#This Row],[order_date]])</f>
        <v>42</v>
      </c>
      <c r="R4636">
        <f>IF(Table1[[#This Row],[order_status]]="completed",1,0)</f>
        <v>0</v>
      </c>
    </row>
    <row r="4637" spans="1:18" x14ac:dyDescent="0.35">
      <c r="A4637">
        <v>4636</v>
      </c>
      <c r="B4637" s="1">
        <v>45999</v>
      </c>
      <c r="C4637">
        <v>1557</v>
      </c>
      <c r="D4637" t="s">
        <v>22</v>
      </c>
      <c r="E4637" t="s">
        <v>36</v>
      </c>
      <c r="F4637" t="s">
        <v>34</v>
      </c>
      <c r="G4637">
        <v>4</v>
      </c>
      <c r="H4637">
        <v>7892</v>
      </c>
      <c r="I4637" t="s">
        <v>35</v>
      </c>
      <c r="J4637" t="s">
        <v>19</v>
      </c>
      <c r="K4637" t="s">
        <v>38</v>
      </c>
      <c r="L4637">
        <v>9</v>
      </c>
      <c r="M4637">
        <v>1</v>
      </c>
      <c r="N4637">
        <v>1</v>
      </c>
      <c r="O4637" t="s">
        <v>21</v>
      </c>
      <c r="P4637" t="str">
        <f>TEXT(Table1[[#This Row],[order_date]],"yyyy-mm")</f>
        <v>2025-12</v>
      </c>
      <c r="Q4637">
        <f>WEEKNUM(Table1[[#This Row],[order_date]])</f>
        <v>50</v>
      </c>
      <c r="R4637">
        <f>IF(Table1[[#This Row],[order_status]]="completed",1,0)</f>
        <v>1</v>
      </c>
    </row>
    <row r="4638" spans="1:18" x14ac:dyDescent="0.35">
      <c r="A4638">
        <v>4637</v>
      </c>
      <c r="B4638" s="1">
        <v>45865</v>
      </c>
      <c r="C4638">
        <v>1924</v>
      </c>
      <c r="D4638" t="s">
        <v>15</v>
      </c>
      <c r="E4638" t="s">
        <v>23</v>
      </c>
      <c r="F4638" t="s">
        <v>17</v>
      </c>
      <c r="G4638">
        <v>4</v>
      </c>
      <c r="H4638">
        <v>0</v>
      </c>
      <c r="I4638" t="s">
        <v>18</v>
      </c>
      <c r="J4638" t="s">
        <v>31</v>
      </c>
      <c r="K4638" t="s">
        <v>40</v>
      </c>
      <c r="L4638">
        <v>3</v>
      </c>
      <c r="M4638">
        <v>0</v>
      </c>
      <c r="N4638">
        <v>1</v>
      </c>
      <c r="O4638" t="s">
        <v>27</v>
      </c>
      <c r="P4638" t="str">
        <f>TEXT(Table1[[#This Row],[order_date]],"yyyy-mm")</f>
        <v>2025-07</v>
      </c>
      <c r="Q4638">
        <f>WEEKNUM(Table1[[#This Row],[order_date]])</f>
        <v>31</v>
      </c>
      <c r="R4638">
        <f>IF(Table1[[#This Row],[order_status]]="completed",1,0)</f>
        <v>0</v>
      </c>
    </row>
    <row r="4639" spans="1:18" x14ac:dyDescent="0.35">
      <c r="A4639">
        <v>4638</v>
      </c>
      <c r="B4639" s="1">
        <v>45981</v>
      </c>
      <c r="C4639">
        <v>1833</v>
      </c>
      <c r="D4639" t="s">
        <v>22</v>
      </c>
      <c r="E4639" t="s">
        <v>29</v>
      </c>
      <c r="F4639" t="s">
        <v>34</v>
      </c>
      <c r="G4639">
        <v>3</v>
      </c>
      <c r="H4639">
        <v>0</v>
      </c>
      <c r="I4639" t="s">
        <v>18</v>
      </c>
      <c r="J4639" t="s">
        <v>37</v>
      </c>
      <c r="K4639" t="s">
        <v>20</v>
      </c>
      <c r="L4639">
        <v>6</v>
      </c>
      <c r="M4639">
        <v>0</v>
      </c>
      <c r="N4639">
        <v>0</v>
      </c>
      <c r="O4639" t="s">
        <v>21</v>
      </c>
      <c r="P4639" t="str">
        <f>TEXT(Table1[[#This Row],[order_date]],"yyyy-mm")</f>
        <v>2025-11</v>
      </c>
      <c r="Q4639">
        <f>WEEKNUM(Table1[[#This Row],[order_date]])</f>
        <v>47</v>
      </c>
      <c r="R4639">
        <f>IF(Table1[[#This Row],[order_status]]="completed",1,0)</f>
        <v>0</v>
      </c>
    </row>
    <row r="4640" spans="1:18" x14ac:dyDescent="0.35">
      <c r="A4640">
        <v>4639</v>
      </c>
      <c r="B4640" s="1">
        <v>45941</v>
      </c>
      <c r="C4640">
        <v>1653</v>
      </c>
      <c r="D4640" t="s">
        <v>22</v>
      </c>
      <c r="E4640" t="s">
        <v>36</v>
      </c>
      <c r="F4640" t="s">
        <v>30</v>
      </c>
      <c r="G4640">
        <v>2</v>
      </c>
      <c r="H4640">
        <v>0</v>
      </c>
      <c r="I4640" t="s">
        <v>35</v>
      </c>
      <c r="J4640" t="s">
        <v>37</v>
      </c>
      <c r="K4640" t="s">
        <v>40</v>
      </c>
      <c r="L4640">
        <v>10</v>
      </c>
      <c r="M4640">
        <v>1</v>
      </c>
      <c r="N4640">
        <v>0</v>
      </c>
      <c r="O4640" t="s">
        <v>27</v>
      </c>
      <c r="P4640" t="str">
        <f>TEXT(Table1[[#This Row],[order_date]],"yyyy-mm")</f>
        <v>2025-10</v>
      </c>
      <c r="Q4640">
        <f>WEEKNUM(Table1[[#This Row],[order_date]])</f>
        <v>41</v>
      </c>
      <c r="R4640">
        <f>IF(Table1[[#This Row],[order_status]]="completed",1,0)</f>
        <v>0</v>
      </c>
    </row>
    <row r="4641" spans="1:18" x14ac:dyDescent="0.35">
      <c r="A4641">
        <v>4640</v>
      </c>
      <c r="B4641" s="1">
        <v>45961</v>
      </c>
      <c r="C4641">
        <v>1423</v>
      </c>
      <c r="D4641" t="s">
        <v>41</v>
      </c>
      <c r="E4641" t="s">
        <v>23</v>
      </c>
      <c r="F4641" t="s">
        <v>34</v>
      </c>
      <c r="G4641">
        <v>2</v>
      </c>
      <c r="H4641">
        <v>6440</v>
      </c>
      <c r="I4641" t="s">
        <v>18</v>
      </c>
      <c r="J4641" t="s">
        <v>19</v>
      </c>
      <c r="K4641" t="s">
        <v>26</v>
      </c>
      <c r="L4641">
        <v>5</v>
      </c>
      <c r="M4641">
        <v>0</v>
      </c>
      <c r="N4641">
        <v>0</v>
      </c>
      <c r="O4641" t="s">
        <v>27</v>
      </c>
      <c r="P4641" t="str">
        <f>TEXT(Table1[[#This Row],[order_date]],"yyyy-mm")</f>
        <v>2025-10</v>
      </c>
      <c r="Q4641">
        <f>WEEKNUM(Table1[[#This Row],[order_date]])</f>
        <v>44</v>
      </c>
      <c r="R4641">
        <f>IF(Table1[[#This Row],[order_status]]="completed",1,0)</f>
        <v>1</v>
      </c>
    </row>
    <row r="4642" spans="1:18" x14ac:dyDescent="0.35">
      <c r="A4642">
        <v>4641</v>
      </c>
      <c r="B4642" s="1">
        <v>45902</v>
      </c>
      <c r="C4642">
        <v>1311</v>
      </c>
      <c r="D4642" t="s">
        <v>32</v>
      </c>
      <c r="E4642" t="s">
        <v>23</v>
      </c>
      <c r="F4642" t="s">
        <v>17</v>
      </c>
      <c r="G4642">
        <v>2</v>
      </c>
      <c r="H4642">
        <v>0</v>
      </c>
      <c r="I4642" t="s">
        <v>18</v>
      </c>
      <c r="J4642" t="s">
        <v>37</v>
      </c>
      <c r="K4642" t="s">
        <v>26</v>
      </c>
      <c r="L4642">
        <v>7</v>
      </c>
      <c r="M4642">
        <v>0</v>
      </c>
      <c r="N4642">
        <v>1</v>
      </c>
      <c r="O4642" t="s">
        <v>21</v>
      </c>
      <c r="P4642" t="str">
        <f>TEXT(Table1[[#This Row],[order_date]],"yyyy-mm")</f>
        <v>2025-09</v>
      </c>
      <c r="Q4642">
        <f>WEEKNUM(Table1[[#This Row],[order_date]])</f>
        <v>36</v>
      </c>
      <c r="R4642">
        <f>IF(Table1[[#This Row],[order_status]]="completed",1,0)</f>
        <v>0</v>
      </c>
    </row>
    <row r="4643" spans="1:18" x14ac:dyDescent="0.35">
      <c r="A4643">
        <v>4642</v>
      </c>
      <c r="B4643" s="1">
        <v>46021</v>
      </c>
      <c r="C4643">
        <v>1082</v>
      </c>
      <c r="D4643" t="s">
        <v>22</v>
      </c>
      <c r="E4643" t="s">
        <v>33</v>
      </c>
      <c r="F4643" t="s">
        <v>17</v>
      </c>
      <c r="G4643">
        <v>4</v>
      </c>
      <c r="H4643">
        <v>14744</v>
      </c>
      <c r="I4643" t="s">
        <v>39</v>
      </c>
      <c r="J4643" t="s">
        <v>19</v>
      </c>
      <c r="K4643" t="s">
        <v>26</v>
      </c>
      <c r="L4643">
        <v>8</v>
      </c>
      <c r="M4643">
        <v>0</v>
      </c>
      <c r="N4643">
        <v>1</v>
      </c>
      <c r="O4643" t="s">
        <v>21</v>
      </c>
      <c r="P4643" t="str">
        <f>TEXT(Table1[[#This Row],[order_date]],"yyyy-mm")</f>
        <v>2025-12</v>
      </c>
      <c r="Q4643">
        <f>WEEKNUM(Table1[[#This Row],[order_date]])</f>
        <v>53</v>
      </c>
      <c r="R4643">
        <f>IF(Table1[[#This Row],[order_status]]="completed",1,0)</f>
        <v>1</v>
      </c>
    </row>
    <row r="4644" spans="1:18" x14ac:dyDescent="0.35">
      <c r="A4644">
        <v>4643</v>
      </c>
      <c r="B4644" s="1">
        <v>45894</v>
      </c>
      <c r="C4644">
        <v>1036</v>
      </c>
      <c r="D4644" t="s">
        <v>22</v>
      </c>
      <c r="E4644" t="s">
        <v>29</v>
      </c>
      <c r="F4644" t="s">
        <v>24</v>
      </c>
      <c r="G4644">
        <v>2</v>
      </c>
      <c r="H4644">
        <v>0</v>
      </c>
      <c r="I4644" t="s">
        <v>25</v>
      </c>
      <c r="J4644" t="s">
        <v>31</v>
      </c>
      <c r="K4644" t="s">
        <v>20</v>
      </c>
      <c r="L4644">
        <v>7</v>
      </c>
      <c r="M4644">
        <v>0</v>
      </c>
      <c r="N4644">
        <v>1</v>
      </c>
      <c r="O4644" t="s">
        <v>27</v>
      </c>
      <c r="P4644" t="str">
        <f>TEXT(Table1[[#This Row],[order_date]],"yyyy-mm")</f>
        <v>2025-08</v>
      </c>
      <c r="Q4644">
        <f>WEEKNUM(Table1[[#This Row],[order_date]])</f>
        <v>35</v>
      </c>
      <c r="R4644">
        <f>IF(Table1[[#This Row],[order_status]]="completed",1,0)</f>
        <v>0</v>
      </c>
    </row>
    <row r="4645" spans="1:18" x14ac:dyDescent="0.35">
      <c r="A4645">
        <v>4644</v>
      </c>
      <c r="B4645" s="1">
        <v>45935</v>
      </c>
      <c r="C4645">
        <v>1696</v>
      </c>
      <c r="D4645" t="s">
        <v>15</v>
      </c>
      <c r="E4645" t="s">
        <v>16</v>
      </c>
      <c r="F4645" t="s">
        <v>34</v>
      </c>
      <c r="G4645">
        <v>4</v>
      </c>
      <c r="H4645">
        <v>0</v>
      </c>
      <c r="I4645" t="s">
        <v>39</v>
      </c>
      <c r="J4645" t="s">
        <v>37</v>
      </c>
      <c r="K4645" t="s">
        <v>40</v>
      </c>
      <c r="L4645">
        <v>10</v>
      </c>
      <c r="M4645">
        <v>1</v>
      </c>
      <c r="N4645">
        <v>1</v>
      </c>
      <c r="O4645" t="s">
        <v>21</v>
      </c>
      <c r="P4645" t="str">
        <f>TEXT(Table1[[#This Row],[order_date]],"yyyy-mm")</f>
        <v>2025-10</v>
      </c>
      <c r="Q4645">
        <f>WEEKNUM(Table1[[#This Row],[order_date]])</f>
        <v>41</v>
      </c>
      <c r="R4645">
        <f>IF(Table1[[#This Row],[order_status]]="completed",1,0)</f>
        <v>0</v>
      </c>
    </row>
    <row r="4646" spans="1:18" x14ac:dyDescent="0.35">
      <c r="A4646">
        <v>4645</v>
      </c>
      <c r="B4646" s="1">
        <v>45858</v>
      </c>
      <c r="C4646">
        <v>1765</v>
      </c>
      <c r="D4646" t="s">
        <v>28</v>
      </c>
      <c r="E4646" t="s">
        <v>23</v>
      </c>
      <c r="F4646" t="s">
        <v>17</v>
      </c>
      <c r="G4646">
        <v>4</v>
      </c>
      <c r="H4646">
        <v>0</v>
      </c>
      <c r="I4646" t="s">
        <v>25</v>
      </c>
      <c r="J4646" t="s">
        <v>37</v>
      </c>
      <c r="K4646" t="s">
        <v>40</v>
      </c>
      <c r="L4646">
        <v>2</v>
      </c>
      <c r="M4646">
        <v>0</v>
      </c>
      <c r="N4646">
        <v>0</v>
      </c>
      <c r="O4646" t="s">
        <v>27</v>
      </c>
      <c r="P4646" t="str">
        <f>TEXT(Table1[[#This Row],[order_date]],"yyyy-mm")</f>
        <v>2025-07</v>
      </c>
      <c r="Q4646">
        <f>WEEKNUM(Table1[[#This Row],[order_date]])</f>
        <v>30</v>
      </c>
      <c r="R4646">
        <f>IF(Table1[[#This Row],[order_status]]="completed",1,0)</f>
        <v>0</v>
      </c>
    </row>
    <row r="4647" spans="1:18" x14ac:dyDescent="0.35">
      <c r="A4647">
        <v>4646</v>
      </c>
      <c r="B4647" s="1">
        <v>45979</v>
      </c>
      <c r="C4647">
        <v>1481</v>
      </c>
      <c r="D4647" t="s">
        <v>22</v>
      </c>
      <c r="E4647" t="s">
        <v>33</v>
      </c>
      <c r="F4647" t="s">
        <v>34</v>
      </c>
      <c r="G4647">
        <v>3</v>
      </c>
      <c r="H4647">
        <v>0</v>
      </c>
      <c r="I4647" t="s">
        <v>18</v>
      </c>
      <c r="J4647" t="s">
        <v>37</v>
      </c>
      <c r="K4647" t="s">
        <v>26</v>
      </c>
      <c r="L4647">
        <v>6</v>
      </c>
      <c r="M4647">
        <v>0</v>
      </c>
      <c r="N4647">
        <v>0</v>
      </c>
      <c r="O4647" t="s">
        <v>27</v>
      </c>
      <c r="P4647" t="str">
        <f>TEXT(Table1[[#This Row],[order_date]],"yyyy-mm")</f>
        <v>2025-11</v>
      </c>
      <c r="Q4647">
        <f>WEEKNUM(Table1[[#This Row],[order_date]])</f>
        <v>47</v>
      </c>
      <c r="R4647">
        <f>IF(Table1[[#This Row],[order_status]]="completed",1,0)</f>
        <v>0</v>
      </c>
    </row>
    <row r="4648" spans="1:18" x14ac:dyDescent="0.35">
      <c r="A4648">
        <v>4647</v>
      </c>
      <c r="B4648" s="1">
        <v>45972</v>
      </c>
      <c r="C4648">
        <v>1353</v>
      </c>
      <c r="D4648" t="s">
        <v>15</v>
      </c>
      <c r="E4648" t="s">
        <v>36</v>
      </c>
      <c r="F4648" t="s">
        <v>24</v>
      </c>
      <c r="G4648">
        <v>2</v>
      </c>
      <c r="H4648">
        <v>0</v>
      </c>
      <c r="I4648" t="s">
        <v>25</v>
      </c>
      <c r="J4648" t="s">
        <v>31</v>
      </c>
      <c r="K4648" t="s">
        <v>20</v>
      </c>
      <c r="L4648">
        <v>1</v>
      </c>
      <c r="M4648">
        <v>0</v>
      </c>
      <c r="N4648">
        <v>0</v>
      </c>
      <c r="O4648" t="s">
        <v>21</v>
      </c>
      <c r="P4648" t="str">
        <f>TEXT(Table1[[#This Row],[order_date]],"yyyy-mm")</f>
        <v>2025-11</v>
      </c>
      <c r="Q4648">
        <f>WEEKNUM(Table1[[#This Row],[order_date]])</f>
        <v>46</v>
      </c>
      <c r="R4648">
        <f>IF(Table1[[#This Row],[order_status]]="completed",1,0)</f>
        <v>0</v>
      </c>
    </row>
    <row r="4649" spans="1:18" x14ac:dyDescent="0.35">
      <c r="A4649">
        <v>4648</v>
      </c>
      <c r="B4649" s="1">
        <v>45877</v>
      </c>
      <c r="C4649">
        <v>1917</v>
      </c>
      <c r="D4649" t="s">
        <v>41</v>
      </c>
      <c r="E4649" t="s">
        <v>16</v>
      </c>
      <c r="F4649" t="s">
        <v>34</v>
      </c>
      <c r="G4649">
        <v>3</v>
      </c>
      <c r="H4649">
        <v>0</v>
      </c>
      <c r="I4649" t="s">
        <v>35</v>
      </c>
      <c r="J4649" t="s">
        <v>37</v>
      </c>
      <c r="K4649" t="s">
        <v>40</v>
      </c>
      <c r="L4649">
        <v>7</v>
      </c>
      <c r="M4649">
        <v>1</v>
      </c>
      <c r="N4649">
        <v>0</v>
      </c>
      <c r="O4649" t="s">
        <v>21</v>
      </c>
      <c r="P4649" t="str">
        <f>TEXT(Table1[[#This Row],[order_date]],"yyyy-mm")</f>
        <v>2025-08</v>
      </c>
      <c r="Q4649">
        <f>WEEKNUM(Table1[[#This Row],[order_date]])</f>
        <v>32</v>
      </c>
      <c r="R4649">
        <f>IF(Table1[[#This Row],[order_status]]="completed",1,0)</f>
        <v>0</v>
      </c>
    </row>
    <row r="4650" spans="1:18" x14ac:dyDescent="0.35">
      <c r="A4650">
        <v>4649</v>
      </c>
      <c r="B4650" s="1">
        <v>46021</v>
      </c>
      <c r="C4650">
        <v>1112</v>
      </c>
      <c r="D4650" t="s">
        <v>32</v>
      </c>
      <c r="E4650" t="s">
        <v>33</v>
      </c>
      <c r="F4650" t="s">
        <v>34</v>
      </c>
      <c r="G4650">
        <v>5</v>
      </c>
      <c r="H4650">
        <v>0</v>
      </c>
      <c r="I4650" t="s">
        <v>25</v>
      </c>
      <c r="J4650" t="s">
        <v>37</v>
      </c>
      <c r="K4650" t="s">
        <v>26</v>
      </c>
      <c r="L4650">
        <v>4</v>
      </c>
      <c r="M4650">
        <v>1</v>
      </c>
      <c r="N4650">
        <v>1</v>
      </c>
      <c r="O4650" t="s">
        <v>21</v>
      </c>
      <c r="P4650" t="str">
        <f>TEXT(Table1[[#This Row],[order_date]],"yyyy-mm")</f>
        <v>2025-12</v>
      </c>
      <c r="Q4650">
        <f>WEEKNUM(Table1[[#This Row],[order_date]])</f>
        <v>53</v>
      </c>
      <c r="R4650">
        <f>IF(Table1[[#This Row],[order_status]]="completed",1,0)</f>
        <v>0</v>
      </c>
    </row>
    <row r="4651" spans="1:18" x14ac:dyDescent="0.35">
      <c r="A4651">
        <v>4650</v>
      </c>
      <c r="B4651" s="1">
        <v>45912</v>
      </c>
      <c r="C4651">
        <v>1717</v>
      </c>
      <c r="D4651" t="s">
        <v>28</v>
      </c>
      <c r="E4651" t="s">
        <v>16</v>
      </c>
      <c r="F4651" t="s">
        <v>17</v>
      </c>
      <c r="G4651">
        <v>4</v>
      </c>
      <c r="H4651">
        <v>0</v>
      </c>
      <c r="I4651" t="s">
        <v>25</v>
      </c>
      <c r="J4651" t="s">
        <v>31</v>
      </c>
      <c r="K4651" t="s">
        <v>40</v>
      </c>
      <c r="L4651">
        <v>8</v>
      </c>
      <c r="M4651">
        <v>0</v>
      </c>
      <c r="N4651">
        <v>0</v>
      </c>
      <c r="O4651" t="s">
        <v>21</v>
      </c>
      <c r="P4651" t="str">
        <f>TEXT(Table1[[#This Row],[order_date]],"yyyy-mm")</f>
        <v>2025-09</v>
      </c>
      <c r="Q4651">
        <f>WEEKNUM(Table1[[#This Row],[order_date]])</f>
        <v>37</v>
      </c>
      <c r="R4651">
        <f>IF(Table1[[#This Row],[order_status]]="completed",1,0)</f>
        <v>0</v>
      </c>
    </row>
    <row r="4652" spans="1:18" x14ac:dyDescent="0.35">
      <c r="A4652">
        <v>4651</v>
      </c>
      <c r="B4652" s="1">
        <v>45959</v>
      </c>
      <c r="C4652">
        <v>1742</v>
      </c>
      <c r="D4652" t="s">
        <v>15</v>
      </c>
      <c r="E4652" t="s">
        <v>16</v>
      </c>
      <c r="F4652" t="s">
        <v>24</v>
      </c>
      <c r="G4652">
        <v>2</v>
      </c>
      <c r="H4652">
        <v>0</v>
      </c>
      <c r="I4652" t="s">
        <v>35</v>
      </c>
      <c r="J4652" t="s">
        <v>31</v>
      </c>
      <c r="K4652" t="s">
        <v>20</v>
      </c>
      <c r="L4652">
        <v>4</v>
      </c>
      <c r="M4652">
        <v>0</v>
      </c>
      <c r="N4652">
        <v>0</v>
      </c>
      <c r="O4652" t="s">
        <v>21</v>
      </c>
      <c r="P4652" t="str">
        <f>TEXT(Table1[[#This Row],[order_date]],"yyyy-mm")</f>
        <v>2025-10</v>
      </c>
      <c r="Q4652">
        <f>WEEKNUM(Table1[[#This Row],[order_date]])</f>
        <v>44</v>
      </c>
      <c r="R4652">
        <f>IF(Table1[[#This Row],[order_status]]="completed",1,0)</f>
        <v>0</v>
      </c>
    </row>
    <row r="4653" spans="1:18" x14ac:dyDescent="0.35">
      <c r="A4653">
        <v>4652</v>
      </c>
      <c r="B4653" s="1">
        <v>46017</v>
      </c>
      <c r="C4653">
        <v>1399</v>
      </c>
      <c r="D4653" t="s">
        <v>41</v>
      </c>
      <c r="E4653" t="s">
        <v>16</v>
      </c>
      <c r="F4653" t="s">
        <v>17</v>
      </c>
      <c r="G4653">
        <v>5</v>
      </c>
      <c r="H4653">
        <v>0</v>
      </c>
      <c r="I4653" t="s">
        <v>18</v>
      </c>
      <c r="J4653" t="s">
        <v>31</v>
      </c>
      <c r="K4653" t="s">
        <v>38</v>
      </c>
      <c r="L4653">
        <v>3</v>
      </c>
      <c r="M4653">
        <v>1</v>
      </c>
      <c r="N4653">
        <v>0</v>
      </c>
      <c r="O4653" t="s">
        <v>27</v>
      </c>
      <c r="P4653" t="str">
        <f>TEXT(Table1[[#This Row],[order_date]],"yyyy-mm")</f>
        <v>2025-12</v>
      </c>
      <c r="Q4653">
        <f>WEEKNUM(Table1[[#This Row],[order_date]])</f>
        <v>52</v>
      </c>
      <c r="R4653">
        <f>IF(Table1[[#This Row],[order_status]]="completed",1,0)</f>
        <v>0</v>
      </c>
    </row>
    <row r="4654" spans="1:18" x14ac:dyDescent="0.35">
      <c r="A4654">
        <v>4653</v>
      </c>
      <c r="B4654" s="1">
        <v>45916</v>
      </c>
      <c r="C4654">
        <v>1501</v>
      </c>
      <c r="D4654" t="s">
        <v>32</v>
      </c>
      <c r="E4654" t="s">
        <v>23</v>
      </c>
      <c r="F4654" t="s">
        <v>34</v>
      </c>
      <c r="G4654">
        <v>4</v>
      </c>
      <c r="H4654">
        <v>1712</v>
      </c>
      <c r="I4654" t="s">
        <v>35</v>
      </c>
      <c r="J4654" t="s">
        <v>19</v>
      </c>
      <c r="K4654" t="s">
        <v>26</v>
      </c>
      <c r="L4654">
        <v>2</v>
      </c>
      <c r="M4654">
        <v>0</v>
      </c>
      <c r="N4654">
        <v>1</v>
      </c>
      <c r="O4654" t="s">
        <v>21</v>
      </c>
      <c r="P4654" t="str">
        <f>TEXT(Table1[[#This Row],[order_date]],"yyyy-mm")</f>
        <v>2025-09</v>
      </c>
      <c r="Q4654">
        <f>WEEKNUM(Table1[[#This Row],[order_date]])</f>
        <v>38</v>
      </c>
      <c r="R4654">
        <f>IF(Table1[[#This Row],[order_status]]="completed",1,0)</f>
        <v>1</v>
      </c>
    </row>
    <row r="4655" spans="1:18" x14ac:dyDescent="0.35">
      <c r="A4655">
        <v>4654</v>
      </c>
      <c r="B4655" s="1">
        <v>45939</v>
      </c>
      <c r="C4655">
        <v>1232</v>
      </c>
      <c r="D4655" t="s">
        <v>32</v>
      </c>
      <c r="E4655" t="s">
        <v>16</v>
      </c>
      <c r="F4655" t="s">
        <v>30</v>
      </c>
      <c r="G4655">
        <v>2</v>
      </c>
      <c r="H4655">
        <v>0</v>
      </c>
      <c r="I4655" t="s">
        <v>39</v>
      </c>
      <c r="J4655" t="s">
        <v>37</v>
      </c>
      <c r="K4655" t="s">
        <v>40</v>
      </c>
      <c r="L4655">
        <v>9</v>
      </c>
      <c r="M4655">
        <v>1</v>
      </c>
      <c r="N4655">
        <v>1</v>
      </c>
      <c r="O4655" t="s">
        <v>27</v>
      </c>
      <c r="P4655" t="str">
        <f>TEXT(Table1[[#This Row],[order_date]],"yyyy-mm")</f>
        <v>2025-10</v>
      </c>
      <c r="Q4655">
        <f>WEEKNUM(Table1[[#This Row],[order_date]])</f>
        <v>41</v>
      </c>
      <c r="R4655">
        <f>IF(Table1[[#This Row],[order_status]]="completed",1,0)</f>
        <v>0</v>
      </c>
    </row>
    <row r="4656" spans="1:18" x14ac:dyDescent="0.35">
      <c r="A4656">
        <v>4655</v>
      </c>
      <c r="B4656" s="1">
        <v>45885</v>
      </c>
      <c r="C4656">
        <v>1304</v>
      </c>
      <c r="D4656" t="s">
        <v>15</v>
      </c>
      <c r="E4656" t="s">
        <v>29</v>
      </c>
      <c r="F4656" t="s">
        <v>34</v>
      </c>
      <c r="G4656">
        <v>3</v>
      </c>
      <c r="H4656">
        <v>0</v>
      </c>
      <c r="I4656" t="s">
        <v>35</v>
      </c>
      <c r="J4656" t="s">
        <v>31</v>
      </c>
      <c r="K4656" t="s">
        <v>40</v>
      </c>
      <c r="L4656">
        <v>8</v>
      </c>
      <c r="M4656">
        <v>0</v>
      </c>
      <c r="N4656">
        <v>1</v>
      </c>
      <c r="O4656" t="s">
        <v>21</v>
      </c>
      <c r="P4656" t="str">
        <f>TEXT(Table1[[#This Row],[order_date]],"yyyy-mm")</f>
        <v>2025-08</v>
      </c>
      <c r="Q4656">
        <f>WEEKNUM(Table1[[#This Row],[order_date]])</f>
        <v>33</v>
      </c>
      <c r="R4656">
        <f>IF(Table1[[#This Row],[order_status]]="completed",1,0)</f>
        <v>0</v>
      </c>
    </row>
    <row r="4657" spans="1:18" x14ac:dyDescent="0.35">
      <c r="A4657">
        <v>4656</v>
      </c>
      <c r="B4657" s="1">
        <v>46017</v>
      </c>
      <c r="C4657">
        <v>1949</v>
      </c>
      <c r="D4657" t="s">
        <v>28</v>
      </c>
      <c r="E4657" t="s">
        <v>16</v>
      </c>
      <c r="F4657" t="s">
        <v>30</v>
      </c>
      <c r="G4657">
        <v>1</v>
      </c>
      <c r="H4657">
        <v>2756</v>
      </c>
      <c r="I4657" t="s">
        <v>39</v>
      </c>
      <c r="J4657" t="s">
        <v>19</v>
      </c>
      <c r="K4657" t="s">
        <v>40</v>
      </c>
      <c r="L4657">
        <v>1</v>
      </c>
      <c r="M4657">
        <v>0</v>
      </c>
      <c r="N4657">
        <v>0</v>
      </c>
      <c r="O4657" t="s">
        <v>21</v>
      </c>
      <c r="P4657" t="str">
        <f>TEXT(Table1[[#This Row],[order_date]],"yyyy-mm")</f>
        <v>2025-12</v>
      </c>
      <c r="Q4657">
        <f>WEEKNUM(Table1[[#This Row],[order_date]])</f>
        <v>52</v>
      </c>
      <c r="R4657">
        <f>IF(Table1[[#This Row],[order_status]]="completed",1,0)</f>
        <v>1</v>
      </c>
    </row>
    <row r="4658" spans="1:18" x14ac:dyDescent="0.35">
      <c r="A4658">
        <v>4657</v>
      </c>
      <c r="B4658" s="1">
        <v>46017</v>
      </c>
      <c r="C4658">
        <v>1075</v>
      </c>
      <c r="D4658" t="s">
        <v>41</v>
      </c>
      <c r="E4658" t="s">
        <v>33</v>
      </c>
      <c r="F4658" t="s">
        <v>24</v>
      </c>
      <c r="G4658">
        <v>2</v>
      </c>
      <c r="H4658">
        <v>0</v>
      </c>
      <c r="I4658" t="s">
        <v>39</v>
      </c>
      <c r="J4658" t="s">
        <v>31</v>
      </c>
      <c r="K4658" t="s">
        <v>40</v>
      </c>
      <c r="L4658">
        <v>7</v>
      </c>
      <c r="M4658">
        <v>0</v>
      </c>
      <c r="N4658">
        <v>0</v>
      </c>
      <c r="O4658" t="s">
        <v>21</v>
      </c>
      <c r="P4658" t="str">
        <f>TEXT(Table1[[#This Row],[order_date]],"yyyy-mm")</f>
        <v>2025-12</v>
      </c>
      <c r="Q4658">
        <f>WEEKNUM(Table1[[#This Row],[order_date]])</f>
        <v>52</v>
      </c>
      <c r="R4658">
        <f>IF(Table1[[#This Row],[order_status]]="completed",1,0)</f>
        <v>0</v>
      </c>
    </row>
    <row r="4659" spans="1:18" x14ac:dyDescent="0.35">
      <c r="A4659">
        <v>4658</v>
      </c>
      <c r="B4659" s="1">
        <v>45986</v>
      </c>
      <c r="C4659">
        <v>1555</v>
      </c>
      <c r="D4659" t="s">
        <v>32</v>
      </c>
      <c r="E4659" t="s">
        <v>23</v>
      </c>
      <c r="F4659" t="s">
        <v>30</v>
      </c>
      <c r="G4659">
        <v>3</v>
      </c>
      <c r="H4659">
        <v>10947</v>
      </c>
      <c r="I4659" t="s">
        <v>35</v>
      </c>
      <c r="J4659" t="s">
        <v>19</v>
      </c>
      <c r="K4659" t="s">
        <v>40</v>
      </c>
      <c r="L4659">
        <v>4</v>
      </c>
      <c r="M4659">
        <v>0</v>
      </c>
      <c r="N4659">
        <v>0</v>
      </c>
      <c r="O4659" t="s">
        <v>27</v>
      </c>
      <c r="P4659" t="str">
        <f>TEXT(Table1[[#This Row],[order_date]],"yyyy-mm")</f>
        <v>2025-11</v>
      </c>
      <c r="Q4659">
        <f>WEEKNUM(Table1[[#This Row],[order_date]])</f>
        <v>48</v>
      </c>
      <c r="R4659">
        <f>IF(Table1[[#This Row],[order_status]]="completed",1,0)</f>
        <v>1</v>
      </c>
    </row>
    <row r="4660" spans="1:18" x14ac:dyDescent="0.35">
      <c r="A4660">
        <v>4659</v>
      </c>
      <c r="B4660" s="1">
        <v>45954</v>
      </c>
      <c r="C4660">
        <v>1165</v>
      </c>
      <c r="D4660" t="s">
        <v>32</v>
      </c>
      <c r="E4660" t="s">
        <v>36</v>
      </c>
      <c r="F4660" t="s">
        <v>24</v>
      </c>
      <c r="G4660">
        <v>1</v>
      </c>
      <c r="H4660">
        <v>3336</v>
      </c>
      <c r="I4660" t="s">
        <v>18</v>
      </c>
      <c r="J4660" t="s">
        <v>19</v>
      </c>
      <c r="K4660" t="s">
        <v>38</v>
      </c>
      <c r="L4660">
        <v>7</v>
      </c>
      <c r="M4660">
        <v>1</v>
      </c>
      <c r="N4660">
        <v>0</v>
      </c>
      <c r="O4660" t="s">
        <v>21</v>
      </c>
      <c r="P4660" t="str">
        <f>TEXT(Table1[[#This Row],[order_date]],"yyyy-mm")</f>
        <v>2025-10</v>
      </c>
      <c r="Q4660">
        <f>WEEKNUM(Table1[[#This Row],[order_date]])</f>
        <v>43</v>
      </c>
      <c r="R4660">
        <f>IF(Table1[[#This Row],[order_status]]="completed",1,0)</f>
        <v>1</v>
      </c>
    </row>
    <row r="4661" spans="1:18" x14ac:dyDescent="0.35">
      <c r="A4661">
        <v>4660</v>
      </c>
      <c r="B4661" s="1">
        <v>45971</v>
      </c>
      <c r="C4661">
        <v>1014</v>
      </c>
      <c r="D4661" t="s">
        <v>28</v>
      </c>
      <c r="E4661" t="s">
        <v>23</v>
      </c>
      <c r="F4661" t="s">
        <v>24</v>
      </c>
      <c r="G4661">
        <v>5</v>
      </c>
      <c r="H4661">
        <v>0</v>
      </c>
      <c r="I4661" t="s">
        <v>39</v>
      </c>
      <c r="J4661" t="s">
        <v>37</v>
      </c>
      <c r="K4661" t="s">
        <v>38</v>
      </c>
      <c r="L4661">
        <v>1</v>
      </c>
      <c r="M4661">
        <v>1</v>
      </c>
      <c r="N4661">
        <v>0</v>
      </c>
      <c r="O4661" t="s">
        <v>27</v>
      </c>
      <c r="P4661" t="str">
        <f>TEXT(Table1[[#This Row],[order_date]],"yyyy-mm")</f>
        <v>2025-11</v>
      </c>
      <c r="Q4661">
        <f>WEEKNUM(Table1[[#This Row],[order_date]])</f>
        <v>46</v>
      </c>
      <c r="R4661">
        <f>IF(Table1[[#This Row],[order_status]]="completed",1,0)</f>
        <v>0</v>
      </c>
    </row>
    <row r="4662" spans="1:18" x14ac:dyDescent="0.35">
      <c r="A4662">
        <v>4661</v>
      </c>
      <c r="B4662" s="1">
        <v>46009</v>
      </c>
      <c r="C4662">
        <v>1703</v>
      </c>
      <c r="D4662" t="s">
        <v>15</v>
      </c>
      <c r="E4662" t="s">
        <v>36</v>
      </c>
      <c r="F4662" t="s">
        <v>34</v>
      </c>
      <c r="G4662">
        <v>4</v>
      </c>
      <c r="H4662">
        <v>0</v>
      </c>
      <c r="I4662" t="s">
        <v>25</v>
      </c>
      <c r="J4662" t="s">
        <v>37</v>
      </c>
      <c r="K4662" t="s">
        <v>38</v>
      </c>
      <c r="L4662">
        <v>3</v>
      </c>
      <c r="M4662">
        <v>1</v>
      </c>
      <c r="N4662">
        <v>0</v>
      </c>
      <c r="O4662" t="s">
        <v>21</v>
      </c>
      <c r="P4662" t="str">
        <f>TEXT(Table1[[#This Row],[order_date]],"yyyy-mm")</f>
        <v>2025-12</v>
      </c>
      <c r="Q4662">
        <f>WEEKNUM(Table1[[#This Row],[order_date]])</f>
        <v>51</v>
      </c>
      <c r="R4662">
        <f>IF(Table1[[#This Row],[order_status]]="completed",1,0)</f>
        <v>0</v>
      </c>
    </row>
    <row r="4663" spans="1:18" x14ac:dyDescent="0.35">
      <c r="A4663">
        <v>4662</v>
      </c>
      <c r="B4663" s="1">
        <v>45941</v>
      </c>
      <c r="C4663">
        <v>1089</v>
      </c>
      <c r="D4663" t="s">
        <v>15</v>
      </c>
      <c r="E4663" t="s">
        <v>33</v>
      </c>
      <c r="F4663" t="s">
        <v>17</v>
      </c>
      <c r="G4663">
        <v>1</v>
      </c>
      <c r="H4663">
        <v>0</v>
      </c>
      <c r="I4663" t="s">
        <v>35</v>
      </c>
      <c r="J4663" t="s">
        <v>31</v>
      </c>
      <c r="K4663" t="s">
        <v>20</v>
      </c>
      <c r="L4663">
        <v>6</v>
      </c>
      <c r="M4663">
        <v>0</v>
      </c>
      <c r="N4663">
        <v>1</v>
      </c>
      <c r="O4663" t="s">
        <v>21</v>
      </c>
      <c r="P4663" t="str">
        <f>TEXT(Table1[[#This Row],[order_date]],"yyyy-mm")</f>
        <v>2025-10</v>
      </c>
      <c r="Q4663">
        <f>WEEKNUM(Table1[[#This Row],[order_date]])</f>
        <v>41</v>
      </c>
      <c r="R4663">
        <f>IF(Table1[[#This Row],[order_status]]="completed",1,0)</f>
        <v>0</v>
      </c>
    </row>
    <row r="4664" spans="1:18" x14ac:dyDescent="0.35">
      <c r="A4664">
        <v>4663</v>
      </c>
      <c r="B4664" s="1">
        <v>46022</v>
      </c>
      <c r="C4664">
        <v>1407</v>
      </c>
      <c r="D4664" t="s">
        <v>22</v>
      </c>
      <c r="E4664" t="s">
        <v>23</v>
      </c>
      <c r="F4664" t="s">
        <v>17</v>
      </c>
      <c r="G4664">
        <v>1</v>
      </c>
      <c r="H4664">
        <v>0</v>
      </c>
      <c r="I4664" t="s">
        <v>39</v>
      </c>
      <c r="J4664" t="s">
        <v>31</v>
      </c>
      <c r="K4664" t="s">
        <v>38</v>
      </c>
      <c r="L4664">
        <v>8</v>
      </c>
      <c r="M4664">
        <v>0</v>
      </c>
      <c r="N4664">
        <v>0</v>
      </c>
      <c r="O4664" t="s">
        <v>27</v>
      </c>
      <c r="P4664" t="str">
        <f>TEXT(Table1[[#This Row],[order_date]],"yyyy-mm")</f>
        <v>2025-12</v>
      </c>
      <c r="Q4664">
        <f>WEEKNUM(Table1[[#This Row],[order_date]])</f>
        <v>53</v>
      </c>
      <c r="R4664">
        <f>IF(Table1[[#This Row],[order_status]]="completed",1,0)</f>
        <v>0</v>
      </c>
    </row>
    <row r="4665" spans="1:18" x14ac:dyDescent="0.35">
      <c r="A4665">
        <v>4664</v>
      </c>
      <c r="B4665" s="1">
        <v>45910</v>
      </c>
      <c r="C4665">
        <v>1200</v>
      </c>
      <c r="D4665" t="s">
        <v>41</v>
      </c>
      <c r="E4665" t="s">
        <v>33</v>
      </c>
      <c r="F4665" t="s">
        <v>30</v>
      </c>
      <c r="G4665">
        <v>3</v>
      </c>
      <c r="H4665">
        <v>0</v>
      </c>
      <c r="I4665" t="s">
        <v>39</v>
      </c>
      <c r="J4665" t="s">
        <v>37</v>
      </c>
      <c r="K4665" t="s">
        <v>20</v>
      </c>
      <c r="L4665">
        <v>8</v>
      </c>
      <c r="M4665">
        <v>1</v>
      </c>
      <c r="N4665">
        <v>1</v>
      </c>
      <c r="O4665" t="s">
        <v>21</v>
      </c>
      <c r="P4665" t="str">
        <f>TEXT(Table1[[#This Row],[order_date]],"yyyy-mm")</f>
        <v>2025-09</v>
      </c>
      <c r="Q4665">
        <f>WEEKNUM(Table1[[#This Row],[order_date]])</f>
        <v>37</v>
      </c>
      <c r="R4665">
        <f>IF(Table1[[#This Row],[order_status]]="completed",1,0)</f>
        <v>0</v>
      </c>
    </row>
    <row r="4666" spans="1:18" x14ac:dyDescent="0.35">
      <c r="A4666">
        <v>4665</v>
      </c>
      <c r="B4666" s="1">
        <v>45966</v>
      </c>
      <c r="C4666">
        <v>1154</v>
      </c>
      <c r="D4666" t="s">
        <v>15</v>
      </c>
      <c r="E4666" t="s">
        <v>23</v>
      </c>
      <c r="F4666" t="s">
        <v>30</v>
      </c>
      <c r="G4666">
        <v>2</v>
      </c>
      <c r="H4666">
        <v>0</v>
      </c>
      <c r="I4666" t="s">
        <v>39</v>
      </c>
      <c r="J4666" t="s">
        <v>37</v>
      </c>
      <c r="K4666" t="s">
        <v>38</v>
      </c>
      <c r="L4666">
        <v>10</v>
      </c>
      <c r="M4666">
        <v>0</v>
      </c>
      <c r="N4666">
        <v>0</v>
      </c>
      <c r="O4666" t="s">
        <v>21</v>
      </c>
      <c r="P4666" t="str">
        <f>TEXT(Table1[[#This Row],[order_date]],"yyyy-mm")</f>
        <v>2025-11</v>
      </c>
      <c r="Q4666">
        <f>WEEKNUM(Table1[[#This Row],[order_date]])</f>
        <v>45</v>
      </c>
      <c r="R4666">
        <f>IF(Table1[[#This Row],[order_status]]="completed",1,0)</f>
        <v>0</v>
      </c>
    </row>
    <row r="4667" spans="1:18" x14ac:dyDescent="0.35">
      <c r="A4667">
        <v>4666</v>
      </c>
      <c r="B4667" s="1">
        <v>45954</v>
      </c>
      <c r="C4667">
        <v>1915</v>
      </c>
      <c r="D4667" t="s">
        <v>41</v>
      </c>
      <c r="E4667" t="s">
        <v>33</v>
      </c>
      <c r="F4667" t="s">
        <v>24</v>
      </c>
      <c r="G4667">
        <v>1</v>
      </c>
      <c r="H4667">
        <v>0</v>
      </c>
      <c r="I4667" t="s">
        <v>39</v>
      </c>
      <c r="J4667" t="s">
        <v>31</v>
      </c>
      <c r="K4667" t="s">
        <v>20</v>
      </c>
      <c r="L4667">
        <v>5</v>
      </c>
      <c r="M4667">
        <v>1</v>
      </c>
      <c r="N4667">
        <v>0</v>
      </c>
      <c r="O4667" t="s">
        <v>27</v>
      </c>
      <c r="P4667" t="str">
        <f>TEXT(Table1[[#This Row],[order_date]],"yyyy-mm")</f>
        <v>2025-10</v>
      </c>
      <c r="Q4667">
        <f>WEEKNUM(Table1[[#This Row],[order_date]])</f>
        <v>43</v>
      </c>
      <c r="R4667">
        <f>IF(Table1[[#This Row],[order_status]]="completed",1,0)</f>
        <v>0</v>
      </c>
    </row>
    <row r="4668" spans="1:18" x14ac:dyDescent="0.35">
      <c r="A4668">
        <v>4667</v>
      </c>
      <c r="B4668" s="1">
        <v>45929</v>
      </c>
      <c r="C4668">
        <v>1590</v>
      </c>
      <c r="D4668" t="s">
        <v>15</v>
      </c>
      <c r="E4668" t="s">
        <v>36</v>
      </c>
      <c r="F4668" t="s">
        <v>34</v>
      </c>
      <c r="G4668">
        <v>1</v>
      </c>
      <c r="H4668">
        <v>4352</v>
      </c>
      <c r="I4668" t="s">
        <v>18</v>
      </c>
      <c r="J4668" t="s">
        <v>19</v>
      </c>
      <c r="K4668" t="s">
        <v>26</v>
      </c>
      <c r="L4668">
        <v>1</v>
      </c>
      <c r="M4668">
        <v>0</v>
      </c>
      <c r="N4668">
        <v>0</v>
      </c>
      <c r="O4668" t="s">
        <v>27</v>
      </c>
      <c r="P4668" t="str">
        <f>TEXT(Table1[[#This Row],[order_date]],"yyyy-mm")</f>
        <v>2025-09</v>
      </c>
      <c r="Q4668">
        <f>WEEKNUM(Table1[[#This Row],[order_date]])</f>
        <v>40</v>
      </c>
      <c r="R4668">
        <f>IF(Table1[[#This Row],[order_status]]="completed",1,0)</f>
        <v>1</v>
      </c>
    </row>
    <row r="4669" spans="1:18" x14ac:dyDescent="0.35">
      <c r="A4669">
        <v>4668</v>
      </c>
      <c r="B4669" s="1">
        <v>45908</v>
      </c>
      <c r="C4669">
        <v>1073</v>
      </c>
      <c r="D4669" t="s">
        <v>41</v>
      </c>
      <c r="E4669" t="s">
        <v>33</v>
      </c>
      <c r="F4669" t="s">
        <v>34</v>
      </c>
      <c r="G4669">
        <v>4</v>
      </c>
      <c r="H4669">
        <v>17164</v>
      </c>
      <c r="I4669" t="s">
        <v>39</v>
      </c>
      <c r="J4669" t="s">
        <v>19</v>
      </c>
      <c r="K4669" t="s">
        <v>26</v>
      </c>
      <c r="L4669">
        <v>8</v>
      </c>
      <c r="M4669">
        <v>1</v>
      </c>
      <c r="N4669">
        <v>0</v>
      </c>
      <c r="O4669" t="s">
        <v>27</v>
      </c>
      <c r="P4669" t="str">
        <f>TEXT(Table1[[#This Row],[order_date]],"yyyy-mm")</f>
        <v>2025-09</v>
      </c>
      <c r="Q4669">
        <f>WEEKNUM(Table1[[#This Row],[order_date]])</f>
        <v>37</v>
      </c>
      <c r="R4669">
        <f>IF(Table1[[#This Row],[order_status]]="completed",1,0)</f>
        <v>1</v>
      </c>
    </row>
    <row r="4670" spans="1:18" x14ac:dyDescent="0.35">
      <c r="A4670">
        <v>4669</v>
      </c>
      <c r="B4670" s="1">
        <v>45903</v>
      </c>
      <c r="C4670">
        <v>1892</v>
      </c>
      <c r="D4670" t="s">
        <v>41</v>
      </c>
      <c r="E4670" t="s">
        <v>36</v>
      </c>
      <c r="F4670" t="s">
        <v>34</v>
      </c>
      <c r="G4670">
        <v>2</v>
      </c>
      <c r="H4670">
        <v>0</v>
      </c>
      <c r="I4670" t="s">
        <v>35</v>
      </c>
      <c r="J4670" t="s">
        <v>37</v>
      </c>
      <c r="K4670" t="s">
        <v>20</v>
      </c>
      <c r="L4670">
        <v>10</v>
      </c>
      <c r="M4670">
        <v>1</v>
      </c>
      <c r="N4670">
        <v>0</v>
      </c>
      <c r="O4670" t="s">
        <v>21</v>
      </c>
      <c r="P4670" t="str">
        <f>TEXT(Table1[[#This Row],[order_date]],"yyyy-mm")</f>
        <v>2025-09</v>
      </c>
      <c r="Q4670">
        <f>WEEKNUM(Table1[[#This Row],[order_date]])</f>
        <v>36</v>
      </c>
      <c r="R4670">
        <f>IF(Table1[[#This Row],[order_status]]="completed",1,0)</f>
        <v>0</v>
      </c>
    </row>
    <row r="4671" spans="1:18" x14ac:dyDescent="0.35">
      <c r="A4671">
        <v>4670</v>
      </c>
      <c r="B4671" s="1">
        <v>46031</v>
      </c>
      <c r="C4671">
        <v>1467</v>
      </c>
      <c r="D4671" t="s">
        <v>41</v>
      </c>
      <c r="E4671" t="s">
        <v>29</v>
      </c>
      <c r="F4671" t="s">
        <v>30</v>
      </c>
      <c r="G4671">
        <v>5</v>
      </c>
      <c r="H4671">
        <v>0</v>
      </c>
      <c r="I4671" t="s">
        <v>35</v>
      </c>
      <c r="J4671" t="s">
        <v>31</v>
      </c>
      <c r="K4671" t="s">
        <v>20</v>
      </c>
      <c r="L4671">
        <v>4</v>
      </c>
      <c r="M4671">
        <v>1</v>
      </c>
      <c r="N4671">
        <v>0</v>
      </c>
      <c r="O4671" t="s">
        <v>21</v>
      </c>
      <c r="P4671" t="str">
        <f>TEXT(Table1[[#This Row],[order_date]],"yyyy-mm")</f>
        <v>2026-01</v>
      </c>
      <c r="Q4671">
        <f>WEEKNUM(Table1[[#This Row],[order_date]])</f>
        <v>2</v>
      </c>
      <c r="R4671">
        <f>IF(Table1[[#This Row],[order_status]]="completed",1,0)</f>
        <v>0</v>
      </c>
    </row>
    <row r="4672" spans="1:18" x14ac:dyDescent="0.35">
      <c r="A4672">
        <v>4671</v>
      </c>
      <c r="B4672" s="1">
        <v>46024</v>
      </c>
      <c r="C4672">
        <v>1848</v>
      </c>
      <c r="D4672" t="s">
        <v>22</v>
      </c>
      <c r="E4672" t="s">
        <v>23</v>
      </c>
      <c r="F4672" t="s">
        <v>17</v>
      </c>
      <c r="G4672">
        <v>2</v>
      </c>
      <c r="H4672">
        <v>0</v>
      </c>
      <c r="I4672" t="s">
        <v>18</v>
      </c>
      <c r="J4672" t="s">
        <v>31</v>
      </c>
      <c r="K4672" t="s">
        <v>26</v>
      </c>
      <c r="L4672">
        <v>6</v>
      </c>
      <c r="M4672">
        <v>1</v>
      </c>
      <c r="N4672">
        <v>0</v>
      </c>
      <c r="O4672" t="s">
        <v>27</v>
      </c>
      <c r="P4672" t="str">
        <f>TEXT(Table1[[#This Row],[order_date]],"yyyy-mm")</f>
        <v>2026-01</v>
      </c>
      <c r="Q4672">
        <f>WEEKNUM(Table1[[#This Row],[order_date]])</f>
        <v>1</v>
      </c>
      <c r="R4672">
        <f>IF(Table1[[#This Row],[order_status]]="completed",1,0)</f>
        <v>0</v>
      </c>
    </row>
    <row r="4673" spans="1:18" x14ac:dyDescent="0.35">
      <c r="A4673">
        <v>4672</v>
      </c>
      <c r="B4673" s="1">
        <v>45904</v>
      </c>
      <c r="C4673">
        <v>1849</v>
      </c>
      <c r="D4673" t="s">
        <v>41</v>
      </c>
      <c r="E4673" t="s">
        <v>16</v>
      </c>
      <c r="F4673" t="s">
        <v>24</v>
      </c>
      <c r="G4673">
        <v>5</v>
      </c>
      <c r="H4673">
        <v>0</v>
      </c>
      <c r="I4673" t="s">
        <v>39</v>
      </c>
      <c r="J4673" t="s">
        <v>37</v>
      </c>
      <c r="K4673" t="s">
        <v>40</v>
      </c>
      <c r="L4673">
        <v>2</v>
      </c>
      <c r="M4673">
        <v>1</v>
      </c>
      <c r="N4673">
        <v>1</v>
      </c>
      <c r="O4673" t="s">
        <v>21</v>
      </c>
      <c r="P4673" t="str">
        <f>TEXT(Table1[[#This Row],[order_date]],"yyyy-mm")</f>
        <v>2025-09</v>
      </c>
      <c r="Q4673">
        <f>WEEKNUM(Table1[[#This Row],[order_date]])</f>
        <v>36</v>
      </c>
      <c r="R4673">
        <f>IF(Table1[[#This Row],[order_status]]="completed",1,0)</f>
        <v>0</v>
      </c>
    </row>
    <row r="4674" spans="1:18" x14ac:dyDescent="0.35">
      <c r="A4674">
        <v>4673</v>
      </c>
      <c r="B4674" s="1">
        <v>45975</v>
      </c>
      <c r="C4674">
        <v>1590</v>
      </c>
      <c r="D4674" t="s">
        <v>41</v>
      </c>
      <c r="E4674" t="s">
        <v>23</v>
      </c>
      <c r="F4674" t="s">
        <v>24</v>
      </c>
      <c r="G4674">
        <v>1</v>
      </c>
      <c r="H4674">
        <v>2007</v>
      </c>
      <c r="I4674" t="s">
        <v>18</v>
      </c>
      <c r="J4674" t="s">
        <v>19</v>
      </c>
      <c r="K4674" t="s">
        <v>40</v>
      </c>
      <c r="L4674">
        <v>4</v>
      </c>
      <c r="M4674">
        <v>0</v>
      </c>
      <c r="N4674">
        <v>1</v>
      </c>
      <c r="O4674" t="s">
        <v>27</v>
      </c>
      <c r="P4674" t="str">
        <f>TEXT(Table1[[#This Row],[order_date]],"yyyy-mm")</f>
        <v>2025-11</v>
      </c>
      <c r="Q4674">
        <f>WEEKNUM(Table1[[#This Row],[order_date]])</f>
        <v>46</v>
      </c>
      <c r="R4674">
        <f>IF(Table1[[#This Row],[order_status]]="completed",1,0)</f>
        <v>1</v>
      </c>
    </row>
    <row r="4675" spans="1:18" x14ac:dyDescent="0.35">
      <c r="A4675">
        <v>4674</v>
      </c>
      <c r="B4675" s="1">
        <v>45934</v>
      </c>
      <c r="C4675">
        <v>1881</v>
      </c>
      <c r="D4675" t="s">
        <v>41</v>
      </c>
      <c r="E4675" t="s">
        <v>33</v>
      </c>
      <c r="F4675" t="s">
        <v>30</v>
      </c>
      <c r="G4675">
        <v>5</v>
      </c>
      <c r="H4675">
        <v>0</v>
      </c>
      <c r="I4675" t="s">
        <v>25</v>
      </c>
      <c r="J4675" t="s">
        <v>31</v>
      </c>
      <c r="K4675" t="s">
        <v>20</v>
      </c>
      <c r="L4675">
        <v>5</v>
      </c>
      <c r="M4675">
        <v>1</v>
      </c>
      <c r="N4675">
        <v>0</v>
      </c>
      <c r="O4675" t="s">
        <v>21</v>
      </c>
      <c r="P4675" t="str">
        <f>TEXT(Table1[[#This Row],[order_date]],"yyyy-mm")</f>
        <v>2025-10</v>
      </c>
      <c r="Q4675">
        <f>WEEKNUM(Table1[[#This Row],[order_date]])</f>
        <v>40</v>
      </c>
      <c r="R4675">
        <f>IF(Table1[[#This Row],[order_status]]="completed",1,0)</f>
        <v>0</v>
      </c>
    </row>
    <row r="4676" spans="1:18" x14ac:dyDescent="0.35">
      <c r="A4676">
        <v>4675</v>
      </c>
      <c r="B4676" s="1">
        <v>45902</v>
      </c>
      <c r="C4676">
        <v>1657</v>
      </c>
      <c r="D4676" t="s">
        <v>32</v>
      </c>
      <c r="E4676" t="s">
        <v>33</v>
      </c>
      <c r="F4676" t="s">
        <v>17</v>
      </c>
      <c r="G4676">
        <v>1</v>
      </c>
      <c r="H4676">
        <v>876</v>
      </c>
      <c r="I4676" t="s">
        <v>39</v>
      </c>
      <c r="J4676" t="s">
        <v>19</v>
      </c>
      <c r="K4676" t="s">
        <v>26</v>
      </c>
      <c r="L4676">
        <v>3</v>
      </c>
      <c r="M4676">
        <v>1</v>
      </c>
      <c r="N4676">
        <v>1</v>
      </c>
      <c r="O4676" t="s">
        <v>27</v>
      </c>
      <c r="P4676" t="str">
        <f>TEXT(Table1[[#This Row],[order_date]],"yyyy-mm")</f>
        <v>2025-09</v>
      </c>
      <c r="Q4676">
        <f>WEEKNUM(Table1[[#This Row],[order_date]])</f>
        <v>36</v>
      </c>
      <c r="R4676">
        <f>IF(Table1[[#This Row],[order_status]]="completed",1,0)</f>
        <v>1</v>
      </c>
    </row>
    <row r="4677" spans="1:18" x14ac:dyDescent="0.35">
      <c r="A4677">
        <v>4676</v>
      </c>
      <c r="B4677" s="1">
        <v>46019</v>
      </c>
      <c r="C4677">
        <v>1063</v>
      </c>
      <c r="D4677" t="s">
        <v>41</v>
      </c>
      <c r="E4677" t="s">
        <v>23</v>
      </c>
      <c r="F4677" t="s">
        <v>30</v>
      </c>
      <c r="G4677">
        <v>3</v>
      </c>
      <c r="H4677">
        <v>7959</v>
      </c>
      <c r="I4677" t="s">
        <v>18</v>
      </c>
      <c r="J4677" t="s">
        <v>19</v>
      </c>
      <c r="K4677" t="s">
        <v>26</v>
      </c>
      <c r="L4677">
        <v>10</v>
      </c>
      <c r="M4677">
        <v>1</v>
      </c>
      <c r="N4677">
        <v>0</v>
      </c>
      <c r="O4677" t="s">
        <v>21</v>
      </c>
      <c r="P4677" t="str">
        <f>TEXT(Table1[[#This Row],[order_date]],"yyyy-mm")</f>
        <v>2025-12</v>
      </c>
      <c r="Q4677">
        <f>WEEKNUM(Table1[[#This Row],[order_date]])</f>
        <v>53</v>
      </c>
      <c r="R4677">
        <f>IF(Table1[[#This Row],[order_status]]="completed",1,0)</f>
        <v>1</v>
      </c>
    </row>
    <row r="4678" spans="1:18" x14ac:dyDescent="0.35">
      <c r="A4678">
        <v>4677</v>
      </c>
      <c r="B4678" s="1">
        <v>45915</v>
      </c>
      <c r="C4678">
        <v>1024</v>
      </c>
      <c r="D4678" t="s">
        <v>28</v>
      </c>
      <c r="E4678" t="s">
        <v>16</v>
      </c>
      <c r="F4678" t="s">
        <v>34</v>
      </c>
      <c r="G4678">
        <v>3</v>
      </c>
      <c r="H4678">
        <v>0</v>
      </c>
      <c r="I4678" t="s">
        <v>25</v>
      </c>
      <c r="J4678" t="s">
        <v>31</v>
      </c>
      <c r="K4678" t="s">
        <v>40</v>
      </c>
      <c r="L4678">
        <v>7</v>
      </c>
      <c r="M4678">
        <v>1</v>
      </c>
      <c r="N4678">
        <v>0</v>
      </c>
      <c r="O4678" t="s">
        <v>21</v>
      </c>
      <c r="P4678" t="str">
        <f>TEXT(Table1[[#This Row],[order_date]],"yyyy-mm")</f>
        <v>2025-09</v>
      </c>
      <c r="Q4678">
        <f>WEEKNUM(Table1[[#This Row],[order_date]])</f>
        <v>38</v>
      </c>
      <c r="R4678">
        <f>IF(Table1[[#This Row],[order_status]]="completed",1,0)</f>
        <v>0</v>
      </c>
    </row>
    <row r="4679" spans="1:18" x14ac:dyDescent="0.35">
      <c r="A4679">
        <v>4678</v>
      </c>
      <c r="B4679" s="1">
        <v>45916</v>
      </c>
      <c r="C4679">
        <v>1581</v>
      </c>
      <c r="D4679" t="s">
        <v>28</v>
      </c>
      <c r="E4679" t="s">
        <v>23</v>
      </c>
      <c r="F4679" t="s">
        <v>24</v>
      </c>
      <c r="G4679">
        <v>4</v>
      </c>
      <c r="H4679">
        <v>0</v>
      </c>
      <c r="I4679" t="s">
        <v>39</v>
      </c>
      <c r="J4679" t="s">
        <v>37</v>
      </c>
      <c r="K4679" t="s">
        <v>40</v>
      </c>
      <c r="L4679">
        <v>6</v>
      </c>
      <c r="M4679">
        <v>0</v>
      </c>
      <c r="N4679">
        <v>0</v>
      </c>
      <c r="O4679" t="s">
        <v>21</v>
      </c>
      <c r="P4679" t="str">
        <f>TEXT(Table1[[#This Row],[order_date]],"yyyy-mm")</f>
        <v>2025-09</v>
      </c>
      <c r="Q4679">
        <f>WEEKNUM(Table1[[#This Row],[order_date]])</f>
        <v>38</v>
      </c>
      <c r="R4679">
        <f>IF(Table1[[#This Row],[order_status]]="completed",1,0)</f>
        <v>0</v>
      </c>
    </row>
    <row r="4680" spans="1:18" x14ac:dyDescent="0.35">
      <c r="A4680">
        <v>4679</v>
      </c>
      <c r="B4680" s="1">
        <v>45936</v>
      </c>
      <c r="C4680">
        <v>1081</v>
      </c>
      <c r="D4680" t="s">
        <v>28</v>
      </c>
      <c r="E4680" t="s">
        <v>36</v>
      </c>
      <c r="F4680" t="s">
        <v>17</v>
      </c>
      <c r="G4680">
        <v>5</v>
      </c>
      <c r="H4680">
        <v>0</v>
      </c>
      <c r="I4680" t="s">
        <v>35</v>
      </c>
      <c r="J4680" t="s">
        <v>31</v>
      </c>
      <c r="K4680" t="s">
        <v>38</v>
      </c>
      <c r="L4680">
        <v>1</v>
      </c>
      <c r="M4680">
        <v>1</v>
      </c>
      <c r="N4680">
        <v>0</v>
      </c>
      <c r="O4680" t="s">
        <v>21</v>
      </c>
      <c r="P4680" t="str">
        <f>TEXT(Table1[[#This Row],[order_date]],"yyyy-mm")</f>
        <v>2025-10</v>
      </c>
      <c r="Q4680">
        <f>WEEKNUM(Table1[[#This Row],[order_date]])</f>
        <v>41</v>
      </c>
      <c r="R4680">
        <f>IF(Table1[[#This Row],[order_status]]="completed",1,0)</f>
        <v>0</v>
      </c>
    </row>
    <row r="4681" spans="1:18" x14ac:dyDescent="0.35">
      <c r="A4681">
        <v>4680</v>
      </c>
      <c r="B4681" s="1">
        <v>45960</v>
      </c>
      <c r="C4681">
        <v>1153</v>
      </c>
      <c r="D4681" t="s">
        <v>28</v>
      </c>
      <c r="E4681" t="s">
        <v>23</v>
      </c>
      <c r="F4681" t="s">
        <v>17</v>
      </c>
      <c r="G4681">
        <v>4</v>
      </c>
      <c r="H4681">
        <v>0</v>
      </c>
      <c r="I4681" t="s">
        <v>35</v>
      </c>
      <c r="J4681" t="s">
        <v>31</v>
      </c>
      <c r="K4681" t="s">
        <v>40</v>
      </c>
      <c r="L4681">
        <v>8</v>
      </c>
      <c r="M4681">
        <v>1</v>
      </c>
      <c r="N4681">
        <v>1</v>
      </c>
      <c r="O4681" t="s">
        <v>21</v>
      </c>
      <c r="P4681" t="str">
        <f>TEXT(Table1[[#This Row],[order_date]],"yyyy-mm")</f>
        <v>2025-10</v>
      </c>
      <c r="Q4681">
        <f>WEEKNUM(Table1[[#This Row],[order_date]])</f>
        <v>44</v>
      </c>
      <c r="R4681">
        <f>IF(Table1[[#This Row],[order_status]]="completed",1,0)</f>
        <v>0</v>
      </c>
    </row>
    <row r="4682" spans="1:18" x14ac:dyDescent="0.35">
      <c r="A4682">
        <v>4681</v>
      </c>
      <c r="B4682" s="1">
        <v>46020</v>
      </c>
      <c r="C4682">
        <v>1766</v>
      </c>
      <c r="D4682" t="s">
        <v>22</v>
      </c>
      <c r="E4682" t="s">
        <v>16</v>
      </c>
      <c r="F4682" t="s">
        <v>34</v>
      </c>
      <c r="G4682">
        <v>5</v>
      </c>
      <c r="H4682">
        <v>0</v>
      </c>
      <c r="I4682" t="s">
        <v>39</v>
      </c>
      <c r="J4682" t="s">
        <v>31</v>
      </c>
      <c r="K4682" t="s">
        <v>38</v>
      </c>
      <c r="L4682">
        <v>6</v>
      </c>
      <c r="M4682">
        <v>0</v>
      </c>
      <c r="N4682">
        <v>1</v>
      </c>
      <c r="O4682" t="s">
        <v>27</v>
      </c>
      <c r="P4682" t="str">
        <f>TEXT(Table1[[#This Row],[order_date]],"yyyy-mm")</f>
        <v>2025-12</v>
      </c>
      <c r="Q4682">
        <f>WEEKNUM(Table1[[#This Row],[order_date]])</f>
        <v>53</v>
      </c>
      <c r="R4682">
        <f>IF(Table1[[#This Row],[order_status]]="completed",1,0)</f>
        <v>0</v>
      </c>
    </row>
    <row r="4683" spans="1:18" x14ac:dyDescent="0.35">
      <c r="A4683">
        <v>4682</v>
      </c>
      <c r="B4683" s="1">
        <v>45940</v>
      </c>
      <c r="C4683">
        <v>1891</v>
      </c>
      <c r="D4683" t="s">
        <v>41</v>
      </c>
      <c r="E4683" t="s">
        <v>16</v>
      </c>
      <c r="F4683" t="s">
        <v>24</v>
      </c>
      <c r="G4683">
        <v>3</v>
      </c>
      <c r="H4683">
        <v>0</v>
      </c>
      <c r="I4683" t="s">
        <v>39</v>
      </c>
      <c r="J4683" t="s">
        <v>37</v>
      </c>
      <c r="K4683" t="s">
        <v>20</v>
      </c>
      <c r="L4683">
        <v>5</v>
      </c>
      <c r="M4683">
        <v>0</v>
      </c>
      <c r="N4683">
        <v>1</v>
      </c>
      <c r="O4683" t="s">
        <v>27</v>
      </c>
      <c r="P4683" t="str">
        <f>TEXT(Table1[[#This Row],[order_date]],"yyyy-mm")</f>
        <v>2025-10</v>
      </c>
      <c r="Q4683">
        <f>WEEKNUM(Table1[[#This Row],[order_date]])</f>
        <v>41</v>
      </c>
      <c r="R4683">
        <f>IF(Table1[[#This Row],[order_status]]="completed",1,0)</f>
        <v>0</v>
      </c>
    </row>
    <row r="4684" spans="1:18" x14ac:dyDescent="0.35">
      <c r="A4684">
        <v>4683</v>
      </c>
      <c r="B4684" s="1">
        <v>45956</v>
      </c>
      <c r="C4684">
        <v>1606</v>
      </c>
      <c r="D4684" t="s">
        <v>41</v>
      </c>
      <c r="E4684" t="s">
        <v>29</v>
      </c>
      <c r="F4684" t="s">
        <v>30</v>
      </c>
      <c r="G4684">
        <v>3</v>
      </c>
      <c r="H4684">
        <v>0</v>
      </c>
      <c r="I4684" t="s">
        <v>25</v>
      </c>
      <c r="J4684" t="s">
        <v>37</v>
      </c>
      <c r="K4684" t="s">
        <v>40</v>
      </c>
      <c r="L4684">
        <v>7</v>
      </c>
      <c r="M4684">
        <v>1</v>
      </c>
      <c r="N4684">
        <v>0</v>
      </c>
      <c r="O4684" t="s">
        <v>21</v>
      </c>
      <c r="P4684" t="str">
        <f>TEXT(Table1[[#This Row],[order_date]],"yyyy-mm")</f>
        <v>2025-10</v>
      </c>
      <c r="Q4684">
        <f>WEEKNUM(Table1[[#This Row],[order_date]])</f>
        <v>44</v>
      </c>
      <c r="R4684">
        <f>IF(Table1[[#This Row],[order_status]]="completed",1,0)</f>
        <v>0</v>
      </c>
    </row>
    <row r="4685" spans="1:18" x14ac:dyDescent="0.35">
      <c r="A4685">
        <v>4684</v>
      </c>
      <c r="B4685" s="1">
        <v>45947</v>
      </c>
      <c r="C4685">
        <v>1133</v>
      </c>
      <c r="D4685" t="s">
        <v>22</v>
      </c>
      <c r="E4685" t="s">
        <v>29</v>
      </c>
      <c r="F4685" t="s">
        <v>34</v>
      </c>
      <c r="G4685">
        <v>5</v>
      </c>
      <c r="H4685">
        <v>0</v>
      </c>
      <c r="I4685" t="s">
        <v>18</v>
      </c>
      <c r="J4685" t="s">
        <v>37</v>
      </c>
      <c r="K4685" t="s">
        <v>40</v>
      </c>
      <c r="L4685">
        <v>10</v>
      </c>
      <c r="M4685">
        <v>1</v>
      </c>
      <c r="N4685">
        <v>1</v>
      </c>
      <c r="O4685" t="s">
        <v>27</v>
      </c>
      <c r="P4685" t="str">
        <f>TEXT(Table1[[#This Row],[order_date]],"yyyy-mm")</f>
        <v>2025-10</v>
      </c>
      <c r="Q4685">
        <f>WEEKNUM(Table1[[#This Row],[order_date]])</f>
        <v>42</v>
      </c>
      <c r="R4685">
        <f>IF(Table1[[#This Row],[order_status]]="completed",1,0)</f>
        <v>0</v>
      </c>
    </row>
    <row r="4686" spans="1:18" x14ac:dyDescent="0.35">
      <c r="A4686">
        <v>4685</v>
      </c>
      <c r="B4686" s="1">
        <v>45981</v>
      </c>
      <c r="C4686">
        <v>1759</v>
      </c>
      <c r="D4686" t="s">
        <v>22</v>
      </c>
      <c r="E4686" t="s">
        <v>29</v>
      </c>
      <c r="F4686" t="s">
        <v>34</v>
      </c>
      <c r="G4686">
        <v>4</v>
      </c>
      <c r="H4686">
        <v>0</v>
      </c>
      <c r="I4686" t="s">
        <v>25</v>
      </c>
      <c r="J4686" t="s">
        <v>31</v>
      </c>
      <c r="K4686" t="s">
        <v>26</v>
      </c>
      <c r="L4686">
        <v>5</v>
      </c>
      <c r="M4686">
        <v>0</v>
      </c>
      <c r="N4686">
        <v>0</v>
      </c>
      <c r="O4686" t="s">
        <v>27</v>
      </c>
      <c r="P4686" t="str">
        <f>TEXT(Table1[[#This Row],[order_date]],"yyyy-mm")</f>
        <v>2025-11</v>
      </c>
      <c r="Q4686">
        <f>WEEKNUM(Table1[[#This Row],[order_date]])</f>
        <v>47</v>
      </c>
      <c r="R4686">
        <f>IF(Table1[[#This Row],[order_status]]="completed",1,0)</f>
        <v>0</v>
      </c>
    </row>
    <row r="4687" spans="1:18" x14ac:dyDescent="0.35">
      <c r="A4687">
        <v>4686</v>
      </c>
      <c r="B4687" s="1">
        <v>45859</v>
      </c>
      <c r="C4687">
        <v>1031</v>
      </c>
      <c r="D4687" t="s">
        <v>41</v>
      </c>
      <c r="E4687" t="s">
        <v>16</v>
      </c>
      <c r="F4687" t="s">
        <v>24</v>
      </c>
      <c r="G4687">
        <v>1</v>
      </c>
      <c r="H4687">
        <v>0</v>
      </c>
      <c r="I4687" t="s">
        <v>35</v>
      </c>
      <c r="J4687" t="s">
        <v>37</v>
      </c>
      <c r="K4687" t="s">
        <v>38</v>
      </c>
      <c r="L4687">
        <v>2</v>
      </c>
      <c r="M4687">
        <v>1</v>
      </c>
      <c r="N4687">
        <v>1</v>
      </c>
      <c r="O4687" t="s">
        <v>21</v>
      </c>
      <c r="P4687" t="str">
        <f>TEXT(Table1[[#This Row],[order_date]],"yyyy-mm")</f>
        <v>2025-07</v>
      </c>
      <c r="Q4687">
        <f>WEEKNUM(Table1[[#This Row],[order_date]])</f>
        <v>30</v>
      </c>
      <c r="R4687">
        <f>IF(Table1[[#This Row],[order_status]]="completed",1,0)</f>
        <v>0</v>
      </c>
    </row>
    <row r="4688" spans="1:18" x14ac:dyDescent="0.35">
      <c r="A4688">
        <v>4687</v>
      </c>
      <c r="B4688" s="1">
        <v>45971</v>
      </c>
      <c r="C4688">
        <v>1712</v>
      </c>
      <c r="D4688" t="s">
        <v>28</v>
      </c>
      <c r="E4688" t="s">
        <v>36</v>
      </c>
      <c r="F4688" t="s">
        <v>24</v>
      </c>
      <c r="G4688">
        <v>3</v>
      </c>
      <c r="H4688">
        <v>0</v>
      </c>
      <c r="I4688" t="s">
        <v>18</v>
      </c>
      <c r="J4688" t="s">
        <v>37</v>
      </c>
      <c r="K4688" t="s">
        <v>40</v>
      </c>
      <c r="L4688">
        <v>6</v>
      </c>
      <c r="M4688">
        <v>0</v>
      </c>
      <c r="N4688">
        <v>1</v>
      </c>
      <c r="O4688" t="s">
        <v>27</v>
      </c>
      <c r="P4688" t="str">
        <f>TEXT(Table1[[#This Row],[order_date]],"yyyy-mm")</f>
        <v>2025-11</v>
      </c>
      <c r="Q4688">
        <f>WEEKNUM(Table1[[#This Row],[order_date]])</f>
        <v>46</v>
      </c>
      <c r="R4688">
        <f>IF(Table1[[#This Row],[order_status]]="completed",1,0)</f>
        <v>0</v>
      </c>
    </row>
    <row r="4689" spans="1:18" x14ac:dyDescent="0.35">
      <c r="A4689">
        <v>4688</v>
      </c>
      <c r="B4689" s="1">
        <v>46005</v>
      </c>
      <c r="C4689">
        <v>1230</v>
      </c>
      <c r="D4689" t="s">
        <v>15</v>
      </c>
      <c r="E4689" t="s">
        <v>36</v>
      </c>
      <c r="F4689" t="s">
        <v>30</v>
      </c>
      <c r="G4689">
        <v>3</v>
      </c>
      <c r="H4689">
        <v>1560</v>
      </c>
      <c r="I4689" t="s">
        <v>35</v>
      </c>
      <c r="J4689" t="s">
        <v>19</v>
      </c>
      <c r="K4689" t="s">
        <v>26</v>
      </c>
      <c r="L4689">
        <v>2</v>
      </c>
      <c r="M4689">
        <v>0</v>
      </c>
      <c r="N4689">
        <v>1</v>
      </c>
      <c r="O4689" t="s">
        <v>27</v>
      </c>
      <c r="P4689" t="str">
        <f>TEXT(Table1[[#This Row],[order_date]],"yyyy-mm")</f>
        <v>2025-12</v>
      </c>
      <c r="Q4689">
        <f>WEEKNUM(Table1[[#This Row],[order_date]])</f>
        <v>51</v>
      </c>
      <c r="R4689">
        <f>IF(Table1[[#This Row],[order_status]]="completed",1,0)</f>
        <v>1</v>
      </c>
    </row>
    <row r="4690" spans="1:18" x14ac:dyDescent="0.35">
      <c r="A4690">
        <v>4689</v>
      </c>
      <c r="B4690" s="1">
        <v>45860</v>
      </c>
      <c r="C4690">
        <v>1734</v>
      </c>
      <c r="D4690" t="s">
        <v>41</v>
      </c>
      <c r="E4690" t="s">
        <v>33</v>
      </c>
      <c r="F4690" t="s">
        <v>17</v>
      </c>
      <c r="G4690">
        <v>1</v>
      </c>
      <c r="H4690">
        <v>0</v>
      </c>
      <c r="I4690" t="s">
        <v>39</v>
      </c>
      <c r="J4690" t="s">
        <v>31</v>
      </c>
      <c r="K4690" t="s">
        <v>38</v>
      </c>
      <c r="L4690">
        <v>6</v>
      </c>
      <c r="M4690">
        <v>0</v>
      </c>
      <c r="N4690">
        <v>0</v>
      </c>
      <c r="O4690" t="s">
        <v>21</v>
      </c>
      <c r="P4690" t="str">
        <f>TEXT(Table1[[#This Row],[order_date]],"yyyy-mm")</f>
        <v>2025-07</v>
      </c>
      <c r="Q4690">
        <f>WEEKNUM(Table1[[#This Row],[order_date]])</f>
        <v>30</v>
      </c>
      <c r="R4690">
        <f>IF(Table1[[#This Row],[order_status]]="completed",1,0)</f>
        <v>0</v>
      </c>
    </row>
    <row r="4691" spans="1:18" x14ac:dyDescent="0.35">
      <c r="A4691">
        <v>4690</v>
      </c>
      <c r="B4691" s="1">
        <v>46028</v>
      </c>
      <c r="C4691">
        <v>1236</v>
      </c>
      <c r="D4691" t="s">
        <v>15</v>
      </c>
      <c r="E4691" t="s">
        <v>23</v>
      </c>
      <c r="F4691" t="s">
        <v>24</v>
      </c>
      <c r="G4691">
        <v>5</v>
      </c>
      <c r="H4691">
        <v>0</v>
      </c>
      <c r="I4691" t="s">
        <v>25</v>
      </c>
      <c r="J4691" t="s">
        <v>31</v>
      </c>
      <c r="K4691" t="s">
        <v>26</v>
      </c>
      <c r="L4691">
        <v>7</v>
      </c>
      <c r="M4691">
        <v>1</v>
      </c>
      <c r="N4691">
        <v>1</v>
      </c>
      <c r="O4691" t="s">
        <v>21</v>
      </c>
      <c r="P4691" t="str">
        <f>TEXT(Table1[[#This Row],[order_date]],"yyyy-mm")</f>
        <v>2026-01</v>
      </c>
      <c r="Q4691">
        <f>WEEKNUM(Table1[[#This Row],[order_date]])</f>
        <v>2</v>
      </c>
      <c r="R4691">
        <f>IF(Table1[[#This Row],[order_status]]="completed",1,0)</f>
        <v>0</v>
      </c>
    </row>
    <row r="4692" spans="1:18" x14ac:dyDescent="0.35">
      <c r="A4692">
        <v>4691</v>
      </c>
      <c r="B4692" s="1">
        <v>45986</v>
      </c>
      <c r="C4692">
        <v>1640</v>
      </c>
      <c r="D4692" t="s">
        <v>22</v>
      </c>
      <c r="E4692" t="s">
        <v>23</v>
      </c>
      <c r="F4692" t="s">
        <v>34</v>
      </c>
      <c r="G4692">
        <v>4</v>
      </c>
      <c r="H4692">
        <v>17732</v>
      </c>
      <c r="I4692" t="s">
        <v>35</v>
      </c>
      <c r="J4692" t="s">
        <v>19</v>
      </c>
      <c r="K4692" t="s">
        <v>26</v>
      </c>
      <c r="L4692">
        <v>2</v>
      </c>
      <c r="M4692">
        <v>1</v>
      </c>
      <c r="N4692">
        <v>0</v>
      </c>
      <c r="O4692" t="s">
        <v>21</v>
      </c>
      <c r="P4692" t="str">
        <f>TEXT(Table1[[#This Row],[order_date]],"yyyy-mm")</f>
        <v>2025-11</v>
      </c>
      <c r="Q4692">
        <f>WEEKNUM(Table1[[#This Row],[order_date]])</f>
        <v>48</v>
      </c>
      <c r="R4692">
        <f>IF(Table1[[#This Row],[order_status]]="completed",1,0)</f>
        <v>1</v>
      </c>
    </row>
    <row r="4693" spans="1:18" x14ac:dyDescent="0.35">
      <c r="A4693">
        <v>4692</v>
      </c>
      <c r="B4693" s="1">
        <v>45885</v>
      </c>
      <c r="C4693">
        <v>1766</v>
      </c>
      <c r="D4693" t="s">
        <v>22</v>
      </c>
      <c r="E4693" t="s">
        <v>29</v>
      </c>
      <c r="F4693" t="s">
        <v>17</v>
      </c>
      <c r="G4693">
        <v>5</v>
      </c>
      <c r="H4693">
        <v>0</v>
      </c>
      <c r="I4693" t="s">
        <v>18</v>
      </c>
      <c r="J4693" t="s">
        <v>37</v>
      </c>
      <c r="K4693" t="s">
        <v>20</v>
      </c>
      <c r="L4693">
        <v>2</v>
      </c>
      <c r="M4693">
        <v>1</v>
      </c>
      <c r="N4693">
        <v>0</v>
      </c>
      <c r="O4693" t="s">
        <v>27</v>
      </c>
      <c r="P4693" t="str">
        <f>TEXT(Table1[[#This Row],[order_date]],"yyyy-mm")</f>
        <v>2025-08</v>
      </c>
      <c r="Q4693">
        <f>WEEKNUM(Table1[[#This Row],[order_date]])</f>
        <v>33</v>
      </c>
      <c r="R4693">
        <f>IF(Table1[[#This Row],[order_status]]="completed",1,0)</f>
        <v>0</v>
      </c>
    </row>
    <row r="4694" spans="1:18" x14ac:dyDescent="0.35">
      <c r="A4694">
        <v>4693</v>
      </c>
      <c r="B4694" s="1">
        <v>45875</v>
      </c>
      <c r="C4694">
        <v>1196</v>
      </c>
      <c r="D4694" t="s">
        <v>28</v>
      </c>
      <c r="E4694" t="s">
        <v>33</v>
      </c>
      <c r="F4694" t="s">
        <v>24</v>
      </c>
      <c r="G4694">
        <v>2</v>
      </c>
      <c r="H4694">
        <v>0</v>
      </c>
      <c r="I4694" t="s">
        <v>18</v>
      </c>
      <c r="J4694" t="s">
        <v>37</v>
      </c>
      <c r="K4694" t="s">
        <v>20</v>
      </c>
      <c r="L4694">
        <v>3</v>
      </c>
      <c r="M4694">
        <v>0</v>
      </c>
      <c r="N4694">
        <v>0</v>
      </c>
      <c r="O4694" t="s">
        <v>27</v>
      </c>
      <c r="P4694" t="str">
        <f>TEXT(Table1[[#This Row],[order_date]],"yyyy-mm")</f>
        <v>2025-08</v>
      </c>
      <c r="Q4694">
        <f>WEEKNUM(Table1[[#This Row],[order_date]])</f>
        <v>32</v>
      </c>
      <c r="R4694">
        <f>IF(Table1[[#This Row],[order_status]]="completed",1,0)</f>
        <v>0</v>
      </c>
    </row>
    <row r="4695" spans="1:18" x14ac:dyDescent="0.35">
      <c r="A4695">
        <v>4694</v>
      </c>
      <c r="B4695" s="1">
        <v>46003</v>
      </c>
      <c r="C4695">
        <v>1446</v>
      </c>
      <c r="D4695" t="s">
        <v>32</v>
      </c>
      <c r="E4695" t="s">
        <v>16</v>
      </c>
      <c r="F4695" t="s">
        <v>30</v>
      </c>
      <c r="G4695">
        <v>5</v>
      </c>
      <c r="H4695">
        <v>0</v>
      </c>
      <c r="I4695" t="s">
        <v>18</v>
      </c>
      <c r="J4695" t="s">
        <v>31</v>
      </c>
      <c r="K4695" t="s">
        <v>38</v>
      </c>
      <c r="L4695">
        <v>4</v>
      </c>
      <c r="M4695">
        <v>1</v>
      </c>
      <c r="N4695">
        <v>0</v>
      </c>
      <c r="O4695" t="s">
        <v>27</v>
      </c>
      <c r="P4695" t="str">
        <f>TEXT(Table1[[#This Row],[order_date]],"yyyy-mm")</f>
        <v>2025-12</v>
      </c>
      <c r="Q4695">
        <f>WEEKNUM(Table1[[#This Row],[order_date]])</f>
        <v>50</v>
      </c>
      <c r="R4695">
        <f>IF(Table1[[#This Row],[order_status]]="completed",1,0)</f>
        <v>0</v>
      </c>
    </row>
    <row r="4696" spans="1:18" x14ac:dyDescent="0.35">
      <c r="A4696">
        <v>4695</v>
      </c>
      <c r="B4696" s="1">
        <v>45918</v>
      </c>
      <c r="C4696">
        <v>1227</v>
      </c>
      <c r="D4696" t="s">
        <v>41</v>
      </c>
      <c r="E4696" t="s">
        <v>16</v>
      </c>
      <c r="F4696" t="s">
        <v>17</v>
      </c>
      <c r="G4696">
        <v>4</v>
      </c>
      <c r="H4696">
        <v>0</v>
      </c>
      <c r="I4696" t="s">
        <v>35</v>
      </c>
      <c r="J4696" t="s">
        <v>31</v>
      </c>
      <c r="K4696" t="s">
        <v>38</v>
      </c>
      <c r="L4696">
        <v>10</v>
      </c>
      <c r="M4696">
        <v>0</v>
      </c>
      <c r="N4696">
        <v>1</v>
      </c>
      <c r="O4696" t="s">
        <v>27</v>
      </c>
      <c r="P4696" t="str">
        <f>TEXT(Table1[[#This Row],[order_date]],"yyyy-mm")</f>
        <v>2025-09</v>
      </c>
      <c r="Q4696">
        <f>WEEKNUM(Table1[[#This Row],[order_date]])</f>
        <v>38</v>
      </c>
      <c r="R4696">
        <f>IF(Table1[[#This Row],[order_status]]="completed",1,0)</f>
        <v>0</v>
      </c>
    </row>
    <row r="4697" spans="1:18" x14ac:dyDescent="0.35">
      <c r="A4697">
        <v>4696</v>
      </c>
      <c r="B4697" s="1">
        <v>46017</v>
      </c>
      <c r="C4697">
        <v>1579</v>
      </c>
      <c r="D4697" t="s">
        <v>22</v>
      </c>
      <c r="E4697" t="s">
        <v>33</v>
      </c>
      <c r="F4697" t="s">
        <v>34</v>
      </c>
      <c r="G4697">
        <v>5</v>
      </c>
      <c r="H4697">
        <v>0</v>
      </c>
      <c r="I4697" t="s">
        <v>39</v>
      </c>
      <c r="J4697" t="s">
        <v>37</v>
      </c>
      <c r="K4697" t="s">
        <v>20</v>
      </c>
      <c r="L4697">
        <v>7</v>
      </c>
      <c r="M4697">
        <v>1</v>
      </c>
      <c r="N4697">
        <v>1</v>
      </c>
      <c r="O4697" t="s">
        <v>27</v>
      </c>
      <c r="P4697" t="str">
        <f>TEXT(Table1[[#This Row],[order_date]],"yyyy-mm")</f>
        <v>2025-12</v>
      </c>
      <c r="Q4697">
        <f>WEEKNUM(Table1[[#This Row],[order_date]])</f>
        <v>52</v>
      </c>
      <c r="R4697">
        <f>IF(Table1[[#This Row],[order_status]]="completed",1,0)</f>
        <v>0</v>
      </c>
    </row>
    <row r="4698" spans="1:18" x14ac:dyDescent="0.35">
      <c r="A4698">
        <v>4697</v>
      </c>
      <c r="B4698" s="1">
        <v>45981</v>
      </c>
      <c r="C4698">
        <v>1154</v>
      </c>
      <c r="D4698" t="s">
        <v>28</v>
      </c>
      <c r="E4698" t="s">
        <v>36</v>
      </c>
      <c r="F4698" t="s">
        <v>30</v>
      </c>
      <c r="G4698">
        <v>3</v>
      </c>
      <c r="H4698">
        <v>960</v>
      </c>
      <c r="I4698" t="s">
        <v>35</v>
      </c>
      <c r="J4698" t="s">
        <v>19</v>
      </c>
      <c r="K4698" t="s">
        <v>38</v>
      </c>
      <c r="L4698">
        <v>9</v>
      </c>
      <c r="M4698">
        <v>0</v>
      </c>
      <c r="N4698">
        <v>0</v>
      </c>
      <c r="O4698" t="s">
        <v>21</v>
      </c>
      <c r="P4698" t="str">
        <f>TEXT(Table1[[#This Row],[order_date]],"yyyy-mm")</f>
        <v>2025-11</v>
      </c>
      <c r="Q4698">
        <f>WEEKNUM(Table1[[#This Row],[order_date]])</f>
        <v>47</v>
      </c>
      <c r="R4698">
        <f>IF(Table1[[#This Row],[order_status]]="completed",1,0)</f>
        <v>1</v>
      </c>
    </row>
    <row r="4699" spans="1:18" x14ac:dyDescent="0.35">
      <c r="A4699">
        <v>4698</v>
      </c>
      <c r="B4699" s="1">
        <v>45969</v>
      </c>
      <c r="C4699">
        <v>1026</v>
      </c>
      <c r="D4699" t="s">
        <v>41</v>
      </c>
      <c r="E4699" t="s">
        <v>36</v>
      </c>
      <c r="F4699" t="s">
        <v>30</v>
      </c>
      <c r="G4699">
        <v>3</v>
      </c>
      <c r="H4699">
        <v>0</v>
      </c>
      <c r="I4699" t="s">
        <v>35</v>
      </c>
      <c r="J4699" t="s">
        <v>37</v>
      </c>
      <c r="K4699" t="s">
        <v>26</v>
      </c>
      <c r="L4699">
        <v>4</v>
      </c>
      <c r="M4699">
        <v>1</v>
      </c>
      <c r="N4699">
        <v>0</v>
      </c>
      <c r="O4699" t="s">
        <v>21</v>
      </c>
      <c r="P4699" t="str">
        <f>TEXT(Table1[[#This Row],[order_date]],"yyyy-mm")</f>
        <v>2025-11</v>
      </c>
      <c r="Q4699">
        <f>WEEKNUM(Table1[[#This Row],[order_date]])</f>
        <v>45</v>
      </c>
      <c r="R4699">
        <f>IF(Table1[[#This Row],[order_status]]="completed",1,0)</f>
        <v>0</v>
      </c>
    </row>
    <row r="4700" spans="1:18" x14ac:dyDescent="0.35">
      <c r="A4700">
        <v>4699</v>
      </c>
      <c r="B4700" s="1">
        <v>45991</v>
      </c>
      <c r="C4700">
        <v>1588</v>
      </c>
      <c r="D4700" t="s">
        <v>22</v>
      </c>
      <c r="E4700" t="s">
        <v>16</v>
      </c>
      <c r="F4700" t="s">
        <v>34</v>
      </c>
      <c r="G4700">
        <v>3</v>
      </c>
      <c r="H4700">
        <v>0</v>
      </c>
      <c r="I4700" t="s">
        <v>35</v>
      </c>
      <c r="J4700" t="s">
        <v>37</v>
      </c>
      <c r="K4700" t="s">
        <v>38</v>
      </c>
      <c r="L4700">
        <v>7</v>
      </c>
      <c r="M4700">
        <v>1</v>
      </c>
      <c r="N4700">
        <v>1</v>
      </c>
      <c r="O4700" t="s">
        <v>27</v>
      </c>
      <c r="P4700" t="str">
        <f>TEXT(Table1[[#This Row],[order_date]],"yyyy-mm")</f>
        <v>2025-11</v>
      </c>
      <c r="Q4700">
        <f>WEEKNUM(Table1[[#This Row],[order_date]])</f>
        <v>49</v>
      </c>
      <c r="R4700">
        <f>IF(Table1[[#This Row],[order_status]]="completed",1,0)</f>
        <v>0</v>
      </c>
    </row>
    <row r="4701" spans="1:18" x14ac:dyDescent="0.35">
      <c r="A4701">
        <v>4700</v>
      </c>
      <c r="B4701" s="1">
        <v>46024</v>
      </c>
      <c r="C4701">
        <v>1925</v>
      </c>
      <c r="D4701" t="s">
        <v>32</v>
      </c>
      <c r="E4701" t="s">
        <v>29</v>
      </c>
      <c r="F4701" t="s">
        <v>24</v>
      </c>
      <c r="G4701">
        <v>5</v>
      </c>
      <c r="H4701">
        <v>0</v>
      </c>
      <c r="I4701" t="s">
        <v>25</v>
      </c>
      <c r="J4701" t="s">
        <v>31</v>
      </c>
      <c r="K4701" t="s">
        <v>20</v>
      </c>
      <c r="L4701">
        <v>10</v>
      </c>
      <c r="M4701">
        <v>1</v>
      </c>
      <c r="N4701">
        <v>0</v>
      </c>
      <c r="O4701" t="s">
        <v>21</v>
      </c>
      <c r="P4701" t="str">
        <f>TEXT(Table1[[#This Row],[order_date]],"yyyy-mm")</f>
        <v>2026-01</v>
      </c>
      <c r="Q4701">
        <f>WEEKNUM(Table1[[#This Row],[order_date]])</f>
        <v>1</v>
      </c>
      <c r="R4701">
        <f>IF(Table1[[#This Row],[order_status]]="completed",1,0)</f>
        <v>0</v>
      </c>
    </row>
    <row r="4702" spans="1:18" x14ac:dyDescent="0.35">
      <c r="A4702">
        <v>4701</v>
      </c>
      <c r="B4702" s="1">
        <v>45956</v>
      </c>
      <c r="C4702">
        <v>1047</v>
      </c>
      <c r="D4702" t="s">
        <v>32</v>
      </c>
      <c r="E4702" t="s">
        <v>33</v>
      </c>
      <c r="F4702" t="s">
        <v>17</v>
      </c>
      <c r="G4702">
        <v>4</v>
      </c>
      <c r="H4702">
        <v>0</v>
      </c>
      <c r="I4702" t="s">
        <v>25</v>
      </c>
      <c r="J4702" t="s">
        <v>37</v>
      </c>
      <c r="K4702" t="s">
        <v>38</v>
      </c>
      <c r="L4702">
        <v>10</v>
      </c>
      <c r="M4702">
        <v>1</v>
      </c>
      <c r="N4702">
        <v>1</v>
      </c>
      <c r="O4702" t="s">
        <v>21</v>
      </c>
      <c r="P4702" t="str">
        <f>TEXT(Table1[[#This Row],[order_date]],"yyyy-mm")</f>
        <v>2025-10</v>
      </c>
      <c r="Q4702">
        <f>WEEKNUM(Table1[[#This Row],[order_date]])</f>
        <v>44</v>
      </c>
      <c r="R4702">
        <f>IF(Table1[[#This Row],[order_status]]="completed",1,0)</f>
        <v>0</v>
      </c>
    </row>
    <row r="4703" spans="1:18" x14ac:dyDescent="0.35">
      <c r="A4703">
        <v>4702</v>
      </c>
      <c r="B4703" s="1">
        <v>46002</v>
      </c>
      <c r="C4703">
        <v>1957</v>
      </c>
      <c r="D4703" t="s">
        <v>32</v>
      </c>
      <c r="E4703" t="s">
        <v>29</v>
      </c>
      <c r="F4703" t="s">
        <v>17</v>
      </c>
      <c r="G4703">
        <v>2</v>
      </c>
      <c r="H4703">
        <v>1230</v>
      </c>
      <c r="I4703" t="s">
        <v>18</v>
      </c>
      <c r="J4703" t="s">
        <v>19</v>
      </c>
      <c r="K4703" t="s">
        <v>20</v>
      </c>
      <c r="L4703">
        <v>4</v>
      </c>
      <c r="M4703">
        <v>0</v>
      </c>
      <c r="N4703">
        <v>1</v>
      </c>
      <c r="O4703" t="s">
        <v>21</v>
      </c>
      <c r="P4703" t="str">
        <f>TEXT(Table1[[#This Row],[order_date]],"yyyy-mm")</f>
        <v>2025-12</v>
      </c>
      <c r="Q4703">
        <f>WEEKNUM(Table1[[#This Row],[order_date]])</f>
        <v>50</v>
      </c>
      <c r="R4703">
        <f>IF(Table1[[#This Row],[order_status]]="completed",1,0)</f>
        <v>1</v>
      </c>
    </row>
    <row r="4704" spans="1:18" x14ac:dyDescent="0.35">
      <c r="A4704">
        <v>4703</v>
      </c>
      <c r="B4704" s="1">
        <v>45971</v>
      </c>
      <c r="C4704">
        <v>1873</v>
      </c>
      <c r="D4704" t="s">
        <v>41</v>
      </c>
      <c r="E4704" t="s">
        <v>29</v>
      </c>
      <c r="F4704" t="s">
        <v>30</v>
      </c>
      <c r="G4704">
        <v>2</v>
      </c>
      <c r="H4704">
        <v>0</v>
      </c>
      <c r="I4704" t="s">
        <v>39</v>
      </c>
      <c r="J4704" t="s">
        <v>37</v>
      </c>
      <c r="K4704" t="s">
        <v>40</v>
      </c>
      <c r="L4704">
        <v>9</v>
      </c>
      <c r="M4704">
        <v>0</v>
      </c>
      <c r="N4704">
        <v>0</v>
      </c>
      <c r="O4704" t="s">
        <v>21</v>
      </c>
      <c r="P4704" t="str">
        <f>TEXT(Table1[[#This Row],[order_date]],"yyyy-mm")</f>
        <v>2025-11</v>
      </c>
      <c r="Q4704">
        <f>WEEKNUM(Table1[[#This Row],[order_date]])</f>
        <v>46</v>
      </c>
      <c r="R4704">
        <f>IF(Table1[[#This Row],[order_status]]="completed",1,0)</f>
        <v>0</v>
      </c>
    </row>
    <row r="4705" spans="1:18" x14ac:dyDescent="0.35">
      <c r="A4705">
        <v>4704</v>
      </c>
      <c r="B4705" s="1">
        <v>45877</v>
      </c>
      <c r="C4705">
        <v>1056</v>
      </c>
      <c r="D4705" t="s">
        <v>41</v>
      </c>
      <c r="E4705" t="s">
        <v>23</v>
      </c>
      <c r="F4705" t="s">
        <v>24</v>
      </c>
      <c r="G4705">
        <v>4</v>
      </c>
      <c r="H4705">
        <v>0</v>
      </c>
      <c r="I4705" t="s">
        <v>18</v>
      </c>
      <c r="J4705" t="s">
        <v>37</v>
      </c>
      <c r="K4705" t="s">
        <v>38</v>
      </c>
      <c r="L4705">
        <v>4</v>
      </c>
      <c r="M4705">
        <v>1</v>
      </c>
      <c r="N4705">
        <v>0</v>
      </c>
      <c r="O4705" t="s">
        <v>21</v>
      </c>
      <c r="P4705" t="str">
        <f>TEXT(Table1[[#This Row],[order_date]],"yyyy-mm")</f>
        <v>2025-08</v>
      </c>
      <c r="Q4705">
        <f>WEEKNUM(Table1[[#This Row],[order_date]])</f>
        <v>32</v>
      </c>
      <c r="R4705">
        <f>IF(Table1[[#This Row],[order_status]]="completed",1,0)</f>
        <v>0</v>
      </c>
    </row>
    <row r="4706" spans="1:18" x14ac:dyDescent="0.35">
      <c r="A4706">
        <v>4705</v>
      </c>
      <c r="B4706" s="1">
        <v>45952</v>
      </c>
      <c r="C4706">
        <v>1074</v>
      </c>
      <c r="D4706" t="s">
        <v>28</v>
      </c>
      <c r="E4706" t="s">
        <v>36</v>
      </c>
      <c r="F4706" t="s">
        <v>34</v>
      </c>
      <c r="G4706">
        <v>5</v>
      </c>
      <c r="H4706">
        <v>0</v>
      </c>
      <c r="I4706" t="s">
        <v>18</v>
      </c>
      <c r="J4706" t="s">
        <v>31</v>
      </c>
      <c r="K4706" t="s">
        <v>20</v>
      </c>
      <c r="L4706">
        <v>4</v>
      </c>
      <c r="M4706">
        <v>0</v>
      </c>
      <c r="N4706">
        <v>0</v>
      </c>
      <c r="O4706" t="s">
        <v>21</v>
      </c>
      <c r="P4706" t="str">
        <f>TEXT(Table1[[#This Row],[order_date]],"yyyy-mm")</f>
        <v>2025-10</v>
      </c>
      <c r="Q4706">
        <f>WEEKNUM(Table1[[#This Row],[order_date]])</f>
        <v>43</v>
      </c>
      <c r="R4706">
        <f>IF(Table1[[#This Row],[order_status]]="completed",1,0)</f>
        <v>0</v>
      </c>
    </row>
    <row r="4707" spans="1:18" x14ac:dyDescent="0.35">
      <c r="A4707">
        <v>4706</v>
      </c>
      <c r="B4707" s="1">
        <v>45907</v>
      </c>
      <c r="C4707">
        <v>1160</v>
      </c>
      <c r="D4707" t="s">
        <v>41</v>
      </c>
      <c r="E4707" t="s">
        <v>16</v>
      </c>
      <c r="F4707" t="s">
        <v>34</v>
      </c>
      <c r="G4707">
        <v>2</v>
      </c>
      <c r="H4707">
        <v>0</v>
      </c>
      <c r="I4707" t="s">
        <v>39</v>
      </c>
      <c r="J4707" t="s">
        <v>37</v>
      </c>
      <c r="K4707" t="s">
        <v>26</v>
      </c>
      <c r="L4707">
        <v>2</v>
      </c>
      <c r="M4707">
        <v>0</v>
      </c>
      <c r="N4707">
        <v>0</v>
      </c>
      <c r="O4707" t="s">
        <v>27</v>
      </c>
      <c r="P4707" t="str">
        <f>TEXT(Table1[[#This Row],[order_date]],"yyyy-mm")</f>
        <v>2025-09</v>
      </c>
      <c r="Q4707">
        <f>WEEKNUM(Table1[[#This Row],[order_date]])</f>
        <v>37</v>
      </c>
      <c r="R4707">
        <f>IF(Table1[[#This Row],[order_status]]="completed",1,0)</f>
        <v>0</v>
      </c>
    </row>
    <row r="4708" spans="1:18" x14ac:dyDescent="0.35">
      <c r="A4708">
        <v>4707</v>
      </c>
      <c r="B4708" s="1">
        <v>46030</v>
      </c>
      <c r="C4708">
        <v>1818</v>
      </c>
      <c r="D4708" t="s">
        <v>41</v>
      </c>
      <c r="E4708" t="s">
        <v>16</v>
      </c>
      <c r="F4708" t="s">
        <v>30</v>
      </c>
      <c r="G4708">
        <v>1</v>
      </c>
      <c r="H4708">
        <v>973</v>
      </c>
      <c r="I4708" t="s">
        <v>25</v>
      </c>
      <c r="J4708" t="s">
        <v>19</v>
      </c>
      <c r="K4708" t="s">
        <v>20</v>
      </c>
      <c r="L4708">
        <v>7</v>
      </c>
      <c r="M4708">
        <v>1</v>
      </c>
      <c r="N4708">
        <v>1</v>
      </c>
      <c r="O4708" t="s">
        <v>27</v>
      </c>
      <c r="P4708" t="str">
        <f>TEXT(Table1[[#This Row],[order_date]],"yyyy-mm")</f>
        <v>2026-01</v>
      </c>
      <c r="Q4708">
        <f>WEEKNUM(Table1[[#This Row],[order_date]])</f>
        <v>2</v>
      </c>
      <c r="R4708">
        <f>IF(Table1[[#This Row],[order_status]]="completed",1,0)</f>
        <v>1</v>
      </c>
    </row>
    <row r="4709" spans="1:18" x14ac:dyDescent="0.35">
      <c r="A4709">
        <v>4708</v>
      </c>
      <c r="B4709" s="1">
        <v>45950</v>
      </c>
      <c r="C4709">
        <v>1530</v>
      </c>
      <c r="D4709" t="s">
        <v>41</v>
      </c>
      <c r="E4709" t="s">
        <v>16</v>
      </c>
      <c r="F4709" t="s">
        <v>30</v>
      </c>
      <c r="G4709">
        <v>3</v>
      </c>
      <c r="H4709">
        <v>6756</v>
      </c>
      <c r="I4709" t="s">
        <v>18</v>
      </c>
      <c r="J4709" t="s">
        <v>19</v>
      </c>
      <c r="K4709" t="s">
        <v>38</v>
      </c>
      <c r="L4709">
        <v>5</v>
      </c>
      <c r="M4709">
        <v>0</v>
      </c>
      <c r="N4709">
        <v>1</v>
      </c>
      <c r="O4709" t="s">
        <v>21</v>
      </c>
      <c r="P4709" t="str">
        <f>TEXT(Table1[[#This Row],[order_date]],"yyyy-mm")</f>
        <v>2025-10</v>
      </c>
      <c r="Q4709">
        <f>WEEKNUM(Table1[[#This Row],[order_date]])</f>
        <v>43</v>
      </c>
      <c r="R4709">
        <f>IF(Table1[[#This Row],[order_status]]="completed",1,0)</f>
        <v>1</v>
      </c>
    </row>
    <row r="4710" spans="1:18" x14ac:dyDescent="0.35">
      <c r="A4710">
        <v>4709</v>
      </c>
      <c r="B4710" s="1">
        <v>45880</v>
      </c>
      <c r="C4710">
        <v>1809</v>
      </c>
      <c r="D4710" t="s">
        <v>32</v>
      </c>
      <c r="E4710" t="s">
        <v>23</v>
      </c>
      <c r="F4710" t="s">
        <v>34</v>
      </c>
      <c r="G4710">
        <v>3</v>
      </c>
      <c r="H4710">
        <v>0</v>
      </c>
      <c r="I4710" t="s">
        <v>25</v>
      </c>
      <c r="J4710" t="s">
        <v>31</v>
      </c>
      <c r="K4710" t="s">
        <v>20</v>
      </c>
      <c r="L4710">
        <v>3</v>
      </c>
      <c r="M4710">
        <v>0</v>
      </c>
      <c r="N4710">
        <v>0</v>
      </c>
      <c r="O4710" t="s">
        <v>21</v>
      </c>
      <c r="P4710" t="str">
        <f>TEXT(Table1[[#This Row],[order_date]],"yyyy-mm")</f>
        <v>2025-08</v>
      </c>
      <c r="Q4710">
        <f>WEEKNUM(Table1[[#This Row],[order_date]])</f>
        <v>33</v>
      </c>
      <c r="R4710">
        <f>IF(Table1[[#This Row],[order_status]]="completed",1,0)</f>
        <v>0</v>
      </c>
    </row>
    <row r="4711" spans="1:18" x14ac:dyDescent="0.35">
      <c r="A4711">
        <v>4710</v>
      </c>
      <c r="B4711" s="1">
        <v>45973</v>
      </c>
      <c r="C4711">
        <v>1460</v>
      </c>
      <c r="D4711" t="s">
        <v>15</v>
      </c>
      <c r="E4711" t="s">
        <v>33</v>
      </c>
      <c r="F4711" t="s">
        <v>34</v>
      </c>
      <c r="G4711">
        <v>4</v>
      </c>
      <c r="H4711">
        <v>0</v>
      </c>
      <c r="I4711" t="s">
        <v>25</v>
      </c>
      <c r="J4711" t="s">
        <v>37</v>
      </c>
      <c r="K4711" t="s">
        <v>40</v>
      </c>
      <c r="L4711">
        <v>1</v>
      </c>
      <c r="M4711">
        <v>1</v>
      </c>
      <c r="N4711">
        <v>0</v>
      </c>
      <c r="O4711" t="s">
        <v>27</v>
      </c>
      <c r="P4711" t="str">
        <f>TEXT(Table1[[#This Row],[order_date]],"yyyy-mm")</f>
        <v>2025-11</v>
      </c>
      <c r="Q4711">
        <f>WEEKNUM(Table1[[#This Row],[order_date]])</f>
        <v>46</v>
      </c>
      <c r="R4711">
        <f>IF(Table1[[#This Row],[order_status]]="completed",1,0)</f>
        <v>0</v>
      </c>
    </row>
    <row r="4712" spans="1:18" x14ac:dyDescent="0.35">
      <c r="A4712">
        <v>4711</v>
      </c>
      <c r="B4712" s="1">
        <v>45943</v>
      </c>
      <c r="C4712">
        <v>1423</v>
      </c>
      <c r="D4712" t="s">
        <v>15</v>
      </c>
      <c r="E4712" t="s">
        <v>23</v>
      </c>
      <c r="F4712" t="s">
        <v>30</v>
      </c>
      <c r="G4712">
        <v>3</v>
      </c>
      <c r="H4712">
        <v>0</v>
      </c>
      <c r="I4712" t="s">
        <v>39</v>
      </c>
      <c r="J4712" t="s">
        <v>37</v>
      </c>
      <c r="K4712" t="s">
        <v>20</v>
      </c>
      <c r="L4712">
        <v>9</v>
      </c>
      <c r="M4712">
        <v>1</v>
      </c>
      <c r="N4712">
        <v>0</v>
      </c>
      <c r="O4712" t="s">
        <v>21</v>
      </c>
      <c r="P4712" t="str">
        <f>TEXT(Table1[[#This Row],[order_date]],"yyyy-mm")</f>
        <v>2025-10</v>
      </c>
      <c r="Q4712">
        <f>WEEKNUM(Table1[[#This Row],[order_date]])</f>
        <v>42</v>
      </c>
      <c r="R4712">
        <f>IF(Table1[[#This Row],[order_status]]="completed",1,0)</f>
        <v>0</v>
      </c>
    </row>
    <row r="4713" spans="1:18" x14ac:dyDescent="0.35">
      <c r="A4713">
        <v>4712</v>
      </c>
      <c r="B4713" s="1">
        <v>46029</v>
      </c>
      <c r="C4713">
        <v>1641</v>
      </c>
      <c r="D4713" t="s">
        <v>28</v>
      </c>
      <c r="E4713" t="s">
        <v>23</v>
      </c>
      <c r="F4713" t="s">
        <v>34</v>
      </c>
      <c r="G4713">
        <v>3</v>
      </c>
      <c r="H4713">
        <v>0</v>
      </c>
      <c r="I4713" t="s">
        <v>25</v>
      </c>
      <c r="J4713" t="s">
        <v>31</v>
      </c>
      <c r="K4713" t="s">
        <v>40</v>
      </c>
      <c r="L4713">
        <v>1</v>
      </c>
      <c r="M4713">
        <v>0</v>
      </c>
      <c r="N4713">
        <v>0</v>
      </c>
      <c r="O4713" t="s">
        <v>21</v>
      </c>
      <c r="P4713" t="str">
        <f>TEXT(Table1[[#This Row],[order_date]],"yyyy-mm")</f>
        <v>2026-01</v>
      </c>
      <c r="Q4713">
        <f>WEEKNUM(Table1[[#This Row],[order_date]])</f>
        <v>2</v>
      </c>
      <c r="R4713">
        <f>IF(Table1[[#This Row],[order_status]]="completed",1,0)</f>
        <v>0</v>
      </c>
    </row>
    <row r="4714" spans="1:18" x14ac:dyDescent="0.35">
      <c r="A4714">
        <v>4713</v>
      </c>
      <c r="B4714" s="1">
        <v>45920</v>
      </c>
      <c r="C4714">
        <v>1655</v>
      </c>
      <c r="D4714" t="s">
        <v>32</v>
      </c>
      <c r="E4714" t="s">
        <v>36</v>
      </c>
      <c r="F4714" t="s">
        <v>17</v>
      </c>
      <c r="G4714">
        <v>2</v>
      </c>
      <c r="H4714">
        <v>0</v>
      </c>
      <c r="I4714" t="s">
        <v>18</v>
      </c>
      <c r="J4714" t="s">
        <v>37</v>
      </c>
      <c r="K4714" t="s">
        <v>38</v>
      </c>
      <c r="L4714">
        <v>6</v>
      </c>
      <c r="M4714">
        <v>0</v>
      </c>
      <c r="N4714">
        <v>0</v>
      </c>
      <c r="O4714" t="s">
        <v>21</v>
      </c>
      <c r="P4714" t="str">
        <f>TEXT(Table1[[#This Row],[order_date]],"yyyy-mm")</f>
        <v>2025-09</v>
      </c>
      <c r="Q4714">
        <f>WEEKNUM(Table1[[#This Row],[order_date]])</f>
        <v>38</v>
      </c>
      <c r="R4714">
        <f>IF(Table1[[#This Row],[order_status]]="completed",1,0)</f>
        <v>0</v>
      </c>
    </row>
    <row r="4715" spans="1:18" x14ac:dyDescent="0.35">
      <c r="A4715">
        <v>4714</v>
      </c>
      <c r="B4715" s="1">
        <v>46008</v>
      </c>
      <c r="C4715">
        <v>1797</v>
      </c>
      <c r="D4715" t="s">
        <v>32</v>
      </c>
      <c r="E4715" t="s">
        <v>33</v>
      </c>
      <c r="F4715" t="s">
        <v>17</v>
      </c>
      <c r="G4715">
        <v>5</v>
      </c>
      <c r="H4715">
        <v>17685</v>
      </c>
      <c r="I4715" t="s">
        <v>18</v>
      </c>
      <c r="J4715" t="s">
        <v>19</v>
      </c>
      <c r="K4715" t="s">
        <v>20</v>
      </c>
      <c r="L4715">
        <v>10</v>
      </c>
      <c r="M4715">
        <v>1</v>
      </c>
      <c r="N4715">
        <v>1</v>
      </c>
      <c r="O4715" t="s">
        <v>27</v>
      </c>
      <c r="P4715" t="str">
        <f>TEXT(Table1[[#This Row],[order_date]],"yyyy-mm")</f>
        <v>2025-12</v>
      </c>
      <c r="Q4715">
        <f>WEEKNUM(Table1[[#This Row],[order_date]])</f>
        <v>51</v>
      </c>
      <c r="R4715">
        <f>IF(Table1[[#This Row],[order_status]]="completed",1,0)</f>
        <v>1</v>
      </c>
    </row>
    <row r="4716" spans="1:18" x14ac:dyDescent="0.35">
      <c r="A4716">
        <v>4715</v>
      </c>
      <c r="B4716" s="1">
        <v>45973</v>
      </c>
      <c r="C4716">
        <v>1255</v>
      </c>
      <c r="D4716" t="s">
        <v>41</v>
      </c>
      <c r="E4716" t="s">
        <v>16</v>
      </c>
      <c r="F4716" t="s">
        <v>17</v>
      </c>
      <c r="G4716">
        <v>1</v>
      </c>
      <c r="H4716">
        <v>0</v>
      </c>
      <c r="I4716" t="s">
        <v>39</v>
      </c>
      <c r="J4716" t="s">
        <v>31</v>
      </c>
      <c r="K4716" t="s">
        <v>20</v>
      </c>
      <c r="L4716">
        <v>5</v>
      </c>
      <c r="M4716">
        <v>1</v>
      </c>
      <c r="N4716">
        <v>0</v>
      </c>
      <c r="O4716" t="s">
        <v>21</v>
      </c>
      <c r="P4716" t="str">
        <f>TEXT(Table1[[#This Row],[order_date]],"yyyy-mm")</f>
        <v>2025-11</v>
      </c>
      <c r="Q4716">
        <f>WEEKNUM(Table1[[#This Row],[order_date]])</f>
        <v>46</v>
      </c>
      <c r="R4716">
        <f>IF(Table1[[#This Row],[order_status]]="completed",1,0)</f>
        <v>0</v>
      </c>
    </row>
    <row r="4717" spans="1:18" x14ac:dyDescent="0.35">
      <c r="A4717">
        <v>4716</v>
      </c>
      <c r="B4717" s="1">
        <v>45953</v>
      </c>
      <c r="C4717">
        <v>1072</v>
      </c>
      <c r="D4717" t="s">
        <v>28</v>
      </c>
      <c r="E4717" t="s">
        <v>23</v>
      </c>
      <c r="F4717" t="s">
        <v>24</v>
      </c>
      <c r="G4717">
        <v>5</v>
      </c>
      <c r="H4717">
        <v>0</v>
      </c>
      <c r="I4717" t="s">
        <v>35</v>
      </c>
      <c r="J4717" t="s">
        <v>31</v>
      </c>
      <c r="K4717" t="s">
        <v>38</v>
      </c>
      <c r="L4717">
        <v>8</v>
      </c>
      <c r="M4717">
        <v>1</v>
      </c>
      <c r="N4717">
        <v>0</v>
      </c>
      <c r="O4717" t="s">
        <v>27</v>
      </c>
      <c r="P4717" t="str">
        <f>TEXT(Table1[[#This Row],[order_date]],"yyyy-mm")</f>
        <v>2025-10</v>
      </c>
      <c r="Q4717">
        <f>WEEKNUM(Table1[[#This Row],[order_date]])</f>
        <v>43</v>
      </c>
      <c r="R4717">
        <f>IF(Table1[[#This Row],[order_status]]="completed",1,0)</f>
        <v>0</v>
      </c>
    </row>
    <row r="4718" spans="1:18" x14ac:dyDescent="0.35">
      <c r="A4718">
        <v>4717</v>
      </c>
      <c r="B4718" s="1">
        <v>45985</v>
      </c>
      <c r="C4718">
        <v>1522</v>
      </c>
      <c r="D4718" t="s">
        <v>41</v>
      </c>
      <c r="E4718" t="s">
        <v>23</v>
      </c>
      <c r="F4718" t="s">
        <v>30</v>
      </c>
      <c r="G4718">
        <v>5</v>
      </c>
      <c r="H4718">
        <v>17085</v>
      </c>
      <c r="I4718" t="s">
        <v>39</v>
      </c>
      <c r="J4718" t="s">
        <v>19</v>
      </c>
      <c r="K4718" t="s">
        <v>20</v>
      </c>
      <c r="L4718">
        <v>8</v>
      </c>
      <c r="M4718">
        <v>1</v>
      </c>
      <c r="N4718">
        <v>1</v>
      </c>
      <c r="O4718" t="s">
        <v>27</v>
      </c>
      <c r="P4718" t="str">
        <f>TEXT(Table1[[#This Row],[order_date]],"yyyy-mm")</f>
        <v>2025-11</v>
      </c>
      <c r="Q4718">
        <f>WEEKNUM(Table1[[#This Row],[order_date]])</f>
        <v>48</v>
      </c>
      <c r="R4718">
        <f>IF(Table1[[#This Row],[order_status]]="completed",1,0)</f>
        <v>1</v>
      </c>
    </row>
    <row r="4719" spans="1:18" x14ac:dyDescent="0.35">
      <c r="A4719">
        <v>4718</v>
      </c>
      <c r="B4719" s="1">
        <v>45864</v>
      </c>
      <c r="C4719">
        <v>1479</v>
      </c>
      <c r="D4719" t="s">
        <v>15</v>
      </c>
      <c r="E4719" t="s">
        <v>33</v>
      </c>
      <c r="F4719" t="s">
        <v>24</v>
      </c>
      <c r="G4719">
        <v>2</v>
      </c>
      <c r="H4719">
        <v>2508</v>
      </c>
      <c r="I4719" t="s">
        <v>25</v>
      </c>
      <c r="J4719" t="s">
        <v>19</v>
      </c>
      <c r="K4719" t="s">
        <v>26</v>
      </c>
      <c r="L4719">
        <v>2</v>
      </c>
      <c r="M4719">
        <v>1</v>
      </c>
      <c r="N4719">
        <v>0</v>
      </c>
      <c r="O4719" t="s">
        <v>27</v>
      </c>
      <c r="P4719" t="str">
        <f>TEXT(Table1[[#This Row],[order_date]],"yyyy-mm")</f>
        <v>2025-07</v>
      </c>
      <c r="Q4719">
        <f>WEEKNUM(Table1[[#This Row],[order_date]])</f>
        <v>30</v>
      </c>
      <c r="R4719">
        <f>IF(Table1[[#This Row],[order_status]]="completed",1,0)</f>
        <v>1</v>
      </c>
    </row>
    <row r="4720" spans="1:18" x14ac:dyDescent="0.35">
      <c r="A4720">
        <v>4719</v>
      </c>
      <c r="B4720" s="1">
        <v>45888</v>
      </c>
      <c r="C4720">
        <v>1551</v>
      </c>
      <c r="D4720" t="s">
        <v>41</v>
      </c>
      <c r="E4720" t="s">
        <v>33</v>
      </c>
      <c r="F4720" t="s">
        <v>17</v>
      </c>
      <c r="G4720">
        <v>1</v>
      </c>
      <c r="H4720">
        <v>0</v>
      </c>
      <c r="I4720" t="s">
        <v>25</v>
      </c>
      <c r="J4720" t="s">
        <v>31</v>
      </c>
      <c r="K4720" t="s">
        <v>26</v>
      </c>
      <c r="L4720">
        <v>6</v>
      </c>
      <c r="M4720">
        <v>1</v>
      </c>
      <c r="N4720">
        <v>1</v>
      </c>
      <c r="O4720" t="s">
        <v>21</v>
      </c>
      <c r="P4720" t="str">
        <f>TEXT(Table1[[#This Row],[order_date]],"yyyy-mm")</f>
        <v>2025-08</v>
      </c>
      <c r="Q4720">
        <f>WEEKNUM(Table1[[#This Row],[order_date]])</f>
        <v>34</v>
      </c>
      <c r="R4720">
        <f>IF(Table1[[#This Row],[order_status]]="completed",1,0)</f>
        <v>0</v>
      </c>
    </row>
    <row r="4721" spans="1:18" x14ac:dyDescent="0.35">
      <c r="A4721">
        <v>4720</v>
      </c>
      <c r="B4721" s="1">
        <v>45951</v>
      </c>
      <c r="C4721">
        <v>1691</v>
      </c>
      <c r="D4721" t="s">
        <v>41</v>
      </c>
      <c r="E4721" t="s">
        <v>33</v>
      </c>
      <c r="F4721" t="s">
        <v>34</v>
      </c>
      <c r="G4721">
        <v>2</v>
      </c>
      <c r="H4721">
        <v>9660</v>
      </c>
      <c r="I4721" t="s">
        <v>25</v>
      </c>
      <c r="J4721" t="s">
        <v>19</v>
      </c>
      <c r="K4721" t="s">
        <v>40</v>
      </c>
      <c r="L4721">
        <v>4</v>
      </c>
      <c r="M4721">
        <v>1</v>
      </c>
      <c r="N4721">
        <v>0</v>
      </c>
      <c r="O4721" t="s">
        <v>27</v>
      </c>
      <c r="P4721" t="str">
        <f>TEXT(Table1[[#This Row],[order_date]],"yyyy-mm")</f>
        <v>2025-10</v>
      </c>
      <c r="Q4721">
        <f>WEEKNUM(Table1[[#This Row],[order_date]])</f>
        <v>43</v>
      </c>
      <c r="R4721">
        <f>IF(Table1[[#This Row],[order_status]]="completed",1,0)</f>
        <v>1</v>
      </c>
    </row>
    <row r="4722" spans="1:18" x14ac:dyDescent="0.35">
      <c r="A4722">
        <v>4721</v>
      </c>
      <c r="B4722" s="1">
        <v>45851</v>
      </c>
      <c r="C4722">
        <v>1845</v>
      </c>
      <c r="D4722" t="s">
        <v>41</v>
      </c>
      <c r="E4722" t="s">
        <v>23</v>
      </c>
      <c r="F4722" t="s">
        <v>17</v>
      </c>
      <c r="G4722">
        <v>2</v>
      </c>
      <c r="H4722">
        <v>0</v>
      </c>
      <c r="I4722" t="s">
        <v>35</v>
      </c>
      <c r="J4722" t="s">
        <v>31</v>
      </c>
      <c r="K4722" t="s">
        <v>26</v>
      </c>
      <c r="L4722">
        <v>8</v>
      </c>
      <c r="M4722">
        <v>0</v>
      </c>
      <c r="N4722">
        <v>0</v>
      </c>
      <c r="O4722" t="s">
        <v>21</v>
      </c>
      <c r="P4722" t="str">
        <f>TEXT(Table1[[#This Row],[order_date]],"yyyy-mm")</f>
        <v>2025-07</v>
      </c>
      <c r="Q4722">
        <f>WEEKNUM(Table1[[#This Row],[order_date]])</f>
        <v>29</v>
      </c>
      <c r="R4722">
        <f>IF(Table1[[#This Row],[order_status]]="completed",1,0)</f>
        <v>0</v>
      </c>
    </row>
    <row r="4723" spans="1:18" x14ac:dyDescent="0.35">
      <c r="A4723">
        <v>4722</v>
      </c>
      <c r="B4723" s="1">
        <v>45890</v>
      </c>
      <c r="C4723">
        <v>1016</v>
      </c>
      <c r="D4723" t="s">
        <v>28</v>
      </c>
      <c r="E4723" t="s">
        <v>29</v>
      </c>
      <c r="F4723" t="s">
        <v>24</v>
      </c>
      <c r="G4723">
        <v>5</v>
      </c>
      <c r="H4723">
        <v>0</v>
      </c>
      <c r="I4723" t="s">
        <v>18</v>
      </c>
      <c r="J4723" t="s">
        <v>37</v>
      </c>
      <c r="K4723" t="s">
        <v>38</v>
      </c>
      <c r="L4723">
        <v>4</v>
      </c>
      <c r="M4723">
        <v>1</v>
      </c>
      <c r="N4723">
        <v>0</v>
      </c>
      <c r="O4723" t="s">
        <v>21</v>
      </c>
      <c r="P4723" t="str">
        <f>TEXT(Table1[[#This Row],[order_date]],"yyyy-mm")</f>
        <v>2025-08</v>
      </c>
      <c r="Q4723">
        <f>WEEKNUM(Table1[[#This Row],[order_date]])</f>
        <v>34</v>
      </c>
      <c r="R4723">
        <f>IF(Table1[[#This Row],[order_status]]="completed",1,0)</f>
        <v>0</v>
      </c>
    </row>
    <row r="4724" spans="1:18" x14ac:dyDescent="0.35">
      <c r="A4724">
        <v>4723</v>
      </c>
      <c r="B4724" s="1">
        <v>45875</v>
      </c>
      <c r="C4724">
        <v>1130</v>
      </c>
      <c r="D4724" t="s">
        <v>41</v>
      </c>
      <c r="E4724" t="s">
        <v>16</v>
      </c>
      <c r="F4724" t="s">
        <v>34</v>
      </c>
      <c r="G4724">
        <v>4</v>
      </c>
      <c r="H4724">
        <v>0</v>
      </c>
      <c r="I4724" t="s">
        <v>18</v>
      </c>
      <c r="J4724" t="s">
        <v>31</v>
      </c>
      <c r="K4724" t="s">
        <v>38</v>
      </c>
      <c r="L4724">
        <v>8</v>
      </c>
      <c r="M4724">
        <v>0</v>
      </c>
      <c r="N4724">
        <v>0</v>
      </c>
      <c r="O4724" t="s">
        <v>21</v>
      </c>
      <c r="P4724" t="str">
        <f>TEXT(Table1[[#This Row],[order_date]],"yyyy-mm")</f>
        <v>2025-08</v>
      </c>
      <c r="Q4724">
        <f>WEEKNUM(Table1[[#This Row],[order_date]])</f>
        <v>32</v>
      </c>
      <c r="R4724">
        <f>IF(Table1[[#This Row],[order_status]]="completed",1,0)</f>
        <v>0</v>
      </c>
    </row>
    <row r="4725" spans="1:18" x14ac:dyDescent="0.35">
      <c r="A4725">
        <v>4724</v>
      </c>
      <c r="B4725" s="1">
        <v>45911</v>
      </c>
      <c r="C4725">
        <v>1546</v>
      </c>
      <c r="D4725" t="s">
        <v>22</v>
      </c>
      <c r="E4725" t="s">
        <v>29</v>
      </c>
      <c r="F4725" t="s">
        <v>30</v>
      </c>
      <c r="G4725">
        <v>3</v>
      </c>
      <c r="H4725">
        <v>0</v>
      </c>
      <c r="I4725" t="s">
        <v>39</v>
      </c>
      <c r="J4725" t="s">
        <v>31</v>
      </c>
      <c r="K4725" t="s">
        <v>38</v>
      </c>
      <c r="L4725">
        <v>5</v>
      </c>
      <c r="M4725">
        <v>0</v>
      </c>
      <c r="N4725">
        <v>1</v>
      </c>
      <c r="O4725" t="s">
        <v>27</v>
      </c>
      <c r="P4725" t="str">
        <f>TEXT(Table1[[#This Row],[order_date]],"yyyy-mm")</f>
        <v>2025-09</v>
      </c>
      <c r="Q4725">
        <f>WEEKNUM(Table1[[#This Row],[order_date]])</f>
        <v>37</v>
      </c>
      <c r="R4725">
        <f>IF(Table1[[#This Row],[order_status]]="completed",1,0)</f>
        <v>0</v>
      </c>
    </row>
    <row r="4726" spans="1:18" x14ac:dyDescent="0.35">
      <c r="A4726">
        <v>4725</v>
      </c>
      <c r="B4726" s="1">
        <v>45983</v>
      </c>
      <c r="C4726">
        <v>1777</v>
      </c>
      <c r="D4726" t="s">
        <v>41</v>
      </c>
      <c r="E4726" t="s">
        <v>33</v>
      </c>
      <c r="F4726" t="s">
        <v>30</v>
      </c>
      <c r="G4726">
        <v>3</v>
      </c>
      <c r="H4726">
        <v>0</v>
      </c>
      <c r="I4726" t="s">
        <v>25</v>
      </c>
      <c r="J4726" t="s">
        <v>37</v>
      </c>
      <c r="K4726" t="s">
        <v>38</v>
      </c>
      <c r="L4726">
        <v>8</v>
      </c>
      <c r="M4726">
        <v>1</v>
      </c>
      <c r="N4726">
        <v>1</v>
      </c>
      <c r="O4726" t="s">
        <v>27</v>
      </c>
      <c r="P4726" t="str">
        <f>TEXT(Table1[[#This Row],[order_date]],"yyyy-mm")</f>
        <v>2025-11</v>
      </c>
      <c r="Q4726">
        <f>WEEKNUM(Table1[[#This Row],[order_date]])</f>
        <v>47</v>
      </c>
      <c r="R4726">
        <f>IF(Table1[[#This Row],[order_status]]="completed",1,0)</f>
        <v>0</v>
      </c>
    </row>
    <row r="4727" spans="1:18" x14ac:dyDescent="0.35">
      <c r="A4727">
        <v>4726</v>
      </c>
      <c r="B4727" s="1">
        <v>45972</v>
      </c>
      <c r="C4727">
        <v>1869</v>
      </c>
      <c r="D4727" t="s">
        <v>41</v>
      </c>
      <c r="E4727" t="s">
        <v>16</v>
      </c>
      <c r="F4727" t="s">
        <v>34</v>
      </c>
      <c r="G4727">
        <v>1</v>
      </c>
      <c r="H4727">
        <v>0</v>
      </c>
      <c r="I4727" t="s">
        <v>35</v>
      </c>
      <c r="J4727" t="s">
        <v>31</v>
      </c>
      <c r="K4727" t="s">
        <v>38</v>
      </c>
      <c r="L4727">
        <v>8</v>
      </c>
      <c r="M4727">
        <v>0</v>
      </c>
      <c r="N4727">
        <v>0</v>
      </c>
      <c r="O4727" t="s">
        <v>27</v>
      </c>
      <c r="P4727" t="str">
        <f>TEXT(Table1[[#This Row],[order_date]],"yyyy-mm")</f>
        <v>2025-11</v>
      </c>
      <c r="Q4727">
        <f>WEEKNUM(Table1[[#This Row],[order_date]])</f>
        <v>46</v>
      </c>
      <c r="R4727">
        <f>IF(Table1[[#This Row],[order_status]]="completed",1,0)</f>
        <v>0</v>
      </c>
    </row>
    <row r="4728" spans="1:18" x14ac:dyDescent="0.35">
      <c r="A4728">
        <v>4727</v>
      </c>
      <c r="B4728" s="1">
        <v>45961</v>
      </c>
      <c r="C4728">
        <v>1619</v>
      </c>
      <c r="D4728" t="s">
        <v>22</v>
      </c>
      <c r="E4728" t="s">
        <v>23</v>
      </c>
      <c r="F4728" t="s">
        <v>30</v>
      </c>
      <c r="G4728">
        <v>4</v>
      </c>
      <c r="H4728">
        <v>4520</v>
      </c>
      <c r="I4728" t="s">
        <v>25</v>
      </c>
      <c r="J4728" t="s">
        <v>19</v>
      </c>
      <c r="K4728" t="s">
        <v>20</v>
      </c>
      <c r="L4728">
        <v>7</v>
      </c>
      <c r="M4728">
        <v>0</v>
      </c>
      <c r="N4728">
        <v>1</v>
      </c>
      <c r="O4728" t="s">
        <v>21</v>
      </c>
      <c r="P4728" t="str">
        <f>TEXT(Table1[[#This Row],[order_date]],"yyyy-mm")</f>
        <v>2025-10</v>
      </c>
      <c r="Q4728">
        <f>WEEKNUM(Table1[[#This Row],[order_date]])</f>
        <v>44</v>
      </c>
      <c r="R4728">
        <f>IF(Table1[[#This Row],[order_status]]="completed",1,0)</f>
        <v>1</v>
      </c>
    </row>
    <row r="4729" spans="1:18" x14ac:dyDescent="0.35">
      <c r="A4729">
        <v>4728</v>
      </c>
      <c r="B4729" s="1">
        <v>46006</v>
      </c>
      <c r="C4729">
        <v>1986</v>
      </c>
      <c r="D4729" t="s">
        <v>28</v>
      </c>
      <c r="E4729" t="s">
        <v>36</v>
      </c>
      <c r="F4729" t="s">
        <v>17</v>
      </c>
      <c r="G4729">
        <v>1</v>
      </c>
      <c r="H4729">
        <v>0</v>
      </c>
      <c r="I4729" t="s">
        <v>39</v>
      </c>
      <c r="J4729" t="s">
        <v>37</v>
      </c>
      <c r="K4729" t="s">
        <v>38</v>
      </c>
      <c r="L4729">
        <v>5</v>
      </c>
      <c r="M4729">
        <v>1</v>
      </c>
      <c r="N4729">
        <v>0</v>
      </c>
      <c r="O4729" t="s">
        <v>27</v>
      </c>
      <c r="P4729" t="str">
        <f>TEXT(Table1[[#This Row],[order_date]],"yyyy-mm")</f>
        <v>2025-12</v>
      </c>
      <c r="Q4729">
        <f>WEEKNUM(Table1[[#This Row],[order_date]])</f>
        <v>51</v>
      </c>
      <c r="R4729">
        <f>IF(Table1[[#This Row],[order_status]]="completed",1,0)</f>
        <v>0</v>
      </c>
    </row>
    <row r="4730" spans="1:18" x14ac:dyDescent="0.35">
      <c r="A4730">
        <v>4729</v>
      </c>
      <c r="B4730" s="1">
        <v>45953</v>
      </c>
      <c r="C4730">
        <v>1215</v>
      </c>
      <c r="D4730" t="s">
        <v>22</v>
      </c>
      <c r="E4730" t="s">
        <v>23</v>
      </c>
      <c r="F4730" t="s">
        <v>17</v>
      </c>
      <c r="G4730">
        <v>5</v>
      </c>
      <c r="H4730">
        <v>3065</v>
      </c>
      <c r="I4730" t="s">
        <v>25</v>
      </c>
      <c r="J4730" t="s">
        <v>19</v>
      </c>
      <c r="K4730" t="s">
        <v>20</v>
      </c>
      <c r="L4730">
        <v>2</v>
      </c>
      <c r="M4730">
        <v>0</v>
      </c>
      <c r="N4730">
        <v>0</v>
      </c>
      <c r="O4730" t="s">
        <v>21</v>
      </c>
      <c r="P4730" t="str">
        <f>TEXT(Table1[[#This Row],[order_date]],"yyyy-mm")</f>
        <v>2025-10</v>
      </c>
      <c r="Q4730">
        <f>WEEKNUM(Table1[[#This Row],[order_date]])</f>
        <v>43</v>
      </c>
      <c r="R4730">
        <f>IF(Table1[[#This Row],[order_status]]="completed",1,0)</f>
        <v>1</v>
      </c>
    </row>
    <row r="4731" spans="1:18" x14ac:dyDescent="0.35">
      <c r="A4731">
        <v>4730</v>
      </c>
      <c r="B4731" s="1">
        <v>45991</v>
      </c>
      <c r="C4731">
        <v>1569</v>
      </c>
      <c r="D4731" t="s">
        <v>41</v>
      </c>
      <c r="E4731" t="s">
        <v>29</v>
      </c>
      <c r="F4731" t="s">
        <v>30</v>
      </c>
      <c r="G4731">
        <v>1</v>
      </c>
      <c r="H4731">
        <v>0</v>
      </c>
      <c r="I4731" t="s">
        <v>25</v>
      </c>
      <c r="J4731" t="s">
        <v>31</v>
      </c>
      <c r="K4731" t="s">
        <v>38</v>
      </c>
      <c r="L4731">
        <v>10</v>
      </c>
      <c r="M4731">
        <v>0</v>
      </c>
      <c r="N4731">
        <v>0</v>
      </c>
      <c r="O4731" t="s">
        <v>21</v>
      </c>
      <c r="P4731" t="str">
        <f>TEXT(Table1[[#This Row],[order_date]],"yyyy-mm")</f>
        <v>2025-11</v>
      </c>
      <c r="Q4731">
        <f>WEEKNUM(Table1[[#This Row],[order_date]])</f>
        <v>49</v>
      </c>
      <c r="R4731">
        <f>IF(Table1[[#This Row],[order_status]]="completed",1,0)</f>
        <v>0</v>
      </c>
    </row>
    <row r="4732" spans="1:18" x14ac:dyDescent="0.35">
      <c r="A4732">
        <v>4731</v>
      </c>
      <c r="B4732" s="1">
        <v>45948</v>
      </c>
      <c r="C4732">
        <v>1201</v>
      </c>
      <c r="D4732" t="s">
        <v>32</v>
      </c>
      <c r="E4732" t="s">
        <v>29</v>
      </c>
      <c r="F4732" t="s">
        <v>24</v>
      </c>
      <c r="G4732">
        <v>2</v>
      </c>
      <c r="H4732">
        <v>5620</v>
      </c>
      <c r="I4732" t="s">
        <v>35</v>
      </c>
      <c r="J4732" t="s">
        <v>19</v>
      </c>
      <c r="K4732" t="s">
        <v>40</v>
      </c>
      <c r="L4732">
        <v>10</v>
      </c>
      <c r="M4732">
        <v>1</v>
      </c>
      <c r="N4732">
        <v>0</v>
      </c>
      <c r="O4732" t="s">
        <v>27</v>
      </c>
      <c r="P4732" t="str">
        <f>TEXT(Table1[[#This Row],[order_date]],"yyyy-mm")</f>
        <v>2025-10</v>
      </c>
      <c r="Q4732">
        <f>WEEKNUM(Table1[[#This Row],[order_date]])</f>
        <v>42</v>
      </c>
      <c r="R4732">
        <f>IF(Table1[[#This Row],[order_status]]="completed",1,0)</f>
        <v>1</v>
      </c>
    </row>
    <row r="4733" spans="1:18" x14ac:dyDescent="0.35">
      <c r="A4733">
        <v>4732</v>
      </c>
      <c r="B4733" s="1">
        <v>45905</v>
      </c>
      <c r="C4733">
        <v>1073</v>
      </c>
      <c r="D4733" t="s">
        <v>22</v>
      </c>
      <c r="E4733" t="s">
        <v>33</v>
      </c>
      <c r="F4733" t="s">
        <v>30</v>
      </c>
      <c r="G4733">
        <v>4</v>
      </c>
      <c r="H4733">
        <v>900</v>
      </c>
      <c r="I4733" t="s">
        <v>25</v>
      </c>
      <c r="J4733" t="s">
        <v>19</v>
      </c>
      <c r="K4733" t="s">
        <v>38</v>
      </c>
      <c r="L4733">
        <v>1</v>
      </c>
      <c r="M4733">
        <v>1</v>
      </c>
      <c r="N4733">
        <v>1</v>
      </c>
      <c r="O4733" t="s">
        <v>27</v>
      </c>
      <c r="P4733" t="str">
        <f>TEXT(Table1[[#This Row],[order_date]],"yyyy-mm")</f>
        <v>2025-09</v>
      </c>
      <c r="Q4733">
        <f>WEEKNUM(Table1[[#This Row],[order_date]])</f>
        <v>36</v>
      </c>
      <c r="R4733">
        <f>IF(Table1[[#This Row],[order_status]]="completed",1,0)</f>
        <v>1</v>
      </c>
    </row>
    <row r="4734" spans="1:18" x14ac:dyDescent="0.35">
      <c r="A4734">
        <v>4733</v>
      </c>
      <c r="B4734" s="1">
        <v>45979</v>
      </c>
      <c r="C4734">
        <v>1837</v>
      </c>
      <c r="D4734" t="s">
        <v>32</v>
      </c>
      <c r="E4734" t="s">
        <v>29</v>
      </c>
      <c r="F4734" t="s">
        <v>17</v>
      </c>
      <c r="G4734">
        <v>4</v>
      </c>
      <c r="H4734">
        <v>0</v>
      </c>
      <c r="I4734" t="s">
        <v>18</v>
      </c>
      <c r="J4734" t="s">
        <v>37</v>
      </c>
      <c r="K4734" t="s">
        <v>20</v>
      </c>
      <c r="L4734">
        <v>8</v>
      </c>
      <c r="M4734">
        <v>0</v>
      </c>
      <c r="N4734">
        <v>0</v>
      </c>
      <c r="O4734" t="s">
        <v>27</v>
      </c>
      <c r="P4734" t="str">
        <f>TEXT(Table1[[#This Row],[order_date]],"yyyy-mm")</f>
        <v>2025-11</v>
      </c>
      <c r="Q4734">
        <f>WEEKNUM(Table1[[#This Row],[order_date]])</f>
        <v>47</v>
      </c>
      <c r="R4734">
        <f>IF(Table1[[#This Row],[order_status]]="completed",1,0)</f>
        <v>0</v>
      </c>
    </row>
    <row r="4735" spans="1:18" x14ac:dyDescent="0.35">
      <c r="A4735">
        <v>4734</v>
      </c>
      <c r="B4735" s="1">
        <v>45995</v>
      </c>
      <c r="C4735">
        <v>1298</v>
      </c>
      <c r="D4735" t="s">
        <v>15</v>
      </c>
      <c r="E4735" t="s">
        <v>29</v>
      </c>
      <c r="F4735" t="s">
        <v>24</v>
      </c>
      <c r="G4735">
        <v>4</v>
      </c>
      <c r="H4735">
        <v>0</v>
      </c>
      <c r="I4735" t="s">
        <v>39</v>
      </c>
      <c r="J4735" t="s">
        <v>37</v>
      </c>
      <c r="K4735" t="s">
        <v>26</v>
      </c>
      <c r="L4735">
        <v>5</v>
      </c>
      <c r="M4735">
        <v>1</v>
      </c>
      <c r="N4735">
        <v>0</v>
      </c>
      <c r="O4735" t="s">
        <v>27</v>
      </c>
      <c r="P4735" t="str">
        <f>TEXT(Table1[[#This Row],[order_date]],"yyyy-mm")</f>
        <v>2025-12</v>
      </c>
      <c r="Q4735">
        <f>WEEKNUM(Table1[[#This Row],[order_date]])</f>
        <v>49</v>
      </c>
      <c r="R4735">
        <f>IF(Table1[[#This Row],[order_status]]="completed",1,0)</f>
        <v>0</v>
      </c>
    </row>
    <row r="4736" spans="1:18" x14ac:dyDescent="0.35">
      <c r="A4736">
        <v>4735</v>
      </c>
      <c r="B4736" s="1">
        <v>45905</v>
      </c>
      <c r="C4736">
        <v>1334</v>
      </c>
      <c r="D4736" t="s">
        <v>15</v>
      </c>
      <c r="E4736" t="s">
        <v>29</v>
      </c>
      <c r="F4736" t="s">
        <v>17</v>
      </c>
      <c r="G4736">
        <v>4</v>
      </c>
      <c r="H4736">
        <v>0</v>
      </c>
      <c r="I4736" t="s">
        <v>39</v>
      </c>
      <c r="J4736" t="s">
        <v>31</v>
      </c>
      <c r="K4736" t="s">
        <v>38</v>
      </c>
      <c r="L4736">
        <v>2</v>
      </c>
      <c r="M4736">
        <v>1</v>
      </c>
      <c r="N4736">
        <v>0</v>
      </c>
      <c r="O4736" t="s">
        <v>21</v>
      </c>
      <c r="P4736" t="str">
        <f>TEXT(Table1[[#This Row],[order_date]],"yyyy-mm")</f>
        <v>2025-09</v>
      </c>
      <c r="Q4736">
        <f>WEEKNUM(Table1[[#This Row],[order_date]])</f>
        <v>36</v>
      </c>
      <c r="R4736">
        <f>IF(Table1[[#This Row],[order_status]]="completed",1,0)</f>
        <v>0</v>
      </c>
    </row>
    <row r="4737" spans="1:18" x14ac:dyDescent="0.35">
      <c r="A4737">
        <v>4736</v>
      </c>
      <c r="B4737" s="1">
        <v>45991</v>
      </c>
      <c r="C4737">
        <v>1811</v>
      </c>
      <c r="D4737" t="s">
        <v>32</v>
      </c>
      <c r="E4737" t="s">
        <v>29</v>
      </c>
      <c r="F4737" t="s">
        <v>24</v>
      </c>
      <c r="G4737">
        <v>4</v>
      </c>
      <c r="H4737">
        <v>11984</v>
      </c>
      <c r="I4737" t="s">
        <v>18</v>
      </c>
      <c r="J4737" t="s">
        <v>19</v>
      </c>
      <c r="K4737" t="s">
        <v>20</v>
      </c>
      <c r="L4737">
        <v>9</v>
      </c>
      <c r="M4737">
        <v>0</v>
      </c>
      <c r="N4737">
        <v>1</v>
      </c>
      <c r="O4737" t="s">
        <v>27</v>
      </c>
      <c r="P4737" t="str">
        <f>TEXT(Table1[[#This Row],[order_date]],"yyyy-mm")</f>
        <v>2025-11</v>
      </c>
      <c r="Q4737">
        <f>WEEKNUM(Table1[[#This Row],[order_date]])</f>
        <v>49</v>
      </c>
      <c r="R4737">
        <f>IF(Table1[[#This Row],[order_status]]="completed",1,0)</f>
        <v>1</v>
      </c>
    </row>
    <row r="4738" spans="1:18" x14ac:dyDescent="0.35">
      <c r="A4738">
        <v>4737</v>
      </c>
      <c r="B4738" s="1">
        <v>45876</v>
      </c>
      <c r="C4738">
        <v>1369</v>
      </c>
      <c r="D4738" t="s">
        <v>15</v>
      </c>
      <c r="E4738" t="s">
        <v>29</v>
      </c>
      <c r="F4738" t="s">
        <v>30</v>
      </c>
      <c r="G4738">
        <v>4</v>
      </c>
      <c r="H4738">
        <v>0</v>
      </c>
      <c r="I4738" t="s">
        <v>25</v>
      </c>
      <c r="J4738" t="s">
        <v>31</v>
      </c>
      <c r="K4738" t="s">
        <v>38</v>
      </c>
      <c r="L4738">
        <v>8</v>
      </c>
      <c r="M4738">
        <v>0</v>
      </c>
      <c r="N4738">
        <v>1</v>
      </c>
      <c r="O4738" t="s">
        <v>21</v>
      </c>
      <c r="P4738" t="str">
        <f>TEXT(Table1[[#This Row],[order_date]],"yyyy-mm")</f>
        <v>2025-08</v>
      </c>
      <c r="Q4738">
        <f>WEEKNUM(Table1[[#This Row],[order_date]])</f>
        <v>32</v>
      </c>
      <c r="R4738">
        <f>IF(Table1[[#This Row],[order_status]]="completed",1,0)</f>
        <v>0</v>
      </c>
    </row>
    <row r="4739" spans="1:18" x14ac:dyDescent="0.35">
      <c r="A4739">
        <v>4738</v>
      </c>
      <c r="B4739" s="1">
        <v>45969</v>
      </c>
      <c r="C4739">
        <v>1545</v>
      </c>
      <c r="D4739" t="s">
        <v>15</v>
      </c>
      <c r="E4739" t="s">
        <v>16</v>
      </c>
      <c r="F4739" t="s">
        <v>17</v>
      </c>
      <c r="G4739">
        <v>2</v>
      </c>
      <c r="H4739">
        <v>0</v>
      </c>
      <c r="I4739" t="s">
        <v>18</v>
      </c>
      <c r="J4739" t="s">
        <v>37</v>
      </c>
      <c r="K4739" t="s">
        <v>38</v>
      </c>
      <c r="L4739">
        <v>1</v>
      </c>
      <c r="M4739">
        <v>0</v>
      </c>
      <c r="N4739">
        <v>1</v>
      </c>
      <c r="O4739" t="s">
        <v>21</v>
      </c>
      <c r="P4739" t="str">
        <f>TEXT(Table1[[#This Row],[order_date]],"yyyy-mm")</f>
        <v>2025-11</v>
      </c>
      <c r="Q4739">
        <f>WEEKNUM(Table1[[#This Row],[order_date]])</f>
        <v>45</v>
      </c>
      <c r="R4739">
        <f>IF(Table1[[#This Row],[order_status]]="completed",1,0)</f>
        <v>0</v>
      </c>
    </row>
    <row r="4740" spans="1:18" x14ac:dyDescent="0.35">
      <c r="A4740">
        <v>4739</v>
      </c>
      <c r="B4740" s="1">
        <v>45873</v>
      </c>
      <c r="C4740">
        <v>1561</v>
      </c>
      <c r="D4740" t="s">
        <v>41</v>
      </c>
      <c r="E4740" t="s">
        <v>33</v>
      </c>
      <c r="F4740" t="s">
        <v>30</v>
      </c>
      <c r="G4740">
        <v>3</v>
      </c>
      <c r="H4740">
        <v>9261</v>
      </c>
      <c r="I4740" t="s">
        <v>35</v>
      </c>
      <c r="J4740" t="s">
        <v>19</v>
      </c>
      <c r="K4740" t="s">
        <v>26</v>
      </c>
      <c r="L4740">
        <v>8</v>
      </c>
      <c r="M4740">
        <v>1</v>
      </c>
      <c r="N4740">
        <v>1</v>
      </c>
      <c r="O4740" t="s">
        <v>21</v>
      </c>
      <c r="P4740" t="str">
        <f>TEXT(Table1[[#This Row],[order_date]],"yyyy-mm")</f>
        <v>2025-08</v>
      </c>
      <c r="Q4740">
        <f>WEEKNUM(Table1[[#This Row],[order_date]])</f>
        <v>32</v>
      </c>
      <c r="R4740">
        <f>IF(Table1[[#This Row],[order_status]]="completed",1,0)</f>
        <v>1</v>
      </c>
    </row>
    <row r="4741" spans="1:18" x14ac:dyDescent="0.35">
      <c r="A4741">
        <v>4740</v>
      </c>
      <c r="B4741" s="1">
        <v>45855</v>
      </c>
      <c r="C4741">
        <v>1998</v>
      </c>
      <c r="D4741" t="s">
        <v>28</v>
      </c>
      <c r="E4741" t="s">
        <v>23</v>
      </c>
      <c r="F4741" t="s">
        <v>30</v>
      </c>
      <c r="G4741">
        <v>3</v>
      </c>
      <c r="H4741">
        <v>0</v>
      </c>
      <c r="I4741" t="s">
        <v>18</v>
      </c>
      <c r="J4741" t="s">
        <v>37</v>
      </c>
      <c r="K4741" t="s">
        <v>26</v>
      </c>
      <c r="L4741">
        <v>3</v>
      </c>
      <c r="M4741">
        <v>0</v>
      </c>
      <c r="N4741">
        <v>0</v>
      </c>
      <c r="O4741" t="s">
        <v>21</v>
      </c>
      <c r="P4741" t="str">
        <f>TEXT(Table1[[#This Row],[order_date]],"yyyy-mm")</f>
        <v>2025-07</v>
      </c>
      <c r="Q4741">
        <f>WEEKNUM(Table1[[#This Row],[order_date]])</f>
        <v>29</v>
      </c>
      <c r="R4741">
        <f>IF(Table1[[#This Row],[order_status]]="completed",1,0)</f>
        <v>0</v>
      </c>
    </row>
    <row r="4742" spans="1:18" x14ac:dyDescent="0.35">
      <c r="A4742">
        <v>4741</v>
      </c>
      <c r="B4742" s="1">
        <v>45934</v>
      </c>
      <c r="C4742">
        <v>1801</v>
      </c>
      <c r="D4742" t="s">
        <v>32</v>
      </c>
      <c r="E4742" t="s">
        <v>33</v>
      </c>
      <c r="F4742" t="s">
        <v>24</v>
      </c>
      <c r="G4742">
        <v>2</v>
      </c>
      <c r="H4742">
        <v>0</v>
      </c>
      <c r="I4742" t="s">
        <v>18</v>
      </c>
      <c r="J4742" t="s">
        <v>37</v>
      </c>
      <c r="K4742" t="s">
        <v>38</v>
      </c>
      <c r="L4742">
        <v>4</v>
      </c>
      <c r="M4742">
        <v>1</v>
      </c>
      <c r="N4742">
        <v>0</v>
      </c>
      <c r="O4742" t="s">
        <v>21</v>
      </c>
      <c r="P4742" t="str">
        <f>TEXT(Table1[[#This Row],[order_date]],"yyyy-mm")</f>
        <v>2025-10</v>
      </c>
      <c r="Q4742">
        <f>WEEKNUM(Table1[[#This Row],[order_date]])</f>
        <v>40</v>
      </c>
      <c r="R4742">
        <f>IF(Table1[[#This Row],[order_status]]="completed",1,0)</f>
        <v>0</v>
      </c>
    </row>
    <row r="4743" spans="1:18" x14ac:dyDescent="0.35">
      <c r="A4743">
        <v>4742</v>
      </c>
      <c r="B4743" s="1">
        <v>45989</v>
      </c>
      <c r="C4743">
        <v>1279</v>
      </c>
      <c r="D4743" t="s">
        <v>41</v>
      </c>
      <c r="E4743" t="s">
        <v>16</v>
      </c>
      <c r="F4743" t="s">
        <v>17</v>
      </c>
      <c r="G4743">
        <v>2</v>
      </c>
      <c r="H4743">
        <v>0</v>
      </c>
      <c r="I4743" t="s">
        <v>18</v>
      </c>
      <c r="J4743" t="s">
        <v>31</v>
      </c>
      <c r="K4743" t="s">
        <v>40</v>
      </c>
      <c r="L4743">
        <v>1</v>
      </c>
      <c r="M4743">
        <v>0</v>
      </c>
      <c r="N4743">
        <v>0</v>
      </c>
      <c r="O4743" t="s">
        <v>21</v>
      </c>
      <c r="P4743" t="str">
        <f>TEXT(Table1[[#This Row],[order_date]],"yyyy-mm")</f>
        <v>2025-11</v>
      </c>
      <c r="Q4743">
        <f>WEEKNUM(Table1[[#This Row],[order_date]])</f>
        <v>48</v>
      </c>
      <c r="R4743">
        <f>IF(Table1[[#This Row],[order_status]]="completed",1,0)</f>
        <v>0</v>
      </c>
    </row>
    <row r="4744" spans="1:18" x14ac:dyDescent="0.35">
      <c r="A4744">
        <v>4743</v>
      </c>
      <c r="B4744" s="1">
        <v>46027</v>
      </c>
      <c r="C4744">
        <v>1451</v>
      </c>
      <c r="D4744" t="s">
        <v>28</v>
      </c>
      <c r="E4744" t="s">
        <v>16</v>
      </c>
      <c r="F4744" t="s">
        <v>24</v>
      </c>
      <c r="G4744">
        <v>1</v>
      </c>
      <c r="H4744">
        <v>3922</v>
      </c>
      <c r="I4744" t="s">
        <v>39</v>
      </c>
      <c r="J4744" t="s">
        <v>19</v>
      </c>
      <c r="K4744" t="s">
        <v>26</v>
      </c>
      <c r="L4744">
        <v>6</v>
      </c>
      <c r="M4744">
        <v>1</v>
      </c>
      <c r="N4744">
        <v>0</v>
      </c>
      <c r="O4744" t="s">
        <v>27</v>
      </c>
      <c r="P4744" t="str">
        <f>TEXT(Table1[[#This Row],[order_date]],"yyyy-mm")</f>
        <v>2026-01</v>
      </c>
      <c r="Q4744">
        <f>WEEKNUM(Table1[[#This Row],[order_date]])</f>
        <v>2</v>
      </c>
      <c r="R4744">
        <f>IF(Table1[[#This Row],[order_status]]="completed",1,0)</f>
        <v>1</v>
      </c>
    </row>
    <row r="4745" spans="1:18" x14ac:dyDescent="0.35">
      <c r="A4745">
        <v>4744</v>
      </c>
      <c r="B4745" s="1">
        <v>45887</v>
      </c>
      <c r="C4745">
        <v>1334</v>
      </c>
      <c r="D4745" t="s">
        <v>32</v>
      </c>
      <c r="E4745" t="s">
        <v>36</v>
      </c>
      <c r="F4745" t="s">
        <v>24</v>
      </c>
      <c r="G4745">
        <v>4</v>
      </c>
      <c r="H4745">
        <v>0</v>
      </c>
      <c r="I4745" t="s">
        <v>35</v>
      </c>
      <c r="J4745" t="s">
        <v>31</v>
      </c>
      <c r="K4745" t="s">
        <v>38</v>
      </c>
      <c r="L4745">
        <v>5</v>
      </c>
      <c r="M4745">
        <v>1</v>
      </c>
      <c r="N4745">
        <v>0</v>
      </c>
      <c r="O4745" t="s">
        <v>21</v>
      </c>
      <c r="P4745" t="str">
        <f>TEXT(Table1[[#This Row],[order_date]],"yyyy-mm")</f>
        <v>2025-08</v>
      </c>
      <c r="Q4745">
        <f>WEEKNUM(Table1[[#This Row],[order_date]])</f>
        <v>34</v>
      </c>
      <c r="R4745">
        <f>IF(Table1[[#This Row],[order_status]]="completed",1,0)</f>
        <v>0</v>
      </c>
    </row>
    <row r="4746" spans="1:18" x14ac:dyDescent="0.35">
      <c r="A4746">
        <v>4745</v>
      </c>
      <c r="B4746" s="1">
        <v>45945</v>
      </c>
      <c r="C4746">
        <v>1865</v>
      </c>
      <c r="D4746" t="s">
        <v>22</v>
      </c>
      <c r="E4746" t="s">
        <v>16</v>
      </c>
      <c r="F4746" t="s">
        <v>24</v>
      </c>
      <c r="G4746">
        <v>2</v>
      </c>
      <c r="H4746">
        <v>4304</v>
      </c>
      <c r="I4746" t="s">
        <v>39</v>
      </c>
      <c r="J4746" t="s">
        <v>19</v>
      </c>
      <c r="K4746" t="s">
        <v>38</v>
      </c>
      <c r="L4746">
        <v>6</v>
      </c>
      <c r="M4746">
        <v>0</v>
      </c>
      <c r="N4746">
        <v>1</v>
      </c>
      <c r="O4746" t="s">
        <v>27</v>
      </c>
      <c r="P4746" t="str">
        <f>TEXT(Table1[[#This Row],[order_date]],"yyyy-mm")</f>
        <v>2025-10</v>
      </c>
      <c r="Q4746">
        <f>WEEKNUM(Table1[[#This Row],[order_date]])</f>
        <v>42</v>
      </c>
      <c r="R4746">
        <f>IF(Table1[[#This Row],[order_status]]="completed",1,0)</f>
        <v>1</v>
      </c>
    </row>
    <row r="4747" spans="1:18" x14ac:dyDescent="0.35">
      <c r="A4747">
        <v>4746</v>
      </c>
      <c r="B4747" s="1">
        <v>45977</v>
      </c>
      <c r="C4747">
        <v>1842</v>
      </c>
      <c r="D4747" t="s">
        <v>41</v>
      </c>
      <c r="E4747" t="s">
        <v>29</v>
      </c>
      <c r="F4747" t="s">
        <v>30</v>
      </c>
      <c r="G4747">
        <v>3</v>
      </c>
      <c r="H4747">
        <v>0</v>
      </c>
      <c r="I4747" t="s">
        <v>18</v>
      </c>
      <c r="J4747" t="s">
        <v>37</v>
      </c>
      <c r="K4747" t="s">
        <v>20</v>
      </c>
      <c r="L4747">
        <v>8</v>
      </c>
      <c r="M4747">
        <v>1</v>
      </c>
      <c r="N4747">
        <v>0</v>
      </c>
      <c r="O4747" t="s">
        <v>21</v>
      </c>
      <c r="P4747" t="str">
        <f>TEXT(Table1[[#This Row],[order_date]],"yyyy-mm")</f>
        <v>2025-11</v>
      </c>
      <c r="Q4747">
        <f>WEEKNUM(Table1[[#This Row],[order_date]])</f>
        <v>47</v>
      </c>
      <c r="R4747">
        <f>IF(Table1[[#This Row],[order_status]]="completed",1,0)</f>
        <v>0</v>
      </c>
    </row>
    <row r="4748" spans="1:18" x14ac:dyDescent="0.35">
      <c r="A4748">
        <v>4747</v>
      </c>
      <c r="B4748" s="1">
        <v>45998</v>
      </c>
      <c r="C4748">
        <v>1027</v>
      </c>
      <c r="D4748" t="s">
        <v>22</v>
      </c>
      <c r="E4748" t="s">
        <v>23</v>
      </c>
      <c r="F4748" t="s">
        <v>34</v>
      </c>
      <c r="G4748">
        <v>4</v>
      </c>
      <c r="H4748">
        <v>0</v>
      </c>
      <c r="I4748" t="s">
        <v>39</v>
      </c>
      <c r="J4748" t="s">
        <v>37</v>
      </c>
      <c r="K4748" t="s">
        <v>40</v>
      </c>
      <c r="L4748">
        <v>4</v>
      </c>
      <c r="M4748">
        <v>0</v>
      </c>
      <c r="N4748">
        <v>1</v>
      </c>
      <c r="O4748" t="s">
        <v>21</v>
      </c>
      <c r="P4748" t="str">
        <f>TEXT(Table1[[#This Row],[order_date]],"yyyy-mm")</f>
        <v>2025-12</v>
      </c>
      <c r="Q4748">
        <f>WEEKNUM(Table1[[#This Row],[order_date]])</f>
        <v>50</v>
      </c>
      <c r="R4748">
        <f>IF(Table1[[#This Row],[order_status]]="completed",1,0)</f>
        <v>0</v>
      </c>
    </row>
    <row r="4749" spans="1:18" x14ac:dyDescent="0.35">
      <c r="A4749">
        <v>4748</v>
      </c>
      <c r="B4749" s="1">
        <v>45981</v>
      </c>
      <c r="C4749">
        <v>1003</v>
      </c>
      <c r="D4749" t="s">
        <v>22</v>
      </c>
      <c r="E4749" t="s">
        <v>23</v>
      </c>
      <c r="F4749" t="s">
        <v>24</v>
      </c>
      <c r="G4749">
        <v>4</v>
      </c>
      <c r="H4749">
        <v>0</v>
      </c>
      <c r="I4749" t="s">
        <v>18</v>
      </c>
      <c r="J4749" t="s">
        <v>31</v>
      </c>
      <c r="K4749" t="s">
        <v>26</v>
      </c>
      <c r="L4749">
        <v>5</v>
      </c>
      <c r="M4749">
        <v>0</v>
      </c>
      <c r="N4749">
        <v>0</v>
      </c>
      <c r="O4749" t="s">
        <v>27</v>
      </c>
      <c r="P4749" t="str">
        <f>TEXT(Table1[[#This Row],[order_date]],"yyyy-mm")</f>
        <v>2025-11</v>
      </c>
      <c r="Q4749">
        <f>WEEKNUM(Table1[[#This Row],[order_date]])</f>
        <v>47</v>
      </c>
      <c r="R4749">
        <f>IF(Table1[[#This Row],[order_status]]="completed",1,0)</f>
        <v>0</v>
      </c>
    </row>
    <row r="4750" spans="1:18" x14ac:dyDescent="0.35">
      <c r="A4750">
        <v>4749</v>
      </c>
      <c r="B4750" s="1">
        <v>45959</v>
      </c>
      <c r="C4750">
        <v>1428</v>
      </c>
      <c r="D4750" t="s">
        <v>28</v>
      </c>
      <c r="E4750" t="s">
        <v>33</v>
      </c>
      <c r="F4750" t="s">
        <v>30</v>
      </c>
      <c r="G4750">
        <v>2</v>
      </c>
      <c r="H4750">
        <v>0</v>
      </c>
      <c r="I4750" t="s">
        <v>18</v>
      </c>
      <c r="J4750" t="s">
        <v>37</v>
      </c>
      <c r="K4750" t="s">
        <v>38</v>
      </c>
      <c r="L4750">
        <v>3</v>
      </c>
      <c r="M4750">
        <v>0</v>
      </c>
      <c r="N4750">
        <v>0</v>
      </c>
      <c r="O4750" t="s">
        <v>21</v>
      </c>
      <c r="P4750" t="str">
        <f>TEXT(Table1[[#This Row],[order_date]],"yyyy-mm")</f>
        <v>2025-10</v>
      </c>
      <c r="Q4750">
        <f>WEEKNUM(Table1[[#This Row],[order_date]])</f>
        <v>44</v>
      </c>
      <c r="R4750">
        <f>IF(Table1[[#This Row],[order_status]]="completed",1,0)</f>
        <v>0</v>
      </c>
    </row>
    <row r="4751" spans="1:18" x14ac:dyDescent="0.35">
      <c r="A4751">
        <v>4750</v>
      </c>
      <c r="B4751" s="1">
        <v>45870</v>
      </c>
      <c r="C4751">
        <v>1660</v>
      </c>
      <c r="D4751" t="s">
        <v>15</v>
      </c>
      <c r="E4751" t="s">
        <v>36</v>
      </c>
      <c r="F4751" t="s">
        <v>24</v>
      </c>
      <c r="G4751">
        <v>2</v>
      </c>
      <c r="H4751">
        <v>0</v>
      </c>
      <c r="I4751" t="s">
        <v>25</v>
      </c>
      <c r="J4751" t="s">
        <v>31</v>
      </c>
      <c r="K4751" t="s">
        <v>40</v>
      </c>
      <c r="L4751">
        <v>3</v>
      </c>
      <c r="M4751">
        <v>1</v>
      </c>
      <c r="N4751">
        <v>1</v>
      </c>
      <c r="O4751" t="s">
        <v>21</v>
      </c>
      <c r="P4751" t="str">
        <f>TEXT(Table1[[#This Row],[order_date]],"yyyy-mm")</f>
        <v>2025-08</v>
      </c>
      <c r="Q4751">
        <f>WEEKNUM(Table1[[#This Row],[order_date]])</f>
        <v>31</v>
      </c>
      <c r="R4751">
        <f>IF(Table1[[#This Row],[order_status]]="completed",1,0)</f>
        <v>0</v>
      </c>
    </row>
    <row r="4752" spans="1:18" x14ac:dyDescent="0.35">
      <c r="A4752">
        <v>4751</v>
      </c>
      <c r="B4752" s="1">
        <v>45857</v>
      </c>
      <c r="C4752">
        <v>1539</v>
      </c>
      <c r="D4752" t="s">
        <v>15</v>
      </c>
      <c r="E4752" t="s">
        <v>29</v>
      </c>
      <c r="F4752" t="s">
        <v>17</v>
      </c>
      <c r="G4752">
        <v>1</v>
      </c>
      <c r="H4752">
        <v>1872</v>
      </c>
      <c r="I4752" t="s">
        <v>18</v>
      </c>
      <c r="J4752" t="s">
        <v>19</v>
      </c>
      <c r="K4752" t="s">
        <v>38</v>
      </c>
      <c r="L4752">
        <v>2</v>
      </c>
      <c r="M4752">
        <v>0</v>
      </c>
      <c r="N4752">
        <v>0</v>
      </c>
      <c r="O4752" t="s">
        <v>27</v>
      </c>
      <c r="P4752" t="str">
        <f>TEXT(Table1[[#This Row],[order_date]],"yyyy-mm")</f>
        <v>2025-07</v>
      </c>
      <c r="Q4752">
        <f>WEEKNUM(Table1[[#This Row],[order_date]])</f>
        <v>29</v>
      </c>
      <c r="R4752">
        <f>IF(Table1[[#This Row],[order_status]]="completed",1,0)</f>
        <v>1</v>
      </c>
    </row>
    <row r="4753" spans="1:18" x14ac:dyDescent="0.35">
      <c r="A4753">
        <v>4752</v>
      </c>
      <c r="B4753" s="1">
        <v>46019</v>
      </c>
      <c r="C4753">
        <v>1847</v>
      </c>
      <c r="D4753" t="s">
        <v>41</v>
      </c>
      <c r="E4753" t="s">
        <v>36</v>
      </c>
      <c r="F4753" t="s">
        <v>30</v>
      </c>
      <c r="G4753">
        <v>5</v>
      </c>
      <c r="H4753">
        <v>11470</v>
      </c>
      <c r="I4753" t="s">
        <v>25</v>
      </c>
      <c r="J4753" t="s">
        <v>19</v>
      </c>
      <c r="K4753" t="s">
        <v>20</v>
      </c>
      <c r="L4753">
        <v>6</v>
      </c>
      <c r="M4753">
        <v>0</v>
      </c>
      <c r="N4753">
        <v>1</v>
      </c>
      <c r="O4753" t="s">
        <v>21</v>
      </c>
      <c r="P4753" t="str">
        <f>TEXT(Table1[[#This Row],[order_date]],"yyyy-mm")</f>
        <v>2025-12</v>
      </c>
      <c r="Q4753">
        <f>WEEKNUM(Table1[[#This Row],[order_date]])</f>
        <v>53</v>
      </c>
      <c r="R4753">
        <f>IF(Table1[[#This Row],[order_status]]="completed",1,0)</f>
        <v>1</v>
      </c>
    </row>
    <row r="4754" spans="1:18" x14ac:dyDescent="0.35">
      <c r="A4754">
        <v>4753</v>
      </c>
      <c r="B4754" s="1">
        <v>45894</v>
      </c>
      <c r="C4754">
        <v>1547</v>
      </c>
      <c r="D4754" t="s">
        <v>22</v>
      </c>
      <c r="E4754" t="s">
        <v>36</v>
      </c>
      <c r="F4754" t="s">
        <v>34</v>
      </c>
      <c r="G4754">
        <v>1</v>
      </c>
      <c r="H4754">
        <v>0</v>
      </c>
      <c r="I4754" t="s">
        <v>18</v>
      </c>
      <c r="J4754" t="s">
        <v>37</v>
      </c>
      <c r="K4754" t="s">
        <v>38</v>
      </c>
      <c r="L4754">
        <v>8</v>
      </c>
      <c r="M4754">
        <v>0</v>
      </c>
      <c r="N4754">
        <v>1</v>
      </c>
      <c r="O4754" t="s">
        <v>21</v>
      </c>
      <c r="P4754" t="str">
        <f>TEXT(Table1[[#This Row],[order_date]],"yyyy-mm")</f>
        <v>2025-08</v>
      </c>
      <c r="Q4754">
        <f>WEEKNUM(Table1[[#This Row],[order_date]])</f>
        <v>35</v>
      </c>
      <c r="R4754">
        <f>IF(Table1[[#This Row],[order_status]]="completed",1,0)</f>
        <v>0</v>
      </c>
    </row>
    <row r="4755" spans="1:18" x14ac:dyDescent="0.35">
      <c r="A4755">
        <v>4754</v>
      </c>
      <c r="B4755" s="1">
        <v>46020</v>
      </c>
      <c r="C4755">
        <v>1380</v>
      </c>
      <c r="D4755" t="s">
        <v>41</v>
      </c>
      <c r="E4755" t="s">
        <v>23</v>
      </c>
      <c r="F4755" t="s">
        <v>24</v>
      </c>
      <c r="G4755">
        <v>1</v>
      </c>
      <c r="H4755">
        <v>3014</v>
      </c>
      <c r="I4755" t="s">
        <v>25</v>
      </c>
      <c r="J4755" t="s">
        <v>19</v>
      </c>
      <c r="K4755" t="s">
        <v>38</v>
      </c>
      <c r="L4755">
        <v>4</v>
      </c>
      <c r="M4755">
        <v>0</v>
      </c>
      <c r="N4755">
        <v>0</v>
      </c>
      <c r="O4755" t="s">
        <v>27</v>
      </c>
      <c r="P4755" t="str">
        <f>TEXT(Table1[[#This Row],[order_date]],"yyyy-mm")</f>
        <v>2025-12</v>
      </c>
      <c r="Q4755">
        <f>WEEKNUM(Table1[[#This Row],[order_date]])</f>
        <v>53</v>
      </c>
      <c r="R4755">
        <f>IF(Table1[[#This Row],[order_status]]="completed",1,0)</f>
        <v>1</v>
      </c>
    </row>
    <row r="4756" spans="1:18" x14ac:dyDescent="0.35">
      <c r="A4756">
        <v>4755</v>
      </c>
      <c r="B4756" s="1">
        <v>45868</v>
      </c>
      <c r="C4756">
        <v>1496</v>
      </c>
      <c r="D4756" t="s">
        <v>15</v>
      </c>
      <c r="E4756" t="s">
        <v>36</v>
      </c>
      <c r="F4756" t="s">
        <v>24</v>
      </c>
      <c r="G4756">
        <v>3</v>
      </c>
      <c r="H4756">
        <v>0</v>
      </c>
      <c r="I4756" t="s">
        <v>25</v>
      </c>
      <c r="J4756" t="s">
        <v>31</v>
      </c>
      <c r="K4756" t="s">
        <v>26</v>
      </c>
      <c r="L4756">
        <v>8</v>
      </c>
      <c r="M4756">
        <v>1</v>
      </c>
      <c r="N4756">
        <v>1</v>
      </c>
      <c r="O4756" t="s">
        <v>21</v>
      </c>
      <c r="P4756" t="str">
        <f>TEXT(Table1[[#This Row],[order_date]],"yyyy-mm")</f>
        <v>2025-07</v>
      </c>
      <c r="Q4756">
        <f>WEEKNUM(Table1[[#This Row],[order_date]])</f>
        <v>31</v>
      </c>
      <c r="R4756">
        <f>IF(Table1[[#This Row],[order_status]]="completed",1,0)</f>
        <v>0</v>
      </c>
    </row>
    <row r="4757" spans="1:18" x14ac:dyDescent="0.35">
      <c r="A4757">
        <v>4756</v>
      </c>
      <c r="B4757" s="1">
        <v>45918</v>
      </c>
      <c r="C4757">
        <v>1802</v>
      </c>
      <c r="D4757" t="s">
        <v>28</v>
      </c>
      <c r="E4757" t="s">
        <v>36</v>
      </c>
      <c r="F4757" t="s">
        <v>30</v>
      </c>
      <c r="G4757">
        <v>3</v>
      </c>
      <c r="H4757">
        <v>0</v>
      </c>
      <c r="I4757" t="s">
        <v>18</v>
      </c>
      <c r="J4757" t="s">
        <v>37</v>
      </c>
      <c r="K4757" t="s">
        <v>26</v>
      </c>
      <c r="L4757">
        <v>2</v>
      </c>
      <c r="M4757">
        <v>1</v>
      </c>
      <c r="N4757">
        <v>0</v>
      </c>
      <c r="O4757" t="s">
        <v>27</v>
      </c>
      <c r="P4757" t="str">
        <f>TEXT(Table1[[#This Row],[order_date]],"yyyy-mm")</f>
        <v>2025-09</v>
      </c>
      <c r="Q4757">
        <f>WEEKNUM(Table1[[#This Row],[order_date]])</f>
        <v>38</v>
      </c>
      <c r="R4757">
        <f>IF(Table1[[#This Row],[order_status]]="completed",1,0)</f>
        <v>0</v>
      </c>
    </row>
    <row r="4758" spans="1:18" x14ac:dyDescent="0.35">
      <c r="A4758">
        <v>4757</v>
      </c>
      <c r="B4758" s="1">
        <v>45978</v>
      </c>
      <c r="C4758">
        <v>1768</v>
      </c>
      <c r="D4758" t="s">
        <v>28</v>
      </c>
      <c r="E4758" t="s">
        <v>36</v>
      </c>
      <c r="F4758" t="s">
        <v>30</v>
      </c>
      <c r="G4758">
        <v>1</v>
      </c>
      <c r="H4758">
        <v>1349</v>
      </c>
      <c r="I4758" t="s">
        <v>35</v>
      </c>
      <c r="J4758" t="s">
        <v>19</v>
      </c>
      <c r="K4758" t="s">
        <v>40</v>
      </c>
      <c r="L4758">
        <v>10</v>
      </c>
      <c r="M4758">
        <v>0</v>
      </c>
      <c r="N4758">
        <v>0</v>
      </c>
      <c r="O4758" t="s">
        <v>27</v>
      </c>
      <c r="P4758" t="str">
        <f>TEXT(Table1[[#This Row],[order_date]],"yyyy-mm")</f>
        <v>2025-11</v>
      </c>
      <c r="Q4758">
        <f>WEEKNUM(Table1[[#This Row],[order_date]])</f>
        <v>47</v>
      </c>
      <c r="R4758">
        <f>IF(Table1[[#This Row],[order_status]]="completed",1,0)</f>
        <v>1</v>
      </c>
    </row>
    <row r="4759" spans="1:18" x14ac:dyDescent="0.35">
      <c r="A4759">
        <v>4758</v>
      </c>
      <c r="B4759" s="1">
        <v>45939</v>
      </c>
      <c r="C4759">
        <v>1563</v>
      </c>
      <c r="D4759" t="s">
        <v>28</v>
      </c>
      <c r="E4759" t="s">
        <v>33</v>
      </c>
      <c r="F4759" t="s">
        <v>30</v>
      </c>
      <c r="G4759">
        <v>1</v>
      </c>
      <c r="H4759">
        <v>0</v>
      </c>
      <c r="I4759" t="s">
        <v>25</v>
      </c>
      <c r="J4759" t="s">
        <v>31</v>
      </c>
      <c r="K4759" t="s">
        <v>40</v>
      </c>
      <c r="L4759">
        <v>9</v>
      </c>
      <c r="M4759">
        <v>0</v>
      </c>
      <c r="N4759">
        <v>0</v>
      </c>
      <c r="O4759" t="s">
        <v>27</v>
      </c>
      <c r="P4759" t="str">
        <f>TEXT(Table1[[#This Row],[order_date]],"yyyy-mm")</f>
        <v>2025-10</v>
      </c>
      <c r="Q4759">
        <f>WEEKNUM(Table1[[#This Row],[order_date]])</f>
        <v>41</v>
      </c>
      <c r="R4759">
        <f>IF(Table1[[#This Row],[order_status]]="completed",1,0)</f>
        <v>0</v>
      </c>
    </row>
    <row r="4760" spans="1:18" x14ac:dyDescent="0.35">
      <c r="A4760">
        <v>4759</v>
      </c>
      <c r="B4760" s="1">
        <v>45972</v>
      </c>
      <c r="C4760">
        <v>1457</v>
      </c>
      <c r="D4760" t="s">
        <v>32</v>
      </c>
      <c r="E4760" t="s">
        <v>29</v>
      </c>
      <c r="F4760" t="s">
        <v>30</v>
      </c>
      <c r="G4760">
        <v>5</v>
      </c>
      <c r="H4760">
        <v>0</v>
      </c>
      <c r="I4760" t="s">
        <v>35</v>
      </c>
      <c r="J4760" t="s">
        <v>37</v>
      </c>
      <c r="K4760" t="s">
        <v>38</v>
      </c>
      <c r="L4760">
        <v>5</v>
      </c>
      <c r="M4760">
        <v>0</v>
      </c>
      <c r="N4760">
        <v>1</v>
      </c>
      <c r="O4760" t="s">
        <v>21</v>
      </c>
      <c r="P4760" t="str">
        <f>TEXT(Table1[[#This Row],[order_date]],"yyyy-mm")</f>
        <v>2025-11</v>
      </c>
      <c r="Q4760">
        <f>WEEKNUM(Table1[[#This Row],[order_date]])</f>
        <v>46</v>
      </c>
      <c r="R4760">
        <f>IF(Table1[[#This Row],[order_status]]="completed",1,0)</f>
        <v>0</v>
      </c>
    </row>
    <row r="4761" spans="1:18" x14ac:dyDescent="0.35">
      <c r="A4761">
        <v>4760</v>
      </c>
      <c r="B4761" s="1">
        <v>46026</v>
      </c>
      <c r="C4761">
        <v>1633</v>
      </c>
      <c r="D4761" t="s">
        <v>32</v>
      </c>
      <c r="E4761" t="s">
        <v>16</v>
      </c>
      <c r="F4761" t="s">
        <v>30</v>
      </c>
      <c r="G4761">
        <v>1</v>
      </c>
      <c r="H4761">
        <v>1888</v>
      </c>
      <c r="I4761" t="s">
        <v>18</v>
      </c>
      <c r="J4761" t="s">
        <v>19</v>
      </c>
      <c r="K4761" t="s">
        <v>20</v>
      </c>
      <c r="L4761">
        <v>5</v>
      </c>
      <c r="M4761">
        <v>1</v>
      </c>
      <c r="N4761">
        <v>0</v>
      </c>
      <c r="O4761" t="s">
        <v>21</v>
      </c>
      <c r="P4761" t="str">
        <f>TEXT(Table1[[#This Row],[order_date]],"yyyy-mm")</f>
        <v>2026-01</v>
      </c>
      <c r="Q4761">
        <f>WEEKNUM(Table1[[#This Row],[order_date]])</f>
        <v>2</v>
      </c>
      <c r="R4761">
        <f>IF(Table1[[#This Row],[order_status]]="completed",1,0)</f>
        <v>1</v>
      </c>
    </row>
    <row r="4762" spans="1:18" x14ac:dyDescent="0.35">
      <c r="A4762">
        <v>4761</v>
      </c>
      <c r="B4762" s="1">
        <v>45923</v>
      </c>
      <c r="C4762">
        <v>1753</v>
      </c>
      <c r="D4762" t="s">
        <v>15</v>
      </c>
      <c r="E4762" t="s">
        <v>36</v>
      </c>
      <c r="F4762" t="s">
        <v>17</v>
      </c>
      <c r="G4762">
        <v>1</v>
      </c>
      <c r="H4762">
        <v>0</v>
      </c>
      <c r="I4762" t="s">
        <v>18</v>
      </c>
      <c r="J4762" t="s">
        <v>37</v>
      </c>
      <c r="K4762" t="s">
        <v>20</v>
      </c>
      <c r="L4762">
        <v>2</v>
      </c>
      <c r="M4762">
        <v>1</v>
      </c>
      <c r="N4762">
        <v>0</v>
      </c>
      <c r="O4762" t="s">
        <v>21</v>
      </c>
      <c r="P4762" t="str">
        <f>TEXT(Table1[[#This Row],[order_date]],"yyyy-mm")</f>
        <v>2025-09</v>
      </c>
      <c r="Q4762">
        <f>WEEKNUM(Table1[[#This Row],[order_date]])</f>
        <v>39</v>
      </c>
      <c r="R4762">
        <f>IF(Table1[[#This Row],[order_status]]="completed",1,0)</f>
        <v>0</v>
      </c>
    </row>
    <row r="4763" spans="1:18" x14ac:dyDescent="0.35">
      <c r="A4763">
        <v>4762</v>
      </c>
      <c r="B4763" s="1">
        <v>45976</v>
      </c>
      <c r="C4763">
        <v>1186</v>
      </c>
      <c r="D4763" t="s">
        <v>22</v>
      </c>
      <c r="E4763" t="s">
        <v>16</v>
      </c>
      <c r="F4763" t="s">
        <v>24</v>
      </c>
      <c r="G4763">
        <v>1</v>
      </c>
      <c r="H4763">
        <v>0</v>
      </c>
      <c r="I4763" t="s">
        <v>25</v>
      </c>
      <c r="J4763" t="s">
        <v>31</v>
      </c>
      <c r="K4763" t="s">
        <v>20</v>
      </c>
      <c r="L4763">
        <v>4</v>
      </c>
      <c r="M4763">
        <v>1</v>
      </c>
      <c r="N4763">
        <v>1</v>
      </c>
      <c r="O4763" t="s">
        <v>27</v>
      </c>
      <c r="P4763" t="str">
        <f>TEXT(Table1[[#This Row],[order_date]],"yyyy-mm")</f>
        <v>2025-11</v>
      </c>
      <c r="Q4763">
        <f>WEEKNUM(Table1[[#This Row],[order_date]])</f>
        <v>46</v>
      </c>
      <c r="R4763">
        <f>IF(Table1[[#This Row],[order_status]]="completed",1,0)</f>
        <v>0</v>
      </c>
    </row>
    <row r="4764" spans="1:18" x14ac:dyDescent="0.35">
      <c r="A4764">
        <v>4763</v>
      </c>
      <c r="B4764" s="1">
        <v>45970</v>
      </c>
      <c r="C4764">
        <v>1288</v>
      </c>
      <c r="D4764" t="s">
        <v>41</v>
      </c>
      <c r="E4764" t="s">
        <v>36</v>
      </c>
      <c r="F4764" t="s">
        <v>34</v>
      </c>
      <c r="G4764">
        <v>3</v>
      </c>
      <c r="H4764">
        <v>0</v>
      </c>
      <c r="I4764" t="s">
        <v>39</v>
      </c>
      <c r="J4764" t="s">
        <v>37</v>
      </c>
      <c r="K4764" t="s">
        <v>40</v>
      </c>
      <c r="L4764">
        <v>5</v>
      </c>
      <c r="M4764">
        <v>0</v>
      </c>
      <c r="N4764">
        <v>1</v>
      </c>
      <c r="O4764" t="s">
        <v>27</v>
      </c>
      <c r="P4764" t="str">
        <f>TEXT(Table1[[#This Row],[order_date]],"yyyy-mm")</f>
        <v>2025-11</v>
      </c>
      <c r="Q4764">
        <f>WEEKNUM(Table1[[#This Row],[order_date]])</f>
        <v>46</v>
      </c>
      <c r="R4764">
        <f>IF(Table1[[#This Row],[order_status]]="completed",1,0)</f>
        <v>0</v>
      </c>
    </row>
    <row r="4765" spans="1:18" x14ac:dyDescent="0.35">
      <c r="A4765">
        <v>4764</v>
      </c>
      <c r="B4765" s="1">
        <v>45972</v>
      </c>
      <c r="C4765">
        <v>1220</v>
      </c>
      <c r="D4765" t="s">
        <v>28</v>
      </c>
      <c r="E4765" t="s">
        <v>23</v>
      </c>
      <c r="F4765" t="s">
        <v>30</v>
      </c>
      <c r="G4765">
        <v>5</v>
      </c>
      <c r="H4765">
        <v>0</v>
      </c>
      <c r="I4765" t="s">
        <v>25</v>
      </c>
      <c r="J4765" t="s">
        <v>31</v>
      </c>
      <c r="K4765" t="s">
        <v>20</v>
      </c>
      <c r="L4765">
        <v>4</v>
      </c>
      <c r="M4765">
        <v>1</v>
      </c>
      <c r="N4765">
        <v>1</v>
      </c>
      <c r="O4765" t="s">
        <v>27</v>
      </c>
      <c r="P4765" t="str">
        <f>TEXT(Table1[[#This Row],[order_date]],"yyyy-mm")</f>
        <v>2025-11</v>
      </c>
      <c r="Q4765">
        <f>WEEKNUM(Table1[[#This Row],[order_date]])</f>
        <v>46</v>
      </c>
      <c r="R4765">
        <f>IF(Table1[[#This Row],[order_status]]="completed",1,0)</f>
        <v>0</v>
      </c>
    </row>
    <row r="4766" spans="1:18" x14ac:dyDescent="0.35">
      <c r="A4766">
        <v>4765</v>
      </c>
      <c r="B4766" s="1">
        <v>45902</v>
      </c>
      <c r="C4766">
        <v>1892</v>
      </c>
      <c r="D4766" t="s">
        <v>28</v>
      </c>
      <c r="E4766" t="s">
        <v>33</v>
      </c>
      <c r="F4766" t="s">
        <v>24</v>
      </c>
      <c r="G4766">
        <v>4</v>
      </c>
      <c r="H4766">
        <v>0</v>
      </c>
      <c r="I4766" t="s">
        <v>39</v>
      </c>
      <c r="J4766" t="s">
        <v>31</v>
      </c>
      <c r="K4766" t="s">
        <v>38</v>
      </c>
      <c r="L4766">
        <v>7</v>
      </c>
      <c r="M4766">
        <v>1</v>
      </c>
      <c r="N4766">
        <v>0</v>
      </c>
      <c r="O4766" t="s">
        <v>27</v>
      </c>
      <c r="P4766" t="str">
        <f>TEXT(Table1[[#This Row],[order_date]],"yyyy-mm")</f>
        <v>2025-09</v>
      </c>
      <c r="Q4766">
        <f>WEEKNUM(Table1[[#This Row],[order_date]])</f>
        <v>36</v>
      </c>
      <c r="R4766">
        <f>IF(Table1[[#This Row],[order_status]]="completed",1,0)</f>
        <v>0</v>
      </c>
    </row>
    <row r="4767" spans="1:18" x14ac:dyDescent="0.35">
      <c r="A4767">
        <v>4766</v>
      </c>
      <c r="B4767" s="1">
        <v>45958</v>
      </c>
      <c r="C4767">
        <v>1354</v>
      </c>
      <c r="D4767" t="s">
        <v>15</v>
      </c>
      <c r="E4767" t="s">
        <v>16</v>
      </c>
      <c r="F4767" t="s">
        <v>17</v>
      </c>
      <c r="G4767">
        <v>3</v>
      </c>
      <c r="H4767">
        <v>0</v>
      </c>
      <c r="I4767" t="s">
        <v>35</v>
      </c>
      <c r="J4767" t="s">
        <v>37</v>
      </c>
      <c r="K4767" t="s">
        <v>40</v>
      </c>
      <c r="L4767">
        <v>2</v>
      </c>
      <c r="M4767">
        <v>1</v>
      </c>
      <c r="N4767">
        <v>0</v>
      </c>
      <c r="O4767" t="s">
        <v>27</v>
      </c>
      <c r="P4767" t="str">
        <f>TEXT(Table1[[#This Row],[order_date]],"yyyy-mm")</f>
        <v>2025-10</v>
      </c>
      <c r="Q4767">
        <f>WEEKNUM(Table1[[#This Row],[order_date]])</f>
        <v>44</v>
      </c>
      <c r="R4767">
        <f>IF(Table1[[#This Row],[order_status]]="completed",1,0)</f>
        <v>0</v>
      </c>
    </row>
    <row r="4768" spans="1:18" x14ac:dyDescent="0.35">
      <c r="A4768">
        <v>4767</v>
      </c>
      <c r="B4768" s="1">
        <v>45964</v>
      </c>
      <c r="C4768">
        <v>1616</v>
      </c>
      <c r="D4768" t="s">
        <v>41</v>
      </c>
      <c r="E4768" t="s">
        <v>29</v>
      </c>
      <c r="F4768" t="s">
        <v>30</v>
      </c>
      <c r="G4768">
        <v>4</v>
      </c>
      <c r="H4768">
        <v>4864</v>
      </c>
      <c r="I4768" t="s">
        <v>18</v>
      </c>
      <c r="J4768" t="s">
        <v>19</v>
      </c>
      <c r="K4768" t="s">
        <v>38</v>
      </c>
      <c r="L4768">
        <v>6</v>
      </c>
      <c r="M4768">
        <v>1</v>
      </c>
      <c r="N4768">
        <v>1</v>
      </c>
      <c r="O4768" t="s">
        <v>21</v>
      </c>
      <c r="P4768" t="str">
        <f>TEXT(Table1[[#This Row],[order_date]],"yyyy-mm")</f>
        <v>2025-11</v>
      </c>
      <c r="Q4768">
        <f>WEEKNUM(Table1[[#This Row],[order_date]])</f>
        <v>45</v>
      </c>
      <c r="R4768">
        <f>IF(Table1[[#This Row],[order_status]]="completed",1,0)</f>
        <v>1</v>
      </c>
    </row>
    <row r="4769" spans="1:18" x14ac:dyDescent="0.35">
      <c r="A4769">
        <v>4768</v>
      </c>
      <c r="B4769" s="1">
        <v>45979</v>
      </c>
      <c r="C4769">
        <v>1999</v>
      </c>
      <c r="D4769" t="s">
        <v>22</v>
      </c>
      <c r="E4769" t="s">
        <v>36</v>
      </c>
      <c r="F4769" t="s">
        <v>34</v>
      </c>
      <c r="G4769">
        <v>5</v>
      </c>
      <c r="H4769">
        <v>0</v>
      </c>
      <c r="I4769" t="s">
        <v>18</v>
      </c>
      <c r="J4769" t="s">
        <v>31</v>
      </c>
      <c r="K4769" t="s">
        <v>26</v>
      </c>
      <c r="L4769">
        <v>9</v>
      </c>
      <c r="M4769">
        <v>0</v>
      </c>
      <c r="N4769">
        <v>1</v>
      </c>
      <c r="O4769" t="s">
        <v>27</v>
      </c>
      <c r="P4769" t="str">
        <f>TEXT(Table1[[#This Row],[order_date]],"yyyy-mm")</f>
        <v>2025-11</v>
      </c>
      <c r="Q4769">
        <f>WEEKNUM(Table1[[#This Row],[order_date]])</f>
        <v>47</v>
      </c>
      <c r="R4769">
        <f>IF(Table1[[#This Row],[order_status]]="completed",1,0)</f>
        <v>0</v>
      </c>
    </row>
    <row r="4770" spans="1:18" x14ac:dyDescent="0.35">
      <c r="A4770">
        <v>4769</v>
      </c>
      <c r="B4770" s="1">
        <v>45994</v>
      </c>
      <c r="C4770">
        <v>1541</v>
      </c>
      <c r="D4770" t="s">
        <v>28</v>
      </c>
      <c r="E4770" t="s">
        <v>29</v>
      </c>
      <c r="F4770" t="s">
        <v>34</v>
      </c>
      <c r="G4770">
        <v>4</v>
      </c>
      <c r="H4770">
        <v>0</v>
      </c>
      <c r="I4770" t="s">
        <v>39</v>
      </c>
      <c r="J4770" t="s">
        <v>31</v>
      </c>
      <c r="K4770" t="s">
        <v>26</v>
      </c>
      <c r="L4770">
        <v>9</v>
      </c>
      <c r="M4770">
        <v>1</v>
      </c>
      <c r="N4770">
        <v>1</v>
      </c>
      <c r="O4770" t="s">
        <v>21</v>
      </c>
      <c r="P4770" t="str">
        <f>TEXT(Table1[[#This Row],[order_date]],"yyyy-mm")</f>
        <v>2025-12</v>
      </c>
      <c r="Q4770">
        <f>WEEKNUM(Table1[[#This Row],[order_date]])</f>
        <v>49</v>
      </c>
      <c r="R4770">
        <f>IF(Table1[[#This Row],[order_status]]="completed",1,0)</f>
        <v>0</v>
      </c>
    </row>
    <row r="4771" spans="1:18" x14ac:dyDescent="0.35">
      <c r="A4771">
        <v>4770</v>
      </c>
      <c r="B4771" s="1">
        <v>45929</v>
      </c>
      <c r="C4771">
        <v>1163</v>
      </c>
      <c r="D4771" t="s">
        <v>32</v>
      </c>
      <c r="E4771" t="s">
        <v>36</v>
      </c>
      <c r="F4771" t="s">
        <v>34</v>
      </c>
      <c r="G4771">
        <v>1</v>
      </c>
      <c r="H4771">
        <v>0</v>
      </c>
      <c r="I4771" t="s">
        <v>25</v>
      </c>
      <c r="J4771" t="s">
        <v>31</v>
      </c>
      <c r="K4771" t="s">
        <v>40</v>
      </c>
      <c r="L4771">
        <v>10</v>
      </c>
      <c r="M4771">
        <v>1</v>
      </c>
      <c r="N4771">
        <v>1</v>
      </c>
      <c r="O4771" t="s">
        <v>27</v>
      </c>
      <c r="P4771" t="str">
        <f>TEXT(Table1[[#This Row],[order_date]],"yyyy-mm")</f>
        <v>2025-09</v>
      </c>
      <c r="Q4771">
        <f>WEEKNUM(Table1[[#This Row],[order_date]])</f>
        <v>40</v>
      </c>
      <c r="R4771">
        <f>IF(Table1[[#This Row],[order_status]]="completed",1,0)</f>
        <v>0</v>
      </c>
    </row>
    <row r="4772" spans="1:18" x14ac:dyDescent="0.35">
      <c r="A4772">
        <v>4771</v>
      </c>
      <c r="B4772" s="1">
        <v>45987</v>
      </c>
      <c r="C4772">
        <v>1569</v>
      </c>
      <c r="D4772" t="s">
        <v>41</v>
      </c>
      <c r="E4772" t="s">
        <v>36</v>
      </c>
      <c r="F4772" t="s">
        <v>30</v>
      </c>
      <c r="G4772">
        <v>4</v>
      </c>
      <c r="H4772">
        <v>0</v>
      </c>
      <c r="I4772" t="s">
        <v>39</v>
      </c>
      <c r="J4772" t="s">
        <v>37</v>
      </c>
      <c r="K4772" t="s">
        <v>26</v>
      </c>
      <c r="L4772">
        <v>9</v>
      </c>
      <c r="M4772">
        <v>1</v>
      </c>
      <c r="N4772">
        <v>0</v>
      </c>
      <c r="O4772" t="s">
        <v>21</v>
      </c>
      <c r="P4772" t="str">
        <f>TEXT(Table1[[#This Row],[order_date]],"yyyy-mm")</f>
        <v>2025-11</v>
      </c>
      <c r="Q4772">
        <f>WEEKNUM(Table1[[#This Row],[order_date]])</f>
        <v>48</v>
      </c>
      <c r="R4772">
        <f>IF(Table1[[#This Row],[order_status]]="completed",1,0)</f>
        <v>0</v>
      </c>
    </row>
    <row r="4773" spans="1:18" x14ac:dyDescent="0.35">
      <c r="A4773">
        <v>4772</v>
      </c>
      <c r="B4773" s="1">
        <v>45903</v>
      </c>
      <c r="C4773">
        <v>1382</v>
      </c>
      <c r="D4773" t="s">
        <v>41</v>
      </c>
      <c r="E4773" t="s">
        <v>36</v>
      </c>
      <c r="F4773" t="s">
        <v>30</v>
      </c>
      <c r="G4773">
        <v>4</v>
      </c>
      <c r="H4773">
        <v>0</v>
      </c>
      <c r="I4773" t="s">
        <v>25</v>
      </c>
      <c r="J4773" t="s">
        <v>37</v>
      </c>
      <c r="K4773" t="s">
        <v>26</v>
      </c>
      <c r="L4773">
        <v>1</v>
      </c>
      <c r="M4773">
        <v>1</v>
      </c>
      <c r="N4773">
        <v>1</v>
      </c>
      <c r="O4773" t="s">
        <v>27</v>
      </c>
      <c r="P4773" t="str">
        <f>TEXT(Table1[[#This Row],[order_date]],"yyyy-mm")</f>
        <v>2025-09</v>
      </c>
      <c r="Q4773">
        <f>WEEKNUM(Table1[[#This Row],[order_date]])</f>
        <v>36</v>
      </c>
      <c r="R4773">
        <f>IF(Table1[[#This Row],[order_status]]="completed",1,0)</f>
        <v>0</v>
      </c>
    </row>
    <row r="4774" spans="1:18" x14ac:dyDescent="0.35">
      <c r="A4774">
        <v>4773</v>
      </c>
      <c r="B4774" s="1">
        <v>45927</v>
      </c>
      <c r="C4774">
        <v>1519</v>
      </c>
      <c r="D4774" t="s">
        <v>15</v>
      </c>
      <c r="E4774" t="s">
        <v>23</v>
      </c>
      <c r="F4774" t="s">
        <v>30</v>
      </c>
      <c r="G4774">
        <v>4</v>
      </c>
      <c r="H4774">
        <v>0</v>
      </c>
      <c r="I4774" t="s">
        <v>39</v>
      </c>
      <c r="J4774" t="s">
        <v>31</v>
      </c>
      <c r="K4774" t="s">
        <v>26</v>
      </c>
      <c r="L4774">
        <v>2</v>
      </c>
      <c r="M4774">
        <v>1</v>
      </c>
      <c r="N4774">
        <v>1</v>
      </c>
      <c r="O4774" t="s">
        <v>21</v>
      </c>
      <c r="P4774" t="str">
        <f>TEXT(Table1[[#This Row],[order_date]],"yyyy-mm")</f>
        <v>2025-09</v>
      </c>
      <c r="Q4774">
        <f>WEEKNUM(Table1[[#This Row],[order_date]])</f>
        <v>39</v>
      </c>
      <c r="R4774">
        <f>IF(Table1[[#This Row],[order_status]]="completed",1,0)</f>
        <v>0</v>
      </c>
    </row>
    <row r="4775" spans="1:18" x14ac:dyDescent="0.35">
      <c r="A4775">
        <v>4774</v>
      </c>
      <c r="B4775" s="1">
        <v>46015</v>
      </c>
      <c r="C4775">
        <v>1287</v>
      </c>
      <c r="D4775" t="s">
        <v>41</v>
      </c>
      <c r="E4775" t="s">
        <v>16</v>
      </c>
      <c r="F4775" t="s">
        <v>34</v>
      </c>
      <c r="G4775">
        <v>2</v>
      </c>
      <c r="H4775">
        <v>0</v>
      </c>
      <c r="I4775" t="s">
        <v>39</v>
      </c>
      <c r="J4775" t="s">
        <v>37</v>
      </c>
      <c r="K4775" t="s">
        <v>40</v>
      </c>
      <c r="L4775">
        <v>1</v>
      </c>
      <c r="M4775">
        <v>1</v>
      </c>
      <c r="N4775">
        <v>1</v>
      </c>
      <c r="O4775" t="s">
        <v>27</v>
      </c>
      <c r="P4775" t="str">
        <f>TEXT(Table1[[#This Row],[order_date]],"yyyy-mm")</f>
        <v>2025-12</v>
      </c>
      <c r="Q4775">
        <f>WEEKNUM(Table1[[#This Row],[order_date]])</f>
        <v>52</v>
      </c>
      <c r="R4775">
        <f>IF(Table1[[#This Row],[order_status]]="completed",1,0)</f>
        <v>0</v>
      </c>
    </row>
    <row r="4776" spans="1:18" x14ac:dyDescent="0.35">
      <c r="A4776">
        <v>4775</v>
      </c>
      <c r="B4776" s="1">
        <v>45926</v>
      </c>
      <c r="C4776">
        <v>1387</v>
      </c>
      <c r="D4776" t="s">
        <v>41</v>
      </c>
      <c r="E4776" t="s">
        <v>33</v>
      </c>
      <c r="F4776" t="s">
        <v>17</v>
      </c>
      <c r="G4776">
        <v>1</v>
      </c>
      <c r="H4776">
        <v>0</v>
      </c>
      <c r="I4776" t="s">
        <v>35</v>
      </c>
      <c r="J4776" t="s">
        <v>31</v>
      </c>
      <c r="K4776" t="s">
        <v>26</v>
      </c>
      <c r="L4776">
        <v>10</v>
      </c>
      <c r="M4776">
        <v>1</v>
      </c>
      <c r="N4776">
        <v>1</v>
      </c>
      <c r="O4776" t="s">
        <v>27</v>
      </c>
      <c r="P4776" t="str">
        <f>TEXT(Table1[[#This Row],[order_date]],"yyyy-mm")</f>
        <v>2025-09</v>
      </c>
      <c r="Q4776">
        <f>WEEKNUM(Table1[[#This Row],[order_date]])</f>
        <v>39</v>
      </c>
      <c r="R4776">
        <f>IF(Table1[[#This Row],[order_status]]="completed",1,0)</f>
        <v>0</v>
      </c>
    </row>
    <row r="4777" spans="1:18" x14ac:dyDescent="0.35">
      <c r="A4777">
        <v>4776</v>
      </c>
      <c r="B4777" s="1">
        <v>45986</v>
      </c>
      <c r="C4777">
        <v>1567</v>
      </c>
      <c r="D4777" t="s">
        <v>22</v>
      </c>
      <c r="E4777" t="s">
        <v>36</v>
      </c>
      <c r="F4777" t="s">
        <v>17</v>
      </c>
      <c r="G4777">
        <v>2</v>
      </c>
      <c r="H4777">
        <v>0</v>
      </c>
      <c r="I4777" t="s">
        <v>18</v>
      </c>
      <c r="J4777" t="s">
        <v>31</v>
      </c>
      <c r="K4777" t="s">
        <v>26</v>
      </c>
      <c r="L4777">
        <v>9</v>
      </c>
      <c r="M4777">
        <v>1</v>
      </c>
      <c r="N4777">
        <v>0</v>
      </c>
      <c r="O4777" t="s">
        <v>27</v>
      </c>
      <c r="P4777" t="str">
        <f>TEXT(Table1[[#This Row],[order_date]],"yyyy-mm")</f>
        <v>2025-11</v>
      </c>
      <c r="Q4777">
        <f>WEEKNUM(Table1[[#This Row],[order_date]])</f>
        <v>48</v>
      </c>
      <c r="R4777">
        <f>IF(Table1[[#This Row],[order_status]]="completed",1,0)</f>
        <v>0</v>
      </c>
    </row>
    <row r="4778" spans="1:18" x14ac:dyDescent="0.35">
      <c r="A4778">
        <v>4777</v>
      </c>
      <c r="B4778" s="1">
        <v>45971</v>
      </c>
      <c r="C4778">
        <v>1522</v>
      </c>
      <c r="D4778" t="s">
        <v>22</v>
      </c>
      <c r="E4778" t="s">
        <v>33</v>
      </c>
      <c r="F4778" t="s">
        <v>34</v>
      </c>
      <c r="G4778">
        <v>3</v>
      </c>
      <c r="H4778">
        <v>0</v>
      </c>
      <c r="I4778" t="s">
        <v>25</v>
      </c>
      <c r="J4778" t="s">
        <v>31</v>
      </c>
      <c r="K4778" t="s">
        <v>20</v>
      </c>
      <c r="L4778">
        <v>4</v>
      </c>
      <c r="M4778">
        <v>1</v>
      </c>
      <c r="N4778">
        <v>0</v>
      </c>
      <c r="O4778" t="s">
        <v>21</v>
      </c>
      <c r="P4778" t="str">
        <f>TEXT(Table1[[#This Row],[order_date]],"yyyy-mm")</f>
        <v>2025-11</v>
      </c>
      <c r="Q4778">
        <f>WEEKNUM(Table1[[#This Row],[order_date]])</f>
        <v>46</v>
      </c>
      <c r="R4778">
        <f>IF(Table1[[#This Row],[order_status]]="completed",1,0)</f>
        <v>0</v>
      </c>
    </row>
    <row r="4779" spans="1:18" x14ac:dyDescent="0.35">
      <c r="A4779">
        <v>4778</v>
      </c>
      <c r="B4779" s="1">
        <v>45867</v>
      </c>
      <c r="C4779">
        <v>1976</v>
      </c>
      <c r="D4779" t="s">
        <v>32</v>
      </c>
      <c r="E4779" t="s">
        <v>33</v>
      </c>
      <c r="F4779" t="s">
        <v>17</v>
      </c>
      <c r="G4779">
        <v>5</v>
      </c>
      <c r="H4779">
        <v>0</v>
      </c>
      <c r="I4779" t="s">
        <v>39</v>
      </c>
      <c r="J4779" t="s">
        <v>37</v>
      </c>
      <c r="K4779" t="s">
        <v>40</v>
      </c>
      <c r="L4779">
        <v>6</v>
      </c>
      <c r="M4779">
        <v>1</v>
      </c>
      <c r="N4779">
        <v>1</v>
      </c>
      <c r="O4779" t="s">
        <v>21</v>
      </c>
      <c r="P4779" t="str">
        <f>TEXT(Table1[[#This Row],[order_date]],"yyyy-mm")</f>
        <v>2025-07</v>
      </c>
      <c r="Q4779">
        <f>WEEKNUM(Table1[[#This Row],[order_date]])</f>
        <v>31</v>
      </c>
      <c r="R4779">
        <f>IF(Table1[[#This Row],[order_status]]="completed",1,0)</f>
        <v>0</v>
      </c>
    </row>
    <row r="4780" spans="1:18" x14ac:dyDescent="0.35">
      <c r="A4780">
        <v>4779</v>
      </c>
      <c r="B4780" s="1">
        <v>45984</v>
      </c>
      <c r="C4780">
        <v>1688</v>
      </c>
      <c r="D4780" t="s">
        <v>41</v>
      </c>
      <c r="E4780" t="s">
        <v>36</v>
      </c>
      <c r="F4780" t="s">
        <v>17</v>
      </c>
      <c r="G4780">
        <v>4</v>
      </c>
      <c r="H4780">
        <v>0</v>
      </c>
      <c r="I4780" t="s">
        <v>18</v>
      </c>
      <c r="J4780" t="s">
        <v>37</v>
      </c>
      <c r="K4780" t="s">
        <v>38</v>
      </c>
      <c r="L4780">
        <v>4</v>
      </c>
      <c r="M4780">
        <v>0</v>
      </c>
      <c r="N4780">
        <v>0</v>
      </c>
      <c r="O4780" t="s">
        <v>27</v>
      </c>
      <c r="P4780" t="str">
        <f>TEXT(Table1[[#This Row],[order_date]],"yyyy-mm")</f>
        <v>2025-11</v>
      </c>
      <c r="Q4780">
        <f>WEEKNUM(Table1[[#This Row],[order_date]])</f>
        <v>48</v>
      </c>
      <c r="R4780">
        <f>IF(Table1[[#This Row],[order_status]]="completed",1,0)</f>
        <v>0</v>
      </c>
    </row>
    <row r="4781" spans="1:18" x14ac:dyDescent="0.35">
      <c r="A4781">
        <v>4780</v>
      </c>
      <c r="B4781" s="1">
        <v>46030</v>
      </c>
      <c r="C4781">
        <v>1710</v>
      </c>
      <c r="D4781" t="s">
        <v>15</v>
      </c>
      <c r="E4781" t="s">
        <v>33</v>
      </c>
      <c r="F4781" t="s">
        <v>34</v>
      </c>
      <c r="G4781">
        <v>3</v>
      </c>
      <c r="H4781">
        <v>0</v>
      </c>
      <c r="I4781" t="s">
        <v>25</v>
      </c>
      <c r="J4781" t="s">
        <v>31</v>
      </c>
      <c r="K4781" t="s">
        <v>26</v>
      </c>
      <c r="L4781">
        <v>9</v>
      </c>
      <c r="M4781">
        <v>1</v>
      </c>
      <c r="N4781">
        <v>0</v>
      </c>
      <c r="O4781" t="s">
        <v>27</v>
      </c>
      <c r="P4781" t="str">
        <f>TEXT(Table1[[#This Row],[order_date]],"yyyy-mm")</f>
        <v>2026-01</v>
      </c>
      <c r="Q4781">
        <f>WEEKNUM(Table1[[#This Row],[order_date]])</f>
        <v>2</v>
      </c>
      <c r="R4781">
        <f>IF(Table1[[#This Row],[order_status]]="completed",1,0)</f>
        <v>0</v>
      </c>
    </row>
    <row r="4782" spans="1:18" x14ac:dyDescent="0.35">
      <c r="A4782">
        <v>4781</v>
      </c>
      <c r="B4782" s="1">
        <v>45906</v>
      </c>
      <c r="C4782">
        <v>1687</v>
      </c>
      <c r="D4782" t="s">
        <v>15</v>
      </c>
      <c r="E4782" t="s">
        <v>36</v>
      </c>
      <c r="F4782" t="s">
        <v>24</v>
      </c>
      <c r="G4782">
        <v>4</v>
      </c>
      <c r="H4782">
        <v>0</v>
      </c>
      <c r="I4782" t="s">
        <v>25</v>
      </c>
      <c r="J4782" t="s">
        <v>37</v>
      </c>
      <c r="K4782" t="s">
        <v>40</v>
      </c>
      <c r="L4782">
        <v>1</v>
      </c>
      <c r="M4782">
        <v>1</v>
      </c>
      <c r="N4782">
        <v>1</v>
      </c>
      <c r="O4782" t="s">
        <v>21</v>
      </c>
      <c r="P4782" t="str">
        <f>TEXT(Table1[[#This Row],[order_date]],"yyyy-mm")</f>
        <v>2025-09</v>
      </c>
      <c r="Q4782">
        <f>WEEKNUM(Table1[[#This Row],[order_date]])</f>
        <v>36</v>
      </c>
      <c r="R4782">
        <f>IF(Table1[[#This Row],[order_status]]="completed",1,0)</f>
        <v>0</v>
      </c>
    </row>
    <row r="4783" spans="1:18" x14ac:dyDescent="0.35">
      <c r="A4783">
        <v>4782</v>
      </c>
      <c r="B4783" s="1">
        <v>45920</v>
      </c>
      <c r="C4783">
        <v>1029</v>
      </c>
      <c r="D4783" t="s">
        <v>22</v>
      </c>
      <c r="E4783" t="s">
        <v>16</v>
      </c>
      <c r="F4783" t="s">
        <v>24</v>
      </c>
      <c r="G4783">
        <v>3</v>
      </c>
      <c r="H4783">
        <v>0</v>
      </c>
      <c r="I4783" t="s">
        <v>35</v>
      </c>
      <c r="J4783" t="s">
        <v>31</v>
      </c>
      <c r="K4783" t="s">
        <v>40</v>
      </c>
      <c r="L4783">
        <v>10</v>
      </c>
      <c r="M4783">
        <v>1</v>
      </c>
      <c r="N4783">
        <v>1</v>
      </c>
      <c r="O4783" t="s">
        <v>21</v>
      </c>
      <c r="P4783" t="str">
        <f>TEXT(Table1[[#This Row],[order_date]],"yyyy-mm")</f>
        <v>2025-09</v>
      </c>
      <c r="Q4783">
        <f>WEEKNUM(Table1[[#This Row],[order_date]])</f>
        <v>38</v>
      </c>
      <c r="R4783">
        <f>IF(Table1[[#This Row],[order_status]]="completed",1,0)</f>
        <v>0</v>
      </c>
    </row>
    <row r="4784" spans="1:18" x14ac:dyDescent="0.35">
      <c r="A4784">
        <v>4783</v>
      </c>
      <c r="B4784" s="1">
        <v>45878</v>
      </c>
      <c r="C4784">
        <v>1404</v>
      </c>
      <c r="D4784" t="s">
        <v>15</v>
      </c>
      <c r="E4784" t="s">
        <v>23</v>
      </c>
      <c r="F4784" t="s">
        <v>24</v>
      </c>
      <c r="G4784">
        <v>4</v>
      </c>
      <c r="H4784">
        <v>0</v>
      </c>
      <c r="I4784" t="s">
        <v>25</v>
      </c>
      <c r="J4784" t="s">
        <v>37</v>
      </c>
      <c r="K4784" t="s">
        <v>26</v>
      </c>
      <c r="L4784">
        <v>3</v>
      </c>
      <c r="M4784">
        <v>0</v>
      </c>
      <c r="N4784">
        <v>0</v>
      </c>
      <c r="O4784" t="s">
        <v>21</v>
      </c>
      <c r="P4784" t="str">
        <f>TEXT(Table1[[#This Row],[order_date]],"yyyy-mm")</f>
        <v>2025-08</v>
      </c>
      <c r="Q4784">
        <f>WEEKNUM(Table1[[#This Row],[order_date]])</f>
        <v>32</v>
      </c>
      <c r="R4784">
        <f>IF(Table1[[#This Row],[order_status]]="completed",1,0)</f>
        <v>0</v>
      </c>
    </row>
    <row r="4785" spans="1:18" x14ac:dyDescent="0.35">
      <c r="A4785">
        <v>4784</v>
      </c>
      <c r="B4785" s="1">
        <v>46010</v>
      </c>
      <c r="C4785">
        <v>1532</v>
      </c>
      <c r="D4785" t="s">
        <v>32</v>
      </c>
      <c r="E4785" t="s">
        <v>16</v>
      </c>
      <c r="F4785" t="s">
        <v>17</v>
      </c>
      <c r="G4785">
        <v>3</v>
      </c>
      <c r="H4785">
        <v>0</v>
      </c>
      <c r="I4785" t="s">
        <v>25</v>
      </c>
      <c r="J4785" t="s">
        <v>31</v>
      </c>
      <c r="K4785" t="s">
        <v>20</v>
      </c>
      <c r="L4785">
        <v>1</v>
      </c>
      <c r="M4785">
        <v>0</v>
      </c>
      <c r="N4785">
        <v>1</v>
      </c>
      <c r="O4785" t="s">
        <v>21</v>
      </c>
      <c r="P4785" t="str">
        <f>TEXT(Table1[[#This Row],[order_date]],"yyyy-mm")</f>
        <v>2025-12</v>
      </c>
      <c r="Q4785">
        <f>WEEKNUM(Table1[[#This Row],[order_date]])</f>
        <v>51</v>
      </c>
      <c r="R4785">
        <f>IF(Table1[[#This Row],[order_status]]="completed",1,0)</f>
        <v>0</v>
      </c>
    </row>
    <row r="4786" spans="1:18" x14ac:dyDescent="0.35">
      <c r="A4786">
        <v>4785</v>
      </c>
      <c r="B4786" s="1">
        <v>46011</v>
      </c>
      <c r="C4786">
        <v>1972</v>
      </c>
      <c r="D4786" t="s">
        <v>28</v>
      </c>
      <c r="E4786" t="s">
        <v>33</v>
      </c>
      <c r="F4786" t="s">
        <v>17</v>
      </c>
      <c r="G4786">
        <v>2</v>
      </c>
      <c r="H4786">
        <v>0</v>
      </c>
      <c r="I4786" t="s">
        <v>18</v>
      </c>
      <c r="J4786" t="s">
        <v>37</v>
      </c>
      <c r="K4786" t="s">
        <v>38</v>
      </c>
      <c r="L4786">
        <v>3</v>
      </c>
      <c r="M4786">
        <v>0</v>
      </c>
      <c r="N4786">
        <v>0</v>
      </c>
      <c r="O4786" t="s">
        <v>27</v>
      </c>
      <c r="P4786" t="str">
        <f>TEXT(Table1[[#This Row],[order_date]],"yyyy-mm")</f>
        <v>2025-12</v>
      </c>
      <c r="Q4786">
        <f>WEEKNUM(Table1[[#This Row],[order_date]])</f>
        <v>51</v>
      </c>
      <c r="R4786">
        <f>IF(Table1[[#This Row],[order_status]]="completed",1,0)</f>
        <v>0</v>
      </c>
    </row>
    <row r="4787" spans="1:18" x14ac:dyDescent="0.35">
      <c r="A4787">
        <v>4786</v>
      </c>
      <c r="B4787" s="1">
        <v>45941</v>
      </c>
      <c r="C4787">
        <v>1069</v>
      </c>
      <c r="D4787" t="s">
        <v>28</v>
      </c>
      <c r="E4787" t="s">
        <v>16</v>
      </c>
      <c r="F4787" t="s">
        <v>24</v>
      </c>
      <c r="G4787">
        <v>4</v>
      </c>
      <c r="H4787">
        <v>0</v>
      </c>
      <c r="I4787" t="s">
        <v>35</v>
      </c>
      <c r="J4787" t="s">
        <v>31</v>
      </c>
      <c r="K4787" t="s">
        <v>20</v>
      </c>
      <c r="L4787">
        <v>6</v>
      </c>
      <c r="M4787">
        <v>0</v>
      </c>
      <c r="N4787">
        <v>1</v>
      </c>
      <c r="O4787" t="s">
        <v>27</v>
      </c>
      <c r="P4787" t="str">
        <f>TEXT(Table1[[#This Row],[order_date]],"yyyy-mm")</f>
        <v>2025-10</v>
      </c>
      <c r="Q4787">
        <f>WEEKNUM(Table1[[#This Row],[order_date]])</f>
        <v>41</v>
      </c>
      <c r="R4787">
        <f>IF(Table1[[#This Row],[order_status]]="completed",1,0)</f>
        <v>0</v>
      </c>
    </row>
    <row r="4788" spans="1:18" x14ac:dyDescent="0.35">
      <c r="A4788">
        <v>4787</v>
      </c>
      <c r="B4788" s="1">
        <v>45897</v>
      </c>
      <c r="C4788">
        <v>1732</v>
      </c>
      <c r="D4788" t="s">
        <v>41</v>
      </c>
      <c r="E4788" t="s">
        <v>16</v>
      </c>
      <c r="F4788" t="s">
        <v>24</v>
      </c>
      <c r="G4788">
        <v>2</v>
      </c>
      <c r="H4788">
        <v>0</v>
      </c>
      <c r="I4788" t="s">
        <v>25</v>
      </c>
      <c r="J4788" t="s">
        <v>37</v>
      </c>
      <c r="K4788" t="s">
        <v>26</v>
      </c>
      <c r="L4788">
        <v>1</v>
      </c>
      <c r="M4788">
        <v>0</v>
      </c>
      <c r="N4788">
        <v>1</v>
      </c>
      <c r="O4788" t="s">
        <v>27</v>
      </c>
      <c r="P4788" t="str">
        <f>TEXT(Table1[[#This Row],[order_date]],"yyyy-mm")</f>
        <v>2025-08</v>
      </c>
      <c r="Q4788">
        <f>WEEKNUM(Table1[[#This Row],[order_date]])</f>
        <v>35</v>
      </c>
      <c r="R4788">
        <f>IF(Table1[[#This Row],[order_status]]="completed",1,0)</f>
        <v>0</v>
      </c>
    </row>
    <row r="4789" spans="1:18" x14ac:dyDescent="0.35">
      <c r="A4789">
        <v>4788</v>
      </c>
      <c r="B4789" s="1">
        <v>45985</v>
      </c>
      <c r="C4789">
        <v>1118</v>
      </c>
      <c r="D4789" t="s">
        <v>22</v>
      </c>
      <c r="E4789" t="s">
        <v>16</v>
      </c>
      <c r="F4789" t="s">
        <v>17</v>
      </c>
      <c r="G4789">
        <v>2</v>
      </c>
      <c r="H4789">
        <v>5356</v>
      </c>
      <c r="I4789" t="s">
        <v>35</v>
      </c>
      <c r="J4789" t="s">
        <v>19</v>
      </c>
      <c r="K4789" t="s">
        <v>38</v>
      </c>
      <c r="L4789">
        <v>4</v>
      </c>
      <c r="M4789">
        <v>0</v>
      </c>
      <c r="N4789">
        <v>0</v>
      </c>
      <c r="O4789" t="s">
        <v>21</v>
      </c>
      <c r="P4789" t="str">
        <f>TEXT(Table1[[#This Row],[order_date]],"yyyy-mm")</f>
        <v>2025-11</v>
      </c>
      <c r="Q4789">
        <f>WEEKNUM(Table1[[#This Row],[order_date]])</f>
        <v>48</v>
      </c>
      <c r="R4789">
        <f>IF(Table1[[#This Row],[order_status]]="completed",1,0)</f>
        <v>1</v>
      </c>
    </row>
    <row r="4790" spans="1:18" x14ac:dyDescent="0.35">
      <c r="A4790">
        <v>4789</v>
      </c>
      <c r="B4790" s="1">
        <v>46005</v>
      </c>
      <c r="C4790">
        <v>1528</v>
      </c>
      <c r="D4790" t="s">
        <v>32</v>
      </c>
      <c r="E4790" t="s">
        <v>36</v>
      </c>
      <c r="F4790" t="s">
        <v>34</v>
      </c>
      <c r="G4790">
        <v>3</v>
      </c>
      <c r="H4790">
        <v>0</v>
      </c>
      <c r="I4790" t="s">
        <v>39</v>
      </c>
      <c r="J4790" t="s">
        <v>31</v>
      </c>
      <c r="K4790" t="s">
        <v>26</v>
      </c>
      <c r="L4790">
        <v>3</v>
      </c>
      <c r="M4790">
        <v>1</v>
      </c>
      <c r="N4790">
        <v>0</v>
      </c>
      <c r="O4790" t="s">
        <v>21</v>
      </c>
      <c r="P4790" t="str">
        <f>TEXT(Table1[[#This Row],[order_date]],"yyyy-mm")</f>
        <v>2025-12</v>
      </c>
      <c r="Q4790">
        <f>WEEKNUM(Table1[[#This Row],[order_date]])</f>
        <v>51</v>
      </c>
      <c r="R4790">
        <f>IF(Table1[[#This Row],[order_status]]="completed",1,0)</f>
        <v>0</v>
      </c>
    </row>
    <row r="4791" spans="1:18" x14ac:dyDescent="0.35">
      <c r="A4791">
        <v>4790</v>
      </c>
      <c r="B4791" s="1">
        <v>45914</v>
      </c>
      <c r="C4791">
        <v>1200</v>
      </c>
      <c r="D4791" t="s">
        <v>22</v>
      </c>
      <c r="E4791" t="s">
        <v>33</v>
      </c>
      <c r="F4791" t="s">
        <v>24</v>
      </c>
      <c r="G4791">
        <v>5</v>
      </c>
      <c r="H4791">
        <v>0</v>
      </c>
      <c r="I4791" t="s">
        <v>25</v>
      </c>
      <c r="J4791" t="s">
        <v>31</v>
      </c>
      <c r="K4791" t="s">
        <v>26</v>
      </c>
      <c r="L4791">
        <v>1</v>
      </c>
      <c r="M4791">
        <v>0</v>
      </c>
      <c r="N4791">
        <v>1</v>
      </c>
      <c r="O4791" t="s">
        <v>27</v>
      </c>
      <c r="P4791" t="str">
        <f>TEXT(Table1[[#This Row],[order_date]],"yyyy-mm")</f>
        <v>2025-09</v>
      </c>
      <c r="Q4791">
        <f>WEEKNUM(Table1[[#This Row],[order_date]])</f>
        <v>38</v>
      </c>
      <c r="R4791">
        <f>IF(Table1[[#This Row],[order_status]]="completed",1,0)</f>
        <v>0</v>
      </c>
    </row>
    <row r="4792" spans="1:18" x14ac:dyDescent="0.35">
      <c r="A4792">
        <v>4791</v>
      </c>
      <c r="B4792" s="1">
        <v>46023</v>
      </c>
      <c r="C4792">
        <v>1124</v>
      </c>
      <c r="D4792" t="s">
        <v>41</v>
      </c>
      <c r="E4792" t="s">
        <v>16</v>
      </c>
      <c r="F4792" t="s">
        <v>17</v>
      </c>
      <c r="G4792">
        <v>1</v>
      </c>
      <c r="H4792">
        <v>2660</v>
      </c>
      <c r="I4792" t="s">
        <v>25</v>
      </c>
      <c r="J4792" t="s">
        <v>19</v>
      </c>
      <c r="K4792" t="s">
        <v>40</v>
      </c>
      <c r="L4792">
        <v>5</v>
      </c>
      <c r="M4792">
        <v>1</v>
      </c>
      <c r="N4792">
        <v>1</v>
      </c>
      <c r="O4792" t="s">
        <v>21</v>
      </c>
      <c r="P4792" t="str">
        <f>TEXT(Table1[[#This Row],[order_date]],"yyyy-mm")</f>
        <v>2026-01</v>
      </c>
      <c r="Q4792">
        <f>WEEKNUM(Table1[[#This Row],[order_date]])</f>
        <v>1</v>
      </c>
      <c r="R4792">
        <f>IF(Table1[[#This Row],[order_status]]="completed",1,0)</f>
        <v>1</v>
      </c>
    </row>
    <row r="4793" spans="1:18" x14ac:dyDescent="0.35">
      <c r="A4793">
        <v>4792</v>
      </c>
      <c r="B4793" s="1">
        <v>45942</v>
      </c>
      <c r="C4793">
        <v>1273</v>
      </c>
      <c r="D4793" t="s">
        <v>15</v>
      </c>
      <c r="E4793" t="s">
        <v>29</v>
      </c>
      <c r="F4793" t="s">
        <v>24</v>
      </c>
      <c r="G4793">
        <v>3</v>
      </c>
      <c r="H4793">
        <v>0</v>
      </c>
      <c r="I4793" t="s">
        <v>35</v>
      </c>
      <c r="J4793" t="s">
        <v>37</v>
      </c>
      <c r="K4793" t="s">
        <v>40</v>
      </c>
      <c r="L4793">
        <v>7</v>
      </c>
      <c r="M4793">
        <v>0</v>
      </c>
      <c r="N4793">
        <v>1</v>
      </c>
      <c r="O4793" t="s">
        <v>27</v>
      </c>
      <c r="P4793" t="str">
        <f>TEXT(Table1[[#This Row],[order_date]],"yyyy-mm")</f>
        <v>2025-10</v>
      </c>
      <c r="Q4793">
        <f>WEEKNUM(Table1[[#This Row],[order_date]])</f>
        <v>42</v>
      </c>
      <c r="R4793">
        <f>IF(Table1[[#This Row],[order_status]]="completed",1,0)</f>
        <v>0</v>
      </c>
    </row>
    <row r="4794" spans="1:18" x14ac:dyDescent="0.35">
      <c r="A4794">
        <v>4793</v>
      </c>
      <c r="B4794" s="1">
        <v>45956</v>
      </c>
      <c r="C4794">
        <v>1082</v>
      </c>
      <c r="D4794" t="s">
        <v>41</v>
      </c>
      <c r="E4794" t="s">
        <v>16</v>
      </c>
      <c r="F4794" t="s">
        <v>24</v>
      </c>
      <c r="G4794">
        <v>1</v>
      </c>
      <c r="H4794">
        <v>0</v>
      </c>
      <c r="I4794" t="s">
        <v>35</v>
      </c>
      <c r="J4794" t="s">
        <v>31</v>
      </c>
      <c r="K4794" t="s">
        <v>20</v>
      </c>
      <c r="L4794">
        <v>2</v>
      </c>
      <c r="M4794">
        <v>1</v>
      </c>
      <c r="N4794">
        <v>0</v>
      </c>
      <c r="O4794" t="s">
        <v>21</v>
      </c>
      <c r="P4794" t="str">
        <f>TEXT(Table1[[#This Row],[order_date]],"yyyy-mm")</f>
        <v>2025-10</v>
      </c>
      <c r="Q4794">
        <f>WEEKNUM(Table1[[#This Row],[order_date]])</f>
        <v>44</v>
      </c>
      <c r="R4794">
        <f>IF(Table1[[#This Row],[order_status]]="completed",1,0)</f>
        <v>0</v>
      </c>
    </row>
    <row r="4795" spans="1:18" x14ac:dyDescent="0.35">
      <c r="A4795">
        <v>4794</v>
      </c>
      <c r="B4795" s="1">
        <v>45980</v>
      </c>
      <c r="C4795">
        <v>1597</v>
      </c>
      <c r="D4795" t="s">
        <v>41</v>
      </c>
      <c r="E4795" t="s">
        <v>36</v>
      </c>
      <c r="F4795" t="s">
        <v>24</v>
      </c>
      <c r="G4795">
        <v>2</v>
      </c>
      <c r="H4795">
        <v>4550</v>
      </c>
      <c r="I4795" t="s">
        <v>35</v>
      </c>
      <c r="J4795" t="s">
        <v>19</v>
      </c>
      <c r="K4795" t="s">
        <v>38</v>
      </c>
      <c r="L4795">
        <v>5</v>
      </c>
      <c r="M4795">
        <v>0</v>
      </c>
      <c r="N4795">
        <v>1</v>
      </c>
      <c r="O4795" t="s">
        <v>21</v>
      </c>
      <c r="P4795" t="str">
        <f>TEXT(Table1[[#This Row],[order_date]],"yyyy-mm")</f>
        <v>2025-11</v>
      </c>
      <c r="Q4795">
        <f>WEEKNUM(Table1[[#This Row],[order_date]])</f>
        <v>47</v>
      </c>
      <c r="R4795">
        <f>IF(Table1[[#This Row],[order_status]]="completed",1,0)</f>
        <v>1</v>
      </c>
    </row>
    <row r="4796" spans="1:18" x14ac:dyDescent="0.35">
      <c r="A4796">
        <v>4795</v>
      </c>
      <c r="B4796" s="1">
        <v>45873</v>
      </c>
      <c r="C4796">
        <v>1796</v>
      </c>
      <c r="D4796" t="s">
        <v>32</v>
      </c>
      <c r="E4796" t="s">
        <v>23</v>
      </c>
      <c r="F4796" t="s">
        <v>30</v>
      </c>
      <c r="G4796">
        <v>5</v>
      </c>
      <c r="H4796">
        <v>0</v>
      </c>
      <c r="I4796" t="s">
        <v>35</v>
      </c>
      <c r="J4796" t="s">
        <v>37</v>
      </c>
      <c r="K4796" t="s">
        <v>20</v>
      </c>
      <c r="L4796">
        <v>10</v>
      </c>
      <c r="M4796">
        <v>0</v>
      </c>
      <c r="N4796">
        <v>1</v>
      </c>
      <c r="O4796" t="s">
        <v>21</v>
      </c>
      <c r="P4796" t="str">
        <f>TEXT(Table1[[#This Row],[order_date]],"yyyy-mm")</f>
        <v>2025-08</v>
      </c>
      <c r="Q4796">
        <f>WEEKNUM(Table1[[#This Row],[order_date]])</f>
        <v>32</v>
      </c>
      <c r="R4796">
        <f>IF(Table1[[#This Row],[order_status]]="completed",1,0)</f>
        <v>0</v>
      </c>
    </row>
    <row r="4797" spans="1:18" x14ac:dyDescent="0.35">
      <c r="A4797">
        <v>4796</v>
      </c>
      <c r="B4797" s="1">
        <v>45966</v>
      </c>
      <c r="C4797">
        <v>1301</v>
      </c>
      <c r="D4797" t="s">
        <v>41</v>
      </c>
      <c r="E4797" t="s">
        <v>33</v>
      </c>
      <c r="F4797" t="s">
        <v>17</v>
      </c>
      <c r="G4797">
        <v>1</v>
      </c>
      <c r="H4797">
        <v>0</v>
      </c>
      <c r="I4797" t="s">
        <v>35</v>
      </c>
      <c r="J4797" t="s">
        <v>37</v>
      </c>
      <c r="K4797" t="s">
        <v>20</v>
      </c>
      <c r="L4797">
        <v>7</v>
      </c>
      <c r="M4797">
        <v>1</v>
      </c>
      <c r="N4797">
        <v>1</v>
      </c>
      <c r="O4797" t="s">
        <v>21</v>
      </c>
      <c r="P4797" t="str">
        <f>TEXT(Table1[[#This Row],[order_date]],"yyyy-mm")</f>
        <v>2025-11</v>
      </c>
      <c r="Q4797">
        <f>WEEKNUM(Table1[[#This Row],[order_date]])</f>
        <v>45</v>
      </c>
      <c r="R4797">
        <f>IF(Table1[[#This Row],[order_status]]="completed",1,0)</f>
        <v>0</v>
      </c>
    </row>
    <row r="4798" spans="1:18" x14ac:dyDescent="0.35">
      <c r="A4798">
        <v>4797</v>
      </c>
      <c r="B4798" s="1">
        <v>45956</v>
      </c>
      <c r="C4798">
        <v>1690</v>
      </c>
      <c r="D4798" t="s">
        <v>22</v>
      </c>
      <c r="E4798" t="s">
        <v>23</v>
      </c>
      <c r="F4798" t="s">
        <v>17</v>
      </c>
      <c r="G4798">
        <v>4</v>
      </c>
      <c r="H4798">
        <v>0</v>
      </c>
      <c r="I4798" t="s">
        <v>39</v>
      </c>
      <c r="J4798" t="s">
        <v>31</v>
      </c>
      <c r="K4798" t="s">
        <v>40</v>
      </c>
      <c r="L4798">
        <v>5</v>
      </c>
      <c r="M4798">
        <v>1</v>
      </c>
      <c r="N4798">
        <v>0</v>
      </c>
      <c r="O4798" t="s">
        <v>27</v>
      </c>
      <c r="P4798" t="str">
        <f>TEXT(Table1[[#This Row],[order_date]],"yyyy-mm")</f>
        <v>2025-10</v>
      </c>
      <c r="Q4798">
        <f>WEEKNUM(Table1[[#This Row],[order_date]])</f>
        <v>44</v>
      </c>
      <c r="R4798">
        <f>IF(Table1[[#This Row],[order_status]]="completed",1,0)</f>
        <v>0</v>
      </c>
    </row>
    <row r="4799" spans="1:18" x14ac:dyDescent="0.35">
      <c r="A4799">
        <v>4798</v>
      </c>
      <c r="B4799" s="1">
        <v>45914</v>
      </c>
      <c r="C4799">
        <v>1540</v>
      </c>
      <c r="D4799" t="s">
        <v>41</v>
      </c>
      <c r="E4799" t="s">
        <v>29</v>
      </c>
      <c r="F4799" t="s">
        <v>17</v>
      </c>
      <c r="G4799">
        <v>3</v>
      </c>
      <c r="H4799">
        <v>0</v>
      </c>
      <c r="I4799" t="s">
        <v>25</v>
      </c>
      <c r="J4799" t="s">
        <v>37</v>
      </c>
      <c r="K4799" t="s">
        <v>38</v>
      </c>
      <c r="L4799">
        <v>7</v>
      </c>
      <c r="M4799">
        <v>1</v>
      </c>
      <c r="N4799">
        <v>1</v>
      </c>
      <c r="O4799" t="s">
        <v>21</v>
      </c>
      <c r="P4799" t="str">
        <f>TEXT(Table1[[#This Row],[order_date]],"yyyy-mm")</f>
        <v>2025-09</v>
      </c>
      <c r="Q4799">
        <f>WEEKNUM(Table1[[#This Row],[order_date]])</f>
        <v>38</v>
      </c>
      <c r="R4799">
        <f>IF(Table1[[#This Row],[order_status]]="completed",1,0)</f>
        <v>0</v>
      </c>
    </row>
    <row r="4800" spans="1:18" x14ac:dyDescent="0.35">
      <c r="A4800">
        <v>4799</v>
      </c>
      <c r="B4800" s="1">
        <v>45940</v>
      </c>
      <c r="C4800">
        <v>1680</v>
      </c>
      <c r="D4800" t="s">
        <v>32</v>
      </c>
      <c r="E4800" t="s">
        <v>33</v>
      </c>
      <c r="F4800" t="s">
        <v>30</v>
      </c>
      <c r="G4800">
        <v>2</v>
      </c>
      <c r="H4800">
        <v>0</v>
      </c>
      <c r="I4800" t="s">
        <v>18</v>
      </c>
      <c r="J4800" t="s">
        <v>37</v>
      </c>
      <c r="K4800" t="s">
        <v>40</v>
      </c>
      <c r="L4800">
        <v>6</v>
      </c>
      <c r="M4800">
        <v>1</v>
      </c>
      <c r="N4800">
        <v>0</v>
      </c>
      <c r="O4800" t="s">
        <v>21</v>
      </c>
      <c r="P4800" t="str">
        <f>TEXT(Table1[[#This Row],[order_date]],"yyyy-mm")</f>
        <v>2025-10</v>
      </c>
      <c r="Q4800">
        <f>WEEKNUM(Table1[[#This Row],[order_date]])</f>
        <v>41</v>
      </c>
      <c r="R4800">
        <f>IF(Table1[[#This Row],[order_status]]="completed",1,0)</f>
        <v>0</v>
      </c>
    </row>
    <row r="4801" spans="1:18" x14ac:dyDescent="0.35">
      <c r="A4801">
        <v>4800</v>
      </c>
      <c r="B4801" s="1">
        <v>45965</v>
      </c>
      <c r="C4801">
        <v>1082</v>
      </c>
      <c r="D4801" t="s">
        <v>41</v>
      </c>
      <c r="E4801" t="s">
        <v>23</v>
      </c>
      <c r="F4801" t="s">
        <v>17</v>
      </c>
      <c r="G4801">
        <v>5</v>
      </c>
      <c r="H4801">
        <v>0</v>
      </c>
      <c r="I4801" t="s">
        <v>35</v>
      </c>
      <c r="J4801" t="s">
        <v>31</v>
      </c>
      <c r="K4801" t="s">
        <v>20</v>
      </c>
      <c r="L4801">
        <v>2</v>
      </c>
      <c r="M4801">
        <v>1</v>
      </c>
      <c r="N4801">
        <v>0</v>
      </c>
      <c r="O4801" t="s">
        <v>27</v>
      </c>
      <c r="P4801" t="str">
        <f>TEXT(Table1[[#This Row],[order_date]],"yyyy-mm")</f>
        <v>2025-11</v>
      </c>
      <c r="Q4801">
        <f>WEEKNUM(Table1[[#This Row],[order_date]])</f>
        <v>45</v>
      </c>
      <c r="R4801">
        <f>IF(Table1[[#This Row],[order_status]]="completed",1,0)</f>
        <v>0</v>
      </c>
    </row>
    <row r="4802" spans="1:18" x14ac:dyDescent="0.35">
      <c r="A4802">
        <v>4801</v>
      </c>
      <c r="B4802" s="1">
        <v>45865</v>
      </c>
      <c r="C4802">
        <v>1593</v>
      </c>
      <c r="D4802" t="s">
        <v>28</v>
      </c>
      <c r="E4802" t="s">
        <v>23</v>
      </c>
      <c r="F4802" t="s">
        <v>34</v>
      </c>
      <c r="G4802">
        <v>1</v>
      </c>
      <c r="H4802">
        <v>0</v>
      </c>
      <c r="I4802" t="s">
        <v>18</v>
      </c>
      <c r="J4802" t="s">
        <v>31</v>
      </c>
      <c r="K4802" t="s">
        <v>26</v>
      </c>
      <c r="L4802">
        <v>4</v>
      </c>
      <c r="M4802">
        <v>1</v>
      </c>
      <c r="N4802">
        <v>0</v>
      </c>
      <c r="O4802" t="s">
        <v>27</v>
      </c>
      <c r="P4802" t="str">
        <f>TEXT(Table1[[#This Row],[order_date]],"yyyy-mm")</f>
        <v>2025-07</v>
      </c>
      <c r="Q4802">
        <f>WEEKNUM(Table1[[#This Row],[order_date]])</f>
        <v>31</v>
      </c>
      <c r="R4802">
        <f>IF(Table1[[#This Row],[order_status]]="completed",1,0)</f>
        <v>0</v>
      </c>
    </row>
    <row r="4803" spans="1:18" x14ac:dyDescent="0.35">
      <c r="A4803">
        <v>4802</v>
      </c>
      <c r="B4803" s="1">
        <v>45955</v>
      </c>
      <c r="C4803">
        <v>1982</v>
      </c>
      <c r="D4803" t="s">
        <v>22</v>
      </c>
      <c r="E4803" t="s">
        <v>23</v>
      </c>
      <c r="F4803" t="s">
        <v>24</v>
      </c>
      <c r="G4803">
        <v>5</v>
      </c>
      <c r="H4803">
        <v>12760</v>
      </c>
      <c r="I4803" t="s">
        <v>18</v>
      </c>
      <c r="J4803" t="s">
        <v>19</v>
      </c>
      <c r="K4803" t="s">
        <v>20</v>
      </c>
      <c r="L4803">
        <v>1</v>
      </c>
      <c r="M4803">
        <v>1</v>
      </c>
      <c r="N4803">
        <v>0</v>
      </c>
      <c r="O4803" t="s">
        <v>21</v>
      </c>
      <c r="P4803" t="str">
        <f>TEXT(Table1[[#This Row],[order_date]],"yyyy-mm")</f>
        <v>2025-10</v>
      </c>
      <c r="Q4803">
        <f>WEEKNUM(Table1[[#This Row],[order_date]])</f>
        <v>43</v>
      </c>
      <c r="R4803">
        <f>IF(Table1[[#This Row],[order_status]]="completed",1,0)</f>
        <v>1</v>
      </c>
    </row>
    <row r="4804" spans="1:18" x14ac:dyDescent="0.35">
      <c r="A4804">
        <v>4803</v>
      </c>
      <c r="B4804" s="1">
        <v>45872</v>
      </c>
      <c r="C4804">
        <v>1084</v>
      </c>
      <c r="D4804" t="s">
        <v>32</v>
      </c>
      <c r="E4804" t="s">
        <v>29</v>
      </c>
      <c r="F4804" t="s">
        <v>34</v>
      </c>
      <c r="G4804">
        <v>1</v>
      </c>
      <c r="H4804">
        <v>0</v>
      </c>
      <c r="I4804" t="s">
        <v>18</v>
      </c>
      <c r="J4804" t="s">
        <v>37</v>
      </c>
      <c r="K4804" t="s">
        <v>20</v>
      </c>
      <c r="L4804">
        <v>9</v>
      </c>
      <c r="M4804">
        <v>1</v>
      </c>
      <c r="N4804">
        <v>0</v>
      </c>
      <c r="O4804" t="s">
        <v>21</v>
      </c>
      <c r="P4804" t="str">
        <f>TEXT(Table1[[#This Row],[order_date]],"yyyy-mm")</f>
        <v>2025-08</v>
      </c>
      <c r="Q4804">
        <f>WEEKNUM(Table1[[#This Row],[order_date]])</f>
        <v>32</v>
      </c>
      <c r="R4804">
        <f>IF(Table1[[#This Row],[order_status]]="completed",1,0)</f>
        <v>0</v>
      </c>
    </row>
    <row r="4805" spans="1:18" x14ac:dyDescent="0.35">
      <c r="A4805">
        <v>4804</v>
      </c>
      <c r="B4805" s="1">
        <v>45945</v>
      </c>
      <c r="C4805">
        <v>1509</v>
      </c>
      <c r="D4805" t="s">
        <v>15</v>
      </c>
      <c r="E4805" t="s">
        <v>33</v>
      </c>
      <c r="F4805" t="s">
        <v>30</v>
      </c>
      <c r="G4805">
        <v>3</v>
      </c>
      <c r="H4805">
        <v>13983</v>
      </c>
      <c r="I4805" t="s">
        <v>25</v>
      </c>
      <c r="J4805" t="s">
        <v>19</v>
      </c>
      <c r="K4805" t="s">
        <v>38</v>
      </c>
      <c r="L4805">
        <v>1</v>
      </c>
      <c r="M4805">
        <v>1</v>
      </c>
      <c r="N4805">
        <v>1</v>
      </c>
      <c r="O4805" t="s">
        <v>27</v>
      </c>
      <c r="P4805" t="str">
        <f>TEXT(Table1[[#This Row],[order_date]],"yyyy-mm")</f>
        <v>2025-10</v>
      </c>
      <c r="Q4805">
        <f>WEEKNUM(Table1[[#This Row],[order_date]])</f>
        <v>42</v>
      </c>
      <c r="R4805">
        <f>IF(Table1[[#This Row],[order_status]]="completed",1,0)</f>
        <v>1</v>
      </c>
    </row>
    <row r="4806" spans="1:18" x14ac:dyDescent="0.35">
      <c r="A4806">
        <v>4805</v>
      </c>
      <c r="B4806" s="1">
        <v>46007</v>
      </c>
      <c r="C4806">
        <v>1576</v>
      </c>
      <c r="D4806" t="s">
        <v>41</v>
      </c>
      <c r="E4806" t="s">
        <v>33</v>
      </c>
      <c r="F4806" t="s">
        <v>30</v>
      </c>
      <c r="G4806">
        <v>1</v>
      </c>
      <c r="H4806">
        <v>0</v>
      </c>
      <c r="I4806" t="s">
        <v>39</v>
      </c>
      <c r="J4806" t="s">
        <v>31</v>
      </c>
      <c r="K4806" t="s">
        <v>20</v>
      </c>
      <c r="L4806">
        <v>2</v>
      </c>
      <c r="M4806">
        <v>1</v>
      </c>
      <c r="N4806">
        <v>0</v>
      </c>
      <c r="O4806" t="s">
        <v>27</v>
      </c>
      <c r="P4806" t="str">
        <f>TEXT(Table1[[#This Row],[order_date]],"yyyy-mm")</f>
        <v>2025-12</v>
      </c>
      <c r="Q4806">
        <f>WEEKNUM(Table1[[#This Row],[order_date]])</f>
        <v>51</v>
      </c>
      <c r="R4806">
        <f>IF(Table1[[#This Row],[order_status]]="completed",1,0)</f>
        <v>0</v>
      </c>
    </row>
    <row r="4807" spans="1:18" x14ac:dyDescent="0.35">
      <c r="A4807">
        <v>4806</v>
      </c>
      <c r="B4807" s="1">
        <v>45948</v>
      </c>
      <c r="C4807">
        <v>1338</v>
      </c>
      <c r="D4807" t="s">
        <v>28</v>
      </c>
      <c r="E4807" t="s">
        <v>29</v>
      </c>
      <c r="F4807" t="s">
        <v>30</v>
      </c>
      <c r="G4807">
        <v>1</v>
      </c>
      <c r="H4807">
        <v>4541</v>
      </c>
      <c r="I4807" t="s">
        <v>18</v>
      </c>
      <c r="J4807" t="s">
        <v>19</v>
      </c>
      <c r="K4807" t="s">
        <v>40</v>
      </c>
      <c r="L4807">
        <v>2</v>
      </c>
      <c r="M4807">
        <v>1</v>
      </c>
      <c r="N4807">
        <v>1</v>
      </c>
      <c r="O4807" t="s">
        <v>27</v>
      </c>
      <c r="P4807" t="str">
        <f>TEXT(Table1[[#This Row],[order_date]],"yyyy-mm")</f>
        <v>2025-10</v>
      </c>
      <c r="Q4807">
        <f>WEEKNUM(Table1[[#This Row],[order_date]])</f>
        <v>42</v>
      </c>
      <c r="R4807">
        <f>IF(Table1[[#This Row],[order_status]]="completed",1,0)</f>
        <v>1</v>
      </c>
    </row>
    <row r="4808" spans="1:18" x14ac:dyDescent="0.35">
      <c r="A4808">
        <v>4807</v>
      </c>
      <c r="B4808" s="1">
        <v>45873</v>
      </c>
      <c r="C4808">
        <v>1653</v>
      </c>
      <c r="D4808" t="s">
        <v>22</v>
      </c>
      <c r="E4808" t="s">
        <v>36</v>
      </c>
      <c r="F4808" t="s">
        <v>17</v>
      </c>
      <c r="G4808">
        <v>3</v>
      </c>
      <c r="H4808">
        <v>0</v>
      </c>
      <c r="I4808" t="s">
        <v>35</v>
      </c>
      <c r="J4808" t="s">
        <v>31</v>
      </c>
      <c r="K4808" t="s">
        <v>40</v>
      </c>
      <c r="L4808">
        <v>7</v>
      </c>
      <c r="M4808">
        <v>1</v>
      </c>
      <c r="N4808">
        <v>1</v>
      </c>
      <c r="O4808" t="s">
        <v>21</v>
      </c>
      <c r="P4808" t="str">
        <f>TEXT(Table1[[#This Row],[order_date]],"yyyy-mm")</f>
        <v>2025-08</v>
      </c>
      <c r="Q4808">
        <f>WEEKNUM(Table1[[#This Row],[order_date]])</f>
        <v>32</v>
      </c>
      <c r="R4808">
        <f>IF(Table1[[#This Row],[order_status]]="completed",1,0)</f>
        <v>0</v>
      </c>
    </row>
    <row r="4809" spans="1:18" x14ac:dyDescent="0.35">
      <c r="A4809">
        <v>4808</v>
      </c>
      <c r="B4809" s="1">
        <v>45931</v>
      </c>
      <c r="C4809">
        <v>1847</v>
      </c>
      <c r="D4809" t="s">
        <v>28</v>
      </c>
      <c r="E4809" t="s">
        <v>16</v>
      </c>
      <c r="F4809" t="s">
        <v>24</v>
      </c>
      <c r="G4809">
        <v>5</v>
      </c>
      <c r="H4809">
        <v>8065</v>
      </c>
      <c r="I4809" t="s">
        <v>25</v>
      </c>
      <c r="J4809" t="s">
        <v>19</v>
      </c>
      <c r="K4809" t="s">
        <v>20</v>
      </c>
      <c r="L4809">
        <v>5</v>
      </c>
      <c r="M4809">
        <v>0</v>
      </c>
      <c r="N4809">
        <v>0</v>
      </c>
      <c r="O4809" t="s">
        <v>21</v>
      </c>
      <c r="P4809" t="str">
        <f>TEXT(Table1[[#This Row],[order_date]],"yyyy-mm")</f>
        <v>2025-10</v>
      </c>
      <c r="Q4809">
        <f>WEEKNUM(Table1[[#This Row],[order_date]])</f>
        <v>40</v>
      </c>
      <c r="R4809">
        <f>IF(Table1[[#This Row],[order_status]]="completed",1,0)</f>
        <v>1</v>
      </c>
    </row>
    <row r="4810" spans="1:18" x14ac:dyDescent="0.35">
      <c r="A4810">
        <v>4809</v>
      </c>
      <c r="B4810" s="1">
        <v>45861</v>
      </c>
      <c r="C4810">
        <v>1516</v>
      </c>
      <c r="D4810" t="s">
        <v>22</v>
      </c>
      <c r="E4810" t="s">
        <v>36</v>
      </c>
      <c r="F4810" t="s">
        <v>30</v>
      </c>
      <c r="G4810">
        <v>4</v>
      </c>
      <c r="H4810">
        <v>0</v>
      </c>
      <c r="I4810" t="s">
        <v>39</v>
      </c>
      <c r="J4810" t="s">
        <v>37</v>
      </c>
      <c r="K4810" t="s">
        <v>20</v>
      </c>
      <c r="L4810">
        <v>9</v>
      </c>
      <c r="M4810">
        <v>1</v>
      </c>
      <c r="N4810">
        <v>0</v>
      </c>
      <c r="O4810" t="s">
        <v>27</v>
      </c>
      <c r="P4810" t="str">
        <f>TEXT(Table1[[#This Row],[order_date]],"yyyy-mm")</f>
        <v>2025-07</v>
      </c>
      <c r="Q4810">
        <f>WEEKNUM(Table1[[#This Row],[order_date]])</f>
        <v>30</v>
      </c>
      <c r="R4810">
        <f>IF(Table1[[#This Row],[order_status]]="completed",1,0)</f>
        <v>0</v>
      </c>
    </row>
    <row r="4811" spans="1:18" x14ac:dyDescent="0.35">
      <c r="A4811">
        <v>4810</v>
      </c>
      <c r="B4811" s="1">
        <v>46025</v>
      </c>
      <c r="C4811">
        <v>1777</v>
      </c>
      <c r="D4811" t="s">
        <v>22</v>
      </c>
      <c r="E4811" t="s">
        <v>33</v>
      </c>
      <c r="F4811" t="s">
        <v>30</v>
      </c>
      <c r="G4811">
        <v>4</v>
      </c>
      <c r="H4811">
        <v>0</v>
      </c>
      <c r="I4811" t="s">
        <v>35</v>
      </c>
      <c r="J4811" t="s">
        <v>37</v>
      </c>
      <c r="K4811" t="s">
        <v>38</v>
      </c>
      <c r="L4811">
        <v>2</v>
      </c>
      <c r="M4811">
        <v>0</v>
      </c>
      <c r="N4811">
        <v>1</v>
      </c>
      <c r="O4811" t="s">
        <v>21</v>
      </c>
      <c r="P4811" t="str">
        <f>TEXT(Table1[[#This Row],[order_date]],"yyyy-mm")</f>
        <v>2026-01</v>
      </c>
      <c r="Q4811">
        <f>WEEKNUM(Table1[[#This Row],[order_date]])</f>
        <v>1</v>
      </c>
      <c r="R4811">
        <f>IF(Table1[[#This Row],[order_status]]="completed",1,0)</f>
        <v>0</v>
      </c>
    </row>
    <row r="4812" spans="1:18" x14ac:dyDescent="0.35">
      <c r="A4812">
        <v>4811</v>
      </c>
      <c r="B4812" s="1">
        <v>46028</v>
      </c>
      <c r="C4812">
        <v>1248</v>
      </c>
      <c r="D4812" t="s">
        <v>41</v>
      </c>
      <c r="E4812" t="s">
        <v>36</v>
      </c>
      <c r="F4812" t="s">
        <v>30</v>
      </c>
      <c r="G4812">
        <v>3</v>
      </c>
      <c r="H4812">
        <v>0</v>
      </c>
      <c r="I4812" t="s">
        <v>39</v>
      </c>
      <c r="J4812" t="s">
        <v>31</v>
      </c>
      <c r="K4812" t="s">
        <v>40</v>
      </c>
      <c r="L4812">
        <v>8</v>
      </c>
      <c r="M4812">
        <v>0</v>
      </c>
      <c r="N4812">
        <v>1</v>
      </c>
      <c r="O4812" t="s">
        <v>27</v>
      </c>
      <c r="P4812" t="str">
        <f>TEXT(Table1[[#This Row],[order_date]],"yyyy-mm")</f>
        <v>2026-01</v>
      </c>
      <c r="Q4812">
        <f>WEEKNUM(Table1[[#This Row],[order_date]])</f>
        <v>2</v>
      </c>
      <c r="R4812">
        <f>IF(Table1[[#This Row],[order_status]]="completed",1,0)</f>
        <v>0</v>
      </c>
    </row>
    <row r="4813" spans="1:18" x14ac:dyDescent="0.35">
      <c r="A4813">
        <v>4812</v>
      </c>
      <c r="B4813" s="1">
        <v>45878</v>
      </c>
      <c r="C4813">
        <v>1230</v>
      </c>
      <c r="D4813" t="s">
        <v>41</v>
      </c>
      <c r="E4813" t="s">
        <v>23</v>
      </c>
      <c r="F4813" t="s">
        <v>17</v>
      </c>
      <c r="G4813">
        <v>3</v>
      </c>
      <c r="H4813">
        <v>0</v>
      </c>
      <c r="I4813" t="s">
        <v>18</v>
      </c>
      <c r="J4813" t="s">
        <v>31</v>
      </c>
      <c r="K4813" t="s">
        <v>20</v>
      </c>
      <c r="L4813">
        <v>1</v>
      </c>
      <c r="M4813">
        <v>0</v>
      </c>
      <c r="N4813">
        <v>0</v>
      </c>
      <c r="O4813" t="s">
        <v>27</v>
      </c>
      <c r="P4813" t="str">
        <f>TEXT(Table1[[#This Row],[order_date]],"yyyy-mm")</f>
        <v>2025-08</v>
      </c>
      <c r="Q4813">
        <f>WEEKNUM(Table1[[#This Row],[order_date]])</f>
        <v>32</v>
      </c>
      <c r="R4813">
        <f>IF(Table1[[#This Row],[order_status]]="completed",1,0)</f>
        <v>0</v>
      </c>
    </row>
    <row r="4814" spans="1:18" x14ac:dyDescent="0.35">
      <c r="A4814">
        <v>4813</v>
      </c>
      <c r="B4814" s="1">
        <v>45936</v>
      </c>
      <c r="C4814">
        <v>1656</v>
      </c>
      <c r="D4814" t="s">
        <v>32</v>
      </c>
      <c r="E4814" t="s">
        <v>23</v>
      </c>
      <c r="F4814" t="s">
        <v>30</v>
      </c>
      <c r="G4814">
        <v>2</v>
      </c>
      <c r="H4814">
        <v>4714</v>
      </c>
      <c r="I4814" t="s">
        <v>39</v>
      </c>
      <c r="J4814" t="s">
        <v>19</v>
      </c>
      <c r="K4814" t="s">
        <v>38</v>
      </c>
      <c r="L4814">
        <v>4</v>
      </c>
      <c r="M4814">
        <v>1</v>
      </c>
      <c r="N4814">
        <v>0</v>
      </c>
      <c r="O4814" t="s">
        <v>21</v>
      </c>
      <c r="P4814" t="str">
        <f>TEXT(Table1[[#This Row],[order_date]],"yyyy-mm")</f>
        <v>2025-10</v>
      </c>
      <c r="Q4814">
        <f>WEEKNUM(Table1[[#This Row],[order_date]])</f>
        <v>41</v>
      </c>
      <c r="R4814">
        <f>IF(Table1[[#This Row],[order_status]]="completed",1,0)</f>
        <v>1</v>
      </c>
    </row>
    <row r="4815" spans="1:18" x14ac:dyDescent="0.35">
      <c r="A4815">
        <v>4814</v>
      </c>
      <c r="B4815" s="1">
        <v>45940</v>
      </c>
      <c r="C4815">
        <v>1740</v>
      </c>
      <c r="D4815" t="s">
        <v>15</v>
      </c>
      <c r="E4815" t="s">
        <v>23</v>
      </c>
      <c r="F4815" t="s">
        <v>24</v>
      </c>
      <c r="G4815">
        <v>3</v>
      </c>
      <c r="H4815">
        <v>0</v>
      </c>
      <c r="I4815" t="s">
        <v>39</v>
      </c>
      <c r="J4815" t="s">
        <v>31</v>
      </c>
      <c r="K4815" t="s">
        <v>26</v>
      </c>
      <c r="L4815">
        <v>9</v>
      </c>
      <c r="M4815">
        <v>1</v>
      </c>
      <c r="N4815">
        <v>1</v>
      </c>
      <c r="O4815" t="s">
        <v>21</v>
      </c>
      <c r="P4815" t="str">
        <f>TEXT(Table1[[#This Row],[order_date]],"yyyy-mm")</f>
        <v>2025-10</v>
      </c>
      <c r="Q4815">
        <f>WEEKNUM(Table1[[#This Row],[order_date]])</f>
        <v>41</v>
      </c>
      <c r="R4815">
        <f>IF(Table1[[#This Row],[order_status]]="completed",1,0)</f>
        <v>0</v>
      </c>
    </row>
    <row r="4816" spans="1:18" x14ac:dyDescent="0.35">
      <c r="A4816">
        <v>4815</v>
      </c>
      <c r="B4816" s="1">
        <v>46029</v>
      </c>
      <c r="C4816">
        <v>1079</v>
      </c>
      <c r="D4816" t="s">
        <v>32</v>
      </c>
      <c r="E4816" t="s">
        <v>23</v>
      </c>
      <c r="F4816" t="s">
        <v>34</v>
      </c>
      <c r="G4816">
        <v>4</v>
      </c>
      <c r="H4816">
        <v>0</v>
      </c>
      <c r="I4816" t="s">
        <v>25</v>
      </c>
      <c r="J4816" t="s">
        <v>31</v>
      </c>
      <c r="K4816" t="s">
        <v>20</v>
      </c>
      <c r="L4816">
        <v>8</v>
      </c>
      <c r="M4816">
        <v>0</v>
      </c>
      <c r="N4816">
        <v>0</v>
      </c>
      <c r="O4816" t="s">
        <v>27</v>
      </c>
      <c r="P4816" t="str">
        <f>TEXT(Table1[[#This Row],[order_date]],"yyyy-mm")</f>
        <v>2026-01</v>
      </c>
      <c r="Q4816">
        <f>WEEKNUM(Table1[[#This Row],[order_date]])</f>
        <v>2</v>
      </c>
      <c r="R4816">
        <f>IF(Table1[[#This Row],[order_status]]="completed",1,0)</f>
        <v>0</v>
      </c>
    </row>
    <row r="4817" spans="1:18" x14ac:dyDescent="0.35">
      <c r="A4817">
        <v>4816</v>
      </c>
      <c r="B4817" s="1">
        <v>45914</v>
      </c>
      <c r="C4817">
        <v>1251</v>
      </c>
      <c r="D4817" t="s">
        <v>22</v>
      </c>
      <c r="E4817" t="s">
        <v>33</v>
      </c>
      <c r="F4817" t="s">
        <v>34</v>
      </c>
      <c r="G4817">
        <v>2</v>
      </c>
      <c r="H4817">
        <v>0</v>
      </c>
      <c r="I4817" t="s">
        <v>25</v>
      </c>
      <c r="J4817" t="s">
        <v>37</v>
      </c>
      <c r="K4817" t="s">
        <v>20</v>
      </c>
      <c r="L4817">
        <v>8</v>
      </c>
      <c r="M4817">
        <v>1</v>
      </c>
      <c r="N4817">
        <v>1</v>
      </c>
      <c r="O4817" t="s">
        <v>27</v>
      </c>
      <c r="P4817" t="str">
        <f>TEXT(Table1[[#This Row],[order_date]],"yyyy-mm")</f>
        <v>2025-09</v>
      </c>
      <c r="Q4817">
        <f>WEEKNUM(Table1[[#This Row],[order_date]])</f>
        <v>38</v>
      </c>
      <c r="R4817">
        <f>IF(Table1[[#This Row],[order_status]]="completed",1,0)</f>
        <v>0</v>
      </c>
    </row>
    <row r="4818" spans="1:18" x14ac:dyDescent="0.35">
      <c r="A4818">
        <v>4817</v>
      </c>
      <c r="B4818" s="1">
        <v>45906</v>
      </c>
      <c r="C4818">
        <v>1174</v>
      </c>
      <c r="D4818" t="s">
        <v>32</v>
      </c>
      <c r="E4818" t="s">
        <v>29</v>
      </c>
      <c r="F4818" t="s">
        <v>17</v>
      </c>
      <c r="G4818">
        <v>5</v>
      </c>
      <c r="H4818">
        <v>16095</v>
      </c>
      <c r="I4818" t="s">
        <v>35</v>
      </c>
      <c r="J4818" t="s">
        <v>19</v>
      </c>
      <c r="K4818" t="s">
        <v>38</v>
      </c>
      <c r="L4818">
        <v>1</v>
      </c>
      <c r="M4818">
        <v>1</v>
      </c>
      <c r="N4818">
        <v>0</v>
      </c>
      <c r="O4818" t="s">
        <v>21</v>
      </c>
      <c r="P4818" t="str">
        <f>TEXT(Table1[[#This Row],[order_date]],"yyyy-mm")</f>
        <v>2025-09</v>
      </c>
      <c r="Q4818">
        <f>WEEKNUM(Table1[[#This Row],[order_date]])</f>
        <v>36</v>
      </c>
      <c r="R4818">
        <f>IF(Table1[[#This Row],[order_status]]="completed",1,0)</f>
        <v>1</v>
      </c>
    </row>
    <row r="4819" spans="1:18" x14ac:dyDescent="0.35">
      <c r="A4819">
        <v>4818</v>
      </c>
      <c r="B4819" s="1">
        <v>45938</v>
      </c>
      <c r="C4819">
        <v>1625</v>
      </c>
      <c r="D4819" t="s">
        <v>15</v>
      </c>
      <c r="E4819" t="s">
        <v>29</v>
      </c>
      <c r="F4819" t="s">
        <v>17</v>
      </c>
      <c r="G4819">
        <v>2</v>
      </c>
      <c r="H4819">
        <v>2058</v>
      </c>
      <c r="I4819" t="s">
        <v>35</v>
      </c>
      <c r="J4819" t="s">
        <v>19</v>
      </c>
      <c r="K4819" t="s">
        <v>26</v>
      </c>
      <c r="L4819">
        <v>8</v>
      </c>
      <c r="M4819">
        <v>1</v>
      </c>
      <c r="N4819">
        <v>0</v>
      </c>
      <c r="O4819" t="s">
        <v>27</v>
      </c>
      <c r="P4819" t="str">
        <f>TEXT(Table1[[#This Row],[order_date]],"yyyy-mm")</f>
        <v>2025-10</v>
      </c>
      <c r="Q4819">
        <f>WEEKNUM(Table1[[#This Row],[order_date]])</f>
        <v>41</v>
      </c>
      <c r="R4819">
        <f>IF(Table1[[#This Row],[order_status]]="completed",1,0)</f>
        <v>1</v>
      </c>
    </row>
    <row r="4820" spans="1:18" x14ac:dyDescent="0.35">
      <c r="A4820">
        <v>4819</v>
      </c>
      <c r="B4820" s="1">
        <v>45982</v>
      </c>
      <c r="C4820">
        <v>1731</v>
      </c>
      <c r="D4820" t="s">
        <v>22</v>
      </c>
      <c r="E4820" t="s">
        <v>29</v>
      </c>
      <c r="F4820" t="s">
        <v>24</v>
      </c>
      <c r="G4820">
        <v>3</v>
      </c>
      <c r="H4820">
        <v>2877</v>
      </c>
      <c r="I4820" t="s">
        <v>18</v>
      </c>
      <c r="J4820" t="s">
        <v>19</v>
      </c>
      <c r="K4820" t="s">
        <v>20</v>
      </c>
      <c r="L4820">
        <v>1</v>
      </c>
      <c r="M4820">
        <v>1</v>
      </c>
      <c r="N4820">
        <v>1</v>
      </c>
      <c r="O4820" t="s">
        <v>27</v>
      </c>
      <c r="P4820" t="str">
        <f>TEXT(Table1[[#This Row],[order_date]],"yyyy-mm")</f>
        <v>2025-11</v>
      </c>
      <c r="Q4820">
        <f>WEEKNUM(Table1[[#This Row],[order_date]])</f>
        <v>47</v>
      </c>
      <c r="R4820">
        <f>IF(Table1[[#This Row],[order_status]]="completed",1,0)</f>
        <v>1</v>
      </c>
    </row>
    <row r="4821" spans="1:18" x14ac:dyDescent="0.35">
      <c r="A4821">
        <v>4820</v>
      </c>
      <c r="B4821" s="1">
        <v>45999</v>
      </c>
      <c r="C4821">
        <v>1660</v>
      </c>
      <c r="D4821" t="s">
        <v>32</v>
      </c>
      <c r="E4821" t="s">
        <v>29</v>
      </c>
      <c r="F4821" t="s">
        <v>34</v>
      </c>
      <c r="G4821">
        <v>4</v>
      </c>
      <c r="H4821">
        <v>6300</v>
      </c>
      <c r="I4821" t="s">
        <v>25</v>
      </c>
      <c r="J4821" t="s">
        <v>19</v>
      </c>
      <c r="K4821" t="s">
        <v>20</v>
      </c>
      <c r="L4821">
        <v>1</v>
      </c>
      <c r="M4821">
        <v>1</v>
      </c>
      <c r="N4821">
        <v>0</v>
      </c>
      <c r="O4821" t="s">
        <v>27</v>
      </c>
      <c r="P4821" t="str">
        <f>TEXT(Table1[[#This Row],[order_date]],"yyyy-mm")</f>
        <v>2025-12</v>
      </c>
      <c r="Q4821">
        <f>WEEKNUM(Table1[[#This Row],[order_date]])</f>
        <v>50</v>
      </c>
      <c r="R4821">
        <f>IF(Table1[[#This Row],[order_status]]="completed",1,0)</f>
        <v>1</v>
      </c>
    </row>
    <row r="4822" spans="1:18" x14ac:dyDescent="0.35">
      <c r="A4822">
        <v>4821</v>
      </c>
      <c r="B4822" s="1">
        <v>45992</v>
      </c>
      <c r="C4822">
        <v>1336</v>
      </c>
      <c r="D4822" t="s">
        <v>22</v>
      </c>
      <c r="E4822" t="s">
        <v>29</v>
      </c>
      <c r="F4822" t="s">
        <v>24</v>
      </c>
      <c r="G4822">
        <v>5</v>
      </c>
      <c r="H4822">
        <v>24160</v>
      </c>
      <c r="I4822" t="s">
        <v>35</v>
      </c>
      <c r="J4822" t="s">
        <v>19</v>
      </c>
      <c r="K4822" t="s">
        <v>26</v>
      </c>
      <c r="L4822">
        <v>6</v>
      </c>
      <c r="M4822">
        <v>1</v>
      </c>
      <c r="N4822">
        <v>1</v>
      </c>
      <c r="O4822" t="s">
        <v>27</v>
      </c>
      <c r="P4822" t="str">
        <f>TEXT(Table1[[#This Row],[order_date]],"yyyy-mm")</f>
        <v>2025-12</v>
      </c>
      <c r="Q4822">
        <f>WEEKNUM(Table1[[#This Row],[order_date]])</f>
        <v>49</v>
      </c>
      <c r="R4822">
        <f>IF(Table1[[#This Row],[order_status]]="completed",1,0)</f>
        <v>1</v>
      </c>
    </row>
    <row r="4823" spans="1:18" x14ac:dyDescent="0.35">
      <c r="A4823">
        <v>4822</v>
      </c>
      <c r="B4823" s="1">
        <v>46007</v>
      </c>
      <c r="C4823">
        <v>1201</v>
      </c>
      <c r="D4823" t="s">
        <v>15</v>
      </c>
      <c r="E4823" t="s">
        <v>23</v>
      </c>
      <c r="F4823" t="s">
        <v>17</v>
      </c>
      <c r="G4823">
        <v>5</v>
      </c>
      <c r="H4823">
        <v>12750</v>
      </c>
      <c r="I4823" t="s">
        <v>39</v>
      </c>
      <c r="J4823" t="s">
        <v>19</v>
      </c>
      <c r="K4823" t="s">
        <v>38</v>
      </c>
      <c r="L4823">
        <v>5</v>
      </c>
      <c r="M4823">
        <v>1</v>
      </c>
      <c r="N4823">
        <v>0</v>
      </c>
      <c r="O4823" t="s">
        <v>21</v>
      </c>
      <c r="P4823" t="str">
        <f>TEXT(Table1[[#This Row],[order_date]],"yyyy-mm")</f>
        <v>2025-12</v>
      </c>
      <c r="Q4823">
        <f>WEEKNUM(Table1[[#This Row],[order_date]])</f>
        <v>51</v>
      </c>
      <c r="R4823">
        <f>IF(Table1[[#This Row],[order_status]]="completed",1,0)</f>
        <v>1</v>
      </c>
    </row>
    <row r="4824" spans="1:18" x14ac:dyDescent="0.35">
      <c r="A4824">
        <v>4823</v>
      </c>
      <c r="B4824" s="1">
        <v>45941</v>
      </c>
      <c r="C4824">
        <v>1318</v>
      </c>
      <c r="D4824" t="s">
        <v>22</v>
      </c>
      <c r="E4824" t="s">
        <v>36</v>
      </c>
      <c r="F4824" t="s">
        <v>17</v>
      </c>
      <c r="G4824">
        <v>3</v>
      </c>
      <c r="H4824">
        <v>0</v>
      </c>
      <c r="I4824" t="s">
        <v>39</v>
      </c>
      <c r="J4824" t="s">
        <v>31</v>
      </c>
      <c r="K4824" t="s">
        <v>38</v>
      </c>
      <c r="L4824">
        <v>3</v>
      </c>
      <c r="M4824">
        <v>1</v>
      </c>
      <c r="N4824">
        <v>1</v>
      </c>
      <c r="O4824" t="s">
        <v>21</v>
      </c>
      <c r="P4824" t="str">
        <f>TEXT(Table1[[#This Row],[order_date]],"yyyy-mm")</f>
        <v>2025-10</v>
      </c>
      <c r="Q4824">
        <f>WEEKNUM(Table1[[#This Row],[order_date]])</f>
        <v>41</v>
      </c>
      <c r="R4824">
        <f>IF(Table1[[#This Row],[order_status]]="completed",1,0)</f>
        <v>0</v>
      </c>
    </row>
    <row r="4825" spans="1:18" x14ac:dyDescent="0.35">
      <c r="A4825">
        <v>4824</v>
      </c>
      <c r="B4825" s="1">
        <v>45860</v>
      </c>
      <c r="C4825">
        <v>1307</v>
      </c>
      <c r="D4825" t="s">
        <v>22</v>
      </c>
      <c r="E4825" t="s">
        <v>23</v>
      </c>
      <c r="F4825" t="s">
        <v>34</v>
      </c>
      <c r="G4825">
        <v>1</v>
      </c>
      <c r="H4825">
        <v>4640</v>
      </c>
      <c r="I4825" t="s">
        <v>25</v>
      </c>
      <c r="J4825" t="s">
        <v>19</v>
      </c>
      <c r="K4825" t="s">
        <v>38</v>
      </c>
      <c r="L4825">
        <v>8</v>
      </c>
      <c r="M4825">
        <v>0</v>
      </c>
      <c r="N4825">
        <v>0</v>
      </c>
      <c r="O4825" t="s">
        <v>27</v>
      </c>
      <c r="P4825" t="str">
        <f>TEXT(Table1[[#This Row],[order_date]],"yyyy-mm")</f>
        <v>2025-07</v>
      </c>
      <c r="Q4825">
        <f>WEEKNUM(Table1[[#This Row],[order_date]])</f>
        <v>30</v>
      </c>
      <c r="R4825">
        <f>IF(Table1[[#This Row],[order_status]]="completed",1,0)</f>
        <v>1</v>
      </c>
    </row>
    <row r="4826" spans="1:18" x14ac:dyDescent="0.35">
      <c r="A4826">
        <v>4825</v>
      </c>
      <c r="B4826" s="1">
        <v>45904</v>
      </c>
      <c r="C4826">
        <v>1106</v>
      </c>
      <c r="D4826" t="s">
        <v>15</v>
      </c>
      <c r="E4826" t="s">
        <v>33</v>
      </c>
      <c r="F4826" t="s">
        <v>30</v>
      </c>
      <c r="G4826">
        <v>2</v>
      </c>
      <c r="H4826">
        <v>8910</v>
      </c>
      <c r="I4826" t="s">
        <v>39</v>
      </c>
      <c r="J4826" t="s">
        <v>19</v>
      </c>
      <c r="K4826" t="s">
        <v>20</v>
      </c>
      <c r="L4826">
        <v>3</v>
      </c>
      <c r="M4826">
        <v>0</v>
      </c>
      <c r="N4826">
        <v>1</v>
      </c>
      <c r="O4826" t="s">
        <v>27</v>
      </c>
      <c r="P4826" t="str">
        <f>TEXT(Table1[[#This Row],[order_date]],"yyyy-mm")</f>
        <v>2025-09</v>
      </c>
      <c r="Q4826">
        <f>WEEKNUM(Table1[[#This Row],[order_date]])</f>
        <v>36</v>
      </c>
      <c r="R4826">
        <f>IF(Table1[[#This Row],[order_status]]="completed",1,0)</f>
        <v>1</v>
      </c>
    </row>
    <row r="4827" spans="1:18" x14ac:dyDescent="0.35">
      <c r="A4827">
        <v>4826</v>
      </c>
      <c r="B4827" s="1">
        <v>46024</v>
      </c>
      <c r="C4827">
        <v>1588</v>
      </c>
      <c r="D4827" t="s">
        <v>22</v>
      </c>
      <c r="E4827" t="s">
        <v>23</v>
      </c>
      <c r="F4827" t="s">
        <v>30</v>
      </c>
      <c r="G4827">
        <v>5</v>
      </c>
      <c r="H4827">
        <v>5975</v>
      </c>
      <c r="I4827" t="s">
        <v>18</v>
      </c>
      <c r="J4827" t="s">
        <v>19</v>
      </c>
      <c r="K4827" t="s">
        <v>38</v>
      </c>
      <c r="L4827">
        <v>10</v>
      </c>
      <c r="M4827">
        <v>1</v>
      </c>
      <c r="N4827">
        <v>1</v>
      </c>
      <c r="O4827" t="s">
        <v>27</v>
      </c>
      <c r="P4827" t="str">
        <f>TEXT(Table1[[#This Row],[order_date]],"yyyy-mm")</f>
        <v>2026-01</v>
      </c>
      <c r="Q4827">
        <f>WEEKNUM(Table1[[#This Row],[order_date]])</f>
        <v>1</v>
      </c>
      <c r="R4827">
        <f>IF(Table1[[#This Row],[order_status]]="completed",1,0)</f>
        <v>1</v>
      </c>
    </row>
    <row r="4828" spans="1:18" x14ac:dyDescent="0.35">
      <c r="A4828">
        <v>4827</v>
      </c>
      <c r="B4828" s="1">
        <v>46001</v>
      </c>
      <c r="C4828">
        <v>1061</v>
      </c>
      <c r="D4828" t="s">
        <v>28</v>
      </c>
      <c r="E4828" t="s">
        <v>29</v>
      </c>
      <c r="F4828" t="s">
        <v>17</v>
      </c>
      <c r="G4828">
        <v>3</v>
      </c>
      <c r="H4828">
        <v>0</v>
      </c>
      <c r="I4828" t="s">
        <v>39</v>
      </c>
      <c r="J4828" t="s">
        <v>37</v>
      </c>
      <c r="K4828" t="s">
        <v>20</v>
      </c>
      <c r="L4828">
        <v>5</v>
      </c>
      <c r="M4828">
        <v>0</v>
      </c>
      <c r="N4828">
        <v>0</v>
      </c>
      <c r="O4828" t="s">
        <v>27</v>
      </c>
      <c r="P4828" t="str">
        <f>TEXT(Table1[[#This Row],[order_date]],"yyyy-mm")</f>
        <v>2025-12</v>
      </c>
      <c r="Q4828">
        <f>WEEKNUM(Table1[[#This Row],[order_date]])</f>
        <v>50</v>
      </c>
      <c r="R4828">
        <f>IF(Table1[[#This Row],[order_status]]="completed",1,0)</f>
        <v>0</v>
      </c>
    </row>
    <row r="4829" spans="1:18" x14ac:dyDescent="0.35">
      <c r="A4829">
        <v>4828</v>
      </c>
      <c r="B4829" s="1">
        <v>45881</v>
      </c>
      <c r="C4829">
        <v>1408</v>
      </c>
      <c r="D4829" t="s">
        <v>15</v>
      </c>
      <c r="E4829" t="s">
        <v>36</v>
      </c>
      <c r="F4829" t="s">
        <v>24</v>
      </c>
      <c r="G4829">
        <v>4</v>
      </c>
      <c r="H4829">
        <v>7772</v>
      </c>
      <c r="I4829" t="s">
        <v>25</v>
      </c>
      <c r="J4829" t="s">
        <v>19</v>
      </c>
      <c r="K4829" t="s">
        <v>40</v>
      </c>
      <c r="L4829">
        <v>10</v>
      </c>
      <c r="M4829">
        <v>1</v>
      </c>
      <c r="N4829">
        <v>0</v>
      </c>
      <c r="O4829" t="s">
        <v>27</v>
      </c>
      <c r="P4829" t="str">
        <f>TEXT(Table1[[#This Row],[order_date]],"yyyy-mm")</f>
        <v>2025-08</v>
      </c>
      <c r="Q4829">
        <f>WEEKNUM(Table1[[#This Row],[order_date]])</f>
        <v>33</v>
      </c>
      <c r="R4829">
        <f>IF(Table1[[#This Row],[order_status]]="completed",1,0)</f>
        <v>1</v>
      </c>
    </row>
    <row r="4830" spans="1:18" x14ac:dyDescent="0.35">
      <c r="A4830">
        <v>4829</v>
      </c>
      <c r="B4830" s="1">
        <v>46012</v>
      </c>
      <c r="C4830">
        <v>1116</v>
      </c>
      <c r="D4830" t="s">
        <v>28</v>
      </c>
      <c r="E4830" t="s">
        <v>29</v>
      </c>
      <c r="F4830" t="s">
        <v>17</v>
      </c>
      <c r="G4830">
        <v>3</v>
      </c>
      <c r="H4830">
        <v>3726</v>
      </c>
      <c r="I4830" t="s">
        <v>35</v>
      </c>
      <c r="J4830" t="s">
        <v>19</v>
      </c>
      <c r="K4830" t="s">
        <v>26</v>
      </c>
      <c r="L4830">
        <v>10</v>
      </c>
      <c r="M4830">
        <v>1</v>
      </c>
      <c r="N4830">
        <v>0</v>
      </c>
      <c r="O4830" t="s">
        <v>27</v>
      </c>
      <c r="P4830" t="str">
        <f>TEXT(Table1[[#This Row],[order_date]],"yyyy-mm")</f>
        <v>2025-12</v>
      </c>
      <c r="Q4830">
        <f>WEEKNUM(Table1[[#This Row],[order_date]])</f>
        <v>52</v>
      </c>
      <c r="R4830">
        <f>IF(Table1[[#This Row],[order_status]]="completed",1,0)</f>
        <v>1</v>
      </c>
    </row>
    <row r="4831" spans="1:18" x14ac:dyDescent="0.35">
      <c r="A4831">
        <v>4830</v>
      </c>
      <c r="B4831" s="1">
        <v>45874</v>
      </c>
      <c r="C4831">
        <v>1401</v>
      </c>
      <c r="D4831" t="s">
        <v>15</v>
      </c>
      <c r="E4831" t="s">
        <v>33</v>
      </c>
      <c r="F4831" t="s">
        <v>17</v>
      </c>
      <c r="G4831">
        <v>4</v>
      </c>
      <c r="H4831">
        <v>10684</v>
      </c>
      <c r="I4831" t="s">
        <v>18</v>
      </c>
      <c r="J4831" t="s">
        <v>19</v>
      </c>
      <c r="K4831" t="s">
        <v>40</v>
      </c>
      <c r="L4831">
        <v>1</v>
      </c>
      <c r="M4831">
        <v>0</v>
      </c>
      <c r="N4831">
        <v>0</v>
      </c>
      <c r="O4831" t="s">
        <v>21</v>
      </c>
      <c r="P4831" t="str">
        <f>TEXT(Table1[[#This Row],[order_date]],"yyyy-mm")</f>
        <v>2025-08</v>
      </c>
      <c r="Q4831">
        <f>WEEKNUM(Table1[[#This Row],[order_date]])</f>
        <v>32</v>
      </c>
      <c r="R4831">
        <f>IF(Table1[[#This Row],[order_status]]="completed",1,0)</f>
        <v>1</v>
      </c>
    </row>
    <row r="4832" spans="1:18" x14ac:dyDescent="0.35">
      <c r="A4832">
        <v>4831</v>
      </c>
      <c r="B4832" s="1">
        <v>45947</v>
      </c>
      <c r="C4832">
        <v>1705</v>
      </c>
      <c r="D4832" t="s">
        <v>15</v>
      </c>
      <c r="E4832" t="s">
        <v>33</v>
      </c>
      <c r="F4832" t="s">
        <v>30</v>
      </c>
      <c r="G4832">
        <v>1</v>
      </c>
      <c r="H4832">
        <v>740</v>
      </c>
      <c r="I4832" t="s">
        <v>25</v>
      </c>
      <c r="J4832" t="s">
        <v>19</v>
      </c>
      <c r="K4832" t="s">
        <v>40</v>
      </c>
      <c r="L4832">
        <v>1</v>
      </c>
      <c r="M4832">
        <v>0</v>
      </c>
      <c r="N4832">
        <v>0</v>
      </c>
      <c r="O4832" t="s">
        <v>21</v>
      </c>
      <c r="P4832" t="str">
        <f>TEXT(Table1[[#This Row],[order_date]],"yyyy-mm")</f>
        <v>2025-10</v>
      </c>
      <c r="Q4832">
        <f>WEEKNUM(Table1[[#This Row],[order_date]])</f>
        <v>42</v>
      </c>
      <c r="R4832">
        <f>IF(Table1[[#This Row],[order_status]]="completed",1,0)</f>
        <v>1</v>
      </c>
    </row>
    <row r="4833" spans="1:18" x14ac:dyDescent="0.35">
      <c r="A4833">
        <v>4832</v>
      </c>
      <c r="B4833" s="1">
        <v>46013</v>
      </c>
      <c r="C4833">
        <v>1925</v>
      </c>
      <c r="D4833" t="s">
        <v>32</v>
      </c>
      <c r="E4833" t="s">
        <v>29</v>
      </c>
      <c r="F4833" t="s">
        <v>17</v>
      </c>
      <c r="G4833">
        <v>3</v>
      </c>
      <c r="H4833">
        <v>0</v>
      </c>
      <c r="I4833" t="s">
        <v>18</v>
      </c>
      <c r="J4833" t="s">
        <v>31</v>
      </c>
      <c r="K4833" t="s">
        <v>38</v>
      </c>
      <c r="L4833">
        <v>5</v>
      </c>
      <c r="M4833">
        <v>1</v>
      </c>
      <c r="N4833">
        <v>0</v>
      </c>
      <c r="O4833" t="s">
        <v>21</v>
      </c>
      <c r="P4833" t="str">
        <f>TEXT(Table1[[#This Row],[order_date]],"yyyy-mm")</f>
        <v>2025-12</v>
      </c>
      <c r="Q4833">
        <f>WEEKNUM(Table1[[#This Row],[order_date]])</f>
        <v>52</v>
      </c>
      <c r="R4833">
        <f>IF(Table1[[#This Row],[order_status]]="completed",1,0)</f>
        <v>0</v>
      </c>
    </row>
    <row r="4834" spans="1:18" x14ac:dyDescent="0.35">
      <c r="A4834">
        <v>4833</v>
      </c>
      <c r="B4834" s="1">
        <v>45978</v>
      </c>
      <c r="C4834">
        <v>1727</v>
      </c>
      <c r="D4834" t="s">
        <v>15</v>
      </c>
      <c r="E4834" t="s">
        <v>29</v>
      </c>
      <c r="F4834" t="s">
        <v>34</v>
      </c>
      <c r="G4834">
        <v>4</v>
      </c>
      <c r="H4834">
        <v>0</v>
      </c>
      <c r="I4834" t="s">
        <v>25</v>
      </c>
      <c r="J4834" t="s">
        <v>37</v>
      </c>
      <c r="K4834" t="s">
        <v>26</v>
      </c>
      <c r="L4834">
        <v>5</v>
      </c>
      <c r="M4834">
        <v>1</v>
      </c>
      <c r="N4834">
        <v>0</v>
      </c>
      <c r="O4834" t="s">
        <v>27</v>
      </c>
      <c r="P4834" t="str">
        <f>TEXT(Table1[[#This Row],[order_date]],"yyyy-mm")</f>
        <v>2025-11</v>
      </c>
      <c r="Q4834">
        <f>WEEKNUM(Table1[[#This Row],[order_date]])</f>
        <v>47</v>
      </c>
      <c r="R4834">
        <f>IF(Table1[[#This Row],[order_status]]="completed",1,0)</f>
        <v>0</v>
      </c>
    </row>
    <row r="4835" spans="1:18" x14ac:dyDescent="0.35">
      <c r="A4835">
        <v>4834</v>
      </c>
      <c r="B4835" s="1">
        <v>45979</v>
      </c>
      <c r="C4835">
        <v>1057</v>
      </c>
      <c r="D4835" t="s">
        <v>28</v>
      </c>
      <c r="E4835" t="s">
        <v>33</v>
      </c>
      <c r="F4835" t="s">
        <v>17</v>
      </c>
      <c r="G4835">
        <v>2</v>
      </c>
      <c r="H4835">
        <v>0</v>
      </c>
      <c r="I4835" t="s">
        <v>35</v>
      </c>
      <c r="J4835" t="s">
        <v>31</v>
      </c>
      <c r="K4835" t="s">
        <v>40</v>
      </c>
      <c r="L4835">
        <v>5</v>
      </c>
      <c r="M4835">
        <v>1</v>
      </c>
      <c r="N4835">
        <v>0</v>
      </c>
      <c r="O4835" t="s">
        <v>21</v>
      </c>
      <c r="P4835" t="str">
        <f>TEXT(Table1[[#This Row],[order_date]],"yyyy-mm")</f>
        <v>2025-11</v>
      </c>
      <c r="Q4835">
        <f>WEEKNUM(Table1[[#This Row],[order_date]])</f>
        <v>47</v>
      </c>
      <c r="R4835">
        <f>IF(Table1[[#This Row],[order_status]]="completed",1,0)</f>
        <v>0</v>
      </c>
    </row>
    <row r="4836" spans="1:18" x14ac:dyDescent="0.35">
      <c r="A4836">
        <v>4835</v>
      </c>
      <c r="B4836" s="1">
        <v>45969</v>
      </c>
      <c r="C4836">
        <v>1232</v>
      </c>
      <c r="D4836" t="s">
        <v>22</v>
      </c>
      <c r="E4836" t="s">
        <v>29</v>
      </c>
      <c r="F4836" t="s">
        <v>17</v>
      </c>
      <c r="G4836">
        <v>3</v>
      </c>
      <c r="H4836">
        <v>0</v>
      </c>
      <c r="I4836" t="s">
        <v>25</v>
      </c>
      <c r="J4836" t="s">
        <v>37</v>
      </c>
      <c r="K4836" t="s">
        <v>38</v>
      </c>
      <c r="L4836">
        <v>5</v>
      </c>
      <c r="M4836">
        <v>1</v>
      </c>
      <c r="N4836">
        <v>1</v>
      </c>
      <c r="O4836" t="s">
        <v>21</v>
      </c>
      <c r="P4836" t="str">
        <f>TEXT(Table1[[#This Row],[order_date]],"yyyy-mm")</f>
        <v>2025-11</v>
      </c>
      <c r="Q4836">
        <f>WEEKNUM(Table1[[#This Row],[order_date]])</f>
        <v>45</v>
      </c>
      <c r="R4836">
        <f>IF(Table1[[#This Row],[order_status]]="completed",1,0)</f>
        <v>0</v>
      </c>
    </row>
    <row r="4837" spans="1:18" x14ac:dyDescent="0.35">
      <c r="A4837">
        <v>4836</v>
      </c>
      <c r="B4837" s="1">
        <v>45982</v>
      </c>
      <c r="C4837">
        <v>1240</v>
      </c>
      <c r="D4837" t="s">
        <v>28</v>
      </c>
      <c r="E4837" t="s">
        <v>23</v>
      </c>
      <c r="F4837" t="s">
        <v>24</v>
      </c>
      <c r="G4837">
        <v>5</v>
      </c>
      <c r="H4837">
        <v>0</v>
      </c>
      <c r="I4837" t="s">
        <v>39</v>
      </c>
      <c r="J4837" t="s">
        <v>31</v>
      </c>
      <c r="K4837" t="s">
        <v>20</v>
      </c>
      <c r="L4837">
        <v>8</v>
      </c>
      <c r="M4837">
        <v>1</v>
      </c>
      <c r="N4837">
        <v>1</v>
      </c>
      <c r="O4837" t="s">
        <v>21</v>
      </c>
      <c r="P4837" t="str">
        <f>TEXT(Table1[[#This Row],[order_date]],"yyyy-mm")</f>
        <v>2025-11</v>
      </c>
      <c r="Q4837">
        <f>WEEKNUM(Table1[[#This Row],[order_date]])</f>
        <v>47</v>
      </c>
      <c r="R4837">
        <f>IF(Table1[[#This Row],[order_status]]="completed",1,0)</f>
        <v>0</v>
      </c>
    </row>
    <row r="4838" spans="1:18" x14ac:dyDescent="0.35">
      <c r="A4838">
        <v>4837</v>
      </c>
      <c r="B4838" s="1">
        <v>46003</v>
      </c>
      <c r="C4838">
        <v>1175</v>
      </c>
      <c r="D4838" t="s">
        <v>41</v>
      </c>
      <c r="E4838" t="s">
        <v>36</v>
      </c>
      <c r="F4838" t="s">
        <v>17</v>
      </c>
      <c r="G4838">
        <v>2</v>
      </c>
      <c r="H4838">
        <v>0</v>
      </c>
      <c r="I4838" t="s">
        <v>18</v>
      </c>
      <c r="J4838" t="s">
        <v>37</v>
      </c>
      <c r="K4838" t="s">
        <v>38</v>
      </c>
      <c r="L4838">
        <v>6</v>
      </c>
      <c r="M4838">
        <v>1</v>
      </c>
      <c r="N4838">
        <v>0</v>
      </c>
      <c r="O4838" t="s">
        <v>27</v>
      </c>
      <c r="P4838" t="str">
        <f>TEXT(Table1[[#This Row],[order_date]],"yyyy-mm")</f>
        <v>2025-12</v>
      </c>
      <c r="Q4838">
        <f>WEEKNUM(Table1[[#This Row],[order_date]])</f>
        <v>50</v>
      </c>
      <c r="R4838">
        <f>IF(Table1[[#This Row],[order_status]]="completed",1,0)</f>
        <v>0</v>
      </c>
    </row>
    <row r="4839" spans="1:18" x14ac:dyDescent="0.35">
      <c r="A4839">
        <v>4838</v>
      </c>
      <c r="B4839" s="1">
        <v>45872</v>
      </c>
      <c r="C4839">
        <v>1597</v>
      </c>
      <c r="D4839" t="s">
        <v>41</v>
      </c>
      <c r="E4839" t="s">
        <v>16</v>
      </c>
      <c r="F4839" t="s">
        <v>34</v>
      </c>
      <c r="G4839">
        <v>3</v>
      </c>
      <c r="H4839">
        <v>0</v>
      </c>
      <c r="I4839" t="s">
        <v>25</v>
      </c>
      <c r="J4839" t="s">
        <v>37</v>
      </c>
      <c r="K4839" t="s">
        <v>26</v>
      </c>
      <c r="L4839">
        <v>7</v>
      </c>
      <c r="M4839">
        <v>1</v>
      </c>
      <c r="N4839">
        <v>0</v>
      </c>
      <c r="O4839" t="s">
        <v>21</v>
      </c>
      <c r="P4839" t="str">
        <f>TEXT(Table1[[#This Row],[order_date]],"yyyy-mm")</f>
        <v>2025-08</v>
      </c>
      <c r="Q4839">
        <f>WEEKNUM(Table1[[#This Row],[order_date]])</f>
        <v>32</v>
      </c>
      <c r="R4839">
        <f>IF(Table1[[#This Row],[order_status]]="completed",1,0)</f>
        <v>0</v>
      </c>
    </row>
    <row r="4840" spans="1:18" x14ac:dyDescent="0.35">
      <c r="A4840">
        <v>4839</v>
      </c>
      <c r="B4840" s="1">
        <v>45990</v>
      </c>
      <c r="C4840">
        <v>1256</v>
      </c>
      <c r="D4840" t="s">
        <v>41</v>
      </c>
      <c r="E4840" t="s">
        <v>16</v>
      </c>
      <c r="F4840" t="s">
        <v>24</v>
      </c>
      <c r="G4840">
        <v>5</v>
      </c>
      <c r="H4840">
        <v>22510</v>
      </c>
      <c r="I4840" t="s">
        <v>39</v>
      </c>
      <c r="J4840" t="s">
        <v>19</v>
      </c>
      <c r="K4840" t="s">
        <v>40</v>
      </c>
      <c r="L4840">
        <v>1</v>
      </c>
      <c r="M4840">
        <v>1</v>
      </c>
      <c r="N4840">
        <v>0</v>
      </c>
      <c r="O4840" t="s">
        <v>27</v>
      </c>
      <c r="P4840" t="str">
        <f>TEXT(Table1[[#This Row],[order_date]],"yyyy-mm")</f>
        <v>2025-11</v>
      </c>
      <c r="Q4840">
        <f>WEEKNUM(Table1[[#This Row],[order_date]])</f>
        <v>48</v>
      </c>
      <c r="R4840">
        <f>IF(Table1[[#This Row],[order_status]]="completed",1,0)</f>
        <v>1</v>
      </c>
    </row>
    <row r="4841" spans="1:18" x14ac:dyDescent="0.35">
      <c r="A4841">
        <v>4840</v>
      </c>
      <c r="B4841" s="1">
        <v>46018</v>
      </c>
      <c r="C4841">
        <v>1457</v>
      </c>
      <c r="D4841" t="s">
        <v>15</v>
      </c>
      <c r="E4841" t="s">
        <v>29</v>
      </c>
      <c r="F4841" t="s">
        <v>30</v>
      </c>
      <c r="G4841">
        <v>3</v>
      </c>
      <c r="H4841">
        <v>0</v>
      </c>
      <c r="I4841" t="s">
        <v>25</v>
      </c>
      <c r="J4841" t="s">
        <v>31</v>
      </c>
      <c r="K4841" t="s">
        <v>20</v>
      </c>
      <c r="L4841">
        <v>6</v>
      </c>
      <c r="M4841">
        <v>1</v>
      </c>
      <c r="N4841">
        <v>1</v>
      </c>
      <c r="O4841" t="s">
        <v>21</v>
      </c>
      <c r="P4841" t="str">
        <f>TEXT(Table1[[#This Row],[order_date]],"yyyy-mm")</f>
        <v>2025-12</v>
      </c>
      <c r="Q4841">
        <f>WEEKNUM(Table1[[#This Row],[order_date]])</f>
        <v>52</v>
      </c>
      <c r="R4841">
        <f>IF(Table1[[#This Row],[order_status]]="completed",1,0)</f>
        <v>0</v>
      </c>
    </row>
    <row r="4842" spans="1:18" x14ac:dyDescent="0.35">
      <c r="A4842">
        <v>4841</v>
      </c>
      <c r="B4842" s="1">
        <v>45895</v>
      </c>
      <c r="C4842">
        <v>1951</v>
      </c>
      <c r="D4842" t="s">
        <v>22</v>
      </c>
      <c r="E4842" t="s">
        <v>33</v>
      </c>
      <c r="F4842" t="s">
        <v>17</v>
      </c>
      <c r="G4842">
        <v>3</v>
      </c>
      <c r="H4842">
        <v>0</v>
      </c>
      <c r="I4842" t="s">
        <v>18</v>
      </c>
      <c r="J4842" t="s">
        <v>37</v>
      </c>
      <c r="K4842" t="s">
        <v>38</v>
      </c>
      <c r="L4842">
        <v>6</v>
      </c>
      <c r="M4842">
        <v>0</v>
      </c>
      <c r="N4842">
        <v>0</v>
      </c>
      <c r="O4842" t="s">
        <v>21</v>
      </c>
      <c r="P4842" t="str">
        <f>TEXT(Table1[[#This Row],[order_date]],"yyyy-mm")</f>
        <v>2025-08</v>
      </c>
      <c r="Q4842">
        <f>WEEKNUM(Table1[[#This Row],[order_date]])</f>
        <v>35</v>
      </c>
      <c r="R4842">
        <f>IF(Table1[[#This Row],[order_status]]="completed",1,0)</f>
        <v>0</v>
      </c>
    </row>
    <row r="4843" spans="1:18" x14ac:dyDescent="0.35">
      <c r="A4843">
        <v>4842</v>
      </c>
      <c r="B4843" s="1">
        <v>46010</v>
      </c>
      <c r="C4843">
        <v>1841</v>
      </c>
      <c r="D4843" t="s">
        <v>32</v>
      </c>
      <c r="E4843" t="s">
        <v>29</v>
      </c>
      <c r="F4843" t="s">
        <v>17</v>
      </c>
      <c r="G4843">
        <v>3</v>
      </c>
      <c r="H4843">
        <v>0</v>
      </c>
      <c r="I4843" t="s">
        <v>25</v>
      </c>
      <c r="J4843" t="s">
        <v>31</v>
      </c>
      <c r="K4843" t="s">
        <v>38</v>
      </c>
      <c r="L4843">
        <v>9</v>
      </c>
      <c r="M4843">
        <v>1</v>
      </c>
      <c r="N4843">
        <v>1</v>
      </c>
      <c r="O4843" t="s">
        <v>27</v>
      </c>
      <c r="P4843" t="str">
        <f>TEXT(Table1[[#This Row],[order_date]],"yyyy-mm")</f>
        <v>2025-12</v>
      </c>
      <c r="Q4843">
        <f>WEEKNUM(Table1[[#This Row],[order_date]])</f>
        <v>51</v>
      </c>
      <c r="R4843">
        <f>IF(Table1[[#This Row],[order_status]]="completed",1,0)</f>
        <v>0</v>
      </c>
    </row>
    <row r="4844" spans="1:18" x14ac:dyDescent="0.35">
      <c r="A4844">
        <v>4843</v>
      </c>
      <c r="B4844" s="1">
        <v>45851</v>
      </c>
      <c r="C4844">
        <v>1681</v>
      </c>
      <c r="D4844" t="s">
        <v>28</v>
      </c>
      <c r="E4844" t="s">
        <v>16</v>
      </c>
      <c r="F4844" t="s">
        <v>24</v>
      </c>
      <c r="G4844">
        <v>4</v>
      </c>
      <c r="H4844">
        <v>0</v>
      </c>
      <c r="I4844" t="s">
        <v>35</v>
      </c>
      <c r="J4844" t="s">
        <v>37</v>
      </c>
      <c r="K4844" t="s">
        <v>20</v>
      </c>
      <c r="L4844">
        <v>4</v>
      </c>
      <c r="M4844">
        <v>1</v>
      </c>
      <c r="N4844">
        <v>0</v>
      </c>
      <c r="O4844" t="s">
        <v>21</v>
      </c>
      <c r="P4844" t="str">
        <f>TEXT(Table1[[#This Row],[order_date]],"yyyy-mm")</f>
        <v>2025-07</v>
      </c>
      <c r="Q4844">
        <f>WEEKNUM(Table1[[#This Row],[order_date]])</f>
        <v>29</v>
      </c>
      <c r="R4844">
        <f>IF(Table1[[#This Row],[order_status]]="completed",1,0)</f>
        <v>0</v>
      </c>
    </row>
    <row r="4845" spans="1:18" x14ac:dyDescent="0.35">
      <c r="A4845">
        <v>4844</v>
      </c>
      <c r="B4845" s="1">
        <v>46015</v>
      </c>
      <c r="C4845">
        <v>1374</v>
      </c>
      <c r="D4845" t="s">
        <v>32</v>
      </c>
      <c r="E4845" t="s">
        <v>23</v>
      </c>
      <c r="F4845" t="s">
        <v>17</v>
      </c>
      <c r="G4845">
        <v>4</v>
      </c>
      <c r="H4845">
        <v>0</v>
      </c>
      <c r="I4845" t="s">
        <v>18</v>
      </c>
      <c r="J4845" t="s">
        <v>37</v>
      </c>
      <c r="K4845" t="s">
        <v>26</v>
      </c>
      <c r="L4845">
        <v>4</v>
      </c>
      <c r="M4845">
        <v>1</v>
      </c>
      <c r="N4845">
        <v>0</v>
      </c>
      <c r="O4845" t="s">
        <v>21</v>
      </c>
      <c r="P4845" t="str">
        <f>TEXT(Table1[[#This Row],[order_date]],"yyyy-mm")</f>
        <v>2025-12</v>
      </c>
      <c r="Q4845">
        <f>WEEKNUM(Table1[[#This Row],[order_date]])</f>
        <v>52</v>
      </c>
      <c r="R4845">
        <f>IF(Table1[[#This Row],[order_status]]="completed",1,0)</f>
        <v>0</v>
      </c>
    </row>
    <row r="4846" spans="1:18" x14ac:dyDescent="0.35">
      <c r="A4846">
        <v>4845</v>
      </c>
      <c r="B4846" s="1">
        <v>46005</v>
      </c>
      <c r="C4846">
        <v>1893</v>
      </c>
      <c r="D4846" t="s">
        <v>22</v>
      </c>
      <c r="E4846" t="s">
        <v>33</v>
      </c>
      <c r="F4846" t="s">
        <v>17</v>
      </c>
      <c r="G4846">
        <v>4</v>
      </c>
      <c r="H4846">
        <v>17200</v>
      </c>
      <c r="I4846" t="s">
        <v>39</v>
      </c>
      <c r="J4846" t="s">
        <v>19</v>
      </c>
      <c r="K4846" t="s">
        <v>20</v>
      </c>
      <c r="L4846">
        <v>5</v>
      </c>
      <c r="M4846">
        <v>1</v>
      </c>
      <c r="N4846">
        <v>0</v>
      </c>
      <c r="O4846" t="s">
        <v>27</v>
      </c>
      <c r="P4846" t="str">
        <f>TEXT(Table1[[#This Row],[order_date]],"yyyy-mm")</f>
        <v>2025-12</v>
      </c>
      <c r="Q4846">
        <f>WEEKNUM(Table1[[#This Row],[order_date]])</f>
        <v>51</v>
      </c>
      <c r="R4846">
        <f>IF(Table1[[#This Row],[order_status]]="completed",1,0)</f>
        <v>1</v>
      </c>
    </row>
    <row r="4847" spans="1:18" x14ac:dyDescent="0.35">
      <c r="A4847">
        <v>4846</v>
      </c>
      <c r="B4847" s="1">
        <v>45856</v>
      </c>
      <c r="C4847">
        <v>1591</v>
      </c>
      <c r="D4847" t="s">
        <v>32</v>
      </c>
      <c r="E4847" t="s">
        <v>23</v>
      </c>
      <c r="F4847" t="s">
        <v>24</v>
      </c>
      <c r="G4847">
        <v>2</v>
      </c>
      <c r="H4847">
        <v>0</v>
      </c>
      <c r="I4847" t="s">
        <v>39</v>
      </c>
      <c r="J4847" t="s">
        <v>37</v>
      </c>
      <c r="K4847" t="s">
        <v>20</v>
      </c>
      <c r="L4847">
        <v>5</v>
      </c>
      <c r="M4847">
        <v>1</v>
      </c>
      <c r="N4847">
        <v>0</v>
      </c>
      <c r="O4847" t="s">
        <v>27</v>
      </c>
      <c r="P4847" t="str">
        <f>TEXT(Table1[[#This Row],[order_date]],"yyyy-mm")</f>
        <v>2025-07</v>
      </c>
      <c r="Q4847">
        <f>WEEKNUM(Table1[[#This Row],[order_date]])</f>
        <v>29</v>
      </c>
      <c r="R4847">
        <f>IF(Table1[[#This Row],[order_status]]="completed",1,0)</f>
        <v>0</v>
      </c>
    </row>
    <row r="4848" spans="1:18" x14ac:dyDescent="0.35">
      <c r="A4848">
        <v>4847</v>
      </c>
      <c r="B4848" s="1">
        <v>46028</v>
      </c>
      <c r="C4848">
        <v>1880</v>
      </c>
      <c r="D4848" t="s">
        <v>22</v>
      </c>
      <c r="E4848" t="s">
        <v>16</v>
      </c>
      <c r="F4848" t="s">
        <v>30</v>
      </c>
      <c r="G4848">
        <v>3</v>
      </c>
      <c r="H4848">
        <v>0</v>
      </c>
      <c r="I4848" t="s">
        <v>39</v>
      </c>
      <c r="J4848" t="s">
        <v>37</v>
      </c>
      <c r="K4848" t="s">
        <v>40</v>
      </c>
      <c r="L4848">
        <v>2</v>
      </c>
      <c r="M4848">
        <v>1</v>
      </c>
      <c r="N4848">
        <v>0</v>
      </c>
      <c r="O4848" t="s">
        <v>21</v>
      </c>
      <c r="P4848" t="str">
        <f>TEXT(Table1[[#This Row],[order_date]],"yyyy-mm")</f>
        <v>2026-01</v>
      </c>
      <c r="Q4848">
        <f>WEEKNUM(Table1[[#This Row],[order_date]])</f>
        <v>2</v>
      </c>
      <c r="R4848">
        <f>IF(Table1[[#This Row],[order_status]]="completed",1,0)</f>
        <v>0</v>
      </c>
    </row>
    <row r="4849" spans="1:18" x14ac:dyDescent="0.35">
      <c r="A4849">
        <v>4848</v>
      </c>
      <c r="B4849" s="1">
        <v>45851</v>
      </c>
      <c r="C4849">
        <v>1562</v>
      </c>
      <c r="D4849" t="s">
        <v>15</v>
      </c>
      <c r="E4849" t="s">
        <v>36</v>
      </c>
      <c r="F4849" t="s">
        <v>30</v>
      </c>
      <c r="G4849">
        <v>3</v>
      </c>
      <c r="H4849">
        <v>0</v>
      </c>
      <c r="I4849" t="s">
        <v>18</v>
      </c>
      <c r="J4849" t="s">
        <v>31</v>
      </c>
      <c r="K4849" t="s">
        <v>20</v>
      </c>
      <c r="L4849">
        <v>10</v>
      </c>
      <c r="M4849">
        <v>0</v>
      </c>
      <c r="N4849">
        <v>0</v>
      </c>
      <c r="O4849" t="s">
        <v>27</v>
      </c>
      <c r="P4849" t="str">
        <f>TEXT(Table1[[#This Row],[order_date]],"yyyy-mm")</f>
        <v>2025-07</v>
      </c>
      <c r="Q4849">
        <f>WEEKNUM(Table1[[#This Row],[order_date]])</f>
        <v>29</v>
      </c>
      <c r="R4849">
        <f>IF(Table1[[#This Row],[order_status]]="completed",1,0)</f>
        <v>0</v>
      </c>
    </row>
    <row r="4850" spans="1:18" x14ac:dyDescent="0.35">
      <c r="A4850">
        <v>4849</v>
      </c>
      <c r="B4850" s="1">
        <v>45878</v>
      </c>
      <c r="C4850">
        <v>1443</v>
      </c>
      <c r="D4850" t="s">
        <v>28</v>
      </c>
      <c r="E4850" t="s">
        <v>23</v>
      </c>
      <c r="F4850" t="s">
        <v>30</v>
      </c>
      <c r="G4850">
        <v>3</v>
      </c>
      <c r="H4850">
        <v>10308</v>
      </c>
      <c r="I4850" t="s">
        <v>35</v>
      </c>
      <c r="J4850" t="s">
        <v>19</v>
      </c>
      <c r="K4850" t="s">
        <v>38</v>
      </c>
      <c r="L4850">
        <v>8</v>
      </c>
      <c r="M4850">
        <v>0</v>
      </c>
      <c r="N4850">
        <v>0</v>
      </c>
      <c r="O4850" t="s">
        <v>21</v>
      </c>
      <c r="P4850" t="str">
        <f>TEXT(Table1[[#This Row],[order_date]],"yyyy-mm")</f>
        <v>2025-08</v>
      </c>
      <c r="Q4850">
        <f>WEEKNUM(Table1[[#This Row],[order_date]])</f>
        <v>32</v>
      </c>
      <c r="R4850">
        <f>IF(Table1[[#This Row],[order_status]]="completed",1,0)</f>
        <v>1</v>
      </c>
    </row>
    <row r="4851" spans="1:18" x14ac:dyDescent="0.35">
      <c r="A4851">
        <v>4850</v>
      </c>
      <c r="B4851" s="1">
        <v>45851</v>
      </c>
      <c r="C4851">
        <v>1835</v>
      </c>
      <c r="D4851" t="s">
        <v>22</v>
      </c>
      <c r="E4851" t="s">
        <v>33</v>
      </c>
      <c r="F4851" t="s">
        <v>30</v>
      </c>
      <c r="G4851">
        <v>1</v>
      </c>
      <c r="H4851">
        <v>0</v>
      </c>
      <c r="I4851" t="s">
        <v>39</v>
      </c>
      <c r="J4851" t="s">
        <v>37</v>
      </c>
      <c r="K4851" t="s">
        <v>26</v>
      </c>
      <c r="L4851">
        <v>10</v>
      </c>
      <c r="M4851">
        <v>1</v>
      </c>
      <c r="N4851">
        <v>0</v>
      </c>
      <c r="O4851" t="s">
        <v>27</v>
      </c>
      <c r="P4851" t="str">
        <f>TEXT(Table1[[#This Row],[order_date]],"yyyy-mm")</f>
        <v>2025-07</v>
      </c>
      <c r="Q4851">
        <f>WEEKNUM(Table1[[#This Row],[order_date]])</f>
        <v>29</v>
      </c>
      <c r="R4851">
        <f>IF(Table1[[#This Row],[order_status]]="completed",1,0)</f>
        <v>0</v>
      </c>
    </row>
    <row r="4852" spans="1:18" x14ac:dyDescent="0.35">
      <c r="A4852">
        <v>4851</v>
      </c>
      <c r="B4852" s="1">
        <v>45949</v>
      </c>
      <c r="C4852">
        <v>1471</v>
      </c>
      <c r="D4852" t="s">
        <v>22</v>
      </c>
      <c r="E4852" t="s">
        <v>29</v>
      </c>
      <c r="F4852" t="s">
        <v>17</v>
      </c>
      <c r="G4852">
        <v>1</v>
      </c>
      <c r="H4852">
        <v>0</v>
      </c>
      <c r="I4852" t="s">
        <v>39</v>
      </c>
      <c r="J4852" t="s">
        <v>31</v>
      </c>
      <c r="K4852" t="s">
        <v>40</v>
      </c>
      <c r="L4852">
        <v>6</v>
      </c>
      <c r="M4852">
        <v>0</v>
      </c>
      <c r="N4852">
        <v>0</v>
      </c>
      <c r="O4852" t="s">
        <v>27</v>
      </c>
      <c r="P4852" t="str">
        <f>TEXT(Table1[[#This Row],[order_date]],"yyyy-mm")</f>
        <v>2025-10</v>
      </c>
      <c r="Q4852">
        <f>WEEKNUM(Table1[[#This Row],[order_date]])</f>
        <v>43</v>
      </c>
      <c r="R4852">
        <f>IF(Table1[[#This Row],[order_status]]="completed",1,0)</f>
        <v>0</v>
      </c>
    </row>
    <row r="4853" spans="1:18" x14ac:dyDescent="0.35">
      <c r="A4853">
        <v>4852</v>
      </c>
      <c r="B4853" s="1">
        <v>45944</v>
      </c>
      <c r="C4853">
        <v>1557</v>
      </c>
      <c r="D4853" t="s">
        <v>15</v>
      </c>
      <c r="E4853" t="s">
        <v>23</v>
      </c>
      <c r="F4853" t="s">
        <v>17</v>
      </c>
      <c r="G4853">
        <v>2</v>
      </c>
      <c r="H4853">
        <v>0</v>
      </c>
      <c r="I4853" t="s">
        <v>25</v>
      </c>
      <c r="J4853" t="s">
        <v>31</v>
      </c>
      <c r="K4853" t="s">
        <v>38</v>
      </c>
      <c r="L4853">
        <v>2</v>
      </c>
      <c r="M4853">
        <v>0</v>
      </c>
      <c r="N4853">
        <v>1</v>
      </c>
      <c r="O4853" t="s">
        <v>27</v>
      </c>
      <c r="P4853" t="str">
        <f>TEXT(Table1[[#This Row],[order_date]],"yyyy-mm")</f>
        <v>2025-10</v>
      </c>
      <c r="Q4853">
        <f>WEEKNUM(Table1[[#This Row],[order_date]])</f>
        <v>42</v>
      </c>
      <c r="R4853">
        <f>IF(Table1[[#This Row],[order_status]]="completed",1,0)</f>
        <v>0</v>
      </c>
    </row>
    <row r="4854" spans="1:18" x14ac:dyDescent="0.35">
      <c r="A4854">
        <v>4853</v>
      </c>
      <c r="B4854" s="1">
        <v>45882</v>
      </c>
      <c r="C4854">
        <v>1587</v>
      </c>
      <c r="D4854" t="s">
        <v>28</v>
      </c>
      <c r="E4854" t="s">
        <v>33</v>
      </c>
      <c r="F4854" t="s">
        <v>24</v>
      </c>
      <c r="G4854">
        <v>5</v>
      </c>
      <c r="H4854">
        <v>0</v>
      </c>
      <c r="I4854" t="s">
        <v>25</v>
      </c>
      <c r="J4854" t="s">
        <v>37</v>
      </c>
      <c r="K4854" t="s">
        <v>40</v>
      </c>
      <c r="L4854">
        <v>6</v>
      </c>
      <c r="M4854">
        <v>0</v>
      </c>
      <c r="N4854">
        <v>0</v>
      </c>
      <c r="O4854" t="s">
        <v>27</v>
      </c>
      <c r="P4854" t="str">
        <f>TEXT(Table1[[#This Row],[order_date]],"yyyy-mm")</f>
        <v>2025-08</v>
      </c>
      <c r="Q4854">
        <f>WEEKNUM(Table1[[#This Row],[order_date]])</f>
        <v>33</v>
      </c>
      <c r="R4854">
        <f>IF(Table1[[#This Row],[order_status]]="completed",1,0)</f>
        <v>0</v>
      </c>
    </row>
    <row r="4855" spans="1:18" x14ac:dyDescent="0.35">
      <c r="A4855">
        <v>4854</v>
      </c>
      <c r="B4855" s="1">
        <v>45876</v>
      </c>
      <c r="C4855">
        <v>1859</v>
      </c>
      <c r="D4855" t="s">
        <v>41</v>
      </c>
      <c r="E4855" t="s">
        <v>33</v>
      </c>
      <c r="F4855" t="s">
        <v>30</v>
      </c>
      <c r="G4855">
        <v>5</v>
      </c>
      <c r="H4855">
        <v>0</v>
      </c>
      <c r="I4855" t="s">
        <v>18</v>
      </c>
      <c r="J4855" t="s">
        <v>37</v>
      </c>
      <c r="K4855" t="s">
        <v>38</v>
      </c>
      <c r="L4855">
        <v>2</v>
      </c>
      <c r="M4855">
        <v>0</v>
      </c>
      <c r="N4855">
        <v>0</v>
      </c>
      <c r="O4855" t="s">
        <v>27</v>
      </c>
      <c r="P4855" t="str">
        <f>TEXT(Table1[[#This Row],[order_date]],"yyyy-mm")</f>
        <v>2025-08</v>
      </c>
      <c r="Q4855">
        <f>WEEKNUM(Table1[[#This Row],[order_date]])</f>
        <v>32</v>
      </c>
      <c r="R4855">
        <f>IF(Table1[[#This Row],[order_status]]="completed",1,0)</f>
        <v>0</v>
      </c>
    </row>
    <row r="4856" spans="1:18" x14ac:dyDescent="0.35">
      <c r="A4856">
        <v>4855</v>
      </c>
      <c r="B4856" s="1">
        <v>46001</v>
      </c>
      <c r="C4856">
        <v>1376</v>
      </c>
      <c r="D4856" t="s">
        <v>22</v>
      </c>
      <c r="E4856" t="s">
        <v>23</v>
      </c>
      <c r="F4856" t="s">
        <v>30</v>
      </c>
      <c r="G4856">
        <v>3</v>
      </c>
      <c r="H4856">
        <v>11937</v>
      </c>
      <c r="I4856" t="s">
        <v>25</v>
      </c>
      <c r="J4856" t="s">
        <v>19</v>
      </c>
      <c r="K4856" t="s">
        <v>26</v>
      </c>
      <c r="L4856">
        <v>4</v>
      </c>
      <c r="M4856">
        <v>0</v>
      </c>
      <c r="N4856">
        <v>0</v>
      </c>
      <c r="O4856" t="s">
        <v>27</v>
      </c>
      <c r="P4856" t="str">
        <f>TEXT(Table1[[#This Row],[order_date]],"yyyy-mm")</f>
        <v>2025-12</v>
      </c>
      <c r="Q4856">
        <f>WEEKNUM(Table1[[#This Row],[order_date]])</f>
        <v>50</v>
      </c>
      <c r="R4856">
        <f>IF(Table1[[#This Row],[order_status]]="completed",1,0)</f>
        <v>1</v>
      </c>
    </row>
    <row r="4857" spans="1:18" x14ac:dyDescent="0.35">
      <c r="A4857">
        <v>4856</v>
      </c>
      <c r="B4857" s="1">
        <v>45987</v>
      </c>
      <c r="C4857">
        <v>1335</v>
      </c>
      <c r="D4857" t="s">
        <v>22</v>
      </c>
      <c r="E4857" t="s">
        <v>16</v>
      </c>
      <c r="F4857" t="s">
        <v>30</v>
      </c>
      <c r="G4857">
        <v>5</v>
      </c>
      <c r="H4857">
        <v>0</v>
      </c>
      <c r="I4857" t="s">
        <v>35</v>
      </c>
      <c r="J4857" t="s">
        <v>31</v>
      </c>
      <c r="K4857" t="s">
        <v>40</v>
      </c>
      <c r="L4857">
        <v>2</v>
      </c>
      <c r="M4857">
        <v>0</v>
      </c>
      <c r="N4857">
        <v>1</v>
      </c>
      <c r="O4857" t="s">
        <v>21</v>
      </c>
      <c r="P4857" t="str">
        <f>TEXT(Table1[[#This Row],[order_date]],"yyyy-mm")</f>
        <v>2025-11</v>
      </c>
      <c r="Q4857">
        <f>WEEKNUM(Table1[[#This Row],[order_date]])</f>
        <v>48</v>
      </c>
      <c r="R4857">
        <f>IF(Table1[[#This Row],[order_status]]="completed",1,0)</f>
        <v>0</v>
      </c>
    </row>
    <row r="4858" spans="1:18" x14ac:dyDescent="0.35">
      <c r="A4858">
        <v>4857</v>
      </c>
      <c r="B4858" s="1">
        <v>45976</v>
      </c>
      <c r="C4858">
        <v>1214</v>
      </c>
      <c r="D4858" t="s">
        <v>41</v>
      </c>
      <c r="E4858" t="s">
        <v>36</v>
      </c>
      <c r="F4858" t="s">
        <v>30</v>
      </c>
      <c r="G4858">
        <v>2</v>
      </c>
      <c r="H4858">
        <v>2760</v>
      </c>
      <c r="I4858" t="s">
        <v>39</v>
      </c>
      <c r="J4858" t="s">
        <v>19</v>
      </c>
      <c r="K4858" t="s">
        <v>38</v>
      </c>
      <c r="L4858">
        <v>2</v>
      </c>
      <c r="M4858">
        <v>1</v>
      </c>
      <c r="N4858">
        <v>1</v>
      </c>
      <c r="O4858" t="s">
        <v>21</v>
      </c>
      <c r="P4858" t="str">
        <f>TEXT(Table1[[#This Row],[order_date]],"yyyy-mm")</f>
        <v>2025-11</v>
      </c>
      <c r="Q4858">
        <f>WEEKNUM(Table1[[#This Row],[order_date]])</f>
        <v>46</v>
      </c>
      <c r="R4858">
        <f>IF(Table1[[#This Row],[order_status]]="completed",1,0)</f>
        <v>1</v>
      </c>
    </row>
    <row r="4859" spans="1:18" x14ac:dyDescent="0.35">
      <c r="A4859">
        <v>4858</v>
      </c>
      <c r="B4859" s="1">
        <v>45869</v>
      </c>
      <c r="C4859">
        <v>1621</v>
      </c>
      <c r="D4859" t="s">
        <v>32</v>
      </c>
      <c r="E4859" t="s">
        <v>29</v>
      </c>
      <c r="F4859" t="s">
        <v>17</v>
      </c>
      <c r="G4859">
        <v>2</v>
      </c>
      <c r="H4859">
        <v>2430</v>
      </c>
      <c r="I4859" t="s">
        <v>39</v>
      </c>
      <c r="J4859" t="s">
        <v>19</v>
      </c>
      <c r="K4859" t="s">
        <v>38</v>
      </c>
      <c r="L4859">
        <v>8</v>
      </c>
      <c r="M4859">
        <v>0</v>
      </c>
      <c r="N4859">
        <v>1</v>
      </c>
      <c r="O4859" t="s">
        <v>21</v>
      </c>
      <c r="P4859" t="str">
        <f>TEXT(Table1[[#This Row],[order_date]],"yyyy-mm")</f>
        <v>2025-07</v>
      </c>
      <c r="Q4859">
        <f>WEEKNUM(Table1[[#This Row],[order_date]])</f>
        <v>31</v>
      </c>
      <c r="R4859">
        <f>IF(Table1[[#This Row],[order_status]]="completed",1,0)</f>
        <v>1</v>
      </c>
    </row>
    <row r="4860" spans="1:18" x14ac:dyDescent="0.35">
      <c r="A4860">
        <v>4859</v>
      </c>
      <c r="B4860" s="1">
        <v>45900</v>
      </c>
      <c r="C4860">
        <v>1096</v>
      </c>
      <c r="D4860" t="s">
        <v>28</v>
      </c>
      <c r="E4860" t="s">
        <v>29</v>
      </c>
      <c r="F4860" t="s">
        <v>24</v>
      </c>
      <c r="G4860">
        <v>4</v>
      </c>
      <c r="H4860">
        <v>0</v>
      </c>
      <c r="I4860" t="s">
        <v>35</v>
      </c>
      <c r="J4860" t="s">
        <v>37</v>
      </c>
      <c r="K4860" t="s">
        <v>20</v>
      </c>
      <c r="L4860">
        <v>3</v>
      </c>
      <c r="M4860">
        <v>1</v>
      </c>
      <c r="N4860">
        <v>0</v>
      </c>
      <c r="O4860" t="s">
        <v>27</v>
      </c>
      <c r="P4860" t="str">
        <f>TEXT(Table1[[#This Row],[order_date]],"yyyy-mm")</f>
        <v>2025-08</v>
      </c>
      <c r="Q4860">
        <f>WEEKNUM(Table1[[#This Row],[order_date]])</f>
        <v>36</v>
      </c>
      <c r="R4860">
        <f>IF(Table1[[#This Row],[order_status]]="completed",1,0)</f>
        <v>0</v>
      </c>
    </row>
    <row r="4861" spans="1:18" x14ac:dyDescent="0.35">
      <c r="A4861">
        <v>4860</v>
      </c>
      <c r="B4861" s="1">
        <v>45887</v>
      </c>
      <c r="C4861">
        <v>1479</v>
      </c>
      <c r="D4861" t="s">
        <v>22</v>
      </c>
      <c r="E4861" t="s">
        <v>29</v>
      </c>
      <c r="F4861" t="s">
        <v>30</v>
      </c>
      <c r="G4861">
        <v>2</v>
      </c>
      <c r="H4861">
        <v>0</v>
      </c>
      <c r="I4861" t="s">
        <v>18</v>
      </c>
      <c r="J4861" t="s">
        <v>37</v>
      </c>
      <c r="K4861" t="s">
        <v>38</v>
      </c>
      <c r="L4861">
        <v>10</v>
      </c>
      <c r="M4861">
        <v>0</v>
      </c>
      <c r="N4861">
        <v>0</v>
      </c>
      <c r="O4861" t="s">
        <v>21</v>
      </c>
      <c r="P4861" t="str">
        <f>TEXT(Table1[[#This Row],[order_date]],"yyyy-mm")</f>
        <v>2025-08</v>
      </c>
      <c r="Q4861">
        <f>WEEKNUM(Table1[[#This Row],[order_date]])</f>
        <v>34</v>
      </c>
      <c r="R4861">
        <f>IF(Table1[[#This Row],[order_status]]="completed",1,0)</f>
        <v>0</v>
      </c>
    </row>
    <row r="4862" spans="1:18" x14ac:dyDescent="0.35">
      <c r="A4862">
        <v>4861</v>
      </c>
      <c r="B4862" s="1">
        <v>46031</v>
      </c>
      <c r="C4862">
        <v>1557</v>
      </c>
      <c r="D4862" t="s">
        <v>28</v>
      </c>
      <c r="E4862" t="s">
        <v>16</v>
      </c>
      <c r="F4862" t="s">
        <v>30</v>
      </c>
      <c r="G4862">
        <v>2</v>
      </c>
      <c r="H4862">
        <v>0</v>
      </c>
      <c r="I4862" t="s">
        <v>18</v>
      </c>
      <c r="J4862" t="s">
        <v>37</v>
      </c>
      <c r="K4862" t="s">
        <v>38</v>
      </c>
      <c r="L4862">
        <v>6</v>
      </c>
      <c r="M4862">
        <v>0</v>
      </c>
      <c r="N4862">
        <v>0</v>
      </c>
      <c r="O4862" t="s">
        <v>27</v>
      </c>
      <c r="P4862" t="str">
        <f>TEXT(Table1[[#This Row],[order_date]],"yyyy-mm")</f>
        <v>2026-01</v>
      </c>
      <c r="Q4862">
        <f>WEEKNUM(Table1[[#This Row],[order_date]])</f>
        <v>2</v>
      </c>
      <c r="R4862">
        <f>IF(Table1[[#This Row],[order_status]]="completed",1,0)</f>
        <v>0</v>
      </c>
    </row>
    <row r="4863" spans="1:18" x14ac:dyDescent="0.35">
      <c r="A4863">
        <v>4862</v>
      </c>
      <c r="B4863" s="1">
        <v>46005</v>
      </c>
      <c r="C4863">
        <v>1597</v>
      </c>
      <c r="D4863" t="s">
        <v>41</v>
      </c>
      <c r="E4863" t="s">
        <v>33</v>
      </c>
      <c r="F4863" t="s">
        <v>24</v>
      </c>
      <c r="G4863">
        <v>2</v>
      </c>
      <c r="H4863">
        <v>0</v>
      </c>
      <c r="I4863" t="s">
        <v>35</v>
      </c>
      <c r="J4863" t="s">
        <v>31</v>
      </c>
      <c r="K4863" t="s">
        <v>40</v>
      </c>
      <c r="L4863">
        <v>5</v>
      </c>
      <c r="M4863">
        <v>1</v>
      </c>
      <c r="N4863">
        <v>0</v>
      </c>
      <c r="O4863" t="s">
        <v>27</v>
      </c>
      <c r="P4863" t="str">
        <f>TEXT(Table1[[#This Row],[order_date]],"yyyy-mm")</f>
        <v>2025-12</v>
      </c>
      <c r="Q4863">
        <f>WEEKNUM(Table1[[#This Row],[order_date]])</f>
        <v>51</v>
      </c>
      <c r="R4863">
        <f>IF(Table1[[#This Row],[order_status]]="completed",1,0)</f>
        <v>0</v>
      </c>
    </row>
    <row r="4864" spans="1:18" x14ac:dyDescent="0.35">
      <c r="A4864">
        <v>4863</v>
      </c>
      <c r="B4864" s="1">
        <v>45922</v>
      </c>
      <c r="C4864">
        <v>1002</v>
      </c>
      <c r="D4864" t="s">
        <v>32</v>
      </c>
      <c r="E4864" t="s">
        <v>33</v>
      </c>
      <c r="F4864" t="s">
        <v>24</v>
      </c>
      <c r="G4864">
        <v>5</v>
      </c>
      <c r="H4864">
        <v>0</v>
      </c>
      <c r="I4864" t="s">
        <v>35</v>
      </c>
      <c r="J4864" t="s">
        <v>31</v>
      </c>
      <c r="K4864" t="s">
        <v>26</v>
      </c>
      <c r="L4864">
        <v>6</v>
      </c>
      <c r="M4864">
        <v>0</v>
      </c>
      <c r="N4864">
        <v>0</v>
      </c>
      <c r="O4864" t="s">
        <v>27</v>
      </c>
      <c r="P4864" t="str">
        <f>TEXT(Table1[[#This Row],[order_date]],"yyyy-mm")</f>
        <v>2025-09</v>
      </c>
      <c r="Q4864">
        <f>WEEKNUM(Table1[[#This Row],[order_date]])</f>
        <v>39</v>
      </c>
      <c r="R4864">
        <f>IF(Table1[[#This Row],[order_status]]="completed",1,0)</f>
        <v>0</v>
      </c>
    </row>
    <row r="4865" spans="1:18" x14ac:dyDescent="0.35">
      <c r="A4865">
        <v>4864</v>
      </c>
      <c r="B4865" s="1">
        <v>45852</v>
      </c>
      <c r="C4865">
        <v>1412</v>
      </c>
      <c r="D4865" t="s">
        <v>22</v>
      </c>
      <c r="E4865" t="s">
        <v>16</v>
      </c>
      <c r="F4865" t="s">
        <v>30</v>
      </c>
      <c r="G4865">
        <v>2</v>
      </c>
      <c r="H4865">
        <v>0</v>
      </c>
      <c r="I4865" t="s">
        <v>18</v>
      </c>
      <c r="J4865" t="s">
        <v>31</v>
      </c>
      <c r="K4865" t="s">
        <v>26</v>
      </c>
      <c r="L4865">
        <v>3</v>
      </c>
      <c r="M4865">
        <v>0</v>
      </c>
      <c r="N4865">
        <v>0</v>
      </c>
      <c r="O4865" t="s">
        <v>21</v>
      </c>
      <c r="P4865" t="str">
        <f>TEXT(Table1[[#This Row],[order_date]],"yyyy-mm")</f>
        <v>2025-07</v>
      </c>
      <c r="Q4865">
        <f>WEEKNUM(Table1[[#This Row],[order_date]])</f>
        <v>29</v>
      </c>
      <c r="R4865">
        <f>IF(Table1[[#This Row],[order_status]]="completed",1,0)</f>
        <v>0</v>
      </c>
    </row>
    <row r="4866" spans="1:18" x14ac:dyDescent="0.35">
      <c r="A4866">
        <v>4865</v>
      </c>
      <c r="B4866" s="1">
        <v>45851</v>
      </c>
      <c r="C4866">
        <v>1796</v>
      </c>
      <c r="D4866" t="s">
        <v>22</v>
      </c>
      <c r="E4866" t="s">
        <v>29</v>
      </c>
      <c r="F4866" t="s">
        <v>24</v>
      </c>
      <c r="G4866">
        <v>4</v>
      </c>
      <c r="H4866">
        <v>0</v>
      </c>
      <c r="I4866" t="s">
        <v>18</v>
      </c>
      <c r="J4866" t="s">
        <v>37</v>
      </c>
      <c r="K4866" t="s">
        <v>40</v>
      </c>
      <c r="L4866">
        <v>2</v>
      </c>
      <c r="M4866">
        <v>0</v>
      </c>
      <c r="N4866">
        <v>0</v>
      </c>
      <c r="O4866" t="s">
        <v>21</v>
      </c>
      <c r="P4866" t="str">
        <f>TEXT(Table1[[#This Row],[order_date]],"yyyy-mm")</f>
        <v>2025-07</v>
      </c>
      <c r="Q4866">
        <f>WEEKNUM(Table1[[#This Row],[order_date]])</f>
        <v>29</v>
      </c>
      <c r="R4866">
        <f>IF(Table1[[#This Row],[order_status]]="completed",1,0)</f>
        <v>0</v>
      </c>
    </row>
    <row r="4867" spans="1:18" x14ac:dyDescent="0.35">
      <c r="A4867">
        <v>4866</v>
      </c>
      <c r="B4867" s="1">
        <v>45877</v>
      </c>
      <c r="C4867">
        <v>1894</v>
      </c>
      <c r="D4867" t="s">
        <v>15</v>
      </c>
      <c r="E4867" t="s">
        <v>29</v>
      </c>
      <c r="F4867" t="s">
        <v>34</v>
      </c>
      <c r="G4867">
        <v>2</v>
      </c>
      <c r="H4867">
        <v>2306</v>
      </c>
      <c r="I4867" t="s">
        <v>39</v>
      </c>
      <c r="J4867" t="s">
        <v>19</v>
      </c>
      <c r="K4867" t="s">
        <v>40</v>
      </c>
      <c r="L4867">
        <v>9</v>
      </c>
      <c r="M4867">
        <v>1</v>
      </c>
      <c r="N4867">
        <v>0</v>
      </c>
      <c r="O4867" t="s">
        <v>27</v>
      </c>
      <c r="P4867" t="str">
        <f>TEXT(Table1[[#This Row],[order_date]],"yyyy-mm")</f>
        <v>2025-08</v>
      </c>
      <c r="Q4867">
        <f>WEEKNUM(Table1[[#This Row],[order_date]])</f>
        <v>32</v>
      </c>
      <c r="R4867">
        <f>IF(Table1[[#This Row],[order_status]]="completed",1,0)</f>
        <v>1</v>
      </c>
    </row>
    <row r="4868" spans="1:18" x14ac:dyDescent="0.35">
      <c r="A4868">
        <v>4867</v>
      </c>
      <c r="B4868" s="1">
        <v>45960</v>
      </c>
      <c r="C4868">
        <v>1789</v>
      </c>
      <c r="D4868" t="s">
        <v>32</v>
      </c>
      <c r="E4868" t="s">
        <v>23</v>
      </c>
      <c r="F4868" t="s">
        <v>34</v>
      </c>
      <c r="G4868">
        <v>3</v>
      </c>
      <c r="H4868">
        <v>0</v>
      </c>
      <c r="I4868" t="s">
        <v>39</v>
      </c>
      <c r="J4868" t="s">
        <v>31</v>
      </c>
      <c r="K4868" t="s">
        <v>26</v>
      </c>
      <c r="L4868">
        <v>7</v>
      </c>
      <c r="M4868">
        <v>1</v>
      </c>
      <c r="N4868">
        <v>1</v>
      </c>
      <c r="O4868" t="s">
        <v>21</v>
      </c>
      <c r="P4868" t="str">
        <f>TEXT(Table1[[#This Row],[order_date]],"yyyy-mm")</f>
        <v>2025-10</v>
      </c>
      <c r="Q4868">
        <f>WEEKNUM(Table1[[#This Row],[order_date]])</f>
        <v>44</v>
      </c>
      <c r="R4868">
        <f>IF(Table1[[#This Row],[order_status]]="completed",1,0)</f>
        <v>0</v>
      </c>
    </row>
    <row r="4869" spans="1:18" x14ac:dyDescent="0.35">
      <c r="A4869">
        <v>4868</v>
      </c>
      <c r="B4869" s="1">
        <v>45868</v>
      </c>
      <c r="C4869">
        <v>1236</v>
      </c>
      <c r="D4869" t="s">
        <v>32</v>
      </c>
      <c r="E4869" t="s">
        <v>23</v>
      </c>
      <c r="F4869" t="s">
        <v>17</v>
      </c>
      <c r="G4869">
        <v>3</v>
      </c>
      <c r="H4869">
        <v>0</v>
      </c>
      <c r="I4869" t="s">
        <v>39</v>
      </c>
      <c r="J4869" t="s">
        <v>31</v>
      </c>
      <c r="K4869" t="s">
        <v>38</v>
      </c>
      <c r="L4869">
        <v>7</v>
      </c>
      <c r="M4869">
        <v>1</v>
      </c>
      <c r="N4869">
        <v>0</v>
      </c>
      <c r="O4869" t="s">
        <v>27</v>
      </c>
      <c r="P4869" t="str">
        <f>TEXT(Table1[[#This Row],[order_date]],"yyyy-mm")</f>
        <v>2025-07</v>
      </c>
      <c r="Q4869">
        <f>WEEKNUM(Table1[[#This Row],[order_date]])</f>
        <v>31</v>
      </c>
      <c r="R4869">
        <f>IF(Table1[[#This Row],[order_status]]="completed",1,0)</f>
        <v>0</v>
      </c>
    </row>
    <row r="4870" spans="1:18" x14ac:dyDescent="0.35">
      <c r="A4870">
        <v>4869</v>
      </c>
      <c r="B4870" s="1">
        <v>45981</v>
      </c>
      <c r="C4870">
        <v>1297</v>
      </c>
      <c r="D4870" t="s">
        <v>41</v>
      </c>
      <c r="E4870" t="s">
        <v>23</v>
      </c>
      <c r="F4870" t="s">
        <v>30</v>
      </c>
      <c r="G4870">
        <v>2</v>
      </c>
      <c r="H4870">
        <v>0</v>
      </c>
      <c r="I4870" t="s">
        <v>39</v>
      </c>
      <c r="J4870" t="s">
        <v>31</v>
      </c>
      <c r="K4870" t="s">
        <v>20</v>
      </c>
      <c r="L4870">
        <v>4</v>
      </c>
      <c r="M4870">
        <v>1</v>
      </c>
      <c r="N4870">
        <v>1</v>
      </c>
      <c r="O4870" t="s">
        <v>27</v>
      </c>
      <c r="P4870" t="str">
        <f>TEXT(Table1[[#This Row],[order_date]],"yyyy-mm")</f>
        <v>2025-11</v>
      </c>
      <c r="Q4870">
        <f>WEEKNUM(Table1[[#This Row],[order_date]])</f>
        <v>47</v>
      </c>
      <c r="R4870">
        <f>IF(Table1[[#This Row],[order_status]]="completed",1,0)</f>
        <v>0</v>
      </c>
    </row>
    <row r="4871" spans="1:18" x14ac:dyDescent="0.35">
      <c r="A4871">
        <v>4870</v>
      </c>
      <c r="B4871" s="1">
        <v>45894</v>
      </c>
      <c r="C4871">
        <v>1671</v>
      </c>
      <c r="D4871" t="s">
        <v>22</v>
      </c>
      <c r="E4871" t="s">
        <v>23</v>
      </c>
      <c r="F4871" t="s">
        <v>34</v>
      </c>
      <c r="G4871">
        <v>4</v>
      </c>
      <c r="H4871">
        <v>0</v>
      </c>
      <c r="I4871" t="s">
        <v>18</v>
      </c>
      <c r="J4871" t="s">
        <v>37</v>
      </c>
      <c r="K4871" t="s">
        <v>40</v>
      </c>
      <c r="L4871">
        <v>2</v>
      </c>
      <c r="M4871">
        <v>0</v>
      </c>
      <c r="N4871">
        <v>0</v>
      </c>
      <c r="O4871" t="s">
        <v>21</v>
      </c>
      <c r="P4871" t="str">
        <f>TEXT(Table1[[#This Row],[order_date]],"yyyy-mm")</f>
        <v>2025-08</v>
      </c>
      <c r="Q4871">
        <f>WEEKNUM(Table1[[#This Row],[order_date]])</f>
        <v>35</v>
      </c>
      <c r="R4871">
        <f>IF(Table1[[#This Row],[order_status]]="completed",1,0)</f>
        <v>0</v>
      </c>
    </row>
    <row r="4872" spans="1:18" x14ac:dyDescent="0.35">
      <c r="A4872">
        <v>4871</v>
      </c>
      <c r="B4872" s="1">
        <v>45988</v>
      </c>
      <c r="C4872">
        <v>1340</v>
      </c>
      <c r="D4872" t="s">
        <v>22</v>
      </c>
      <c r="E4872" t="s">
        <v>36</v>
      </c>
      <c r="F4872" t="s">
        <v>17</v>
      </c>
      <c r="G4872">
        <v>3</v>
      </c>
      <c r="H4872">
        <v>0</v>
      </c>
      <c r="I4872" t="s">
        <v>18</v>
      </c>
      <c r="J4872" t="s">
        <v>37</v>
      </c>
      <c r="K4872" t="s">
        <v>40</v>
      </c>
      <c r="L4872">
        <v>4</v>
      </c>
      <c r="M4872">
        <v>0</v>
      </c>
      <c r="N4872">
        <v>0</v>
      </c>
      <c r="O4872" t="s">
        <v>27</v>
      </c>
      <c r="P4872" t="str">
        <f>TEXT(Table1[[#This Row],[order_date]],"yyyy-mm")</f>
        <v>2025-11</v>
      </c>
      <c r="Q4872">
        <f>WEEKNUM(Table1[[#This Row],[order_date]])</f>
        <v>48</v>
      </c>
      <c r="R4872">
        <f>IF(Table1[[#This Row],[order_status]]="completed",1,0)</f>
        <v>0</v>
      </c>
    </row>
    <row r="4873" spans="1:18" x14ac:dyDescent="0.35">
      <c r="A4873">
        <v>4872</v>
      </c>
      <c r="B4873" s="1">
        <v>46010</v>
      </c>
      <c r="C4873">
        <v>1742</v>
      </c>
      <c r="D4873" t="s">
        <v>41</v>
      </c>
      <c r="E4873" t="s">
        <v>36</v>
      </c>
      <c r="F4873" t="s">
        <v>34</v>
      </c>
      <c r="G4873">
        <v>5</v>
      </c>
      <c r="H4873">
        <v>5775</v>
      </c>
      <c r="I4873" t="s">
        <v>18</v>
      </c>
      <c r="J4873" t="s">
        <v>19</v>
      </c>
      <c r="K4873" t="s">
        <v>20</v>
      </c>
      <c r="L4873">
        <v>1</v>
      </c>
      <c r="M4873">
        <v>1</v>
      </c>
      <c r="N4873">
        <v>1</v>
      </c>
      <c r="O4873" t="s">
        <v>27</v>
      </c>
      <c r="P4873" t="str">
        <f>TEXT(Table1[[#This Row],[order_date]],"yyyy-mm")</f>
        <v>2025-12</v>
      </c>
      <c r="Q4873">
        <f>WEEKNUM(Table1[[#This Row],[order_date]])</f>
        <v>51</v>
      </c>
      <c r="R4873">
        <f>IF(Table1[[#This Row],[order_status]]="completed",1,0)</f>
        <v>1</v>
      </c>
    </row>
    <row r="4874" spans="1:18" x14ac:dyDescent="0.35">
      <c r="A4874">
        <v>4873</v>
      </c>
      <c r="B4874" s="1">
        <v>45892</v>
      </c>
      <c r="C4874">
        <v>1623</v>
      </c>
      <c r="D4874" t="s">
        <v>41</v>
      </c>
      <c r="E4874" t="s">
        <v>33</v>
      </c>
      <c r="F4874" t="s">
        <v>24</v>
      </c>
      <c r="G4874">
        <v>2</v>
      </c>
      <c r="H4874">
        <v>0</v>
      </c>
      <c r="I4874" t="s">
        <v>39</v>
      </c>
      <c r="J4874" t="s">
        <v>37</v>
      </c>
      <c r="K4874" t="s">
        <v>38</v>
      </c>
      <c r="L4874">
        <v>2</v>
      </c>
      <c r="M4874">
        <v>1</v>
      </c>
      <c r="N4874">
        <v>0</v>
      </c>
      <c r="O4874" t="s">
        <v>21</v>
      </c>
      <c r="P4874" t="str">
        <f>TEXT(Table1[[#This Row],[order_date]],"yyyy-mm")</f>
        <v>2025-08</v>
      </c>
      <c r="Q4874">
        <f>WEEKNUM(Table1[[#This Row],[order_date]])</f>
        <v>34</v>
      </c>
      <c r="R4874">
        <f>IF(Table1[[#This Row],[order_status]]="completed",1,0)</f>
        <v>0</v>
      </c>
    </row>
    <row r="4875" spans="1:18" x14ac:dyDescent="0.35">
      <c r="A4875">
        <v>4874</v>
      </c>
      <c r="B4875" s="1">
        <v>45884</v>
      </c>
      <c r="C4875">
        <v>1236</v>
      </c>
      <c r="D4875" t="s">
        <v>32</v>
      </c>
      <c r="E4875" t="s">
        <v>33</v>
      </c>
      <c r="F4875" t="s">
        <v>34</v>
      </c>
      <c r="G4875">
        <v>4</v>
      </c>
      <c r="H4875">
        <v>0</v>
      </c>
      <c r="I4875" t="s">
        <v>25</v>
      </c>
      <c r="J4875" t="s">
        <v>37</v>
      </c>
      <c r="K4875" t="s">
        <v>26</v>
      </c>
      <c r="L4875">
        <v>2</v>
      </c>
      <c r="M4875">
        <v>1</v>
      </c>
      <c r="N4875">
        <v>1</v>
      </c>
      <c r="O4875" t="s">
        <v>21</v>
      </c>
      <c r="P4875" t="str">
        <f>TEXT(Table1[[#This Row],[order_date]],"yyyy-mm")</f>
        <v>2025-08</v>
      </c>
      <c r="Q4875">
        <f>WEEKNUM(Table1[[#This Row],[order_date]])</f>
        <v>33</v>
      </c>
      <c r="R4875">
        <f>IF(Table1[[#This Row],[order_status]]="completed",1,0)</f>
        <v>0</v>
      </c>
    </row>
    <row r="4876" spans="1:18" x14ac:dyDescent="0.35">
      <c r="A4876">
        <v>4875</v>
      </c>
      <c r="B4876" s="1">
        <v>45867</v>
      </c>
      <c r="C4876">
        <v>1915</v>
      </c>
      <c r="D4876" t="s">
        <v>32</v>
      </c>
      <c r="E4876" t="s">
        <v>36</v>
      </c>
      <c r="F4876" t="s">
        <v>24</v>
      </c>
      <c r="G4876">
        <v>5</v>
      </c>
      <c r="H4876">
        <v>0</v>
      </c>
      <c r="I4876" t="s">
        <v>25</v>
      </c>
      <c r="J4876" t="s">
        <v>31</v>
      </c>
      <c r="K4876" t="s">
        <v>20</v>
      </c>
      <c r="L4876">
        <v>3</v>
      </c>
      <c r="M4876">
        <v>1</v>
      </c>
      <c r="N4876">
        <v>0</v>
      </c>
      <c r="O4876" t="s">
        <v>27</v>
      </c>
      <c r="P4876" t="str">
        <f>TEXT(Table1[[#This Row],[order_date]],"yyyy-mm")</f>
        <v>2025-07</v>
      </c>
      <c r="Q4876">
        <f>WEEKNUM(Table1[[#This Row],[order_date]])</f>
        <v>31</v>
      </c>
      <c r="R4876">
        <f>IF(Table1[[#This Row],[order_status]]="completed",1,0)</f>
        <v>0</v>
      </c>
    </row>
    <row r="4877" spans="1:18" x14ac:dyDescent="0.35">
      <c r="A4877">
        <v>4876</v>
      </c>
      <c r="B4877" s="1">
        <v>45932</v>
      </c>
      <c r="C4877">
        <v>1968</v>
      </c>
      <c r="D4877" t="s">
        <v>32</v>
      </c>
      <c r="E4877" t="s">
        <v>36</v>
      </c>
      <c r="F4877" t="s">
        <v>30</v>
      </c>
      <c r="G4877">
        <v>3</v>
      </c>
      <c r="H4877">
        <v>0</v>
      </c>
      <c r="I4877" t="s">
        <v>35</v>
      </c>
      <c r="J4877" t="s">
        <v>31</v>
      </c>
      <c r="K4877" t="s">
        <v>40</v>
      </c>
      <c r="L4877">
        <v>4</v>
      </c>
      <c r="M4877">
        <v>0</v>
      </c>
      <c r="N4877">
        <v>1</v>
      </c>
      <c r="O4877" t="s">
        <v>21</v>
      </c>
      <c r="P4877" t="str">
        <f>TEXT(Table1[[#This Row],[order_date]],"yyyy-mm")</f>
        <v>2025-10</v>
      </c>
      <c r="Q4877">
        <f>WEEKNUM(Table1[[#This Row],[order_date]])</f>
        <v>40</v>
      </c>
      <c r="R4877">
        <f>IF(Table1[[#This Row],[order_status]]="completed",1,0)</f>
        <v>0</v>
      </c>
    </row>
    <row r="4878" spans="1:18" x14ac:dyDescent="0.35">
      <c r="A4878">
        <v>4877</v>
      </c>
      <c r="B4878" s="1">
        <v>45958</v>
      </c>
      <c r="C4878">
        <v>1562</v>
      </c>
      <c r="D4878" t="s">
        <v>15</v>
      </c>
      <c r="E4878" t="s">
        <v>16</v>
      </c>
      <c r="F4878" t="s">
        <v>17</v>
      </c>
      <c r="G4878">
        <v>2</v>
      </c>
      <c r="H4878">
        <v>0</v>
      </c>
      <c r="I4878" t="s">
        <v>25</v>
      </c>
      <c r="J4878" t="s">
        <v>31</v>
      </c>
      <c r="K4878" t="s">
        <v>38</v>
      </c>
      <c r="L4878">
        <v>10</v>
      </c>
      <c r="M4878">
        <v>0</v>
      </c>
      <c r="N4878">
        <v>0</v>
      </c>
      <c r="O4878" t="s">
        <v>27</v>
      </c>
      <c r="P4878" t="str">
        <f>TEXT(Table1[[#This Row],[order_date]],"yyyy-mm")</f>
        <v>2025-10</v>
      </c>
      <c r="Q4878">
        <f>WEEKNUM(Table1[[#This Row],[order_date]])</f>
        <v>44</v>
      </c>
      <c r="R4878">
        <f>IF(Table1[[#This Row],[order_status]]="completed",1,0)</f>
        <v>0</v>
      </c>
    </row>
    <row r="4879" spans="1:18" x14ac:dyDescent="0.35">
      <c r="A4879">
        <v>4878</v>
      </c>
      <c r="B4879" s="1">
        <v>46021</v>
      </c>
      <c r="C4879">
        <v>1982</v>
      </c>
      <c r="D4879" t="s">
        <v>28</v>
      </c>
      <c r="E4879" t="s">
        <v>29</v>
      </c>
      <c r="F4879" t="s">
        <v>24</v>
      </c>
      <c r="G4879">
        <v>3</v>
      </c>
      <c r="H4879">
        <v>0</v>
      </c>
      <c r="I4879" t="s">
        <v>18</v>
      </c>
      <c r="J4879" t="s">
        <v>31</v>
      </c>
      <c r="K4879" t="s">
        <v>38</v>
      </c>
      <c r="L4879">
        <v>5</v>
      </c>
      <c r="M4879">
        <v>0</v>
      </c>
      <c r="N4879">
        <v>1</v>
      </c>
      <c r="O4879" t="s">
        <v>21</v>
      </c>
      <c r="P4879" t="str">
        <f>TEXT(Table1[[#This Row],[order_date]],"yyyy-mm")</f>
        <v>2025-12</v>
      </c>
      <c r="Q4879">
        <f>WEEKNUM(Table1[[#This Row],[order_date]])</f>
        <v>53</v>
      </c>
      <c r="R4879">
        <f>IF(Table1[[#This Row],[order_status]]="completed",1,0)</f>
        <v>0</v>
      </c>
    </row>
    <row r="4880" spans="1:18" x14ac:dyDescent="0.35">
      <c r="A4880">
        <v>4879</v>
      </c>
      <c r="B4880" s="1">
        <v>46005</v>
      </c>
      <c r="C4880">
        <v>1636</v>
      </c>
      <c r="D4880" t="s">
        <v>32</v>
      </c>
      <c r="E4880" t="s">
        <v>36</v>
      </c>
      <c r="F4880" t="s">
        <v>30</v>
      </c>
      <c r="G4880">
        <v>1</v>
      </c>
      <c r="H4880">
        <v>0</v>
      </c>
      <c r="I4880" t="s">
        <v>18</v>
      </c>
      <c r="J4880" t="s">
        <v>31</v>
      </c>
      <c r="K4880" t="s">
        <v>20</v>
      </c>
      <c r="L4880">
        <v>5</v>
      </c>
      <c r="M4880">
        <v>1</v>
      </c>
      <c r="N4880">
        <v>0</v>
      </c>
      <c r="O4880" t="s">
        <v>27</v>
      </c>
      <c r="P4880" t="str">
        <f>TEXT(Table1[[#This Row],[order_date]],"yyyy-mm")</f>
        <v>2025-12</v>
      </c>
      <c r="Q4880">
        <f>WEEKNUM(Table1[[#This Row],[order_date]])</f>
        <v>51</v>
      </c>
      <c r="R4880">
        <f>IF(Table1[[#This Row],[order_status]]="completed",1,0)</f>
        <v>0</v>
      </c>
    </row>
    <row r="4881" spans="1:18" x14ac:dyDescent="0.35">
      <c r="A4881">
        <v>4880</v>
      </c>
      <c r="B4881" s="1">
        <v>45915</v>
      </c>
      <c r="C4881">
        <v>1223</v>
      </c>
      <c r="D4881" t="s">
        <v>15</v>
      </c>
      <c r="E4881" t="s">
        <v>36</v>
      </c>
      <c r="F4881" t="s">
        <v>34</v>
      </c>
      <c r="G4881">
        <v>2</v>
      </c>
      <c r="H4881">
        <v>5232</v>
      </c>
      <c r="I4881" t="s">
        <v>25</v>
      </c>
      <c r="J4881" t="s">
        <v>19</v>
      </c>
      <c r="K4881" t="s">
        <v>40</v>
      </c>
      <c r="L4881">
        <v>6</v>
      </c>
      <c r="M4881">
        <v>0</v>
      </c>
      <c r="N4881">
        <v>0</v>
      </c>
      <c r="O4881" t="s">
        <v>27</v>
      </c>
      <c r="P4881" t="str">
        <f>TEXT(Table1[[#This Row],[order_date]],"yyyy-mm")</f>
        <v>2025-09</v>
      </c>
      <c r="Q4881">
        <f>WEEKNUM(Table1[[#This Row],[order_date]])</f>
        <v>38</v>
      </c>
      <c r="R4881">
        <f>IF(Table1[[#This Row],[order_status]]="completed",1,0)</f>
        <v>1</v>
      </c>
    </row>
    <row r="4882" spans="1:18" x14ac:dyDescent="0.35">
      <c r="A4882">
        <v>4881</v>
      </c>
      <c r="B4882" s="1">
        <v>45949</v>
      </c>
      <c r="C4882">
        <v>1078</v>
      </c>
      <c r="D4882" t="s">
        <v>15</v>
      </c>
      <c r="E4882" t="s">
        <v>33</v>
      </c>
      <c r="F4882" t="s">
        <v>24</v>
      </c>
      <c r="G4882">
        <v>5</v>
      </c>
      <c r="H4882">
        <v>0</v>
      </c>
      <c r="I4882" t="s">
        <v>39</v>
      </c>
      <c r="J4882" t="s">
        <v>37</v>
      </c>
      <c r="K4882" t="s">
        <v>26</v>
      </c>
      <c r="L4882">
        <v>4</v>
      </c>
      <c r="M4882">
        <v>0</v>
      </c>
      <c r="N4882">
        <v>0</v>
      </c>
      <c r="O4882" t="s">
        <v>27</v>
      </c>
      <c r="P4882" t="str">
        <f>TEXT(Table1[[#This Row],[order_date]],"yyyy-mm")</f>
        <v>2025-10</v>
      </c>
      <c r="Q4882">
        <f>WEEKNUM(Table1[[#This Row],[order_date]])</f>
        <v>43</v>
      </c>
      <c r="R4882">
        <f>IF(Table1[[#This Row],[order_status]]="completed",1,0)</f>
        <v>0</v>
      </c>
    </row>
    <row r="4883" spans="1:18" x14ac:dyDescent="0.35">
      <c r="A4883">
        <v>4882</v>
      </c>
      <c r="B4883" s="1">
        <v>45862</v>
      </c>
      <c r="C4883">
        <v>1258</v>
      </c>
      <c r="D4883" t="s">
        <v>32</v>
      </c>
      <c r="E4883" t="s">
        <v>36</v>
      </c>
      <c r="F4883" t="s">
        <v>30</v>
      </c>
      <c r="G4883">
        <v>1</v>
      </c>
      <c r="H4883">
        <v>2613</v>
      </c>
      <c r="I4883" t="s">
        <v>39</v>
      </c>
      <c r="J4883" t="s">
        <v>19</v>
      </c>
      <c r="K4883" t="s">
        <v>38</v>
      </c>
      <c r="L4883">
        <v>4</v>
      </c>
      <c r="M4883">
        <v>1</v>
      </c>
      <c r="N4883">
        <v>0</v>
      </c>
      <c r="O4883" t="s">
        <v>27</v>
      </c>
      <c r="P4883" t="str">
        <f>TEXT(Table1[[#This Row],[order_date]],"yyyy-mm")</f>
        <v>2025-07</v>
      </c>
      <c r="Q4883">
        <f>WEEKNUM(Table1[[#This Row],[order_date]])</f>
        <v>30</v>
      </c>
      <c r="R4883">
        <f>IF(Table1[[#This Row],[order_status]]="completed",1,0)</f>
        <v>1</v>
      </c>
    </row>
    <row r="4884" spans="1:18" x14ac:dyDescent="0.35">
      <c r="A4884">
        <v>4883</v>
      </c>
      <c r="B4884" s="1">
        <v>46014</v>
      </c>
      <c r="C4884">
        <v>1862</v>
      </c>
      <c r="D4884" t="s">
        <v>32</v>
      </c>
      <c r="E4884" t="s">
        <v>29</v>
      </c>
      <c r="F4884" t="s">
        <v>34</v>
      </c>
      <c r="G4884">
        <v>3</v>
      </c>
      <c r="H4884">
        <v>3666</v>
      </c>
      <c r="I4884" t="s">
        <v>35</v>
      </c>
      <c r="J4884" t="s">
        <v>19</v>
      </c>
      <c r="K4884" t="s">
        <v>40</v>
      </c>
      <c r="L4884">
        <v>6</v>
      </c>
      <c r="M4884">
        <v>0</v>
      </c>
      <c r="N4884">
        <v>0</v>
      </c>
      <c r="O4884" t="s">
        <v>21</v>
      </c>
      <c r="P4884" t="str">
        <f>TEXT(Table1[[#This Row],[order_date]],"yyyy-mm")</f>
        <v>2025-12</v>
      </c>
      <c r="Q4884">
        <f>WEEKNUM(Table1[[#This Row],[order_date]])</f>
        <v>52</v>
      </c>
      <c r="R4884">
        <f>IF(Table1[[#This Row],[order_status]]="completed",1,0)</f>
        <v>1</v>
      </c>
    </row>
    <row r="4885" spans="1:18" x14ac:dyDescent="0.35">
      <c r="A4885">
        <v>4884</v>
      </c>
      <c r="B4885" s="1">
        <v>46030</v>
      </c>
      <c r="C4885">
        <v>1796</v>
      </c>
      <c r="D4885" t="s">
        <v>28</v>
      </c>
      <c r="E4885" t="s">
        <v>16</v>
      </c>
      <c r="F4885" t="s">
        <v>24</v>
      </c>
      <c r="G4885">
        <v>3</v>
      </c>
      <c r="H4885">
        <v>0</v>
      </c>
      <c r="I4885" t="s">
        <v>39</v>
      </c>
      <c r="J4885" t="s">
        <v>37</v>
      </c>
      <c r="K4885" t="s">
        <v>40</v>
      </c>
      <c r="L4885">
        <v>9</v>
      </c>
      <c r="M4885">
        <v>1</v>
      </c>
      <c r="N4885">
        <v>1</v>
      </c>
      <c r="O4885" t="s">
        <v>21</v>
      </c>
      <c r="P4885" t="str">
        <f>TEXT(Table1[[#This Row],[order_date]],"yyyy-mm")</f>
        <v>2026-01</v>
      </c>
      <c r="Q4885">
        <f>WEEKNUM(Table1[[#This Row],[order_date]])</f>
        <v>2</v>
      </c>
      <c r="R4885">
        <f>IF(Table1[[#This Row],[order_status]]="completed",1,0)</f>
        <v>0</v>
      </c>
    </row>
    <row r="4886" spans="1:18" x14ac:dyDescent="0.35">
      <c r="A4886">
        <v>4885</v>
      </c>
      <c r="B4886" s="1">
        <v>45958</v>
      </c>
      <c r="C4886">
        <v>1033</v>
      </c>
      <c r="D4886" t="s">
        <v>15</v>
      </c>
      <c r="E4886" t="s">
        <v>36</v>
      </c>
      <c r="F4886" t="s">
        <v>34</v>
      </c>
      <c r="G4886">
        <v>3</v>
      </c>
      <c r="H4886">
        <v>0</v>
      </c>
      <c r="I4886" t="s">
        <v>39</v>
      </c>
      <c r="J4886" t="s">
        <v>37</v>
      </c>
      <c r="K4886" t="s">
        <v>38</v>
      </c>
      <c r="L4886">
        <v>9</v>
      </c>
      <c r="M4886">
        <v>1</v>
      </c>
      <c r="N4886">
        <v>0</v>
      </c>
      <c r="O4886" t="s">
        <v>21</v>
      </c>
      <c r="P4886" t="str">
        <f>TEXT(Table1[[#This Row],[order_date]],"yyyy-mm")</f>
        <v>2025-10</v>
      </c>
      <c r="Q4886">
        <f>WEEKNUM(Table1[[#This Row],[order_date]])</f>
        <v>44</v>
      </c>
      <c r="R4886">
        <f>IF(Table1[[#This Row],[order_status]]="completed",1,0)</f>
        <v>0</v>
      </c>
    </row>
    <row r="4887" spans="1:18" x14ac:dyDescent="0.35">
      <c r="A4887">
        <v>4886</v>
      </c>
      <c r="B4887" s="1">
        <v>45851</v>
      </c>
      <c r="C4887">
        <v>1232</v>
      </c>
      <c r="D4887" t="s">
        <v>15</v>
      </c>
      <c r="E4887" t="s">
        <v>23</v>
      </c>
      <c r="F4887" t="s">
        <v>24</v>
      </c>
      <c r="G4887">
        <v>3</v>
      </c>
      <c r="H4887">
        <v>0</v>
      </c>
      <c r="I4887" t="s">
        <v>25</v>
      </c>
      <c r="J4887" t="s">
        <v>37</v>
      </c>
      <c r="K4887" t="s">
        <v>38</v>
      </c>
      <c r="L4887">
        <v>10</v>
      </c>
      <c r="M4887">
        <v>0</v>
      </c>
      <c r="N4887">
        <v>1</v>
      </c>
      <c r="O4887" t="s">
        <v>27</v>
      </c>
      <c r="P4887" t="str">
        <f>TEXT(Table1[[#This Row],[order_date]],"yyyy-mm")</f>
        <v>2025-07</v>
      </c>
      <c r="Q4887">
        <f>WEEKNUM(Table1[[#This Row],[order_date]])</f>
        <v>29</v>
      </c>
      <c r="R4887">
        <f>IF(Table1[[#This Row],[order_status]]="completed",1,0)</f>
        <v>0</v>
      </c>
    </row>
    <row r="4888" spans="1:18" x14ac:dyDescent="0.35">
      <c r="A4888">
        <v>4887</v>
      </c>
      <c r="B4888" s="1">
        <v>45886</v>
      </c>
      <c r="C4888">
        <v>1379</v>
      </c>
      <c r="D4888" t="s">
        <v>41</v>
      </c>
      <c r="E4888" t="s">
        <v>36</v>
      </c>
      <c r="F4888" t="s">
        <v>30</v>
      </c>
      <c r="G4888">
        <v>3</v>
      </c>
      <c r="H4888">
        <v>7704</v>
      </c>
      <c r="I4888" t="s">
        <v>35</v>
      </c>
      <c r="J4888" t="s">
        <v>19</v>
      </c>
      <c r="K4888" t="s">
        <v>40</v>
      </c>
      <c r="L4888">
        <v>3</v>
      </c>
      <c r="M4888">
        <v>1</v>
      </c>
      <c r="N4888">
        <v>1</v>
      </c>
      <c r="O4888" t="s">
        <v>27</v>
      </c>
      <c r="P4888" t="str">
        <f>TEXT(Table1[[#This Row],[order_date]],"yyyy-mm")</f>
        <v>2025-08</v>
      </c>
      <c r="Q4888">
        <f>WEEKNUM(Table1[[#This Row],[order_date]])</f>
        <v>34</v>
      </c>
      <c r="R4888">
        <f>IF(Table1[[#This Row],[order_status]]="completed",1,0)</f>
        <v>1</v>
      </c>
    </row>
    <row r="4889" spans="1:18" x14ac:dyDescent="0.35">
      <c r="A4889">
        <v>4888</v>
      </c>
      <c r="B4889" s="1">
        <v>45904</v>
      </c>
      <c r="C4889">
        <v>1027</v>
      </c>
      <c r="D4889" t="s">
        <v>32</v>
      </c>
      <c r="E4889" t="s">
        <v>29</v>
      </c>
      <c r="F4889" t="s">
        <v>34</v>
      </c>
      <c r="G4889">
        <v>2</v>
      </c>
      <c r="H4889">
        <v>9324</v>
      </c>
      <c r="I4889" t="s">
        <v>35</v>
      </c>
      <c r="J4889" t="s">
        <v>19</v>
      </c>
      <c r="K4889" t="s">
        <v>40</v>
      </c>
      <c r="L4889">
        <v>9</v>
      </c>
      <c r="M4889">
        <v>0</v>
      </c>
      <c r="N4889">
        <v>1</v>
      </c>
      <c r="O4889" t="s">
        <v>27</v>
      </c>
      <c r="P4889" t="str">
        <f>TEXT(Table1[[#This Row],[order_date]],"yyyy-mm")</f>
        <v>2025-09</v>
      </c>
      <c r="Q4889">
        <f>WEEKNUM(Table1[[#This Row],[order_date]])</f>
        <v>36</v>
      </c>
      <c r="R4889">
        <f>IF(Table1[[#This Row],[order_status]]="completed",1,0)</f>
        <v>1</v>
      </c>
    </row>
    <row r="4890" spans="1:18" x14ac:dyDescent="0.35">
      <c r="A4890">
        <v>4889</v>
      </c>
      <c r="B4890" s="1">
        <v>45864</v>
      </c>
      <c r="C4890">
        <v>1313</v>
      </c>
      <c r="D4890" t="s">
        <v>15</v>
      </c>
      <c r="E4890" t="s">
        <v>29</v>
      </c>
      <c r="F4890" t="s">
        <v>17</v>
      </c>
      <c r="G4890">
        <v>2</v>
      </c>
      <c r="H4890">
        <v>0</v>
      </c>
      <c r="I4890" t="s">
        <v>35</v>
      </c>
      <c r="J4890" t="s">
        <v>31</v>
      </c>
      <c r="K4890" t="s">
        <v>26</v>
      </c>
      <c r="L4890">
        <v>1</v>
      </c>
      <c r="M4890">
        <v>0</v>
      </c>
      <c r="N4890">
        <v>1</v>
      </c>
      <c r="O4890" t="s">
        <v>21</v>
      </c>
      <c r="P4890" t="str">
        <f>TEXT(Table1[[#This Row],[order_date]],"yyyy-mm")</f>
        <v>2025-07</v>
      </c>
      <c r="Q4890">
        <f>WEEKNUM(Table1[[#This Row],[order_date]])</f>
        <v>30</v>
      </c>
      <c r="R4890">
        <f>IF(Table1[[#This Row],[order_status]]="completed",1,0)</f>
        <v>0</v>
      </c>
    </row>
    <row r="4891" spans="1:18" x14ac:dyDescent="0.35">
      <c r="A4891">
        <v>4890</v>
      </c>
      <c r="B4891" s="1">
        <v>45853</v>
      </c>
      <c r="C4891">
        <v>1197</v>
      </c>
      <c r="D4891" t="s">
        <v>28</v>
      </c>
      <c r="E4891" t="s">
        <v>23</v>
      </c>
      <c r="F4891" t="s">
        <v>24</v>
      </c>
      <c r="G4891">
        <v>4</v>
      </c>
      <c r="H4891">
        <v>0</v>
      </c>
      <c r="I4891" t="s">
        <v>39</v>
      </c>
      <c r="J4891" t="s">
        <v>37</v>
      </c>
      <c r="K4891" t="s">
        <v>38</v>
      </c>
      <c r="L4891">
        <v>4</v>
      </c>
      <c r="M4891">
        <v>0</v>
      </c>
      <c r="N4891">
        <v>1</v>
      </c>
      <c r="O4891" t="s">
        <v>27</v>
      </c>
      <c r="P4891" t="str">
        <f>TEXT(Table1[[#This Row],[order_date]],"yyyy-mm")</f>
        <v>2025-07</v>
      </c>
      <c r="Q4891">
        <f>WEEKNUM(Table1[[#This Row],[order_date]])</f>
        <v>29</v>
      </c>
      <c r="R4891">
        <f>IF(Table1[[#This Row],[order_status]]="completed",1,0)</f>
        <v>0</v>
      </c>
    </row>
    <row r="4892" spans="1:18" x14ac:dyDescent="0.35">
      <c r="A4892">
        <v>4891</v>
      </c>
      <c r="B4892" s="1">
        <v>46029</v>
      </c>
      <c r="C4892">
        <v>1943</v>
      </c>
      <c r="D4892" t="s">
        <v>41</v>
      </c>
      <c r="E4892" t="s">
        <v>33</v>
      </c>
      <c r="F4892" t="s">
        <v>30</v>
      </c>
      <c r="G4892">
        <v>3</v>
      </c>
      <c r="H4892">
        <v>0</v>
      </c>
      <c r="I4892" t="s">
        <v>39</v>
      </c>
      <c r="J4892" t="s">
        <v>37</v>
      </c>
      <c r="K4892" t="s">
        <v>38</v>
      </c>
      <c r="L4892">
        <v>5</v>
      </c>
      <c r="M4892">
        <v>0</v>
      </c>
      <c r="N4892">
        <v>0</v>
      </c>
      <c r="O4892" t="s">
        <v>21</v>
      </c>
      <c r="P4892" t="str">
        <f>TEXT(Table1[[#This Row],[order_date]],"yyyy-mm")</f>
        <v>2026-01</v>
      </c>
      <c r="Q4892">
        <f>WEEKNUM(Table1[[#This Row],[order_date]])</f>
        <v>2</v>
      </c>
      <c r="R4892">
        <f>IF(Table1[[#This Row],[order_status]]="completed",1,0)</f>
        <v>0</v>
      </c>
    </row>
    <row r="4893" spans="1:18" x14ac:dyDescent="0.35">
      <c r="A4893">
        <v>4892</v>
      </c>
      <c r="B4893" s="1">
        <v>45884</v>
      </c>
      <c r="C4893">
        <v>1750</v>
      </c>
      <c r="D4893" t="s">
        <v>28</v>
      </c>
      <c r="E4893" t="s">
        <v>16</v>
      </c>
      <c r="F4893" t="s">
        <v>30</v>
      </c>
      <c r="G4893">
        <v>4</v>
      </c>
      <c r="H4893">
        <v>0</v>
      </c>
      <c r="I4893" t="s">
        <v>39</v>
      </c>
      <c r="J4893" t="s">
        <v>37</v>
      </c>
      <c r="K4893" t="s">
        <v>26</v>
      </c>
      <c r="L4893">
        <v>8</v>
      </c>
      <c r="M4893">
        <v>0</v>
      </c>
      <c r="N4893">
        <v>0</v>
      </c>
      <c r="O4893" t="s">
        <v>27</v>
      </c>
      <c r="P4893" t="str">
        <f>TEXT(Table1[[#This Row],[order_date]],"yyyy-mm")</f>
        <v>2025-08</v>
      </c>
      <c r="Q4893">
        <f>WEEKNUM(Table1[[#This Row],[order_date]])</f>
        <v>33</v>
      </c>
      <c r="R4893">
        <f>IF(Table1[[#This Row],[order_status]]="completed",1,0)</f>
        <v>0</v>
      </c>
    </row>
    <row r="4894" spans="1:18" x14ac:dyDescent="0.35">
      <c r="A4894">
        <v>4893</v>
      </c>
      <c r="B4894" s="1">
        <v>45913</v>
      </c>
      <c r="C4894">
        <v>1299</v>
      </c>
      <c r="D4894" t="s">
        <v>32</v>
      </c>
      <c r="E4894" t="s">
        <v>23</v>
      </c>
      <c r="F4894" t="s">
        <v>34</v>
      </c>
      <c r="G4894">
        <v>2</v>
      </c>
      <c r="H4894">
        <v>8436</v>
      </c>
      <c r="I4894" t="s">
        <v>18</v>
      </c>
      <c r="J4894" t="s">
        <v>19</v>
      </c>
      <c r="K4894" t="s">
        <v>26</v>
      </c>
      <c r="L4894">
        <v>2</v>
      </c>
      <c r="M4894">
        <v>0</v>
      </c>
      <c r="N4894">
        <v>1</v>
      </c>
      <c r="O4894" t="s">
        <v>27</v>
      </c>
      <c r="P4894" t="str">
        <f>TEXT(Table1[[#This Row],[order_date]],"yyyy-mm")</f>
        <v>2025-09</v>
      </c>
      <c r="Q4894">
        <f>WEEKNUM(Table1[[#This Row],[order_date]])</f>
        <v>37</v>
      </c>
      <c r="R4894">
        <f>IF(Table1[[#This Row],[order_status]]="completed",1,0)</f>
        <v>1</v>
      </c>
    </row>
    <row r="4895" spans="1:18" x14ac:dyDescent="0.35">
      <c r="A4895">
        <v>4894</v>
      </c>
      <c r="B4895" s="1">
        <v>45956</v>
      </c>
      <c r="C4895">
        <v>1304</v>
      </c>
      <c r="D4895" t="s">
        <v>32</v>
      </c>
      <c r="E4895" t="s">
        <v>33</v>
      </c>
      <c r="F4895" t="s">
        <v>30</v>
      </c>
      <c r="G4895">
        <v>1</v>
      </c>
      <c r="H4895">
        <v>3142</v>
      </c>
      <c r="I4895" t="s">
        <v>25</v>
      </c>
      <c r="J4895" t="s">
        <v>19</v>
      </c>
      <c r="K4895" t="s">
        <v>20</v>
      </c>
      <c r="L4895">
        <v>4</v>
      </c>
      <c r="M4895">
        <v>0</v>
      </c>
      <c r="N4895">
        <v>0</v>
      </c>
      <c r="O4895" t="s">
        <v>27</v>
      </c>
      <c r="P4895" t="str">
        <f>TEXT(Table1[[#This Row],[order_date]],"yyyy-mm")</f>
        <v>2025-10</v>
      </c>
      <c r="Q4895">
        <f>WEEKNUM(Table1[[#This Row],[order_date]])</f>
        <v>44</v>
      </c>
      <c r="R4895">
        <f>IF(Table1[[#This Row],[order_status]]="completed",1,0)</f>
        <v>1</v>
      </c>
    </row>
    <row r="4896" spans="1:18" x14ac:dyDescent="0.35">
      <c r="A4896">
        <v>4895</v>
      </c>
      <c r="B4896" s="1">
        <v>45989</v>
      </c>
      <c r="C4896">
        <v>1266</v>
      </c>
      <c r="D4896" t="s">
        <v>22</v>
      </c>
      <c r="E4896" t="s">
        <v>29</v>
      </c>
      <c r="F4896" t="s">
        <v>34</v>
      </c>
      <c r="G4896">
        <v>2</v>
      </c>
      <c r="H4896">
        <v>1994</v>
      </c>
      <c r="I4896" t="s">
        <v>39</v>
      </c>
      <c r="J4896" t="s">
        <v>19</v>
      </c>
      <c r="K4896" t="s">
        <v>26</v>
      </c>
      <c r="L4896">
        <v>1</v>
      </c>
      <c r="M4896">
        <v>0</v>
      </c>
      <c r="N4896">
        <v>0</v>
      </c>
      <c r="O4896" t="s">
        <v>21</v>
      </c>
      <c r="P4896" t="str">
        <f>TEXT(Table1[[#This Row],[order_date]],"yyyy-mm")</f>
        <v>2025-11</v>
      </c>
      <c r="Q4896">
        <f>WEEKNUM(Table1[[#This Row],[order_date]])</f>
        <v>48</v>
      </c>
      <c r="R4896">
        <f>IF(Table1[[#This Row],[order_status]]="completed",1,0)</f>
        <v>1</v>
      </c>
    </row>
    <row r="4897" spans="1:18" x14ac:dyDescent="0.35">
      <c r="A4897">
        <v>4896</v>
      </c>
      <c r="B4897" s="1">
        <v>46004</v>
      </c>
      <c r="C4897">
        <v>1728</v>
      </c>
      <c r="D4897" t="s">
        <v>32</v>
      </c>
      <c r="E4897" t="s">
        <v>16</v>
      </c>
      <c r="F4897" t="s">
        <v>34</v>
      </c>
      <c r="G4897">
        <v>3</v>
      </c>
      <c r="H4897">
        <v>0</v>
      </c>
      <c r="I4897" t="s">
        <v>18</v>
      </c>
      <c r="J4897" t="s">
        <v>37</v>
      </c>
      <c r="K4897" t="s">
        <v>20</v>
      </c>
      <c r="L4897">
        <v>2</v>
      </c>
      <c r="M4897">
        <v>0</v>
      </c>
      <c r="N4897">
        <v>0</v>
      </c>
      <c r="O4897" t="s">
        <v>27</v>
      </c>
      <c r="P4897" t="str">
        <f>TEXT(Table1[[#This Row],[order_date]],"yyyy-mm")</f>
        <v>2025-12</v>
      </c>
      <c r="Q4897">
        <f>WEEKNUM(Table1[[#This Row],[order_date]])</f>
        <v>50</v>
      </c>
      <c r="R4897">
        <f>IF(Table1[[#This Row],[order_status]]="completed",1,0)</f>
        <v>0</v>
      </c>
    </row>
    <row r="4898" spans="1:18" x14ac:dyDescent="0.35">
      <c r="A4898">
        <v>4897</v>
      </c>
      <c r="B4898" s="1">
        <v>45862</v>
      </c>
      <c r="C4898">
        <v>1960</v>
      </c>
      <c r="D4898" t="s">
        <v>22</v>
      </c>
      <c r="E4898" t="s">
        <v>36</v>
      </c>
      <c r="F4898" t="s">
        <v>34</v>
      </c>
      <c r="G4898">
        <v>4</v>
      </c>
      <c r="H4898">
        <v>0</v>
      </c>
      <c r="I4898" t="s">
        <v>25</v>
      </c>
      <c r="J4898" t="s">
        <v>37</v>
      </c>
      <c r="K4898" t="s">
        <v>40</v>
      </c>
      <c r="L4898">
        <v>2</v>
      </c>
      <c r="M4898">
        <v>0</v>
      </c>
      <c r="N4898">
        <v>0</v>
      </c>
      <c r="O4898" t="s">
        <v>21</v>
      </c>
      <c r="P4898" t="str">
        <f>TEXT(Table1[[#This Row],[order_date]],"yyyy-mm")</f>
        <v>2025-07</v>
      </c>
      <c r="Q4898">
        <f>WEEKNUM(Table1[[#This Row],[order_date]])</f>
        <v>30</v>
      </c>
      <c r="R4898">
        <f>IF(Table1[[#This Row],[order_status]]="completed",1,0)</f>
        <v>0</v>
      </c>
    </row>
    <row r="4899" spans="1:18" x14ac:dyDescent="0.35">
      <c r="A4899">
        <v>4898</v>
      </c>
      <c r="B4899" s="1">
        <v>45996</v>
      </c>
      <c r="C4899">
        <v>1621</v>
      </c>
      <c r="D4899" t="s">
        <v>41</v>
      </c>
      <c r="E4899" t="s">
        <v>33</v>
      </c>
      <c r="F4899" t="s">
        <v>34</v>
      </c>
      <c r="G4899">
        <v>3</v>
      </c>
      <c r="H4899">
        <v>0</v>
      </c>
      <c r="I4899" t="s">
        <v>25</v>
      </c>
      <c r="J4899" t="s">
        <v>37</v>
      </c>
      <c r="K4899" t="s">
        <v>26</v>
      </c>
      <c r="L4899">
        <v>8</v>
      </c>
      <c r="M4899">
        <v>1</v>
      </c>
      <c r="N4899">
        <v>0</v>
      </c>
      <c r="O4899" t="s">
        <v>21</v>
      </c>
      <c r="P4899" t="str">
        <f>TEXT(Table1[[#This Row],[order_date]],"yyyy-mm")</f>
        <v>2025-12</v>
      </c>
      <c r="Q4899">
        <f>WEEKNUM(Table1[[#This Row],[order_date]])</f>
        <v>49</v>
      </c>
      <c r="R4899">
        <f>IF(Table1[[#This Row],[order_status]]="completed",1,0)</f>
        <v>0</v>
      </c>
    </row>
    <row r="4900" spans="1:18" x14ac:dyDescent="0.35">
      <c r="A4900">
        <v>4899</v>
      </c>
      <c r="B4900" s="1">
        <v>45977</v>
      </c>
      <c r="C4900">
        <v>1367</v>
      </c>
      <c r="D4900" t="s">
        <v>15</v>
      </c>
      <c r="E4900" t="s">
        <v>33</v>
      </c>
      <c r="F4900" t="s">
        <v>34</v>
      </c>
      <c r="G4900">
        <v>4</v>
      </c>
      <c r="H4900">
        <v>932</v>
      </c>
      <c r="I4900" t="s">
        <v>18</v>
      </c>
      <c r="J4900" t="s">
        <v>19</v>
      </c>
      <c r="K4900" t="s">
        <v>20</v>
      </c>
      <c r="L4900">
        <v>8</v>
      </c>
      <c r="M4900">
        <v>1</v>
      </c>
      <c r="N4900">
        <v>0</v>
      </c>
      <c r="O4900" t="s">
        <v>21</v>
      </c>
      <c r="P4900" t="str">
        <f>TEXT(Table1[[#This Row],[order_date]],"yyyy-mm")</f>
        <v>2025-11</v>
      </c>
      <c r="Q4900">
        <f>WEEKNUM(Table1[[#This Row],[order_date]])</f>
        <v>47</v>
      </c>
      <c r="R4900">
        <f>IF(Table1[[#This Row],[order_status]]="completed",1,0)</f>
        <v>1</v>
      </c>
    </row>
    <row r="4901" spans="1:18" x14ac:dyDescent="0.35">
      <c r="A4901">
        <v>4900</v>
      </c>
      <c r="B4901" s="1">
        <v>45995</v>
      </c>
      <c r="C4901">
        <v>2000</v>
      </c>
      <c r="D4901" t="s">
        <v>28</v>
      </c>
      <c r="E4901" t="s">
        <v>33</v>
      </c>
      <c r="F4901" t="s">
        <v>34</v>
      </c>
      <c r="G4901">
        <v>3</v>
      </c>
      <c r="H4901">
        <v>0</v>
      </c>
      <c r="I4901" t="s">
        <v>25</v>
      </c>
      <c r="J4901" t="s">
        <v>31</v>
      </c>
      <c r="K4901" t="s">
        <v>26</v>
      </c>
      <c r="L4901">
        <v>1</v>
      </c>
      <c r="M4901">
        <v>1</v>
      </c>
      <c r="N4901">
        <v>0</v>
      </c>
      <c r="O4901" t="s">
        <v>21</v>
      </c>
      <c r="P4901" t="str">
        <f>TEXT(Table1[[#This Row],[order_date]],"yyyy-mm")</f>
        <v>2025-12</v>
      </c>
      <c r="Q4901">
        <f>WEEKNUM(Table1[[#This Row],[order_date]])</f>
        <v>49</v>
      </c>
      <c r="R4901">
        <f>IF(Table1[[#This Row],[order_status]]="completed",1,0)</f>
        <v>0</v>
      </c>
    </row>
    <row r="4902" spans="1:18" x14ac:dyDescent="0.35">
      <c r="A4902">
        <v>4901</v>
      </c>
      <c r="B4902" s="1">
        <v>45972</v>
      </c>
      <c r="C4902">
        <v>1062</v>
      </c>
      <c r="D4902" t="s">
        <v>28</v>
      </c>
      <c r="E4902" t="s">
        <v>36</v>
      </c>
      <c r="F4902" t="s">
        <v>30</v>
      </c>
      <c r="G4902">
        <v>2</v>
      </c>
      <c r="H4902">
        <v>8524</v>
      </c>
      <c r="I4902" t="s">
        <v>25</v>
      </c>
      <c r="J4902" t="s">
        <v>19</v>
      </c>
      <c r="K4902" t="s">
        <v>20</v>
      </c>
      <c r="L4902">
        <v>7</v>
      </c>
      <c r="M4902">
        <v>1</v>
      </c>
      <c r="N4902">
        <v>0</v>
      </c>
      <c r="O4902" t="s">
        <v>21</v>
      </c>
      <c r="P4902" t="str">
        <f>TEXT(Table1[[#This Row],[order_date]],"yyyy-mm")</f>
        <v>2025-11</v>
      </c>
      <c r="Q4902">
        <f>WEEKNUM(Table1[[#This Row],[order_date]])</f>
        <v>46</v>
      </c>
      <c r="R4902">
        <f>IF(Table1[[#This Row],[order_status]]="completed",1,0)</f>
        <v>1</v>
      </c>
    </row>
    <row r="4903" spans="1:18" x14ac:dyDescent="0.35">
      <c r="A4903">
        <v>4902</v>
      </c>
      <c r="B4903" s="1">
        <v>45970</v>
      </c>
      <c r="C4903">
        <v>1572</v>
      </c>
      <c r="D4903" t="s">
        <v>22</v>
      </c>
      <c r="E4903" t="s">
        <v>33</v>
      </c>
      <c r="F4903" t="s">
        <v>30</v>
      </c>
      <c r="G4903">
        <v>2</v>
      </c>
      <c r="H4903">
        <v>0</v>
      </c>
      <c r="I4903" t="s">
        <v>35</v>
      </c>
      <c r="J4903" t="s">
        <v>31</v>
      </c>
      <c r="K4903" t="s">
        <v>40</v>
      </c>
      <c r="L4903">
        <v>1</v>
      </c>
      <c r="M4903">
        <v>0</v>
      </c>
      <c r="N4903">
        <v>0</v>
      </c>
      <c r="O4903" t="s">
        <v>27</v>
      </c>
      <c r="P4903" t="str">
        <f>TEXT(Table1[[#This Row],[order_date]],"yyyy-mm")</f>
        <v>2025-11</v>
      </c>
      <c r="Q4903">
        <f>WEEKNUM(Table1[[#This Row],[order_date]])</f>
        <v>46</v>
      </c>
      <c r="R4903">
        <f>IF(Table1[[#This Row],[order_status]]="completed",1,0)</f>
        <v>0</v>
      </c>
    </row>
    <row r="4904" spans="1:18" x14ac:dyDescent="0.35">
      <c r="A4904">
        <v>4903</v>
      </c>
      <c r="B4904" s="1">
        <v>45899</v>
      </c>
      <c r="C4904">
        <v>1473</v>
      </c>
      <c r="D4904" t="s">
        <v>28</v>
      </c>
      <c r="E4904" t="s">
        <v>23</v>
      </c>
      <c r="F4904" t="s">
        <v>34</v>
      </c>
      <c r="G4904">
        <v>2</v>
      </c>
      <c r="H4904">
        <v>0</v>
      </c>
      <c r="I4904" t="s">
        <v>39</v>
      </c>
      <c r="J4904" t="s">
        <v>37</v>
      </c>
      <c r="K4904" t="s">
        <v>40</v>
      </c>
      <c r="L4904">
        <v>10</v>
      </c>
      <c r="M4904">
        <v>1</v>
      </c>
      <c r="N4904">
        <v>0</v>
      </c>
      <c r="O4904" t="s">
        <v>27</v>
      </c>
      <c r="P4904" t="str">
        <f>TEXT(Table1[[#This Row],[order_date]],"yyyy-mm")</f>
        <v>2025-08</v>
      </c>
      <c r="Q4904">
        <f>WEEKNUM(Table1[[#This Row],[order_date]])</f>
        <v>35</v>
      </c>
      <c r="R4904">
        <f>IF(Table1[[#This Row],[order_status]]="completed",1,0)</f>
        <v>0</v>
      </c>
    </row>
    <row r="4905" spans="1:18" x14ac:dyDescent="0.35">
      <c r="A4905">
        <v>4904</v>
      </c>
      <c r="B4905" s="1">
        <v>45973</v>
      </c>
      <c r="C4905">
        <v>1737</v>
      </c>
      <c r="D4905" t="s">
        <v>22</v>
      </c>
      <c r="E4905" t="s">
        <v>36</v>
      </c>
      <c r="F4905" t="s">
        <v>34</v>
      </c>
      <c r="G4905">
        <v>2</v>
      </c>
      <c r="H4905">
        <v>0</v>
      </c>
      <c r="I4905" t="s">
        <v>39</v>
      </c>
      <c r="J4905" t="s">
        <v>31</v>
      </c>
      <c r="K4905" t="s">
        <v>40</v>
      </c>
      <c r="L4905">
        <v>4</v>
      </c>
      <c r="M4905">
        <v>1</v>
      </c>
      <c r="N4905">
        <v>0</v>
      </c>
      <c r="O4905" t="s">
        <v>21</v>
      </c>
      <c r="P4905" t="str">
        <f>TEXT(Table1[[#This Row],[order_date]],"yyyy-mm")</f>
        <v>2025-11</v>
      </c>
      <c r="Q4905">
        <f>WEEKNUM(Table1[[#This Row],[order_date]])</f>
        <v>46</v>
      </c>
      <c r="R4905">
        <f>IF(Table1[[#This Row],[order_status]]="completed",1,0)</f>
        <v>0</v>
      </c>
    </row>
    <row r="4906" spans="1:18" x14ac:dyDescent="0.35">
      <c r="A4906">
        <v>4905</v>
      </c>
      <c r="B4906" s="1">
        <v>45964</v>
      </c>
      <c r="C4906">
        <v>1426</v>
      </c>
      <c r="D4906" t="s">
        <v>15</v>
      </c>
      <c r="E4906" t="s">
        <v>29</v>
      </c>
      <c r="F4906" t="s">
        <v>24</v>
      </c>
      <c r="G4906">
        <v>3</v>
      </c>
      <c r="H4906">
        <v>0</v>
      </c>
      <c r="I4906" t="s">
        <v>18</v>
      </c>
      <c r="J4906" t="s">
        <v>31</v>
      </c>
      <c r="K4906" t="s">
        <v>40</v>
      </c>
      <c r="L4906">
        <v>1</v>
      </c>
      <c r="M4906">
        <v>1</v>
      </c>
      <c r="N4906">
        <v>0</v>
      </c>
      <c r="O4906" t="s">
        <v>27</v>
      </c>
      <c r="P4906" t="str">
        <f>TEXT(Table1[[#This Row],[order_date]],"yyyy-mm")</f>
        <v>2025-11</v>
      </c>
      <c r="Q4906">
        <f>WEEKNUM(Table1[[#This Row],[order_date]])</f>
        <v>45</v>
      </c>
      <c r="R4906">
        <f>IF(Table1[[#This Row],[order_status]]="completed",1,0)</f>
        <v>0</v>
      </c>
    </row>
    <row r="4907" spans="1:18" x14ac:dyDescent="0.35">
      <c r="A4907">
        <v>4906</v>
      </c>
      <c r="B4907" s="1">
        <v>45893</v>
      </c>
      <c r="C4907">
        <v>1243</v>
      </c>
      <c r="D4907" t="s">
        <v>22</v>
      </c>
      <c r="E4907" t="s">
        <v>29</v>
      </c>
      <c r="F4907" t="s">
        <v>17</v>
      </c>
      <c r="G4907">
        <v>4</v>
      </c>
      <c r="H4907">
        <v>0</v>
      </c>
      <c r="I4907" t="s">
        <v>25</v>
      </c>
      <c r="J4907" t="s">
        <v>31</v>
      </c>
      <c r="K4907" t="s">
        <v>20</v>
      </c>
      <c r="L4907">
        <v>10</v>
      </c>
      <c r="M4907">
        <v>1</v>
      </c>
      <c r="N4907">
        <v>1</v>
      </c>
      <c r="O4907" t="s">
        <v>21</v>
      </c>
      <c r="P4907" t="str">
        <f>TEXT(Table1[[#This Row],[order_date]],"yyyy-mm")</f>
        <v>2025-08</v>
      </c>
      <c r="Q4907">
        <f>WEEKNUM(Table1[[#This Row],[order_date]])</f>
        <v>35</v>
      </c>
      <c r="R4907">
        <f>IF(Table1[[#This Row],[order_status]]="completed",1,0)</f>
        <v>0</v>
      </c>
    </row>
    <row r="4908" spans="1:18" x14ac:dyDescent="0.35">
      <c r="A4908">
        <v>4907</v>
      </c>
      <c r="B4908" s="1">
        <v>45929</v>
      </c>
      <c r="C4908">
        <v>1492</v>
      </c>
      <c r="D4908" t="s">
        <v>15</v>
      </c>
      <c r="E4908" t="s">
        <v>23</v>
      </c>
      <c r="F4908" t="s">
        <v>30</v>
      </c>
      <c r="G4908">
        <v>3</v>
      </c>
      <c r="H4908">
        <v>0</v>
      </c>
      <c r="I4908" t="s">
        <v>25</v>
      </c>
      <c r="J4908" t="s">
        <v>31</v>
      </c>
      <c r="K4908" t="s">
        <v>26</v>
      </c>
      <c r="L4908">
        <v>10</v>
      </c>
      <c r="M4908">
        <v>0</v>
      </c>
      <c r="N4908">
        <v>1</v>
      </c>
      <c r="O4908" t="s">
        <v>21</v>
      </c>
      <c r="P4908" t="str">
        <f>TEXT(Table1[[#This Row],[order_date]],"yyyy-mm")</f>
        <v>2025-09</v>
      </c>
      <c r="Q4908">
        <f>WEEKNUM(Table1[[#This Row],[order_date]])</f>
        <v>40</v>
      </c>
      <c r="R4908">
        <f>IF(Table1[[#This Row],[order_status]]="completed",1,0)</f>
        <v>0</v>
      </c>
    </row>
    <row r="4909" spans="1:18" x14ac:dyDescent="0.35">
      <c r="A4909">
        <v>4908</v>
      </c>
      <c r="B4909" s="1">
        <v>45937</v>
      </c>
      <c r="C4909">
        <v>1289</v>
      </c>
      <c r="D4909" t="s">
        <v>41</v>
      </c>
      <c r="E4909" t="s">
        <v>29</v>
      </c>
      <c r="F4909" t="s">
        <v>17</v>
      </c>
      <c r="G4909">
        <v>1</v>
      </c>
      <c r="H4909">
        <v>4500</v>
      </c>
      <c r="I4909" t="s">
        <v>18</v>
      </c>
      <c r="J4909" t="s">
        <v>19</v>
      </c>
      <c r="K4909" t="s">
        <v>40</v>
      </c>
      <c r="L4909">
        <v>5</v>
      </c>
      <c r="M4909">
        <v>1</v>
      </c>
      <c r="N4909">
        <v>0</v>
      </c>
      <c r="O4909" t="s">
        <v>21</v>
      </c>
      <c r="P4909" t="str">
        <f>TEXT(Table1[[#This Row],[order_date]],"yyyy-mm")</f>
        <v>2025-10</v>
      </c>
      <c r="Q4909">
        <f>WEEKNUM(Table1[[#This Row],[order_date]])</f>
        <v>41</v>
      </c>
      <c r="R4909">
        <f>IF(Table1[[#This Row],[order_status]]="completed",1,0)</f>
        <v>1</v>
      </c>
    </row>
    <row r="4910" spans="1:18" x14ac:dyDescent="0.35">
      <c r="A4910">
        <v>4909</v>
      </c>
      <c r="B4910" s="1">
        <v>45861</v>
      </c>
      <c r="C4910">
        <v>1078</v>
      </c>
      <c r="D4910" t="s">
        <v>41</v>
      </c>
      <c r="E4910" t="s">
        <v>33</v>
      </c>
      <c r="F4910" t="s">
        <v>17</v>
      </c>
      <c r="G4910">
        <v>3</v>
      </c>
      <c r="H4910">
        <v>0</v>
      </c>
      <c r="I4910" t="s">
        <v>25</v>
      </c>
      <c r="J4910" t="s">
        <v>31</v>
      </c>
      <c r="K4910" t="s">
        <v>38</v>
      </c>
      <c r="L4910">
        <v>2</v>
      </c>
      <c r="M4910">
        <v>0</v>
      </c>
      <c r="N4910">
        <v>0</v>
      </c>
      <c r="O4910" t="s">
        <v>21</v>
      </c>
      <c r="P4910" t="str">
        <f>TEXT(Table1[[#This Row],[order_date]],"yyyy-mm")</f>
        <v>2025-07</v>
      </c>
      <c r="Q4910">
        <f>WEEKNUM(Table1[[#This Row],[order_date]])</f>
        <v>30</v>
      </c>
      <c r="R4910">
        <f>IF(Table1[[#This Row],[order_status]]="completed",1,0)</f>
        <v>0</v>
      </c>
    </row>
    <row r="4911" spans="1:18" x14ac:dyDescent="0.35">
      <c r="A4911">
        <v>4910</v>
      </c>
      <c r="B4911" s="1">
        <v>45959</v>
      </c>
      <c r="C4911">
        <v>1135</v>
      </c>
      <c r="D4911" t="s">
        <v>15</v>
      </c>
      <c r="E4911" t="s">
        <v>33</v>
      </c>
      <c r="F4911" t="s">
        <v>24</v>
      </c>
      <c r="G4911">
        <v>3</v>
      </c>
      <c r="H4911">
        <v>0</v>
      </c>
      <c r="I4911" t="s">
        <v>18</v>
      </c>
      <c r="J4911" t="s">
        <v>31</v>
      </c>
      <c r="K4911" t="s">
        <v>40</v>
      </c>
      <c r="L4911">
        <v>2</v>
      </c>
      <c r="M4911">
        <v>1</v>
      </c>
      <c r="N4911">
        <v>0</v>
      </c>
      <c r="O4911" t="s">
        <v>27</v>
      </c>
      <c r="P4911" t="str">
        <f>TEXT(Table1[[#This Row],[order_date]],"yyyy-mm")</f>
        <v>2025-10</v>
      </c>
      <c r="Q4911">
        <f>WEEKNUM(Table1[[#This Row],[order_date]])</f>
        <v>44</v>
      </c>
      <c r="R4911">
        <f>IF(Table1[[#This Row],[order_status]]="completed",1,0)</f>
        <v>0</v>
      </c>
    </row>
    <row r="4912" spans="1:18" x14ac:dyDescent="0.35">
      <c r="A4912">
        <v>4911</v>
      </c>
      <c r="B4912" s="1">
        <v>45944</v>
      </c>
      <c r="C4912">
        <v>1129</v>
      </c>
      <c r="D4912" t="s">
        <v>32</v>
      </c>
      <c r="E4912" t="s">
        <v>36</v>
      </c>
      <c r="F4912" t="s">
        <v>30</v>
      </c>
      <c r="G4912">
        <v>2</v>
      </c>
      <c r="H4912">
        <v>0</v>
      </c>
      <c r="I4912" t="s">
        <v>18</v>
      </c>
      <c r="J4912" t="s">
        <v>37</v>
      </c>
      <c r="K4912" t="s">
        <v>20</v>
      </c>
      <c r="L4912">
        <v>7</v>
      </c>
      <c r="M4912">
        <v>1</v>
      </c>
      <c r="N4912">
        <v>0</v>
      </c>
      <c r="O4912" t="s">
        <v>27</v>
      </c>
      <c r="P4912" t="str">
        <f>TEXT(Table1[[#This Row],[order_date]],"yyyy-mm")</f>
        <v>2025-10</v>
      </c>
      <c r="Q4912">
        <f>WEEKNUM(Table1[[#This Row],[order_date]])</f>
        <v>42</v>
      </c>
      <c r="R4912">
        <f>IF(Table1[[#This Row],[order_status]]="completed",1,0)</f>
        <v>0</v>
      </c>
    </row>
    <row r="4913" spans="1:18" x14ac:dyDescent="0.35">
      <c r="A4913">
        <v>4912</v>
      </c>
      <c r="B4913" s="1">
        <v>45864</v>
      </c>
      <c r="C4913">
        <v>1158</v>
      </c>
      <c r="D4913" t="s">
        <v>15</v>
      </c>
      <c r="E4913" t="s">
        <v>29</v>
      </c>
      <c r="F4913" t="s">
        <v>17</v>
      </c>
      <c r="G4913">
        <v>4</v>
      </c>
      <c r="H4913">
        <v>0</v>
      </c>
      <c r="I4913" t="s">
        <v>18</v>
      </c>
      <c r="J4913" t="s">
        <v>31</v>
      </c>
      <c r="K4913" t="s">
        <v>38</v>
      </c>
      <c r="L4913">
        <v>6</v>
      </c>
      <c r="M4913">
        <v>0</v>
      </c>
      <c r="N4913">
        <v>0</v>
      </c>
      <c r="O4913" t="s">
        <v>21</v>
      </c>
      <c r="P4913" t="str">
        <f>TEXT(Table1[[#This Row],[order_date]],"yyyy-mm")</f>
        <v>2025-07</v>
      </c>
      <c r="Q4913">
        <f>WEEKNUM(Table1[[#This Row],[order_date]])</f>
        <v>30</v>
      </c>
      <c r="R4913">
        <f>IF(Table1[[#This Row],[order_status]]="completed",1,0)</f>
        <v>0</v>
      </c>
    </row>
    <row r="4914" spans="1:18" x14ac:dyDescent="0.35">
      <c r="A4914">
        <v>4913</v>
      </c>
      <c r="B4914" s="1">
        <v>46016</v>
      </c>
      <c r="C4914">
        <v>1170</v>
      </c>
      <c r="D4914" t="s">
        <v>41</v>
      </c>
      <c r="E4914" t="s">
        <v>23</v>
      </c>
      <c r="F4914" t="s">
        <v>30</v>
      </c>
      <c r="G4914">
        <v>1</v>
      </c>
      <c r="H4914">
        <v>2330</v>
      </c>
      <c r="I4914" t="s">
        <v>39</v>
      </c>
      <c r="J4914" t="s">
        <v>19</v>
      </c>
      <c r="K4914" t="s">
        <v>26</v>
      </c>
      <c r="L4914">
        <v>1</v>
      </c>
      <c r="M4914">
        <v>1</v>
      </c>
      <c r="N4914">
        <v>0</v>
      </c>
      <c r="O4914" t="s">
        <v>21</v>
      </c>
      <c r="P4914" t="str">
        <f>TEXT(Table1[[#This Row],[order_date]],"yyyy-mm")</f>
        <v>2025-12</v>
      </c>
      <c r="Q4914">
        <f>WEEKNUM(Table1[[#This Row],[order_date]])</f>
        <v>52</v>
      </c>
      <c r="R4914">
        <f>IF(Table1[[#This Row],[order_status]]="completed",1,0)</f>
        <v>1</v>
      </c>
    </row>
    <row r="4915" spans="1:18" x14ac:dyDescent="0.35">
      <c r="A4915">
        <v>4914</v>
      </c>
      <c r="B4915" s="1">
        <v>45879</v>
      </c>
      <c r="C4915">
        <v>1260</v>
      </c>
      <c r="D4915" t="s">
        <v>15</v>
      </c>
      <c r="E4915" t="s">
        <v>33</v>
      </c>
      <c r="F4915" t="s">
        <v>34</v>
      </c>
      <c r="G4915">
        <v>5</v>
      </c>
      <c r="H4915">
        <v>0</v>
      </c>
      <c r="I4915" t="s">
        <v>25</v>
      </c>
      <c r="J4915" t="s">
        <v>31</v>
      </c>
      <c r="K4915" t="s">
        <v>40</v>
      </c>
      <c r="L4915">
        <v>10</v>
      </c>
      <c r="M4915">
        <v>0</v>
      </c>
      <c r="N4915">
        <v>1</v>
      </c>
      <c r="O4915" t="s">
        <v>21</v>
      </c>
      <c r="P4915" t="str">
        <f>TEXT(Table1[[#This Row],[order_date]],"yyyy-mm")</f>
        <v>2025-08</v>
      </c>
      <c r="Q4915">
        <f>WEEKNUM(Table1[[#This Row],[order_date]])</f>
        <v>33</v>
      </c>
      <c r="R4915">
        <f>IF(Table1[[#This Row],[order_status]]="completed",1,0)</f>
        <v>0</v>
      </c>
    </row>
    <row r="4916" spans="1:18" x14ac:dyDescent="0.35">
      <c r="A4916">
        <v>4915</v>
      </c>
      <c r="B4916" s="1">
        <v>45905</v>
      </c>
      <c r="C4916">
        <v>1161</v>
      </c>
      <c r="D4916" t="s">
        <v>41</v>
      </c>
      <c r="E4916" t="s">
        <v>36</v>
      </c>
      <c r="F4916" t="s">
        <v>30</v>
      </c>
      <c r="G4916">
        <v>1</v>
      </c>
      <c r="H4916">
        <v>4007</v>
      </c>
      <c r="I4916" t="s">
        <v>39</v>
      </c>
      <c r="J4916" t="s">
        <v>19</v>
      </c>
      <c r="K4916" t="s">
        <v>38</v>
      </c>
      <c r="L4916">
        <v>4</v>
      </c>
      <c r="M4916">
        <v>0</v>
      </c>
      <c r="N4916">
        <v>0</v>
      </c>
      <c r="O4916" t="s">
        <v>27</v>
      </c>
      <c r="P4916" t="str">
        <f>TEXT(Table1[[#This Row],[order_date]],"yyyy-mm")</f>
        <v>2025-09</v>
      </c>
      <c r="Q4916">
        <f>WEEKNUM(Table1[[#This Row],[order_date]])</f>
        <v>36</v>
      </c>
      <c r="R4916">
        <f>IF(Table1[[#This Row],[order_status]]="completed",1,0)</f>
        <v>1</v>
      </c>
    </row>
    <row r="4917" spans="1:18" x14ac:dyDescent="0.35">
      <c r="A4917">
        <v>4916</v>
      </c>
      <c r="B4917" s="1">
        <v>45865</v>
      </c>
      <c r="C4917">
        <v>1464</v>
      </c>
      <c r="D4917" t="s">
        <v>28</v>
      </c>
      <c r="E4917" t="s">
        <v>16</v>
      </c>
      <c r="F4917" t="s">
        <v>17</v>
      </c>
      <c r="G4917">
        <v>1</v>
      </c>
      <c r="H4917">
        <v>3240</v>
      </c>
      <c r="I4917" t="s">
        <v>25</v>
      </c>
      <c r="J4917" t="s">
        <v>19</v>
      </c>
      <c r="K4917" t="s">
        <v>40</v>
      </c>
      <c r="L4917">
        <v>8</v>
      </c>
      <c r="M4917">
        <v>1</v>
      </c>
      <c r="N4917">
        <v>1</v>
      </c>
      <c r="O4917" t="s">
        <v>21</v>
      </c>
      <c r="P4917" t="str">
        <f>TEXT(Table1[[#This Row],[order_date]],"yyyy-mm")</f>
        <v>2025-07</v>
      </c>
      <c r="Q4917">
        <f>WEEKNUM(Table1[[#This Row],[order_date]])</f>
        <v>31</v>
      </c>
      <c r="R4917">
        <f>IF(Table1[[#This Row],[order_status]]="completed",1,0)</f>
        <v>1</v>
      </c>
    </row>
    <row r="4918" spans="1:18" x14ac:dyDescent="0.35">
      <c r="A4918">
        <v>4917</v>
      </c>
      <c r="B4918" s="1">
        <v>46009</v>
      </c>
      <c r="C4918">
        <v>1329</v>
      </c>
      <c r="D4918" t="s">
        <v>28</v>
      </c>
      <c r="E4918" t="s">
        <v>36</v>
      </c>
      <c r="F4918" t="s">
        <v>30</v>
      </c>
      <c r="G4918">
        <v>5</v>
      </c>
      <c r="H4918">
        <v>7865</v>
      </c>
      <c r="I4918" t="s">
        <v>39</v>
      </c>
      <c r="J4918" t="s">
        <v>19</v>
      </c>
      <c r="K4918" t="s">
        <v>40</v>
      </c>
      <c r="L4918">
        <v>6</v>
      </c>
      <c r="M4918">
        <v>1</v>
      </c>
      <c r="N4918">
        <v>1</v>
      </c>
      <c r="O4918" t="s">
        <v>21</v>
      </c>
      <c r="P4918" t="str">
        <f>TEXT(Table1[[#This Row],[order_date]],"yyyy-mm")</f>
        <v>2025-12</v>
      </c>
      <c r="Q4918">
        <f>WEEKNUM(Table1[[#This Row],[order_date]])</f>
        <v>51</v>
      </c>
      <c r="R4918">
        <f>IF(Table1[[#This Row],[order_status]]="completed",1,0)</f>
        <v>1</v>
      </c>
    </row>
    <row r="4919" spans="1:18" x14ac:dyDescent="0.35">
      <c r="A4919">
        <v>4918</v>
      </c>
      <c r="B4919" s="1">
        <v>45935</v>
      </c>
      <c r="C4919">
        <v>1942</v>
      </c>
      <c r="D4919" t="s">
        <v>41</v>
      </c>
      <c r="E4919" t="s">
        <v>29</v>
      </c>
      <c r="F4919" t="s">
        <v>34</v>
      </c>
      <c r="G4919">
        <v>4</v>
      </c>
      <c r="H4919">
        <v>0</v>
      </c>
      <c r="I4919" t="s">
        <v>25</v>
      </c>
      <c r="J4919" t="s">
        <v>31</v>
      </c>
      <c r="K4919" t="s">
        <v>20</v>
      </c>
      <c r="L4919">
        <v>2</v>
      </c>
      <c r="M4919">
        <v>1</v>
      </c>
      <c r="N4919">
        <v>0</v>
      </c>
      <c r="O4919" t="s">
        <v>27</v>
      </c>
      <c r="P4919" t="str">
        <f>TEXT(Table1[[#This Row],[order_date]],"yyyy-mm")</f>
        <v>2025-10</v>
      </c>
      <c r="Q4919">
        <f>WEEKNUM(Table1[[#This Row],[order_date]])</f>
        <v>41</v>
      </c>
      <c r="R4919">
        <f>IF(Table1[[#This Row],[order_status]]="completed",1,0)</f>
        <v>0</v>
      </c>
    </row>
    <row r="4920" spans="1:18" x14ac:dyDescent="0.35">
      <c r="A4920">
        <v>4919</v>
      </c>
      <c r="B4920" s="1">
        <v>45933</v>
      </c>
      <c r="C4920">
        <v>1714</v>
      </c>
      <c r="D4920" t="s">
        <v>32</v>
      </c>
      <c r="E4920" t="s">
        <v>36</v>
      </c>
      <c r="F4920" t="s">
        <v>34</v>
      </c>
      <c r="G4920">
        <v>2</v>
      </c>
      <c r="H4920">
        <v>0</v>
      </c>
      <c r="I4920" t="s">
        <v>39</v>
      </c>
      <c r="J4920" t="s">
        <v>37</v>
      </c>
      <c r="K4920" t="s">
        <v>20</v>
      </c>
      <c r="L4920">
        <v>9</v>
      </c>
      <c r="M4920">
        <v>0</v>
      </c>
      <c r="N4920">
        <v>1</v>
      </c>
      <c r="O4920" t="s">
        <v>21</v>
      </c>
      <c r="P4920" t="str">
        <f>TEXT(Table1[[#This Row],[order_date]],"yyyy-mm")</f>
        <v>2025-10</v>
      </c>
      <c r="Q4920">
        <f>WEEKNUM(Table1[[#This Row],[order_date]])</f>
        <v>40</v>
      </c>
      <c r="R4920">
        <f>IF(Table1[[#This Row],[order_status]]="completed",1,0)</f>
        <v>0</v>
      </c>
    </row>
    <row r="4921" spans="1:18" x14ac:dyDescent="0.35">
      <c r="A4921">
        <v>4920</v>
      </c>
      <c r="B4921" s="1">
        <v>45926</v>
      </c>
      <c r="C4921">
        <v>1364</v>
      </c>
      <c r="D4921" t="s">
        <v>41</v>
      </c>
      <c r="E4921" t="s">
        <v>29</v>
      </c>
      <c r="F4921" t="s">
        <v>17</v>
      </c>
      <c r="G4921">
        <v>1</v>
      </c>
      <c r="H4921">
        <v>0</v>
      </c>
      <c r="I4921" t="s">
        <v>18</v>
      </c>
      <c r="J4921" t="s">
        <v>31</v>
      </c>
      <c r="K4921" t="s">
        <v>20</v>
      </c>
      <c r="L4921">
        <v>4</v>
      </c>
      <c r="M4921">
        <v>0</v>
      </c>
      <c r="N4921">
        <v>1</v>
      </c>
      <c r="O4921" t="s">
        <v>21</v>
      </c>
      <c r="P4921" t="str">
        <f>TEXT(Table1[[#This Row],[order_date]],"yyyy-mm")</f>
        <v>2025-09</v>
      </c>
      <c r="Q4921">
        <f>WEEKNUM(Table1[[#This Row],[order_date]])</f>
        <v>39</v>
      </c>
      <c r="R4921">
        <f>IF(Table1[[#This Row],[order_status]]="completed",1,0)</f>
        <v>0</v>
      </c>
    </row>
    <row r="4922" spans="1:18" x14ac:dyDescent="0.35">
      <c r="A4922">
        <v>4921</v>
      </c>
      <c r="B4922" s="1">
        <v>45975</v>
      </c>
      <c r="C4922">
        <v>1328</v>
      </c>
      <c r="D4922" t="s">
        <v>41</v>
      </c>
      <c r="E4922" t="s">
        <v>16</v>
      </c>
      <c r="F4922" t="s">
        <v>30</v>
      </c>
      <c r="G4922">
        <v>1</v>
      </c>
      <c r="H4922">
        <v>0</v>
      </c>
      <c r="I4922" t="s">
        <v>25</v>
      </c>
      <c r="J4922" t="s">
        <v>37</v>
      </c>
      <c r="K4922" t="s">
        <v>40</v>
      </c>
      <c r="L4922">
        <v>2</v>
      </c>
      <c r="M4922">
        <v>1</v>
      </c>
      <c r="N4922">
        <v>1</v>
      </c>
      <c r="O4922" t="s">
        <v>27</v>
      </c>
      <c r="P4922" t="str">
        <f>TEXT(Table1[[#This Row],[order_date]],"yyyy-mm")</f>
        <v>2025-11</v>
      </c>
      <c r="Q4922">
        <f>WEEKNUM(Table1[[#This Row],[order_date]])</f>
        <v>46</v>
      </c>
      <c r="R4922">
        <f>IF(Table1[[#This Row],[order_status]]="completed",1,0)</f>
        <v>0</v>
      </c>
    </row>
    <row r="4923" spans="1:18" x14ac:dyDescent="0.35">
      <c r="A4923">
        <v>4922</v>
      </c>
      <c r="B4923" s="1">
        <v>45996</v>
      </c>
      <c r="C4923">
        <v>1718</v>
      </c>
      <c r="D4923" t="s">
        <v>15</v>
      </c>
      <c r="E4923" t="s">
        <v>23</v>
      </c>
      <c r="F4923" t="s">
        <v>24</v>
      </c>
      <c r="G4923">
        <v>3</v>
      </c>
      <c r="H4923">
        <v>0</v>
      </c>
      <c r="I4923" t="s">
        <v>25</v>
      </c>
      <c r="J4923" t="s">
        <v>37</v>
      </c>
      <c r="K4923" t="s">
        <v>20</v>
      </c>
      <c r="L4923">
        <v>9</v>
      </c>
      <c r="M4923">
        <v>0</v>
      </c>
      <c r="N4923">
        <v>1</v>
      </c>
      <c r="O4923" t="s">
        <v>21</v>
      </c>
      <c r="P4923" t="str">
        <f>TEXT(Table1[[#This Row],[order_date]],"yyyy-mm")</f>
        <v>2025-12</v>
      </c>
      <c r="Q4923">
        <f>WEEKNUM(Table1[[#This Row],[order_date]])</f>
        <v>49</v>
      </c>
      <c r="R4923">
        <f>IF(Table1[[#This Row],[order_status]]="completed",1,0)</f>
        <v>0</v>
      </c>
    </row>
    <row r="4924" spans="1:18" x14ac:dyDescent="0.35">
      <c r="A4924">
        <v>4923</v>
      </c>
      <c r="B4924" s="1">
        <v>45865</v>
      </c>
      <c r="C4924">
        <v>1425</v>
      </c>
      <c r="D4924" t="s">
        <v>15</v>
      </c>
      <c r="E4924" t="s">
        <v>36</v>
      </c>
      <c r="F4924" t="s">
        <v>34</v>
      </c>
      <c r="G4924">
        <v>4</v>
      </c>
      <c r="H4924">
        <v>12336</v>
      </c>
      <c r="I4924" t="s">
        <v>18</v>
      </c>
      <c r="J4924" t="s">
        <v>19</v>
      </c>
      <c r="K4924" t="s">
        <v>20</v>
      </c>
      <c r="L4924">
        <v>5</v>
      </c>
      <c r="M4924">
        <v>0</v>
      </c>
      <c r="N4924">
        <v>0</v>
      </c>
      <c r="O4924" t="s">
        <v>21</v>
      </c>
      <c r="P4924" t="str">
        <f>TEXT(Table1[[#This Row],[order_date]],"yyyy-mm")</f>
        <v>2025-07</v>
      </c>
      <c r="Q4924">
        <f>WEEKNUM(Table1[[#This Row],[order_date]])</f>
        <v>31</v>
      </c>
      <c r="R4924">
        <f>IF(Table1[[#This Row],[order_status]]="completed",1,0)</f>
        <v>1</v>
      </c>
    </row>
    <row r="4925" spans="1:18" x14ac:dyDescent="0.35">
      <c r="A4925">
        <v>4924</v>
      </c>
      <c r="B4925" s="1">
        <v>45863</v>
      </c>
      <c r="C4925">
        <v>1955</v>
      </c>
      <c r="D4925" t="s">
        <v>41</v>
      </c>
      <c r="E4925" t="s">
        <v>29</v>
      </c>
      <c r="F4925" t="s">
        <v>17</v>
      </c>
      <c r="G4925">
        <v>4</v>
      </c>
      <c r="H4925">
        <v>0</v>
      </c>
      <c r="I4925" t="s">
        <v>35</v>
      </c>
      <c r="J4925" t="s">
        <v>37</v>
      </c>
      <c r="K4925" t="s">
        <v>20</v>
      </c>
      <c r="L4925">
        <v>3</v>
      </c>
      <c r="M4925">
        <v>1</v>
      </c>
      <c r="N4925">
        <v>1</v>
      </c>
      <c r="O4925" t="s">
        <v>21</v>
      </c>
      <c r="P4925" t="str">
        <f>TEXT(Table1[[#This Row],[order_date]],"yyyy-mm")</f>
        <v>2025-07</v>
      </c>
      <c r="Q4925">
        <f>WEEKNUM(Table1[[#This Row],[order_date]])</f>
        <v>30</v>
      </c>
      <c r="R4925">
        <f>IF(Table1[[#This Row],[order_status]]="completed",1,0)</f>
        <v>0</v>
      </c>
    </row>
    <row r="4926" spans="1:18" x14ac:dyDescent="0.35">
      <c r="A4926">
        <v>4925</v>
      </c>
      <c r="B4926" s="1">
        <v>45918</v>
      </c>
      <c r="C4926">
        <v>1560</v>
      </c>
      <c r="D4926" t="s">
        <v>22</v>
      </c>
      <c r="E4926" t="s">
        <v>36</v>
      </c>
      <c r="F4926" t="s">
        <v>30</v>
      </c>
      <c r="G4926">
        <v>2</v>
      </c>
      <c r="H4926">
        <v>0</v>
      </c>
      <c r="I4926" t="s">
        <v>39</v>
      </c>
      <c r="J4926" t="s">
        <v>31</v>
      </c>
      <c r="K4926" t="s">
        <v>20</v>
      </c>
      <c r="L4926">
        <v>4</v>
      </c>
      <c r="M4926">
        <v>1</v>
      </c>
      <c r="N4926">
        <v>1</v>
      </c>
      <c r="O4926" t="s">
        <v>21</v>
      </c>
      <c r="P4926" t="str">
        <f>TEXT(Table1[[#This Row],[order_date]],"yyyy-mm")</f>
        <v>2025-09</v>
      </c>
      <c r="Q4926">
        <f>WEEKNUM(Table1[[#This Row],[order_date]])</f>
        <v>38</v>
      </c>
      <c r="R4926">
        <f>IF(Table1[[#This Row],[order_status]]="completed",1,0)</f>
        <v>0</v>
      </c>
    </row>
    <row r="4927" spans="1:18" x14ac:dyDescent="0.35">
      <c r="A4927">
        <v>4926</v>
      </c>
      <c r="B4927" s="1">
        <v>45915</v>
      </c>
      <c r="C4927">
        <v>1793</v>
      </c>
      <c r="D4927" t="s">
        <v>41</v>
      </c>
      <c r="E4927" t="s">
        <v>36</v>
      </c>
      <c r="F4927" t="s">
        <v>24</v>
      </c>
      <c r="G4927">
        <v>5</v>
      </c>
      <c r="H4927">
        <v>0</v>
      </c>
      <c r="I4927" t="s">
        <v>18</v>
      </c>
      <c r="J4927" t="s">
        <v>37</v>
      </c>
      <c r="K4927" t="s">
        <v>38</v>
      </c>
      <c r="L4927">
        <v>2</v>
      </c>
      <c r="M4927">
        <v>0</v>
      </c>
      <c r="N4927">
        <v>0</v>
      </c>
      <c r="O4927" t="s">
        <v>21</v>
      </c>
      <c r="P4927" t="str">
        <f>TEXT(Table1[[#This Row],[order_date]],"yyyy-mm")</f>
        <v>2025-09</v>
      </c>
      <c r="Q4927">
        <f>WEEKNUM(Table1[[#This Row],[order_date]])</f>
        <v>38</v>
      </c>
      <c r="R4927">
        <f>IF(Table1[[#This Row],[order_status]]="completed",1,0)</f>
        <v>0</v>
      </c>
    </row>
    <row r="4928" spans="1:18" x14ac:dyDescent="0.35">
      <c r="A4928">
        <v>4927</v>
      </c>
      <c r="B4928" s="1">
        <v>45903</v>
      </c>
      <c r="C4928">
        <v>1518</v>
      </c>
      <c r="D4928" t="s">
        <v>32</v>
      </c>
      <c r="E4928" t="s">
        <v>23</v>
      </c>
      <c r="F4928" t="s">
        <v>34</v>
      </c>
      <c r="G4928">
        <v>2</v>
      </c>
      <c r="H4928">
        <v>904</v>
      </c>
      <c r="I4928" t="s">
        <v>25</v>
      </c>
      <c r="J4928" t="s">
        <v>19</v>
      </c>
      <c r="K4928" t="s">
        <v>20</v>
      </c>
      <c r="L4928">
        <v>8</v>
      </c>
      <c r="M4928">
        <v>1</v>
      </c>
      <c r="N4928">
        <v>1</v>
      </c>
      <c r="O4928" t="s">
        <v>27</v>
      </c>
      <c r="P4928" t="str">
        <f>TEXT(Table1[[#This Row],[order_date]],"yyyy-mm")</f>
        <v>2025-09</v>
      </c>
      <c r="Q4928">
        <f>WEEKNUM(Table1[[#This Row],[order_date]])</f>
        <v>36</v>
      </c>
      <c r="R4928">
        <f>IF(Table1[[#This Row],[order_status]]="completed",1,0)</f>
        <v>1</v>
      </c>
    </row>
    <row r="4929" spans="1:18" x14ac:dyDescent="0.35">
      <c r="A4929">
        <v>4928</v>
      </c>
      <c r="B4929" s="1">
        <v>45864</v>
      </c>
      <c r="C4929">
        <v>1826</v>
      </c>
      <c r="D4929" t="s">
        <v>28</v>
      </c>
      <c r="E4929" t="s">
        <v>33</v>
      </c>
      <c r="F4929" t="s">
        <v>24</v>
      </c>
      <c r="G4929">
        <v>3</v>
      </c>
      <c r="H4929">
        <v>12498</v>
      </c>
      <c r="I4929" t="s">
        <v>18</v>
      </c>
      <c r="J4929" t="s">
        <v>19</v>
      </c>
      <c r="K4929" t="s">
        <v>40</v>
      </c>
      <c r="L4929">
        <v>2</v>
      </c>
      <c r="M4929">
        <v>1</v>
      </c>
      <c r="N4929">
        <v>0</v>
      </c>
      <c r="O4929" t="s">
        <v>21</v>
      </c>
      <c r="P4929" t="str">
        <f>TEXT(Table1[[#This Row],[order_date]],"yyyy-mm")</f>
        <v>2025-07</v>
      </c>
      <c r="Q4929">
        <f>WEEKNUM(Table1[[#This Row],[order_date]])</f>
        <v>30</v>
      </c>
      <c r="R4929">
        <f>IF(Table1[[#This Row],[order_status]]="completed",1,0)</f>
        <v>1</v>
      </c>
    </row>
    <row r="4930" spans="1:18" x14ac:dyDescent="0.35">
      <c r="A4930">
        <v>4929</v>
      </c>
      <c r="B4930" s="1">
        <v>45918</v>
      </c>
      <c r="C4930">
        <v>1842</v>
      </c>
      <c r="D4930" t="s">
        <v>41</v>
      </c>
      <c r="E4930" t="s">
        <v>36</v>
      </c>
      <c r="F4930" t="s">
        <v>24</v>
      </c>
      <c r="G4930">
        <v>5</v>
      </c>
      <c r="H4930">
        <v>23505</v>
      </c>
      <c r="I4930" t="s">
        <v>35</v>
      </c>
      <c r="J4930" t="s">
        <v>19</v>
      </c>
      <c r="K4930" t="s">
        <v>38</v>
      </c>
      <c r="L4930">
        <v>5</v>
      </c>
      <c r="M4930">
        <v>1</v>
      </c>
      <c r="N4930">
        <v>1</v>
      </c>
      <c r="O4930" t="s">
        <v>27</v>
      </c>
      <c r="P4930" t="str">
        <f>TEXT(Table1[[#This Row],[order_date]],"yyyy-mm")</f>
        <v>2025-09</v>
      </c>
      <c r="Q4930">
        <f>WEEKNUM(Table1[[#This Row],[order_date]])</f>
        <v>38</v>
      </c>
      <c r="R4930">
        <f>IF(Table1[[#This Row],[order_status]]="completed",1,0)</f>
        <v>1</v>
      </c>
    </row>
    <row r="4931" spans="1:18" x14ac:dyDescent="0.35">
      <c r="A4931">
        <v>4930</v>
      </c>
      <c r="B4931" s="1">
        <v>46028</v>
      </c>
      <c r="C4931">
        <v>1855</v>
      </c>
      <c r="D4931" t="s">
        <v>22</v>
      </c>
      <c r="E4931" t="s">
        <v>16</v>
      </c>
      <c r="F4931" t="s">
        <v>24</v>
      </c>
      <c r="G4931">
        <v>4</v>
      </c>
      <c r="H4931">
        <v>0</v>
      </c>
      <c r="I4931" t="s">
        <v>25</v>
      </c>
      <c r="J4931" t="s">
        <v>31</v>
      </c>
      <c r="K4931" t="s">
        <v>40</v>
      </c>
      <c r="L4931">
        <v>1</v>
      </c>
      <c r="M4931">
        <v>0</v>
      </c>
      <c r="N4931">
        <v>1</v>
      </c>
      <c r="O4931" t="s">
        <v>27</v>
      </c>
      <c r="P4931" t="str">
        <f>TEXT(Table1[[#This Row],[order_date]],"yyyy-mm")</f>
        <v>2026-01</v>
      </c>
      <c r="Q4931">
        <f>WEEKNUM(Table1[[#This Row],[order_date]])</f>
        <v>2</v>
      </c>
      <c r="R4931">
        <f>IF(Table1[[#This Row],[order_status]]="completed",1,0)</f>
        <v>0</v>
      </c>
    </row>
    <row r="4932" spans="1:18" x14ac:dyDescent="0.35">
      <c r="A4932">
        <v>4931</v>
      </c>
      <c r="B4932" s="1">
        <v>46016</v>
      </c>
      <c r="C4932">
        <v>1149</v>
      </c>
      <c r="D4932" t="s">
        <v>22</v>
      </c>
      <c r="E4932" t="s">
        <v>16</v>
      </c>
      <c r="F4932" t="s">
        <v>30</v>
      </c>
      <c r="G4932">
        <v>4</v>
      </c>
      <c r="H4932">
        <v>0</v>
      </c>
      <c r="I4932" t="s">
        <v>25</v>
      </c>
      <c r="J4932" t="s">
        <v>31</v>
      </c>
      <c r="K4932" t="s">
        <v>26</v>
      </c>
      <c r="L4932">
        <v>9</v>
      </c>
      <c r="M4932">
        <v>1</v>
      </c>
      <c r="N4932">
        <v>0</v>
      </c>
      <c r="O4932" t="s">
        <v>27</v>
      </c>
      <c r="P4932" t="str">
        <f>TEXT(Table1[[#This Row],[order_date]],"yyyy-mm")</f>
        <v>2025-12</v>
      </c>
      <c r="Q4932">
        <f>WEEKNUM(Table1[[#This Row],[order_date]])</f>
        <v>52</v>
      </c>
      <c r="R4932">
        <f>IF(Table1[[#This Row],[order_status]]="completed",1,0)</f>
        <v>0</v>
      </c>
    </row>
    <row r="4933" spans="1:18" x14ac:dyDescent="0.35">
      <c r="A4933">
        <v>4932</v>
      </c>
      <c r="B4933" s="1">
        <v>45966</v>
      </c>
      <c r="C4933">
        <v>1033</v>
      </c>
      <c r="D4933" t="s">
        <v>15</v>
      </c>
      <c r="E4933" t="s">
        <v>29</v>
      </c>
      <c r="F4933" t="s">
        <v>30</v>
      </c>
      <c r="G4933">
        <v>3</v>
      </c>
      <c r="H4933">
        <v>11640</v>
      </c>
      <c r="I4933" t="s">
        <v>35</v>
      </c>
      <c r="J4933" t="s">
        <v>19</v>
      </c>
      <c r="K4933" t="s">
        <v>38</v>
      </c>
      <c r="L4933">
        <v>4</v>
      </c>
      <c r="M4933">
        <v>0</v>
      </c>
      <c r="N4933">
        <v>0</v>
      </c>
      <c r="O4933" t="s">
        <v>27</v>
      </c>
      <c r="P4933" t="str">
        <f>TEXT(Table1[[#This Row],[order_date]],"yyyy-mm")</f>
        <v>2025-11</v>
      </c>
      <c r="Q4933">
        <f>WEEKNUM(Table1[[#This Row],[order_date]])</f>
        <v>45</v>
      </c>
      <c r="R4933">
        <f>IF(Table1[[#This Row],[order_status]]="completed",1,0)</f>
        <v>1</v>
      </c>
    </row>
    <row r="4934" spans="1:18" x14ac:dyDescent="0.35">
      <c r="A4934">
        <v>4933</v>
      </c>
      <c r="B4934" s="1">
        <v>45979</v>
      </c>
      <c r="C4934">
        <v>1353</v>
      </c>
      <c r="D4934" t="s">
        <v>32</v>
      </c>
      <c r="E4934" t="s">
        <v>36</v>
      </c>
      <c r="F4934" t="s">
        <v>30</v>
      </c>
      <c r="G4934">
        <v>5</v>
      </c>
      <c r="H4934">
        <v>0</v>
      </c>
      <c r="I4934" t="s">
        <v>18</v>
      </c>
      <c r="J4934" t="s">
        <v>37</v>
      </c>
      <c r="K4934" t="s">
        <v>38</v>
      </c>
      <c r="L4934">
        <v>10</v>
      </c>
      <c r="M4934">
        <v>0</v>
      </c>
      <c r="N4934">
        <v>0</v>
      </c>
      <c r="O4934" t="s">
        <v>21</v>
      </c>
      <c r="P4934" t="str">
        <f>TEXT(Table1[[#This Row],[order_date]],"yyyy-mm")</f>
        <v>2025-11</v>
      </c>
      <c r="Q4934">
        <f>WEEKNUM(Table1[[#This Row],[order_date]])</f>
        <v>47</v>
      </c>
      <c r="R4934">
        <f>IF(Table1[[#This Row],[order_status]]="completed",1,0)</f>
        <v>0</v>
      </c>
    </row>
    <row r="4935" spans="1:18" x14ac:dyDescent="0.35">
      <c r="A4935">
        <v>4934</v>
      </c>
      <c r="B4935" s="1">
        <v>46014</v>
      </c>
      <c r="C4935">
        <v>1522</v>
      </c>
      <c r="D4935" t="s">
        <v>28</v>
      </c>
      <c r="E4935" t="s">
        <v>29</v>
      </c>
      <c r="F4935" t="s">
        <v>34</v>
      </c>
      <c r="G4935">
        <v>5</v>
      </c>
      <c r="H4935">
        <v>0</v>
      </c>
      <c r="I4935" t="s">
        <v>18</v>
      </c>
      <c r="J4935" t="s">
        <v>37</v>
      </c>
      <c r="K4935" t="s">
        <v>26</v>
      </c>
      <c r="L4935">
        <v>4</v>
      </c>
      <c r="M4935">
        <v>0</v>
      </c>
      <c r="N4935">
        <v>0</v>
      </c>
      <c r="O4935" t="s">
        <v>27</v>
      </c>
      <c r="P4935" t="str">
        <f>TEXT(Table1[[#This Row],[order_date]],"yyyy-mm")</f>
        <v>2025-12</v>
      </c>
      <c r="Q4935">
        <f>WEEKNUM(Table1[[#This Row],[order_date]])</f>
        <v>52</v>
      </c>
      <c r="R4935">
        <f>IF(Table1[[#This Row],[order_status]]="completed",1,0)</f>
        <v>0</v>
      </c>
    </row>
    <row r="4936" spans="1:18" x14ac:dyDescent="0.35">
      <c r="A4936">
        <v>4935</v>
      </c>
      <c r="B4936" s="1">
        <v>45862</v>
      </c>
      <c r="C4936">
        <v>1735</v>
      </c>
      <c r="D4936" t="s">
        <v>28</v>
      </c>
      <c r="E4936" t="s">
        <v>23</v>
      </c>
      <c r="F4936" t="s">
        <v>34</v>
      </c>
      <c r="G4936">
        <v>2</v>
      </c>
      <c r="H4936">
        <v>7746</v>
      </c>
      <c r="I4936" t="s">
        <v>39</v>
      </c>
      <c r="J4936" t="s">
        <v>19</v>
      </c>
      <c r="K4936" t="s">
        <v>26</v>
      </c>
      <c r="L4936">
        <v>1</v>
      </c>
      <c r="M4936">
        <v>0</v>
      </c>
      <c r="N4936">
        <v>1</v>
      </c>
      <c r="O4936" t="s">
        <v>21</v>
      </c>
      <c r="P4936" t="str">
        <f>TEXT(Table1[[#This Row],[order_date]],"yyyy-mm")</f>
        <v>2025-07</v>
      </c>
      <c r="Q4936">
        <f>WEEKNUM(Table1[[#This Row],[order_date]])</f>
        <v>30</v>
      </c>
      <c r="R4936">
        <f>IF(Table1[[#This Row],[order_status]]="completed",1,0)</f>
        <v>1</v>
      </c>
    </row>
    <row r="4937" spans="1:18" x14ac:dyDescent="0.35">
      <c r="A4937">
        <v>4936</v>
      </c>
      <c r="B4937" s="1">
        <v>45943</v>
      </c>
      <c r="C4937">
        <v>1242</v>
      </c>
      <c r="D4937" t="s">
        <v>28</v>
      </c>
      <c r="E4937" t="s">
        <v>16</v>
      </c>
      <c r="F4937" t="s">
        <v>34</v>
      </c>
      <c r="G4937">
        <v>3</v>
      </c>
      <c r="H4937">
        <v>0</v>
      </c>
      <c r="I4937" t="s">
        <v>39</v>
      </c>
      <c r="J4937" t="s">
        <v>37</v>
      </c>
      <c r="K4937" t="s">
        <v>26</v>
      </c>
      <c r="L4937">
        <v>9</v>
      </c>
      <c r="M4937">
        <v>0</v>
      </c>
      <c r="N4937">
        <v>1</v>
      </c>
      <c r="O4937" t="s">
        <v>21</v>
      </c>
      <c r="P4937" t="str">
        <f>TEXT(Table1[[#This Row],[order_date]],"yyyy-mm")</f>
        <v>2025-10</v>
      </c>
      <c r="Q4937">
        <f>WEEKNUM(Table1[[#This Row],[order_date]])</f>
        <v>42</v>
      </c>
      <c r="R4937">
        <f>IF(Table1[[#This Row],[order_status]]="completed",1,0)</f>
        <v>0</v>
      </c>
    </row>
    <row r="4938" spans="1:18" x14ac:dyDescent="0.35">
      <c r="A4938">
        <v>4937</v>
      </c>
      <c r="B4938" s="1">
        <v>45936</v>
      </c>
      <c r="C4938">
        <v>1898</v>
      </c>
      <c r="D4938" t="s">
        <v>15</v>
      </c>
      <c r="E4938" t="s">
        <v>23</v>
      </c>
      <c r="F4938" t="s">
        <v>34</v>
      </c>
      <c r="G4938">
        <v>1</v>
      </c>
      <c r="H4938">
        <v>0</v>
      </c>
      <c r="I4938" t="s">
        <v>35</v>
      </c>
      <c r="J4938" t="s">
        <v>31</v>
      </c>
      <c r="K4938" t="s">
        <v>26</v>
      </c>
      <c r="L4938">
        <v>2</v>
      </c>
      <c r="M4938">
        <v>0</v>
      </c>
      <c r="N4938">
        <v>0</v>
      </c>
      <c r="O4938" t="s">
        <v>27</v>
      </c>
      <c r="P4938" t="str">
        <f>TEXT(Table1[[#This Row],[order_date]],"yyyy-mm")</f>
        <v>2025-10</v>
      </c>
      <c r="Q4938">
        <f>WEEKNUM(Table1[[#This Row],[order_date]])</f>
        <v>41</v>
      </c>
      <c r="R4938">
        <f>IF(Table1[[#This Row],[order_status]]="completed",1,0)</f>
        <v>0</v>
      </c>
    </row>
    <row r="4939" spans="1:18" x14ac:dyDescent="0.35">
      <c r="A4939">
        <v>4938</v>
      </c>
      <c r="B4939" s="1">
        <v>46019</v>
      </c>
      <c r="C4939">
        <v>1873</v>
      </c>
      <c r="D4939" t="s">
        <v>15</v>
      </c>
      <c r="E4939" t="s">
        <v>29</v>
      </c>
      <c r="F4939" t="s">
        <v>17</v>
      </c>
      <c r="G4939">
        <v>5</v>
      </c>
      <c r="H4939">
        <v>0</v>
      </c>
      <c r="I4939" t="s">
        <v>25</v>
      </c>
      <c r="J4939" t="s">
        <v>31</v>
      </c>
      <c r="K4939" t="s">
        <v>40</v>
      </c>
      <c r="L4939">
        <v>6</v>
      </c>
      <c r="M4939">
        <v>0</v>
      </c>
      <c r="N4939">
        <v>1</v>
      </c>
      <c r="O4939" t="s">
        <v>21</v>
      </c>
      <c r="P4939" t="str">
        <f>TEXT(Table1[[#This Row],[order_date]],"yyyy-mm")</f>
        <v>2025-12</v>
      </c>
      <c r="Q4939">
        <f>WEEKNUM(Table1[[#This Row],[order_date]])</f>
        <v>53</v>
      </c>
      <c r="R4939">
        <f>IF(Table1[[#This Row],[order_status]]="completed",1,0)</f>
        <v>0</v>
      </c>
    </row>
    <row r="4940" spans="1:18" x14ac:dyDescent="0.35">
      <c r="A4940">
        <v>4939</v>
      </c>
      <c r="B4940" s="1">
        <v>45936</v>
      </c>
      <c r="C4940">
        <v>1195</v>
      </c>
      <c r="D4940" t="s">
        <v>15</v>
      </c>
      <c r="E4940" t="s">
        <v>36</v>
      </c>
      <c r="F4940" t="s">
        <v>30</v>
      </c>
      <c r="G4940">
        <v>1</v>
      </c>
      <c r="H4940">
        <v>0</v>
      </c>
      <c r="I4940" t="s">
        <v>39</v>
      </c>
      <c r="J4940" t="s">
        <v>31</v>
      </c>
      <c r="K4940" t="s">
        <v>38</v>
      </c>
      <c r="L4940">
        <v>5</v>
      </c>
      <c r="M4940">
        <v>1</v>
      </c>
      <c r="N4940">
        <v>0</v>
      </c>
      <c r="O4940" t="s">
        <v>27</v>
      </c>
      <c r="P4940" t="str">
        <f>TEXT(Table1[[#This Row],[order_date]],"yyyy-mm")</f>
        <v>2025-10</v>
      </c>
      <c r="Q4940">
        <f>WEEKNUM(Table1[[#This Row],[order_date]])</f>
        <v>41</v>
      </c>
      <c r="R4940">
        <f>IF(Table1[[#This Row],[order_status]]="completed",1,0)</f>
        <v>0</v>
      </c>
    </row>
    <row r="4941" spans="1:18" x14ac:dyDescent="0.35">
      <c r="A4941">
        <v>4940</v>
      </c>
      <c r="B4941" s="1">
        <v>45907</v>
      </c>
      <c r="C4941">
        <v>1783</v>
      </c>
      <c r="D4941" t="s">
        <v>28</v>
      </c>
      <c r="E4941" t="s">
        <v>36</v>
      </c>
      <c r="F4941" t="s">
        <v>24</v>
      </c>
      <c r="G4941">
        <v>5</v>
      </c>
      <c r="H4941">
        <v>17925</v>
      </c>
      <c r="I4941" t="s">
        <v>25</v>
      </c>
      <c r="J4941" t="s">
        <v>19</v>
      </c>
      <c r="K4941" t="s">
        <v>26</v>
      </c>
      <c r="L4941">
        <v>9</v>
      </c>
      <c r="M4941">
        <v>1</v>
      </c>
      <c r="N4941">
        <v>0</v>
      </c>
      <c r="O4941" t="s">
        <v>21</v>
      </c>
      <c r="P4941" t="str">
        <f>TEXT(Table1[[#This Row],[order_date]],"yyyy-mm")</f>
        <v>2025-09</v>
      </c>
      <c r="Q4941">
        <f>WEEKNUM(Table1[[#This Row],[order_date]])</f>
        <v>37</v>
      </c>
      <c r="R4941">
        <f>IF(Table1[[#This Row],[order_status]]="completed",1,0)</f>
        <v>1</v>
      </c>
    </row>
    <row r="4942" spans="1:18" x14ac:dyDescent="0.35">
      <c r="A4942">
        <v>4941</v>
      </c>
      <c r="B4942" s="1">
        <v>45932</v>
      </c>
      <c r="C4942">
        <v>1694</v>
      </c>
      <c r="D4942" t="s">
        <v>32</v>
      </c>
      <c r="E4942" t="s">
        <v>33</v>
      </c>
      <c r="F4942" t="s">
        <v>34</v>
      </c>
      <c r="G4942">
        <v>2</v>
      </c>
      <c r="H4942">
        <v>0</v>
      </c>
      <c r="I4942" t="s">
        <v>39</v>
      </c>
      <c r="J4942" t="s">
        <v>37</v>
      </c>
      <c r="K4942" t="s">
        <v>40</v>
      </c>
      <c r="L4942">
        <v>7</v>
      </c>
      <c r="M4942">
        <v>1</v>
      </c>
      <c r="N4942">
        <v>1</v>
      </c>
      <c r="O4942" t="s">
        <v>27</v>
      </c>
      <c r="P4942" t="str">
        <f>TEXT(Table1[[#This Row],[order_date]],"yyyy-mm")</f>
        <v>2025-10</v>
      </c>
      <c r="Q4942">
        <f>WEEKNUM(Table1[[#This Row],[order_date]])</f>
        <v>40</v>
      </c>
      <c r="R4942">
        <f>IF(Table1[[#This Row],[order_status]]="completed",1,0)</f>
        <v>0</v>
      </c>
    </row>
    <row r="4943" spans="1:18" x14ac:dyDescent="0.35">
      <c r="A4943">
        <v>4942</v>
      </c>
      <c r="B4943" s="1">
        <v>45911</v>
      </c>
      <c r="C4943">
        <v>1470</v>
      </c>
      <c r="D4943" t="s">
        <v>28</v>
      </c>
      <c r="E4943" t="s">
        <v>16</v>
      </c>
      <c r="F4943" t="s">
        <v>17</v>
      </c>
      <c r="G4943">
        <v>1</v>
      </c>
      <c r="H4943">
        <v>0</v>
      </c>
      <c r="I4943" t="s">
        <v>35</v>
      </c>
      <c r="J4943" t="s">
        <v>37</v>
      </c>
      <c r="K4943" t="s">
        <v>20</v>
      </c>
      <c r="L4943">
        <v>8</v>
      </c>
      <c r="M4943">
        <v>1</v>
      </c>
      <c r="N4943">
        <v>1</v>
      </c>
      <c r="O4943" t="s">
        <v>27</v>
      </c>
      <c r="P4943" t="str">
        <f>TEXT(Table1[[#This Row],[order_date]],"yyyy-mm")</f>
        <v>2025-09</v>
      </c>
      <c r="Q4943">
        <f>WEEKNUM(Table1[[#This Row],[order_date]])</f>
        <v>37</v>
      </c>
      <c r="R4943">
        <f>IF(Table1[[#This Row],[order_status]]="completed",1,0)</f>
        <v>0</v>
      </c>
    </row>
    <row r="4944" spans="1:18" x14ac:dyDescent="0.35">
      <c r="A4944">
        <v>4943</v>
      </c>
      <c r="B4944" s="1">
        <v>45964</v>
      </c>
      <c r="C4944">
        <v>1264</v>
      </c>
      <c r="D4944" t="s">
        <v>22</v>
      </c>
      <c r="E4944" t="s">
        <v>23</v>
      </c>
      <c r="F4944" t="s">
        <v>30</v>
      </c>
      <c r="G4944">
        <v>1</v>
      </c>
      <c r="H4944">
        <v>0</v>
      </c>
      <c r="I4944" t="s">
        <v>25</v>
      </c>
      <c r="J4944" t="s">
        <v>37</v>
      </c>
      <c r="K4944" t="s">
        <v>40</v>
      </c>
      <c r="L4944">
        <v>1</v>
      </c>
      <c r="M4944">
        <v>0</v>
      </c>
      <c r="N4944">
        <v>0</v>
      </c>
      <c r="O4944" t="s">
        <v>21</v>
      </c>
      <c r="P4944" t="str">
        <f>TEXT(Table1[[#This Row],[order_date]],"yyyy-mm")</f>
        <v>2025-11</v>
      </c>
      <c r="Q4944">
        <f>WEEKNUM(Table1[[#This Row],[order_date]])</f>
        <v>45</v>
      </c>
      <c r="R4944">
        <f>IF(Table1[[#This Row],[order_status]]="completed",1,0)</f>
        <v>0</v>
      </c>
    </row>
    <row r="4945" spans="1:18" x14ac:dyDescent="0.35">
      <c r="A4945">
        <v>4944</v>
      </c>
      <c r="B4945" s="1">
        <v>45945</v>
      </c>
      <c r="C4945">
        <v>1148</v>
      </c>
      <c r="D4945" t="s">
        <v>28</v>
      </c>
      <c r="E4945" t="s">
        <v>16</v>
      </c>
      <c r="F4945" t="s">
        <v>17</v>
      </c>
      <c r="G4945">
        <v>1</v>
      </c>
      <c r="H4945">
        <v>0</v>
      </c>
      <c r="I4945" t="s">
        <v>39</v>
      </c>
      <c r="J4945" t="s">
        <v>31</v>
      </c>
      <c r="K4945" t="s">
        <v>38</v>
      </c>
      <c r="L4945">
        <v>3</v>
      </c>
      <c r="M4945">
        <v>0</v>
      </c>
      <c r="N4945">
        <v>1</v>
      </c>
      <c r="O4945" t="s">
        <v>21</v>
      </c>
      <c r="P4945" t="str">
        <f>TEXT(Table1[[#This Row],[order_date]],"yyyy-mm")</f>
        <v>2025-10</v>
      </c>
      <c r="Q4945">
        <f>WEEKNUM(Table1[[#This Row],[order_date]])</f>
        <v>42</v>
      </c>
      <c r="R4945">
        <f>IF(Table1[[#This Row],[order_status]]="completed",1,0)</f>
        <v>0</v>
      </c>
    </row>
    <row r="4946" spans="1:18" x14ac:dyDescent="0.35">
      <c r="A4946">
        <v>4945</v>
      </c>
      <c r="B4946" s="1">
        <v>46003</v>
      </c>
      <c r="C4946">
        <v>1292</v>
      </c>
      <c r="D4946" t="s">
        <v>32</v>
      </c>
      <c r="E4946" t="s">
        <v>23</v>
      </c>
      <c r="F4946" t="s">
        <v>30</v>
      </c>
      <c r="G4946">
        <v>4</v>
      </c>
      <c r="H4946">
        <v>0</v>
      </c>
      <c r="I4946" t="s">
        <v>35</v>
      </c>
      <c r="J4946" t="s">
        <v>37</v>
      </c>
      <c r="K4946" t="s">
        <v>38</v>
      </c>
      <c r="L4946">
        <v>2</v>
      </c>
      <c r="M4946">
        <v>0</v>
      </c>
      <c r="N4946">
        <v>1</v>
      </c>
      <c r="O4946" t="s">
        <v>21</v>
      </c>
      <c r="P4946" t="str">
        <f>TEXT(Table1[[#This Row],[order_date]],"yyyy-mm")</f>
        <v>2025-12</v>
      </c>
      <c r="Q4946">
        <f>WEEKNUM(Table1[[#This Row],[order_date]])</f>
        <v>50</v>
      </c>
      <c r="R4946">
        <f>IF(Table1[[#This Row],[order_status]]="completed",1,0)</f>
        <v>0</v>
      </c>
    </row>
    <row r="4947" spans="1:18" x14ac:dyDescent="0.35">
      <c r="A4947">
        <v>4946</v>
      </c>
      <c r="B4947" s="1">
        <v>45903</v>
      </c>
      <c r="C4947">
        <v>1883</v>
      </c>
      <c r="D4947" t="s">
        <v>41</v>
      </c>
      <c r="E4947" t="s">
        <v>29</v>
      </c>
      <c r="F4947" t="s">
        <v>24</v>
      </c>
      <c r="G4947">
        <v>3</v>
      </c>
      <c r="H4947">
        <v>11037</v>
      </c>
      <c r="I4947" t="s">
        <v>18</v>
      </c>
      <c r="J4947" t="s">
        <v>19</v>
      </c>
      <c r="K4947" t="s">
        <v>40</v>
      </c>
      <c r="L4947">
        <v>2</v>
      </c>
      <c r="M4947">
        <v>0</v>
      </c>
      <c r="N4947">
        <v>1</v>
      </c>
      <c r="O4947" t="s">
        <v>27</v>
      </c>
      <c r="P4947" t="str">
        <f>TEXT(Table1[[#This Row],[order_date]],"yyyy-mm")</f>
        <v>2025-09</v>
      </c>
      <c r="Q4947">
        <f>WEEKNUM(Table1[[#This Row],[order_date]])</f>
        <v>36</v>
      </c>
      <c r="R4947">
        <f>IF(Table1[[#This Row],[order_status]]="completed",1,0)</f>
        <v>1</v>
      </c>
    </row>
    <row r="4948" spans="1:18" x14ac:dyDescent="0.35">
      <c r="A4948">
        <v>4947</v>
      </c>
      <c r="B4948" s="1">
        <v>46021</v>
      </c>
      <c r="C4948">
        <v>1715</v>
      </c>
      <c r="D4948" t="s">
        <v>41</v>
      </c>
      <c r="E4948" t="s">
        <v>33</v>
      </c>
      <c r="F4948" t="s">
        <v>24</v>
      </c>
      <c r="G4948">
        <v>1</v>
      </c>
      <c r="H4948">
        <v>0</v>
      </c>
      <c r="I4948" t="s">
        <v>35</v>
      </c>
      <c r="J4948" t="s">
        <v>37</v>
      </c>
      <c r="K4948" t="s">
        <v>38</v>
      </c>
      <c r="L4948">
        <v>5</v>
      </c>
      <c r="M4948">
        <v>0</v>
      </c>
      <c r="N4948">
        <v>0</v>
      </c>
      <c r="O4948" t="s">
        <v>21</v>
      </c>
      <c r="P4948" t="str">
        <f>TEXT(Table1[[#This Row],[order_date]],"yyyy-mm")</f>
        <v>2025-12</v>
      </c>
      <c r="Q4948">
        <f>WEEKNUM(Table1[[#This Row],[order_date]])</f>
        <v>53</v>
      </c>
      <c r="R4948">
        <f>IF(Table1[[#This Row],[order_status]]="completed",1,0)</f>
        <v>0</v>
      </c>
    </row>
    <row r="4949" spans="1:18" x14ac:dyDescent="0.35">
      <c r="A4949">
        <v>4948</v>
      </c>
      <c r="B4949" s="1">
        <v>45869</v>
      </c>
      <c r="C4949">
        <v>1056</v>
      </c>
      <c r="D4949" t="s">
        <v>15</v>
      </c>
      <c r="E4949" t="s">
        <v>16</v>
      </c>
      <c r="F4949" t="s">
        <v>34</v>
      </c>
      <c r="G4949">
        <v>1</v>
      </c>
      <c r="H4949">
        <v>0</v>
      </c>
      <c r="I4949" t="s">
        <v>18</v>
      </c>
      <c r="J4949" t="s">
        <v>37</v>
      </c>
      <c r="K4949" t="s">
        <v>26</v>
      </c>
      <c r="L4949">
        <v>2</v>
      </c>
      <c r="M4949">
        <v>1</v>
      </c>
      <c r="N4949">
        <v>0</v>
      </c>
      <c r="O4949" t="s">
        <v>21</v>
      </c>
      <c r="P4949" t="str">
        <f>TEXT(Table1[[#This Row],[order_date]],"yyyy-mm")</f>
        <v>2025-07</v>
      </c>
      <c r="Q4949">
        <f>WEEKNUM(Table1[[#This Row],[order_date]])</f>
        <v>31</v>
      </c>
      <c r="R4949">
        <f>IF(Table1[[#This Row],[order_status]]="completed",1,0)</f>
        <v>0</v>
      </c>
    </row>
    <row r="4950" spans="1:18" x14ac:dyDescent="0.35">
      <c r="A4950">
        <v>4949</v>
      </c>
      <c r="B4950" s="1">
        <v>45963</v>
      </c>
      <c r="C4950">
        <v>1922</v>
      </c>
      <c r="D4950" t="s">
        <v>15</v>
      </c>
      <c r="E4950" t="s">
        <v>36</v>
      </c>
      <c r="F4950" t="s">
        <v>17</v>
      </c>
      <c r="G4950">
        <v>3</v>
      </c>
      <c r="H4950">
        <v>0</v>
      </c>
      <c r="I4950" t="s">
        <v>25</v>
      </c>
      <c r="J4950" t="s">
        <v>37</v>
      </c>
      <c r="K4950" t="s">
        <v>26</v>
      </c>
      <c r="L4950">
        <v>7</v>
      </c>
      <c r="M4950">
        <v>1</v>
      </c>
      <c r="N4950">
        <v>0</v>
      </c>
      <c r="O4950" t="s">
        <v>21</v>
      </c>
      <c r="P4950" t="str">
        <f>TEXT(Table1[[#This Row],[order_date]],"yyyy-mm")</f>
        <v>2025-11</v>
      </c>
      <c r="Q4950">
        <f>WEEKNUM(Table1[[#This Row],[order_date]])</f>
        <v>45</v>
      </c>
      <c r="R4950">
        <f>IF(Table1[[#This Row],[order_status]]="completed",1,0)</f>
        <v>0</v>
      </c>
    </row>
    <row r="4951" spans="1:18" x14ac:dyDescent="0.35">
      <c r="A4951">
        <v>4950</v>
      </c>
      <c r="B4951" s="1">
        <v>45973</v>
      </c>
      <c r="C4951">
        <v>1211</v>
      </c>
      <c r="D4951" t="s">
        <v>41</v>
      </c>
      <c r="E4951" t="s">
        <v>36</v>
      </c>
      <c r="F4951" t="s">
        <v>30</v>
      </c>
      <c r="G4951">
        <v>1</v>
      </c>
      <c r="H4951">
        <v>0</v>
      </c>
      <c r="I4951" t="s">
        <v>39</v>
      </c>
      <c r="J4951" t="s">
        <v>37</v>
      </c>
      <c r="K4951" t="s">
        <v>20</v>
      </c>
      <c r="L4951">
        <v>8</v>
      </c>
      <c r="M4951">
        <v>0</v>
      </c>
      <c r="N4951">
        <v>0</v>
      </c>
      <c r="O4951" t="s">
        <v>27</v>
      </c>
      <c r="P4951" t="str">
        <f>TEXT(Table1[[#This Row],[order_date]],"yyyy-mm")</f>
        <v>2025-11</v>
      </c>
      <c r="Q4951">
        <f>WEEKNUM(Table1[[#This Row],[order_date]])</f>
        <v>46</v>
      </c>
      <c r="R4951">
        <f>IF(Table1[[#This Row],[order_status]]="completed",1,0)</f>
        <v>0</v>
      </c>
    </row>
    <row r="4952" spans="1:18" x14ac:dyDescent="0.35">
      <c r="A4952">
        <v>4951</v>
      </c>
      <c r="B4952" s="1">
        <v>46004</v>
      </c>
      <c r="C4952">
        <v>1224</v>
      </c>
      <c r="D4952" t="s">
        <v>15</v>
      </c>
      <c r="E4952" t="s">
        <v>16</v>
      </c>
      <c r="F4952" t="s">
        <v>30</v>
      </c>
      <c r="G4952">
        <v>5</v>
      </c>
      <c r="H4952">
        <v>0</v>
      </c>
      <c r="I4952" t="s">
        <v>25</v>
      </c>
      <c r="J4952" t="s">
        <v>31</v>
      </c>
      <c r="K4952" t="s">
        <v>38</v>
      </c>
      <c r="L4952">
        <v>7</v>
      </c>
      <c r="M4952">
        <v>1</v>
      </c>
      <c r="N4952">
        <v>0</v>
      </c>
      <c r="O4952" t="s">
        <v>21</v>
      </c>
      <c r="P4952" t="str">
        <f>TEXT(Table1[[#This Row],[order_date]],"yyyy-mm")</f>
        <v>2025-12</v>
      </c>
      <c r="Q4952">
        <f>WEEKNUM(Table1[[#This Row],[order_date]])</f>
        <v>50</v>
      </c>
      <c r="R4952">
        <f>IF(Table1[[#This Row],[order_status]]="completed",1,0)</f>
        <v>0</v>
      </c>
    </row>
    <row r="4953" spans="1:18" x14ac:dyDescent="0.35">
      <c r="A4953">
        <v>4952</v>
      </c>
      <c r="B4953" s="1">
        <v>46017</v>
      </c>
      <c r="C4953">
        <v>1427</v>
      </c>
      <c r="D4953" t="s">
        <v>28</v>
      </c>
      <c r="E4953" t="s">
        <v>33</v>
      </c>
      <c r="F4953" t="s">
        <v>34</v>
      </c>
      <c r="G4953">
        <v>2</v>
      </c>
      <c r="H4953">
        <v>0</v>
      </c>
      <c r="I4953" t="s">
        <v>18</v>
      </c>
      <c r="J4953" t="s">
        <v>37</v>
      </c>
      <c r="K4953" t="s">
        <v>38</v>
      </c>
      <c r="L4953">
        <v>9</v>
      </c>
      <c r="M4953">
        <v>1</v>
      </c>
      <c r="N4953">
        <v>1</v>
      </c>
      <c r="O4953" t="s">
        <v>21</v>
      </c>
      <c r="P4953" t="str">
        <f>TEXT(Table1[[#This Row],[order_date]],"yyyy-mm")</f>
        <v>2025-12</v>
      </c>
      <c r="Q4953">
        <f>WEEKNUM(Table1[[#This Row],[order_date]])</f>
        <v>52</v>
      </c>
      <c r="R4953">
        <f>IF(Table1[[#This Row],[order_status]]="completed",1,0)</f>
        <v>0</v>
      </c>
    </row>
    <row r="4954" spans="1:18" x14ac:dyDescent="0.35">
      <c r="A4954">
        <v>4953</v>
      </c>
      <c r="B4954" s="1">
        <v>45879</v>
      </c>
      <c r="C4954">
        <v>1796</v>
      </c>
      <c r="D4954" t="s">
        <v>32</v>
      </c>
      <c r="E4954" t="s">
        <v>29</v>
      </c>
      <c r="F4954" t="s">
        <v>30</v>
      </c>
      <c r="G4954">
        <v>4</v>
      </c>
      <c r="H4954">
        <v>0</v>
      </c>
      <c r="I4954" t="s">
        <v>18</v>
      </c>
      <c r="J4954" t="s">
        <v>31</v>
      </c>
      <c r="K4954" t="s">
        <v>38</v>
      </c>
      <c r="L4954">
        <v>6</v>
      </c>
      <c r="M4954">
        <v>0</v>
      </c>
      <c r="N4954">
        <v>0</v>
      </c>
      <c r="O4954" t="s">
        <v>21</v>
      </c>
      <c r="P4954" t="str">
        <f>TEXT(Table1[[#This Row],[order_date]],"yyyy-mm")</f>
        <v>2025-08</v>
      </c>
      <c r="Q4954">
        <f>WEEKNUM(Table1[[#This Row],[order_date]])</f>
        <v>33</v>
      </c>
      <c r="R4954">
        <f>IF(Table1[[#This Row],[order_status]]="completed",1,0)</f>
        <v>0</v>
      </c>
    </row>
    <row r="4955" spans="1:18" x14ac:dyDescent="0.35">
      <c r="A4955">
        <v>4954</v>
      </c>
      <c r="B4955" s="1">
        <v>45990</v>
      </c>
      <c r="C4955">
        <v>1511</v>
      </c>
      <c r="D4955" t="s">
        <v>15</v>
      </c>
      <c r="E4955" t="s">
        <v>23</v>
      </c>
      <c r="F4955" t="s">
        <v>17</v>
      </c>
      <c r="G4955">
        <v>4</v>
      </c>
      <c r="H4955">
        <v>17832</v>
      </c>
      <c r="I4955" t="s">
        <v>39</v>
      </c>
      <c r="J4955" t="s">
        <v>19</v>
      </c>
      <c r="K4955" t="s">
        <v>40</v>
      </c>
      <c r="L4955">
        <v>10</v>
      </c>
      <c r="M4955">
        <v>1</v>
      </c>
      <c r="N4955">
        <v>0</v>
      </c>
      <c r="O4955" t="s">
        <v>21</v>
      </c>
      <c r="P4955" t="str">
        <f>TEXT(Table1[[#This Row],[order_date]],"yyyy-mm")</f>
        <v>2025-11</v>
      </c>
      <c r="Q4955">
        <f>WEEKNUM(Table1[[#This Row],[order_date]])</f>
        <v>48</v>
      </c>
      <c r="R4955">
        <f>IF(Table1[[#This Row],[order_status]]="completed",1,0)</f>
        <v>1</v>
      </c>
    </row>
    <row r="4956" spans="1:18" x14ac:dyDescent="0.35">
      <c r="A4956">
        <v>4955</v>
      </c>
      <c r="B4956" s="1">
        <v>45950</v>
      </c>
      <c r="C4956">
        <v>1575</v>
      </c>
      <c r="D4956" t="s">
        <v>28</v>
      </c>
      <c r="E4956" t="s">
        <v>23</v>
      </c>
      <c r="F4956" t="s">
        <v>30</v>
      </c>
      <c r="G4956">
        <v>2</v>
      </c>
      <c r="H4956">
        <v>1520</v>
      </c>
      <c r="I4956" t="s">
        <v>25</v>
      </c>
      <c r="J4956" t="s">
        <v>19</v>
      </c>
      <c r="K4956" t="s">
        <v>40</v>
      </c>
      <c r="L4956">
        <v>10</v>
      </c>
      <c r="M4956">
        <v>1</v>
      </c>
      <c r="N4956">
        <v>0</v>
      </c>
      <c r="O4956" t="s">
        <v>21</v>
      </c>
      <c r="P4956" t="str">
        <f>TEXT(Table1[[#This Row],[order_date]],"yyyy-mm")</f>
        <v>2025-10</v>
      </c>
      <c r="Q4956">
        <f>WEEKNUM(Table1[[#This Row],[order_date]])</f>
        <v>43</v>
      </c>
      <c r="R4956">
        <f>IF(Table1[[#This Row],[order_status]]="completed",1,0)</f>
        <v>1</v>
      </c>
    </row>
    <row r="4957" spans="1:18" x14ac:dyDescent="0.35">
      <c r="A4957">
        <v>4956</v>
      </c>
      <c r="B4957" s="1">
        <v>46030</v>
      </c>
      <c r="C4957">
        <v>1436</v>
      </c>
      <c r="D4957" t="s">
        <v>28</v>
      </c>
      <c r="E4957" t="s">
        <v>16</v>
      </c>
      <c r="F4957" t="s">
        <v>34</v>
      </c>
      <c r="G4957">
        <v>1</v>
      </c>
      <c r="H4957">
        <v>0</v>
      </c>
      <c r="I4957" t="s">
        <v>35</v>
      </c>
      <c r="J4957" t="s">
        <v>31</v>
      </c>
      <c r="K4957" t="s">
        <v>40</v>
      </c>
      <c r="L4957">
        <v>7</v>
      </c>
      <c r="M4957">
        <v>0</v>
      </c>
      <c r="N4957">
        <v>1</v>
      </c>
      <c r="O4957" t="s">
        <v>27</v>
      </c>
      <c r="P4957" t="str">
        <f>TEXT(Table1[[#This Row],[order_date]],"yyyy-mm")</f>
        <v>2026-01</v>
      </c>
      <c r="Q4957">
        <f>WEEKNUM(Table1[[#This Row],[order_date]])</f>
        <v>2</v>
      </c>
      <c r="R4957">
        <f>IF(Table1[[#This Row],[order_status]]="completed",1,0)</f>
        <v>0</v>
      </c>
    </row>
    <row r="4958" spans="1:18" x14ac:dyDescent="0.35">
      <c r="A4958">
        <v>4957</v>
      </c>
      <c r="B4958" s="1">
        <v>45985</v>
      </c>
      <c r="C4958">
        <v>1488</v>
      </c>
      <c r="D4958" t="s">
        <v>28</v>
      </c>
      <c r="E4958" t="s">
        <v>29</v>
      </c>
      <c r="F4958" t="s">
        <v>24</v>
      </c>
      <c r="G4958">
        <v>2</v>
      </c>
      <c r="H4958">
        <v>0</v>
      </c>
      <c r="I4958" t="s">
        <v>39</v>
      </c>
      <c r="J4958" t="s">
        <v>37</v>
      </c>
      <c r="K4958" t="s">
        <v>26</v>
      </c>
      <c r="L4958">
        <v>4</v>
      </c>
      <c r="M4958">
        <v>1</v>
      </c>
      <c r="N4958">
        <v>0</v>
      </c>
      <c r="O4958" t="s">
        <v>21</v>
      </c>
      <c r="P4958" t="str">
        <f>TEXT(Table1[[#This Row],[order_date]],"yyyy-mm")</f>
        <v>2025-11</v>
      </c>
      <c r="Q4958">
        <f>WEEKNUM(Table1[[#This Row],[order_date]])</f>
        <v>48</v>
      </c>
      <c r="R4958">
        <f>IF(Table1[[#This Row],[order_status]]="completed",1,0)</f>
        <v>0</v>
      </c>
    </row>
    <row r="4959" spans="1:18" x14ac:dyDescent="0.35">
      <c r="A4959">
        <v>4958</v>
      </c>
      <c r="B4959" s="1">
        <v>45979</v>
      </c>
      <c r="C4959">
        <v>1906</v>
      </c>
      <c r="D4959" t="s">
        <v>41</v>
      </c>
      <c r="E4959" t="s">
        <v>29</v>
      </c>
      <c r="F4959" t="s">
        <v>17</v>
      </c>
      <c r="G4959">
        <v>2</v>
      </c>
      <c r="H4959">
        <v>0</v>
      </c>
      <c r="I4959" t="s">
        <v>25</v>
      </c>
      <c r="J4959" t="s">
        <v>31</v>
      </c>
      <c r="K4959" t="s">
        <v>40</v>
      </c>
      <c r="L4959">
        <v>8</v>
      </c>
      <c r="M4959">
        <v>0</v>
      </c>
      <c r="N4959">
        <v>1</v>
      </c>
      <c r="O4959" t="s">
        <v>21</v>
      </c>
      <c r="P4959" t="str">
        <f>TEXT(Table1[[#This Row],[order_date]],"yyyy-mm")</f>
        <v>2025-11</v>
      </c>
      <c r="Q4959">
        <f>WEEKNUM(Table1[[#This Row],[order_date]])</f>
        <v>47</v>
      </c>
      <c r="R4959">
        <f>IF(Table1[[#This Row],[order_status]]="completed",1,0)</f>
        <v>0</v>
      </c>
    </row>
    <row r="4960" spans="1:18" x14ac:dyDescent="0.35">
      <c r="A4960">
        <v>4959</v>
      </c>
      <c r="B4960" s="1">
        <v>45943</v>
      </c>
      <c r="C4960">
        <v>1179</v>
      </c>
      <c r="D4960" t="s">
        <v>28</v>
      </c>
      <c r="E4960" t="s">
        <v>29</v>
      </c>
      <c r="F4960" t="s">
        <v>17</v>
      </c>
      <c r="G4960">
        <v>4</v>
      </c>
      <c r="H4960">
        <v>15524</v>
      </c>
      <c r="I4960" t="s">
        <v>39</v>
      </c>
      <c r="J4960" t="s">
        <v>19</v>
      </c>
      <c r="K4960" t="s">
        <v>20</v>
      </c>
      <c r="L4960">
        <v>2</v>
      </c>
      <c r="M4960">
        <v>1</v>
      </c>
      <c r="N4960">
        <v>0</v>
      </c>
      <c r="O4960" t="s">
        <v>21</v>
      </c>
      <c r="P4960" t="str">
        <f>TEXT(Table1[[#This Row],[order_date]],"yyyy-mm")</f>
        <v>2025-10</v>
      </c>
      <c r="Q4960">
        <f>WEEKNUM(Table1[[#This Row],[order_date]])</f>
        <v>42</v>
      </c>
      <c r="R4960">
        <f>IF(Table1[[#This Row],[order_status]]="completed",1,0)</f>
        <v>1</v>
      </c>
    </row>
    <row r="4961" spans="1:18" x14ac:dyDescent="0.35">
      <c r="A4961">
        <v>4960</v>
      </c>
      <c r="B4961" s="1">
        <v>45896</v>
      </c>
      <c r="C4961">
        <v>1320</v>
      </c>
      <c r="D4961" t="s">
        <v>15</v>
      </c>
      <c r="E4961" t="s">
        <v>29</v>
      </c>
      <c r="F4961" t="s">
        <v>34</v>
      </c>
      <c r="G4961">
        <v>5</v>
      </c>
      <c r="H4961">
        <v>0</v>
      </c>
      <c r="I4961" t="s">
        <v>35</v>
      </c>
      <c r="J4961" t="s">
        <v>31</v>
      </c>
      <c r="K4961" t="s">
        <v>26</v>
      </c>
      <c r="L4961">
        <v>1</v>
      </c>
      <c r="M4961">
        <v>0</v>
      </c>
      <c r="N4961">
        <v>1</v>
      </c>
      <c r="O4961" t="s">
        <v>27</v>
      </c>
      <c r="P4961" t="str">
        <f>TEXT(Table1[[#This Row],[order_date]],"yyyy-mm")</f>
        <v>2025-08</v>
      </c>
      <c r="Q4961">
        <f>WEEKNUM(Table1[[#This Row],[order_date]])</f>
        <v>35</v>
      </c>
      <c r="R4961">
        <f>IF(Table1[[#This Row],[order_status]]="completed",1,0)</f>
        <v>0</v>
      </c>
    </row>
    <row r="4962" spans="1:18" x14ac:dyDescent="0.35">
      <c r="A4962">
        <v>4961</v>
      </c>
      <c r="B4962" s="1">
        <v>45963</v>
      </c>
      <c r="C4962">
        <v>1903</v>
      </c>
      <c r="D4962" t="s">
        <v>32</v>
      </c>
      <c r="E4962" t="s">
        <v>16</v>
      </c>
      <c r="F4962" t="s">
        <v>30</v>
      </c>
      <c r="G4962">
        <v>4</v>
      </c>
      <c r="H4962">
        <v>0</v>
      </c>
      <c r="I4962" t="s">
        <v>35</v>
      </c>
      <c r="J4962" t="s">
        <v>31</v>
      </c>
      <c r="K4962" t="s">
        <v>20</v>
      </c>
      <c r="L4962">
        <v>2</v>
      </c>
      <c r="M4962">
        <v>1</v>
      </c>
      <c r="N4962">
        <v>1</v>
      </c>
      <c r="O4962" t="s">
        <v>27</v>
      </c>
      <c r="P4962" t="str">
        <f>TEXT(Table1[[#This Row],[order_date]],"yyyy-mm")</f>
        <v>2025-11</v>
      </c>
      <c r="Q4962">
        <f>WEEKNUM(Table1[[#This Row],[order_date]])</f>
        <v>45</v>
      </c>
      <c r="R4962">
        <f>IF(Table1[[#This Row],[order_status]]="completed",1,0)</f>
        <v>0</v>
      </c>
    </row>
    <row r="4963" spans="1:18" x14ac:dyDescent="0.35">
      <c r="A4963">
        <v>4962</v>
      </c>
      <c r="B4963" s="1">
        <v>45998</v>
      </c>
      <c r="C4963">
        <v>1338</v>
      </c>
      <c r="D4963" t="s">
        <v>22</v>
      </c>
      <c r="E4963" t="s">
        <v>29</v>
      </c>
      <c r="F4963" t="s">
        <v>24</v>
      </c>
      <c r="G4963">
        <v>1</v>
      </c>
      <c r="H4963">
        <v>3666</v>
      </c>
      <c r="I4963" t="s">
        <v>39</v>
      </c>
      <c r="J4963" t="s">
        <v>19</v>
      </c>
      <c r="K4963" t="s">
        <v>40</v>
      </c>
      <c r="L4963">
        <v>5</v>
      </c>
      <c r="M4963">
        <v>1</v>
      </c>
      <c r="N4963">
        <v>0</v>
      </c>
      <c r="O4963" t="s">
        <v>21</v>
      </c>
      <c r="P4963" t="str">
        <f>TEXT(Table1[[#This Row],[order_date]],"yyyy-mm")</f>
        <v>2025-12</v>
      </c>
      <c r="Q4963">
        <f>WEEKNUM(Table1[[#This Row],[order_date]])</f>
        <v>50</v>
      </c>
      <c r="R4963">
        <f>IF(Table1[[#This Row],[order_status]]="completed",1,0)</f>
        <v>1</v>
      </c>
    </row>
    <row r="4964" spans="1:18" x14ac:dyDescent="0.35">
      <c r="A4964">
        <v>4963</v>
      </c>
      <c r="B4964" s="1">
        <v>45916</v>
      </c>
      <c r="C4964">
        <v>1448</v>
      </c>
      <c r="D4964" t="s">
        <v>28</v>
      </c>
      <c r="E4964" t="s">
        <v>29</v>
      </c>
      <c r="F4964" t="s">
        <v>34</v>
      </c>
      <c r="G4964">
        <v>3</v>
      </c>
      <c r="H4964">
        <v>0</v>
      </c>
      <c r="I4964" t="s">
        <v>18</v>
      </c>
      <c r="J4964" t="s">
        <v>37</v>
      </c>
      <c r="K4964" t="s">
        <v>38</v>
      </c>
      <c r="L4964">
        <v>4</v>
      </c>
      <c r="M4964">
        <v>1</v>
      </c>
      <c r="N4964">
        <v>0</v>
      </c>
      <c r="O4964" t="s">
        <v>27</v>
      </c>
      <c r="P4964" t="str">
        <f>TEXT(Table1[[#This Row],[order_date]],"yyyy-mm")</f>
        <v>2025-09</v>
      </c>
      <c r="Q4964">
        <f>WEEKNUM(Table1[[#This Row],[order_date]])</f>
        <v>38</v>
      </c>
      <c r="R4964">
        <f>IF(Table1[[#This Row],[order_status]]="completed",1,0)</f>
        <v>0</v>
      </c>
    </row>
    <row r="4965" spans="1:18" x14ac:dyDescent="0.35">
      <c r="A4965">
        <v>4964</v>
      </c>
      <c r="B4965" s="1">
        <v>45921</v>
      </c>
      <c r="C4965">
        <v>1577</v>
      </c>
      <c r="D4965" t="s">
        <v>28</v>
      </c>
      <c r="E4965" t="s">
        <v>29</v>
      </c>
      <c r="F4965" t="s">
        <v>30</v>
      </c>
      <c r="G4965">
        <v>4</v>
      </c>
      <c r="H4965">
        <v>10884</v>
      </c>
      <c r="I4965" t="s">
        <v>35</v>
      </c>
      <c r="J4965" t="s">
        <v>19</v>
      </c>
      <c r="K4965" t="s">
        <v>26</v>
      </c>
      <c r="L4965">
        <v>4</v>
      </c>
      <c r="M4965">
        <v>0</v>
      </c>
      <c r="N4965">
        <v>0</v>
      </c>
      <c r="O4965" t="s">
        <v>27</v>
      </c>
      <c r="P4965" t="str">
        <f>TEXT(Table1[[#This Row],[order_date]],"yyyy-mm")</f>
        <v>2025-09</v>
      </c>
      <c r="Q4965">
        <f>WEEKNUM(Table1[[#This Row],[order_date]])</f>
        <v>39</v>
      </c>
      <c r="R4965">
        <f>IF(Table1[[#This Row],[order_status]]="completed",1,0)</f>
        <v>1</v>
      </c>
    </row>
    <row r="4966" spans="1:18" x14ac:dyDescent="0.35">
      <c r="A4966">
        <v>4965</v>
      </c>
      <c r="B4966" s="1">
        <v>45975</v>
      </c>
      <c r="C4966">
        <v>1686</v>
      </c>
      <c r="D4966" t="s">
        <v>41</v>
      </c>
      <c r="E4966" t="s">
        <v>16</v>
      </c>
      <c r="F4966" t="s">
        <v>17</v>
      </c>
      <c r="G4966">
        <v>2</v>
      </c>
      <c r="H4966">
        <v>9292</v>
      </c>
      <c r="I4966" t="s">
        <v>35</v>
      </c>
      <c r="J4966" t="s">
        <v>19</v>
      </c>
      <c r="K4966" t="s">
        <v>26</v>
      </c>
      <c r="L4966">
        <v>3</v>
      </c>
      <c r="M4966">
        <v>1</v>
      </c>
      <c r="N4966">
        <v>1</v>
      </c>
      <c r="O4966" t="s">
        <v>27</v>
      </c>
      <c r="P4966" t="str">
        <f>TEXT(Table1[[#This Row],[order_date]],"yyyy-mm")</f>
        <v>2025-11</v>
      </c>
      <c r="Q4966">
        <f>WEEKNUM(Table1[[#This Row],[order_date]])</f>
        <v>46</v>
      </c>
      <c r="R4966">
        <f>IF(Table1[[#This Row],[order_status]]="completed",1,0)</f>
        <v>1</v>
      </c>
    </row>
    <row r="4967" spans="1:18" x14ac:dyDescent="0.35">
      <c r="A4967">
        <v>4966</v>
      </c>
      <c r="B4967" s="1">
        <v>45914</v>
      </c>
      <c r="C4967">
        <v>1691</v>
      </c>
      <c r="D4967" t="s">
        <v>32</v>
      </c>
      <c r="E4967" t="s">
        <v>16</v>
      </c>
      <c r="F4967" t="s">
        <v>34</v>
      </c>
      <c r="G4967">
        <v>4</v>
      </c>
      <c r="H4967">
        <v>0</v>
      </c>
      <c r="I4967" t="s">
        <v>35</v>
      </c>
      <c r="J4967" t="s">
        <v>37</v>
      </c>
      <c r="K4967" t="s">
        <v>26</v>
      </c>
      <c r="L4967">
        <v>9</v>
      </c>
      <c r="M4967">
        <v>0</v>
      </c>
      <c r="N4967">
        <v>1</v>
      </c>
      <c r="O4967" t="s">
        <v>27</v>
      </c>
      <c r="P4967" t="str">
        <f>TEXT(Table1[[#This Row],[order_date]],"yyyy-mm")</f>
        <v>2025-09</v>
      </c>
      <c r="Q4967">
        <f>WEEKNUM(Table1[[#This Row],[order_date]])</f>
        <v>38</v>
      </c>
      <c r="R4967">
        <f>IF(Table1[[#This Row],[order_status]]="completed",1,0)</f>
        <v>0</v>
      </c>
    </row>
    <row r="4968" spans="1:18" x14ac:dyDescent="0.35">
      <c r="A4968">
        <v>4967</v>
      </c>
      <c r="B4968" s="1">
        <v>45888</v>
      </c>
      <c r="C4968">
        <v>1151</v>
      </c>
      <c r="D4968" t="s">
        <v>15</v>
      </c>
      <c r="E4968" t="s">
        <v>33</v>
      </c>
      <c r="F4968" t="s">
        <v>17</v>
      </c>
      <c r="G4968">
        <v>5</v>
      </c>
      <c r="H4968">
        <v>19405</v>
      </c>
      <c r="I4968" t="s">
        <v>25</v>
      </c>
      <c r="J4968" t="s">
        <v>19</v>
      </c>
      <c r="K4968" t="s">
        <v>40</v>
      </c>
      <c r="L4968">
        <v>2</v>
      </c>
      <c r="M4968">
        <v>1</v>
      </c>
      <c r="N4968">
        <v>1</v>
      </c>
      <c r="O4968" t="s">
        <v>27</v>
      </c>
      <c r="P4968" t="str">
        <f>TEXT(Table1[[#This Row],[order_date]],"yyyy-mm")</f>
        <v>2025-08</v>
      </c>
      <c r="Q4968">
        <f>WEEKNUM(Table1[[#This Row],[order_date]])</f>
        <v>34</v>
      </c>
      <c r="R4968">
        <f>IF(Table1[[#This Row],[order_status]]="completed",1,0)</f>
        <v>1</v>
      </c>
    </row>
    <row r="4969" spans="1:18" x14ac:dyDescent="0.35">
      <c r="A4969">
        <v>4968</v>
      </c>
      <c r="B4969" s="1">
        <v>45898</v>
      </c>
      <c r="C4969">
        <v>1310</v>
      </c>
      <c r="D4969" t="s">
        <v>15</v>
      </c>
      <c r="E4969" t="s">
        <v>33</v>
      </c>
      <c r="F4969" t="s">
        <v>30</v>
      </c>
      <c r="G4969">
        <v>5</v>
      </c>
      <c r="H4969">
        <v>0</v>
      </c>
      <c r="I4969" t="s">
        <v>18</v>
      </c>
      <c r="J4969" t="s">
        <v>31</v>
      </c>
      <c r="K4969" t="s">
        <v>38</v>
      </c>
      <c r="L4969">
        <v>8</v>
      </c>
      <c r="M4969">
        <v>1</v>
      </c>
      <c r="N4969">
        <v>1</v>
      </c>
      <c r="O4969" t="s">
        <v>27</v>
      </c>
      <c r="P4969" t="str">
        <f>TEXT(Table1[[#This Row],[order_date]],"yyyy-mm")</f>
        <v>2025-08</v>
      </c>
      <c r="Q4969">
        <f>WEEKNUM(Table1[[#This Row],[order_date]])</f>
        <v>35</v>
      </c>
      <c r="R4969">
        <f>IF(Table1[[#This Row],[order_status]]="completed",1,0)</f>
        <v>0</v>
      </c>
    </row>
    <row r="4970" spans="1:18" x14ac:dyDescent="0.35">
      <c r="A4970">
        <v>4969</v>
      </c>
      <c r="B4970" s="1">
        <v>45967</v>
      </c>
      <c r="C4970">
        <v>1607</v>
      </c>
      <c r="D4970" t="s">
        <v>22</v>
      </c>
      <c r="E4970" t="s">
        <v>16</v>
      </c>
      <c r="F4970" t="s">
        <v>24</v>
      </c>
      <c r="G4970">
        <v>4</v>
      </c>
      <c r="H4970">
        <v>17532</v>
      </c>
      <c r="I4970" t="s">
        <v>35</v>
      </c>
      <c r="J4970" t="s">
        <v>19</v>
      </c>
      <c r="K4970" t="s">
        <v>40</v>
      </c>
      <c r="L4970">
        <v>6</v>
      </c>
      <c r="M4970">
        <v>0</v>
      </c>
      <c r="N4970">
        <v>0</v>
      </c>
      <c r="O4970" t="s">
        <v>27</v>
      </c>
      <c r="P4970" t="str">
        <f>TEXT(Table1[[#This Row],[order_date]],"yyyy-mm")</f>
        <v>2025-11</v>
      </c>
      <c r="Q4970">
        <f>WEEKNUM(Table1[[#This Row],[order_date]])</f>
        <v>45</v>
      </c>
      <c r="R4970">
        <f>IF(Table1[[#This Row],[order_status]]="completed",1,0)</f>
        <v>1</v>
      </c>
    </row>
    <row r="4971" spans="1:18" x14ac:dyDescent="0.35">
      <c r="A4971">
        <v>4970</v>
      </c>
      <c r="B4971" s="1">
        <v>45916</v>
      </c>
      <c r="C4971">
        <v>1657</v>
      </c>
      <c r="D4971" t="s">
        <v>22</v>
      </c>
      <c r="E4971" t="s">
        <v>36</v>
      </c>
      <c r="F4971" t="s">
        <v>34</v>
      </c>
      <c r="G4971">
        <v>3</v>
      </c>
      <c r="H4971">
        <v>0</v>
      </c>
      <c r="I4971" t="s">
        <v>39</v>
      </c>
      <c r="J4971" t="s">
        <v>37</v>
      </c>
      <c r="K4971" t="s">
        <v>20</v>
      </c>
      <c r="L4971">
        <v>9</v>
      </c>
      <c r="M4971">
        <v>0</v>
      </c>
      <c r="N4971">
        <v>1</v>
      </c>
      <c r="O4971" t="s">
        <v>27</v>
      </c>
      <c r="P4971" t="str">
        <f>TEXT(Table1[[#This Row],[order_date]],"yyyy-mm")</f>
        <v>2025-09</v>
      </c>
      <c r="Q4971">
        <f>WEEKNUM(Table1[[#This Row],[order_date]])</f>
        <v>38</v>
      </c>
      <c r="R4971">
        <f>IF(Table1[[#This Row],[order_status]]="completed",1,0)</f>
        <v>0</v>
      </c>
    </row>
    <row r="4972" spans="1:18" x14ac:dyDescent="0.35">
      <c r="A4972">
        <v>4971</v>
      </c>
      <c r="B4972" s="1">
        <v>46017</v>
      </c>
      <c r="C4972">
        <v>1896</v>
      </c>
      <c r="D4972" t="s">
        <v>28</v>
      </c>
      <c r="E4972" t="s">
        <v>16</v>
      </c>
      <c r="F4972" t="s">
        <v>17</v>
      </c>
      <c r="G4972">
        <v>3</v>
      </c>
      <c r="H4972">
        <v>4083</v>
      </c>
      <c r="I4972" t="s">
        <v>35</v>
      </c>
      <c r="J4972" t="s">
        <v>19</v>
      </c>
      <c r="K4972" t="s">
        <v>38</v>
      </c>
      <c r="L4972">
        <v>8</v>
      </c>
      <c r="M4972">
        <v>0</v>
      </c>
      <c r="N4972">
        <v>1</v>
      </c>
      <c r="O4972" t="s">
        <v>21</v>
      </c>
      <c r="P4972" t="str">
        <f>TEXT(Table1[[#This Row],[order_date]],"yyyy-mm")</f>
        <v>2025-12</v>
      </c>
      <c r="Q4972">
        <f>WEEKNUM(Table1[[#This Row],[order_date]])</f>
        <v>52</v>
      </c>
      <c r="R4972">
        <f>IF(Table1[[#This Row],[order_status]]="completed",1,0)</f>
        <v>1</v>
      </c>
    </row>
    <row r="4973" spans="1:18" x14ac:dyDescent="0.35">
      <c r="A4973">
        <v>4972</v>
      </c>
      <c r="B4973" s="1">
        <v>45994</v>
      </c>
      <c r="C4973">
        <v>1535</v>
      </c>
      <c r="D4973" t="s">
        <v>15</v>
      </c>
      <c r="E4973" t="s">
        <v>33</v>
      </c>
      <c r="F4973" t="s">
        <v>34</v>
      </c>
      <c r="G4973">
        <v>5</v>
      </c>
      <c r="H4973">
        <v>0</v>
      </c>
      <c r="I4973" t="s">
        <v>39</v>
      </c>
      <c r="J4973" t="s">
        <v>37</v>
      </c>
      <c r="K4973" t="s">
        <v>26</v>
      </c>
      <c r="L4973">
        <v>1</v>
      </c>
      <c r="M4973">
        <v>0</v>
      </c>
      <c r="N4973">
        <v>1</v>
      </c>
      <c r="O4973" t="s">
        <v>27</v>
      </c>
      <c r="P4973" t="str">
        <f>TEXT(Table1[[#This Row],[order_date]],"yyyy-mm")</f>
        <v>2025-12</v>
      </c>
      <c r="Q4973">
        <f>WEEKNUM(Table1[[#This Row],[order_date]])</f>
        <v>49</v>
      </c>
      <c r="R4973">
        <f>IF(Table1[[#This Row],[order_status]]="completed",1,0)</f>
        <v>0</v>
      </c>
    </row>
    <row r="4974" spans="1:18" x14ac:dyDescent="0.35">
      <c r="A4974">
        <v>4973</v>
      </c>
      <c r="B4974" s="1">
        <v>45911</v>
      </c>
      <c r="C4974">
        <v>1903</v>
      </c>
      <c r="D4974" t="s">
        <v>41</v>
      </c>
      <c r="E4974" t="s">
        <v>16</v>
      </c>
      <c r="F4974" t="s">
        <v>30</v>
      </c>
      <c r="G4974">
        <v>4</v>
      </c>
      <c r="H4974">
        <v>0</v>
      </c>
      <c r="I4974" t="s">
        <v>25</v>
      </c>
      <c r="J4974" t="s">
        <v>37</v>
      </c>
      <c r="K4974" t="s">
        <v>26</v>
      </c>
      <c r="L4974">
        <v>2</v>
      </c>
      <c r="M4974">
        <v>0</v>
      </c>
      <c r="N4974">
        <v>0</v>
      </c>
      <c r="O4974" t="s">
        <v>27</v>
      </c>
      <c r="P4974" t="str">
        <f>TEXT(Table1[[#This Row],[order_date]],"yyyy-mm")</f>
        <v>2025-09</v>
      </c>
      <c r="Q4974">
        <f>WEEKNUM(Table1[[#This Row],[order_date]])</f>
        <v>37</v>
      </c>
      <c r="R4974">
        <f>IF(Table1[[#This Row],[order_status]]="completed",1,0)</f>
        <v>0</v>
      </c>
    </row>
    <row r="4975" spans="1:18" x14ac:dyDescent="0.35">
      <c r="A4975">
        <v>4974</v>
      </c>
      <c r="B4975" s="1">
        <v>45861</v>
      </c>
      <c r="C4975">
        <v>1683</v>
      </c>
      <c r="D4975" t="s">
        <v>41</v>
      </c>
      <c r="E4975" t="s">
        <v>23</v>
      </c>
      <c r="F4975" t="s">
        <v>30</v>
      </c>
      <c r="G4975">
        <v>2</v>
      </c>
      <c r="H4975">
        <v>0</v>
      </c>
      <c r="I4975" t="s">
        <v>18</v>
      </c>
      <c r="J4975" t="s">
        <v>37</v>
      </c>
      <c r="K4975" t="s">
        <v>38</v>
      </c>
      <c r="L4975">
        <v>2</v>
      </c>
      <c r="M4975">
        <v>0</v>
      </c>
      <c r="N4975">
        <v>0</v>
      </c>
      <c r="O4975" t="s">
        <v>21</v>
      </c>
      <c r="P4975" t="str">
        <f>TEXT(Table1[[#This Row],[order_date]],"yyyy-mm")</f>
        <v>2025-07</v>
      </c>
      <c r="Q4975">
        <f>WEEKNUM(Table1[[#This Row],[order_date]])</f>
        <v>30</v>
      </c>
      <c r="R4975">
        <f>IF(Table1[[#This Row],[order_status]]="completed",1,0)</f>
        <v>0</v>
      </c>
    </row>
    <row r="4976" spans="1:18" x14ac:dyDescent="0.35">
      <c r="A4976">
        <v>4975</v>
      </c>
      <c r="B4976" s="1">
        <v>45908</v>
      </c>
      <c r="C4976">
        <v>1851</v>
      </c>
      <c r="D4976" t="s">
        <v>15</v>
      </c>
      <c r="E4976" t="s">
        <v>23</v>
      </c>
      <c r="F4976" t="s">
        <v>30</v>
      </c>
      <c r="G4976">
        <v>1</v>
      </c>
      <c r="H4976">
        <v>0</v>
      </c>
      <c r="I4976" t="s">
        <v>35</v>
      </c>
      <c r="J4976" t="s">
        <v>37</v>
      </c>
      <c r="K4976" t="s">
        <v>38</v>
      </c>
      <c r="L4976">
        <v>6</v>
      </c>
      <c r="M4976">
        <v>0</v>
      </c>
      <c r="N4976">
        <v>1</v>
      </c>
      <c r="O4976" t="s">
        <v>21</v>
      </c>
      <c r="P4976" t="str">
        <f>TEXT(Table1[[#This Row],[order_date]],"yyyy-mm")</f>
        <v>2025-09</v>
      </c>
      <c r="Q4976">
        <f>WEEKNUM(Table1[[#This Row],[order_date]])</f>
        <v>37</v>
      </c>
      <c r="R4976">
        <f>IF(Table1[[#This Row],[order_status]]="completed",1,0)</f>
        <v>0</v>
      </c>
    </row>
    <row r="4977" spans="1:18" x14ac:dyDescent="0.35">
      <c r="A4977">
        <v>4976</v>
      </c>
      <c r="B4977" s="1">
        <v>45991</v>
      </c>
      <c r="C4977">
        <v>1753</v>
      </c>
      <c r="D4977" t="s">
        <v>41</v>
      </c>
      <c r="E4977" t="s">
        <v>36</v>
      </c>
      <c r="F4977" t="s">
        <v>24</v>
      </c>
      <c r="G4977">
        <v>2</v>
      </c>
      <c r="H4977">
        <v>0</v>
      </c>
      <c r="I4977" t="s">
        <v>25</v>
      </c>
      <c r="J4977" t="s">
        <v>31</v>
      </c>
      <c r="K4977" t="s">
        <v>20</v>
      </c>
      <c r="L4977">
        <v>4</v>
      </c>
      <c r="M4977">
        <v>1</v>
      </c>
      <c r="N4977">
        <v>1</v>
      </c>
      <c r="O4977" t="s">
        <v>27</v>
      </c>
      <c r="P4977" t="str">
        <f>TEXT(Table1[[#This Row],[order_date]],"yyyy-mm")</f>
        <v>2025-11</v>
      </c>
      <c r="Q4977">
        <f>WEEKNUM(Table1[[#This Row],[order_date]])</f>
        <v>49</v>
      </c>
      <c r="R4977">
        <f>IF(Table1[[#This Row],[order_status]]="completed",1,0)</f>
        <v>0</v>
      </c>
    </row>
    <row r="4978" spans="1:18" x14ac:dyDescent="0.35">
      <c r="A4978">
        <v>4977</v>
      </c>
      <c r="B4978" s="1">
        <v>45930</v>
      </c>
      <c r="C4978">
        <v>1459</v>
      </c>
      <c r="D4978" t="s">
        <v>22</v>
      </c>
      <c r="E4978" t="s">
        <v>16</v>
      </c>
      <c r="F4978" t="s">
        <v>24</v>
      </c>
      <c r="G4978">
        <v>3</v>
      </c>
      <c r="H4978">
        <v>6363</v>
      </c>
      <c r="I4978" t="s">
        <v>25</v>
      </c>
      <c r="J4978" t="s">
        <v>19</v>
      </c>
      <c r="K4978" t="s">
        <v>40</v>
      </c>
      <c r="L4978">
        <v>6</v>
      </c>
      <c r="M4978">
        <v>1</v>
      </c>
      <c r="N4978">
        <v>1</v>
      </c>
      <c r="O4978" t="s">
        <v>21</v>
      </c>
      <c r="P4978" t="str">
        <f>TEXT(Table1[[#This Row],[order_date]],"yyyy-mm")</f>
        <v>2025-09</v>
      </c>
      <c r="Q4978">
        <f>WEEKNUM(Table1[[#This Row],[order_date]])</f>
        <v>40</v>
      </c>
      <c r="R4978">
        <f>IF(Table1[[#This Row],[order_status]]="completed",1,0)</f>
        <v>1</v>
      </c>
    </row>
    <row r="4979" spans="1:18" x14ac:dyDescent="0.35">
      <c r="A4979">
        <v>4978</v>
      </c>
      <c r="B4979" s="1">
        <v>45948</v>
      </c>
      <c r="C4979">
        <v>1216</v>
      </c>
      <c r="D4979" t="s">
        <v>41</v>
      </c>
      <c r="E4979" t="s">
        <v>36</v>
      </c>
      <c r="F4979" t="s">
        <v>30</v>
      </c>
      <c r="G4979">
        <v>5</v>
      </c>
      <c r="H4979">
        <v>0</v>
      </c>
      <c r="I4979" t="s">
        <v>25</v>
      </c>
      <c r="J4979" t="s">
        <v>37</v>
      </c>
      <c r="K4979" t="s">
        <v>40</v>
      </c>
      <c r="L4979">
        <v>5</v>
      </c>
      <c r="M4979">
        <v>0</v>
      </c>
      <c r="N4979">
        <v>1</v>
      </c>
      <c r="O4979" t="s">
        <v>21</v>
      </c>
      <c r="P4979" t="str">
        <f>TEXT(Table1[[#This Row],[order_date]],"yyyy-mm")</f>
        <v>2025-10</v>
      </c>
      <c r="Q4979">
        <f>WEEKNUM(Table1[[#This Row],[order_date]])</f>
        <v>42</v>
      </c>
      <c r="R4979">
        <f>IF(Table1[[#This Row],[order_status]]="completed",1,0)</f>
        <v>0</v>
      </c>
    </row>
    <row r="4980" spans="1:18" x14ac:dyDescent="0.35">
      <c r="A4980">
        <v>4979</v>
      </c>
      <c r="B4980" s="1">
        <v>45884</v>
      </c>
      <c r="C4980">
        <v>1598</v>
      </c>
      <c r="D4980" t="s">
        <v>32</v>
      </c>
      <c r="E4980" t="s">
        <v>33</v>
      </c>
      <c r="F4980" t="s">
        <v>30</v>
      </c>
      <c r="G4980">
        <v>4</v>
      </c>
      <c r="H4980">
        <v>18180</v>
      </c>
      <c r="I4980" t="s">
        <v>25</v>
      </c>
      <c r="J4980" t="s">
        <v>19</v>
      </c>
      <c r="K4980" t="s">
        <v>26</v>
      </c>
      <c r="L4980">
        <v>2</v>
      </c>
      <c r="M4980">
        <v>0</v>
      </c>
      <c r="N4980">
        <v>0</v>
      </c>
      <c r="O4980" t="s">
        <v>27</v>
      </c>
      <c r="P4980" t="str">
        <f>TEXT(Table1[[#This Row],[order_date]],"yyyy-mm")</f>
        <v>2025-08</v>
      </c>
      <c r="Q4980">
        <f>WEEKNUM(Table1[[#This Row],[order_date]])</f>
        <v>33</v>
      </c>
      <c r="R4980">
        <f>IF(Table1[[#This Row],[order_status]]="completed",1,0)</f>
        <v>1</v>
      </c>
    </row>
    <row r="4981" spans="1:18" x14ac:dyDescent="0.35">
      <c r="A4981">
        <v>4980</v>
      </c>
      <c r="B4981" s="1">
        <v>45957</v>
      </c>
      <c r="C4981">
        <v>1473</v>
      </c>
      <c r="D4981" t="s">
        <v>22</v>
      </c>
      <c r="E4981" t="s">
        <v>33</v>
      </c>
      <c r="F4981" t="s">
        <v>34</v>
      </c>
      <c r="G4981">
        <v>2</v>
      </c>
      <c r="H4981">
        <v>5820</v>
      </c>
      <c r="I4981" t="s">
        <v>25</v>
      </c>
      <c r="J4981" t="s">
        <v>19</v>
      </c>
      <c r="K4981" t="s">
        <v>38</v>
      </c>
      <c r="L4981">
        <v>2</v>
      </c>
      <c r="M4981">
        <v>1</v>
      </c>
      <c r="N4981">
        <v>1</v>
      </c>
      <c r="O4981" t="s">
        <v>21</v>
      </c>
      <c r="P4981" t="str">
        <f>TEXT(Table1[[#This Row],[order_date]],"yyyy-mm")</f>
        <v>2025-10</v>
      </c>
      <c r="Q4981">
        <f>WEEKNUM(Table1[[#This Row],[order_date]])</f>
        <v>44</v>
      </c>
      <c r="R4981">
        <f>IF(Table1[[#This Row],[order_status]]="completed",1,0)</f>
        <v>1</v>
      </c>
    </row>
    <row r="4982" spans="1:18" x14ac:dyDescent="0.35">
      <c r="A4982">
        <v>4981</v>
      </c>
      <c r="B4982" s="1">
        <v>45854</v>
      </c>
      <c r="C4982">
        <v>1725</v>
      </c>
      <c r="D4982" t="s">
        <v>32</v>
      </c>
      <c r="E4982" t="s">
        <v>23</v>
      </c>
      <c r="F4982" t="s">
        <v>34</v>
      </c>
      <c r="G4982">
        <v>5</v>
      </c>
      <c r="H4982">
        <v>12605</v>
      </c>
      <c r="I4982" t="s">
        <v>18</v>
      </c>
      <c r="J4982" t="s">
        <v>19</v>
      </c>
      <c r="K4982" t="s">
        <v>20</v>
      </c>
      <c r="L4982">
        <v>9</v>
      </c>
      <c r="M4982">
        <v>0</v>
      </c>
      <c r="N4982">
        <v>0</v>
      </c>
      <c r="O4982" t="s">
        <v>21</v>
      </c>
      <c r="P4982" t="str">
        <f>TEXT(Table1[[#This Row],[order_date]],"yyyy-mm")</f>
        <v>2025-07</v>
      </c>
      <c r="Q4982">
        <f>WEEKNUM(Table1[[#This Row],[order_date]])</f>
        <v>29</v>
      </c>
      <c r="R4982">
        <f>IF(Table1[[#This Row],[order_status]]="completed",1,0)</f>
        <v>1</v>
      </c>
    </row>
    <row r="4983" spans="1:18" x14ac:dyDescent="0.35">
      <c r="A4983">
        <v>4982</v>
      </c>
      <c r="B4983" s="1">
        <v>45933</v>
      </c>
      <c r="C4983">
        <v>1211</v>
      </c>
      <c r="D4983" t="s">
        <v>41</v>
      </c>
      <c r="E4983" t="s">
        <v>23</v>
      </c>
      <c r="F4983" t="s">
        <v>17</v>
      </c>
      <c r="G4983">
        <v>3</v>
      </c>
      <c r="H4983">
        <v>0</v>
      </c>
      <c r="I4983" t="s">
        <v>18</v>
      </c>
      <c r="J4983" t="s">
        <v>37</v>
      </c>
      <c r="K4983" t="s">
        <v>26</v>
      </c>
      <c r="L4983">
        <v>9</v>
      </c>
      <c r="M4983">
        <v>1</v>
      </c>
      <c r="N4983">
        <v>1</v>
      </c>
      <c r="O4983" t="s">
        <v>21</v>
      </c>
      <c r="P4983" t="str">
        <f>TEXT(Table1[[#This Row],[order_date]],"yyyy-mm")</f>
        <v>2025-10</v>
      </c>
      <c r="Q4983">
        <f>WEEKNUM(Table1[[#This Row],[order_date]])</f>
        <v>40</v>
      </c>
      <c r="R4983">
        <f>IF(Table1[[#This Row],[order_status]]="completed",1,0)</f>
        <v>0</v>
      </c>
    </row>
    <row r="4984" spans="1:18" x14ac:dyDescent="0.35">
      <c r="A4984">
        <v>4983</v>
      </c>
      <c r="B4984" s="1">
        <v>45868</v>
      </c>
      <c r="C4984">
        <v>1044</v>
      </c>
      <c r="D4984" t="s">
        <v>41</v>
      </c>
      <c r="E4984" t="s">
        <v>33</v>
      </c>
      <c r="F4984" t="s">
        <v>24</v>
      </c>
      <c r="G4984">
        <v>5</v>
      </c>
      <c r="H4984">
        <v>0</v>
      </c>
      <c r="I4984" t="s">
        <v>35</v>
      </c>
      <c r="J4984" t="s">
        <v>31</v>
      </c>
      <c r="K4984" t="s">
        <v>38</v>
      </c>
      <c r="L4984">
        <v>1</v>
      </c>
      <c r="M4984">
        <v>1</v>
      </c>
      <c r="N4984">
        <v>0</v>
      </c>
      <c r="O4984" t="s">
        <v>27</v>
      </c>
      <c r="P4984" t="str">
        <f>TEXT(Table1[[#This Row],[order_date]],"yyyy-mm")</f>
        <v>2025-07</v>
      </c>
      <c r="Q4984">
        <f>WEEKNUM(Table1[[#This Row],[order_date]])</f>
        <v>31</v>
      </c>
      <c r="R4984">
        <f>IF(Table1[[#This Row],[order_status]]="completed",1,0)</f>
        <v>0</v>
      </c>
    </row>
    <row r="4985" spans="1:18" x14ac:dyDescent="0.35">
      <c r="A4985">
        <v>4984</v>
      </c>
      <c r="B4985" s="1">
        <v>45853</v>
      </c>
      <c r="C4985">
        <v>1090</v>
      </c>
      <c r="D4985" t="s">
        <v>32</v>
      </c>
      <c r="E4985" t="s">
        <v>36</v>
      </c>
      <c r="F4985" t="s">
        <v>34</v>
      </c>
      <c r="G4985">
        <v>1</v>
      </c>
      <c r="H4985">
        <v>2845</v>
      </c>
      <c r="I4985" t="s">
        <v>25</v>
      </c>
      <c r="J4985" t="s">
        <v>19</v>
      </c>
      <c r="K4985" t="s">
        <v>40</v>
      </c>
      <c r="L4985">
        <v>6</v>
      </c>
      <c r="M4985">
        <v>0</v>
      </c>
      <c r="N4985">
        <v>0</v>
      </c>
      <c r="O4985" t="s">
        <v>21</v>
      </c>
      <c r="P4985" t="str">
        <f>TEXT(Table1[[#This Row],[order_date]],"yyyy-mm")</f>
        <v>2025-07</v>
      </c>
      <c r="Q4985">
        <f>WEEKNUM(Table1[[#This Row],[order_date]])</f>
        <v>29</v>
      </c>
      <c r="R4985">
        <f>IF(Table1[[#This Row],[order_status]]="completed",1,0)</f>
        <v>1</v>
      </c>
    </row>
    <row r="4986" spans="1:18" x14ac:dyDescent="0.35">
      <c r="A4986">
        <v>4985</v>
      </c>
      <c r="B4986" s="1">
        <v>45946</v>
      </c>
      <c r="C4986">
        <v>1124</v>
      </c>
      <c r="D4986" t="s">
        <v>22</v>
      </c>
      <c r="E4986" t="s">
        <v>33</v>
      </c>
      <c r="F4986" t="s">
        <v>30</v>
      </c>
      <c r="G4986">
        <v>1</v>
      </c>
      <c r="H4986">
        <v>0</v>
      </c>
      <c r="I4986" t="s">
        <v>18</v>
      </c>
      <c r="J4986" t="s">
        <v>37</v>
      </c>
      <c r="K4986" t="s">
        <v>20</v>
      </c>
      <c r="L4986">
        <v>2</v>
      </c>
      <c r="M4986">
        <v>1</v>
      </c>
      <c r="N4986">
        <v>1</v>
      </c>
      <c r="O4986" t="s">
        <v>21</v>
      </c>
      <c r="P4986" t="str">
        <f>TEXT(Table1[[#This Row],[order_date]],"yyyy-mm")</f>
        <v>2025-10</v>
      </c>
      <c r="Q4986">
        <f>WEEKNUM(Table1[[#This Row],[order_date]])</f>
        <v>42</v>
      </c>
      <c r="R4986">
        <f>IF(Table1[[#This Row],[order_status]]="completed",1,0)</f>
        <v>0</v>
      </c>
    </row>
    <row r="4987" spans="1:18" x14ac:dyDescent="0.35">
      <c r="A4987">
        <v>4986</v>
      </c>
      <c r="B4987" s="1">
        <v>45875</v>
      </c>
      <c r="C4987">
        <v>1612</v>
      </c>
      <c r="D4987" t="s">
        <v>22</v>
      </c>
      <c r="E4987" t="s">
        <v>16</v>
      </c>
      <c r="F4987" t="s">
        <v>30</v>
      </c>
      <c r="G4987">
        <v>2</v>
      </c>
      <c r="H4987">
        <v>0</v>
      </c>
      <c r="I4987" t="s">
        <v>35</v>
      </c>
      <c r="J4987" t="s">
        <v>31</v>
      </c>
      <c r="K4987" t="s">
        <v>26</v>
      </c>
      <c r="L4987">
        <v>7</v>
      </c>
      <c r="M4987">
        <v>1</v>
      </c>
      <c r="N4987">
        <v>0</v>
      </c>
      <c r="O4987" t="s">
        <v>27</v>
      </c>
      <c r="P4987" t="str">
        <f>TEXT(Table1[[#This Row],[order_date]],"yyyy-mm")</f>
        <v>2025-08</v>
      </c>
      <c r="Q4987">
        <f>WEEKNUM(Table1[[#This Row],[order_date]])</f>
        <v>32</v>
      </c>
      <c r="R4987">
        <f>IF(Table1[[#This Row],[order_status]]="completed",1,0)</f>
        <v>0</v>
      </c>
    </row>
    <row r="4988" spans="1:18" x14ac:dyDescent="0.35">
      <c r="A4988">
        <v>4987</v>
      </c>
      <c r="B4988" s="1">
        <v>45941</v>
      </c>
      <c r="C4988">
        <v>1284</v>
      </c>
      <c r="D4988" t="s">
        <v>22</v>
      </c>
      <c r="E4988" t="s">
        <v>36</v>
      </c>
      <c r="F4988" t="s">
        <v>34</v>
      </c>
      <c r="G4988">
        <v>1</v>
      </c>
      <c r="H4988">
        <v>3770</v>
      </c>
      <c r="I4988" t="s">
        <v>39</v>
      </c>
      <c r="J4988" t="s">
        <v>19</v>
      </c>
      <c r="K4988" t="s">
        <v>38</v>
      </c>
      <c r="L4988">
        <v>1</v>
      </c>
      <c r="M4988">
        <v>0</v>
      </c>
      <c r="N4988">
        <v>0</v>
      </c>
      <c r="O4988" t="s">
        <v>27</v>
      </c>
      <c r="P4988" t="str">
        <f>TEXT(Table1[[#This Row],[order_date]],"yyyy-mm")</f>
        <v>2025-10</v>
      </c>
      <c r="Q4988">
        <f>WEEKNUM(Table1[[#This Row],[order_date]])</f>
        <v>41</v>
      </c>
      <c r="R4988">
        <f>IF(Table1[[#This Row],[order_status]]="completed",1,0)</f>
        <v>1</v>
      </c>
    </row>
    <row r="4989" spans="1:18" x14ac:dyDescent="0.35">
      <c r="A4989">
        <v>4988</v>
      </c>
      <c r="B4989" s="1">
        <v>45888</v>
      </c>
      <c r="C4989">
        <v>1197</v>
      </c>
      <c r="D4989" t="s">
        <v>15</v>
      </c>
      <c r="E4989" t="s">
        <v>23</v>
      </c>
      <c r="F4989" t="s">
        <v>24</v>
      </c>
      <c r="G4989">
        <v>3</v>
      </c>
      <c r="H4989">
        <v>12990</v>
      </c>
      <c r="I4989" t="s">
        <v>35</v>
      </c>
      <c r="J4989" t="s">
        <v>19</v>
      </c>
      <c r="K4989" t="s">
        <v>20</v>
      </c>
      <c r="L4989">
        <v>6</v>
      </c>
      <c r="M4989">
        <v>0</v>
      </c>
      <c r="N4989">
        <v>1</v>
      </c>
      <c r="O4989" t="s">
        <v>27</v>
      </c>
      <c r="P4989" t="str">
        <f>TEXT(Table1[[#This Row],[order_date]],"yyyy-mm")</f>
        <v>2025-08</v>
      </c>
      <c r="Q4989">
        <f>WEEKNUM(Table1[[#This Row],[order_date]])</f>
        <v>34</v>
      </c>
      <c r="R4989">
        <f>IF(Table1[[#This Row],[order_status]]="completed",1,0)</f>
        <v>1</v>
      </c>
    </row>
    <row r="4990" spans="1:18" x14ac:dyDescent="0.35">
      <c r="A4990">
        <v>4989</v>
      </c>
      <c r="B4990" s="1">
        <v>45946</v>
      </c>
      <c r="C4990">
        <v>1293</v>
      </c>
      <c r="D4990" t="s">
        <v>41</v>
      </c>
      <c r="E4990" t="s">
        <v>36</v>
      </c>
      <c r="F4990" t="s">
        <v>30</v>
      </c>
      <c r="G4990">
        <v>3</v>
      </c>
      <c r="H4990">
        <v>0</v>
      </c>
      <c r="I4990" t="s">
        <v>25</v>
      </c>
      <c r="J4990" t="s">
        <v>37</v>
      </c>
      <c r="K4990" t="s">
        <v>38</v>
      </c>
      <c r="L4990">
        <v>8</v>
      </c>
      <c r="M4990">
        <v>1</v>
      </c>
      <c r="N4990">
        <v>1</v>
      </c>
      <c r="O4990" t="s">
        <v>27</v>
      </c>
      <c r="P4990" t="str">
        <f>TEXT(Table1[[#This Row],[order_date]],"yyyy-mm")</f>
        <v>2025-10</v>
      </c>
      <c r="Q4990">
        <f>WEEKNUM(Table1[[#This Row],[order_date]])</f>
        <v>42</v>
      </c>
      <c r="R4990">
        <f>IF(Table1[[#This Row],[order_status]]="completed",1,0)</f>
        <v>0</v>
      </c>
    </row>
    <row r="4991" spans="1:18" x14ac:dyDescent="0.35">
      <c r="A4991">
        <v>4990</v>
      </c>
      <c r="B4991" s="1">
        <v>46027</v>
      </c>
      <c r="C4991">
        <v>1782</v>
      </c>
      <c r="D4991" t="s">
        <v>32</v>
      </c>
      <c r="E4991" t="s">
        <v>23</v>
      </c>
      <c r="F4991" t="s">
        <v>30</v>
      </c>
      <c r="G4991">
        <v>4</v>
      </c>
      <c r="H4991">
        <v>8424</v>
      </c>
      <c r="I4991" t="s">
        <v>25</v>
      </c>
      <c r="J4991" t="s">
        <v>19</v>
      </c>
      <c r="K4991" t="s">
        <v>20</v>
      </c>
      <c r="L4991">
        <v>6</v>
      </c>
      <c r="M4991">
        <v>1</v>
      </c>
      <c r="N4991">
        <v>1</v>
      </c>
      <c r="O4991" t="s">
        <v>21</v>
      </c>
      <c r="P4991" t="str">
        <f>TEXT(Table1[[#This Row],[order_date]],"yyyy-mm")</f>
        <v>2026-01</v>
      </c>
      <c r="Q4991">
        <f>WEEKNUM(Table1[[#This Row],[order_date]])</f>
        <v>2</v>
      </c>
      <c r="R4991">
        <f>IF(Table1[[#This Row],[order_status]]="completed",1,0)</f>
        <v>1</v>
      </c>
    </row>
    <row r="4992" spans="1:18" x14ac:dyDescent="0.35">
      <c r="A4992">
        <v>4991</v>
      </c>
      <c r="B4992" s="1">
        <v>46014</v>
      </c>
      <c r="C4992">
        <v>1308</v>
      </c>
      <c r="D4992" t="s">
        <v>15</v>
      </c>
      <c r="E4992" t="s">
        <v>29</v>
      </c>
      <c r="F4992" t="s">
        <v>17</v>
      </c>
      <c r="G4992">
        <v>3</v>
      </c>
      <c r="H4992">
        <v>0</v>
      </c>
      <c r="I4992" t="s">
        <v>18</v>
      </c>
      <c r="J4992" t="s">
        <v>37</v>
      </c>
      <c r="K4992" t="s">
        <v>38</v>
      </c>
      <c r="L4992">
        <v>10</v>
      </c>
      <c r="M4992">
        <v>0</v>
      </c>
      <c r="N4992">
        <v>1</v>
      </c>
      <c r="O4992" t="s">
        <v>27</v>
      </c>
      <c r="P4992" t="str">
        <f>TEXT(Table1[[#This Row],[order_date]],"yyyy-mm")</f>
        <v>2025-12</v>
      </c>
      <c r="Q4992">
        <f>WEEKNUM(Table1[[#This Row],[order_date]])</f>
        <v>52</v>
      </c>
      <c r="R4992">
        <f>IF(Table1[[#This Row],[order_status]]="completed",1,0)</f>
        <v>0</v>
      </c>
    </row>
    <row r="4993" spans="1:18" x14ac:dyDescent="0.35">
      <c r="A4993">
        <v>4992</v>
      </c>
      <c r="B4993" s="1">
        <v>45996</v>
      </c>
      <c r="C4993">
        <v>1682</v>
      </c>
      <c r="D4993" t="s">
        <v>15</v>
      </c>
      <c r="E4993" t="s">
        <v>16</v>
      </c>
      <c r="F4993" t="s">
        <v>30</v>
      </c>
      <c r="G4993">
        <v>3</v>
      </c>
      <c r="H4993">
        <v>0</v>
      </c>
      <c r="I4993" t="s">
        <v>39</v>
      </c>
      <c r="J4993" t="s">
        <v>31</v>
      </c>
      <c r="K4993" t="s">
        <v>20</v>
      </c>
      <c r="L4993">
        <v>1</v>
      </c>
      <c r="M4993">
        <v>1</v>
      </c>
      <c r="N4993">
        <v>1</v>
      </c>
      <c r="O4993" t="s">
        <v>21</v>
      </c>
      <c r="P4993" t="str">
        <f>TEXT(Table1[[#This Row],[order_date]],"yyyy-mm")</f>
        <v>2025-12</v>
      </c>
      <c r="Q4993">
        <f>WEEKNUM(Table1[[#This Row],[order_date]])</f>
        <v>49</v>
      </c>
      <c r="R4993">
        <f>IF(Table1[[#This Row],[order_status]]="completed",1,0)</f>
        <v>0</v>
      </c>
    </row>
    <row r="4994" spans="1:18" x14ac:dyDescent="0.35">
      <c r="A4994">
        <v>4993</v>
      </c>
      <c r="B4994" s="1">
        <v>46028</v>
      </c>
      <c r="C4994">
        <v>1492</v>
      </c>
      <c r="D4994" t="s">
        <v>32</v>
      </c>
      <c r="E4994" t="s">
        <v>36</v>
      </c>
      <c r="F4994" t="s">
        <v>17</v>
      </c>
      <c r="G4994">
        <v>4</v>
      </c>
      <c r="H4994">
        <v>0</v>
      </c>
      <c r="I4994" t="s">
        <v>39</v>
      </c>
      <c r="J4994" t="s">
        <v>31</v>
      </c>
      <c r="K4994" t="s">
        <v>20</v>
      </c>
      <c r="L4994">
        <v>8</v>
      </c>
      <c r="M4994">
        <v>1</v>
      </c>
      <c r="N4994">
        <v>1</v>
      </c>
      <c r="O4994" t="s">
        <v>27</v>
      </c>
      <c r="P4994" t="str">
        <f>TEXT(Table1[[#This Row],[order_date]],"yyyy-mm")</f>
        <v>2026-01</v>
      </c>
      <c r="Q4994">
        <f>WEEKNUM(Table1[[#This Row],[order_date]])</f>
        <v>2</v>
      </c>
      <c r="R4994">
        <f>IF(Table1[[#This Row],[order_status]]="completed",1,0)</f>
        <v>0</v>
      </c>
    </row>
    <row r="4995" spans="1:18" x14ac:dyDescent="0.35">
      <c r="A4995">
        <v>4994</v>
      </c>
      <c r="B4995" s="1">
        <v>45995</v>
      </c>
      <c r="C4995">
        <v>1637</v>
      </c>
      <c r="D4995" t="s">
        <v>41</v>
      </c>
      <c r="E4995" t="s">
        <v>36</v>
      </c>
      <c r="F4995" t="s">
        <v>17</v>
      </c>
      <c r="G4995">
        <v>1</v>
      </c>
      <c r="H4995">
        <v>0</v>
      </c>
      <c r="I4995" t="s">
        <v>39</v>
      </c>
      <c r="J4995" t="s">
        <v>31</v>
      </c>
      <c r="K4995" t="s">
        <v>38</v>
      </c>
      <c r="L4995">
        <v>8</v>
      </c>
      <c r="M4995">
        <v>0</v>
      </c>
      <c r="N4995">
        <v>1</v>
      </c>
      <c r="O4995" t="s">
        <v>27</v>
      </c>
      <c r="P4995" t="str">
        <f>TEXT(Table1[[#This Row],[order_date]],"yyyy-mm")</f>
        <v>2025-12</v>
      </c>
      <c r="Q4995">
        <f>WEEKNUM(Table1[[#This Row],[order_date]])</f>
        <v>49</v>
      </c>
      <c r="R4995">
        <f>IF(Table1[[#This Row],[order_status]]="completed",1,0)</f>
        <v>0</v>
      </c>
    </row>
    <row r="4996" spans="1:18" x14ac:dyDescent="0.35">
      <c r="A4996">
        <v>4995</v>
      </c>
      <c r="B4996" s="1">
        <v>46025</v>
      </c>
      <c r="C4996">
        <v>1589</v>
      </c>
      <c r="D4996" t="s">
        <v>15</v>
      </c>
      <c r="E4996" t="s">
        <v>16</v>
      </c>
      <c r="F4996" t="s">
        <v>17</v>
      </c>
      <c r="G4996">
        <v>4</v>
      </c>
      <c r="H4996">
        <v>0</v>
      </c>
      <c r="I4996" t="s">
        <v>18</v>
      </c>
      <c r="J4996" t="s">
        <v>31</v>
      </c>
      <c r="K4996" t="s">
        <v>26</v>
      </c>
      <c r="L4996">
        <v>1</v>
      </c>
      <c r="M4996">
        <v>1</v>
      </c>
      <c r="N4996">
        <v>0</v>
      </c>
      <c r="O4996" t="s">
        <v>21</v>
      </c>
      <c r="P4996" t="str">
        <f>TEXT(Table1[[#This Row],[order_date]],"yyyy-mm")</f>
        <v>2026-01</v>
      </c>
      <c r="Q4996">
        <f>WEEKNUM(Table1[[#This Row],[order_date]])</f>
        <v>1</v>
      </c>
      <c r="R4996">
        <f>IF(Table1[[#This Row],[order_status]]="completed",1,0)</f>
        <v>0</v>
      </c>
    </row>
    <row r="4997" spans="1:18" x14ac:dyDescent="0.35">
      <c r="A4997">
        <v>4996</v>
      </c>
      <c r="B4997" s="1">
        <v>46003</v>
      </c>
      <c r="C4997">
        <v>1951</v>
      </c>
      <c r="D4997" t="s">
        <v>15</v>
      </c>
      <c r="E4997" t="s">
        <v>36</v>
      </c>
      <c r="F4997" t="s">
        <v>34</v>
      </c>
      <c r="G4997">
        <v>5</v>
      </c>
      <c r="H4997">
        <v>0</v>
      </c>
      <c r="I4997" t="s">
        <v>35</v>
      </c>
      <c r="J4997" t="s">
        <v>31</v>
      </c>
      <c r="K4997" t="s">
        <v>26</v>
      </c>
      <c r="L4997">
        <v>8</v>
      </c>
      <c r="M4997">
        <v>1</v>
      </c>
      <c r="N4997">
        <v>0</v>
      </c>
      <c r="O4997" t="s">
        <v>27</v>
      </c>
      <c r="P4997" t="str">
        <f>TEXT(Table1[[#This Row],[order_date]],"yyyy-mm")</f>
        <v>2025-12</v>
      </c>
      <c r="Q4997">
        <f>WEEKNUM(Table1[[#This Row],[order_date]])</f>
        <v>50</v>
      </c>
      <c r="R4997">
        <f>IF(Table1[[#This Row],[order_status]]="completed",1,0)</f>
        <v>0</v>
      </c>
    </row>
    <row r="4998" spans="1:18" x14ac:dyDescent="0.35">
      <c r="A4998">
        <v>4997</v>
      </c>
      <c r="B4998" s="1">
        <v>45918</v>
      </c>
      <c r="C4998">
        <v>1767</v>
      </c>
      <c r="D4998" t="s">
        <v>41</v>
      </c>
      <c r="E4998" t="s">
        <v>33</v>
      </c>
      <c r="F4998" t="s">
        <v>17</v>
      </c>
      <c r="G4998">
        <v>3</v>
      </c>
      <c r="H4998">
        <v>0</v>
      </c>
      <c r="I4998" t="s">
        <v>18</v>
      </c>
      <c r="J4998" t="s">
        <v>31</v>
      </c>
      <c r="K4998" t="s">
        <v>26</v>
      </c>
      <c r="L4998">
        <v>7</v>
      </c>
      <c r="M4998">
        <v>0</v>
      </c>
      <c r="N4998">
        <v>1</v>
      </c>
      <c r="O4998" t="s">
        <v>21</v>
      </c>
      <c r="P4998" t="str">
        <f>TEXT(Table1[[#This Row],[order_date]],"yyyy-mm")</f>
        <v>2025-09</v>
      </c>
      <c r="Q4998">
        <f>WEEKNUM(Table1[[#This Row],[order_date]])</f>
        <v>38</v>
      </c>
      <c r="R4998">
        <f>IF(Table1[[#This Row],[order_status]]="completed",1,0)</f>
        <v>0</v>
      </c>
    </row>
    <row r="4999" spans="1:18" x14ac:dyDescent="0.35">
      <c r="A4999">
        <v>4998</v>
      </c>
      <c r="B4999" s="1">
        <v>45867</v>
      </c>
      <c r="C4999">
        <v>1700</v>
      </c>
      <c r="D4999" t="s">
        <v>22</v>
      </c>
      <c r="E4999" t="s">
        <v>23</v>
      </c>
      <c r="F4999" t="s">
        <v>34</v>
      </c>
      <c r="G4999">
        <v>3</v>
      </c>
      <c r="H4999">
        <v>0</v>
      </c>
      <c r="I4999" t="s">
        <v>18</v>
      </c>
      <c r="J4999" t="s">
        <v>31</v>
      </c>
      <c r="K4999" t="s">
        <v>38</v>
      </c>
      <c r="L4999">
        <v>1</v>
      </c>
      <c r="M4999">
        <v>1</v>
      </c>
      <c r="N4999">
        <v>1</v>
      </c>
      <c r="O4999" t="s">
        <v>27</v>
      </c>
      <c r="P4999" t="str">
        <f>TEXT(Table1[[#This Row],[order_date]],"yyyy-mm")</f>
        <v>2025-07</v>
      </c>
      <c r="Q4999">
        <f>WEEKNUM(Table1[[#This Row],[order_date]])</f>
        <v>31</v>
      </c>
      <c r="R4999">
        <f>IF(Table1[[#This Row],[order_status]]="completed",1,0)</f>
        <v>0</v>
      </c>
    </row>
    <row r="5000" spans="1:18" x14ac:dyDescent="0.35">
      <c r="A5000">
        <v>4999</v>
      </c>
      <c r="B5000" s="1">
        <v>45987</v>
      </c>
      <c r="C5000">
        <v>1624</v>
      </c>
      <c r="D5000" t="s">
        <v>41</v>
      </c>
      <c r="E5000" t="s">
        <v>23</v>
      </c>
      <c r="F5000" t="s">
        <v>24</v>
      </c>
      <c r="G5000">
        <v>3</v>
      </c>
      <c r="H5000">
        <v>2883</v>
      </c>
      <c r="I5000" t="s">
        <v>18</v>
      </c>
      <c r="J5000" t="s">
        <v>19</v>
      </c>
      <c r="K5000" t="s">
        <v>38</v>
      </c>
      <c r="L5000">
        <v>7</v>
      </c>
      <c r="M5000">
        <v>1</v>
      </c>
      <c r="N5000">
        <v>1</v>
      </c>
      <c r="O5000" t="s">
        <v>21</v>
      </c>
      <c r="P5000" t="str">
        <f>TEXT(Table1[[#This Row],[order_date]],"yyyy-mm")</f>
        <v>2025-11</v>
      </c>
      <c r="Q5000">
        <f>WEEKNUM(Table1[[#This Row],[order_date]])</f>
        <v>48</v>
      </c>
      <c r="R5000">
        <f>IF(Table1[[#This Row],[order_status]]="completed",1,0)</f>
        <v>1</v>
      </c>
    </row>
    <row r="5001" spans="1:18" x14ac:dyDescent="0.35">
      <c r="A5001">
        <v>5000</v>
      </c>
      <c r="B5001" s="1">
        <v>45903</v>
      </c>
      <c r="C5001">
        <v>1897</v>
      </c>
      <c r="D5001" t="s">
        <v>28</v>
      </c>
      <c r="E5001" t="s">
        <v>36</v>
      </c>
      <c r="F5001" t="s">
        <v>24</v>
      </c>
      <c r="G5001">
        <v>1</v>
      </c>
      <c r="H5001">
        <v>0</v>
      </c>
      <c r="I5001" t="s">
        <v>18</v>
      </c>
      <c r="J5001" t="s">
        <v>37</v>
      </c>
      <c r="K5001" t="s">
        <v>38</v>
      </c>
      <c r="L5001">
        <v>10</v>
      </c>
      <c r="M5001">
        <v>1</v>
      </c>
      <c r="N5001">
        <v>0</v>
      </c>
      <c r="O5001" t="s">
        <v>21</v>
      </c>
      <c r="P5001" t="str">
        <f>TEXT(Table1[[#This Row],[order_date]],"yyyy-mm")</f>
        <v>2025-09</v>
      </c>
      <c r="Q5001">
        <f>WEEKNUM(Table1[[#This Row],[order_date]])</f>
        <v>36</v>
      </c>
      <c r="R5001">
        <f>IF(Table1[[#This Row],[order_status]]="completed",1,0)</f>
        <v>0</v>
      </c>
    </row>
  </sheetData>
  <pageMargins left="0.75" right="0.75" top="1" bottom="1" header="0.5" footer="0.5"/>
  <tableParts count="1">
    <tablePart r:id="rId1"/>
  </tablePart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25F5F49-3A03-4545-A9B7-EACF6EB5FCD7}">
  <dimension ref="A1:G70"/>
  <sheetViews>
    <sheetView topLeftCell="A46" workbookViewId="0">
      <selection activeCell="C53" sqref="C53"/>
    </sheetView>
  </sheetViews>
  <sheetFormatPr defaultRowHeight="14.5" x14ac:dyDescent="0.35"/>
  <cols>
    <col min="1" max="1" width="11.08984375" bestFit="1" customWidth="1"/>
    <col min="2" max="2" width="14" bestFit="1" customWidth="1"/>
    <col min="3" max="3" width="21.81640625" bestFit="1" customWidth="1"/>
    <col min="6" max="6" width="14.26953125" bestFit="1" customWidth="1"/>
  </cols>
  <sheetData>
    <row r="1" spans="1:2" x14ac:dyDescent="0.35">
      <c r="A1" s="2" t="s">
        <v>49</v>
      </c>
      <c r="B1" t="s">
        <v>44</v>
      </c>
    </row>
    <row r="2" spans="1:2" x14ac:dyDescent="0.35">
      <c r="A2" s="3" t="s">
        <v>52</v>
      </c>
      <c r="B2">
        <v>1212851</v>
      </c>
    </row>
    <row r="3" spans="1:2" x14ac:dyDescent="0.35">
      <c r="A3" s="3" t="s">
        <v>53</v>
      </c>
      <c r="B3">
        <v>2044263</v>
      </c>
    </row>
    <row r="4" spans="1:2" x14ac:dyDescent="0.35">
      <c r="A4" s="3" t="s">
        <v>54</v>
      </c>
      <c r="B4">
        <v>2177057</v>
      </c>
    </row>
    <row r="5" spans="1:2" x14ac:dyDescent="0.35">
      <c r="A5" s="3" t="s">
        <v>55</v>
      </c>
      <c r="B5">
        <v>1984157</v>
      </c>
    </row>
    <row r="6" spans="1:2" x14ac:dyDescent="0.35">
      <c r="A6" s="3" t="s">
        <v>56</v>
      </c>
      <c r="B6">
        <v>2173742</v>
      </c>
    </row>
    <row r="7" spans="1:2" x14ac:dyDescent="0.35">
      <c r="A7" s="3" t="s">
        <v>57</v>
      </c>
      <c r="B7">
        <v>2286164</v>
      </c>
    </row>
    <row r="8" spans="1:2" x14ac:dyDescent="0.35">
      <c r="A8" s="3" t="s">
        <v>58</v>
      </c>
      <c r="B8">
        <v>560925</v>
      </c>
    </row>
    <row r="9" spans="1:2" x14ac:dyDescent="0.35">
      <c r="A9" s="3" t="s">
        <v>42</v>
      </c>
      <c r="B9">
        <v>12439159</v>
      </c>
    </row>
    <row r="11" spans="1:2" x14ac:dyDescent="0.35">
      <c r="A11" s="2" t="s">
        <v>43</v>
      </c>
      <c r="B11" t="s">
        <v>44</v>
      </c>
    </row>
    <row r="12" spans="1:2" x14ac:dyDescent="0.35">
      <c r="A12" s="3" t="s">
        <v>33</v>
      </c>
      <c r="B12">
        <v>2744892</v>
      </c>
    </row>
    <row r="13" spans="1:2" x14ac:dyDescent="0.35">
      <c r="A13" s="3" t="s">
        <v>23</v>
      </c>
      <c r="B13">
        <v>2563674</v>
      </c>
    </row>
    <row r="14" spans="1:2" x14ac:dyDescent="0.35">
      <c r="A14" s="3" t="s">
        <v>36</v>
      </c>
      <c r="B14">
        <v>2531029</v>
      </c>
    </row>
    <row r="15" spans="1:2" x14ac:dyDescent="0.35">
      <c r="A15" s="3" t="s">
        <v>29</v>
      </c>
      <c r="B15">
        <v>2338932</v>
      </c>
    </row>
    <row r="16" spans="1:2" x14ac:dyDescent="0.35">
      <c r="A16" s="3" t="s">
        <v>16</v>
      </c>
      <c r="B16">
        <v>2260632</v>
      </c>
    </row>
    <row r="17" spans="1:7" x14ac:dyDescent="0.35">
      <c r="A17" s="3" t="s">
        <v>42</v>
      </c>
      <c r="B17">
        <v>12439159</v>
      </c>
    </row>
    <row r="20" spans="1:7" x14ac:dyDescent="0.35">
      <c r="A20" s="2" t="s">
        <v>50</v>
      </c>
      <c r="B20" t="s">
        <v>51</v>
      </c>
      <c r="C20" t="s">
        <v>48</v>
      </c>
    </row>
    <row r="21" spans="1:7" x14ac:dyDescent="0.35">
      <c r="A21" s="3" t="s">
        <v>26</v>
      </c>
      <c r="B21">
        <v>1281</v>
      </c>
      <c r="C21">
        <v>3320219</v>
      </c>
    </row>
    <row r="22" spans="1:7" x14ac:dyDescent="0.35">
      <c r="A22" s="3" t="s">
        <v>40</v>
      </c>
      <c r="B22">
        <v>1276</v>
      </c>
      <c r="C22">
        <v>3076541</v>
      </c>
    </row>
    <row r="23" spans="1:7" x14ac:dyDescent="0.35">
      <c r="A23" s="3" t="s">
        <v>38</v>
      </c>
      <c r="B23">
        <v>1256</v>
      </c>
      <c r="C23">
        <v>2712505</v>
      </c>
    </row>
    <row r="24" spans="1:7" x14ac:dyDescent="0.35">
      <c r="A24" s="3" t="s">
        <v>20</v>
      </c>
      <c r="B24">
        <v>1187</v>
      </c>
      <c r="C24">
        <v>3329894</v>
      </c>
    </row>
    <row r="25" spans="1:7" x14ac:dyDescent="0.35">
      <c r="A25" s="3" t="s">
        <v>42</v>
      </c>
      <c r="B25">
        <v>5000</v>
      </c>
      <c r="C25">
        <v>12439159</v>
      </c>
    </row>
    <row r="31" spans="1:7" x14ac:dyDescent="0.35">
      <c r="A31" t="s">
        <v>59</v>
      </c>
      <c r="B31" t="s">
        <v>48</v>
      </c>
      <c r="C31" t="s">
        <v>64</v>
      </c>
      <c r="E31" t="s">
        <v>60</v>
      </c>
      <c r="F31" t="s">
        <v>61</v>
      </c>
      <c r="G31" t="s">
        <v>65</v>
      </c>
    </row>
    <row r="32" spans="1:7" x14ac:dyDescent="0.35">
      <c r="A32" s="6">
        <v>5000</v>
      </c>
      <c r="B32" s="6">
        <v>12439159</v>
      </c>
      <c r="C32" s="7">
        <v>5.4672000000000001</v>
      </c>
      <c r="E32">
        <f>GETPIVOTDATA("Count of order_id",$A$31)</f>
        <v>5000</v>
      </c>
      <c r="F32" s="5">
        <f>GETPIVOTDATA("Sum of revenue",$A$31)</f>
        <v>12439159</v>
      </c>
      <c r="G32" s="7">
        <f>GETPIVOTDATA("Average of delivery_days",$A$31)</f>
        <v>5.4672000000000001</v>
      </c>
    </row>
    <row r="35" spans="1:2" x14ac:dyDescent="0.35">
      <c r="A35" s="2" t="s">
        <v>62</v>
      </c>
      <c r="B35" t="s">
        <v>63</v>
      </c>
    </row>
    <row r="36" spans="1:2" x14ac:dyDescent="0.35">
      <c r="A36" s="3" t="s">
        <v>52</v>
      </c>
      <c r="B36">
        <v>497</v>
      </c>
    </row>
    <row r="37" spans="1:2" x14ac:dyDescent="0.35">
      <c r="A37" s="3" t="s">
        <v>53</v>
      </c>
      <c r="B37">
        <v>803</v>
      </c>
    </row>
    <row r="38" spans="1:2" x14ac:dyDescent="0.35">
      <c r="A38" s="3" t="s">
        <v>54</v>
      </c>
      <c r="B38">
        <v>850</v>
      </c>
    </row>
    <row r="39" spans="1:2" x14ac:dyDescent="0.35">
      <c r="A39" s="3" t="s">
        <v>55</v>
      </c>
      <c r="B39">
        <v>877</v>
      </c>
    </row>
    <row r="40" spans="1:2" x14ac:dyDescent="0.35">
      <c r="A40" s="3" t="s">
        <v>56</v>
      </c>
      <c r="B40">
        <v>877</v>
      </c>
    </row>
    <row r="41" spans="1:2" x14ac:dyDescent="0.35">
      <c r="A41" s="3" t="s">
        <v>57</v>
      </c>
      <c r="B41">
        <v>860</v>
      </c>
    </row>
    <row r="42" spans="1:2" x14ac:dyDescent="0.35">
      <c r="A42" s="3" t="s">
        <v>58</v>
      </c>
      <c r="B42">
        <v>236</v>
      </c>
    </row>
    <row r="43" spans="1:2" x14ac:dyDescent="0.35">
      <c r="A43" s="3" t="s">
        <v>42</v>
      </c>
      <c r="B43">
        <v>5000</v>
      </c>
    </row>
    <row r="52" spans="1:5" x14ac:dyDescent="0.35">
      <c r="A52" s="2" t="s">
        <v>59</v>
      </c>
      <c r="B52" s="2" t="s">
        <v>67</v>
      </c>
    </row>
    <row r="53" spans="1:5" x14ac:dyDescent="0.35">
      <c r="A53" s="2" t="s">
        <v>68</v>
      </c>
      <c r="B53" t="s">
        <v>37</v>
      </c>
      <c r="C53" t="s">
        <v>19</v>
      </c>
      <c r="D53" t="s">
        <v>31</v>
      </c>
      <c r="E53" t="s">
        <v>42</v>
      </c>
    </row>
    <row r="54" spans="1:5" x14ac:dyDescent="0.35">
      <c r="A54" s="3" t="s">
        <v>26</v>
      </c>
      <c r="B54" s="8">
        <v>8.3799999999999999E-2</v>
      </c>
      <c r="C54" s="8">
        <v>8.3400000000000002E-2</v>
      </c>
      <c r="D54" s="8">
        <v>8.8999999999999996E-2</v>
      </c>
      <c r="E54" s="8">
        <v>0.25619999999999998</v>
      </c>
    </row>
    <row r="55" spans="1:5" x14ac:dyDescent="0.35">
      <c r="A55" s="3" t="s">
        <v>38</v>
      </c>
      <c r="B55" s="8">
        <v>8.8400000000000006E-2</v>
      </c>
      <c r="C55" s="8">
        <v>7.5399999999999995E-2</v>
      </c>
      <c r="D55" s="8">
        <v>8.7400000000000005E-2</v>
      </c>
      <c r="E55" s="8">
        <v>0.25119999999999998</v>
      </c>
    </row>
    <row r="56" spans="1:5" x14ac:dyDescent="0.35">
      <c r="A56" s="3" t="s">
        <v>40</v>
      </c>
      <c r="B56" s="8">
        <v>8.4400000000000003E-2</v>
      </c>
      <c r="C56" s="8">
        <v>8.5000000000000006E-2</v>
      </c>
      <c r="D56" s="8">
        <v>8.5800000000000001E-2</v>
      </c>
      <c r="E56" s="8">
        <v>0.25519999999999998</v>
      </c>
    </row>
    <row r="57" spans="1:5" x14ac:dyDescent="0.35">
      <c r="A57" s="3" t="s">
        <v>20</v>
      </c>
      <c r="B57" s="8">
        <v>7.5600000000000001E-2</v>
      </c>
      <c r="C57" s="8">
        <v>8.1199999999999994E-2</v>
      </c>
      <c r="D57" s="8">
        <v>8.0600000000000005E-2</v>
      </c>
      <c r="E57" s="8">
        <v>0.2374</v>
      </c>
    </row>
    <row r="58" spans="1:5" x14ac:dyDescent="0.35">
      <c r="A58" s="3" t="s">
        <v>42</v>
      </c>
      <c r="B58" s="8">
        <v>0.3322</v>
      </c>
      <c r="C58" s="8">
        <v>0.32500000000000001</v>
      </c>
      <c r="D58" s="8">
        <v>0.34279999999999999</v>
      </c>
      <c r="E58" s="8">
        <v>1</v>
      </c>
    </row>
    <row r="64" spans="1:5" x14ac:dyDescent="0.35">
      <c r="A64" s="2" t="s">
        <v>66</v>
      </c>
      <c r="B64" t="s">
        <v>48</v>
      </c>
    </row>
    <row r="65" spans="1:2" x14ac:dyDescent="0.35">
      <c r="A65" s="3" t="s">
        <v>15</v>
      </c>
      <c r="B65" s="6">
        <v>2532453</v>
      </c>
    </row>
    <row r="66" spans="1:2" x14ac:dyDescent="0.35">
      <c r="A66" s="3" t="s">
        <v>22</v>
      </c>
      <c r="B66" s="6">
        <v>2624716</v>
      </c>
    </row>
    <row r="67" spans="1:2" x14ac:dyDescent="0.35">
      <c r="A67" s="3" t="s">
        <v>41</v>
      </c>
      <c r="B67" s="6">
        <v>2518188</v>
      </c>
    </row>
    <row r="68" spans="1:2" x14ac:dyDescent="0.35">
      <c r="A68" s="3" t="s">
        <v>28</v>
      </c>
      <c r="B68" s="6">
        <v>2355016</v>
      </c>
    </row>
    <row r="69" spans="1:2" x14ac:dyDescent="0.35">
      <c r="A69" s="3" t="s">
        <v>32</v>
      </c>
      <c r="B69" s="6">
        <v>2408786</v>
      </c>
    </row>
    <row r="70" spans="1:2" x14ac:dyDescent="0.35">
      <c r="A70" s="3" t="s">
        <v>42</v>
      </c>
      <c r="B70" s="6">
        <v>12439159</v>
      </c>
    </row>
  </sheetData>
  <pageMargins left="0.7" right="0.7" top="0.75" bottom="0.75" header="0.3" footer="0.3"/>
  <drawing r:id="rId8"/>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2999E26-9D5C-439B-B740-7E5C9A0FFB56}">
  <dimension ref="A1"/>
  <sheetViews>
    <sheetView tabSelected="1" zoomScale="76" zoomScaleNormal="76" workbookViewId="0">
      <selection activeCell="Z10" sqref="Z10"/>
    </sheetView>
  </sheetViews>
  <sheetFormatPr defaultRowHeight="14.5" x14ac:dyDescent="0.35"/>
  <sheetData/>
  <pageMargins left="0.7" right="0.7" top="0.75" bottom="0.75" header="0.3" footer="0.3"/>
  <pageSetup orientation="portrait" r:id="rId1"/>
  <drawing r:id="rId2"/>
  <extLst>
    <ext xmlns:x14="http://schemas.microsoft.com/office/spreadsheetml/2009/9/main" uri="{A8765BA9-456A-4dab-B4F3-ACF838C121DE}">
      <x14:slicerList>
        <x14:slicer r:id="rId3"/>
      </x14:slicerList>
    </ext>
  </extLst>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3</vt:i4>
      </vt:variant>
    </vt:vector>
  </HeadingPairs>
  <TitlesOfParts>
    <vt:vector size="3" baseType="lpstr">
      <vt:lpstr>ecommerce_data</vt:lpstr>
      <vt:lpstr>Pivot_Table</vt:lpstr>
      <vt:lpstr>Dashboard</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manikanta neralla</cp:lastModifiedBy>
  <dcterms:created xsi:type="dcterms:W3CDTF">2026-01-09T12:38:48Z</dcterms:created>
  <dcterms:modified xsi:type="dcterms:W3CDTF">2026-01-11T12:47:58Z</dcterms:modified>
</cp:coreProperties>
</file>